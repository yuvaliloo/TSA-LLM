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6"/>
  <workbookPr autoCompressPictures="0"/>
  <mc:AlternateContent xmlns:mc="http://schemas.openxmlformats.org/markup-compatibility/2006">
    <mc:Choice Requires="x15">
      <x15ac:absPath xmlns:x15ac="http://schemas.microsoft.com/office/spreadsheetml/2010/11/ac" url="/Users/muhammad/Desktop/Work Samples/"/>
    </mc:Choice>
  </mc:AlternateContent>
  <xr:revisionPtr revIDLastSave="0" documentId="13_ncr:1_{BDC16AF0-846B-1040-9525-1040A8F2AB19}" xr6:coauthVersionLast="47" xr6:coauthVersionMax="47" xr10:uidLastSave="{00000000-0000-0000-0000-000000000000}"/>
  <bookViews>
    <workbookView xWindow="0" yWindow="760" windowWidth="27060" windowHeight="20060" tabRatio="500" xr2:uid="{00000000-000D-0000-FFFF-FFFF00000000}"/>
  </bookViews>
  <sheets>
    <sheet name="Job Estimate" sheetId="1" r:id="rId1"/>
    <sheet name="Our Services" sheetId="2" r:id="rId2"/>
    <sheet name="Why Us" sheetId="3" r:id="rId3"/>
  </sheets>
  <externalReferences>
    <externalReference r:id="rId4"/>
  </externalReferences>
  <definedNames>
    <definedName name="_xlnm._FilterDatabase" localSheetId="0" hidden="1">'Job Estimate'!#REF!</definedName>
    <definedName name="_xlnm.Print_Area" localSheetId="0">'Job Estimate'!$A$1:$K$920</definedName>
    <definedName name="Type">'[1]Maintenance Work Order'!#REF!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115" i="1" l="1"/>
  <c r="I114" i="1"/>
  <c r="A113" i="1"/>
  <c r="A287" i="1"/>
  <c r="A298" i="1"/>
  <c r="A303" i="1"/>
  <c r="A309" i="1"/>
  <c r="A311" i="1"/>
  <c r="A313" i="1"/>
  <c r="A314" i="1"/>
  <c r="A321" i="1"/>
  <c r="A326" i="1"/>
  <c r="A337" i="1"/>
  <c r="A343" i="1"/>
  <c r="A348" i="1"/>
  <c r="A349" i="1"/>
  <c r="A356" i="1"/>
  <c r="A361" i="1"/>
  <c r="A367" i="1"/>
  <c r="A378" i="1"/>
  <c r="A383" i="1"/>
  <c r="A385" i="1"/>
  <c r="A386" i="1"/>
  <c r="A389" i="1"/>
  <c r="A392" i="1"/>
  <c r="A395" i="1"/>
  <c r="A396" i="1"/>
  <c r="A420" i="1"/>
  <c r="A439" i="1"/>
  <c r="A448" i="1"/>
  <c r="A449" i="1"/>
  <c r="A470" i="1"/>
  <c r="A492" i="1"/>
  <c r="A504" i="1"/>
  <c r="A505" i="1"/>
  <c r="A506" i="1"/>
  <c r="A508" i="1"/>
  <c r="A513" i="1"/>
  <c r="A514" i="1"/>
  <c r="A516" i="1"/>
  <c r="A520" i="1"/>
  <c r="A521" i="1"/>
  <c r="A523" i="1"/>
  <c r="A526" i="1"/>
  <c r="A532" i="1"/>
  <c r="A533" i="1"/>
  <c r="A534" i="1"/>
  <c r="A535" i="1"/>
  <c r="A539" i="1"/>
  <c r="A543" i="1"/>
  <c r="A547" i="1"/>
  <c r="A550" i="1"/>
  <c r="A551" i="1"/>
  <c r="A553" i="1"/>
  <c r="A555" i="1"/>
  <c r="A557" i="1"/>
  <c r="A558" i="1"/>
  <c r="A563" i="1"/>
  <c r="A566" i="1"/>
  <c r="A901" i="1"/>
  <c r="A815" i="1"/>
  <c r="A820" i="1"/>
  <c r="A825" i="1"/>
  <c r="A826" i="1"/>
  <c r="A835" i="1"/>
  <c r="A836" i="1"/>
  <c r="A843" i="1"/>
  <c r="A844" i="1"/>
  <c r="A845" i="1"/>
  <c r="A849" i="1"/>
  <c r="A850" i="1"/>
  <c r="A851" i="1"/>
  <c r="A854" i="1"/>
  <c r="A855" i="1"/>
  <c r="A856" i="1"/>
  <c r="A860" i="1"/>
  <c r="A861" i="1"/>
  <c r="A871" i="1"/>
  <c r="A872" i="1"/>
  <c r="A881" i="1"/>
  <c r="A882" i="1"/>
  <c r="A886" i="1"/>
  <c r="A887" i="1"/>
  <c r="A660" i="1"/>
  <c r="A661" i="1"/>
  <c r="A666" i="1"/>
  <c r="A673" i="1"/>
  <c r="A710" i="1"/>
  <c r="A711" i="1"/>
  <c r="A724" i="1"/>
  <c r="A737" i="1"/>
  <c r="A772" i="1"/>
  <c r="A773" i="1"/>
  <c r="A778" i="1"/>
  <c r="A784" i="1"/>
  <c r="A621" i="1"/>
  <c r="A623" i="1"/>
  <c r="A625" i="1"/>
  <c r="A626" i="1"/>
  <c r="A636" i="1"/>
  <c r="A642" i="1"/>
  <c r="A580" i="1"/>
  <c r="A593" i="1"/>
  <c r="A596" i="1"/>
  <c r="A199" i="1"/>
  <c r="A204" i="1"/>
  <c r="A205" i="1"/>
  <c r="A208" i="1"/>
  <c r="A214" i="1"/>
  <c r="A219" i="1"/>
  <c r="A220" i="1"/>
  <c r="A222" i="1"/>
  <c r="A224" i="1"/>
  <c r="A226" i="1"/>
  <c r="A184" i="1"/>
  <c r="A185" i="1"/>
  <c r="A187" i="1"/>
  <c r="A141" i="1"/>
  <c r="A146" i="1"/>
  <c r="A159" i="1"/>
  <c r="A166" i="1"/>
  <c r="A167" i="1"/>
  <c r="A170" i="1"/>
  <c r="A173" i="1"/>
  <c r="A130" i="1"/>
  <c r="A102" i="1"/>
  <c r="A109" i="1"/>
  <c r="A116" i="1"/>
  <c r="A120" i="1"/>
  <c r="A122" i="1"/>
  <c r="A36" i="1"/>
  <c r="A47" i="1"/>
  <c r="A62" i="1"/>
  <c r="A67" i="1"/>
  <c r="A72" i="1"/>
  <c r="A75" i="1"/>
  <c r="I838" i="1"/>
  <c r="I802" i="1"/>
  <c r="I801" i="1"/>
  <c r="I800" i="1"/>
  <c r="I799" i="1"/>
  <c r="I798" i="1"/>
  <c r="I797" i="1"/>
  <c r="I796" i="1"/>
  <c r="I795" i="1"/>
  <c r="I794" i="1"/>
  <c r="I793" i="1"/>
  <c r="I792" i="1"/>
  <c r="I791" i="1"/>
  <c r="I790" i="1"/>
  <c r="I789" i="1"/>
  <c r="I788" i="1"/>
  <c r="I787" i="1"/>
  <c r="I786" i="1"/>
  <c r="I785"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695" i="1"/>
  <c r="I694" i="1"/>
  <c r="I693" i="1"/>
  <c r="I692" i="1"/>
  <c r="I691" i="1"/>
  <c r="I690" i="1"/>
  <c r="I689" i="1"/>
  <c r="I688" i="1"/>
  <c r="I687" i="1"/>
  <c r="I686" i="1"/>
  <c r="I685" i="1"/>
  <c r="I684" i="1"/>
  <c r="I683" i="1"/>
  <c r="I682" i="1"/>
  <c r="I681" i="1"/>
  <c r="I680" i="1"/>
  <c r="I679" i="1"/>
  <c r="I678" i="1"/>
  <c r="I677" i="1"/>
  <c r="I676" i="1"/>
  <c r="I675" i="1"/>
  <c r="I647" i="1"/>
  <c r="I640" i="1"/>
  <c r="I631" i="1"/>
  <c r="I478" i="1"/>
  <c r="I66" i="1"/>
  <c r="I65" i="1"/>
  <c r="I64" i="1"/>
  <c r="I63" i="1"/>
  <c r="I140" i="1" l="1"/>
  <c r="I273" i="1"/>
  <c r="I272" i="1"/>
  <c r="I271" i="1"/>
  <c r="I270" i="1"/>
  <c r="I269" i="1"/>
  <c r="I268" i="1"/>
  <c r="I267" i="1"/>
  <c r="I266" i="1"/>
  <c r="I265" i="1"/>
  <c r="I264" i="1"/>
  <c r="I248" i="1"/>
  <c r="I263" i="1"/>
  <c r="I262" i="1"/>
  <c r="I261" i="1"/>
  <c r="I260" i="1"/>
  <c r="I259" i="1"/>
  <c r="I258" i="1"/>
  <c r="I257" i="1"/>
  <c r="I256" i="1"/>
  <c r="I255" i="1"/>
  <c r="I254" i="1"/>
  <c r="I253" i="1"/>
  <c r="I252" i="1"/>
  <c r="I251" i="1"/>
  <c r="I250" i="1"/>
  <c r="I249" i="1"/>
  <c r="I225" i="1"/>
  <c r="I223" i="1"/>
  <c r="I221" i="1"/>
  <c r="F552" i="1"/>
  <c r="F310" i="1"/>
  <c r="F312" i="1"/>
  <c r="I312" i="1" l="1"/>
  <c r="I308" i="1"/>
  <c r="I342" i="1"/>
  <c r="I366" i="1"/>
  <c r="I157" i="1"/>
  <c r="I135" i="1" l="1"/>
  <c r="I355" i="1" l="1"/>
  <c r="I320" i="1"/>
  <c r="I286" i="1"/>
  <c r="I15" i="1"/>
  <c r="I531" i="1"/>
  <c r="I530" i="1"/>
  <c r="F295" i="1"/>
  <c r="F294" i="1"/>
  <c r="F293" i="1"/>
  <c r="F290" i="1"/>
  <c r="F289" i="1"/>
  <c r="F334" i="1"/>
  <c r="F333" i="1"/>
  <c r="F332" i="1"/>
  <c r="F329" i="1"/>
  <c r="F375" i="1"/>
  <c r="F374" i="1"/>
  <c r="F373" i="1"/>
  <c r="F370" i="1"/>
  <c r="F369" i="1"/>
  <c r="I365" i="1"/>
  <c r="I364" i="1"/>
  <c r="I363" i="1"/>
  <c r="I362" i="1"/>
  <c r="I341" i="1"/>
  <c r="I340" i="1"/>
  <c r="I339" i="1"/>
  <c r="I338" i="1"/>
  <c r="I304" i="1"/>
  <c r="I307" i="1"/>
  <c r="F319" i="1"/>
  <c r="I306" i="1" l="1"/>
  <c r="I305" i="1"/>
  <c r="I186" i="1" l="1"/>
  <c r="I145" i="1"/>
  <c r="I165" i="1"/>
  <c r="I174" i="1" l="1"/>
  <c r="I172" i="1"/>
  <c r="I171" i="1"/>
  <c r="I169" i="1"/>
  <c r="I168" i="1"/>
  <c r="I164" i="1"/>
  <c r="I163" i="1"/>
  <c r="I162" i="1"/>
  <c r="I161" i="1"/>
  <c r="I160" i="1"/>
  <c r="I158" i="1"/>
  <c r="I156" i="1"/>
  <c r="I155" i="1"/>
  <c r="I154" i="1"/>
  <c r="I153" i="1"/>
  <c r="I152" i="1"/>
  <c r="I151" i="1"/>
  <c r="I150" i="1"/>
  <c r="I149" i="1"/>
  <c r="I148" i="1"/>
  <c r="I147" i="1"/>
  <c r="I144" i="1"/>
  <c r="I143" i="1"/>
  <c r="I142" i="1"/>
  <c r="I175" i="1" s="1"/>
  <c r="I183" i="1"/>
  <c r="I112" i="1"/>
  <c r="I111" i="1"/>
  <c r="I110" i="1"/>
  <c r="I644" i="1"/>
  <c r="I602" i="1"/>
  <c r="I601" i="1"/>
  <c r="I600" i="1"/>
  <c r="I599" i="1"/>
  <c r="I598" i="1"/>
  <c r="I597" i="1"/>
  <c r="I648" i="1"/>
  <c r="I592" i="1"/>
  <c r="I591" i="1"/>
  <c r="I590" i="1"/>
  <c r="I589" i="1"/>
  <c r="I588" i="1"/>
  <c r="I587" i="1"/>
  <c r="I586" i="1"/>
  <c r="I585" i="1"/>
  <c r="I562" i="1"/>
  <c r="I568" i="1"/>
  <c r="I567" i="1"/>
  <c r="I564" i="1"/>
  <c r="I561" i="1"/>
  <c r="I560" i="1"/>
  <c r="I382" i="1"/>
  <c r="I377" i="1"/>
  <c r="I368" i="1"/>
  <c r="I360" i="1"/>
  <c r="I354" i="1"/>
  <c r="I347" i="1"/>
  <c r="I336" i="1"/>
  <c r="I327" i="1"/>
  <c r="I325" i="1"/>
  <c r="I319" i="1"/>
  <c r="I302" i="1"/>
  <c r="I297" i="1"/>
  <c r="I288" i="1"/>
  <c r="I285" i="1"/>
  <c r="I634" i="1" l="1"/>
  <c r="I635" i="1"/>
  <c r="I645" i="1"/>
  <c r="I583" i="1"/>
  <c r="I575" i="1"/>
  <c r="I574" i="1"/>
  <c r="A194" i="1"/>
  <c r="A195" i="1"/>
  <c r="A179" i="1"/>
  <c r="A9" i="1"/>
  <c r="A10" i="1" s="1"/>
  <c r="I910" i="1"/>
  <c r="I908" i="1"/>
  <c r="I903" i="1"/>
  <c r="I896" i="1"/>
  <c r="I900" i="1"/>
  <c r="I899" i="1"/>
  <c r="I898" i="1"/>
  <c r="I897" i="1"/>
  <c r="A895" i="1"/>
  <c r="I907" i="1"/>
  <c r="I906" i="1"/>
  <c r="I905" i="1"/>
  <c r="I904" i="1"/>
  <c r="I902" i="1"/>
  <c r="I911" i="1"/>
  <c r="I909" i="1"/>
  <c r="I95" i="1"/>
  <c r="I94" i="1"/>
  <c r="I93" i="1"/>
  <c r="I92" i="1"/>
  <c r="I91" i="1"/>
  <c r="I90" i="1"/>
  <c r="I89" i="1"/>
  <c r="I88" i="1"/>
  <c r="I87" i="1"/>
  <c r="I86" i="1"/>
  <c r="I85" i="1"/>
  <c r="I84" i="1"/>
  <c r="I83" i="1"/>
  <c r="I82" i="1"/>
  <c r="I71" i="1"/>
  <c r="I70" i="1"/>
  <c r="I69" i="1"/>
  <c r="I68" i="1"/>
  <c r="I54" i="1"/>
  <c r="I46" i="1"/>
  <c r="I45" i="1"/>
  <c r="I44" i="1"/>
  <c r="I43" i="1"/>
  <c r="I42" i="1"/>
  <c r="I41" i="1"/>
  <c r="I40" i="1"/>
  <c r="I39" i="1"/>
  <c r="I38" i="1"/>
  <c r="I30" i="1"/>
  <c r="I22" i="1"/>
  <c r="I912" i="1" l="1"/>
  <c r="A11" i="1"/>
  <c r="A12" i="1" s="1"/>
  <c r="I133" i="1"/>
  <c r="I132" i="1"/>
  <c r="I134" i="1"/>
  <c r="I131" i="1"/>
  <c r="I129" i="1"/>
  <c r="I37" i="1"/>
  <c r="I35" i="1"/>
  <c r="I34" i="1"/>
  <c r="I33" i="1"/>
  <c r="I32" i="1"/>
  <c r="I31" i="1"/>
  <c r="I29" i="1"/>
  <c r="I28" i="1"/>
  <c r="I27" i="1"/>
  <c r="I26" i="1"/>
  <c r="I25" i="1"/>
  <c r="I24" i="1"/>
  <c r="I23" i="1"/>
  <c r="I21" i="1"/>
  <c r="A20" i="1"/>
  <c r="I61" i="1"/>
  <c r="I60" i="1"/>
  <c r="I59" i="1"/>
  <c r="I58" i="1"/>
  <c r="I57" i="1"/>
  <c r="I56" i="1"/>
  <c r="I55" i="1"/>
  <c r="I53" i="1"/>
  <c r="I52" i="1"/>
  <c r="I51" i="1"/>
  <c r="I50" i="1"/>
  <c r="I49" i="1"/>
  <c r="I48" i="1"/>
  <c r="I81" i="1"/>
  <c r="I80" i="1"/>
  <c r="I79" i="1"/>
  <c r="I78" i="1"/>
  <c r="I77" i="1"/>
  <c r="I76" i="1"/>
  <c r="I74" i="1"/>
  <c r="I624" i="1"/>
  <c r="I622" i="1"/>
  <c r="I620" i="1"/>
  <c r="I619" i="1"/>
  <c r="I618" i="1"/>
  <c r="I633" i="1"/>
  <c r="I632" i="1"/>
  <c r="I630" i="1"/>
  <c r="I629" i="1"/>
  <c r="I628" i="1"/>
  <c r="I627" i="1"/>
  <c r="I889" i="1"/>
  <c r="I888" i="1"/>
  <c r="I885" i="1"/>
  <c r="I884" i="1"/>
  <c r="I883" i="1"/>
  <c r="I880" i="1"/>
  <c r="I879" i="1"/>
  <c r="I878" i="1"/>
  <c r="I877" i="1"/>
  <c r="I876" i="1"/>
  <c r="I875" i="1"/>
  <c r="I874" i="1"/>
  <c r="I873" i="1"/>
  <c r="I870" i="1"/>
  <c r="I869" i="1"/>
  <c r="I868" i="1"/>
  <c r="I867" i="1"/>
  <c r="I866" i="1"/>
  <c r="I865" i="1"/>
  <c r="I864" i="1"/>
  <c r="I863" i="1"/>
  <c r="I862" i="1"/>
  <c r="I859" i="1"/>
  <c r="I858" i="1"/>
  <c r="I857" i="1"/>
  <c r="I853" i="1"/>
  <c r="I852" i="1"/>
  <c r="I848" i="1"/>
  <c r="I847" i="1"/>
  <c r="I846" i="1"/>
  <c r="I842" i="1"/>
  <c r="I841" i="1"/>
  <c r="I840" i="1"/>
  <c r="I839" i="1"/>
  <c r="I837" i="1"/>
  <c r="I834" i="1"/>
  <c r="I833" i="1"/>
  <c r="I832" i="1"/>
  <c r="I831" i="1"/>
  <c r="I830" i="1"/>
  <c r="I829" i="1"/>
  <c r="I828" i="1"/>
  <c r="I827" i="1"/>
  <c r="I824" i="1"/>
  <c r="I823" i="1"/>
  <c r="I822" i="1"/>
  <c r="I821" i="1"/>
  <c r="I819" i="1"/>
  <c r="I818" i="1"/>
  <c r="I817" i="1"/>
  <c r="I816" i="1"/>
  <c r="I814" i="1"/>
  <c r="I813" i="1"/>
  <c r="I812" i="1"/>
  <c r="I811" i="1"/>
  <c r="I810" i="1"/>
  <c r="I809" i="1"/>
  <c r="A807" i="1"/>
  <c r="A806" i="1"/>
  <c r="I783" i="1"/>
  <c r="I782" i="1"/>
  <c r="I781" i="1"/>
  <c r="I780" i="1"/>
  <c r="I779" i="1"/>
  <c r="I777" i="1"/>
  <c r="I776" i="1"/>
  <c r="I775" i="1"/>
  <c r="I774" i="1"/>
  <c r="I771" i="1"/>
  <c r="I738" i="1"/>
  <c r="I736" i="1"/>
  <c r="I735" i="1"/>
  <c r="I734" i="1"/>
  <c r="I733" i="1"/>
  <c r="I732" i="1"/>
  <c r="I731" i="1"/>
  <c r="I730" i="1"/>
  <c r="I729" i="1"/>
  <c r="I728" i="1"/>
  <c r="I727" i="1"/>
  <c r="I726" i="1"/>
  <c r="I725" i="1"/>
  <c r="I723" i="1"/>
  <c r="I722" i="1"/>
  <c r="I721" i="1"/>
  <c r="I720" i="1"/>
  <c r="I719" i="1"/>
  <c r="I718" i="1"/>
  <c r="I717" i="1"/>
  <c r="I716" i="1"/>
  <c r="I715" i="1"/>
  <c r="I714" i="1"/>
  <c r="I713" i="1"/>
  <c r="I712" i="1"/>
  <c r="I709" i="1"/>
  <c r="I708" i="1"/>
  <c r="I707" i="1"/>
  <c r="I706" i="1"/>
  <c r="I705" i="1"/>
  <c r="I704" i="1"/>
  <c r="I703" i="1"/>
  <c r="I702" i="1"/>
  <c r="I701" i="1"/>
  <c r="I700" i="1"/>
  <c r="I699" i="1"/>
  <c r="I698" i="1"/>
  <c r="I697" i="1"/>
  <c r="I696" i="1"/>
  <c r="I674" i="1"/>
  <c r="I672" i="1"/>
  <c r="I671" i="1"/>
  <c r="I670" i="1"/>
  <c r="I669" i="1"/>
  <c r="I668" i="1"/>
  <c r="I667" i="1"/>
  <c r="I665" i="1"/>
  <c r="I664" i="1"/>
  <c r="I663" i="1"/>
  <c r="I662" i="1"/>
  <c r="I659" i="1"/>
  <c r="I658" i="1"/>
  <c r="I657" i="1"/>
  <c r="I656" i="1"/>
  <c r="I655" i="1"/>
  <c r="A654" i="1"/>
  <c r="A653" i="1"/>
  <c r="I646" i="1"/>
  <c r="I643" i="1"/>
  <c r="I641" i="1"/>
  <c r="I639" i="1"/>
  <c r="I638" i="1"/>
  <c r="I637" i="1"/>
  <c r="I649" i="1" l="1"/>
  <c r="I136" i="1"/>
  <c r="I890" i="1"/>
  <c r="I803" i="1"/>
  <c r="A13" i="1"/>
  <c r="I96" i="1"/>
  <c r="I569" i="1"/>
  <c r="I559" i="1"/>
  <c r="I552" i="1"/>
  <c r="I548" i="1"/>
  <c r="I545" i="1"/>
  <c r="I544" i="1"/>
  <c r="I541" i="1"/>
  <c r="I540" i="1"/>
  <c r="I537" i="1"/>
  <c r="I528" i="1"/>
  <c r="I525" i="1"/>
  <c r="I519" i="1"/>
  <c r="I522" i="1"/>
  <c r="I515" i="1"/>
  <c r="I512" i="1"/>
  <c r="I511" i="1"/>
  <c r="I510" i="1"/>
  <c r="I509" i="1"/>
  <c r="I503" i="1"/>
  <c r="I502" i="1"/>
  <c r="I501" i="1"/>
  <c r="I500" i="1"/>
  <c r="I499" i="1"/>
  <c r="I498" i="1"/>
  <c r="I497" i="1"/>
  <c r="I496" i="1"/>
  <c r="I495" i="1"/>
  <c r="I494" i="1"/>
  <c r="I493" i="1"/>
  <c r="I491" i="1"/>
  <c r="I490" i="1"/>
  <c r="I489" i="1"/>
  <c r="I488" i="1"/>
  <c r="I487" i="1"/>
  <c r="I486" i="1"/>
  <c r="I485" i="1"/>
  <c r="I484" i="1"/>
  <c r="I483" i="1"/>
  <c r="I482" i="1"/>
  <c r="I481" i="1"/>
  <c r="I480" i="1"/>
  <c r="I479" i="1"/>
  <c r="I477" i="1"/>
  <c r="I476" i="1"/>
  <c r="I475" i="1"/>
  <c r="I472" i="1"/>
  <c r="I468" i="1"/>
  <c r="I466" i="1"/>
  <c r="I465" i="1"/>
  <c r="I461" i="1"/>
  <c r="I458" i="1"/>
  <c r="I454" i="1"/>
  <c r="I451" i="1"/>
  <c r="I450" i="1"/>
  <c r="I447" i="1"/>
  <c r="I446" i="1"/>
  <c r="I445" i="1"/>
  <c r="I444" i="1"/>
  <c r="I443" i="1"/>
  <c r="I442" i="1"/>
  <c r="I441" i="1"/>
  <c r="I440" i="1"/>
  <c r="I438" i="1"/>
  <c r="I437" i="1"/>
  <c r="I436" i="1"/>
  <c r="I435" i="1"/>
  <c r="I434" i="1"/>
  <c r="I433" i="1"/>
  <c r="I432" i="1"/>
  <c r="I431" i="1"/>
  <c r="I430" i="1"/>
  <c r="I429" i="1"/>
  <c r="I428" i="1"/>
  <c r="I427" i="1"/>
  <c r="I426" i="1"/>
  <c r="I425" i="1"/>
  <c r="I424" i="1"/>
  <c r="I422" i="1"/>
  <c r="I419" i="1"/>
  <c r="I418" i="1"/>
  <c r="I417" i="1"/>
  <c r="I416" i="1"/>
  <c r="I415" i="1"/>
  <c r="I414" i="1"/>
  <c r="I413" i="1"/>
  <c r="I412" i="1"/>
  <c r="I411" i="1"/>
  <c r="I410" i="1"/>
  <c r="I409" i="1"/>
  <c r="I408" i="1"/>
  <c r="I407" i="1"/>
  <c r="I406" i="1"/>
  <c r="I405" i="1"/>
  <c r="I404" i="1"/>
  <c r="I403" i="1"/>
  <c r="I402" i="1"/>
  <c r="I401" i="1"/>
  <c r="I400" i="1"/>
  <c r="I399" i="1"/>
  <c r="I398" i="1"/>
  <c r="I397" i="1"/>
  <c r="I393" i="1"/>
  <c r="I381" i="1"/>
  <c r="I371" i="1"/>
  <c r="I369" i="1"/>
  <c r="I357" i="1"/>
  <c r="I350" i="1"/>
  <c r="I346" i="1"/>
  <c r="I344" i="1"/>
  <c r="I333" i="1"/>
  <c r="I329" i="1"/>
  <c r="I324" i="1"/>
  <c r="I315" i="1"/>
  <c r="I299" i="1"/>
  <c r="I294" i="1"/>
  <c r="I290" i="1"/>
  <c r="F546" i="1"/>
  <c r="I546" i="1" s="1"/>
  <c r="F542" i="1"/>
  <c r="I542" i="1" s="1"/>
  <c r="F538" i="1"/>
  <c r="A14" i="1" l="1"/>
  <c r="I538" i="1"/>
  <c r="I352" i="1"/>
  <c r="I318" i="1"/>
  <c r="I376" i="1"/>
  <c r="I375" i="1"/>
  <c r="I374" i="1"/>
  <c r="I373" i="1"/>
  <c r="I372" i="1"/>
  <c r="I370" i="1"/>
  <c r="I359" i="1"/>
  <c r="I358" i="1"/>
  <c r="I353" i="1"/>
  <c r="I351" i="1"/>
  <c r="I345" i="1"/>
  <c r="I335" i="1"/>
  <c r="I334" i="1"/>
  <c r="I332" i="1"/>
  <c r="I331" i="1"/>
  <c r="I330" i="1"/>
  <c r="I328" i="1"/>
  <c r="I323" i="1"/>
  <c r="I322" i="1"/>
  <c r="I317" i="1"/>
  <c r="I316" i="1"/>
  <c r="I310" i="1"/>
  <c r="I301" i="1"/>
  <c r="I300" i="1"/>
  <c r="I296" i="1"/>
  <c r="I295" i="1"/>
  <c r="I293" i="1"/>
  <c r="I292" i="1"/>
  <c r="I291" i="1"/>
  <c r="I289" i="1"/>
  <c r="I281" i="1"/>
  <c r="A280" i="1"/>
  <c r="A279" i="1"/>
  <c r="I423" i="1"/>
  <c r="I421" i="1"/>
  <c r="I394" i="1"/>
  <c r="I391" i="1"/>
  <c r="I390" i="1"/>
  <c r="I388" i="1"/>
  <c r="I387" i="1"/>
  <c r="I384" i="1"/>
  <c r="I380" i="1"/>
  <c r="I379" i="1"/>
  <c r="I474" i="1"/>
  <c r="I473" i="1"/>
  <c r="I471" i="1"/>
  <c r="I469" i="1"/>
  <c r="I467" i="1"/>
  <c r="I464" i="1"/>
  <c r="I463" i="1"/>
  <c r="I462" i="1"/>
  <c r="I460" i="1"/>
  <c r="I459" i="1"/>
  <c r="I457" i="1"/>
  <c r="I456" i="1"/>
  <c r="I455" i="1"/>
  <c r="I453" i="1"/>
  <c r="I452" i="1"/>
  <c r="I556" i="1"/>
  <c r="I554" i="1"/>
  <c r="I549" i="1"/>
  <c r="I536" i="1"/>
  <c r="I529" i="1"/>
  <c r="I527" i="1"/>
  <c r="I524" i="1"/>
  <c r="I518" i="1"/>
  <c r="I517" i="1"/>
  <c r="I507" i="1"/>
  <c r="I565" i="1"/>
  <c r="I595" i="1"/>
  <c r="I594" i="1"/>
  <c r="I584" i="1"/>
  <c r="I582" i="1"/>
  <c r="I581" i="1"/>
  <c r="I579" i="1"/>
  <c r="I578" i="1"/>
  <c r="I577" i="1"/>
  <c r="I576" i="1"/>
  <c r="I606" i="1"/>
  <c r="I605" i="1"/>
  <c r="I604" i="1"/>
  <c r="I603" i="1"/>
  <c r="I611" i="1"/>
  <c r="I197" i="1"/>
  <c r="I201" i="1"/>
  <c r="I209" i="1"/>
  <c r="I213" i="1"/>
  <c r="I217" i="1"/>
  <c r="I228" i="1"/>
  <c r="I232" i="1"/>
  <c r="I236" i="1"/>
  <c r="I240" i="1"/>
  <c r="I244" i="1"/>
  <c r="I239" i="1"/>
  <c r="I238" i="1"/>
  <c r="I237" i="1"/>
  <c r="I235" i="1"/>
  <c r="I234" i="1"/>
  <c r="I233" i="1"/>
  <c r="I231" i="1"/>
  <c r="I230" i="1"/>
  <c r="I229" i="1"/>
  <c r="I227" i="1"/>
  <c r="I218" i="1"/>
  <c r="I216" i="1"/>
  <c r="I215" i="1"/>
  <c r="I212" i="1"/>
  <c r="I211" i="1"/>
  <c r="I210" i="1"/>
  <c r="I207" i="1"/>
  <c r="I206" i="1"/>
  <c r="I203" i="1"/>
  <c r="I202" i="1"/>
  <c r="I200" i="1"/>
  <c r="I198" i="1"/>
  <c r="I196" i="1"/>
  <c r="I274" i="1" s="1"/>
  <c r="I247" i="1"/>
  <c r="I246" i="1"/>
  <c r="I245" i="1"/>
  <c r="I243" i="1"/>
  <c r="I242" i="1"/>
  <c r="I241" i="1"/>
  <c r="I188" i="1"/>
  <c r="I181" i="1"/>
  <c r="I182" i="1"/>
  <c r="I180" i="1"/>
  <c r="I123" i="1"/>
  <c r="I121" i="1"/>
  <c r="I119" i="1"/>
  <c r="I118" i="1"/>
  <c r="I117" i="1"/>
  <c r="I108" i="1"/>
  <c r="I107" i="1"/>
  <c r="I106" i="1"/>
  <c r="I105" i="1"/>
  <c r="I104" i="1"/>
  <c r="I103" i="1"/>
  <c r="I101" i="1"/>
  <c r="A100" i="1"/>
  <c r="I10" i="1"/>
  <c r="I11" i="1"/>
  <c r="I12" i="1"/>
  <c r="I13" i="1"/>
  <c r="I14" i="1"/>
  <c r="A16" i="1"/>
  <c r="I124" i="1" l="1"/>
  <c r="I189" i="1"/>
  <c r="A15" i="1"/>
  <c r="I607" i="1"/>
  <c r="I16" i="1"/>
  <c r="I284" i="1"/>
  <c r="I283" i="1"/>
  <c r="I282" i="1"/>
  <c r="I570" i="1" s="1"/>
  <c r="A21" i="1" l="1"/>
  <c r="A22" i="1" s="1"/>
  <c r="A96" i="1"/>
  <c r="I612" i="1"/>
  <c r="I613" i="1" s="1"/>
  <c r="A23" i="1" l="1"/>
  <c r="A24" i="1"/>
  <c r="A25" i="1" s="1"/>
  <c r="I913" i="1"/>
  <c r="I915" i="1" s="1"/>
  <c r="I917" i="1" s="1"/>
  <c r="I920" i="1" s="1"/>
  <c r="A26" i="1" l="1"/>
  <c r="A27" i="1" s="1"/>
  <c r="A28" i="1" l="1"/>
  <c r="A29" i="1" s="1"/>
  <c r="A30" i="1" l="1"/>
  <c r="A31" i="1" s="1"/>
  <c r="A32" i="1" s="1"/>
  <c r="A33" i="1" l="1"/>
  <c r="A34" i="1"/>
  <c r="A35" i="1" l="1"/>
  <c r="A37" i="1" s="1"/>
  <c r="A38" i="1" s="1"/>
  <c r="A39" i="1" l="1"/>
  <c r="A40" i="1" s="1"/>
  <c r="A41" i="1" s="1"/>
  <c r="A42" i="1" l="1"/>
  <c r="A43" i="1"/>
  <c r="A44" i="1" s="1"/>
  <c r="A45" i="1" l="1"/>
  <c r="A46" i="1" s="1"/>
  <c r="A48" i="1" l="1"/>
  <c r="A49" i="1" s="1"/>
  <c r="A50" i="1" s="1"/>
  <c r="A51" i="1" l="1"/>
  <c r="A52" i="1" l="1"/>
  <c r="A53" i="1" l="1"/>
  <c r="A54" i="1" l="1"/>
  <c r="A55" i="1" l="1"/>
  <c r="A56" i="1" l="1"/>
  <c r="A57" i="1" l="1"/>
  <c r="A58" i="1" l="1"/>
  <c r="A59" i="1" l="1"/>
  <c r="A60" i="1" l="1"/>
  <c r="A61" i="1" l="1"/>
  <c r="A63" i="1" l="1"/>
  <c r="A64" i="1" l="1"/>
  <c r="A65" i="1" l="1"/>
  <c r="A66" i="1" l="1"/>
  <c r="A68" i="1" l="1"/>
  <c r="A69" i="1" l="1"/>
  <c r="A70" i="1" l="1"/>
  <c r="A71" i="1" l="1"/>
  <c r="A73" i="1" s="1"/>
  <c r="A74" i="1" l="1"/>
  <c r="A76" i="1" s="1"/>
  <c r="A77" i="1" l="1"/>
  <c r="A78" i="1" l="1"/>
  <c r="A79" i="1" l="1"/>
  <c r="A80" i="1" l="1"/>
  <c r="A81" i="1" l="1"/>
  <c r="A82" i="1" l="1"/>
  <c r="A83" i="1" l="1"/>
  <c r="A84" i="1" l="1"/>
  <c r="A85" i="1" l="1"/>
  <c r="A86" i="1" s="1"/>
  <c r="A87" i="1" s="1"/>
  <c r="A88" i="1" s="1"/>
  <c r="A89" i="1" s="1"/>
  <c r="A90" i="1" s="1"/>
  <c r="A91" i="1" s="1"/>
  <c r="A92" i="1" l="1"/>
  <c r="A93" i="1" s="1"/>
  <c r="A94" i="1" s="1"/>
  <c r="A95" i="1" l="1"/>
  <c r="A101" i="1" l="1"/>
  <c r="A103" i="1" l="1"/>
  <c r="A104" i="1" l="1"/>
  <c r="A105" i="1" l="1"/>
  <c r="A106" i="1"/>
  <c r="A107" i="1" s="1"/>
  <c r="A108" i="1" s="1"/>
  <c r="A110" i="1" s="1"/>
  <c r="A111" i="1" s="1"/>
  <c r="A112" i="1" s="1"/>
  <c r="A114" i="1" s="1"/>
  <c r="A115" i="1" s="1"/>
  <c r="A117" i="1" s="1"/>
  <c r="A118" i="1" s="1"/>
  <c r="A119" i="1" s="1"/>
  <c r="A121" i="1" s="1"/>
  <c r="A123" i="1" s="1"/>
  <c r="A129" i="1" l="1"/>
  <c r="A131" i="1" l="1"/>
  <c r="A132" i="1" l="1"/>
  <c r="A133" i="1" l="1"/>
  <c r="A134" i="1" l="1"/>
  <c r="A135" i="1" l="1"/>
  <c r="A140" i="1" l="1"/>
  <c r="A142" i="1" l="1"/>
  <c r="A143" i="1" l="1"/>
  <c r="A144" i="1" l="1"/>
  <c r="A145" i="1" s="1"/>
  <c r="A147" i="1" l="1"/>
  <c r="A148" i="1" l="1"/>
  <c r="A149" i="1" l="1"/>
  <c r="A150" i="1" l="1"/>
  <c r="A151" i="1" l="1"/>
  <c r="A152" i="1" l="1"/>
  <c r="A153" i="1" l="1"/>
  <c r="A154" i="1" l="1"/>
  <c r="A155" i="1" l="1"/>
  <c r="A156" i="1" l="1"/>
  <c r="A157" i="1" l="1"/>
  <c r="A158" i="1" l="1"/>
  <c r="A160" i="1" l="1"/>
  <c r="A161" i="1" l="1"/>
  <c r="A162" i="1" l="1"/>
  <c r="A163" i="1" l="1"/>
  <c r="A164" i="1" s="1"/>
  <c r="A165" i="1" s="1"/>
  <c r="A168" i="1" s="1"/>
  <c r="A169" i="1" s="1"/>
  <c r="A171" i="1" s="1"/>
  <c r="A172" i="1" s="1"/>
  <c r="A174" i="1" s="1"/>
  <c r="A180" i="1" s="1"/>
  <c r="A181" i="1" l="1"/>
  <c r="A182" i="1" l="1"/>
  <c r="A183" i="1" l="1"/>
  <c r="A186" i="1" s="1"/>
  <c r="A188" i="1" s="1"/>
  <c r="A196" i="1" l="1"/>
  <c r="A197" i="1" l="1"/>
  <c r="A198" i="1" s="1"/>
  <c r="A200" i="1" s="1"/>
  <c r="A201" i="1" s="1"/>
  <c r="A202" i="1" s="1"/>
  <c r="A203" i="1" s="1"/>
  <c r="A206" i="1" s="1"/>
  <c r="A207" i="1" s="1"/>
  <c r="A209" i="1" s="1"/>
  <c r="A210" i="1" s="1"/>
  <c r="A211" i="1" s="1"/>
  <c r="A212" i="1" s="1"/>
  <c r="A213" i="1" s="1"/>
  <c r="A215" i="1" s="1"/>
  <c r="A216" i="1" s="1"/>
  <c r="A217" i="1" s="1"/>
  <c r="A218" i="1" s="1"/>
  <c r="A221" i="1" s="1"/>
  <c r="A223" i="1" s="1"/>
  <c r="A225"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81" i="1" l="1"/>
  <c r="A282" i="1" s="1"/>
  <c r="A283" i="1" s="1"/>
  <c r="A284" i="1" s="1"/>
  <c r="A285" i="1" s="1"/>
  <c r="A286" i="1" s="1"/>
  <c r="A288" i="1" s="1"/>
  <c r="A289" i="1" s="1"/>
  <c r="A290" i="1" s="1"/>
  <c r="A291" i="1" s="1"/>
  <c r="A292" i="1" s="1"/>
  <c r="A293" i="1" s="1"/>
  <c r="A294" i="1" s="1"/>
  <c r="A295" i="1" s="1"/>
  <c r="A296" i="1" s="1"/>
  <c r="A297" i="1" s="1"/>
  <c r="A299" i="1" s="1"/>
  <c r="A300" i="1" s="1"/>
  <c r="A301" i="1" s="1"/>
  <c r="A302" i="1" s="1"/>
  <c r="A304" i="1" s="1"/>
  <c r="A305" i="1" s="1"/>
  <c r="A306" i="1" s="1"/>
  <c r="A307" i="1" s="1"/>
  <c r="A308" i="1" s="1"/>
  <c r="A310" i="1" s="1"/>
  <c r="A312" i="1" s="1"/>
  <c r="A315" i="1" s="1"/>
  <c r="A316" i="1" s="1"/>
  <c r="A317" i="1" s="1"/>
  <c r="A318" i="1" s="1"/>
  <c r="A319" i="1" s="1"/>
  <c r="A320" i="1" s="1"/>
  <c r="A322" i="1" s="1"/>
  <c r="A323" i="1" s="1"/>
  <c r="A324" i="1" s="1"/>
  <c r="A325" i="1" s="1"/>
  <c r="A327" i="1" s="1"/>
  <c r="A328" i="1" s="1"/>
  <c r="A329" i="1" s="1"/>
  <c r="A330" i="1" s="1"/>
  <c r="A331" i="1" s="1"/>
  <c r="A332" i="1" s="1"/>
  <c r="A333" i="1" s="1"/>
  <c r="A334" i="1" s="1"/>
  <c r="A335" i="1" s="1"/>
  <c r="A336" i="1" s="1"/>
  <c r="A338" i="1" s="1"/>
  <c r="A339" i="1" s="1"/>
  <c r="A340" i="1" s="1"/>
  <c r="A341" i="1" s="1"/>
  <c r="A342" i="1" s="1"/>
  <c r="A344" i="1" s="1"/>
  <c r="A345" i="1" s="1"/>
  <c r="A346" i="1" s="1"/>
  <c r="A347" i="1" s="1"/>
  <c r="A350" i="1" s="1"/>
  <c r="A351" i="1" s="1"/>
  <c r="A352" i="1" s="1"/>
  <c r="A353" i="1" s="1"/>
  <c r="A354" i="1" s="1"/>
  <c r="A355" i="1" s="1"/>
  <c r="A357" i="1" s="1"/>
  <c r="A358" i="1" s="1"/>
  <c r="A359" i="1" s="1"/>
  <c r="A360" i="1" s="1"/>
  <c r="A362" i="1" s="1"/>
  <c r="A363" i="1" s="1"/>
  <c r="A364" i="1" s="1"/>
  <c r="A365" i="1" s="1"/>
  <c r="A366" i="1" s="1"/>
  <c r="A368" i="1" s="1"/>
  <c r="A369" i="1" s="1"/>
  <c r="A370" i="1" s="1"/>
  <c r="A371" i="1" s="1"/>
  <c r="A372" i="1" s="1"/>
  <c r="A373" i="1" s="1"/>
  <c r="A374" i="1" s="1"/>
  <c r="A375" i="1" s="1"/>
  <c r="A376" i="1" s="1"/>
  <c r="A377" i="1" s="1"/>
  <c r="A379" i="1" s="1"/>
  <c r="A380" i="1" s="1"/>
  <c r="A381" i="1" s="1"/>
  <c r="A382" i="1" s="1"/>
  <c r="A384" i="1" s="1"/>
  <c r="A387" i="1" s="1"/>
  <c r="A388" i="1" s="1"/>
  <c r="A390" i="1" s="1"/>
  <c r="A391" i="1" s="1"/>
  <c r="A393" i="1" s="1"/>
  <c r="A394"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1" i="1" s="1"/>
  <c r="A422" i="1" s="1"/>
  <c r="A423" i="1" s="1"/>
  <c r="A424" i="1" s="1"/>
  <c r="A425" i="1" s="1"/>
  <c r="A426" i="1" s="1"/>
  <c r="A427" i="1" s="1"/>
  <c r="A428" i="1" s="1"/>
  <c r="A429" i="1" s="1"/>
  <c r="A430" i="1" s="1"/>
  <c r="A431" i="1" s="1"/>
  <c r="A432" i="1" s="1"/>
  <c r="A433" i="1" s="1"/>
  <c r="A434" i="1" s="1"/>
  <c r="A435" i="1" s="1"/>
  <c r="A436" i="1" s="1"/>
  <c r="A437" i="1" s="1"/>
  <c r="A438" i="1" s="1"/>
  <c r="A440" i="1" s="1"/>
  <c r="A441" i="1" s="1"/>
  <c r="A442" i="1" s="1"/>
  <c r="A443" i="1" s="1"/>
  <c r="A444" i="1" s="1"/>
  <c r="A445" i="1" s="1"/>
  <c r="A446" i="1" s="1"/>
  <c r="A447"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3" i="1" s="1"/>
  <c r="A494" i="1" s="1"/>
  <c r="A495" i="1" s="1"/>
  <c r="A496" i="1" s="1"/>
  <c r="A497" i="1" s="1"/>
  <c r="A498" i="1" s="1"/>
  <c r="A499" i="1" s="1"/>
  <c r="A500" i="1" s="1"/>
  <c r="A501" i="1" s="1"/>
  <c r="A502" i="1" s="1"/>
  <c r="A503" i="1" s="1"/>
  <c r="A507" i="1" s="1"/>
  <c r="A509" i="1" s="1"/>
  <c r="A510" i="1" s="1"/>
  <c r="A511" i="1" s="1"/>
  <c r="A512" i="1" s="1"/>
  <c r="A515" i="1" s="1"/>
  <c r="A517" i="1" s="1"/>
  <c r="A518" i="1" s="1"/>
  <c r="A519" i="1" s="1"/>
  <c r="A522" i="1" s="1"/>
  <c r="A524" i="1" s="1"/>
  <c r="A525" i="1" s="1"/>
  <c r="A527" i="1" s="1"/>
  <c r="A528" i="1" s="1"/>
  <c r="A529" i="1" s="1"/>
  <c r="A530" i="1" s="1"/>
  <c r="A531" i="1" s="1"/>
  <c r="A536" i="1" s="1"/>
  <c r="A537" i="1" s="1"/>
  <c r="A538" i="1" s="1"/>
  <c r="A540" i="1" s="1"/>
  <c r="A541" i="1" s="1"/>
  <c r="A542" i="1" s="1"/>
  <c r="A544" i="1" s="1"/>
  <c r="A545" i="1" s="1"/>
  <c r="A546" i="1" s="1"/>
  <c r="A548" i="1" s="1"/>
  <c r="A549" i="1" s="1"/>
  <c r="A552" i="1" s="1"/>
  <c r="A554" i="1" s="1"/>
  <c r="A556" i="1" s="1"/>
  <c r="A559" i="1" s="1"/>
  <c r="A560" i="1" s="1"/>
  <c r="A561" i="1" s="1"/>
  <c r="A562" i="1" s="1"/>
  <c r="A564" i="1" s="1"/>
  <c r="A565" i="1" s="1"/>
  <c r="A567" i="1" s="1"/>
  <c r="A568" i="1" s="1"/>
  <c r="A569" i="1" s="1"/>
  <c r="A574" i="1" s="1"/>
  <c r="A575" i="1" s="1"/>
  <c r="A576" i="1" s="1"/>
  <c r="A577" i="1" s="1"/>
  <c r="A578" i="1" s="1"/>
  <c r="A579" i="1" s="1"/>
  <c r="A581" i="1" s="1"/>
  <c r="A582" i="1" s="1"/>
  <c r="A583" i="1" s="1"/>
  <c r="A584" i="1" s="1"/>
  <c r="A585" i="1" s="1"/>
  <c r="A586" i="1" s="1"/>
  <c r="A587" i="1" s="1"/>
  <c r="A588" i="1" s="1"/>
  <c r="A589" i="1" s="1"/>
  <c r="A590" i="1" s="1"/>
  <c r="A591" i="1" s="1"/>
  <c r="A592" i="1" s="1"/>
  <c r="A594" i="1" s="1"/>
  <c r="A595" i="1" s="1"/>
  <c r="A597" i="1" s="1"/>
  <c r="A598" i="1" s="1"/>
  <c r="A599" i="1" s="1"/>
  <c r="A600" i="1" s="1"/>
  <c r="A601" i="1" s="1"/>
  <c r="A602" i="1" s="1"/>
  <c r="A603" i="1" s="1"/>
  <c r="A604" i="1" s="1"/>
  <c r="A605" i="1" s="1"/>
  <c r="A606" i="1" s="1"/>
  <c r="A611" i="1" s="1"/>
  <c r="A612" i="1" s="1"/>
  <c r="A618" i="1" s="1"/>
  <c r="A619" i="1" s="1"/>
  <c r="A620" i="1" s="1"/>
  <c r="A622" i="1" s="1"/>
  <c r="A624" i="1" s="1"/>
  <c r="A627" i="1" s="1"/>
  <c r="A628" i="1" s="1"/>
  <c r="A629" i="1" s="1"/>
  <c r="A630" i="1" s="1"/>
  <c r="A631" i="1" s="1"/>
  <c r="A632" i="1" s="1"/>
  <c r="A633" i="1" s="1"/>
  <c r="A634" i="1" s="1"/>
  <c r="A635" i="1" s="1"/>
  <c r="A637" i="1" s="1"/>
  <c r="A638" i="1" s="1"/>
  <c r="A639" i="1" s="1"/>
  <c r="A640" i="1" s="1"/>
  <c r="A641" i="1" s="1"/>
  <c r="A643" i="1" s="1"/>
  <c r="A644" i="1" s="1"/>
  <c r="A645" i="1" s="1"/>
  <c r="A646" i="1" s="1"/>
  <c r="A647" i="1" s="1"/>
  <c r="A648" i="1" s="1"/>
  <c r="A655" i="1" s="1"/>
  <c r="A656" i="1" s="1"/>
  <c r="A657" i="1" s="1"/>
  <c r="A658" i="1" s="1"/>
  <c r="A659" i="1" s="1"/>
  <c r="A662" i="1" s="1"/>
  <c r="A663" i="1" s="1"/>
  <c r="A664" i="1" s="1"/>
  <c r="A665" i="1" s="1"/>
  <c r="A667" i="1" s="1"/>
  <c r="A668" i="1" s="1"/>
  <c r="A669" i="1" s="1"/>
  <c r="A670" i="1" s="1"/>
  <c r="A671" i="1" s="1"/>
  <c r="A672"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2" i="1" s="1"/>
  <c r="A713" i="1" s="1"/>
  <c r="A714" i="1" s="1"/>
  <c r="A715" i="1" s="1"/>
  <c r="A716" i="1" s="1"/>
  <c r="A717" i="1" s="1"/>
  <c r="A718" i="1" s="1"/>
  <c r="A719" i="1" s="1"/>
  <c r="A720" i="1" s="1"/>
  <c r="A721" i="1" s="1"/>
  <c r="A722" i="1" s="1"/>
  <c r="A723" i="1" s="1"/>
  <c r="A725" i="1" s="1"/>
  <c r="A726" i="1" s="1"/>
  <c r="A727" i="1" s="1"/>
  <c r="A728" i="1" s="1"/>
  <c r="A729" i="1" s="1"/>
  <c r="A730" i="1" s="1"/>
  <c r="A731" i="1" s="1"/>
  <c r="A732" i="1" s="1"/>
  <c r="A733" i="1" s="1"/>
  <c r="A734" i="1" s="1"/>
  <c r="A735" i="1" s="1"/>
  <c r="A736"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4" i="1" s="1"/>
  <c r="A775" i="1" s="1"/>
  <c r="A776" i="1" s="1"/>
  <c r="A777" i="1" s="1"/>
  <c r="A779" i="1" s="1"/>
  <c r="A780" i="1" s="1"/>
  <c r="A781" i="1" s="1"/>
  <c r="A782" i="1" s="1"/>
  <c r="A783" i="1" s="1"/>
  <c r="A785" i="1" s="1"/>
  <c r="A786" i="1" s="1"/>
  <c r="A787" i="1" s="1"/>
  <c r="A788" i="1" s="1"/>
  <c r="A789" i="1" s="1"/>
  <c r="A790" i="1" s="1"/>
  <c r="A791" i="1" s="1"/>
  <c r="A792" i="1" s="1"/>
  <c r="A793" i="1" s="1"/>
  <c r="A794" i="1" s="1"/>
  <c r="A795" i="1" s="1"/>
  <c r="A796" i="1" s="1"/>
  <c r="A797" i="1" s="1"/>
  <c r="A798" i="1" s="1"/>
  <c r="A799" i="1" s="1"/>
  <c r="A800" i="1" s="1"/>
  <c r="A801" i="1" s="1"/>
  <c r="A802" i="1" s="1"/>
  <c r="A809" i="1" l="1"/>
  <c r="A811" i="1" s="1"/>
  <c r="A810" i="1"/>
  <c r="A812" i="1" s="1"/>
  <c r="A814" i="1" s="1"/>
  <c r="A813" i="1" l="1"/>
  <c r="A817" i="1" s="1"/>
  <c r="A816" i="1" l="1"/>
  <c r="A818" i="1" s="1"/>
  <c r="A821" i="1" s="1"/>
  <c r="A823" i="1" s="1"/>
  <c r="A819" i="1"/>
  <c r="A822" i="1" l="1"/>
  <c r="A824" i="1"/>
  <c r="A827" i="1"/>
  <c r="A829" i="1" s="1"/>
  <c r="A831" i="1" s="1"/>
  <c r="A828" i="1"/>
  <c r="A830" i="1" l="1"/>
  <c r="A832" i="1" s="1"/>
  <c r="A834" i="1" s="1"/>
  <c r="A833" i="1"/>
  <c r="A838" i="1" l="1"/>
  <c r="A837" i="1"/>
  <c r="A839" i="1" s="1"/>
  <c r="A840" i="1" l="1"/>
  <c r="A842" i="1" s="1"/>
  <c r="A846" i="1" s="1"/>
  <c r="A848" i="1" s="1"/>
  <c r="A841" i="1"/>
  <c r="A847" i="1" l="1"/>
  <c r="A852" i="1" s="1"/>
  <c r="A857" i="1" s="1"/>
  <c r="A859" i="1" s="1"/>
  <c r="A853" i="1"/>
  <c r="A858" i="1" l="1"/>
  <c r="A863" i="1" s="1"/>
  <c r="A862" i="1" l="1"/>
  <c r="A864" i="1" s="1"/>
  <c r="A866" i="1" s="1"/>
  <c r="A865" i="1" l="1"/>
  <c r="A867" i="1" s="1"/>
  <c r="A869" i="1" s="1"/>
  <c r="A868" i="1" l="1"/>
  <c r="A870" i="1" s="1"/>
  <c r="A873" i="1" s="1"/>
  <c r="A874" i="1" l="1"/>
  <c r="A876" i="1"/>
  <c r="A875" i="1"/>
  <c r="A877" i="1" s="1"/>
  <c r="A879" i="1" s="1"/>
  <c r="A878" i="1" l="1"/>
  <c r="A880" i="1" s="1"/>
  <c r="A884" i="1" l="1"/>
  <c r="A883" i="1"/>
  <c r="A885" i="1" s="1"/>
  <c r="A888" i="1" s="1"/>
  <c r="A896" i="1" s="1"/>
  <c r="A897" i="1" s="1"/>
  <c r="A898" i="1" s="1"/>
  <c r="A899" i="1" s="1"/>
  <c r="A900" i="1" s="1"/>
  <c r="A902" i="1" s="1"/>
  <c r="A903" i="1" s="1"/>
  <c r="A904" i="1" s="1"/>
  <c r="A905" i="1" s="1"/>
  <c r="A906" i="1" s="1"/>
  <c r="A907" i="1" s="1"/>
  <c r="A908" i="1" s="1"/>
  <c r="A909" i="1" s="1"/>
  <c r="A910" i="1" s="1"/>
  <c r="A911" i="1" s="1"/>
</calcChain>
</file>

<file path=xl/sharedStrings.xml><?xml version="1.0" encoding="utf-8"?>
<sst xmlns="http://schemas.openxmlformats.org/spreadsheetml/2006/main" count="1798" uniqueCount="720">
  <si>
    <t>DATE</t>
  </si>
  <si>
    <t>QTY</t>
  </si>
  <si>
    <t>UNIT PRICE</t>
  </si>
  <si>
    <t>SUBTOTAL</t>
  </si>
  <si>
    <t>TOTAL</t>
  </si>
  <si>
    <t>SHIPPING/HANDLING</t>
  </si>
  <si>
    <t>OTHER</t>
  </si>
  <si>
    <t>TOTAL TAX</t>
  </si>
  <si>
    <t>SUBTOTAL LESS DISCOUNT</t>
  </si>
  <si>
    <t>QUOTE</t>
  </si>
  <si>
    <t>NUMBER</t>
  </si>
  <si>
    <t>VALID</t>
  </si>
  <si>
    <t>UNTIL</t>
  </si>
  <si>
    <t>PAYMENT</t>
  </si>
  <si>
    <t>Description</t>
  </si>
  <si>
    <t>Job Address:</t>
  </si>
  <si>
    <t>Prepared For:</t>
  </si>
  <si>
    <t>Address:</t>
  </si>
  <si>
    <t>Contact:</t>
  </si>
  <si>
    <t>Email:</t>
  </si>
  <si>
    <t>Index</t>
  </si>
  <si>
    <t>Dwg Reference #</t>
  </si>
  <si>
    <t>ADDITIONAL NOTES</t>
  </si>
  <si>
    <t>TERMS</t>
  </si>
  <si>
    <t>Comments</t>
  </si>
  <si>
    <t>UNIT</t>
  </si>
  <si>
    <t>Openings</t>
  </si>
  <si>
    <t>Finishes</t>
  </si>
  <si>
    <t>EA</t>
  </si>
  <si>
    <t>First Floor</t>
  </si>
  <si>
    <t>SF</t>
  </si>
  <si>
    <t>Second Floor</t>
  </si>
  <si>
    <t>LF</t>
  </si>
  <si>
    <t>enter total amount DISCOUNT</t>
  </si>
  <si>
    <t>enter percentage TAX RATE</t>
  </si>
  <si>
    <t>Walls</t>
  </si>
  <si>
    <t>EXISTING CONDITIONS/SITE WORK</t>
  </si>
  <si>
    <t>CONCRETE</t>
  </si>
  <si>
    <t>CY</t>
  </si>
  <si>
    <t>METALS</t>
  </si>
  <si>
    <t>Stairs</t>
  </si>
  <si>
    <t>Doors</t>
  </si>
  <si>
    <t/>
  </si>
  <si>
    <t>Floor Finishes</t>
  </si>
  <si>
    <t>CONVEYING SYSTEM</t>
  </si>
  <si>
    <t>ELECTRICAL</t>
  </si>
  <si>
    <t>Single Pole Switch</t>
  </si>
  <si>
    <t>TOTAL SITE WORK COST</t>
  </si>
  <si>
    <t>TOTAL CONCRETE COST</t>
  </si>
  <si>
    <t>TOTAL METALS COST</t>
  </si>
  <si>
    <t>TOTAL OPENINGS COST</t>
  </si>
  <si>
    <t>TOTAL FINISHES COST</t>
  </si>
  <si>
    <t>TOTAL CONVEYING SYSTEM COST</t>
  </si>
  <si>
    <t>TOTAL ELECTRICAL COST</t>
  </si>
  <si>
    <t>GENERAL REQUIREMENTS</t>
  </si>
  <si>
    <t>Supervision and Coordination</t>
  </si>
  <si>
    <t>Submittals and Shop drawings</t>
  </si>
  <si>
    <t>Final Cleaning</t>
  </si>
  <si>
    <t>Mobilization Costs</t>
  </si>
  <si>
    <t>Temporary Control &amp; Facilities</t>
  </si>
  <si>
    <t>LS</t>
  </si>
  <si>
    <t>TOTAL COST</t>
  </si>
  <si>
    <t>(16 x 16) Concrete Column (Height Not Given)</t>
  </si>
  <si>
    <t>Columns</t>
  </si>
  <si>
    <t>8" Thick Concrete Wall</t>
  </si>
  <si>
    <t>Concrete Wall</t>
  </si>
  <si>
    <t>Retaining Walls</t>
  </si>
  <si>
    <t>Footings</t>
  </si>
  <si>
    <t>Slab</t>
  </si>
  <si>
    <t>Foundation</t>
  </si>
  <si>
    <t>Steel X-Braced Frame</t>
  </si>
  <si>
    <t xml:space="preserve">Level 2 Framing </t>
  </si>
  <si>
    <t>Steel Eccentric Brace Frame</t>
  </si>
  <si>
    <t>Steel X Braced Frame</t>
  </si>
  <si>
    <t>WOOD, PLASTICS &amp; COMPOSITES</t>
  </si>
  <si>
    <t>(8-3/4" x 15") Glulam Beams @ Exterior</t>
  </si>
  <si>
    <t>(8-3/4"x15") Purlins @ 4'-0" O.C. @ Exterior</t>
  </si>
  <si>
    <t>(8-3/4"x24") Glulam Beams @ Interior</t>
  </si>
  <si>
    <t>(8-3/4"x15") Purlins @ 4'-0" O.C. @ Interior</t>
  </si>
  <si>
    <t>Roof Framing</t>
  </si>
  <si>
    <t>3/4" Plywood Deck</t>
  </si>
  <si>
    <t>2x T&amp;G Deck w/ (1-1/4") Gypcrete</t>
  </si>
  <si>
    <t>2x T&amp;G Deck w/ (5") Gypcrete @ Exterior Balcony</t>
  </si>
  <si>
    <t>(8-3/4" x 15") Purlins @ (4'-0") O.C. @ Exterior</t>
  </si>
  <si>
    <t>8-3/4" x 15") Glulam Beams @ Exterior</t>
  </si>
  <si>
    <t>(8-3/4" x 13-1/2") Purlins @ (4'-0") O.C. @ Interior</t>
  </si>
  <si>
    <t>(8-3/4" x 21") Glulam Beams @ Interior</t>
  </si>
  <si>
    <t>(8-3/4" x 24") Glulam Beams</t>
  </si>
  <si>
    <t>Level 3 Framing</t>
  </si>
  <si>
    <t>Glulam Posts</t>
  </si>
  <si>
    <t>(8-3/4" x 21") Glulam Beams</t>
  </si>
  <si>
    <t>1st Floor</t>
  </si>
  <si>
    <t>Exterior Doors</t>
  </si>
  <si>
    <t>Interior Doors</t>
  </si>
  <si>
    <t>2nd Floor</t>
  </si>
  <si>
    <t>3rd Floor</t>
  </si>
  <si>
    <t>Windows</t>
  </si>
  <si>
    <t xml:space="preserve">Elevator #1 </t>
  </si>
  <si>
    <t>Elevator# 2</t>
  </si>
  <si>
    <t>SPECIALITIES</t>
  </si>
  <si>
    <t>Ski/ Snow Board Rack</t>
  </si>
  <si>
    <t>Skiosk</t>
  </si>
  <si>
    <t>POS</t>
  </si>
  <si>
    <t>Boot Fit Stations</t>
  </si>
  <si>
    <t>Computers</t>
  </si>
  <si>
    <t>Lockers</t>
  </si>
  <si>
    <t>Counter Top @ Kid Lays</t>
  </si>
  <si>
    <t>Vanity Cabinet @ Kid Lays</t>
  </si>
  <si>
    <t>Interior Walls</t>
  </si>
  <si>
    <t>Top &amp; Bottom Plates</t>
  </si>
  <si>
    <t>(5/8") Gypsum Wall Board</t>
  </si>
  <si>
    <t>(2x6) Wood Studs @ 16" O.C.</t>
  </si>
  <si>
    <t>Acoustical Batt Insulation (If Required)</t>
  </si>
  <si>
    <t>Exterior Walls</t>
  </si>
  <si>
    <t>5/8" Gypsum Wall Board (Interior Side)</t>
  </si>
  <si>
    <t>Air/Vapor Barrier</t>
  </si>
  <si>
    <t xml:space="preserve">(5-1/2") Wood Studs </t>
  </si>
  <si>
    <t xml:space="preserve">R-21 Mineral Wool Batt Insulation </t>
  </si>
  <si>
    <t>(1/2") Plywood (SSD)</t>
  </si>
  <si>
    <t>5/8" Gypsum Wall Board (Exterior Side)</t>
  </si>
  <si>
    <t xml:space="preserve">Composite Panel w/ (5/8") FRT Plywood </t>
  </si>
  <si>
    <t>2" Rigid Polyiso Insulation</t>
  </si>
  <si>
    <t>Plumbing Wall</t>
  </si>
  <si>
    <t>Furring @ Exterior Wall</t>
  </si>
  <si>
    <t>1/2" Furring Channels</t>
  </si>
  <si>
    <t xml:space="preserve">Exterior Wall </t>
  </si>
  <si>
    <t>Folding partition</t>
  </si>
  <si>
    <t>Folding Partition</t>
  </si>
  <si>
    <t>Exterior Panel</t>
  </si>
  <si>
    <t>Panel</t>
  </si>
  <si>
    <t>Toilet Partitions</t>
  </si>
  <si>
    <t xml:space="preserve">Floor Finish @Women Washroom </t>
  </si>
  <si>
    <t>Tiles</t>
  </si>
  <si>
    <t>Ceiling Finishes</t>
  </si>
  <si>
    <t>Exposed Structural T&amp;G Planking</t>
  </si>
  <si>
    <t>Gypsum Board Ceiling @Toilet</t>
  </si>
  <si>
    <t>Exposed Structural T&amp;G Planking @ Entering</t>
  </si>
  <si>
    <t>Wall Finishes</t>
  </si>
  <si>
    <t>Wall Base</t>
  </si>
  <si>
    <t xml:space="preserve">4" Vinyl Wall Base </t>
  </si>
  <si>
    <t xml:space="preserve"> LF</t>
  </si>
  <si>
    <t>Exterior Finishes</t>
  </si>
  <si>
    <t>Siding 1</t>
  </si>
  <si>
    <t>Siding 2</t>
  </si>
  <si>
    <t>Siding 3</t>
  </si>
  <si>
    <t>Paint</t>
  </si>
  <si>
    <t>Door Paint</t>
  </si>
  <si>
    <t>Paint @ Door</t>
  </si>
  <si>
    <t>Paint @ Door Frame</t>
  </si>
  <si>
    <t>Paint @ Door Trims</t>
  </si>
  <si>
    <t>Windows Paint</t>
  </si>
  <si>
    <t>Paint @ Window Frame</t>
  </si>
  <si>
    <t>Paint @ Window Trims</t>
  </si>
  <si>
    <t>Wall Paint</t>
  </si>
  <si>
    <t>Ceiling Paint</t>
  </si>
  <si>
    <t>Paint @ Walls</t>
  </si>
  <si>
    <t>PLUMBING</t>
  </si>
  <si>
    <t>Floor Area for Plumbing</t>
  </si>
  <si>
    <t>Mechanical Site Plan</t>
  </si>
  <si>
    <t>Equipment &amp; Units</t>
  </si>
  <si>
    <t>Dedicated Outdoor Air System</t>
  </si>
  <si>
    <t>Makeup Air Unit</t>
  </si>
  <si>
    <t>Duct Work</t>
  </si>
  <si>
    <t>(4"x4")  Supply Air Duct Work</t>
  </si>
  <si>
    <t>(8"x8")  Supply Air Duct Work</t>
  </si>
  <si>
    <t>(10"x10") Supply Air Duct Work</t>
  </si>
  <si>
    <t>(24"x24") Return Air Duct Work</t>
  </si>
  <si>
    <t>Fittings</t>
  </si>
  <si>
    <t>(10"x10") to (8"x8") Duct Transition</t>
  </si>
  <si>
    <t>(10"x10") to (8"x8") Takeoff /T</t>
  </si>
  <si>
    <t>(10"x10") to (4"x4") Takeoff /T</t>
  </si>
  <si>
    <t>(4"x4") Connection w/ Fan Coil</t>
  </si>
  <si>
    <t>Connection</t>
  </si>
  <si>
    <t>(8"x8") Elbow</t>
  </si>
  <si>
    <t>Exhaust Fan</t>
  </si>
  <si>
    <t>HX- 1</t>
  </si>
  <si>
    <t>HX- 2</t>
  </si>
  <si>
    <t>(8"x6")  Supply Air Duct Work</t>
  </si>
  <si>
    <t>(8"x10")  Supply Air Duct Work</t>
  </si>
  <si>
    <t>(10"x10")  Supply Air Duct Work</t>
  </si>
  <si>
    <t>(10"x12")  Supply Air Duct Work</t>
  </si>
  <si>
    <t>(12"x10")  Supply Air Duct Work</t>
  </si>
  <si>
    <t>(12"x12")  Supply Air Duct Work</t>
  </si>
  <si>
    <t>(14"x14")  Supply Air Duct Work</t>
  </si>
  <si>
    <t>(14"x16")  Supply Air Duct Work</t>
  </si>
  <si>
    <t>(24"x24")  Supply Air Duct Work</t>
  </si>
  <si>
    <t>(24"x24")  Return Air Duct Work</t>
  </si>
  <si>
    <t>(12"x10") to (4"x4") Duct Transition</t>
  </si>
  <si>
    <t>(12"x10") to (8"x6") Duct Transition</t>
  </si>
  <si>
    <t>(14"x14") to (12"x12") Duct Transition</t>
  </si>
  <si>
    <t>(14"x16") to (12"x12") Duct Transition</t>
  </si>
  <si>
    <t>(4"x4") Elbow</t>
  </si>
  <si>
    <t>(24"x24") Air Split Takeoff</t>
  </si>
  <si>
    <t>(8"x8") Turning Van</t>
  </si>
  <si>
    <t>(12"x10") to (10"x10") Takeoff /T</t>
  </si>
  <si>
    <t>(12"x12") to (12"x10") Takeoff /T</t>
  </si>
  <si>
    <t>(14"x14") to (8"x10") Takeoff /T</t>
  </si>
  <si>
    <t>(8"x6") to (8"x6") Takeoff /T</t>
  </si>
  <si>
    <t>(16"x12") Diffusers</t>
  </si>
  <si>
    <t>Third Floor</t>
  </si>
  <si>
    <t>(6"x6")  Supply Air Duct Work</t>
  </si>
  <si>
    <t>(6"x8")  Supply Air Duct Work</t>
  </si>
  <si>
    <t>(10"x8")  Supply Air Duct Work</t>
  </si>
  <si>
    <t>(12"x10") to (6"x8") Duct Transition</t>
  </si>
  <si>
    <t>(12"x10") to (6"x6") Takeoff /T</t>
  </si>
  <si>
    <t>(12"x10") to (12"x10") Takeoff /T</t>
  </si>
  <si>
    <t>(12"x10") to (10"x8") Takeoff /T</t>
  </si>
  <si>
    <t>208V Or 240V Power Panel Board</t>
  </si>
  <si>
    <t>Duplex Receptacles 120V</t>
  </si>
  <si>
    <t>WP Ground Fault Interrupter With Weather Resistant Cover</t>
  </si>
  <si>
    <t>Enclosed Circuit Breaker</t>
  </si>
  <si>
    <t>Equipment Connection</t>
  </si>
  <si>
    <t>FAA</t>
  </si>
  <si>
    <t>Receptacle, Nema#</t>
  </si>
  <si>
    <t>Double Duplex Receptacle</t>
  </si>
  <si>
    <t>Multi Service Poke Thru</t>
  </si>
  <si>
    <t>SPD Surge Protective Device</t>
  </si>
  <si>
    <t>Connections</t>
  </si>
  <si>
    <t xml:space="preserve">Motor Switch </t>
  </si>
  <si>
    <t>PS Photo Sensor Control</t>
  </si>
  <si>
    <t xml:space="preserve">Surface Mounted Rectangular Luminar </t>
  </si>
  <si>
    <t xml:space="preserve">Wall Mounted Rectangular Luminar </t>
  </si>
  <si>
    <t xml:space="preserve">Three Way Switch </t>
  </si>
  <si>
    <t xml:space="preserve">Light Fixture </t>
  </si>
  <si>
    <t xml:space="preserve">Recessed Downlight Luminar </t>
  </si>
  <si>
    <t xml:space="preserve">Fire Service Header </t>
  </si>
  <si>
    <t>HVAC/ MECHANICAL</t>
  </si>
  <si>
    <t>TOTAL PLUMBING COST</t>
  </si>
  <si>
    <t>TOTAL HVAC/ MECHANICAL COST</t>
  </si>
  <si>
    <t>Plumbing Fixtures</t>
  </si>
  <si>
    <t>(36") Grab Bar</t>
  </si>
  <si>
    <t>(42") Grab Bar</t>
  </si>
  <si>
    <t>Lavatory @ Family Room</t>
  </si>
  <si>
    <t>Lavatory @ Toilet Room</t>
  </si>
  <si>
    <t>Sink @ Family Room</t>
  </si>
  <si>
    <t>Sink @ Women Washrooms</t>
  </si>
  <si>
    <t>Sink @ Kid Lays</t>
  </si>
  <si>
    <t>Lavatory @ Boys Washroom</t>
  </si>
  <si>
    <t>Lavatory @ Girls Washroom</t>
  </si>
  <si>
    <t>Urinal @ Boys</t>
  </si>
  <si>
    <t>LOC</t>
  </si>
  <si>
    <t>Remove Asphalt Pavement</t>
  </si>
  <si>
    <t>Remove Concrete Pavement</t>
  </si>
  <si>
    <t>Remove Office Store Rentals Building</t>
  </si>
  <si>
    <t>Remove Ticket Sales Building</t>
  </si>
  <si>
    <t>Remove Paver</t>
  </si>
  <si>
    <t>Remove Stair</t>
  </si>
  <si>
    <t>Remove Wall</t>
  </si>
  <si>
    <t>Abandon Utility Line</t>
  </si>
  <si>
    <t>(3") Water Main Remove</t>
  </si>
  <si>
    <t>(6") Fire Service Remove</t>
  </si>
  <si>
    <t>(8") Water Main Remove</t>
  </si>
  <si>
    <t>(2.5") Drain Water System Remove</t>
  </si>
  <si>
    <t>Remove Sanitary Side Sewer</t>
  </si>
  <si>
    <t>Remove Trench Drain</t>
  </si>
  <si>
    <t>Utility</t>
  </si>
  <si>
    <t>Remove SDMH</t>
  </si>
  <si>
    <t>Remove Water Vault</t>
  </si>
  <si>
    <t>Remove Post Indicator Valve</t>
  </si>
  <si>
    <t>Remove Catch Basin</t>
  </si>
  <si>
    <t>Remove Fire Hydrant</t>
  </si>
  <si>
    <t>Utility Cap</t>
  </si>
  <si>
    <t>Caped Strom Drain</t>
  </si>
  <si>
    <t>Caped Fire Service</t>
  </si>
  <si>
    <t>Connection Water System</t>
  </si>
  <si>
    <t>Stabilized Construction Entrance</t>
  </si>
  <si>
    <t>Silt Fence</t>
  </si>
  <si>
    <t>Interceptor Swale</t>
  </si>
  <si>
    <t>Interceptor Dike</t>
  </si>
  <si>
    <t>Trench Drain Protection</t>
  </si>
  <si>
    <t>Pump Discharge Line</t>
  </si>
  <si>
    <t>Gravity Discharge Line</t>
  </si>
  <si>
    <t>(12") Strom Drain</t>
  </si>
  <si>
    <t>Check Dam</t>
  </si>
  <si>
    <t>Catch Basin Protection</t>
  </si>
  <si>
    <t>Temporary SUMP w/ Pump</t>
  </si>
  <si>
    <t>Strom Water Manhole</t>
  </si>
  <si>
    <t>Strom Water Sampling Point</t>
  </si>
  <si>
    <t>Utility Relocation Plan</t>
  </si>
  <si>
    <t>(8") Domestic Water Service</t>
  </si>
  <si>
    <t>(48") Strom Drain</t>
  </si>
  <si>
    <t>Manhole</t>
  </si>
  <si>
    <t>(96" Dia) SDMH</t>
  </si>
  <si>
    <t>(72" Dia) SDMH</t>
  </si>
  <si>
    <t>Fire Hydrant</t>
  </si>
  <si>
    <t>(8"x6") Tee</t>
  </si>
  <si>
    <t>(8"x3") Tee</t>
  </si>
  <si>
    <t>(8") Tee</t>
  </si>
  <si>
    <t>Post Indicator Valve</t>
  </si>
  <si>
    <t>(3") Gate Valve</t>
  </si>
  <si>
    <t>(6") Gate Valve</t>
  </si>
  <si>
    <t>(8") Gate Valve</t>
  </si>
  <si>
    <t>Gate valve</t>
  </si>
  <si>
    <t>Gate Valve</t>
  </si>
  <si>
    <t>(90 D) Bend</t>
  </si>
  <si>
    <t>(45 D) Bend</t>
  </si>
  <si>
    <t>(2") water Meter &amp; Meter Box</t>
  </si>
  <si>
    <t>(8"x6") Reducer</t>
  </si>
  <si>
    <t>Reducer</t>
  </si>
  <si>
    <t>Coupling</t>
  </si>
  <si>
    <t>(22.5 D) Bend</t>
  </si>
  <si>
    <t>Wall Mounted FDC</t>
  </si>
  <si>
    <t>Demolition Plan</t>
  </si>
  <si>
    <t>Erosion &amp; Sediment Control</t>
  </si>
  <si>
    <t>TOTAL EARTHWORK COST</t>
  </si>
  <si>
    <t>EARTHWORK</t>
  </si>
  <si>
    <t xml:space="preserve">Earth Work  </t>
  </si>
  <si>
    <t>Trenching</t>
  </si>
  <si>
    <t>Bedding</t>
  </si>
  <si>
    <t>TOTAL WOOD, PLATSICS &amp; COMPOSITES COST</t>
  </si>
  <si>
    <t xml:space="preserve">Level 1 </t>
  </si>
  <si>
    <t>Level 2</t>
  </si>
  <si>
    <t>Level 3</t>
  </si>
  <si>
    <t>Electrical Power Plans</t>
  </si>
  <si>
    <t>Mechanical Power Plans</t>
  </si>
  <si>
    <t>Lighting Plans</t>
  </si>
  <si>
    <t>Fire Protection Plan</t>
  </si>
  <si>
    <t>C-3.0                            C-3.01    
  C-3.02</t>
  </si>
  <si>
    <t>Saw cut</t>
  </si>
  <si>
    <t>(6") Fire Service</t>
  </si>
  <si>
    <t>(8") Fire Service</t>
  </si>
  <si>
    <t>Water Crossing Sanitary Sewer</t>
  </si>
  <si>
    <t>Counter Top @ Men's Washroom</t>
  </si>
  <si>
    <t>Counter Top @ Women's Washroom</t>
  </si>
  <si>
    <t>Vanity Cabinet @ Men's Washroom</t>
  </si>
  <si>
    <t>Vanity Cabinet @ Women's Washroom</t>
  </si>
  <si>
    <t>Lavatory @ Men's Washroom</t>
  </si>
  <si>
    <t>Lavatory @ Women's Washroom</t>
  </si>
  <si>
    <t>Mirror @ Men's Washroom</t>
  </si>
  <si>
    <t>Mirror @ Women's Washroom</t>
  </si>
  <si>
    <t>Sink @ Men's Washroom</t>
  </si>
  <si>
    <t>Soap Dispenser @ Men's Washroom</t>
  </si>
  <si>
    <t>Soap Dispenser @ Women's Washroom</t>
  </si>
  <si>
    <t>Tissue Dispenser @ Women's Washroom</t>
  </si>
  <si>
    <t>Tissue Dispenser @ Men's Washroom</t>
  </si>
  <si>
    <t>Urinal @ Men's Washroom</t>
  </si>
  <si>
    <t>Sink @ Women's Washroom</t>
  </si>
  <si>
    <t>Equipment's &amp; Units</t>
  </si>
  <si>
    <t>Controlled Duplex Receptacles</t>
  </si>
  <si>
    <t>Controlled Double Duplex Receptacles</t>
  </si>
  <si>
    <t xml:space="preserve">Fused Safety Switch </t>
  </si>
  <si>
    <t>C1.00
C2.00
C2.02
C3.00
C3.01
C3.02</t>
  </si>
  <si>
    <t>M1
M1.01
M1.02
M1.03
M1.04
M2.01
M2.02
M2.03
M2.07</t>
  </si>
  <si>
    <t>P0.00
P1.01
P1.02
P2.01
P2.02
P2.03
P7.0</t>
  </si>
  <si>
    <t>S2.01
S2.02</t>
  </si>
  <si>
    <t>S2.01
S2.02
S2.03</t>
  </si>
  <si>
    <t>S2.02
S2.03
S2.04</t>
  </si>
  <si>
    <t>A2.01
A2.02
A2.03</t>
  </si>
  <si>
    <t>A2.01
A2.02
A2.03
A3.00
A3.01
A3.02
A6.01
A6.02
A6.03</t>
  </si>
  <si>
    <t>A7.00</t>
  </si>
  <si>
    <t>E2.01 
E2.02 
E2.03
E3.01
E3.02</t>
  </si>
  <si>
    <t>Sealants</t>
  </si>
  <si>
    <t xml:space="preserve">Paint @ Exposed Structure Ceiling </t>
  </si>
  <si>
    <t>Paint @ Gypsum Board Ceiling</t>
  </si>
  <si>
    <t>Paint @ Ceiling (Kitchen Area)</t>
  </si>
  <si>
    <t>Paint @ Exposed Structural T&amp;G Planking</t>
  </si>
  <si>
    <t>Wall Footings</t>
  </si>
  <si>
    <t>THERMAL &amp; MOISTIRE PROTECTION</t>
  </si>
  <si>
    <t>TOTAL THERMAL &amp; MOISTURE PROTECTION COST</t>
  </si>
  <si>
    <t>Roofing</t>
  </si>
  <si>
    <t>(1/2") T &amp; G Decking (S.S.D)</t>
  </si>
  <si>
    <t>(1/2") Plywood (S.S.D)</t>
  </si>
  <si>
    <t xml:space="preserve">9" Polyiso Rigid Insulation </t>
  </si>
  <si>
    <t>1/2" Roof Board</t>
  </si>
  <si>
    <t xml:space="preserve">Single Ply Membrane </t>
  </si>
  <si>
    <t>Sarnafil 80 MIL. PVC</t>
  </si>
  <si>
    <t>Flooring</t>
  </si>
  <si>
    <t>1/4" Acoustic Mat</t>
  </si>
  <si>
    <t>(6'-0" x 7'-0") Door w/ Frame &amp; Hardware</t>
  </si>
  <si>
    <t>(6'-6" x 7'-0") Door w/ Frame &amp; Hardware</t>
  </si>
  <si>
    <t>(3'-0" x 7'-0") Door w/ Frame &amp; Hardware</t>
  </si>
  <si>
    <t>(3'-9" x 7'-0") Elevator Door w/ Frame &amp; Hardware</t>
  </si>
  <si>
    <t>(3'-6" x 7'-0") Door w/ Frame &amp; Hardware</t>
  </si>
  <si>
    <t>(4'-0" x 7'-0") Door w/ Frame &amp; Hardware</t>
  </si>
  <si>
    <t xml:space="preserve">(3'-0" x 2'-0") Window w/ Frame </t>
  </si>
  <si>
    <t xml:space="preserve">(3'-0" x 3'-4") Window w/ Frame </t>
  </si>
  <si>
    <t xml:space="preserve">(3'-4" x 5'-0") Window w/ Frame </t>
  </si>
  <si>
    <t xml:space="preserve">(3'-6" x 2'-0") Window w/ Frame </t>
  </si>
  <si>
    <t xml:space="preserve">(4'-0" x 2'-0") Window w/ Frame </t>
  </si>
  <si>
    <t>(4'-0" x 3'-10") Window w/ Frame</t>
  </si>
  <si>
    <t>(4'-3" x 4'-0") Window w/ Frame</t>
  </si>
  <si>
    <t>(4'-6" x 2'-0") Window w/ Frame</t>
  </si>
  <si>
    <t>(4'-9" x 2'-0") Window w/ Frame</t>
  </si>
  <si>
    <t>(4'-9" x 5'-0") Window w/ Frame</t>
  </si>
  <si>
    <t>(5'-0" x 2'-0") Window w/ Frame</t>
  </si>
  <si>
    <t>(5'-0" x 3'-10") Window w/ Frame</t>
  </si>
  <si>
    <t>(5'-0" x 5'-0") Window w/ Frame</t>
  </si>
  <si>
    <t>(6'-0" x 2'-0") Window w/ Frame</t>
  </si>
  <si>
    <t>(6'-0" x 3'-10") Window w/ Frame</t>
  </si>
  <si>
    <t>(6'-2" x 3'-10") Window w/ Frame</t>
  </si>
  <si>
    <t>(6'-3" x 2'-0") Window w/ Frame</t>
  </si>
  <si>
    <t>(6'-3" x 5'-0") Window w/ Frame</t>
  </si>
  <si>
    <t>(6'-6" x 2'-0") Window w/ Frame</t>
  </si>
  <si>
    <t>(6'-6" x 3'-4") Window w/ Frame</t>
  </si>
  <si>
    <t>(6'-6" x 5'-0") Window w/ Frame</t>
  </si>
  <si>
    <t>(8'-0" x 2'-0") Window w/ Frame</t>
  </si>
  <si>
    <t>Elevator Shaft Wall</t>
  </si>
  <si>
    <t>Floor Finish @ Mechanical Room</t>
  </si>
  <si>
    <t>Floor Finish @ Electrical Switchgear</t>
  </si>
  <si>
    <t xml:space="preserve">Floor Finish @ Telecom </t>
  </si>
  <si>
    <t>Floor Finish @ Storage Room 1</t>
  </si>
  <si>
    <t>Floor Finish @ Trash/ Recycle</t>
  </si>
  <si>
    <t>Floor Finish @ Service Lobby</t>
  </si>
  <si>
    <t xml:space="preserve">Floor Finish @ Janitor Closet </t>
  </si>
  <si>
    <t xml:space="preserve">Floor Finish @ Elevator Control </t>
  </si>
  <si>
    <t>Floor Finish @ Lobby</t>
  </si>
  <si>
    <t>Floor Finish @ Storage Room 2</t>
  </si>
  <si>
    <t xml:space="preserve">Floor Finish @ Staircase Room#2 </t>
  </si>
  <si>
    <t>Floor Finish @ Toilet</t>
  </si>
  <si>
    <t>Floor Finish @ Office 1</t>
  </si>
  <si>
    <t>Floor Finish @ Office 2</t>
  </si>
  <si>
    <t>Floor Finish @ Kitchen</t>
  </si>
  <si>
    <t>Floor Finish @ Cafe &amp; Retail/Guest Services</t>
  </si>
  <si>
    <t>Floor Finish @ Staircase Room #1</t>
  </si>
  <si>
    <t xml:space="preserve">Floor Finish @ Vestibule </t>
  </si>
  <si>
    <t>Floor Finish @ Fitting Room 1</t>
  </si>
  <si>
    <t>Floor Finish @ Fitting Room 2</t>
  </si>
  <si>
    <t xml:space="preserve">Floor Finish @ Family Room </t>
  </si>
  <si>
    <t xml:space="preserve">Floor Finish @ Men Washroom </t>
  </si>
  <si>
    <t xml:space="preserve">Floor Finish @ Women Washroom </t>
  </si>
  <si>
    <t xml:space="preserve">Floor Finish @ SKI Storage </t>
  </si>
  <si>
    <t xml:space="preserve">Floor Finish @ SKI Apparel Rental </t>
  </si>
  <si>
    <t xml:space="preserve">Floor Finish @ Rental </t>
  </si>
  <si>
    <t>Floor Finish @ Rental Office</t>
  </si>
  <si>
    <t>Floor Finish @ Service Room</t>
  </si>
  <si>
    <t xml:space="preserve">Floor Finish @ Lobby </t>
  </si>
  <si>
    <t xml:space="preserve">Floor Finish @ Stair#2 </t>
  </si>
  <si>
    <t xml:space="preserve">Floor Finish @ SKI School </t>
  </si>
  <si>
    <t xml:space="preserve">Floor Finish @ Queue/Flex </t>
  </si>
  <si>
    <t>Floor Finish @ Vest Room</t>
  </si>
  <si>
    <t>Floor Finish @ Stair 1</t>
  </si>
  <si>
    <t xml:space="preserve">Floor Finish @ Boot Fitting </t>
  </si>
  <si>
    <t xml:space="preserve">Floor Finish @ Tunning </t>
  </si>
  <si>
    <t>Floor Finish @ Vest 2</t>
  </si>
  <si>
    <t>Floor Finish @ Vest 3</t>
  </si>
  <si>
    <t xml:space="preserve">Floor Finish @ Boys Washroom </t>
  </si>
  <si>
    <t>Floor Finish @ Kids Lavatories</t>
  </si>
  <si>
    <t xml:space="preserve">Floor Finish @ Girls Washroom </t>
  </si>
  <si>
    <t xml:space="preserve">Floor Finish @ Function Room </t>
  </si>
  <si>
    <t xml:space="preserve">Floor Finish @ Kitchen </t>
  </si>
  <si>
    <t xml:space="preserve">Floor Finish @ Hall </t>
  </si>
  <si>
    <t xml:space="preserve">Floor Finish @ PreFunction </t>
  </si>
  <si>
    <t xml:space="preserve">Floor Finish @ Stair 1 </t>
  </si>
  <si>
    <t>Floor Finish @ Lounge</t>
  </si>
  <si>
    <t>Exposed Structure Ceiling @ Mechanical Room</t>
  </si>
  <si>
    <t>Exposed Structure Ceiling @ Telecom</t>
  </si>
  <si>
    <t>Exposed Structure Ceiling @ Electrical Switchgear</t>
  </si>
  <si>
    <t>Exposed Structure Ceiling @ Storage 1</t>
  </si>
  <si>
    <t>Exposed Structure Ceiling @ Service Lobby</t>
  </si>
  <si>
    <t>Exposed Structure Ceiling @ Janitor Closet</t>
  </si>
  <si>
    <t>Exposed Structure Ceiling @ Elevator Control</t>
  </si>
  <si>
    <t>Exposed Structure Ceiling @ Storage 2</t>
  </si>
  <si>
    <t>Ceiling @ Kitchen 104</t>
  </si>
  <si>
    <t>Gypsum Board Ceiling @ Lobby</t>
  </si>
  <si>
    <t>Gypsum Board Ceiling @ Office 2</t>
  </si>
  <si>
    <t>Gypsum Board Ceiling @ Office 1</t>
  </si>
  <si>
    <t xml:space="preserve">Gypsum Board Ceiling @ Women Washroom </t>
  </si>
  <si>
    <t>Gypsum Board Ceiling @ Men's Washroom</t>
  </si>
  <si>
    <t>Gypsum Board Ceiling @ Family Room</t>
  </si>
  <si>
    <t>Gypsum Board Ceiling @ Fitting Room 2</t>
  </si>
  <si>
    <t>Gypsum Board Ceiling @ Fitting Room 1</t>
  </si>
  <si>
    <t>Gypsum Board Ceiling @ Retail/Guest Services</t>
  </si>
  <si>
    <t>Gypsum Board Ceiling @ SKI Storage</t>
  </si>
  <si>
    <t>Gypsum Board Ceiling @ SKI Apparel Rental</t>
  </si>
  <si>
    <t>Gypsum Board Ceiling @ Rental Office</t>
  </si>
  <si>
    <t>Gypsum Board Ceiling @ Rental</t>
  </si>
  <si>
    <t xml:space="preserve">Gypsum Board Ceiling @ Lobby </t>
  </si>
  <si>
    <t>Gypsum Board Ceiling @ Service</t>
  </si>
  <si>
    <t>Gypsum Board Ceiling @ Vestibule 1</t>
  </si>
  <si>
    <t>Gypsum Board Ceiling @ Quie/Flex</t>
  </si>
  <si>
    <t>Gypsum Board Ceiling @ Ski School</t>
  </si>
  <si>
    <t>Gypsum Board Ceiling @ Kids Lavatories</t>
  </si>
  <si>
    <t>Gypsum Board Ceiling @ Girls Washroom</t>
  </si>
  <si>
    <t>Gypsum Board Ceiling @ Boys Washroom</t>
  </si>
  <si>
    <t>Exposed Structural T&amp;G Planking @ Vestibule 2</t>
  </si>
  <si>
    <t>Exposed Structural T&amp;G Planking @ Vestibule 3</t>
  </si>
  <si>
    <t>Exposed Structural T&amp;G Planking @ Boot Fitting</t>
  </si>
  <si>
    <t>Exposed Structural T&amp;G Planking @ Tunning</t>
  </si>
  <si>
    <t>Exposed Structural T&amp;G Planking @ Rental</t>
  </si>
  <si>
    <t>Exposed Structural T&amp;G Planking @ Opening</t>
  </si>
  <si>
    <t>Exposed Structural T&amp;G Planking @ Cafe Terrace</t>
  </si>
  <si>
    <t>Gypsum Board Ceiling Assume @ Kitchen</t>
  </si>
  <si>
    <t>Gypsum Board Ceiling Assume @ Hall</t>
  </si>
  <si>
    <t>Gypsum Board Ceiling Assume @ Lobby</t>
  </si>
  <si>
    <t xml:space="preserve">Exposed Structural T&amp;G Planking @ Function </t>
  </si>
  <si>
    <t xml:space="preserve">Exposed Structural T&amp;G Planking @ Prefunction </t>
  </si>
  <si>
    <t>Exposed Structural T&amp;G Planking @ Staircase</t>
  </si>
  <si>
    <t xml:space="preserve">Gypsum Board Ceiling @ Snow Front </t>
  </si>
  <si>
    <t>Gypsum Board Ceiling @ Lounge</t>
  </si>
  <si>
    <t xml:space="preserve">Gypsum Board Ceiling @ Women's Washroom </t>
  </si>
  <si>
    <t>Exposed Structure Ceiling @ Shade Area</t>
  </si>
  <si>
    <t>Level 1</t>
  </si>
  <si>
    <t>(3'-10" x 8'-0") Elevator Door w/ Frame &amp; Hardware</t>
  </si>
  <si>
    <t>(5'-0" x 8'-0") Door w/ Frame &amp; Hardware</t>
  </si>
  <si>
    <t>(6'-6" x 8'-0") Door w/ Frame &amp; Hardware</t>
  </si>
  <si>
    <t>(3'-6" x 8'-0") Door w/ Frame &amp; Hardware</t>
  </si>
  <si>
    <t>(2'-9" x 8'-0") Door w/ Frame &amp; Hardware</t>
  </si>
  <si>
    <t>(6'-0" x 8'-0") Door w/ Frame &amp; Hardware</t>
  </si>
  <si>
    <t>Siding 4</t>
  </si>
  <si>
    <t>Siding 5</t>
  </si>
  <si>
    <t>Scaffolding</t>
  </si>
  <si>
    <t>TOTAL SPECIALITIES COST</t>
  </si>
  <si>
    <t>Moisture Resistant Gypsum Board</t>
  </si>
  <si>
    <t>Railing</t>
  </si>
  <si>
    <t>(8-3/4" x 21") Glulam Purlins @ (4'-0") O.C. @ High Roof</t>
  </si>
  <si>
    <t>3/4" Plywood Deck @ Low Roof</t>
  </si>
  <si>
    <t>Plywood/ Liner Panel</t>
  </si>
  <si>
    <t>Furring @ Retaining Wall</t>
  </si>
  <si>
    <t>Doors Hardware's</t>
  </si>
  <si>
    <t>Door Hardware Set</t>
  </si>
  <si>
    <t>(1'-0" x 8'-0") Window w/ Frame</t>
  </si>
  <si>
    <t>(1'-10" x 3'-4") Window w/ Frame</t>
  </si>
  <si>
    <t>(1'-6" x 8'-0") Window w/ Frame</t>
  </si>
  <si>
    <t>(1'-9" x 6'-0") Window w/ Frame</t>
  </si>
  <si>
    <t>(2'-0" x 8'-0") Window w/ Frame</t>
  </si>
  <si>
    <t>(2'-6" x 8'-0") Window w/ Frame</t>
  </si>
  <si>
    <t>(3'-3" x 8'-0") Window w/ Frame</t>
  </si>
  <si>
    <t>(3'-4" x 8'-0") Window w/ Frame</t>
  </si>
  <si>
    <t>(3'-5" x 8'-3") Window w/ Frame</t>
  </si>
  <si>
    <t>(3'-6" x 8'-0") Window w/ Frame</t>
  </si>
  <si>
    <t>(4'-0" x 14'-0") Window w/ Frame</t>
  </si>
  <si>
    <t>(4'-0" x 18'-6") Window w/ Frame</t>
  </si>
  <si>
    <t>(4'-0" x 5'-0") Window w/ Frame</t>
  </si>
  <si>
    <t>(4'-0" x 8'-0") Window w/ Frame</t>
  </si>
  <si>
    <t>(4'-10" x 8'-0") Window w/ Frame</t>
  </si>
  <si>
    <t>(4'-6" x 5'-0") Window w/ Frame</t>
  </si>
  <si>
    <t>(4'-6" x 8'-0") Window w/ Frame</t>
  </si>
  <si>
    <t>(4'-8" x 8'-0") Window w/ Frame</t>
  </si>
  <si>
    <t>(5'-0" x 8'-0") Window w/ Frame</t>
  </si>
  <si>
    <t>(5'-3" x 2'-0") Window w/ Frame</t>
  </si>
  <si>
    <t>(6'-0" x 8'-0") Window w/ Frame</t>
  </si>
  <si>
    <t>(6'-0" x 8'-2") Window w/ Frame</t>
  </si>
  <si>
    <t>(6'-6" x 8'-0") Window w/ Frame</t>
  </si>
  <si>
    <t>(7'-0" x 8'-0") Window w/ Frame</t>
  </si>
  <si>
    <t>(9'-0" x 2'-0") Window w/ Frame</t>
  </si>
  <si>
    <t>(2'-0" High) Silt Fence (299 LF)</t>
  </si>
  <si>
    <t>(2"x2"x14 GA) Wire Fabric, Or Equivalent</t>
  </si>
  <si>
    <t>(3/4"-1.5") Washed Gravel</t>
  </si>
  <si>
    <t>Gypsum Board Ceiling(Assume) @ Staircase</t>
  </si>
  <si>
    <t>Faucet</t>
  </si>
  <si>
    <t>(5") Thick Slab on Grade Reinf. w/ #4 @ 14" O.C. Bars Each Way
- Vapor Retarder
- Crushed Stone Base</t>
  </si>
  <si>
    <t>Elevator</t>
  </si>
  <si>
    <t>8" Slab on Grade Reinf. W/ #5 Bars @ 12" O.C. Each Way</t>
  </si>
  <si>
    <t xml:space="preserve">8" Concrete Elevator Wall </t>
  </si>
  <si>
    <t>Abandon SDMH</t>
  </si>
  <si>
    <r>
      <t xml:space="preserve">Portable Settling Tank </t>
    </r>
    <r>
      <rPr>
        <b/>
        <sz val="9"/>
        <color theme="1"/>
        <rFont val="Arial"/>
        <family val="2"/>
      </rPr>
      <t>(Capacity 61000 Gallons)</t>
    </r>
  </si>
  <si>
    <r>
      <t xml:space="preserve">(2"x4") Wood / Steel Post, Or Equivalent </t>
    </r>
    <r>
      <rPr>
        <b/>
        <sz val="9"/>
        <color theme="1"/>
        <rFont val="Arial"/>
        <family val="2"/>
      </rPr>
      <t>(153 EA)</t>
    </r>
  </si>
  <si>
    <r>
      <rPr>
        <b/>
        <sz val="9"/>
        <color theme="1"/>
        <rFont val="Arial"/>
        <family val="2"/>
      </rPr>
      <t xml:space="preserve">F4
</t>
    </r>
    <r>
      <rPr>
        <sz val="9"/>
        <color theme="1"/>
        <rFont val="Arial"/>
        <family val="2"/>
      </rPr>
      <t>(4'-0" x 4'-0" x 1'-0") Footing Reinf. w/ (4) #5 Bars Each Way Bottom</t>
    </r>
  </si>
  <si>
    <r>
      <rPr>
        <b/>
        <sz val="9"/>
        <color theme="1"/>
        <rFont val="Arial"/>
        <family val="2"/>
      </rPr>
      <t xml:space="preserve">F4.5
</t>
    </r>
    <r>
      <rPr>
        <sz val="9"/>
        <color theme="1"/>
        <rFont val="Arial"/>
        <family val="2"/>
      </rPr>
      <t>(4'-6" x 4'-6" x 1'-0") Footing Reinf. w/ (4) #5 Bars Each Way Bottom</t>
    </r>
  </si>
  <si>
    <r>
      <rPr>
        <b/>
        <sz val="9"/>
        <color theme="1"/>
        <rFont val="Arial"/>
        <family val="2"/>
      </rPr>
      <t xml:space="preserve">F5.5
</t>
    </r>
    <r>
      <rPr>
        <sz val="9"/>
        <color theme="1"/>
        <rFont val="Arial"/>
        <family val="2"/>
      </rPr>
      <t>(5'-6" x 5'-6" x 1'-2") Footing Reinf. w/ (6) #5 Bars Each Way Bottom</t>
    </r>
  </si>
  <si>
    <r>
      <rPr>
        <b/>
        <sz val="9"/>
        <color theme="1"/>
        <rFont val="Arial"/>
        <family val="2"/>
      </rPr>
      <t xml:space="preserve">F5.5a
</t>
    </r>
    <r>
      <rPr>
        <sz val="9"/>
        <color theme="1"/>
        <rFont val="Arial"/>
        <family val="2"/>
      </rPr>
      <t>(9'-0" x 5'-6" x 1'-2") Footing Reinf. w/ (6) #5 Bars Longitudinal Bottom &amp; (14) #5 Bars Transverse Bottom</t>
    </r>
  </si>
  <si>
    <r>
      <rPr>
        <b/>
        <sz val="9"/>
        <color theme="1"/>
        <rFont val="Arial"/>
        <family val="2"/>
      </rPr>
      <t xml:space="preserve">F8
</t>
    </r>
    <r>
      <rPr>
        <sz val="9"/>
        <color theme="1"/>
        <rFont val="Arial"/>
        <family val="2"/>
      </rPr>
      <t>(8'-0" x 8'-0" x 1'-9") Footing Reinf. w/ (12) #5 Bars Each Way Bottom</t>
    </r>
  </si>
  <si>
    <r>
      <t xml:space="preserve">FW2
</t>
    </r>
    <r>
      <rPr>
        <sz val="9"/>
        <color theme="1"/>
        <rFont val="Arial"/>
        <family val="2"/>
      </rPr>
      <t>(2'-0" x 1'-0") Continuous Footing Reinf. w/ (3) #5 Bars Longitudinal Bottom &amp; #5@ 12" O.C.Bars Transverse Bottom</t>
    </r>
  </si>
  <si>
    <r>
      <t xml:space="preserve">R1.0
</t>
    </r>
    <r>
      <rPr>
        <sz val="9"/>
        <color theme="1"/>
        <rFont val="Arial"/>
        <family val="2"/>
      </rPr>
      <t>Wall Footing Reinf. w/ #4 Bars &amp; #6 Bars</t>
    </r>
  </si>
  <si>
    <r>
      <t xml:space="preserve">R2.0
</t>
    </r>
    <r>
      <rPr>
        <sz val="9"/>
        <color theme="1"/>
        <rFont val="Arial"/>
        <family val="2"/>
      </rPr>
      <t>Wall Footing Reinf. w/ #4 Bars &amp; #6 Bars</t>
    </r>
  </si>
  <si>
    <r>
      <t xml:space="preserve">R3.0
</t>
    </r>
    <r>
      <rPr>
        <sz val="9"/>
        <color theme="1"/>
        <rFont val="Arial"/>
        <family val="2"/>
      </rPr>
      <t>Wall Footing Reinf. w/ #5 Bars &amp; #7 Bars</t>
    </r>
  </si>
  <si>
    <r>
      <t xml:space="preserve">R1.0
</t>
    </r>
    <r>
      <rPr>
        <sz val="9"/>
        <color theme="1"/>
        <rFont val="Arial"/>
        <family val="2"/>
      </rPr>
      <t>Cantilevered Retaining Wall</t>
    </r>
  </si>
  <si>
    <r>
      <t xml:space="preserve">R2.0
</t>
    </r>
    <r>
      <rPr>
        <sz val="9"/>
        <color theme="1"/>
        <rFont val="Arial"/>
        <family val="2"/>
      </rPr>
      <t>Cantilevered Retaining Wall</t>
    </r>
  </si>
  <si>
    <r>
      <t xml:space="preserve">R3.0
</t>
    </r>
    <r>
      <rPr>
        <sz val="9"/>
        <color theme="1"/>
        <rFont val="Arial"/>
        <family val="2"/>
      </rPr>
      <t>Cantilevered Retaining Wall</t>
    </r>
  </si>
  <si>
    <r>
      <rPr>
        <b/>
        <sz val="9"/>
        <color rgb="FFFF0000"/>
        <rFont val="Arial"/>
        <family val="2"/>
      </rPr>
      <t>Exterior Stair#3</t>
    </r>
    <r>
      <rPr>
        <b/>
        <sz val="9"/>
        <color theme="1"/>
        <rFont val="Arial"/>
        <family val="2"/>
      </rPr>
      <t xml:space="preserve">
</t>
    </r>
    <r>
      <rPr>
        <sz val="9"/>
        <color theme="1"/>
        <rFont val="Arial"/>
        <family val="2"/>
      </rPr>
      <t>Galvanized Steel Expanded Metal Grate Stair
- Risers (25 EA)
- Treads (24 EA)
- Landing (11 SF)</t>
    </r>
  </si>
  <si>
    <r>
      <rPr>
        <b/>
        <sz val="9"/>
        <color rgb="FFFF0000"/>
        <rFont val="Arial"/>
        <family val="2"/>
      </rPr>
      <t>Exterior Stair#4</t>
    </r>
    <r>
      <rPr>
        <b/>
        <sz val="9"/>
        <color theme="1"/>
        <rFont val="Arial"/>
        <family val="2"/>
      </rPr>
      <t xml:space="preserve">
</t>
    </r>
    <r>
      <rPr>
        <sz val="9"/>
        <color theme="1"/>
        <rFont val="Arial"/>
        <family val="2"/>
      </rPr>
      <t>Galvanized Steel Expanded Metal Grate Stair
- Risers (24 EA)
- Treads (23 EA)
- Landing (49 SF)</t>
    </r>
  </si>
  <si>
    <r>
      <rPr>
        <b/>
        <sz val="9"/>
        <color theme="1"/>
        <rFont val="Arial"/>
        <family val="2"/>
      </rPr>
      <t xml:space="preserve">18" TJI Joists 560 @ 16"O.C. (6262 LF)
</t>
    </r>
    <r>
      <rPr>
        <sz val="9"/>
        <color theme="1"/>
        <rFont val="Arial"/>
        <family val="2"/>
      </rPr>
      <t>- Joist (31 EA) Per (20 LF)
- Joist (177 EA) Per (22 LF)
- Joist (16 EA) Per (24 LF)
- Joist (4 EA) Per (18 LF)
- Joist (12 EA) Per (10 LF)
- Joist (2 EA) Per (4 LF)
- Joist (59 EA) Per (16 LF)
- Joist (5 EA) Per (14 LF)
- Joist (5 EA) Per (12 LF)
- Joist (10 EA) Per (8 LF)
- Joist (1 EA) Per (6 LF)
- Joist (2 EA) Per (2 LF)</t>
    </r>
  </si>
  <si>
    <r>
      <rPr>
        <b/>
        <sz val="9"/>
        <color theme="1"/>
        <rFont val="Arial"/>
        <family val="2"/>
      </rPr>
      <t xml:space="preserve">Low Canopy
- </t>
    </r>
    <r>
      <rPr>
        <sz val="9"/>
        <color theme="1"/>
        <rFont val="Arial"/>
        <family val="2"/>
      </rPr>
      <t xml:space="preserve">(8-3/4" x 21") Glulam Purlins @ (4'-0") O.C.
</t>
    </r>
    <r>
      <rPr>
        <b/>
        <sz val="9"/>
        <color theme="1"/>
        <rFont val="Arial"/>
        <family val="2"/>
      </rPr>
      <t xml:space="preserve">- </t>
    </r>
    <r>
      <rPr>
        <sz val="9"/>
        <color theme="1"/>
        <rFont val="Arial"/>
        <family val="2"/>
      </rPr>
      <t xml:space="preserve">Plywood </t>
    </r>
    <r>
      <rPr>
        <b/>
        <sz val="9"/>
        <color theme="1"/>
        <rFont val="Arial"/>
        <family val="2"/>
      </rPr>
      <t xml:space="preserve">(Assumed)
- </t>
    </r>
    <r>
      <rPr>
        <sz val="9"/>
        <color theme="1"/>
        <rFont val="Arial"/>
        <family val="2"/>
      </rPr>
      <t>Metal Sheet</t>
    </r>
  </si>
  <si>
    <r>
      <rPr>
        <b/>
        <sz val="9"/>
        <color theme="1"/>
        <rFont val="Arial"/>
        <family val="2"/>
      </rPr>
      <t xml:space="preserve">18" TJI Floor Joists 560 @ 16"O.C. (2568 LF)
</t>
    </r>
    <r>
      <rPr>
        <sz val="9"/>
        <color theme="1"/>
        <rFont val="Arial"/>
        <family val="2"/>
      </rPr>
      <t>- Joist (55 EA) Per (22 LF)
- Joist (19 EA) Per (20 LF)
- Joist (1 EA) Per (16 LF)
- Joist (1 EA) Per (14 LF)
- Joist (1 EA) Per (12 LF)
- Joist (1 EA) Per (10 LF)
- Joist (25 EA) Per (32 LF)
- Joist (1 EA) Per (30 LF)
- Joist (1 EA) Per (28 LF)
- Joist (1 EA) Per (26 LF)
- Joist (1 EA) Per (24 LF)
- Joist (1 EA) Per (18 LF)</t>
    </r>
  </si>
  <si>
    <r>
      <rPr>
        <b/>
        <sz val="9"/>
        <color theme="1"/>
        <rFont val="Arial"/>
        <family val="2"/>
      </rPr>
      <t xml:space="preserve">18" TJI Roof Joists 560 @ 16"O.C. (1324 LF) @ Low Roof
</t>
    </r>
    <r>
      <rPr>
        <sz val="9"/>
        <color theme="1"/>
        <rFont val="Arial"/>
        <family val="2"/>
      </rPr>
      <t>- Joist (10 EA) Per (6 LF)
- Joist (4 EA) Per (4 LF)
- Joist (5 EA) Per (8 LF)
- Joist (22 EA) Per (12 LF)
- Joist (5 EA) Per (14 LF)
- Joist (27 EA) Per (22 LF)
- Joist (28 EA) Per (10 LF)</t>
    </r>
  </si>
  <si>
    <r>
      <rPr>
        <b/>
        <sz val="9"/>
        <color theme="1"/>
        <rFont val="Arial"/>
        <family val="2"/>
      </rPr>
      <t xml:space="preserve">18" TJI Roof Joists 560 w/ Web Stiffeners @ 12"O.C. (1198 LF) @ Low Roof
</t>
    </r>
    <r>
      <rPr>
        <sz val="9"/>
        <color theme="1"/>
        <rFont val="Arial"/>
        <family val="2"/>
      </rPr>
      <t>- Joist (3 EA) Per (34 LF)
- Joist (2 EA) Per (36 LF)
- Joist (1 EA) Per (26 LF)
- Joist (4 EA) Per (10 LF)
- Joist (15 EA) Per (20 LF)
- Joist (5 EA) Per (14 LF)
- Joist (8 EA) Per (8 LF)
- Joist (2 EA) Per (2 LF)
- Joist (3 EA) Per (32 LF)
- Joist (1 EA) Per (30 LF)
- Joist (4 EA) Per (12 LF)
- Joist (10 EA) Per (22 LF)
- Joist (3 EA) Per (16 LF)
- Joist (4 EA) Per (18 LF)</t>
    </r>
  </si>
  <si>
    <r>
      <rPr>
        <b/>
        <sz val="9"/>
        <color theme="1"/>
        <rFont val="Arial"/>
        <family val="2"/>
      </rPr>
      <t>Interior Stairs#1</t>
    </r>
    <r>
      <rPr>
        <sz val="9"/>
        <color theme="1"/>
        <rFont val="Arial"/>
        <family val="2"/>
      </rPr>
      <t xml:space="preserve">
- Risers (23 EA) 
- Treads (22 EA)
- Landing (79 SF)</t>
    </r>
  </si>
  <si>
    <r>
      <rPr>
        <b/>
        <sz val="9"/>
        <color theme="1"/>
        <rFont val="Arial"/>
        <family val="2"/>
      </rPr>
      <t>Interior Stairs#2</t>
    </r>
    <r>
      <rPr>
        <sz val="9"/>
        <color theme="1"/>
        <rFont val="Arial"/>
        <family val="2"/>
      </rPr>
      <t xml:space="preserve">
- Risers (22 EA) 
- Treads (21 EA)
- Landing (36 SF)</t>
    </r>
  </si>
  <si>
    <r>
      <rPr>
        <b/>
        <sz val="9"/>
        <color theme="1"/>
        <rFont val="Arial"/>
        <family val="2"/>
      </rPr>
      <t>Interior Stairs#2</t>
    </r>
    <r>
      <rPr>
        <sz val="9"/>
        <color theme="1"/>
        <rFont val="Arial"/>
        <family val="2"/>
      </rPr>
      <t xml:space="preserve">
- Risers (21 EA) 
- Treads (20 EA)
- Landing (36 SF)</t>
    </r>
  </si>
  <si>
    <r>
      <rPr>
        <b/>
        <sz val="9"/>
        <color theme="1"/>
        <rFont val="Arial"/>
        <family val="2"/>
      </rPr>
      <t>Interior Stairs#1</t>
    </r>
    <r>
      <rPr>
        <sz val="9"/>
        <color theme="1"/>
        <rFont val="Arial"/>
        <family val="2"/>
      </rPr>
      <t xml:space="preserve">
- Risers (22 EA) 
- Treads (21 EA)
- Landing (79 SF)</t>
    </r>
  </si>
  <si>
    <r>
      <t xml:space="preserve">Toilet Partitions @ Women's Washroom w/ 6 Doors </t>
    </r>
    <r>
      <rPr>
        <b/>
        <sz val="9"/>
        <color theme="1"/>
        <rFont val="Arial"/>
        <family val="2"/>
      </rPr>
      <t>(H=6'-0") Assumed</t>
    </r>
  </si>
  <si>
    <r>
      <t xml:space="preserve">Toilet Partitions @ Men's Washroom w/ 3 Doors </t>
    </r>
    <r>
      <rPr>
        <b/>
        <sz val="9"/>
        <color theme="1"/>
        <rFont val="Arial"/>
        <family val="2"/>
      </rPr>
      <t>(H=6'-0") Assumed</t>
    </r>
  </si>
  <si>
    <r>
      <t xml:space="preserve">Toilet Partitions @ Girls Washroom w/ 4 Doors </t>
    </r>
    <r>
      <rPr>
        <b/>
        <sz val="9"/>
        <color theme="1"/>
        <rFont val="Arial"/>
        <family val="2"/>
      </rPr>
      <t>(H=6'-0") Assumed</t>
    </r>
  </si>
  <si>
    <r>
      <t xml:space="preserve">Toilet Partitions @ Boys Washroom w/ 2 Doors </t>
    </r>
    <r>
      <rPr>
        <b/>
        <sz val="9"/>
        <color theme="1"/>
        <rFont val="Arial"/>
        <family val="2"/>
      </rPr>
      <t>(H=6'-0") Assumed</t>
    </r>
  </si>
  <si>
    <r>
      <t xml:space="preserve">Toilet Partitions @ Men Washroom w/ 2 Doors </t>
    </r>
    <r>
      <rPr>
        <b/>
        <sz val="9"/>
        <color theme="1"/>
        <rFont val="Arial"/>
        <family val="2"/>
      </rPr>
      <t>(H=6'-0") Assumed</t>
    </r>
  </si>
  <si>
    <r>
      <t xml:space="preserve">Toilet Partitions @ Women Washroom w/ 3 Doors </t>
    </r>
    <r>
      <rPr>
        <b/>
        <sz val="9"/>
        <color theme="1"/>
        <rFont val="Arial"/>
        <family val="2"/>
      </rPr>
      <t>(H=6'-0") Assumed</t>
    </r>
  </si>
  <si>
    <r>
      <t xml:space="preserve">Tile @ Toilet </t>
    </r>
    <r>
      <rPr>
        <b/>
        <sz val="9"/>
        <color theme="1"/>
        <rFont val="Arial"/>
        <family val="2"/>
      </rPr>
      <t>(6'-0" H) Assumed</t>
    </r>
  </si>
  <si>
    <r>
      <t>Tile @ Family Room</t>
    </r>
    <r>
      <rPr>
        <b/>
        <sz val="9"/>
        <color theme="1"/>
        <rFont val="Arial"/>
        <family val="2"/>
      </rPr>
      <t xml:space="preserve"> (6'-0" H) Assumed</t>
    </r>
  </si>
  <si>
    <r>
      <t xml:space="preserve">Tile @ Men's Washroom </t>
    </r>
    <r>
      <rPr>
        <b/>
        <sz val="9"/>
        <color theme="1"/>
        <rFont val="Arial"/>
        <family val="2"/>
      </rPr>
      <t>(6'-0" H) Assumed</t>
    </r>
  </si>
  <si>
    <r>
      <t xml:space="preserve">Tile @ Women Washroom </t>
    </r>
    <r>
      <rPr>
        <b/>
        <sz val="9"/>
        <color theme="1"/>
        <rFont val="Arial"/>
        <family val="2"/>
      </rPr>
      <t>(6'-0" H) Assumed</t>
    </r>
  </si>
  <si>
    <r>
      <t>Tile @ Kids Lavatory</t>
    </r>
    <r>
      <rPr>
        <b/>
        <sz val="9"/>
        <color theme="1"/>
        <rFont val="Arial"/>
        <family val="2"/>
      </rPr>
      <t xml:space="preserve"> (6'-0" H) Assumed</t>
    </r>
  </si>
  <si>
    <r>
      <t>Tile @ Girls Washroom</t>
    </r>
    <r>
      <rPr>
        <b/>
        <sz val="9"/>
        <color theme="1"/>
        <rFont val="Arial"/>
        <family val="2"/>
      </rPr>
      <t xml:space="preserve"> (6'-0" H) Assumed</t>
    </r>
  </si>
  <si>
    <r>
      <t>Tile @ Boys Washroom</t>
    </r>
    <r>
      <rPr>
        <b/>
        <sz val="9"/>
        <color theme="1"/>
        <rFont val="Arial"/>
        <family val="2"/>
      </rPr>
      <t xml:space="preserve"> (6'-0" H) Assumed</t>
    </r>
  </si>
  <si>
    <r>
      <t>Tile @ Women Washroom</t>
    </r>
    <r>
      <rPr>
        <b/>
        <sz val="9"/>
        <color theme="1"/>
        <rFont val="Arial"/>
        <family val="2"/>
      </rPr>
      <t xml:space="preserve"> (6'-0" H) Assumed</t>
    </r>
  </si>
  <si>
    <r>
      <rPr>
        <b/>
        <sz val="9"/>
        <color theme="1"/>
        <rFont val="Arial"/>
        <family val="2"/>
      </rPr>
      <t>RPBP</t>
    </r>
    <r>
      <rPr>
        <sz val="9"/>
        <color theme="1"/>
        <rFont val="Arial"/>
        <family val="2"/>
      </rPr>
      <t xml:space="preserve">
-(3") Reduced Pressure Backflow Preventer
</t>
    </r>
    <r>
      <rPr>
        <b/>
        <sz val="9"/>
        <color theme="1"/>
        <rFont val="Arial"/>
        <family val="2"/>
      </rPr>
      <t xml:space="preserve">Manf. </t>
    </r>
    <r>
      <rPr>
        <sz val="9"/>
        <color theme="1"/>
        <rFont val="Arial"/>
        <family val="2"/>
      </rPr>
      <t>WATTS</t>
    </r>
  </si>
  <si>
    <r>
      <rPr>
        <b/>
        <sz val="9"/>
        <color theme="1"/>
        <rFont val="Arial"/>
        <family val="2"/>
      </rPr>
      <t xml:space="preserve">WH
</t>
    </r>
    <r>
      <rPr>
        <sz val="9"/>
        <color theme="1"/>
        <rFont val="Arial"/>
        <family val="2"/>
      </rPr>
      <t>-Water Hammer Arrester</t>
    </r>
  </si>
  <si>
    <r>
      <rPr>
        <b/>
        <sz val="9"/>
        <color theme="1"/>
        <rFont val="Arial"/>
        <family val="2"/>
      </rPr>
      <t xml:space="preserve">ODU# </t>
    </r>
    <r>
      <rPr>
        <sz val="9"/>
        <color theme="1"/>
        <rFont val="Arial"/>
        <family val="2"/>
      </rPr>
      <t xml:space="preserve">1
Outdoor Condensing Unit
</t>
    </r>
    <r>
      <rPr>
        <b/>
        <sz val="9"/>
        <color theme="1"/>
        <rFont val="Arial"/>
        <family val="2"/>
      </rPr>
      <t xml:space="preserve">Manuf: </t>
    </r>
    <r>
      <rPr>
        <sz val="9"/>
        <color theme="1"/>
        <rFont val="Arial"/>
        <family val="2"/>
      </rPr>
      <t xml:space="preserve">LG
</t>
    </r>
    <r>
      <rPr>
        <b/>
        <sz val="9"/>
        <color theme="1"/>
        <rFont val="Arial"/>
        <family val="2"/>
      </rPr>
      <t>Model:</t>
    </r>
    <r>
      <rPr>
        <sz val="9"/>
        <color theme="1"/>
        <rFont val="Arial"/>
        <family val="2"/>
      </rPr>
      <t xml:space="preserve"> ARUM144BTE5</t>
    </r>
  </si>
  <si>
    <r>
      <rPr>
        <b/>
        <sz val="9"/>
        <color theme="1"/>
        <rFont val="Arial"/>
        <family val="2"/>
      </rPr>
      <t>ODU#</t>
    </r>
    <r>
      <rPr>
        <sz val="9"/>
        <color theme="1"/>
        <rFont val="Arial"/>
        <family val="2"/>
      </rPr>
      <t xml:space="preserve"> 2
Outdoor Condensing Unit
</t>
    </r>
    <r>
      <rPr>
        <b/>
        <sz val="9"/>
        <color theme="1"/>
        <rFont val="Arial"/>
        <family val="2"/>
      </rPr>
      <t xml:space="preserve">Manuf: </t>
    </r>
    <r>
      <rPr>
        <sz val="9"/>
        <color theme="1"/>
        <rFont val="Arial"/>
        <family val="2"/>
      </rPr>
      <t xml:space="preserve">LG
</t>
    </r>
    <r>
      <rPr>
        <b/>
        <sz val="9"/>
        <color theme="1"/>
        <rFont val="Arial"/>
        <family val="2"/>
      </rPr>
      <t>Model:</t>
    </r>
    <r>
      <rPr>
        <sz val="9"/>
        <color theme="1"/>
        <rFont val="Arial"/>
        <family val="2"/>
      </rPr>
      <t xml:space="preserve"> ARUM456BTE5</t>
    </r>
  </si>
  <si>
    <r>
      <rPr>
        <b/>
        <sz val="9"/>
        <color theme="1"/>
        <rFont val="Arial"/>
        <family val="2"/>
      </rPr>
      <t>ODU#</t>
    </r>
    <r>
      <rPr>
        <sz val="9"/>
        <color theme="1"/>
        <rFont val="Arial"/>
        <family val="2"/>
      </rPr>
      <t xml:space="preserve"> 3
Outdoor Condensing Unit
</t>
    </r>
    <r>
      <rPr>
        <b/>
        <sz val="9"/>
        <color theme="1"/>
        <rFont val="Arial"/>
        <family val="2"/>
      </rPr>
      <t xml:space="preserve">Manuf: </t>
    </r>
    <r>
      <rPr>
        <sz val="9"/>
        <color theme="1"/>
        <rFont val="Arial"/>
        <family val="2"/>
      </rPr>
      <t xml:space="preserve">LG
</t>
    </r>
    <r>
      <rPr>
        <b/>
        <sz val="9"/>
        <color theme="1"/>
        <rFont val="Arial"/>
        <family val="2"/>
      </rPr>
      <t>Model:</t>
    </r>
    <r>
      <rPr>
        <sz val="9"/>
        <color theme="1"/>
        <rFont val="Arial"/>
        <family val="2"/>
      </rPr>
      <t xml:space="preserve"> ARUM168BTE5</t>
    </r>
  </si>
  <si>
    <r>
      <rPr>
        <b/>
        <sz val="9"/>
        <color theme="1"/>
        <rFont val="Arial"/>
        <family val="2"/>
      </rPr>
      <t xml:space="preserve">FC# </t>
    </r>
    <r>
      <rPr>
        <sz val="9"/>
        <color theme="1"/>
        <rFont val="Arial"/>
        <family val="2"/>
      </rPr>
      <t xml:space="preserve">104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ARNU243M2A4</t>
    </r>
  </si>
  <si>
    <r>
      <rPr>
        <b/>
        <sz val="9"/>
        <color theme="1"/>
        <rFont val="Arial"/>
        <family val="2"/>
      </rPr>
      <t xml:space="preserve">FC# </t>
    </r>
    <r>
      <rPr>
        <sz val="9"/>
        <color theme="1"/>
        <rFont val="Arial"/>
        <family val="2"/>
      </rPr>
      <t xml:space="preserve">106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ARNU073M2A4</t>
    </r>
  </si>
  <si>
    <r>
      <rPr>
        <b/>
        <sz val="9"/>
        <color theme="1"/>
        <rFont val="Arial"/>
        <family val="2"/>
      </rPr>
      <t xml:space="preserve">FC# </t>
    </r>
    <r>
      <rPr>
        <sz val="9"/>
        <color theme="1"/>
        <rFont val="Arial"/>
        <family val="2"/>
      </rPr>
      <t xml:space="preserve">105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ARNU763M2A4</t>
    </r>
  </si>
  <si>
    <r>
      <rPr>
        <b/>
        <sz val="9"/>
        <color theme="1"/>
        <rFont val="Arial"/>
        <family val="2"/>
      </rPr>
      <t xml:space="preserve">FC# </t>
    </r>
    <r>
      <rPr>
        <sz val="9"/>
        <color theme="1"/>
        <rFont val="Arial"/>
        <family val="2"/>
      </rPr>
      <t xml:space="preserve">109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ARNU073M2A4</t>
    </r>
  </si>
  <si>
    <r>
      <rPr>
        <b/>
        <sz val="9"/>
        <color theme="1"/>
        <rFont val="Arial"/>
        <family val="2"/>
      </rPr>
      <t xml:space="preserve">FC# </t>
    </r>
    <r>
      <rPr>
        <sz val="9"/>
        <color theme="1"/>
        <rFont val="Arial"/>
        <family val="2"/>
      </rPr>
      <t xml:space="preserve">110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ARNU153M2A4</t>
    </r>
  </si>
  <si>
    <r>
      <rPr>
        <b/>
        <sz val="9"/>
        <color theme="1"/>
        <rFont val="Arial"/>
        <family val="2"/>
      </rPr>
      <t xml:space="preserve">FC# </t>
    </r>
    <r>
      <rPr>
        <sz val="9"/>
        <color theme="1"/>
        <rFont val="Arial"/>
        <family val="2"/>
      </rPr>
      <t xml:space="preserve">107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ARNU363M2A5</t>
    </r>
    <r>
      <rPr>
        <sz val="11"/>
        <color theme="1"/>
        <rFont val="Calibri"/>
        <family val="2"/>
        <scheme val="minor"/>
      </rPr>
      <t/>
    </r>
  </si>
  <si>
    <r>
      <rPr>
        <b/>
        <sz val="9"/>
        <color theme="1"/>
        <rFont val="Arial"/>
        <family val="2"/>
      </rPr>
      <t xml:space="preserve">FC# </t>
    </r>
    <r>
      <rPr>
        <sz val="9"/>
        <color theme="1"/>
        <rFont val="Arial"/>
        <family val="2"/>
      </rPr>
      <t xml:space="preserve">108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ARNU073M2A4</t>
    </r>
  </si>
  <si>
    <r>
      <rPr>
        <b/>
        <sz val="9"/>
        <color theme="1"/>
        <rFont val="Arial"/>
        <family val="2"/>
      </rPr>
      <t xml:space="preserve">HC# </t>
    </r>
    <r>
      <rPr>
        <sz val="9"/>
        <color theme="1"/>
        <rFont val="Arial"/>
        <family val="2"/>
      </rPr>
      <t xml:space="preserve">104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CP01-07.50-030.00</t>
    </r>
  </si>
  <si>
    <r>
      <rPr>
        <b/>
        <sz val="9"/>
        <color theme="1"/>
        <rFont val="Arial"/>
        <family val="2"/>
      </rPr>
      <t xml:space="preserve">HC# </t>
    </r>
    <r>
      <rPr>
        <sz val="9"/>
        <color theme="1"/>
        <rFont val="Arial"/>
        <family val="2"/>
      </rPr>
      <t xml:space="preserve">105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CP01-07.50-030.00</t>
    </r>
  </si>
  <si>
    <r>
      <rPr>
        <b/>
        <sz val="9"/>
        <color theme="1"/>
        <rFont val="Arial"/>
        <family val="2"/>
      </rPr>
      <t xml:space="preserve">HC# </t>
    </r>
    <r>
      <rPr>
        <sz val="9"/>
        <color theme="1"/>
        <rFont val="Arial"/>
        <family val="2"/>
      </rPr>
      <t xml:space="preserve">106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CP02-06.25-018.00</t>
    </r>
  </si>
  <si>
    <r>
      <rPr>
        <b/>
        <sz val="9"/>
        <color theme="1"/>
        <rFont val="Arial"/>
        <family val="2"/>
      </rPr>
      <t xml:space="preserve">HC# </t>
    </r>
    <r>
      <rPr>
        <sz val="9"/>
        <color theme="1"/>
        <rFont val="Arial"/>
        <family val="2"/>
      </rPr>
      <t xml:space="preserve">107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CP01-10.00-022.00</t>
    </r>
  </si>
  <si>
    <r>
      <rPr>
        <b/>
        <sz val="9"/>
        <color theme="1"/>
        <rFont val="Arial"/>
        <family val="2"/>
      </rPr>
      <t xml:space="preserve">HC# </t>
    </r>
    <r>
      <rPr>
        <sz val="9"/>
        <color theme="1"/>
        <rFont val="Arial"/>
        <family val="2"/>
      </rPr>
      <t xml:space="preserve">108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CP02-06.25-016.00</t>
    </r>
  </si>
  <si>
    <r>
      <rPr>
        <b/>
        <sz val="9"/>
        <color theme="1"/>
        <rFont val="Arial"/>
        <family val="2"/>
      </rPr>
      <t xml:space="preserve">HC# </t>
    </r>
    <r>
      <rPr>
        <sz val="9"/>
        <color theme="1"/>
        <rFont val="Arial"/>
        <family val="2"/>
      </rPr>
      <t xml:space="preserve">109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CP02-06.25-016.01</t>
    </r>
    <r>
      <rPr>
        <sz val="11"/>
        <color theme="1"/>
        <rFont val="Calibri"/>
        <family val="2"/>
        <scheme val="minor"/>
      </rPr>
      <t/>
    </r>
  </si>
  <si>
    <r>
      <rPr>
        <b/>
        <sz val="9"/>
        <color theme="1"/>
        <rFont val="Arial"/>
        <family val="2"/>
      </rPr>
      <t xml:space="preserve">HC# </t>
    </r>
    <r>
      <rPr>
        <sz val="9"/>
        <color theme="1"/>
        <rFont val="Arial"/>
        <family val="2"/>
      </rPr>
      <t xml:space="preserve">110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CP01-07.50-030.00</t>
    </r>
  </si>
  <si>
    <r>
      <rPr>
        <b/>
        <sz val="9"/>
        <color theme="1"/>
        <rFont val="Arial"/>
        <family val="2"/>
      </rPr>
      <t xml:space="preserve">RH# </t>
    </r>
    <r>
      <rPr>
        <sz val="9"/>
        <color theme="1"/>
        <rFont val="Arial"/>
        <family val="2"/>
      </rPr>
      <t xml:space="preserve">101
Ceiling Radiant Heater
</t>
    </r>
    <r>
      <rPr>
        <b/>
        <sz val="9"/>
        <color theme="1"/>
        <rFont val="Arial"/>
        <family val="2"/>
      </rPr>
      <t>Manuf:</t>
    </r>
    <r>
      <rPr>
        <sz val="9"/>
        <color theme="1"/>
        <rFont val="Arial"/>
        <family val="2"/>
      </rPr>
      <t xml:space="preserve"> Barcoil-Air</t>
    </r>
  </si>
  <si>
    <r>
      <rPr>
        <b/>
        <sz val="9"/>
        <color theme="1"/>
        <rFont val="Arial"/>
        <family val="2"/>
      </rPr>
      <t xml:space="preserve">RH# </t>
    </r>
    <r>
      <rPr>
        <sz val="9"/>
        <color theme="1"/>
        <rFont val="Arial"/>
        <family val="2"/>
      </rPr>
      <t xml:space="preserve">102
Ceiling Radiant Heater
</t>
    </r>
    <r>
      <rPr>
        <b/>
        <sz val="9"/>
        <color theme="1"/>
        <rFont val="Arial"/>
        <family val="2"/>
      </rPr>
      <t>Manuf:</t>
    </r>
    <r>
      <rPr>
        <sz val="9"/>
        <color theme="1"/>
        <rFont val="Arial"/>
        <family val="2"/>
      </rPr>
      <t xml:space="preserve"> Barcoil-Air</t>
    </r>
  </si>
  <si>
    <r>
      <rPr>
        <b/>
        <sz val="9"/>
        <color theme="1"/>
        <rFont val="Arial"/>
        <family val="2"/>
      </rPr>
      <t xml:space="preserve">RH# </t>
    </r>
    <r>
      <rPr>
        <sz val="9"/>
        <color theme="1"/>
        <rFont val="Arial"/>
        <family val="2"/>
      </rPr>
      <t xml:space="preserve">103
Ceiling Radiant Heater
</t>
    </r>
    <r>
      <rPr>
        <b/>
        <sz val="9"/>
        <color theme="1"/>
        <rFont val="Arial"/>
        <family val="2"/>
      </rPr>
      <t>Manuf:</t>
    </r>
    <r>
      <rPr>
        <sz val="9"/>
        <color theme="1"/>
        <rFont val="Arial"/>
        <family val="2"/>
      </rPr>
      <t xml:space="preserve"> Barcoil-Air</t>
    </r>
  </si>
  <si>
    <r>
      <rPr>
        <b/>
        <sz val="9"/>
        <color theme="1"/>
        <rFont val="Arial"/>
        <family val="2"/>
      </rPr>
      <t xml:space="preserve">RH# </t>
    </r>
    <r>
      <rPr>
        <sz val="9"/>
        <color theme="1"/>
        <rFont val="Arial"/>
        <family val="2"/>
      </rPr>
      <t xml:space="preserve">104
Ceiling Radiant Heater
</t>
    </r>
    <r>
      <rPr>
        <b/>
        <sz val="9"/>
        <color theme="1"/>
        <rFont val="Arial"/>
        <family val="2"/>
      </rPr>
      <t>Manuf:</t>
    </r>
    <r>
      <rPr>
        <sz val="9"/>
        <color theme="1"/>
        <rFont val="Arial"/>
        <family val="2"/>
      </rPr>
      <t xml:space="preserve"> Barcoil-Air</t>
    </r>
  </si>
  <si>
    <r>
      <rPr>
        <b/>
        <sz val="9"/>
        <color theme="1"/>
        <rFont val="Arial"/>
        <family val="2"/>
      </rPr>
      <t>FSD</t>
    </r>
    <r>
      <rPr>
        <sz val="9"/>
        <color theme="1"/>
        <rFont val="Arial"/>
        <family val="2"/>
      </rPr>
      <t xml:space="preserve">
HVAC &amp; Fir Damper
</t>
    </r>
    <r>
      <rPr>
        <b/>
        <sz val="9"/>
        <color theme="1"/>
        <rFont val="Arial"/>
        <family val="2"/>
      </rPr>
      <t>Manuf:</t>
    </r>
    <r>
      <rPr>
        <sz val="9"/>
        <color theme="1"/>
        <rFont val="Arial"/>
        <family val="2"/>
      </rPr>
      <t xml:space="preserve"> RUSKIN </t>
    </r>
  </si>
  <si>
    <r>
      <rPr>
        <b/>
        <sz val="9"/>
        <color theme="1"/>
        <rFont val="Arial"/>
        <family val="2"/>
      </rPr>
      <t>WH</t>
    </r>
    <r>
      <rPr>
        <sz val="9"/>
        <color theme="1"/>
        <rFont val="Arial"/>
        <family val="2"/>
      </rPr>
      <t xml:space="preserve">
Fuel Fired Water Heater
</t>
    </r>
    <r>
      <rPr>
        <b/>
        <sz val="9"/>
        <color theme="1"/>
        <rFont val="Arial"/>
        <family val="2"/>
      </rPr>
      <t>Manuf:</t>
    </r>
    <r>
      <rPr>
        <sz val="9"/>
        <color theme="1"/>
        <rFont val="Arial"/>
        <family val="2"/>
      </rPr>
      <t xml:space="preserve">  RHEEM</t>
    </r>
  </si>
  <si>
    <r>
      <t>Louvers
Manuf:</t>
    </r>
    <r>
      <rPr>
        <sz val="9"/>
        <color theme="1"/>
        <rFont val="Arial"/>
        <family val="2"/>
      </rPr>
      <t xml:space="preserve"> RUSKIN</t>
    </r>
    <r>
      <rPr>
        <b/>
        <sz val="9"/>
        <color theme="1"/>
        <rFont val="Arial"/>
        <family val="2"/>
      </rPr>
      <t xml:space="preserve">
Model: </t>
    </r>
    <r>
      <rPr>
        <sz val="9"/>
        <color theme="1"/>
        <rFont val="Arial"/>
        <family val="2"/>
      </rPr>
      <t>ELF520DD</t>
    </r>
  </si>
  <si>
    <r>
      <rPr>
        <b/>
        <sz val="9"/>
        <color theme="1"/>
        <rFont val="Arial"/>
        <family val="2"/>
      </rPr>
      <t>AS-</t>
    </r>
    <r>
      <rPr>
        <sz val="9"/>
        <color theme="1"/>
        <rFont val="Arial"/>
        <family val="2"/>
      </rPr>
      <t xml:space="preserve"> 1 
Air &amp; Dirt Separation Unit</t>
    </r>
  </si>
  <si>
    <r>
      <rPr>
        <b/>
        <sz val="9"/>
        <color theme="1"/>
        <rFont val="Arial"/>
        <family val="2"/>
      </rPr>
      <t>AS-</t>
    </r>
    <r>
      <rPr>
        <sz val="9"/>
        <color theme="1"/>
        <rFont val="Arial"/>
        <family val="2"/>
      </rPr>
      <t xml:space="preserve"> 2 
Air &amp; Dirt Separation Unit</t>
    </r>
  </si>
  <si>
    <r>
      <rPr>
        <b/>
        <sz val="9"/>
        <color theme="1"/>
        <rFont val="Arial"/>
        <family val="2"/>
      </rPr>
      <t>AS-</t>
    </r>
    <r>
      <rPr>
        <sz val="9"/>
        <color theme="1"/>
        <rFont val="Arial"/>
        <family val="2"/>
      </rPr>
      <t xml:space="preserve"> 3 
Air &amp; Dirt Separation Unit</t>
    </r>
  </si>
  <si>
    <r>
      <rPr>
        <b/>
        <sz val="9"/>
        <color theme="1"/>
        <rFont val="Arial"/>
        <family val="2"/>
      </rPr>
      <t>B</t>
    </r>
    <r>
      <rPr>
        <sz val="9"/>
        <color theme="1"/>
        <rFont val="Arial"/>
        <family val="2"/>
      </rPr>
      <t xml:space="preserve">-1 
Fuel Fired Hot Water Boiler Unit
</t>
    </r>
    <r>
      <rPr>
        <b/>
        <sz val="9"/>
        <color theme="1"/>
        <rFont val="Arial"/>
        <family val="2"/>
      </rPr>
      <t>Manuf:</t>
    </r>
    <r>
      <rPr>
        <sz val="9"/>
        <color theme="1"/>
        <rFont val="Arial"/>
        <family val="2"/>
      </rPr>
      <t xml:space="preserve"> BOSCH</t>
    </r>
  </si>
  <si>
    <r>
      <rPr>
        <b/>
        <sz val="9"/>
        <color theme="1"/>
        <rFont val="Arial"/>
        <family val="2"/>
      </rPr>
      <t>B</t>
    </r>
    <r>
      <rPr>
        <sz val="9"/>
        <color theme="1"/>
        <rFont val="Arial"/>
        <family val="2"/>
      </rPr>
      <t xml:space="preserve">-2
Fuel Fired Hot Water Boiler Unit
</t>
    </r>
    <r>
      <rPr>
        <b/>
        <sz val="9"/>
        <color theme="1"/>
        <rFont val="Arial"/>
        <family val="2"/>
      </rPr>
      <t>Manuf:</t>
    </r>
    <r>
      <rPr>
        <sz val="9"/>
        <color theme="1"/>
        <rFont val="Arial"/>
        <family val="2"/>
      </rPr>
      <t xml:space="preserve"> BOSCH</t>
    </r>
  </si>
  <si>
    <r>
      <rPr>
        <b/>
        <sz val="9"/>
        <color theme="1"/>
        <rFont val="Arial"/>
        <family val="2"/>
      </rPr>
      <t>HBR</t>
    </r>
    <r>
      <rPr>
        <sz val="9"/>
        <color theme="1"/>
        <rFont val="Arial"/>
        <family val="2"/>
      </rPr>
      <t xml:space="preserve">-101
Heat Recovery Unit
</t>
    </r>
    <r>
      <rPr>
        <b/>
        <sz val="9"/>
        <color theme="1"/>
        <rFont val="Arial"/>
        <family val="2"/>
      </rPr>
      <t>Manuf:</t>
    </r>
    <r>
      <rPr>
        <sz val="9"/>
        <color theme="1"/>
        <rFont val="Arial"/>
        <family val="2"/>
      </rPr>
      <t xml:space="preserve"> LG
</t>
    </r>
    <r>
      <rPr>
        <b/>
        <sz val="9"/>
        <color theme="1"/>
        <rFont val="Arial"/>
        <family val="2"/>
      </rPr>
      <t xml:space="preserve">Model: </t>
    </r>
    <r>
      <rPr>
        <sz val="9"/>
        <color theme="1"/>
        <rFont val="Arial"/>
        <family val="2"/>
      </rPr>
      <t>PRHR063A</t>
    </r>
  </si>
  <si>
    <r>
      <rPr>
        <b/>
        <sz val="9"/>
        <color theme="1"/>
        <rFont val="Arial"/>
        <family val="2"/>
      </rPr>
      <t>HBR</t>
    </r>
    <r>
      <rPr>
        <sz val="9"/>
        <color theme="1"/>
        <rFont val="Arial"/>
        <family val="2"/>
      </rPr>
      <t xml:space="preserve">-102
Heat Recovery Unit
</t>
    </r>
    <r>
      <rPr>
        <b/>
        <sz val="9"/>
        <color theme="1"/>
        <rFont val="Arial"/>
        <family val="2"/>
      </rPr>
      <t>Manuf:</t>
    </r>
    <r>
      <rPr>
        <sz val="9"/>
        <color theme="1"/>
        <rFont val="Arial"/>
        <family val="2"/>
      </rPr>
      <t xml:space="preserve"> LG
</t>
    </r>
    <r>
      <rPr>
        <b/>
        <sz val="9"/>
        <color theme="1"/>
        <rFont val="Arial"/>
        <family val="2"/>
      </rPr>
      <t xml:space="preserve">Model: </t>
    </r>
    <r>
      <rPr>
        <sz val="9"/>
        <color theme="1"/>
        <rFont val="Arial"/>
        <family val="2"/>
      </rPr>
      <t>PRHR043A</t>
    </r>
  </si>
  <si>
    <r>
      <rPr>
        <b/>
        <sz val="9"/>
        <color theme="1"/>
        <rFont val="Arial"/>
        <family val="2"/>
      </rPr>
      <t>P</t>
    </r>
    <r>
      <rPr>
        <sz val="9"/>
        <color theme="1"/>
        <rFont val="Arial"/>
        <family val="2"/>
      </rPr>
      <t>-1
HVAC Circulation Pump</t>
    </r>
  </si>
  <si>
    <r>
      <rPr>
        <b/>
        <sz val="9"/>
        <color theme="1"/>
        <rFont val="Arial"/>
        <family val="2"/>
      </rPr>
      <t>P</t>
    </r>
    <r>
      <rPr>
        <sz val="9"/>
        <color theme="1"/>
        <rFont val="Arial"/>
        <family val="2"/>
      </rPr>
      <t>-2
HVAC Circulation Pump</t>
    </r>
  </si>
  <si>
    <r>
      <rPr>
        <b/>
        <sz val="9"/>
        <color theme="1"/>
        <rFont val="Arial"/>
        <family val="2"/>
      </rPr>
      <t>P</t>
    </r>
    <r>
      <rPr>
        <sz val="9"/>
        <color theme="1"/>
        <rFont val="Arial"/>
        <family val="2"/>
      </rPr>
      <t>-3
HVAC Circulation Pump</t>
    </r>
  </si>
  <si>
    <r>
      <rPr>
        <b/>
        <sz val="9"/>
        <color theme="1"/>
        <rFont val="Arial"/>
        <family val="2"/>
      </rPr>
      <t>P</t>
    </r>
    <r>
      <rPr>
        <sz val="9"/>
        <color theme="1"/>
        <rFont val="Arial"/>
        <family val="2"/>
      </rPr>
      <t>-4
HVAC Circulation Pump</t>
    </r>
  </si>
  <si>
    <r>
      <rPr>
        <b/>
        <sz val="9"/>
        <color theme="1"/>
        <rFont val="Arial"/>
        <family val="2"/>
      </rPr>
      <t>P</t>
    </r>
    <r>
      <rPr>
        <sz val="9"/>
        <color theme="1"/>
        <rFont val="Arial"/>
        <family val="2"/>
      </rPr>
      <t>-5
HVAC Circulation Pump</t>
    </r>
  </si>
  <si>
    <r>
      <rPr>
        <b/>
        <sz val="9"/>
        <color theme="1"/>
        <rFont val="Arial"/>
        <family val="2"/>
      </rPr>
      <t xml:space="preserve">FC# </t>
    </r>
    <r>
      <rPr>
        <sz val="9"/>
        <color theme="1"/>
        <rFont val="Arial"/>
        <family val="2"/>
      </rPr>
      <t xml:space="preserve">102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ARNU763B8A4</t>
    </r>
  </si>
  <si>
    <r>
      <rPr>
        <b/>
        <sz val="9"/>
        <color theme="1"/>
        <rFont val="Arial"/>
        <family val="2"/>
      </rPr>
      <t xml:space="preserve">FC# </t>
    </r>
    <r>
      <rPr>
        <sz val="9"/>
        <color theme="1"/>
        <rFont val="Arial"/>
        <family val="2"/>
      </rPr>
      <t xml:space="preserve">103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ARNU423M2A4</t>
    </r>
  </si>
  <si>
    <r>
      <rPr>
        <b/>
        <sz val="9"/>
        <color theme="1"/>
        <rFont val="Arial"/>
        <family val="2"/>
      </rPr>
      <t>FC#</t>
    </r>
    <r>
      <rPr>
        <sz val="9"/>
        <color theme="1"/>
        <rFont val="Arial"/>
        <family val="2"/>
      </rPr>
      <t xml:space="preserve"> 202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ARNU483M3A4</t>
    </r>
  </si>
  <si>
    <r>
      <rPr>
        <b/>
        <sz val="9"/>
        <color theme="1"/>
        <rFont val="Arial"/>
        <family val="2"/>
      </rPr>
      <t>FC#</t>
    </r>
    <r>
      <rPr>
        <sz val="9"/>
        <color theme="1"/>
        <rFont val="Arial"/>
        <family val="2"/>
      </rPr>
      <t xml:space="preserve"> 203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ARNU763B8A4</t>
    </r>
  </si>
  <si>
    <r>
      <rPr>
        <b/>
        <sz val="9"/>
        <color theme="1"/>
        <rFont val="Arial"/>
        <family val="2"/>
      </rPr>
      <t>FC#</t>
    </r>
    <r>
      <rPr>
        <sz val="9"/>
        <color theme="1"/>
        <rFont val="Arial"/>
        <family val="2"/>
      </rPr>
      <t xml:space="preserve"> 204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ARNU073M2A4</t>
    </r>
  </si>
  <si>
    <r>
      <rPr>
        <b/>
        <sz val="9"/>
        <color theme="1"/>
        <rFont val="Arial"/>
        <family val="2"/>
      </rPr>
      <t>FC#</t>
    </r>
    <r>
      <rPr>
        <sz val="9"/>
        <color theme="1"/>
        <rFont val="Arial"/>
        <family val="2"/>
      </rPr>
      <t xml:space="preserve"> 205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ARNU423M2A4</t>
    </r>
  </si>
  <si>
    <r>
      <rPr>
        <b/>
        <sz val="9"/>
        <color theme="1"/>
        <rFont val="Arial"/>
        <family val="2"/>
      </rPr>
      <t>FC#</t>
    </r>
    <r>
      <rPr>
        <sz val="9"/>
        <color theme="1"/>
        <rFont val="Arial"/>
        <family val="2"/>
      </rPr>
      <t xml:space="preserve"> 206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ARNU483M3A4</t>
    </r>
  </si>
  <si>
    <r>
      <rPr>
        <b/>
        <sz val="9"/>
        <color theme="1"/>
        <rFont val="Arial"/>
        <family val="2"/>
      </rPr>
      <t>FC#</t>
    </r>
    <r>
      <rPr>
        <sz val="9"/>
        <color theme="1"/>
        <rFont val="Arial"/>
        <family val="2"/>
      </rPr>
      <t xml:space="preserve"> 207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ARNU543M3A4</t>
    </r>
  </si>
  <si>
    <r>
      <rPr>
        <b/>
        <sz val="9"/>
        <color theme="1"/>
        <rFont val="Arial"/>
        <family val="2"/>
      </rPr>
      <t>FC#</t>
    </r>
    <r>
      <rPr>
        <sz val="9"/>
        <color theme="1"/>
        <rFont val="Arial"/>
        <family val="2"/>
      </rPr>
      <t xml:space="preserve"> 208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ARNU073M2A4</t>
    </r>
  </si>
  <si>
    <r>
      <rPr>
        <b/>
        <sz val="9"/>
        <color theme="1"/>
        <rFont val="Arial"/>
        <family val="2"/>
      </rPr>
      <t>FC#</t>
    </r>
    <r>
      <rPr>
        <sz val="9"/>
        <color theme="1"/>
        <rFont val="Arial"/>
        <family val="2"/>
      </rPr>
      <t xml:space="preserve"> 209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ARNU153M2A4</t>
    </r>
  </si>
  <si>
    <r>
      <rPr>
        <b/>
        <sz val="9"/>
        <color theme="1"/>
        <rFont val="Arial"/>
        <family val="2"/>
      </rPr>
      <t>FC#</t>
    </r>
    <r>
      <rPr>
        <sz val="9"/>
        <color theme="1"/>
        <rFont val="Arial"/>
        <family val="2"/>
      </rPr>
      <t xml:space="preserve"> 210
VRF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ARNU763M2A4</t>
    </r>
  </si>
  <si>
    <r>
      <rPr>
        <b/>
        <sz val="9"/>
        <color theme="1"/>
        <rFont val="Arial"/>
        <family val="2"/>
      </rPr>
      <t xml:space="preserve">HC# </t>
    </r>
    <r>
      <rPr>
        <sz val="9"/>
        <color theme="1"/>
        <rFont val="Arial"/>
        <family val="2"/>
      </rPr>
      <t xml:space="preserve">102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CP01-10.00-049.00</t>
    </r>
  </si>
  <si>
    <r>
      <rPr>
        <b/>
        <sz val="9"/>
        <color theme="1"/>
        <rFont val="Arial"/>
        <family val="2"/>
      </rPr>
      <t xml:space="preserve">HC# </t>
    </r>
    <r>
      <rPr>
        <sz val="9"/>
        <color theme="1"/>
        <rFont val="Arial"/>
        <family val="2"/>
      </rPr>
      <t xml:space="preserve">103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CP01-10.00-038.00</t>
    </r>
  </si>
  <si>
    <r>
      <rPr>
        <b/>
        <sz val="9"/>
        <color theme="1"/>
        <rFont val="Arial"/>
        <family val="2"/>
      </rPr>
      <t>HC# 2</t>
    </r>
    <r>
      <rPr>
        <sz val="9"/>
        <color theme="1"/>
        <rFont val="Arial"/>
        <family val="2"/>
      </rPr>
      <t xml:space="preserve">02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CP01-10.00-032.00</t>
    </r>
  </si>
  <si>
    <r>
      <rPr>
        <b/>
        <sz val="9"/>
        <color theme="1"/>
        <rFont val="Arial"/>
        <family val="2"/>
      </rPr>
      <t>HC# 2</t>
    </r>
    <r>
      <rPr>
        <sz val="9"/>
        <color theme="1"/>
        <rFont val="Arial"/>
        <family val="2"/>
      </rPr>
      <t xml:space="preserve">03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CP01-10.00-032.00</t>
    </r>
  </si>
  <si>
    <r>
      <rPr>
        <b/>
        <sz val="9"/>
        <color theme="1"/>
        <rFont val="Arial"/>
        <family val="2"/>
      </rPr>
      <t>HC# 2</t>
    </r>
    <r>
      <rPr>
        <sz val="9"/>
        <color theme="1"/>
        <rFont val="Arial"/>
        <family val="2"/>
      </rPr>
      <t xml:space="preserve">04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CP01-07.50-012.00</t>
    </r>
  </si>
  <si>
    <r>
      <rPr>
        <b/>
        <sz val="9"/>
        <color theme="1"/>
        <rFont val="Arial"/>
        <family val="2"/>
      </rPr>
      <t>HC# 2</t>
    </r>
    <r>
      <rPr>
        <sz val="9"/>
        <color theme="1"/>
        <rFont val="Arial"/>
        <family val="2"/>
      </rPr>
      <t xml:space="preserve">05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CP01-10.00-030.00</t>
    </r>
  </si>
  <si>
    <r>
      <rPr>
        <b/>
        <sz val="9"/>
        <color theme="1"/>
        <rFont val="Arial"/>
        <family val="2"/>
      </rPr>
      <t>HC# 2</t>
    </r>
    <r>
      <rPr>
        <sz val="9"/>
        <color theme="1"/>
        <rFont val="Arial"/>
        <family val="2"/>
      </rPr>
      <t xml:space="preserve">06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CP01-10.00-030.00</t>
    </r>
  </si>
  <si>
    <r>
      <rPr>
        <b/>
        <sz val="9"/>
        <color theme="1"/>
        <rFont val="Arial"/>
        <family val="2"/>
      </rPr>
      <t>HC# 2</t>
    </r>
    <r>
      <rPr>
        <sz val="9"/>
        <color theme="1"/>
        <rFont val="Arial"/>
        <family val="2"/>
      </rPr>
      <t xml:space="preserve">07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CP01-10.00-030.00</t>
    </r>
  </si>
  <si>
    <r>
      <rPr>
        <b/>
        <sz val="9"/>
        <color theme="1"/>
        <rFont val="Arial"/>
        <family val="2"/>
      </rPr>
      <t>HC# 2</t>
    </r>
    <r>
      <rPr>
        <sz val="9"/>
        <color theme="1"/>
        <rFont val="Arial"/>
        <family val="2"/>
      </rPr>
      <t xml:space="preserve">08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CP01-10.00-034.00</t>
    </r>
  </si>
  <si>
    <r>
      <rPr>
        <b/>
        <sz val="9"/>
        <color theme="1"/>
        <rFont val="Arial"/>
        <family val="2"/>
      </rPr>
      <t>HC# 2</t>
    </r>
    <r>
      <rPr>
        <sz val="9"/>
        <color theme="1"/>
        <rFont val="Arial"/>
        <family val="2"/>
      </rPr>
      <t xml:space="preserve">09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CP01-06.25-018.00</t>
    </r>
  </si>
  <si>
    <r>
      <rPr>
        <b/>
        <sz val="9"/>
        <color theme="1"/>
        <rFont val="Arial"/>
        <family val="2"/>
      </rPr>
      <t>HC# 210</t>
    </r>
    <r>
      <rPr>
        <sz val="9"/>
        <color theme="1"/>
        <rFont val="Arial"/>
        <family val="2"/>
      </rPr>
      <t xml:space="preserve">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CP01-06.25-018.00</t>
    </r>
  </si>
  <si>
    <r>
      <rPr>
        <b/>
        <sz val="9"/>
        <color theme="1"/>
        <rFont val="Arial"/>
        <family val="2"/>
      </rPr>
      <t>HBR</t>
    </r>
    <r>
      <rPr>
        <sz val="9"/>
        <color theme="1"/>
        <rFont val="Arial"/>
        <family val="2"/>
      </rPr>
      <t xml:space="preserve">-201
Heat Recovery Unit
</t>
    </r>
    <r>
      <rPr>
        <b/>
        <sz val="9"/>
        <color theme="1"/>
        <rFont val="Arial"/>
        <family val="2"/>
      </rPr>
      <t>Manuf:</t>
    </r>
    <r>
      <rPr>
        <sz val="9"/>
        <color theme="1"/>
        <rFont val="Arial"/>
        <family val="2"/>
      </rPr>
      <t xml:space="preserve"> LG
</t>
    </r>
    <r>
      <rPr>
        <b/>
        <sz val="9"/>
        <color theme="1"/>
        <rFont val="Arial"/>
        <family val="2"/>
      </rPr>
      <t xml:space="preserve">Model: </t>
    </r>
    <r>
      <rPr>
        <sz val="9"/>
        <color theme="1"/>
        <rFont val="Arial"/>
        <family val="2"/>
      </rPr>
      <t>PRHR063A</t>
    </r>
  </si>
  <si>
    <r>
      <rPr>
        <b/>
        <sz val="9"/>
        <color theme="1"/>
        <rFont val="Arial"/>
        <family val="2"/>
      </rPr>
      <t>HBR</t>
    </r>
    <r>
      <rPr>
        <sz val="9"/>
        <color theme="1"/>
        <rFont val="Arial"/>
        <family val="2"/>
      </rPr>
      <t xml:space="preserve">-301
Heat Recovery Unit
</t>
    </r>
    <r>
      <rPr>
        <b/>
        <sz val="9"/>
        <color theme="1"/>
        <rFont val="Arial"/>
        <family val="2"/>
      </rPr>
      <t>Manuf:</t>
    </r>
    <r>
      <rPr>
        <sz val="9"/>
        <color theme="1"/>
        <rFont val="Arial"/>
        <family val="2"/>
      </rPr>
      <t xml:space="preserve"> LG
</t>
    </r>
    <r>
      <rPr>
        <b/>
        <sz val="9"/>
        <color theme="1"/>
        <rFont val="Arial"/>
        <family val="2"/>
      </rPr>
      <t xml:space="preserve">Model: </t>
    </r>
    <r>
      <rPr>
        <sz val="9"/>
        <color theme="1"/>
        <rFont val="Arial"/>
        <family val="2"/>
      </rPr>
      <t>PRHR063A</t>
    </r>
  </si>
  <si>
    <r>
      <rPr>
        <b/>
        <sz val="9"/>
        <color theme="1"/>
        <rFont val="Arial"/>
        <family val="2"/>
      </rPr>
      <t>HBR</t>
    </r>
    <r>
      <rPr>
        <sz val="9"/>
        <color theme="1"/>
        <rFont val="Arial"/>
        <family val="2"/>
      </rPr>
      <t xml:space="preserve">-302
Heat Recovery Unit
</t>
    </r>
    <r>
      <rPr>
        <b/>
        <sz val="9"/>
        <color theme="1"/>
        <rFont val="Arial"/>
        <family val="2"/>
      </rPr>
      <t>Manuf:</t>
    </r>
    <r>
      <rPr>
        <sz val="9"/>
        <color theme="1"/>
        <rFont val="Arial"/>
        <family val="2"/>
      </rPr>
      <t xml:space="preserve"> LG
</t>
    </r>
    <r>
      <rPr>
        <b/>
        <sz val="9"/>
        <color theme="1"/>
        <rFont val="Arial"/>
        <family val="2"/>
      </rPr>
      <t xml:space="preserve">Model: </t>
    </r>
    <r>
      <rPr>
        <sz val="9"/>
        <color theme="1"/>
        <rFont val="Arial"/>
        <family val="2"/>
      </rPr>
      <t>PRHR063A</t>
    </r>
  </si>
  <si>
    <r>
      <rPr>
        <b/>
        <sz val="9"/>
        <color theme="1"/>
        <rFont val="Arial"/>
        <family val="2"/>
      </rPr>
      <t>FC#</t>
    </r>
    <r>
      <rPr>
        <sz val="9"/>
        <color theme="1"/>
        <rFont val="Arial"/>
        <family val="2"/>
      </rPr>
      <t xml:space="preserve"> 301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ARNU763B8A4</t>
    </r>
  </si>
  <si>
    <r>
      <rPr>
        <b/>
        <sz val="9"/>
        <color theme="1"/>
        <rFont val="Arial"/>
        <family val="2"/>
      </rPr>
      <t>FC#</t>
    </r>
    <r>
      <rPr>
        <sz val="9"/>
        <color theme="1"/>
        <rFont val="Arial"/>
        <family val="2"/>
      </rPr>
      <t xml:space="preserve"> 302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ARNU283M2A4</t>
    </r>
  </si>
  <si>
    <r>
      <rPr>
        <b/>
        <sz val="9"/>
        <color theme="1"/>
        <rFont val="Arial"/>
        <family val="2"/>
      </rPr>
      <t>FC#</t>
    </r>
    <r>
      <rPr>
        <sz val="9"/>
        <color theme="1"/>
        <rFont val="Arial"/>
        <family val="2"/>
      </rPr>
      <t xml:space="preserve"> 303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ARNU423M2A4</t>
    </r>
  </si>
  <si>
    <r>
      <rPr>
        <b/>
        <sz val="9"/>
        <color theme="1"/>
        <rFont val="Arial"/>
        <family val="2"/>
      </rPr>
      <t>FC#</t>
    </r>
    <r>
      <rPr>
        <sz val="9"/>
        <color theme="1"/>
        <rFont val="Arial"/>
        <family val="2"/>
      </rPr>
      <t xml:space="preserve"> 304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ARNU073M2A4</t>
    </r>
  </si>
  <si>
    <r>
      <rPr>
        <b/>
        <sz val="9"/>
        <color theme="1"/>
        <rFont val="Arial"/>
        <family val="2"/>
      </rPr>
      <t>FC#</t>
    </r>
    <r>
      <rPr>
        <sz val="9"/>
        <color theme="1"/>
        <rFont val="Arial"/>
        <family val="2"/>
      </rPr>
      <t xml:space="preserve"> 305
VRV Fan Coil
</t>
    </r>
    <r>
      <rPr>
        <b/>
        <sz val="9"/>
        <color theme="1"/>
        <rFont val="Arial"/>
        <family val="2"/>
      </rPr>
      <t>Manuf:</t>
    </r>
    <r>
      <rPr>
        <sz val="9"/>
        <color theme="1"/>
        <rFont val="Arial"/>
        <family val="2"/>
      </rPr>
      <t xml:space="preserve"> LG
</t>
    </r>
    <r>
      <rPr>
        <b/>
        <sz val="9"/>
        <color theme="1"/>
        <rFont val="Arial"/>
        <family val="2"/>
      </rPr>
      <t>Model:</t>
    </r>
    <r>
      <rPr>
        <sz val="9"/>
        <color theme="1"/>
        <rFont val="Arial"/>
        <family val="2"/>
      </rPr>
      <t xml:space="preserve"> ARNU243M2A4</t>
    </r>
  </si>
  <si>
    <r>
      <rPr>
        <b/>
        <sz val="9"/>
        <color theme="1"/>
        <rFont val="Arial"/>
        <family val="2"/>
      </rPr>
      <t>HC# 301</t>
    </r>
    <r>
      <rPr>
        <sz val="9"/>
        <color theme="1"/>
        <rFont val="Arial"/>
        <family val="2"/>
      </rPr>
      <t xml:space="preserve">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CP01-10.00-032.00</t>
    </r>
  </si>
  <si>
    <r>
      <rPr>
        <b/>
        <sz val="9"/>
        <color theme="1"/>
        <rFont val="Arial"/>
        <family val="2"/>
      </rPr>
      <t>HC# 302</t>
    </r>
    <r>
      <rPr>
        <sz val="9"/>
        <color theme="1"/>
        <rFont val="Arial"/>
        <family val="2"/>
      </rPr>
      <t xml:space="preserve">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CP01-07.00-026.00</t>
    </r>
  </si>
  <si>
    <r>
      <rPr>
        <b/>
        <sz val="9"/>
        <color theme="1"/>
        <rFont val="Arial"/>
        <family val="2"/>
      </rPr>
      <t>HC# 303</t>
    </r>
    <r>
      <rPr>
        <sz val="9"/>
        <color theme="1"/>
        <rFont val="Arial"/>
        <family val="2"/>
      </rPr>
      <t xml:space="preserve">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CP01-10.00-030.00</t>
    </r>
  </si>
  <si>
    <r>
      <rPr>
        <b/>
        <sz val="9"/>
        <color theme="1"/>
        <rFont val="Arial"/>
        <family val="2"/>
      </rPr>
      <t>HC# 304</t>
    </r>
    <r>
      <rPr>
        <sz val="9"/>
        <color theme="1"/>
        <rFont val="Arial"/>
        <family val="2"/>
      </rPr>
      <t xml:space="preserve">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CP01-06.25-018.00</t>
    </r>
  </si>
  <si>
    <r>
      <rPr>
        <b/>
        <sz val="9"/>
        <color theme="1"/>
        <rFont val="Arial"/>
        <family val="2"/>
      </rPr>
      <t>HC# 305</t>
    </r>
    <r>
      <rPr>
        <sz val="9"/>
        <color theme="1"/>
        <rFont val="Arial"/>
        <family val="2"/>
      </rPr>
      <t xml:space="preserve">
Hot Water Heating Coil
</t>
    </r>
    <r>
      <rPr>
        <b/>
        <sz val="9"/>
        <color theme="1"/>
        <rFont val="Arial"/>
        <family val="2"/>
      </rPr>
      <t>Manuf:</t>
    </r>
    <r>
      <rPr>
        <sz val="9"/>
        <color theme="1"/>
        <rFont val="Arial"/>
        <family val="2"/>
      </rPr>
      <t xml:space="preserve"> AAON
</t>
    </r>
    <r>
      <rPr>
        <b/>
        <sz val="9"/>
        <color theme="1"/>
        <rFont val="Arial"/>
        <family val="2"/>
      </rPr>
      <t>Model:</t>
    </r>
    <r>
      <rPr>
        <sz val="9"/>
        <color theme="1"/>
        <rFont val="Arial"/>
        <family val="2"/>
      </rPr>
      <t xml:space="preserve"> CP01-07.50-030.00</t>
    </r>
  </si>
  <si>
    <r>
      <rPr>
        <b/>
        <sz val="9"/>
        <color theme="1"/>
        <rFont val="Arial"/>
        <family val="2"/>
      </rPr>
      <t>Connections</t>
    </r>
    <r>
      <rPr>
        <sz val="9"/>
        <color theme="1"/>
        <rFont val="Arial"/>
        <family val="2"/>
      </rPr>
      <t xml:space="preserve"> </t>
    </r>
  </si>
  <si>
    <r>
      <rPr>
        <b/>
        <sz val="9"/>
        <color theme="1"/>
        <rFont val="Arial"/>
        <family val="2"/>
      </rPr>
      <t xml:space="preserve">SPD
</t>
    </r>
    <r>
      <rPr>
        <sz val="9"/>
        <color theme="1"/>
        <rFont val="Arial"/>
        <family val="2"/>
      </rPr>
      <t>Surge Protective Device</t>
    </r>
  </si>
  <si>
    <r>
      <rPr>
        <b/>
        <sz val="9"/>
        <color theme="1"/>
        <rFont val="Arial"/>
        <family val="2"/>
      </rPr>
      <t xml:space="preserve">LCP
</t>
    </r>
    <r>
      <rPr>
        <sz val="9"/>
        <color theme="1"/>
        <rFont val="Arial"/>
        <family val="2"/>
      </rPr>
      <t>Lighting Controlled Panel</t>
    </r>
  </si>
  <si>
    <r>
      <rPr>
        <b/>
        <sz val="9"/>
        <color theme="1"/>
        <rFont val="Arial"/>
        <family val="2"/>
      </rPr>
      <t>FACP</t>
    </r>
    <r>
      <rPr>
        <sz val="9"/>
        <color theme="1"/>
        <rFont val="Arial"/>
        <family val="2"/>
      </rPr>
      <t xml:space="preserve"> 
Fire Alarm Controlled Panel</t>
    </r>
  </si>
  <si>
    <r>
      <rPr>
        <b/>
        <sz val="9"/>
        <color theme="1"/>
        <rFont val="Arial"/>
        <family val="2"/>
      </rPr>
      <t>MSB-1</t>
    </r>
    <r>
      <rPr>
        <sz val="9"/>
        <color theme="1"/>
        <rFont val="Arial"/>
        <family val="2"/>
      </rPr>
      <t xml:space="preserve"> 
Main Switch Board</t>
    </r>
  </si>
  <si>
    <r>
      <rPr>
        <b/>
        <sz val="9"/>
        <color theme="1"/>
        <rFont val="Arial"/>
        <family val="2"/>
      </rPr>
      <t>CS</t>
    </r>
    <r>
      <rPr>
        <sz val="9"/>
        <color theme="1"/>
        <rFont val="Arial"/>
        <family val="2"/>
      </rPr>
      <t xml:space="preserve"> 
Low Voltage Control Station</t>
    </r>
  </si>
  <si>
    <r>
      <rPr>
        <b/>
        <sz val="9"/>
        <color theme="1"/>
        <rFont val="Arial"/>
        <family val="2"/>
      </rPr>
      <t xml:space="preserve">OS
</t>
    </r>
    <r>
      <rPr>
        <sz val="9"/>
        <color theme="1"/>
        <rFont val="Arial"/>
        <family val="2"/>
      </rPr>
      <t xml:space="preserve">Occupancy Sensor Switch Ceiling Mounted </t>
    </r>
  </si>
  <si>
    <r>
      <rPr>
        <b/>
        <sz val="9"/>
        <color theme="1"/>
        <rFont val="Arial"/>
        <family val="2"/>
      </rPr>
      <t xml:space="preserve">PS
</t>
    </r>
    <r>
      <rPr>
        <sz val="9"/>
        <color theme="1"/>
        <rFont val="Arial"/>
        <family val="2"/>
      </rPr>
      <t>Photo Sensor Control</t>
    </r>
  </si>
  <si>
    <r>
      <rPr>
        <b/>
        <sz val="9"/>
        <color theme="1"/>
        <rFont val="Arial"/>
        <family val="2"/>
      </rPr>
      <t xml:space="preserve">CS
</t>
    </r>
    <r>
      <rPr>
        <sz val="9"/>
        <color theme="1"/>
        <rFont val="Arial"/>
        <family val="2"/>
      </rPr>
      <t>Low Voltage Control Station</t>
    </r>
  </si>
  <si>
    <r>
      <rPr>
        <b/>
        <sz val="9"/>
        <color theme="1"/>
        <rFont val="Arial"/>
        <family val="2"/>
      </rPr>
      <t xml:space="preserve">DCVA
</t>
    </r>
    <r>
      <rPr>
        <sz val="9"/>
        <color theme="1"/>
        <rFont val="Arial"/>
        <family val="2"/>
      </rPr>
      <t xml:space="preserve">Double Check Valve </t>
    </r>
  </si>
  <si>
    <r>
      <rPr>
        <b/>
        <sz val="9"/>
        <color theme="1"/>
        <rFont val="Arial"/>
        <family val="2"/>
      </rPr>
      <t>(12") Strom Drain</t>
    </r>
    <r>
      <rPr>
        <sz val="9"/>
        <color theme="1"/>
        <rFont val="Arial"/>
        <family val="2"/>
      </rPr>
      <t xml:space="preserve">
Gravel Back Fill</t>
    </r>
  </si>
  <si>
    <r>
      <rPr>
        <b/>
        <sz val="9"/>
        <color theme="1"/>
        <rFont val="Arial"/>
        <family val="2"/>
      </rPr>
      <t>(12") Strom Drain</t>
    </r>
    <r>
      <rPr>
        <sz val="9"/>
        <color theme="1"/>
        <rFont val="Arial"/>
        <family val="2"/>
      </rPr>
      <t xml:space="preserve">
Back Fill</t>
    </r>
  </si>
  <si>
    <r>
      <rPr>
        <b/>
        <sz val="9"/>
        <color theme="1"/>
        <rFont val="Arial"/>
        <family val="2"/>
      </rPr>
      <t>(8") Domestic Water Service</t>
    </r>
    <r>
      <rPr>
        <sz val="9"/>
        <color theme="1"/>
        <rFont val="Arial"/>
        <family val="2"/>
      </rPr>
      <t xml:space="preserve">
Gravel Back Fill</t>
    </r>
  </si>
  <si>
    <r>
      <rPr>
        <b/>
        <sz val="9"/>
        <color theme="1"/>
        <rFont val="Arial"/>
        <family val="2"/>
      </rPr>
      <t>(8") Domestic Water Service</t>
    </r>
    <r>
      <rPr>
        <sz val="9"/>
        <color theme="1"/>
        <rFont val="Arial"/>
        <family val="2"/>
      </rPr>
      <t xml:space="preserve">
Back Fill</t>
    </r>
  </si>
  <si>
    <r>
      <rPr>
        <b/>
        <sz val="9"/>
        <color theme="1"/>
        <rFont val="Arial"/>
        <family val="2"/>
      </rPr>
      <t>(6") Fire Service</t>
    </r>
    <r>
      <rPr>
        <sz val="9"/>
        <color theme="1"/>
        <rFont val="Arial"/>
        <family val="2"/>
      </rPr>
      <t xml:space="preserve">
Gravel Back Fill</t>
    </r>
  </si>
  <si>
    <r>
      <rPr>
        <b/>
        <sz val="9"/>
        <color theme="1"/>
        <rFont val="Arial"/>
        <family val="2"/>
      </rPr>
      <t>(6") Fire Service</t>
    </r>
    <r>
      <rPr>
        <sz val="9"/>
        <color theme="1"/>
        <rFont val="Arial"/>
        <family val="2"/>
      </rPr>
      <t xml:space="preserve">
Back Fill</t>
    </r>
  </si>
  <si>
    <r>
      <rPr>
        <b/>
        <sz val="9"/>
        <color theme="1"/>
        <rFont val="Arial"/>
        <family val="2"/>
      </rPr>
      <t>(8") Fire Service</t>
    </r>
    <r>
      <rPr>
        <sz val="9"/>
        <color theme="1"/>
        <rFont val="Arial"/>
        <family val="2"/>
      </rPr>
      <t xml:space="preserve">
Gravel Back Fill</t>
    </r>
  </si>
  <si>
    <r>
      <rPr>
        <b/>
        <sz val="9"/>
        <color theme="1"/>
        <rFont val="Arial"/>
        <family val="2"/>
      </rPr>
      <t>(8") Fire Service</t>
    </r>
    <r>
      <rPr>
        <sz val="9"/>
        <color theme="1"/>
        <rFont val="Arial"/>
        <family val="2"/>
      </rPr>
      <t xml:space="preserve">
Back Fill</t>
    </r>
  </si>
  <si>
    <r>
      <rPr>
        <b/>
        <sz val="9"/>
        <color theme="1"/>
        <rFont val="Arial"/>
        <family val="2"/>
      </rPr>
      <t>(48") Strom Drain</t>
    </r>
    <r>
      <rPr>
        <sz val="9"/>
        <color theme="1"/>
        <rFont val="Arial"/>
        <family val="2"/>
      </rPr>
      <t xml:space="preserve">
Gravel Back Fill</t>
    </r>
  </si>
  <si>
    <r>
      <rPr>
        <b/>
        <sz val="9"/>
        <color theme="1"/>
        <rFont val="Arial"/>
        <family val="2"/>
      </rPr>
      <t>(48") Strom Drain</t>
    </r>
    <r>
      <rPr>
        <sz val="9"/>
        <color theme="1"/>
        <rFont val="Arial"/>
        <family val="2"/>
      </rPr>
      <t xml:space="preserve">
Back Fill</t>
    </r>
  </si>
  <si>
    <t>Muhammad@mfbzone.com</t>
  </si>
  <si>
    <t>For Estimate- Please Email</t>
  </si>
  <si>
    <t>Our Services : Muhammad@mfbzone.com</t>
  </si>
  <si>
    <r>
      <t xml:space="preserve">Scheduling | Quantities Take-offs | Cost Estimation | </t>
    </r>
    <r>
      <rPr>
        <b/>
        <sz val="16"/>
        <color rgb="FF0000B3"/>
        <rFont val="Times New Roman"/>
        <family val="1"/>
      </rPr>
      <t xml:space="preserve">Websites Development </t>
    </r>
    <r>
      <rPr>
        <b/>
        <sz val="16"/>
        <color rgb="FFC00000"/>
        <rFont val="Times New Roman"/>
        <family val="1"/>
      </rPr>
      <t>| Data Entry</t>
    </r>
  </si>
  <si>
    <t>We supply a thorough materials list that you may use to place an order with the supplier or to work on the job site. We can provide you Counts, Thickness, Height, Width, Length, Depth, Area, Yards, Pounds, Sq.Ft, LF, and other pertinent information.</t>
  </si>
  <si>
    <t>Our Average Fees are like $100, $200, $300, $500 – depending on the size and scope of the work.</t>
  </si>
  <si>
    <t>With us, you can bid more construction projects without adding More full-time staff.</t>
  </si>
  <si>
    <t>For your Scope: I can provide you the Quantities and Measurements along with Standard Labor/materials Costs. </t>
  </si>
  <si>
    <t>Accurate Quantities &amp; Cost Estimates I can provide for:</t>
  </si>
  <si>
    <t xml:space="preserve"> Earthwork  –      [Grading, Trenching, Excavation, Backfill, etc.]  </t>
  </si>
  <si>
    <t>Concrete and Rebars  –      [Beams, Columns, Footings, Piles, etc.]</t>
  </si>
  <si>
    <t>Masonry  –      [Stone, Brick, CMU]</t>
  </si>
  <si>
    <t>Metals – [Ornamental, Structural, Miscellaneous]</t>
  </si>
  <si>
    <t>Framing – [Wood &amp; Metal) - Lumber Takeoffs]</t>
  </si>
  <si>
    <t>Wood and Plastic Composites – [Finish and Rough Carpentry, Woodwork.]</t>
  </si>
  <si>
    <t>Thermal &amp; Moisture Protection – [Exterior, Roof, Damp proofing and Waterproofing, Flashing and Sheet Metal.]</t>
  </si>
  <si>
    <t>Openings – [Doors, Windows, Storefronts, Louvers, Vents, Curtain Walls, Skylights]</t>
  </si>
  <si>
    <t>Finishes – [Drywall, Flooring, Paint, Tiles, Ceilings, Wall Panels]</t>
  </si>
  <si>
    <t>Specialties – [Interior and Exterior Specialties, Safety Specialties, Storage Specialties, Fireplaces.]</t>
  </si>
  <si>
    <t>Equipment and Furnishings </t>
  </si>
  <si>
    <t>MEP – [Mechanical, Electrical, Plumbing]</t>
  </si>
  <si>
    <t>So, if you can forward me the drawings, I can review and let you know my exact fee and turnaround time. Only after your approval I will proceed and There is no fee to review the plans.</t>
  </si>
  <si>
    <t>I am already working with companies like yours for:</t>
  </si>
  <si>
    <r>
      <t xml:space="preserve">Their estimating needs to bid more jobs </t>
    </r>
    <r>
      <rPr>
        <sz val="16"/>
        <color rgb="FF0000B3"/>
        <rFont val="Aptos"/>
      </rPr>
      <t xml:space="preserve">OR </t>
    </r>
  </si>
  <si>
    <t>They use us to Compare/Cross-Check their in-house Estimates.</t>
  </si>
  <si>
    <t>By Allowing us to work with you, you can utilize your time more effectively concentrating on the job in hand.</t>
  </si>
  <si>
    <t>You will Receive:</t>
  </si>
  <si>
    <t>• Editable Takeoff Sheet [with all the materials quantities].</t>
  </si>
  <si>
    <t>• Detailed Estimate [Material, Labor, Equipment etc.]</t>
  </si>
  <si>
    <t>• Color-Coded (Markups) Drawings so that you can see how and where we took the details.</t>
  </si>
  <si>
    <t>• Summary Sheets [if required]</t>
  </si>
  <si>
    <t>• Software File [Plan Swift].</t>
  </si>
  <si>
    <t>Why US: Muhammad@mfbzone.com</t>
  </si>
  <si>
    <t>Why us:</t>
  </si>
  <si>
    <r>
      <rPr>
        <sz val="16"/>
        <color rgb="FFFF0000"/>
        <rFont val="Aptos"/>
      </rPr>
      <t xml:space="preserve">1. Accuracy: </t>
    </r>
    <r>
      <rPr>
        <sz val="16"/>
        <color rgb="FF000000"/>
        <rFont val="Aptos"/>
      </rPr>
      <t>We will never send you the work without double-checking it.</t>
    </r>
  </si>
  <si>
    <r>
      <rPr>
        <sz val="16"/>
        <color rgb="FFFF0000"/>
        <rFont val="Aptos"/>
      </rPr>
      <t xml:space="preserve">2. Availability: </t>
    </r>
    <r>
      <rPr>
        <sz val="16"/>
        <color rgb="FF000000"/>
        <rFont val="Aptos"/>
      </rPr>
      <t>We are always available for any questions/clarifications via Email or Call/Zoom or Text – 24/7.</t>
    </r>
  </si>
  <si>
    <r>
      <rPr>
        <sz val="16"/>
        <color rgb="FFFF0000"/>
        <rFont val="Aptos"/>
      </rPr>
      <t xml:space="preserve">3. Attention: </t>
    </r>
    <r>
      <rPr>
        <sz val="16"/>
        <color rgb="FF000000"/>
        <rFont val="Aptos"/>
      </rPr>
      <t>You will have our undivided attention. You will have to explain just one time what you, when you need and how you need. We will make it happen.</t>
    </r>
  </si>
  <si>
    <r>
      <rPr>
        <sz val="16"/>
        <color rgb="FFFF0000"/>
        <rFont val="Aptos"/>
      </rPr>
      <t xml:space="preserve">4. Trust Development: </t>
    </r>
    <r>
      <rPr>
        <sz val="16"/>
        <color rgb="FF000000"/>
        <rFont val="Aptos"/>
      </rPr>
      <t>We are not after one time business, we want to become an extension to your Business for all of your estimating needs, scheduling needs and Materials Takeoffs (Details).</t>
    </r>
  </si>
  <si>
    <r>
      <rPr>
        <sz val="16"/>
        <color rgb="FFFF0000"/>
        <rFont val="Aptos"/>
      </rPr>
      <t>5. Multiple Payment Options:</t>
    </r>
    <r>
      <rPr>
        <sz val="16"/>
        <color rgb="FF000000"/>
        <rFont val="Aptos"/>
      </rPr>
      <t xml:space="preserve"> You can Pay with Debit/Credit Card, Check or ACH Transfer. Also, we have options for: Zelle or PayPal.</t>
    </r>
  </si>
  <si>
    <r>
      <rPr>
        <sz val="16"/>
        <color rgb="FFFF0000"/>
        <rFont val="Aptos"/>
      </rPr>
      <t>6. Focused Work:</t>
    </r>
    <r>
      <rPr>
        <sz val="16"/>
        <color rgb="FF000000"/>
        <rFont val="Aptos"/>
      </rPr>
      <t xml:space="preserve"> We will take on projects with the highest level of detail. I think what sets us apart from other companies is our customer service, honesty, dedication, and communication. </t>
    </r>
  </si>
  <si>
    <r>
      <rPr>
        <sz val="16"/>
        <color rgb="FFFF0000"/>
        <rFont val="Aptos"/>
      </rPr>
      <t>7. Meeting Deadlines:</t>
    </r>
    <r>
      <rPr>
        <sz val="16"/>
        <color rgb="FF000000"/>
        <rFont val="Aptos"/>
      </rPr>
      <t xml:space="preserve"> We always meet the schedules and finish projects at or ahead of the deadline.</t>
    </r>
  </si>
  <si>
    <r>
      <rPr>
        <sz val="16"/>
        <color rgb="FFFF0000"/>
        <rFont val="Aptos"/>
      </rPr>
      <t xml:space="preserve">8. Experienced: </t>
    </r>
    <r>
      <rPr>
        <sz val="16"/>
        <color rgb="FF000000"/>
        <rFont val="Aptos"/>
      </rPr>
      <t>We have been in estimating business for almost 10 years now and have 90 employees. We are looking to grow slowly while maintaining our quality and commitments to our clients.</t>
    </r>
  </si>
  <si>
    <r>
      <rPr>
        <sz val="16"/>
        <color rgb="FFFF0000"/>
        <rFont val="Aptos"/>
      </rPr>
      <t xml:space="preserve">9. Surety: </t>
    </r>
    <r>
      <rPr>
        <sz val="16"/>
        <color rgb="FF000000"/>
        <rFont val="Aptos"/>
      </rPr>
      <t>With us, you will never have any issue of quality or turnaround.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</si>
</sst>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mm/dd/yyyy"/>
    <numFmt numFmtId="166" formatCode="&quot;$&quot;#,##0.00"/>
    <numFmt numFmtId="167" formatCode="&quot;$&quot;#,##0"/>
  </numFmts>
  <fonts count="44" x14ac:knownFonts="1">
    <font>
      <sz val="12"/>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2"/>
      <color theme="1"/>
      <name val="Arial"/>
      <family val="2"/>
    </font>
    <font>
      <sz val="8"/>
      <name val="Calibri"/>
      <family val="2"/>
      <scheme val="minor"/>
    </font>
    <font>
      <sz val="11"/>
      <color theme="1"/>
      <name val="Calibri"/>
      <family val="2"/>
      <scheme val="minor"/>
    </font>
    <font>
      <sz val="11"/>
      <color rgb="FF0000B3"/>
      <name val="Arial"/>
      <family val="2"/>
    </font>
    <font>
      <sz val="10"/>
      <color theme="1"/>
      <name val="Arial"/>
      <family val="2"/>
    </font>
    <font>
      <b/>
      <sz val="9"/>
      <color rgb="FF0000B3"/>
      <name val="Arial"/>
      <family val="2"/>
    </font>
    <font>
      <sz val="11"/>
      <color theme="3" tint="-0.249977111117893"/>
      <name val="Arial"/>
      <family val="2"/>
    </font>
    <font>
      <sz val="10"/>
      <color rgb="FF0000B3"/>
      <name val="Arial"/>
      <family val="2"/>
    </font>
    <font>
      <sz val="11"/>
      <color rgb="FF0070C0"/>
      <name val="Arial"/>
      <family val="2"/>
    </font>
    <font>
      <sz val="9"/>
      <color theme="1"/>
      <name val="Arial"/>
      <family val="2"/>
    </font>
    <font>
      <b/>
      <sz val="9"/>
      <color theme="1"/>
      <name val="Arial"/>
      <family val="2"/>
    </font>
    <font>
      <b/>
      <sz val="12"/>
      <color rgb="FF00B300"/>
      <name val="Arial"/>
      <family val="2"/>
    </font>
    <font>
      <sz val="10"/>
      <color theme="0"/>
      <name val="Arial"/>
      <family val="2"/>
    </font>
    <font>
      <b/>
      <sz val="9"/>
      <color theme="0"/>
      <name val="Arial"/>
      <family val="2"/>
    </font>
    <font>
      <b/>
      <sz val="9"/>
      <color rgb="FFFF0000"/>
      <name val="Arial"/>
      <family val="2"/>
    </font>
    <font>
      <b/>
      <sz val="11"/>
      <color rgb="FFFF0000"/>
      <name val="Arial"/>
      <family val="2"/>
    </font>
    <font>
      <sz val="9"/>
      <name val="Arial"/>
      <family val="2"/>
    </font>
    <font>
      <b/>
      <sz val="9"/>
      <color rgb="FF00B300"/>
      <name val="Arial"/>
      <family val="2"/>
    </font>
    <font>
      <b/>
      <sz val="9"/>
      <color theme="4"/>
      <name val="Arial"/>
      <family val="2"/>
    </font>
    <font>
      <b/>
      <sz val="9"/>
      <name val="Arial"/>
      <family val="2"/>
    </font>
    <font>
      <sz val="10"/>
      <color theme="3" tint="-0.249977111117893"/>
      <name val="Arial"/>
      <family val="2"/>
    </font>
    <font>
      <b/>
      <sz val="12"/>
      <color theme="3" tint="-0.249977111117893"/>
      <name val="Arial"/>
      <family val="2"/>
    </font>
    <font>
      <b/>
      <sz val="9"/>
      <color theme="3" tint="-0.249977111117893"/>
      <name val="Arial"/>
      <family val="2"/>
    </font>
    <font>
      <sz val="18"/>
      <color theme="3" tint="-0.249977111117893"/>
      <name val="Arial"/>
      <family val="2"/>
    </font>
    <font>
      <b/>
      <sz val="9"/>
      <color theme="4" tint="-0.499984740745262"/>
      <name val="Arial"/>
      <family val="2"/>
    </font>
    <font>
      <i/>
      <sz val="9"/>
      <color theme="3" tint="-0.249977111117893"/>
      <name val="Arial"/>
      <family val="2"/>
    </font>
    <font>
      <b/>
      <sz val="10"/>
      <color theme="3" tint="-0.249977111117893"/>
      <name val="Arial"/>
      <family val="2"/>
    </font>
    <font>
      <b/>
      <sz val="10"/>
      <name val="Arial"/>
      <family val="2"/>
    </font>
    <font>
      <b/>
      <sz val="11"/>
      <color theme="3" tint="-0.249977111117893"/>
      <name val="Arial"/>
      <family val="2"/>
    </font>
    <font>
      <b/>
      <sz val="18"/>
      <color theme="0"/>
      <name val="Times New Roman"/>
      <family val="1"/>
    </font>
    <font>
      <b/>
      <sz val="16"/>
      <color rgb="FFC00000"/>
      <name val="Times New Roman"/>
      <family val="1"/>
    </font>
    <font>
      <b/>
      <sz val="16"/>
      <color rgb="FF0000B3"/>
      <name val="Times New Roman"/>
      <family val="1"/>
    </font>
    <font>
      <sz val="16"/>
      <color rgb="FF000000"/>
      <name val="Aptos"/>
    </font>
    <font>
      <sz val="12"/>
      <color theme="1"/>
      <name val="Times New Roman"/>
      <family val="1"/>
    </font>
    <font>
      <b/>
      <sz val="16"/>
      <color rgb="FFFF0000"/>
      <name val="Aptos"/>
    </font>
    <font>
      <sz val="16"/>
      <color rgb="FFFF0000"/>
      <name val="Aptos"/>
    </font>
    <font>
      <sz val="16"/>
      <color rgb="FF0000B3"/>
      <name val="Aptos"/>
    </font>
    <font>
      <sz val="18"/>
      <color rgb="FFFF0000"/>
      <name val="Aptos"/>
    </font>
    <font>
      <sz val="12"/>
      <color theme="0"/>
      <name val="Calibri"/>
      <family val="2"/>
      <scheme val="minor"/>
    </font>
    <font>
      <sz val="18"/>
      <color theme="0"/>
      <name val="Times New Roman"/>
      <family val="1"/>
    </font>
  </fonts>
  <fills count="7">
    <fill>
      <patternFill patternType="none"/>
    </fill>
    <fill>
      <patternFill patternType="gray125"/>
    </fill>
    <fill>
      <patternFill patternType="solid">
        <fgColor theme="0" tint="-4.9989318521683403E-2"/>
        <bgColor indexed="64"/>
      </patternFill>
    </fill>
    <fill>
      <patternFill patternType="solid">
        <fgColor rgb="FF00B300"/>
        <bgColor indexed="64"/>
      </patternFill>
    </fill>
    <fill>
      <patternFill patternType="solid">
        <fgColor rgb="FF0000B3"/>
        <bgColor indexed="64"/>
      </patternFill>
    </fill>
    <fill>
      <patternFill patternType="solid">
        <fgColor theme="0"/>
        <bgColor indexed="64"/>
      </patternFill>
    </fill>
    <fill>
      <patternFill patternType="solid">
        <fgColor rgb="FFC00000"/>
        <bgColor indexed="64"/>
      </patternFill>
    </fill>
  </fills>
  <borders count="5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style="thin">
        <color theme="0" tint="-0.249977111117893"/>
      </top>
      <bottom/>
      <diagonal/>
    </border>
    <border>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hair">
        <color theme="0" tint="-0.249977111117893"/>
      </left>
      <right style="hair">
        <color theme="0" tint="-0.249977111117893"/>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right/>
      <top/>
      <bottom style="thin">
        <color theme="2" tint="-9.9978637043366805E-2"/>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hair">
        <color theme="0" tint="-0.249977111117893"/>
      </left>
      <right style="hair">
        <color theme="0" tint="-0.249977111117893"/>
      </right>
      <top/>
      <bottom/>
      <diagonal/>
    </border>
    <border>
      <left style="double">
        <color indexed="64"/>
      </left>
      <right/>
      <top style="double">
        <color indexed="64"/>
      </top>
      <bottom/>
      <diagonal/>
    </border>
    <border>
      <left style="double">
        <color indexed="64"/>
      </left>
      <right style="double">
        <color indexed="64"/>
      </right>
      <top/>
      <bottom style="thin">
        <color theme="0" tint="-0.249977111117893"/>
      </bottom>
      <diagonal/>
    </border>
    <border>
      <left/>
      <right style="thin">
        <color theme="0" tint="-0.249977111117893"/>
      </right>
      <top/>
      <bottom style="thin">
        <color theme="0" tint="-0.249977111117893"/>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style="thin">
        <color theme="0" tint="-0.249977111117893"/>
      </right>
      <top style="thin">
        <color theme="2" tint="-9.9978637043366805E-2"/>
      </top>
      <bottom style="double">
        <color indexed="64"/>
      </bottom>
      <diagonal/>
    </border>
    <border>
      <left style="thin">
        <color theme="0" tint="-0.249977111117893"/>
      </left>
      <right style="double">
        <color indexed="64"/>
      </right>
      <top style="thin">
        <color theme="2" tint="-9.9978637043366805E-2"/>
      </top>
      <bottom style="double">
        <color indexed="64"/>
      </bottom>
      <diagonal/>
    </border>
    <border>
      <left/>
      <right/>
      <top style="thin">
        <color theme="0" tint="-0.249977111117893"/>
      </top>
      <bottom style="double">
        <color indexed="64"/>
      </bottom>
      <diagonal/>
    </border>
    <border>
      <left/>
      <right style="thin">
        <color theme="0" tint="-0.249977111117893"/>
      </right>
      <top style="thin">
        <color theme="0" tint="-0.249977111117893"/>
      </top>
      <bottom style="double">
        <color indexed="64"/>
      </bottom>
      <diagonal/>
    </border>
    <border>
      <left/>
      <right style="double">
        <color indexed="64"/>
      </right>
      <top/>
      <bottom style="double">
        <color indexed="64"/>
      </bottom>
      <diagonal/>
    </border>
    <border>
      <left style="thin">
        <color theme="0" tint="-0.249977111117893"/>
      </left>
      <right style="double">
        <color indexed="64"/>
      </right>
      <top style="double">
        <color indexed="64"/>
      </top>
      <bottom style="thin">
        <color theme="0" tint="-0.249977111117893"/>
      </bottom>
      <diagonal/>
    </border>
    <border>
      <left style="thin">
        <color theme="0" tint="-0.249977111117893"/>
      </left>
      <right style="double">
        <color indexed="64"/>
      </right>
      <top style="thin">
        <color theme="0" tint="-0.249977111117893"/>
      </top>
      <bottom style="thin">
        <color theme="0" tint="-0.249977111117893"/>
      </bottom>
      <diagonal/>
    </border>
    <border>
      <left style="double">
        <color indexed="64"/>
      </left>
      <right style="double">
        <color indexed="64"/>
      </right>
      <top style="double">
        <color indexed="64"/>
      </top>
      <bottom style="thin">
        <color theme="0" tint="-0.249977111117893"/>
      </bottom>
      <diagonal/>
    </border>
    <border>
      <left style="thin">
        <color theme="0" tint="-0.249977111117893"/>
      </left>
      <right style="double">
        <color indexed="64"/>
      </right>
      <top style="thin">
        <color theme="0" tint="-0.249977111117893"/>
      </top>
      <bottom/>
      <diagonal/>
    </border>
    <border>
      <left style="thin">
        <color theme="0" tint="-0.249977111117893"/>
      </left>
      <right style="double">
        <color indexed="64"/>
      </right>
      <top style="thin">
        <color theme="0" tint="-0.249977111117893"/>
      </top>
      <bottom style="double">
        <color indexed="64"/>
      </bottom>
      <diagonal/>
    </border>
    <border>
      <left style="double">
        <color indexed="64"/>
      </left>
      <right style="double">
        <color indexed="64"/>
      </right>
      <top/>
      <bottom/>
      <diagonal/>
    </border>
    <border>
      <left style="thin">
        <color theme="0" tint="-0.249977111117893"/>
      </left>
      <right style="double">
        <color indexed="64"/>
      </right>
      <top style="double">
        <color indexed="64"/>
      </top>
      <bottom style="double">
        <color indexed="64"/>
      </bottom>
      <diagonal/>
    </border>
    <border>
      <left style="thin">
        <color theme="0" tint="-0.249977111117893"/>
      </left>
      <right/>
      <top style="double">
        <color indexed="64"/>
      </top>
      <bottom/>
      <diagonal/>
    </border>
    <border>
      <left/>
      <right/>
      <top style="double">
        <color indexed="64"/>
      </top>
      <bottom/>
      <diagonal/>
    </border>
    <border>
      <left style="thin">
        <color theme="0" tint="-0.249977111117893"/>
      </left>
      <right style="thin">
        <color theme="0" tint="-0.249977111117893"/>
      </right>
      <top/>
      <bottom/>
      <diagonal/>
    </border>
    <border>
      <left style="thin">
        <color theme="0" tint="-0.249977111117893"/>
      </left>
      <right/>
      <top/>
      <bottom style="double">
        <color indexed="64"/>
      </bottom>
      <diagonal/>
    </border>
    <border>
      <left/>
      <right/>
      <top/>
      <bottom style="double">
        <color indexed="64"/>
      </bottom>
      <diagonal/>
    </border>
    <border>
      <left style="thin">
        <color theme="2" tint="-9.9978637043366805E-2"/>
      </left>
      <right style="thin">
        <color theme="0" tint="-0.249977111117893"/>
      </right>
      <top style="double">
        <color indexed="64"/>
      </top>
      <bottom style="double">
        <color indexed="64"/>
      </bottom>
      <diagonal/>
    </border>
    <border>
      <left/>
      <right style="thin">
        <color theme="2" tint="-9.9978637043366805E-2"/>
      </right>
      <top style="double">
        <color indexed="64"/>
      </top>
      <bottom style="double">
        <color indexed="64"/>
      </bottom>
      <diagonal/>
    </border>
    <border>
      <left style="double">
        <color indexed="64"/>
      </left>
      <right/>
      <top/>
      <bottom style="thin">
        <color theme="2" tint="-9.9978637043366805E-2"/>
      </bottom>
      <diagonal/>
    </border>
    <border>
      <left/>
      <right style="double">
        <color indexed="64"/>
      </right>
      <top/>
      <bottom style="thin">
        <color theme="2" tint="-9.9978637043366805E-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top style="thin">
        <color theme="2" tint="-0.249977111117893"/>
      </top>
      <bottom style="thin">
        <color theme="2" tint="-0.249977111117893"/>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double">
        <color indexed="64"/>
      </right>
      <top style="thin">
        <color theme="0" tint="-0.249977111117893"/>
      </top>
      <bottom style="thin">
        <color theme="0" tint="-0.249977111117893"/>
      </bottom>
      <diagonal/>
    </border>
    <border>
      <left/>
      <right style="thin">
        <color theme="0" tint="-0.249977111117893"/>
      </right>
      <top/>
      <bottom style="double">
        <color indexed="64"/>
      </bottom>
      <diagonal/>
    </border>
    <border>
      <left style="thin">
        <color theme="0" tint="-0.249977111117893"/>
      </left>
      <right style="double">
        <color indexed="64"/>
      </right>
      <top style="double">
        <color indexed="64"/>
      </top>
      <bottom/>
      <diagonal/>
    </border>
  </borders>
  <cellStyleXfs count="4">
    <xf numFmtId="0" fontId="0" fillId="0" borderId="0"/>
    <xf numFmtId="164" fontId="3" fillId="0" borderId="0" applyFont="0" applyFill="0" applyBorder="0" applyAlignment="0" applyProtection="0"/>
    <xf numFmtId="9" fontId="2" fillId="0" borderId="0" applyFont="0" applyFill="0" applyBorder="0" applyAlignment="0" applyProtection="0"/>
    <xf numFmtId="0" fontId="6" fillId="0" borderId="0"/>
  </cellStyleXfs>
  <cellXfs count="208">
    <xf numFmtId="0" fontId="0" fillId="0" borderId="0" xfId="0"/>
    <xf numFmtId="0" fontId="4" fillId="0" borderId="0" xfId="0" applyFont="1" applyAlignment="1">
      <alignment horizontal="center"/>
    </xf>
    <xf numFmtId="0" fontId="7" fillId="0" borderId="13" xfId="0" applyFont="1" applyBorder="1" applyAlignment="1">
      <alignment vertical="center"/>
    </xf>
    <xf numFmtId="0" fontId="7" fillId="0" borderId="15" xfId="0" applyFont="1" applyBorder="1" applyAlignment="1">
      <alignment vertical="center"/>
    </xf>
    <xf numFmtId="0" fontId="4" fillId="0" borderId="0" xfId="0" applyFont="1"/>
    <xf numFmtId="0" fontId="8" fillId="0" borderId="0" xfId="0" applyFont="1"/>
    <xf numFmtId="0" fontId="9" fillId="0" borderId="12" xfId="0" applyFont="1" applyBorder="1" applyAlignment="1">
      <alignment horizontal="center"/>
    </xf>
    <xf numFmtId="14" fontId="9" fillId="0" borderId="0" xfId="0" applyNumberFormat="1" applyFont="1" applyAlignment="1">
      <alignment horizontal="center"/>
    </xf>
    <xf numFmtId="0" fontId="9" fillId="0" borderId="0" xfId="0" applyFont="1" applyAlignment="1">
      <alignment horizontal="center"/>
    </xf>
    <xf numFmtId="0" fontId="7" fillId="0" borderId="0" xfId="0" applyFont="1" applyAlignment="1">
      <alignment vertical="center"/>
    </xf>
    <xf numFmtId="0" fontId="10" fillId="0" borderId="0" xfId="0" applyFont="1" applyAlignment="1">
      <alignment horizontal="left" vertical="center" indent="1"/>
    </xf>
    <xf numFmtId="0" fontId="9" fillId="0" borderId="4" xfId="0" applyFont="1" applyBorder="1" applyAlignment="1">
      <alignment horizontal="center" vertical="center"/>
    </xf>
    <xf numFmtId="0" fontId="7" fillId="0" borderId="14" xfId="0" applyFont="1" applyBorder="1" applyAlignment="1">
      <alignment vertical="center"/>
    </xf>
    <xf numFmtId="0" fontId="4" fillId="0" borderId="15" xfId="0" applyFont="1" applyBorder="1"/>
    <xf numFmtId="165" fontId="11" fillId="0" borderId="0" xfId="0" applyNumberFormat="1" applyFont="1" applyAlignment="1">
      <alignment horizontal="center" vertical="center"/>
    </xf>
    <xf numFmtId="165" fontId="11" fillId="0" borderId="7" xfId="0" applyNumberFormat="1" applyFont="1" applyBorder="1" applyAlignment="1">
      <alignment horizontal="center" vertical="center"/>
    </xf>
    <xf numFmtId="0" fontId="9" fillId="0" borderId="17" xfId="0" applyFont="1" applyBorder="1" applyAlignment="1">
      <alignment horizontal="center" vertical="center"/>
    </xf>
    <xf numFmtId="0" fontId="12" fillId="0" borderId="0" xfId="0" applyFont="1" applyAlignment="1">
      <alignment horizontal="left" vertical="center" indent="1"/>
    </xf>
    <xf numFmtId="0" fontId="11" fillId="0" borderId="0" xfId="0" applyFont="1" applyAlignment="1">
      <alignment horizontal="center" vertical="center"/>
    </xf>
    <xf numFmtId="165" fontId="11" fillId="0" borderId="18" xfId="0" applyNumberFormat="1" applyFont="1" applyBorder="1" applyAlignment="1">
      <alignment horizontal="center" vertical="center"/>
    </xf>
    <xf numFmtId="0" fontId="4" fillId="0" borderId="0" xfId="0" applyFont="1" applyAlignment="1">
      <alignment vertical="center"/>
    </xf>
    <xf numFmtId="0" fontId="9" fillId="0" borderId="12" xfId="0" applyFont="1" applyBorder="1" applyAlignment="1">
      <alignment horizontal="center" vertical="center"/>
    </xf>
    <xf numFmtId="0" fontId="9" fillId="0" borderId="15" xfId="0" applyFont="1" applyBorder="1" applyAlignment="1">
      <alignment horizontal="center" vertical="center"/>
    </xf>
    <xf numFmtId="0" fontId="9" fillId="0" borderId="12" xfId="0" applyFont="1" applyBorder="1" applyAlignment="1">
      <alignment vertical="center"/>
    </xf>
    <xf numFmtId="0" fontId="9" fillId="0" borderId="15" xfId="0" applyFont="1" applyBorder="1" applyAlignment="1">
      <alignment vertical="center"/>
    </xf>
    <xf numFmtId="0" fontId="13" fillId="0" borderId="20" xfId="0" applyFont="1" applyBorder="1" applyAlignment="1">
      <alignment horizontal="center" vertical="center" wrapText="1"/>
    </xf>
    <xf numFmtId="0" fontId="13" fillId="0" borderId="16" xfId="0" applyFont="1" applyBorder="1" applyAlignment="1">
      <alignment horizontal="left" vertical="center" wrapText="1" indent="1"/>
    </xf>
    <xf numFmtId="0" fontId="15" fillId="0" borderId="21" xfId="0" applyFont="1" applyBorder="1" applyAlignment="1">
      <alignment horizontal="left" vertical="center" wrapText="1" indent="1"/>
    </xf>
    <xf numFmtId="2" fontId="13" fillId="0" borderId="5" xfId="0" applyNumberFormat="1" applyFont="1" applyBorder="1" applyAlignment="1">
      <alignment horizontal="center" vertical="center"/>
    </xf>
    <xf numFmtId="2" fontId="13" fillId="0" borderId="5" xfId="0" applyNumberFormat="1" applyFont="1" applyBorder="1" applyAlignment="1">
      <alignment horizontal="right" vertical="center"/>
    </xf>
    <xf numFmtId="2" fontId="13" fillId="0" borderId="30" xfId="0" applyNumberFormat="1" applyFont="1" applyBorder="1" applyAlignment="1">
      <alignment horizontal="right" vertical="center"/>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3" fillId="0" borderId="35" xfId="0" applyFont="1" applyBorder="1" applyAlignment="1">
      <alignment horizontal="left" vertical="center" wrapText="1" indent="1"/>
    </xf>
    <xf numFmtId="2" fontId="13" fillId="0" borderId="6" xfId="0" applyNumberFormat="1" applyFont="1" applyBorder="1" applyAlignment="1">
      <alignment horizontal="left" vertical="center" wrapText="1"/>
    </xf>
    <xf numFmtId="0" fontId="13" fillId="0" borderId="1" xfId="0" applyFont="1" applyBorder="1" applyAlignment="1">
      <alignment horizontal="center" vertical="center"/>
    </xf>
    <xf numFmtId="164" fontId="13" fillId="0" borderId="1" xfId="1" applyFont="1" applyBorder="1" applyAlignment="1">
      <alignment horizontal="right" vertical="center"/>
    </xf>
    <xf numFmtId="2" fontId="13" fillId="0" borderId="31" xfId="0" applyNumberFormat="1" applyFont="1" applyBorder="1" applyAlignment="1">
      <alignment horizontal="right" vertical="center"/>
    </xf>
    <xf numFmtId="0" fontId="13" fillId="0" borderId="25" xfId="0" applyFont="1" applyBorder="1" applyAlignment="1">
      <alignment horizontal="left" vertical="center" wrapText="1" indent="1"/>
    </xf>
    <xf numFmtId="0" fontId="13" fillId="0" borderId="26" xfId="0" applyFont="1" applyBorder="1" applyAlignment="1">
      <alignment horizontal="left" vertical="center" wrapText="1" indent="1"/>
    </xf>
    <xf numFmtId="0" fontId="16" fillId="4" borderId="27" xfId="0" applyFont="1" applyFill="1" applyBorder="1" applyAlignment="1">
      <alignment horizontal="left" vertical="center" indent="1"/>
    </xf>
    <xf numFmtId="0" fontId="16" fillId="4" borderId="27" xfId="0" applyFont="1" applyFill="1" applyBorder="1" applyAlignment="1">
      <alignment vertical="center"/>
    </xf>
    <xf numFmtId="0" fontId="17" fillId="4" borderId="28" xfId="0" applyFont="1" applyFill="1" applyBorder="1" applyAlignment="1">
      <alignment horizontal="right" vertical="center" indent="1"/>
    </xf>
    <xf numFmtId="166" fontId="17" fillId="3" borderId="34" xfId="0" applyNumberFormat="1" applyFont="1" applyFill="1" applyBorder="1" applyAlignment="1">
      <alignment vertical="center"/>
    </xf>
    <xf numFmtId="0" fontId="13" fillId="0" borderId="0" xfId="0" applyFont="1" applyAlignment="1">
      <alignment horizontal="left" vertical="center" wrapText="1" indent="1"/>
    </xf>
    <xf numFmtId="0" fontId="16" fillId="0" borderId="0" xfId="0" applyFont="1" applyAlignment="1">
      <alignment horizontal="left" vertical="center" indent="1"/>
    </xf>
    <xf numFmtId="0" fontId="16" fillId="0" borderId="0" xfId="0" applyFont="1" applyAlignment="1">
      <alignment vertical="center"/>
    </xf>
    <xf numFmtId="0" fontId="17" fillId="0" borderId="0" xfId="0" applyFont="1" applyAlignment="1">
      <alignment horizontal="right" vertical="center" indent="1"/>
    </xf>
    <xf numFmtId="166" fontId="17" fillId="0" borderId="0" xfId="0" applyNumberFormat="1" applyFont="1" applyAlignment="1">
      <alignment vertical="center"/>
    </xf>
    <xf numFmtId="0" fontId="13" fillId="0" borderId="32" xfId="0" applyFont="1" applyBorder="1" applyAlignment="1">
      <alignment horizontal="center" vertical="center" wrapText="1"/>
    </xf>
    <xf numFmtId="0" fontId="15" fillId="0" borderId="48" xfId="0" applyFont="1" applyBorder="1" applyAlignment="1">
      <alignment horizontal="left" vertical="center" wrapText="1" indent="1"/>
    </xf>
    <xf numFmtId="2" fontId="13" fillId="0" borderId="39" xfId="0" applyNumberFormat="1" applyFont="1" applyBorder="1" applyAlignment="1">
      <alignment horizontal="center" vertical="center"/>
    </xf>
    <xf numFmtId="2" fontId="13" fillId="0" borderId="39" xfId="0" applyNumberFormat="1" applyFont="1" applyBorder="1" applyAlignment="1">
      <alignment horizontal="right" vertical="center"/>
    </xf>
    <xf numFmtId="2" fontId="13" fillId="0" borderId="56" xfId="0" applyNumberFormat="1" applyFont="1" applyBorder="1" applyAlignment="1">
      <alignment horizontal="right" vertical="center"/>
    </xf>
    <xf numFmtId="0" fontId="9" fillId="0" borderId="46" xfId="0" applyFont="1" applyBorder="1" applyAlignment="1">
      <alignment horizontal="center" vertical="center"/>
    </xf>
    <xf numFmtId="1" fontId="13" fillId="0" borderId="46" xfId="0" applyNumberFormat="1" applyFont="1" applyBorder="1" applyAlignment="1">
      <alignment horizontal="center" vertical="center"/>
    </xf>
    <xf numFmtId="0" fontId="13" fillId="0" borderId="46" xfId="0" applyFont="1" applyBorder="1" applyAlignment="1">
      <alignment horizontal="center" vertical="center"/>
    </xf>
    <xf numFmtId="164" fontId="13" fillId="0" borderId="46" xfId="1" applyFont="1" applyBorder="1" applyAlignment="1">
      <alignment horizontal="right" vertical="center"/>
    </xf>
    <xf numFmtId="2" fontId="13" fillId="0" borderId="46" xfId="0" applyNumberFormat="1" applyFont="1" applyBorder="1" applyAlignment="1">
      <alignment horizontal="right" vertical="center"/>
    </xf>
    <xf numFmtId="0" fontId="13" fillId="0" borderId="46" xfId="0" applyFont="1" applyBorder="1" applyAlignment="1">
      <alignment horizontal="left" vertical="center"/>
    </xf>
    <xf numFmtId="0" fontId="18" fillId="0" borderId="46" xfId="0" applyFont="1" applyBorder="1" applyAlignment="1">
      <alignment horizontal="left" vertical="center"/>
    </xf>
    <xf numFmtId="0" fontId="14" fillId="0" borderId="46" xfId="0" applyFont="1" applyBorder="1" applyAlignment="1">
      <alignment horizontal="left" vertical="center"/>
    </xf>
    <xf numFmtId="0" fontId="16" fillId="4" borderId="3" xfId="0" applyFont="1" applyFill="1" applyBorder="1" applyAlignment="1">
      <alignment horizontal="left" vertical="center" indent="1"/>
    </xf>
    <xf numFmtId="0" fontId="16" fillId="4" borderId="3" xfId="0" applyFont="1" applyFill="1" applyBorder="1" applyAlignment="1">
      <alignment vertical="center"/>
    </xf>
    <xf numFmtId="0" fontId="17" fillId="4" borderId="8" xfId="0" applyFont="1" applyFill="1" applyBorder="1" applyAlignment="1">
      <alignment horizontal="right" vertical="center" indent="1"/>
    </xf>
    <xf numFmtId="166" fontId="17" fillId="3" borderId="33" xfId="0" applyNumberFormat="1" applyFont="1" applyFill="1" applyBorder="1" applyAlignment="1">
      <alignment vertical="center"/>
    </xf>
    <xf numFmtId="0" fontId="9" fillId="0" borderId="14" xfId="0" applyFont="1" applyBorder="1" applyAlignment="1">
      <alignment vertical="center"/>
    </xf>
    <xf numFmtId="164" fontId="13" fillId="0" borderId="6" xfId="1" applyFont="1" applyBorder="1" applyAlignment="1">
      <alignment horizontal="right" vertical="center"/>
    </xf>
    <xf numFmtId="0" fontId="13" fillId="0" borderId="46" xfId="0" applyFont="1" applyBorder="1" applyAlignment="1">
      <alignment horizontal="left" vertical="center" wrapText="1"/>
    </xf>
    <xf numFmtId="0" fontId="14" fillId="0" borderId="46" xfId="0" applyFont="1" applyBorder="1" applyAlignment="1">
      <alignment horizontal="left" vertical="center" wrapText="1"/>
    </xf>
    <xf numFmtId="2" fontId="13" fillId="0" borderId="6" xfId="0" applyNumberFormat="1" applyFont="1" applyBorder="1" applyAlignment="1">
      <alignment horizontal="right" vertical="center"/>
    </xf>
    <xf numFmtId="0" fontId="16" fillId="4" borderId="2" xfId="0" applyFont="1" applyFill="1" applyBorder="1" applyAlignment="1">
      <alignment vertical="center"/>
    </xf>
    <xf numFmtId="0" fontId="17" fillId="4" borderId="6" xfId="0" applyFont="1" applyFill="1" applyBorder="1" applyAlignment="1">
      <alignment horizontal="right" vertical="center" indent="1"/>
    </xf>
    <xf numFmtId="166" fontId="17" fillId="3" borderId="31" xfId="0" applyNumberFormat="1" applyFont="1" applyFill="1" applyBorder="1" applyAlignment="1">
      <alignment vertical="center"/>
    </xf>
    <xf numFmtId="0" fontId="13" fillId="0" borderId="10" xfId="0" applyFont="1" applyBorder="1" applyAlignment="1">
      <alignment horizontal="center" vertical="center" wrapText="1"/>
    </xf>
    <xf numFmtId="0" fontId="18" fillId="0" borderId="8" xfId="0" applyFont="1" applyBorder="1" applyAlignment="1">
      <alignment horizontal="left" vertical="center"/>
    </xf>
    <xf numFmtId="1" fontId="13" fillId="0" borderId="47" xfId="0" applyNumberFormat="1" applyFont="1" applyBorder="1" applyAlignment="1">
      <alignment horizontal="right" vertical="center"/>
    </xf>
    <xf numFmtId="0" fontId="13" fillId="0" borderId="47" xfId="0" applyFont="1" applyBorder="1" applyAlignment="1">
      <alignment horizontal="right" vertical="center"/>
    </xf>
    <xf numFmtId="2" fontId="13" fillId="0" borderId="1" xfId="0" applyNumberFormat="1" applyFont="1" applyBorder="1" applyAlignment="1">
      <alignment horizontal="right" vertical="center"/>
    </xf>
    <xf numFmtId="0" fontId="13" fillId="0" borderId="49" xfId="0" applyFont="1" applyBorder="1" applyAlignment="1">
      <alignment horizontal="left" vertical="center"/>
    </xf>
    <xf numFmtId="1" fontId="13" fillId="0" borderId="49" xfId="0" applyNumberFormat="1" applyFont="1" applyBorder="1" applyAlignment="1">
      <alignment horizontal="center" vertical="center"/>
    </xf>
    <xf numFmtId="0" fontId="13" fillId="0" borderId="49" xfId="0" applyFont="1" applyBorder="1" applyAlignment="1">
      <alignment horizontal="center" vertical="center"/>
    </xf>
    <xf numFmtId="164" fontId="13" fillId="0" borderId="8" xfId="1" applyFont="1" applyBorder="1" applyAlignment="1">
      <alignment horizontal="right" vertical="center"/>
    </xf>
    <xf numFmtId="2" fontId="13" fillId="0" borderId="54" xfId="0" applyNumberFormat="1" applyFont="1" applyBorder="1" applyAlignment="1">
      <alignment horizontal="right" vertical="center"/>
    </xf>
    <xf numFmtId="0" fontId="16" fillId="4" borderId="0" xfId="0" applyFont="1" applyFill="1" applyAlignment="1">
      <alignment horizontal="left" vertical="center" indent="1"/>
    </xf>
    <xf numFmtId="0" fontId="16" fillId="4" borderId="41" xfId="0" applyFont="1" applyFill="1" applyBorder="1" applyAlignment="1">
      <alignment vertical="center"/>
    </xf>
    <xf numFmtId="0" fontId="17" fillId="4" borderId="55" xfId="0" applyFont="1" applyFill="1" applyBorder="1" applyAlignment="1">
      <alignment horizontal="right" vertical="center" indent="1"/>
    </xf>
    <xf numFmtId="1" fontId="13" fillId="0" borderId="53" xfId="0" applyNumberFormat="1" applyFont="1" applyBorder="1" applyAlignment="1">
      <alignment horizontal="center" vertical="center"/>
    </xf>
    <xf numFmtId="0" fontId="13" fillId="0" borderId="46" xfId="0" applyFont="1" applyBorder="1" applyAlignment="1">
      <alignment horizontal="left" vertical="center" wrapText="1" indent="1"/>
    </xf>
    <xf numFmtId="0" fontId="4" fillId="0" borderId="46" xfId="0" applyFont="1" applyBorder="1" applyAlignment="1">
      <alignment horizontal="center" vertical="center"/>
    </xf>
    <xf numFmtId="0" fontId="19" fillId="0" borderId="46" xfId="0" applyFont="1" applyBorder="1" applyAlignment="1">
      <alignment horizontal="left" vertical="center"/>
    </xf>
    <xf numFmtId="0" fontId="14" fillId="0" borderId="23" xfId="0" applyFont="1" applyBorder="1" applyAlignment="1">
      <alignment vertical="center"/>
    </xf>
    <xf numFmtId="0" fontId="14" fillId="0" borderId="24" xfId="0" applyFont="1" applyBorder="1" applyAlignment="1">
      <alignment vertical="center"/>
    </xf>
    <xf numFmtId="0" fontId="4" fillId="0" borderId="17" xfId="0" applyFont="1" applyBorder="1"/>
    <xf numFmtId="0" fontId="16" fillId="4" borderId="41" xfId="0" applyFont="1" applyFill="1" applyBorder="1" applyAlignment="1">
      <alignment horizontal="left" vertical="center" indent="1"/>
    </xf>
    <xf numFmtId="0" fontId="13" fillId="0" borderId="24" xfId="0" applyFont="1" applyBorder="1" applyAlignment="1">
      <alignment horizontal="left" vertical="center" wrapText="1" indent="1"/>
    </xf>
    <xf numFmtId="9" fontId="13" fillId="0" borderId="6" xfId="0" applyNumberFormat="1" applyFont="1" applyBorder="1" applyAlignment="1">
      <alignment horizontal="right" vertical="center"/>
    </xf>
    <xf numFmtId="1" fontId="13" fillId="0" borderId="31" xfId="0" applyNumberFormat="1" applyFont="1" applyBorder="1" applyAlignment="1">
      <alignment horizontal="right" vertical="center"/>
    </xf>
    <xf numFmtId="167" fontId="4" fillId="0" borderId="0" xfId="0" applyNumberFormat="1" applyFont="1"/>
    <xf numFmtId="9" fontId="13" fillId="0" borderId="6" xfId="1" applyNumberFormat="1" applyFont="1" applyBorder="1" applyAlignment="1">
      <alignment horizontal="right" vertical="center"/>
    </xf>
    <xf numFmtId="0" fontId="9" fillId="0" borderId="48" xfId="0" applyFont="1" applyBorder="1" applyAlignment="1">
      <alignment horizontal="center" vertical="center" wrapText="1"/>
    </xf>
    <xf numFmtId="1" fontId="13" fillId="0" borderId="47" xfId="0" applyNumberFormat="1" applyFont="1" applyBorder="1" applyAlignment="1">
      <alignment horizontal="center" vertical="center"/>
    </xf>
    <xf numFmtId="0" fontId="13" fillId="0" borderId="47" xfId="0" applyFont="1" applyBorder="1" applyAlignment="1">
      <alignment horizontal="center" vertical="center"/>
    </xf>
    <xf numFmtId="0" fontId="14" fillId="0" borderId="46" xfId="0" applyFont="1" applyBorder="1" applyAlignment="1">
      <alignment horizontal="center" vertical="center"/>
    </xf>
    <xf numFmtId="1" fontId="14" fillId="0" borderId="46" xfId="0" applyNumberFormat="1" applyFont="1" applyBorder="1" applyAlignment="1">
      <alignment horizontal="center" vertical="center"/>
    </xf>
    <xf numFmtId="0" fontId="9" fillId="0" borderId="46" xfId="0" applyFont="1" applyBorder="1" applyAlignment="1">
      <alignment horizontal="center" vertical="center" wrapText="1"/>
    </xf>
    <xf numFmtId="0" fontId="13" fillId="0" borderId="46" xfId="0" applyFont="1" applyBorder="1" applyAlignment="1">
      <alignment horizontal="left" wrapText="1"/>
    </xf>
    <xf numFmtId="0" fontId="13" fillId="0" borderId="46" xfId="0" applyFont="1" applyBorder="1" applyAlignment="1">
      <alignment horizontal="left"/>
    </xf>
    <xf numFmtId="0" fontId="13" fillId="0" borderId="46" xfId="0" applyFont="1" applyBorder="1" applyAlignment="1">
      <alignment vertical="center"/>
    </xf>
    <xf numFmtId="164" fontId="13" fillId="0" borderId="6" xfId="1" applyFont="1" applyFill="1" applyBorder="1" applyAlignment="1">
      <alignment horizontal="right" vertical="center"/>
    </xf>
    <xf numFmtId="0" fontId="14" fillId="0" borderId="46" xfId="0" applyFont="1" applyBorder="1" applyAlignment="1">
      <alignment vertical="center"/>
    </xf>
    <xf numFmtId="0" fontId="13" fillId="0" borderId="46" xfId="0" applyFont="1" applyBorder="1" applyAlignment="1">
      <alignment vertical="center" wrapText="1"/>
    </xf>
    <xf numFmtId="0" fontId="20" fillId="0" borderId="46" xfId="0" applyFont="1" applyBorder="1" applyAlignment="1">
      <alignment horizontal="left" vertical="center"/>
    </xf>
    <xf numFmtId="0" fontId="9" fillId="0" borderId="14" xfId="0" applyFont="1" applyBorder="1" applyAlignment="1">
      <alignment horizontal="center" vertical="center"/>
    </xf>
    <xf numFmtId="0" fontId="21" fillId="0" borderId="48" xfId="0" applyFont="1" applyBorder="1" applyAlignment="1">
      <alignment horizontal="left" vertical="center" wrapText="1" indent="1"/>
    </xf>
    <xf numFmtId="0" fontId="13" fillId="0" borderId="53" xfId="0" applyFont="1" applyBorder="1" applyAlignment="1">
      <alignment horizontal="center" vertical="center"/>
    </xf>
    <xf numFmtId="164" fontId="13" fillId="0" borderId="52" xfId="1" applyFont="1" applyBorder="1" applyAlignment="1">
      <alignment horizontal="right" vertical="center"/>
    </xf>
    <xf numFmtId="0" fontId="13" fillId="0" borderId="13" xfId="0" applyFont="1" applyBorder="1" applyAlignment="1">
      <alignment horizontal="center" vertical="center" wrapText="1"/>
    </xf>
    <xf numFmtId="0" fontId="16" fillId="4" borderId="4" xfId="0" applyFont="1" applyFill="1" applyBorder="1" applyAlignment="1">
      <alignment horizontal="left" vertical="center" indent="1"/>
    </xf>
    <xf numFmtId="0" fontId="16" fillId="4" borderId="4" xfId="0" applyFont="1" applyFill="1" applyBorder="1" applyAlignment="1">
      <alignment vertical="center"/>
    </xf>
    <xf numFmtId="0" fontId="15" fillId="0" borderId="49" xfId="0" applyFont="1" applyBorder="1" applyAlignment="1">
      <alignment horizontal="left" vertical="center" wrapText="1" indent="1"/>
    </xf>
    <xf numFmtId="2" fontId="13" fillId="0" borderId="46" xfId="0" applyNumberFormat="1" applyFont="1" applyBorder="1" applyAlignment="1">
      <alignment horizontal="center" vertical="center"/>
    </xf>
    <xf numFmtId="2" fontId="13" fillId="0" borderId="52" xfId="0" applyNumberFormat="1" applyFont="1" applyBorder="1" applyAlignment="1">
      <alignment horizontal="right" vertical="center"/>
    </xf>
    <xf numFmtId="0" fontId="13" fillId="0" borderId="42" xfId="0" applyFont="1" applyBorder="1" applyAlignment="1">
      <alignment horizontal="left" vertical="center" wrapText="1" indent="1"/>
    </xf>
    <xf numFmtId="0" fontId="13" fillId="0" borderId="36" xfId="0" applyFont="1" applyBorder="1" applyAlignment="1">
      <alignment horizontal="left" vertical="center" wrapText="1" indent="1"/>
    </xf>
    <xf numFmtId="0" fontId="13" fillId="0" borderId="16" xfId="0" applyFont="1" applyBorder="1" applyAlignment="1">
      <alignment vertical="center"/>
    </xf>
    <xf numFmtId="2" fontId="13" fillId="0" borderId="49" xfId="0" applyNumberFormat="1" applyFont="1" applyBorder="1" applyAlignment="1">
      <alignment horizontal="center" vertical="center"/>
    </xf>
    <xf numFmtId="2" fontId="13" fillId="0" borderId="50" xfId="0" applyNumberFormat="1" applyFont="1" applyBorder="1" applyAlignment="1">
      <alignment horizontal="right" vertical="center"/>
    </xf>
    <xf numFmtId="0" fontId="13" fillId="0" borderId="35" xfId="0" applyFont="1" applyBorder="1" applyAlignment="1">
      <alignment vertical="center"/>
    </xf>
    <xf numFmtId="0" fontId="9" fillId="0" borderId="51" xfId="0" applyFont="1" applyBorder="1" applyAlignment="1">
      <alignment horizontal="center" vertical="center" wrapText="1"/>
    </xf>
    <xf numFmtId="1" fontId="13" fillId="0" borderId="51" xfId="0" applyNumberFormat="1" applyFont="1" applyBorder="1" applyAlignment="1">
      <alignment horizontal="center" vertical="center"/>
    </xf>
    <xf numFmtId="0" fontId="13" fillId="0" borderId="51" xfId="0" applyFont="1" applyBorder="1" applyAlignment="1">
      <alignment horizontal="center" vertical="center"/>
    </xf>
    <xf numFmtId="0" fontId="18" fillId="0" borderId="51" xfId="0" applyFont="1" applyBorder="1" applyAlignment="1">
      <alignment horizontal="left" vertical="center"/>
    </xf>
    <xf numFmtId="0" fontId="13" fillId="0" borderId="51" xfId="0" applyFont="1" applyBorder="1"/>
    <xf numFmtId="0" fontId="13" fillId="0" borderId="51" xfId="0" applyFont="1" applyBorder="1" applyAlignment="1">
      <alignment wrapText="1"/>
    </xf>
    <xf numFmtId="0" fontId="14" fillId="0" borderId="51" xfId="0" applyFont="1" applyBorder="1" applyAlignment="1">
      <alignment wrapText="1"/>
    </xf>
    <xf numFmtId="0" fontId="18" fillId="0" borderId="51" xfId="0" applyFont="1" applyBorder="1"/>
    <xf numFmtId="0" fontId="21" fillId="0" borderId="51" xfId="0" applyFont="1" applyBorder="1" applyAlignment="1">
      <alignment horizontal="left" vertical="center" wrapText="1" indent="1"/>
    </xf>
    <xf numFmtId="0" fontId="22" fillId="0" borderId="51" xfId="0" applyFont="1" applyBorder="1" applyAlignment="1">
      <alignment horizontal="center" vertical="center"/>
    </xf>
    <xf numFmtId="0" fontId="18" fillId="0" borderId="51" xfId="0" applyFont="1" applyBorder="1" applyAlignment="1">
      <alignment horizontal="left" vertical="center" wrapText="1"/>
    </xf>
    <xf numFmtId="0" fontId="13" fillId="0" borderId="51" xfId="0" applyFont="1" applyBorder="1" applyAlignment="1">
      <alignment vertical="center"/>
    </xf>
    <xf numFmtId="0" fontId="13" fillId="0" borderId="51" xfId="0" applyFont="1" applyBorder="1" applyAlignment="1">
      <alignment vertical="center" wrapText="1"/>
    </xf>
    <xf numFmtId="164" fontId="13" fillId="0" borderId="52" xfId="1" applyFont="1" applyFill="1" applyBorder="1" applyAlignment="1">
      <alignment horizontal="right" vertical="center"/>
    </xf>
    <xf numFmtId="0" fontId="23" fillId="0" borderId="51" xfId="0" applyFont="1" applyBorder="1" applyAlignment="1">
      <alignment vertical="center"/>
    </xf>
    <xf numFmtId="0" fontId="9" fillId="0" borderId="12" xfId="0" applyFont="1" applyBorder="1" applyAlignment="1">
      <alignment horizontal="left" vertical="center"/>
    </xf>
    <xf numFmtId="0" fontId="15" fillId="0" borderId="46" xfId="0" applyFont="1" applyBorder="1" applyAlignment="1">
      <alignment horizontal="left" vertical="center" wrapText="1" indent="1"/>
    </xf>
    <xf numFmtId="2" fontId="13" fillId="0" borderId="48" xfId="0" applyNumberFormat="1" applyFont="1" applyBorder="1" applyAlignment="1">
      <alignment horizontal="right" vertical="center"/>
    </xf>
    <xf numFmtId="0" fontId="18" fillId="0" borderId="46" xfId="0" applyFont="1" applyBorder="1"/>
    <xf numFmtId="0" fontId="13" fillId="0" borderId="46" xfId="0" applyFont="1" applyBorder="1"/>
    <xf numFmtId="164" fontId="13" fillId="0" borderId="53" xfId="1" applyFont="1" applyBorder="1" applyAlignment="1">
      <alignment horizontal="right" vertical="center"/>
    </xf>
    <xf numFmtId="0" fontId="13" fillId="0" borderId="46" xfId="0" applyFont="1" applyBorder="1" applyAlignment="1">
      <alignment wrapText="1"/>
    </xf>
    <xf numFmtId="0" fontId="24" fillId="0" borderId="0" xfId="0" applyFont="1" applyAlignment="1">
      <alignment horizontal="center" vertical="center"/>
    </xf>
    <xf numFmtId="0" fontId="13" fillId="0" borderId="13" xfId="0" applyFont="1" applyBorder="1" applyAlignment="1">
      <alignment vertical="center" wrapText="1"/>
    </xf>
    <xf numFmtId="0" fontId="25" fillId="0" borderId="14" xfId="0" applyFont="1" applyBorder="1" applyAlignment="1">
      <alignment horizontal="right" indent="1"/>
    </xf>
    <xf numFmtId="0" fontId="26" fillId="0" borderId="43" xfId="0" applyFont="1" applyBorder="1" applyAlignment="1">
      <alignment horizontal="right" vertical="center"/>
    </xf>
    <xf numFmtId="2" fontId="13" fillId="0" borderId="12" xfId="0" applyNumberFormat="1" applyFont="1" applyBorder="1" applyAlignment="1">
      <alignment vertical="center"/>
    </xf>
    <xf numFmtId="0" fontId="27" fillId="0" borderId="0" xfId="0" applyFont="1" applyAlignment="1">
      <alignment horizontal="center" vertical="center"/>
    </xf>
    <xf numFmtId="0" fontId="28" fillId="0" borderId="0" xfId="0" applyFont="1" applyAlignment="1">
      <alignment horizontal="left" vertical="center" indent="1"/>
    </xf>
    <xf numFmtId="0" fontId="25" fillId="0" borderId="0" xfId="0" applyFont="1" applyAlignment="1">
      <alignment horizontal="right" indent="1"/>
    </xf>
    <xf numFmtId="0" fontId="26" fillId="0" borderId="0" xfId="0" applyFont="1" applyAlignment="1">
      <alignment horizontal="right" vertical="center"/>
    </xf>
    <xf numFmtId="0" fontId="29" fillId="0" borderId="0" xfId="0" applyFont="1" applyAlignment="1">
      <alignment horizontal="center" vertical="center" wrapText="1"/>
    </xf>
    <xf numFmtId="10" fontId="13" fillId="0" borderId="12" xfId="2" applyNumberFormat="1" applyFont="1" applyFill="1" applyBorder="1" applyAlignment="1">
      <alignment horizontal="right" vertical="center"/>
    </xf>
    <xf numFmtId="4" fontId="13" fillId="0" borderId="12" xfId="0" applyNumberFormat="1" applyFont="1" applyBorder="1" applyAlignment="1">
      <alignment vertical="center"/>
    </xf>
    <xf numFmtId="0" fontId="4" fillId="0" borderId="11" xfId="0" applyFont="1" applyBorder="1" applyAlignment="1">
      <alignment horizontal="center"/>
    </xf>
    <xf numFmtId="0" fontId="30" fillId="0" borderId="11" xfId="0" applyFont="1" applyBorder="1" applyAlignment="1">
      <alignment horizontal="center"/>
    </xf>
    <xf numFmtId="0" fontId="4" fillId="0" borderId="11" xfId="0" applyFont="1" applyBorder="1"/>
    <xf numFmtId="0" fontId="25" fillId="0" borderId="11" xfId="0" applyFont="1" applyBorder="1" applyAlignment="1">
      <alignment horizontal="right" indent="1"/>
    </xf>
    <xf numFmtId="0" fontId="26" fillId="0" borderId="11" xfId="0" applyFont="1" applyBorder="1" applyAlignment="1">
      <alignment horizontal="right" vertical="center"/>
    </xf>
    <xf numFmtId="166" fontId="31" fillId="0" borderId="12" xfId="1" applyNumberFormat="1" applyFont="1" applyFill="1" applyBorder="1" applyAlignment="1">
      <alignment vertical="center"/>
    </xf>
    <xf numFmtId="0" fontId="32" fillId="0" borderId="0" xfId="0" applyFont="1" applyAlignment="1">
      <alignment horizontal="center" vertical="center"/>
    </xf>
    <xf numFmtId="0" fontId="8" fillId="0" borderId="0" xfId="0" applyFont="1" applyAlignment="1">
      <alignment horizontal="left" vertical="center" wrapText="1" indent="1"/>
    </xf>
    <xf numFmtId="0" fontId="8" fillId="0" borderId="11" xfId="0" applyFont="1" applyBorder="1" applyAlignment="1">
      <alignment horizontal="left" vertical="center" wrapText="1" indent="1"/>
    </xf>
    <xf numFmtId="0" fontId="29" fillId="0" borderId="0" xfId="0" applyFont="1" applyAlignment="1">
      <alignment horizontal="center" vertical="center" wrapText="1"/>
    </xf>
    <xf numFmtId="0" fontId="14" fillId="0" borderId="3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0" xfId="0" applyFont="1" applyAlignment="1">
      <alignment horizontal="center" vertical="center" wrapText="1"/>
    </xf>
    <xf numFmtId="0" fontId="14" fillId="0" borderId="24"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44" xfId="0" applyFont="1" applyBorder="1" applyAlignment="1">
      <alignment horizontal="center" vertical="center" wrapText="1"/>
    </xf>
    <xf numFmtId="0" fontId="14" fillId="0" borderId="45"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40" xfId="0" applyFont="1" applyBorder="1" applyAlignment="1">
      <alignment horizontal="center" vertical="center" wrapText="1"/>
    </xf>
    <xf numFmtId="0" fontId="14" fillId="0" borderId="29" xfId="0" applyFont="1" applyBorder="1" applyAlignment="1">
      <alignment horizontal="center" vertical="center" wrapText="1"/>
    </xf>
    <xf numFmtId="0" fontId="13" fillId="2" borderId="16" xfId="0" applyFont="1" applyFill="1" applyBorder="1" applyAlignment="1">
      <alignment horizontal="left" vertical="center" wrapText="1" indent="1"/>
    </xf>
    <xf numFmtId="0" fontId="13" fillId="2" borderId="17" xfId="0" applyFont="1" applyFill="1" applyBorder="1" applyAlignment="1">
      <alignment horizontal="left" vertical="center" wrapText="1" indent="1"/>
    </xf>
    <xf numFmtId="0" fontId="13" fillId="0" borderId="16"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41"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3" xfId="0" applyFont="1" applyBorder="1" applyAlignment="1">
      <alignment horizontal="center" vertical="center"/>
    </xf>
    <xf numFmtId="0" fontId="9" fillId="0" borderId="15" xfId="0" applyFont="1" applyBorder="1" applyAlignment="1">
      <alignment horizontal="center" vertical="center"/>
    </xf>
    <xf numFmtId="0" fontId="0" fillId="5" borderId="0" xfId="0" applyFill="1"/>
    <xf numFmtId="0" fontId="33" fillId="6" borderId="0" xfId="0" applyFont="1" applyFill="1" applyAlignment="1">
      <alignment horizontal="center" vertical="center"/>
    </xf>
    <xf numFmtId="0" fontId="34" fillId="5" borderId="0" xfId="0" applyFont="1" applyFill="1"/>
    <xf numFmtId="0" fontId="36" fillId="0" borderId="0" xfId="0" applyFont="1"/>
    <xf numFmtId="0" fontId="36" fillId="5" borderId="0" xfId="0" applyFont="1" applyFill="1"/>
    <xf numFmtId="0" fontId="37" fillId="5" borderId="0" xfId="0" applyFont="1" applyFill="1" applyAlignment="1">
      <alignment horizontal="center" vertical="center"/>
    </xf>
    <xf numFmtId="0" fontId="38" fillId="5" borderId="0" xfId="0" applyFont="1" applyFill="1"/>
    <xf numFmtId="0" fontId="39" fillId="5" borderId="0" xfId="0" applyFont="1" applyFill="1"/>
    <xf numFmtId="0" fontId="41" fillId="5" borderId="0" xfId="0" applyFont="1" applyFill="1"/>
    <xf numFmtId="0" fontId="42" fillId="5" borderId="0" xfId="0" applyFont="1" applyFill="1"/>
    <xf numFmtId="0" fontId="43" fillId="6" borderId="0" xfId="0" applyFont="1" applyFill="1" applyAlignment="1">
      <alignment vertical="center"/>
    </xf>
    <xf numFmtId="0" fontId="38" fillId="0" borderId="0" xfId="0" applyFont="1"/>
  </cellXfs>
  <cellStyles count="4">
    <cellStyle name="Currency" xfId="1" builtinId="4"/>
    <cellStyle name="Normal" xfId="0" builtinId="0"/>
    <cellStyle name="Normal 2" xfId="3" xr:uid="{00000000-0005-0000-0000-000002000000}"/>
    <cellStyle name="Percent" xfId="2" builtinId="5"/>
  </cellStyles>
  <dxfs count="0"/>
  <tableStyles count="0" defaultTableStyle="TableStyleMedium9" defaultPivotStyle="PivotStyleMedium7"/>
  <colors>
    <mruColors>
      <color rgb="FF00B300"/>
      <color rgb="FF0000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B3"/>
    <pageSetUpPr fitToPage="1"/>
  </sheetPr>
  <dimension ref="A1:K921"/>
  <sheetViews>
    <sheetView showGridLines="0" tabSelected="1" zoomScale="110" zoomScaleNormal="110" zoomScaleSheetLayoutView="100" zoomScalePageLayoutView="90" workbookViewId="0">
      <pane ySplit="1" topLeftCell="A2" activePane="bottomLeft" state="frozen"/>
      <selection activeCell="N187" sqref="N187"/>
      <selection pane="bottomLeft" activeCell="E3" sqref="E3"/>
    </sheetView>
  </sheetViews>
  <sheetFormatPr baseColWidth="10" defaultColWidth="11" defaultRowHeight="16" x14ac:dyDescent="0.2"/>
  <cols>
    <col min="1" max="1" width="4.6640625" style="1" customWidth="1"/>
    <col min="2" max="2" width="3.6640625" style="4" customWidth="1"/>
    <col min="3" max="3" width="10.1640625" style="4" customWidth="1"/>
    <col min="4" max="4" width="2.6640625" style="4" customWidth="1"/>
    <col min="5" max="5" width="63" style="4" bestFit="1" customWidth="1"/>
    <col min="6" max="9" width="12.6640625" style="4" customWidth="1"/>
    <col min="10" max="10" width="3.1640625" style="4" customWidth="1"/>
    <col min="11" max="16384" width="11" style="4"/>
  </cols>
  <sheetData>
    <row r="1" spans="1:11" ht="20" customHeight="1" thickTop="1" thickBot="1" x14ac:dyDescent="0.25">
      <c r="B1" s="2" t="s">
        <v>15</v>
      </c>
      <c r="C1" s="3"/>
      <c r="E1" s="5"/>
      <c r="F1" s="6" t="s">
        <v>0</v>
      </c>
      <c r="G1" s="7"/>
      <c r="H1" s="8"/>
      <c r="I1" s="8"/>
    </row>
    <row r="2" spans="1:11" ht="20" customHeight="1" thickTop="1" thickBot="1" x14ac:dyDescent="0.25">
      <c r="B2" s="9"/>
      <c r="C2" s="9"/>
      <c r="E2" s="10"/>
      <c r="F2" s="11"/>
      <c r="G2" s="11"/>
      <c r="H2" s="11"/>
      <c r="I2" s="11"/>
    </row>
    <row r="3" spans="1:11" ht="20" customHeight="1" thickTop="1" thickBot="1" x14ac:dyDescent="0.25">
      <c r="B3" s="2" t="s">
        <v>16</v>
      </c>
      <c r="C3" s="12"/>
      <c r="D3" s="13"/>
      <c r="E3" s="5"/>
      <c r="F3" s="14"/>
      <c r="G3" s="14"/>
      <c r="H3" s="15"/>
      <c r="I3" s="14"/>
    </row>
    <row r="4" spans="1:11" ht="20" customHeight="1" thickTop="1" thickBot="1" x14ac:dyDescent="0.25">
      <c r="B4" s="2" t="s">
        <v>17</v>
      </c>
      <c r="C4" s="12"/>
      <c r="D4" s="13"/>
      <c r="E4" s="169" t="s">
        <v>678</v>
      </c>
      <c r="F4" s="6" t="s">
        <v>9</v>
      </c>
      <c r="G4" s="8"/>
      <c r="H4" s="6" t="s">
        <v>11</v>
      </c>
      <c r="I4" s="6" t="s">
        <v>13</v>
      </c>
    </row>
    <row r="5" spans="1:11" ht="20" customHeight="1" thickTop="1" thickBot="1" x14ac:dyDescent="0.25">
      <c r="B5" s="2" t="s">
        <v>18</v>
      </c>
      <c r="C5" s="12"/>
      <c r="D5" s="13"/>
      <c r="E5" s="169" t="s">
        <v>677</v>
      </c>
      <c r="F5" s="16" t="s">
        <v>10</v>
      </c>
      <c r="G5" s="11"/>
      <c r="H5" s="16" t="s">
        <v>12</v>
      </c>
      <c r="I5" s="16" t="s">
        <v>23</v>
      </c>
    </row>
    <row r="6" spans="1:11" ht="20" customHeight="1" thickTop="1" thickBot="1" x14ac:dyDescent="0.25">
      <c r="B6" s="2" t="s">
        <v>19</v>
      </c>
      <c r="C6" s="12"/>
      <c r="D6" s="13"/>
      <c r="E6" s="17"/>
      <c r="F6" s="18"/>
      <c r="G6" s="18"/>
      <c r="H6" s="19"/>
      <c r="I6" s="14"/>
    </row>
    <row r="7" spans="1:11" ht="20" customHeight="1" thickTop="1" thickBot="1" x14ac:dyDescent="0.25">
      <c r="B7" s="20"/>
      <c r="C7" s="20"/>
      <c r="E7" s="20"/>
      <c r="F7" s="20"/>
      <c r="G7" s="20"/>
      <c r="H7" s="20"/>
      <c r="I7" s="20"/>
    </row>
    <row r="8" spans="1:11" ht="20" customHeight="1" thickTop="1" thickBot="1" x14ac:dyDescent="0.25">
      <c r="A8" s="21" t="s">
        <v>20</v>
      </c>
      <c r="B8" s="194" t="s">
        <v>21</v>
      </c>
      <c r="C8" s="195"/>
      <c r="D8" s="23"/>
      <c r="E8" s="24" t="s">
        <v>14</v>
      </c>
      <c r="F8" s="22" t="s">
        <v>1</v>
      </c>
      <c r="G8" s="22" t="s">
        <v>25</v>
      </c>
      <c r="H8" s="22" t="s">
        <v>2</v>
      </c>
      <c r="I8" s="22" t="s">
        <v>4</v>
      </c>
      <c r="K8" s="11" t="s">
        <v>24</v>
      </c>
    </row>
    <row r="9" spans="1:11" ht="20" customHeight="1" thickTop="1" x14ac:dyDescent="0.2">
      <c r="A9" s="25" t="str">
        <f>IF(F9=0,"",1+MAX(A8:A$19))</f>
        <v/>
      </c>
      <c r="B9" s="177"/>
      <c r="C9" s="174"/>
      <c r="D9" s="26"/>
      <c r="E9" s="27" t="s">
        <v>54</v>
      </c>
      <c r="F9" s="28"/>
      <c r="G9" s="28"/>
      <c r="H9" s="29"/>
      <c r="I9" s="30"/>
    </row>
    <row r="10" spans="1:11" ht="20" customHeight="1" x14ac:dyDescent="0.2">
      <c r="A10" s="25">
        <f>IF(F10=0,"",1+MAX(A9))</f>
        <v>1</v>
      </c>
      <c r="B10" s="178"/>
      <c r="C10" s="176"/>
      <c r="D10" s="33"/>
      <c r="E10" s="34" t="s">
        <v>55</v>
      </c>
      <c r="F10" s="35">
        <v>1</v>
      </c>
      <c r="G10" s="35" t="s">
        <v>60</v>
      </c>
      <c r="H10" s="36">
        <v>0</v>
      </c>
      <c r="I10" s="37">
        <f t="shared" ref="I10" si="0">F10*H10</f>
        <v>0</v>
      </c>
    </row>
    <row r="11" spans="1:11" x14ac:dyDescent="0.2">
      <c r="A11" s="25">
        <f t="shared" ref="A11:A15" si="1">IF(F11=0,"",1+MAX(A10))</f>
        <v>2</v>
      </c>
      <c r="B11" s="178"/>
      <c r="C11" s="176"/>
      <c r="D11" s="33"/>
      <c r="E11" s="34" t="s">
        <v>56</v>
      </c>
      <c r="F11" s="35">
        <v>1</v>
      </c>
      <c r="G11" s="35" t="s">
        <v>60</v>
      </c>
      <c r="H11" s="36">
        <v>0</v>
      </c>
      <c r="I11" s="37">
        <f t="shared" ref="I11" si="2">F11*H11</f>
        <v>0</v>
      </c>
    </row>
    <row r="12" spans="1:11" x14ac:dyDescent="0.2">
      <c r="A12" s="25">
        <f t="shared" si="1"/>
        <v>3</v>
      </c>
      <c r="B12" s="178"/>
      <c r="C12" s="176"/>
      <c r="D12" s="33"/>
      <c r="E12" s="34" t="s">
        <v>57</v>
      </c>
      <c r="F12" s="35">
        <v>1</v>
      </c>
      <c r="G12" s="35" t="s">
        <v>30</v>
      </c>
      <c r="H12" s="36">
        <v>0</v>
      </c>
      <c r="I12" s="37">
        <f t="shared" ref="I12:I14" si="3">F12*H12</f>
        <v>0</v>
      </c>
    </row>
    <row r="13" spans="1:11" x14ac:dyDescent="0.2">
      <c r="A13" s="25">
        <f t="shared" si="1"/>
        <v>4</v>
      </c>
      <c r="B13" s="178"/>
      <c r="C13" s="176"/>
      <c r="D13" s="33"/>
      <c r="E13" s="34" t="s">
        <v>58</v>
      </c>
      <c r="F13" s="35">
        <v>1</v>
      </c>
      <c r="G13" s="35" t="s">
        <v>60</v>
      </c>
      <c r="H13" s="36">
        <v>0</v>
      </c>
      <c r="I13" s="37">
        <f t="shared" si="3"/>
        <v>0</v>
      </c>
    </row>
    <row r="14" spans="1:11" ht="20" customHeight="1" x14ac:dyDescent="0.2">
      <c r="A14" s="25">
        <f t="shared" si="1"/>
        <v>5</v>
      </c>
      <c r="B14" s="179"/>
      <c r="C14" s="180"/>
      <c r="D14" s="33"/>
      <c r="E14" s="34" t="s">
        <v>59</v>
      </c>
      <c r="F14" s="35">
        <v>1</v>
      </c>
      <c r="G14" s="35" t="s">
        <v>60</v>
      </c>
      <c r="H14" s="36">
        <v>0</v>
      </c>
      <c r="I14" s="37">
        <f t="shared" si="3"/>
        <v>0</v>
      </c>
    </row>
    <row r="15" spans="1:11" ht="20" customHeight="1" thickBot="1" x14ac:dyDescent="0.25">
      <c r="A15" s="25">
        <f t="shared" si="1"/>
        <v>6</v>
      </c>
      <c r="B15" s="31"/>
      <c r="C15" s="32"/>
      <c r="D15" s="33"/>
      <c r="E15" s="34" t="s">
        <v>500</v>
      </c>
      <c r="F15" s="35">
        <v>14878</v>
      </c>
      <c r="G15" s="35" t="s">
        <v>30</v>
      </c>
      <c r="H15" s="36">
        <v>0</v>
      </c>
      <c r="I15" s="37">
        <f t="shared" ref="I15" si="4">F15*H15</f>
        <v>0</v>
      </c>
    </row>
    <row r="16" spans="1:11" ht="20" customHeight="1" thickTop="1" thickBot="1" x14ac:dyDescent="0.25">
      <c r="A16" s="21" t="str">
        <f>IF(F16=0,"",1+MAX(A16:A$19))</f>
        <v/>
      </c>
      <c r="B16" s="38"/>
      <c r="C16" s="39"/>
      <c r="D16" s="21"/>
      <c r="E16" s="40"/>
      <c r="F16" s="41"/>
      <c r="G16" s="41"/>
      <c r="H16" s="42" t="s">
        <v>61</v>
      </c>
      <c r="I16" s="43">
        <f>SUM(I9:I15)</f>
        <v>0</v>
      </c>
    </row>
    <row r="17" spans="1:11" ht="20" customHeight="1" thickTop="1" thickBot="1" x14ac:dyDescent="0.25">
      <c r="B17" s="44"/>
      <c r="C17" s="44"/>
      <c r="E17" s="45"/>
      <c r="F17" s="46"/>
      <c r="G17" s="46"/>
      <c r="H17" s="47"/>
      <c r="I17" s="48"/>
    </row>
    <row r="18" spans="1:11" ht="20" customHeight="1" thickTop="1" thickBot="1" x14ac:dyDescent="0.25">
      <c r="A18" s="21" t="s">
        <v>20</v>
      </c>
      <c r="B18" s="194" t="s">
        <v>21</v>
      </c>
      <c r="C18" s="195"/>
      <c r="D18" s="23"/>
      <c r="E18" s="24" t="s">
        <v>14</v>
      </c>
      <c r="F18" s="22" t="s">
        <v>1</v>
      </c>
      <c r="G18" s="22" t="s">
        <v>25</v>
      </c>
      <c r="H18" s="22" t="s">
        <v>2</v>
      </c>
      <c r="I18" s="22" t="s">
        <v>4</v>
      </c>
      <c r="K18" s="11" t="s">
        <v>24</v>
      </c>
    </row>
    <row r="19" spans="1:11" ht="20" customHeight="1" thickTop="1" x14ac:dyDescent="0.2">
      <c r="A19" s="49"/>
      <c r="B19" s="177" t="s">
        <v>341</v>
      </c>
      <c r="C19" s="174"/>
      <c r="D19" s="33"/>
      <c r="E19" s="50" t="s">
        <v>36</v>
      </c>
      <c r="F19" s="51"/>
      <c r="G19" s="51"/>
      <c r="H19" s="52"/>
      <c r="I19" s="53"/>
    </row>
    <row r="20" spans="1:11" x14ac:dyDescent="0.2">
      <c r="A20" s="25" t="str">
        <f>IF(F20=0,"",1+MAX(#REF!))</f>
        <v/>
      </c>
      <c r="B20" s="178"/>
      <c r="C20" s="176"/>
      <c r="D20" s="33"/>
      <c r="E20" s="54" t="s">
        <v>302</v>
      </c>
      <c r="F20" s="55"/>
      <c r="G20" s="56"/>
      <c r="H20" s="57"/>
      <c r="I20" s="58"/>
    </row>
    <row r="21" spans="1:11" x14ac:dyDescent="0.2">
      <c r="A21" s="25">
        <f>IF(F21=0,"",1+MAX(A9:A20))</f>
        <v>7</v>
      </c>
      <c r="B21" s="178"/>
      <c r="C21" s="176"/>
      <c r="D21" s="33"/>
      <c r="E21" s="59" t="s">
        <v>241</v>
      </c>
      <c r="F21" s="55">
        <v>14702.02</v>
      </c>
      <c r="G21" s="56" t="s">
        <v>30</v>
      </c>
      <c r="H21" s="57">
        <v>0</v>
      </c>
      <c r="I21" s="58">
        <f t="shared" ref="I21" si="5">F21*H21</f>
        <v>0</v>
      </c>
    </row>
    <row r="22" spans="1:11" x14ac:dyDescent="0.2">
      <c r="A22" s="25">
        <f t="shared" ref="A22:A85" si="6">IF(F22=0,"",1+MAX(A10:A21))</f>
        <v>8</v>
      </c>
      <c r="B22" s="178"/>
      <c r="C22" s="176"/>
      <c r="D22" s="33"/>
      <c r="E22" s="59" t="s">
        <v>242</v>
      </c>
      <c r="F22" s="55">
        <v>5051.88</v>
      </c>
      <c r="G22" s="56" t="s">
        <v>30</v>
      </c>
      <c r="H22" s="57">
        <v>0</v>
      </c>
      <c r="I22" s="58">
        <f t="shared" ref="I22" si="7">F22*H22</f>
        <v>0</v>
      </c>
    </row>
    <row r="23" spans="1:11" x14ac:dyDescent="0.2">
      <c r="A23" s="25">
        <f t="shared" si="6"/>
        <v>9</v>
      </c>
      <c r="B23" s="178"/>
      <c r="C23" s="176"/>
      <c r="D23" s="33"/>
      <c r="E23" s="59" t="s">
        <v>243</v>
      </c>
      <c r="F23" s="55">
        <v>5944.36</v>
      </c>
      <c r="G23" s="56" t="s">
        <v>30</v>
      </c>
      <c r="H23" s="57">
        <v>0</v>
      </c>
      <c r="I23" s="58">
        <f t="shared" ref="I23:I29" si="8">F23*H23</f>
        <v>0</v>
      </c>
    </row>
    <row r="24" spans="1:11" x14ac:dyDescent="0.2">
      <c r="A24" s="25">
        <f t="shared" si="6"/>
        <v>10</v>
      </c>
      <c r="B24" s="178"/>
      <c r="C24" s="176"/>
      <c r="D24" s="33"/>
      <c r="E24" s="59" t="s">
        <v>244</v>
      </c>
      <c r="F24" s="55">
        <v>1843.32</v>
      </c>
      <c r="G24" s="56" t="s">
        <v>30</v>
      </c>
      <c r="H24" s="57">
        <v>0</v>
      </c>
      <c r="I24" s="58">
        <f t="shared" si="8"/>
        <v>0</v>
      </c>
    </row>
    <row r="25" spans="1:11" x14ac:dyDescent="0.2">
      <c r="A25" s="25">
        <f t="shared" si="6"/>
        <v>11</v>
      </c>
      <c r="B25" s="178"/>
      <c r="C25" s="176"/>
      <c r="D25" s="33"/>
      <c r="E25" s="59" t="s">
        <v>245</v>
      </c>
      <c r="F25" s="55">
        <v>22815.65</v>
      </c>
      <c r="G25" s="56" t="s">
        <v>30</v>
      </c>
      <c r="H25" s="57">
        <v>0</v>
      </c>
      <c r="I25" s="58">
        <f t="shared" si="8"/>
        <v>0</v>
      </c>
    </row>
    <row r="26" spans="1:11" x14ac:dyDescent="0.2">
      <c r="A26" s="25">
        <f t="shared" si="6"/>
        <v>12</v>
      </c>
      <c r="B26" s="178"/>
      <c r="C26" s="176"/>
      <c r="D26" s="33"/>
      <c r="E26" s="59" t="s">
        <v>246</v>
      </c>
      <c r="F26" s="55">
        <v>1231.58</v>
      </c>
      <c r="G26" s="56" t="s">
        <v>30</v>
      </c>
      <c r="H26" s="57">
        <v>0</v>
      </c>
      <c r="I26" s="58">
        <f t="shared" si="8"/>
        <v>0</v>
      </c>
    </row>
    <row r="27" spans="1:11" x14ac:dyDescent="0.2">
      <c r="A27" s="25">
        <f t="shared" si="6"/>
        <v>13</v>
      </c>
      <c r="B27" s="178"/>
      <c r="C27" s="176"/>
      <c r="D27" s="33"/>
      <c r="E27" s="59" t="s">
        <v>247</v>
      </c>
      <c r="F27" s="55">
        <v>393.02</v>
      </c>
      <c r="G27" s="56" t="s">
        <v>32</v>
      </c>
      <c r="H27" s="57">
        <v>0</v>
      </c>
      <c r="I27" s="58">
        <f t="shared" si="8"/>
        <v>0</v>
      </c>
    </row>
    <row r="28" spans="1:11" x14ac:dyDescent="0.2">
      <c r="A28" s="25">
        <f t="shared" si="6"/>
        <v>14</v>
      </c>
      <c r="B28" s="178"/>
      <c r="C28" s="176"/>
      <c r="D28" s="33"/>
      <c r="E28" s="59" t="s">
        <v>248</v>
      </c>
      <c r="F28" s="55">
        <v>198.53</v>
      </c>
      <c r="G28" s="56" t="s">
        <v>32</v>
      </c>
      <c r="H28" s="57">
        <v>0</v>
      </c>
      <c r="I28" s="58">
        <f t="shared" si="8"/>
        <v>0</v>
      </c>
    </row>
    <row r="29" spans="1:11" x14ac:dyDescent="0.2">
      <c r="A29" s="25">
        <f t="shared" si="6"/>
        <v>15</v>
      </c>
      <c r="B29" s="178"/>
      <c r="C29" s="176"/>
      <c r="D29" s="33"/>
      <c r="E29" s="59" t="s">
        <v>318</v>
      </c>
      <c r="F29" s="55">
        <v>237.51</v>
      </c>
      <c r="G29" s="56" t="s">
        <v>32</v>
      </c>
      <c r="H29" s="57">
        <v>0</v>
      </c>
      <c r="I29" s="58">
        <f t="shared" si="8"/>
        <v>0</v>
      </c>
    </row>
    <row r="30" spans="1:11" x14ac:dyDescent="0.2">
      <c r="A30" s="25">
        <f t="shared" si="6"/>
        <v>16</v>
      </c>
      <c r="B30" s="178"/>
      <c r="C30" s="176"/>
      <c r="D30" s="33"/>
      <c r="E30" s="59" t="s">
        <v>249</v>
      </c>
      <c r="F30" s="55">
        <v>73.010000000000005</v>
      </c>
      <c r="G30" s="56" t="s">
        <v>32</v>
      </c>
      <c r="H30" s="57">
        <v>0</v>
      </c>
      <c r="I30" s="58">
        <f t="shared" ref="I30" si="9">F30*H30</f>
        <v>0</v>
      </c>
    </row>
    <row r="31" spans="1:11" x14ac:dyDescent="0.2">
      <c r="A31" s="25">
        <f t="shared" si="6"/>
        <v>17</v>
      </c>
      <c r="B31" s="178"/>
      <c r="C31" s="176"/>
      <c r="D31" s="33"/>
      <c r="E31" s="59" t="s">
        <v>250</v>
      </c>
      <c r="F31" s="55">
        <v>87.86</v>
      </c>
      <c r="G31" s="56" t="s">
        <v>32</v>
      </c>
      <c r="H31" s="57">
        <v>0</v>
      </c>
      <c r="I31" s="58">
        <f t="shared" ref="I31:I37" si="10">F31*H31</f>
        <v>0</v>
      </c>
    </row>
    <row r="32" spans="1:11" x14ac:dyDescent="0.2">
      <c r="A32" s="25">
        <f t="shared" si="6"/>
        <v>18</v>
      </c>
      <c r="B32" s="178"/>
      <c r="C32" s="176"/>
      <c r="D32" s="33"/>
      <c r="E32" s="59" t="s">
        <v>251</v>
      </c>
      <c r="F32" s="55">
        <v>171.37</v>
      </c>
      <c r="G32" s="56" t="s">
        <v>32</v>
      </c>
      <c r="H32" s="57">
        <v>0</v>
      </c>
      <c r="I32" s="58">
        <f t="shared" si="10"/>
        <v>0</v>
      </c>
    </row>
    <row r="33" spans="1:9" x14ac:dyDescent="0.2">
      <c r="A33" s="25">
        <f t="shared" si="6"/>
        <v>19</v>
      </c>
      <c r="B33" s="178"/>
      <c r="C33" s="176"/>
      <c r="D33" s="33"/>
      <c r="E33" s="59" t="s">
        <v>252</v>
      </c>
      <c r="F33" s="55">
        <v>63.69</v>
      </c>
      <c r="G33" s="56" t="s">
        <v>32</v>
      </c>
      <c r="H33" s="57">
        <v>0</v>
      </c>
      <c r="I33" s="58">
        <f t="shared" si="10"/>
        <v>0</v>
      </c>
    </row>
    <row r="34" spans="1:9" x14ac:dyDescent="0.2">
      <c r="A34" s="25">
        <f t="shared" si="6"/>
        <v>20</v>
      </c>
      <c r="B34" s="178"/>
      <c r="C34" s="176"/>
      <c r="D34" s="33"/>
      <c r="E34" s="59" t="s">
        <v>253</v>
      </c>
      <c r="F34" s="55">
        <v>80.45</v>
      </c>
      <c r="G34" s="56" t="s">
        <v>32</v>
      </c>
      <c r="H34" s="57">
        <v>0</v>
      </c>
      <c r="I34" s="58">
        <f t="shared" si="10"/>
        <v>0</v>
      </c>
    </row>
    <row r="35" spans="1:9" x14ac:dyDescent="0.2">
      <c r="A35" s="25">
        <f t="shared" si="6"/>
        <v>21</v>
      </c>
      <c r="B35" s="178"/>
      <c r="C35" s="176"/>
      <c r="D35" s="33"/>
      <c r="E35" s="59" t="s">
        <v>254</v>
      </c>
      <c r="F35" s="55">
        <v>278</v>
      </c>
      <c r="G35" s="56" t="s">
        <v>32</v>
      </c>
      <c r="H35" s="57">
        <v>0</v>
      </c>
      <c r="I35" s="58">
        <f t="shared" si="10"/>
        <v>0</v>
      </c>
    </row>
    <row r="36" spans="1:9" x14ac:dyDescent="0.2">
      <c r="A36" s="25" t="str">
        <f t="shared" si="6"/>
        <v/>
      </c>
      <c r="B36" s="178"/>
      <c r="C36" s="176"/>
      <c r="D36" s="33"/>
      <c r="E36" s="60" t="s">
        <v>255</v>
      </c>
      <c r="F36" s="55"/>
      <c r="G36" s="56"/>
      <c r="H36" s="57"/>
      <c r="I36" s="58"/>
    </row>
    <row r="37" spans="1:9" x14ac:dyDescent="0.2">
      <c r="A37" s="25">
        <f t="shared" si="6"/>
        <v>22</v>
      </c>
      <c r="B37" s="178"/>
      <c r="C37" s="176"/>
      <c r="D37" s="33"/>
      <c r="E37" s="59" t="s">
        <v>256</v>
      </c>
      <c r="F37" s="55">
        <v>1</v>
      </c>
      <c r="G37" s="56" t="s">
        <v>28</v>
      </c>
      <c r="H37" s="57">
        <v>0</v>
      </c>
      <c r="I37" s="58">
        <f t="shared" si="10"/>
        <v>0</v>
      </c>
    </row>
    <row r="38" spans="1:9" x14ac:dyDescent="0.2">
      <c r="A38" s="25">
        <f t="shared" si="6"/>
        <v>23</v>
      </c>
      <c r="B38" s="178"/>
      <c r="C38" s="176"/>
      <c r="D38" s="33"/>
      <c r="E38" s="59" t="s">
        <v>544</v>
      </c>
      <c r="F38" s="55">
        <v>2</v>
      </c>
      <c r="G38" s="56" t="s">
        <v>28</v>
      </c>
      <c r="H38" s="57">
        <v>0</v>
      </c>
      <c r="I38" s="58">
        <f t="shared" ref="I38:I46" si="11">F38*H38</f>
        <v>0</v>
      </c>
    </row>
    <row r="39" spans="1:9" x14ac:dyDescent="0.2">
      <c r="A39" s="25">
        <f t="shared" si="6"/>
        <v>24</v>
      </c>
      <c r="B39" s="178"/>
      <c r="C39" s="176"/>
      <c r="D39" s="33"/>
      <c r="E39" s="59" t="s">
        <v>257</v>
      </c>
      <c r="F39" s="55">
        <v>1</v>
      </c>
      <c r="G39" s="56" t="s">
        <v>28</v>
      </c>
      <c r="H39" s="57">
        <v>0</v>
      </c>
      <c r="I39" s="58">
        <f t="shared" si="11"/>
        <v>0</v>
      </c>
    </row>
    <row r="40" spans="1:9" x14ac:dyDescent="0.2">
      <c r="A40" s="25">
        <f t="shared" si="6"/>
        <v>25</v>
      </c>
      <c r="B40" s="178"/>
      <c r="C40" s="176"/>
      <c r="D40" s="33"/>
      <c r="E40" s="59" t="s">
        <v>258</v>
      </c>
      <c r="F40" s="55">
        <v>2</v>
      </c>
      <c r="G40" s="56" t="s">
        <v>28</v>
      </c>
      <c r="H40" s="57">
        <v>0</v>
      </c>
      <c r="I40" s="58">
        <f t="shared" si="11"/>
        <v>0</v>
      </c>
    </row>
    <row r="41" spans="1:9" x14ac:dyDescent="0.2">
      <c r="A41" s="25">
        <f t="shared" si="6"/>
        <v>26</v>
      </c>
      <c r="B41" s="178"/>
      <c r="C41" s="176"/>
      <c r="D41" s="33"/>
      <c r="E41" s="59" t="s">
        <v>259</v>
      </c>
      <c r="F41" s="55">
        <v>1</v>
      </c>
      <c r="G41" s="56" t="s">
        <v>28</v>
      </c>
      <c r="H41" s="57">
        <v>0</v>
      </c>
      <c r="I41" s="58">
        <f t="shared" si="11"/>
        <v>0</v>
      </c>
    </row>
    <row r="42" spans="1:9" x14ac:dyDescent="0.2">
      <c r="A42" s="25">
        <f t="shared" si="6"/>
        <v>27</v>
      </c>
      <c r="B42" s="178"/>
      <c r="C42" s="176"/>
      <c r="D42" s="33"/>
      <c r="E42" s="59" t="s">
        <v>260</v>
      </c>
      <c r="F42" s="55">
        <v>1</v>
      </c>
      <c r="G42" s="56" t="s">
        <v>28</v>
      </c>
      <c r="H42" s="57">
        <v>0</v>
      </c>
      <c r="I42" s="58">
        <f t="shared" si="11"/>
        <v>0</v>
      </c>
    </row>
    <row r="43" spans="1:9" x14ac:dyDescent="0.2">
      <c r="A43" s="25">
        <f t="shared" si="6"/>
        <v>28</v>
      </c>
      <c r="B43" s="178"/>
      <c r="C43" s="176"/>
      <c r="D43" s="33"/>
      <c r="E43" s="59" t="s">
        <v>261</v>
      </c>
      <c r="F43" s="55">
        <v>4</v>
      </c>
      <c r="G43" s="56" t="s">
        <v>28</v>
      </c>
      <c r="H43" s="57">
        <v>0</v>
      </c>
      <c r="I43" s="58">
        <f t="shared" si="11"/>
        <v>0</v>
      </c>
    </row>
    <row r="44" spans="1:9" x14ac:dyDescent="0.2">
      <c r="A44" s="25">
        <f t="shared" si="6"/>
        <v>29</v>
      </c>
      <c r="B44" s="178"/>
      <c r="C44" s="176"/>
      <c r="D44" s="33"/>
      <c r="E44" s="59" t="s">
        <v>262</v>
      </c>
      <c r="F44" s="55">
        <v>6</v>
      </c>
      <c r="G44" s="56" t="s">
        <v>28</v>
      </c>
      <c r="H44" s="57">
        <v>0</v>
      </c>
      <c r="I44" s="58">
        <f t="shared" si="11"/>
        <v>0</v>
      </c>
    </row>
    <row r="45" spans="1:9" x14ac:dyDescent="0.2">
      <c r="A45" s="25">
        <f t="shared" si="6"/>
        <v>30</v>
      </c>
      <c r="B45" s="178"/>
      <c r="C45" s="176"/>
      <c r="D45" s="33"/>
      <c r="E45" s="59" t="s">
        <v>263</v>
      </c>
      <c r="F45" s="55">
        <v>1</v>
      </c>
      <c r="G45" s="56" t="s">
        <v>28</v>
      </c>
      <c r="H45" s="57">
        <v>0</v>
      </c>
      <c r="I45" s="58">
        <f t="shared" si="11"/>
        <v>0</v>
      </c>
    </row>
    <row r="46" spans="1:9" x14ac:dyDescent="0.2">
      <c r="A46" s="25">
        <f t="shared" si="6"/>
        <v>31</v>
      </c>
      <c r="B46" s="178"/>
      <c r="C46" s="176"/>
      <c r="D46" s="33"/>
      <c r="E46" s="59" t="s">
        <v>264</v>
      </c>
      <c r="F46" s="55">
        <v>1</v>
      </c>
      <c r="G46" s="56" t="s">
        <v>28</v>
      </c>
      <c r="H46" s="57">
        <v>0</v>
      </c>
      <c r="I46" s="58">
        <f t="shared" si="11"/>
        <v>0</v>
      </c>
    </row>
    <row r="47" spans="1:9" x14ac:dyDescent="0.2">
      <c r="A47" s="25" t="str">
        <f t="shared" si="6"/>
        <v/>
      </c>
      <c r="B47" s="178"/>
      <c r="C47" s="176"/>
      <c r="D47" s="33"/>
      <c r="E47" s="54" t="s">
        <v>303</v>
      </c>
      <c r="F47" s="55"/>
      <c r="G47" s="56"/>
      <c r="H47" s="57"/>
      <c r="I47" s="58"/>
    </row>
    <row r="48" spans="1:9" x14ac:dyDescent="0.2">
      <c r="A48" s="25">
        <f t="shared" si="6"/>
        <v>32</v>
      </c>
      <c r="B48" s="178"/>
      <c r="C48" s="176"/>
      <c r="D48" s="33"/>
      <c r="E48" s="59" t="s">
        <v>265</v>
      </c>
      <c r="F48" s="55">
        <v>2750.25</v>
      </c>
      <c r="G48" s="56" t="s">
        <v>30</v>
      </c>
      <c r="H48" s="57">
        <v>0</v>
      </c>
      <c r="I48" s="58">
        <f t="shared" ref="I48:I54" si="12">F48*H48</f>
        <v>0</v>
      </c>
    </row>
    <row r="49" spans="1:9" x14ac:dyDescent="0.2">
      <c r="A49" s="25">
        <f t="shared" si="6"/>
        <v>33</v>
      </c>
      <c r="B49" s="178"/>
      <c r="C49" s="176"/>
      <c r="D49" s="33"/>
      <c r="E49" s="59" t="s">
        <v>545</v>
      </c>
      <c r="F49" s="55">
        <v>3</v>
      </c>
      <c r="G49" s="56" t="s">
        <v>28</v>
      </c>
      <c r="H49" s="57">
        <v>0</v>
      </c>
      <c r="I49" s="58">
        <f t="shared" si="12"/>
        <v>0</v>
      </c>
    </row>
    <row r="50" spans="1:9" x14ac:dyDescent="0.2">
      <c r="A50" s="25">
        <f t="shared" si="6"/>
        <v>34</v>
      </c>
      <c r="B50" s="178"/>
      <c r="C50" s="176"/>
      <c r="D50" s="33"/>
      <c r="E50" s="59" t="s">
        <v>266</v>
      </c>
      <c r="F50" s="55">
        <v>298.98</v>
      </c>
      <c r="G50" s="56" t="s">
        <v>32</v>
      </c>
      <c r="H50" s="57">
        <v>0</v>
      </c>
      <c r="I50" s="58">
        <f t="shared" si="12"/>
        <v>0</v>
      </c>
    </row>
    <row r="51" spans="1:9" x14ac:dyDescent="0.2">
      <c r="A51" s="25">
        <f t="shared" si="6"/>
        <v>35</v>
      </c>
      <c r="B51" s="178"/>
      <c r="C51" s="176"/>
      <c r="D51" s="33"/>
      <c r="E51" s="59" t="s">
        <v>267</v>
      </c>
      <c r="F51" s="55">
        <v>1352.18</v>
      </c>
      <c r="G51" s="56" t="s">
        <v>32</v>
      </c>
      <c r="H51" s="57">
        <v>0</v>
      </c>
      <c r="I51" s="58">
        <f t="shared" si="12"/>
        <v>0</v>
      </c>
    </row>
    <row r="52" spans="1:9" x14ac:dyDescent="0.2">
      <c r="A52" s="25">
        <f t="shared" si="6"/>
        <v>36</v>
      </c>
      <c r="B52" s="178"/>
      <c r="C52" s="176"/>
      <c r="D52" s="33"/>
      <c r="E52" s="59" t="s">
        <v>268</v>
      </c>
      <c r="F52" s="55">
        <v>345.92</v>
      </c>
      <c r="G52" s="56" t="s">
        <v>32</v>
      </c>
      <c r="H52" s="57">
        <v>0</v>
      </c>
      <c r="I52" s="58">
        <f t="shared" si="12"/>
        <v>0</v>
      </c>
    </row>
    <row r="53" spans="1:9" x14ac:dyDescent="0.2">
      <c r="A53" s="25">
        <f t="shared" si="6"/>
        <v>37</v>
      </c>
      <c r="B53" s="178"/>
      <c r="C53" s="176"/>
      <c r="D53" s="33"/>
      <c r="E53" s="59" t="s">
        <v>269</v>
      </c>
      <c r="F53" s="55">
        <v>195.05</v>
      </c>
      <c r="G53" s="56" t="s">
        <v>32</v>
      </c>
      <c r="H53" s="57">
        <v>0</v>
      </c>
      <c r="I53" s="58">
        <f t="shared" si="12"/>
        <v>0</v>
      </c>
    </row>
    <row r="54" spans="1:9" x14ac:dyDescent="0.2">
      <c r="A54" s="25">
        <f t="shared" si="6"/>
        <v>38</v>
      </c>
      <c r="B54" s="178"/>
      <c r="C54" s="176"/>
      <c r="D54" s="33"/>
      <c r="E54" s="59" t="s">
        <v>270</v>
      </c>
      <c r="F54" s="55">
        <v>140.04</v>
      </c>
      <c r="G54" s="56" t="s">
        <v>32</v>
      </c>
      <c r="H54" s="57">
        <v>0</v>
      </c>
      <c r="I54" s="58">
        <f t="shared" si="12"/>
        <v>0</v>
      </c>
    </row>
    <row r="55" spans="1:9" x14ac:dyDescent="0.2">
      <c r="A55" s="25">
        <f t="shared" si="6"/>
        <v>39</v>
      </c>
      <c r="B55" s="178"/>
      <c r="C55" s="176"/>
      <c r="D55" s="33"/>
      <c r="E55" s="59" t="s">
        <v>271</v>
      </c>
      <c r="F55" s="55">
        <v>13.26</v>
      </c>
      <c r="G55" s="56" t="s">
        <v>32</v>
      </c>
      <c r="H55" s="57">
        <v>0</v>
      </c>
      <c r="I55" s="58">
        <f t="shared" ref="I55:I61" si="13">F55*H55</f>
        <v>0</v>
      </c>
    </row>
    <row r="56" spans="1:9" x14ac:dyDescent="0.2">
      <c r="A56" s="25">
        <f t="shared" si="6"/>
        <v>40</v>
      </c>
      <c r="B56" s="178"/>
      <c r="C56" s="176"/>
      <c r="D56" s="33"/>
      <c r="E56" s="59" t="s">
        <v>272</v>
      </c>
      <c r="F56" s="55">
        <v>82.57</v>
      </c>
      <c r="G56" s="56" t="s">
        <v>32</v>
      </c>
      <c r="H56" s="57">
        <v>0</v>
      </c>
      <c r="I56" s="58">
        <f t="shared" si="13"/>
        <v>0</v>
      </c>
    </row>
    <row r="57" spans="1:9" x14ac:dyDescent="0.2">
      <c r="A57" s="25">
        <f t="shared" si="6"/>
        <v>41</v>
      </c>
      <c r="B57" s="178"/>
      <c r="C57" s="176"/>
      <c r="D57" s="33"/>
      <c r="E57" s="59" t="s">
        <v>273</v>
      </c>
      <c r="F57" s="55">
        <v>25</v>
      </c>
      <c r="G57" s="56" t="s">
        <v>28</v>
      </c>
      <c r="H57" s="57">
        <v>0</v>
      </c>
      <c r="I57" s="58">
        <f t="shared" si="13"/>
        <v>0</v>
      </c>
    </row>
    <row r="58" spans="1:9" x14ac:dyDescent="0.2">
      <c r="A58" s="25">
        <f t="shared" si="6"/>
        <v>42</v>
      </c>
      <c r="B58" s="178"/>
      <c r="C58" s="176"/>
      <c r="D58" s="33"/>
      <c r="E58" s="59" t="s">
        <v>274</v>
      </c>
      <c r="F58" s="55">
        <v>8</v>
      </c>
      <c r="G58" s="56" t="s">
        <v>28</v>
      </c>
      <c r="H58" s="57">
        <v>0</v>
      </c>
      <c r="I58" s="58">
        <f t="shared" si="13"/>
        <v>0</v>
      </c>
    </row>
    <row r="59" spans="1:9" x14ac:dyDescent="0.2">
      <c r="A59" s="25">
        <f t="shared" si="6"/>
        <v>43</v>
      </c>
      <c r="B59" s="178"/>
      <c r="C59" s="176"/>
      <c r="D59" s="33"/>
      <c r="E59" s="59" t="s">
        <v>275</v>
      </c>
      <c r="F59" s="55">
        <v>1</v>
      </c>
      <c r="G59" s="56" t="s">
        <v>28</v>
      </c>
      <c r="H59" s="57">
        <v>0</v>
      </c>
      <c r="I59" s="58">
        <f t="shared" si="13"/>
        <v>0</v>
      </c>
    </row>
    <row r="60" spans="1:9" x14ac:dyDescent="0.2">
      <c r="A60" s="25">
        <f t="shared" si="6"/>
        <v>44</v>
      </c>
      <c r="B60" s="178"/>
      <c r="C60" s="176"/>
      <c r="D60" s="33"/>
      <c r="E60" s="59" t="s">
        <v>276</v>
      </c>
      <c r="F60" s="55">
        <v>1</v>
      </c>
      <c r="G60" s="56" t="s">
        <v>28</v>
      </c>
      <c r="H60" s="57">
        <v>0</v>
      </c>
      <c r="I60" s="58">
        <f t="shared" si="13"/>
        <v>0</v>
      </c>
    </row>
    <row r="61" spans="1:9" x14ac:dyDescent="0.2">
      <c r="A61" s="25">
        <f t="shared" si="6"/>
        <v>45</v>
      </c>
      <c r="B61" s="178"/>
      <c r="C61" s="176"/>
      <c r="D61" s="33"/>
      <c r="E61" s="59" t="s">
        <v>277</v>
      </c>
      <c r="F61" s="55">
        <v>1</v>
      </c>
      <c r="G61" s="56" t="s">
        <v>28</v>
      </c>
      <c r="H61" s="57">
        <v>0</v>
      </c>
      <c r="I61" s="58">
        <f t="shared" si="13"/>
        <v>0</v>
      </c>
    </row>
    <row r="62" spans="1:9" x14ac:dyDescent="0.2">
      <c r="A62" s="25" t="str">
        <f t="shared" si="6"/>
        <v/>
      </c>
      <c r="B62" s="178"/>
      <c r="C62" s="176"/>
      <c r="D62" s="33"/>
      <c r="E62" s="61" t="s">
        <v>535</v>
      </c>
      <c r="F62" s="55"/>
      <c r="G62" s="56"/>
      <c r="H62" s="57"/>
      <c r="I62" s="58"/>
    </row>
    <row r="63" spans="1:9" x14ac:dyDescent="0.2">
      <c r="A63" s="25">
        <f t="shared" si="6"/>
        <v>46</v>
      </c>
      <c r="B63" s="178"/>
      <c r="C63" s="176"/>
      <c r="D63" s="33"/>
      <c r="E63" s="59" t="s">
        <v>536</v>
      </c>
      <c r="F63" s="55">
        <v>697</v>
      </c>
      <c r="G63" s="56" t="s">
        <v>30</v>
      </c>
      <c r="H63" s="57">
        <v>0</v>
      </c>
      <c r="I63" s="58">
        <f t="shared" ref="I63:I66" si="14">F63*H63</f>
        <v>0</v>
      </c>
    </row>
    <row r="64" spans="1:9" x14ac:dyDescent="0.2">
      <c r="A64" s="25">
        <f t="shared" si="6"/>
        <v>47</v>
      </c>
      <c r="B64" s="178"/>
      <c r="C64" s="176"/>
      <c r="D64" s="33"/>
      <c r="E64" s="59" t="s">
        <v>546</v>
      </c>
      <c r="F64" s="55">
        <v>459</v>
      </c>
      <c r="G64" s="56" t="s">
        <v>30</v>
      </c>
      <c r="H64" s="57">
        <v>0</v>
      </c>
      <c r="I64" s="58">
        <f t="shared" si="14"/>
        <v>0</v>
      </c>
    </row>
    <row r="65" spans="1:9" x14ac:dyDescent="0.2">
      <c r="A65" s="25">
        <f t="shared" si="6"/>
        <v>48</v>
      </c>
      <c r="B65" s="178"/>
      <c r="C65" s="176"/>
      <c r="D65" s="33"/>
      <c r="E65" s="59" t="s">
        <v>537</v>
      </c>
      <c r="F65" s="55">
        <v>177.2</v>
      </c>
      <c r="G65" s="56" t="s">
        <v>38</v>
      </c>
      <c r="H65" s="57">
        <v>0</v>
      </c>
      <c r="I65" s="58">
        <f t="shared" si="14"/>
        <v>0</v>
      </c>
    </row>
    <row r="66" spans="1:9" x14ac:dyDescent="0.2">
      <c r="A66" s="25">
        <f t="shared" si="6"/>
        <v>49</v>
      </c>
      <c r="B66" s="178"/>
      <c r="C66" s="176"/>
      <c r="D66" s="33"/>
      <c r="E66" s="59" t="s">
        <v>307</v>
      </c>
      <c r="F66" s="55">
        <v>177.2</v>
      </c>
      <c r="G66" s="56" t="s">
        <v>38</v>
      </c>
      <c r="H66" s="57">
        <v>0</v>
      </c>
      <c r="I66" s="58">
        <f t="shared" si="14"/>
        <v>0</v>
      </c>
    </row>
    <row r="67" spans="1:9" x14ac:dyDescent="0.2">
      <c r="A67" s="25" t="str">
        <f t="shared" si="6"/>
        <v/>
      </c>
      <c r="B67" s="178"/>
      <c r="C67" s="176"/>
      <c r="D67" s="33"/>
      <c r="E67" s="54" t="s">
        <v>278</v>
      </c>
      <c r="F67" s="55"/>
      <c r="G67" s="56"/>
      <c r="H67" s="57"/>
      <c r="I67" s="58"/>
    </row>
    <row r="68" spans="1:9" x14ac:dyDescent="0.2">
      <c r="A68" s="25">
        <f t="shared" si="6"/>
        <v>50</v>
      </c>
      <c r="B68" s="178"/>
      <c r="C68" s="176"/>
      <c r="D68" s="33"/>
      <c r="E68" s="59" t="s">
        <v>279</v>
      </c>
      <c r="F68" s="55">
        <v>380.27</v>
      </c>
      <c r="G68" s="56" t="s">
        <v>32</v>
      </c>
      <c r="H68" s="57">
        <v>0</v>
      </c>
      <c r="I68" s="58">
        <f t="shared" ref="I68:I71" si="15">F68*H68</f>
        <v>0</v>
      </c>
    </row>
    <row r="69" spans="1:9" x14ac:dyDescent="0.2">
      <c r="A69" s="25">
        <f t="shared" si="6"/>
        <v>51</v>
      </c>
      <c r="B69" s="178"/>
      <c r="C69" s="176"/>
      <c r="D69" s="33"/>
      <c r="E69" s="59" t="s">
        <v>319</v>
      </c>
      <c r="F69" s="55">
        <v>120.84</v>
      </c>
      <c r="G69" s="56" t="s">
        <v>32</v>
      </c>
      <c r="H69" s="57">
        <v>0</v>
      </c>
      <c r="I69" s="58">
        <f t="shared" si="15"/>
        <v>0</v>
      </c>
    </row>
    <row r="70" spans="1:9" x14ac:dyDescent="0.2">
      <c r="A70" s="25">
        <f t="shared" si="6"/>
        <v>52</v>
      </c>
      <c r="B70" s="178"/>
      <c r="C70" s="176"/>
      <c r="D70" s="33"/>
      <c r="E70" s="59" t="s">
        <v>320</v>
      </c>
      <c r="F70" s="55">
        <v>71.61</v>
      </c>
      <c r="G70" s="56" t="s">
        <v>32</v>
      </c>
      <c r="H70" s="57">
        <v>0</v>
      </c>
      <c r="I70" s="58">
        <f t="shared" si="15"/>
        <v>0</v>
      </c>
    </row>
    <row r="71" spans="1:9" x14ac:dyDescent="0.2">
      <c r="A71" s="25">
        <f t="shared" si="6"/>
        <v>53</v>
      </c>
      <c r="B71" s="178"/>
      <c r="C71" s="176"/>
      <c r="D71" s="33"/>
      <c r="E71" s="59" t="s">
        <v>280</v>
      </c>
      <c r="F71" s="55">
        <v>231</v>
      </c>
      <c r="G71" s="56" t="s">
        <v>32</v>
      </c>
      <c r="H71" s="57">
        <v>0</v>
      </c>
      <c r="I71" s="58">
        <f t="shared" si="15"/>
        <v>0</v>
      </c>
    </row>
    <row r="72" spans="1:9" x14ac:dyDescent="0.2">
      <c r="A72" s="25" t="str">
        <f t="shared" si="6"/>
        <v/>
      </c>
      <c r="B72" s="178"/>
      <c r="C72" s="176"/>
      <c r="D72" s="33"/>
      <c r="E72" s="60" t="s">
        <v>281</v>
      </c>
      <c r="F72" s="55"/>
      <c r="G72" s="56"/>
      <c r="H72" s="57"/>
      <c r="I72" s="58"/>
    </row>
    <row r="73" spans="1:9" x14ac:dyDescent="0.2">
      <c r="A73" s="25">
        <f t="shared" si="6"/>
        <v>54</v>
      </c>
      <c r="B73" s="178"/>
      <c r="C73" s="176"/>
      <c r="D73" s="33"/>
      <c r="E73" s="59" t="s">
        <v>282</v>
      </c>
      <c r="F73" s="55">
        <v>2</v>
      </c>
      <c r="G73" s="56" t="s">
        <v>28</v>
      </c>
      <c r="H73" s="57">
        <v>0</v>
      </c>
      <c r="I73" s="58"/>
    </row>
    <row r="74" spans="1:9" x14ac:dyDescent="0.2">
      <c r="A74" s="25">
        <f t="shared" si="6"/>
        <v>55</v>
      </c>
      <c r="B74" s="178"/>
      <c r="C74" s="176"/>
      <c r="D74" s="33"/>
      <c r="E74" s="59" t="s">
        <v>283</v>
      </c>
      <c r="F74" s="55">
        <v>1</v>
      </c>
      <c r="G74" s="56" t="s">
        <v>28</v>
      </c>
      <c r="H74" s="57">
        <v>0</v>
      </c>
      <c r="I74" s="58">
        <f t="shared" ref="I74" si="16">F74*H74</f>
        <v>0</v>
      </c>
    </row>
    <row r="75" spans="1:9" x14ac:dyDescent="0.2">
      <c r="A75" s="25" t="str">
        <f t="shared" si="6"/>
        <v/>
      </c>
      <c r="B75" s="178"/>
      <c r="C75" s="176"/>
      <c r="D75" s="33"/>
      <c r="E75" s="60" t="s">
        <v>167</v>
      </c>
      <c r="F75" s="55"/>
      <c r="G75" s="56"/>
      <c r="H75" s="57"/>
      <c r="I75" s="58"/>
    </row>
    <row r="76" spans="1:9" x14ac:dyDescent="0.2">
      <c r="A76" s="25">
        <f t="shared" si="6"/>
        <v>56</v>
      </c>
      <c r="B76" s="178"/>
      <c r="C76" s="176"/>
      <c r="D76" s="33"/>
      <c r="E76" s="59" t="s">
        <v>284</v>
      </c>
      <c r="F76" s="55">
        <v>3</v>
      </c>
      <c r="G76" s="56" t="s">
        <v>28</v>
      </c>
      <c r="H76" s="57">
        <v>0</v>
      </c>
      <c r="I76" s="58">
        <f t="shared" ref="I76:I95" si="17">F76*H76</f>
        <v>0</v>
      </c>
    </row>
    <row r="77" spans="1:9" x14ac:dyDescent="0.2">
      <c r="A77" s="25">
        <f t="shared" si="6"/>
        <v>57</v>
      </c>
      <c r="B77" s="178"/>
      <c r="C77" s="176"/>
      <c r="D77" s="33"/>
      <c r="E77" s="59" t="s">
        <v>285</v>
      </c>
      <c r="F77" s="55">
        <v>2</v>
      </c>
      <c r="G77" s="56" t="s">
        <v>28</v>
      </c>
      <c r="H77" s="57">
        <v>0</v>
      </c>
      <c r="I77" s="58">
        <f t="shared" si="17"/>
        <v>0</v>
      </c>
    </row>
    <row r="78" spans="1:9" x14ac:dyDescent="0.2">
      <c r="A78" s="25">
        <f t="shared" si="6"/>
        <v>58</v>
      </c>
      <c r="B78" s="178"/>
      <c r="C78" s="176"/>
      <c r="D78" s="33"/>
      <c r="E78" s="59" t="s">
        <v>286</v>
      </c>
      <c r="F78" s="55">
        <v>2</v>
      </c>
      <c r="G78" s="56" t="s">
        <v>28</v>
      </c>
      <c r="H78" s="57">
        <v>0</v>
      </c>
      <c r="I78" s="58">
        <f t="shared" si="17"/>
        <v>0</v>
      </c>
    </row>
    <row r="79" spans="1:9" x14ac:dyDescent="0.2">
      <c r="A79" s="25">
        <f t="shared" si="6"/>
        <v>59</v>
      </c>
      <c r="B79" s="178"/>
      <c r="C79" s="176"/>
      <c r="D79" s="33"/>
      <c r="E79" s="59" t="s">
        <v>287</v>
      </c>
      <c r="F79" s="55">
        <v>2</v>
      </c>
      <c r="G79" s="56" t="s">
        <v>28</v>
      </c>
      <c r="H79" s="57">
        <v>0</v>
      </c>
      <c r="I79" s="58">
        <f t="shared" si="17"/>
        <v>0</v>
      </c>
    </row>
    <row r="80" spans="1:9" x14ac:dyDescent="0.2">
      <c r="A80" s="25">
        <f t="shared" si="6"/>
        <v>60</v>
      </c>
      <c r="B80" s="178"/>
      <c r="C80" s="176"/>
      <c r="D80" s="33"/>
      <c r="E80" s="59" t="s">
        <v>288</v>
      </c>
      <c r="F80" s="55">
        <v>1</v>
      </c>
      <c r="G80" s="56" t="s">
        <v>28</v>
      </c>
      <c r="H80" s="57">
        <v>0</v>
      </c>
      <c r="I80" s="58">
        <f t="shared" si="17"/>
        <v>0</v>
      </c>
    </row>
    <row r="81" spans="1:9" x14ac:dyDescent="0.2">
      <c r="A81" s="25">
        <f t="shared" si="6"/>
        <v>61</v>
      </c>
      <c r="B81" s="178"/>
      <c r="C81" s="176"/>
      <c r="D81" s="33"/>
      <c r="E81" s="59" t="s">
        <v>289</v>
      </c>
      <c r="F81" s="55">
        <v>2</v>
      </c>
      <c r="G81" s="56" t="s">
        <v>28</v>
      </c>
      <c r="H81" s="57">
        <v>0</v>
      </c>
      <c r="I81" s="58">
        <f t="shared" si="17"/>
        <v>0</v>
      </c>
    </row>
    <row r="82" spans="1:9" x14ac:dyDescent="0.2">
      <c r="A82" s="25">
        <f t="shared" si="6"/>
        <v>62</v>
      </c>
      <c r="B82" s="178"/>
      <c r="C82" s="176"/>
      <c r="D82" s="33"/>
      <c r="E82" s="59" t="s">
        <v>290</v>
      </c>
      <c r="F82" s="55">
        <v>1</v>
      </c>
      <c r="G82" s="56" t="s">
        <v>28</v>
      </c>
      <c r="H82" s="57">
        <v>0</v>
      </c>
      <c r="I82" s="58">
        <f t="shared" si="17"/>
        <v>0</v>
      </c>
    </row>
    <row r="83" spans="1:9" x14ac:dyDescent="0.2">
      <c r="A83" s="25">
        <f t="shared" si="6"/>
        <v>63</v>
      </c>
      <c r="B83" s="178"/>
      <c r="C83" s="176"/>
      <c r="D83" s="33"/>
      <c r="E83" s="59" t="s">
        <v>291</v>
      </c>
      <c r="F83" s="55">
        <v>1</v>
      </c>
      <c r="G83" s="56" t="s">
        <v>28</v>
      </c>
      <c r="H83" s="57">
        <v>0</v>
      </c>
      <c r="I83" s="58">
        <f t="shared" si="17"/>
        <v>0</v>
      </c>
    </row>
    <row r="84" spans="1:9" x14ac:dyDescent="0.2">
      <c r="A84" s="25">
        <f t="shared" si="6"/>
        <v>64</v>
      </c>
      <c r="B84" s="178"/>
      <c r="C84" s="176"/>
      <c r="D84" s="33"/>
      <c r="E84" s="59" t="s">
        <v>292</v>
      </c>
      <c r="F84" s="55">
        <v>2</v>
      </c>
      <c r="G84" s="56" t="s">
        <v>28</v>
      </c>
      <c r="H84" s="57">
        <v>0</v>
      </c>
      <c r="I84" s="58">
        <f t="shared" si="17"/>
        <v>0</v>
      </c>
    </row>
    <row r="85" spans="1:9" x14ac:dyDescent="0.2">
      <c r="A85" s="25">
        <f t="shared" si="6"/>
        <v>65</v>
      </c>
      <c r="B85" s="178"/>
      <c r="C85" s="176"/>
      <c r="D85" s="33"/>
      <c r="E85" s="59" t="s">
        <v>293</v>
      </c>
      <c r="F85" s="55">
        <v>1</v>
      </c>
      <c r="G85" s="56" t="s">
        <v>28</v>
      </c>
      <c r="H85" s="57">
        <v>0</v>
      </c>
      <c r="I85" s="58">
        <f t="shared" si="17"/>
        <v>0</v>
      </c>
    </row>
    <row r="86" spans="1:9" x14ac:dyDescent="0.2">
      <c r="A86" s="25">
        <f t="shared" ref="A86:A95" si="18">IF(F86=0,"",1+MAX(A74:A85))</f>
        <v>66</v>
      </c>
      <c r="B86" s="178"/>
      <c r="C86" s="176"/>
      <c r="D86" s="33"/>
      <c r="E86" s="59" t="s">
        <v>294</v>
      </c>
      <c r="F86" s="55">
        <v>1</v>
      </c>
      <c r="G86" s="56" t="s">
        <v>28</v>
      </c>
      <c r="H86" s="57">
        <v>0</v>
      </c>
      <c r="I86" s="58">
        <f t="shared" si="17"/>
        <v>0</v>
      </c>
    </row>
    <row r="87" spans="1:9" x14ac:dyDescent="0.2">
      <c r="A87" s="25">
        <f t="shared" si="18"/>
        <v>67</v>
      </c>
      <c r="B87" s="178"/>
      <c r="C87" s="176"/>
      <c r="D87" s="33"/>
      <c r="E87" s="59" t="s">
        <v>295</v>
      </c>
      <c r="F87" s="55">
        <v>6</v>
      </c>
      <c r="G87" s="56" t="s">
        <v>28</v>
      </c>
      <c r="H87" s="57">
        <v>0</v>
      </c>
      <c r="I87" s="58">
        <f t="shared" si="17"/>
        <v>0</v>
      </c>
    </row>
    <row r="88" spans="1:9" x14ac:dyDescent="0.2">
      <c r="A88" s="25">
        <f t="shared" si="18"/>
        <v>68</v>
      </c>
      <c r="B88" s="178"/>
      <c r="C88" s="176"/>
      <c r="D88" s="33"/>
      <c r="E88" s="59" t="s">
        <v>296</v>
      </c>
      <c r="F88" s="55">
        <v>1</v>
      </c>
      <c r="G88" s="56" t="s">
        <v>28</v>
      </c>
      <c r="H88" s="57">
        <v>0</v>
      </c>
      <c r="I88" s="58">
        <f t="shared" si="17"/>
        <v>0</v>
      </c>
    </row>
    <row r="89" spans="1:9" x14ac:dyDescent="0.2">
      <c r="A89" s="25">
        <f t="shared" si="18"/>
        <v>69</v>
      </c>
      <c r="B89" s="178"/>
      <c r="C89" s="176"/>
      <c r="D89" s="33"/>
      <c r="E89" s="59" t="s">
        <v>297</v>
      </c>
      <c r="F89" s="55">
        <v>1</v>
      </c>
      <c r="G89" s="56" t="s">
        <v>28</v>
      </c>
      <c r="H89" s="57">
        <v>0</v>
      </c>
      <c r="I89" s="58">
        <f t="shared" si="17"/>
        <v>0</v>
      </c>
    </row>
    <row r="90" spans="1:9" x14ac:dyDescent="0.2">
      <c r="A90" s="25">
        <f t="shared" si="18"/>
        <v>70</v>
      </c>
      <c r="B90" s="178"/>
      <c r="C90" s="176"/>
      <c r="D90" s="33"/>
      <c r="E90" s="59" t="s">
        <v>298</v>
      </c>
      <c r="F90" s="55">
        <v>1</v>
      </c>
      <c r="G90" s="56" t="s">
        <v>28</v>
      </c>
      <c r="H90" s="57">
        <v>0</v>
      </c>
      <c r="I90" s="58">
        <f t="shared" si="17"/>
        <v>0</v>
      </c>
    </row>
    <row r="91" spans="1:9" x14ac:dyDescent="0.2">
      <c r="A91" s="25">
        <f t="shared" si="18"/>
        <v>71</v>
      </c>
      <c r="B91" s="178"/>
      <c r="C91" s="176"/>
      <c r="D91" s="33"/>
      <c r="E91" s="59" t="s">
        <v>299</v>
      </c>
      <c r="F91" s="55">
        <v>5</v>
      </c>
      <c r="G91" s="56" t="s">
        <v>28</v>
      </c>
      <c r="H91" s="57">
        <v>0</v>
      </c>
      <c r="I91" s="58">
        <f t="shared" si="17"/>
        <v>0</v>
      </c>
    </row>
    <row r="92" spans="1:9" x14ac:dyDescent="0.2">
      <c r="A92" s="25">
        <f t="shared" si="18"/>
        <v>72</v>
      </c>
      <c r="B92" s="178"/>
      <c r="C92" s="176"/>
      <c r="D92" s="33"/>
      <c r="E92" s="59" t="s">
        <v>290</v>
      </c>
      <c r="F92" s="55">
        <v>1</v>
      </c>
      <c r="G92" s="56" t="s">
        <v>28</v>
      </c>
      <c r="H92" s="57">
        <v>0</v>
      </c>
      <c r="I92" s="58">
        <f t="shared" si="17"/>
        <v>0</v>
      </c>
    </row>
    <row r="93" spans="1:9" x14ac:dyDescent="0.2">
      <c r="A93" s="25">
        <f t="shared" si="18"/>
        <v>73</v>
      </c>
      <c r="B93" s="178"/>
      <c r="C93" s="176"/>
      <c r="D93" s="33"/>
      <c r="E93" s="59" t="s">
        <v>300</v>
      </c>
      <c r="F93" s="55">
        <v>1</v>
      </c>
      <c r="G93" s="56" t="s">
        <v>28</v>
      </c>
      <c r="H93" s="57">
        <v>0</v>
      </c>
      <c r="I93" s="58">
        <f t="shared" si="17"/>
        <v>0</v>
      </c>
    </row>
    <row r="94" spans="1:9" x14ac:dyDescent="0.2">
      <c r="A94" s="25">
        <f t="shared" si="18"/>
        <v>74</v>
      </c>
      <c r="B94" s="178"/>
      <c r="C94" s="176"/>
      <c r="D94" s="33"/>
      <c r="E94" s="59" t="s">
        <v>301</v>
      </c>
      <c r="F94" s="55">
        <v>1</v>
      </c>
      <c r="G94" s="56" t="s">
        <v>28</v>
      </c>
      <c r="H94" s="57">
        <v>0</v>
      </c>
      <c r="I94" s="58">
        <f t="shared" si="17"/>
        <v>0</v>
      </c>
    </row>
    <row r="95" spans="1:9" ht="17" thickBot="1" x14ac:dyDescent="0.25">
      <c r="A95" s="25">
        <f t="shared" si="18"/>
        <v>75</v>
      </c>
      <c r="B95" s="179"/>
      <c r="C95" s="180"/>
      <c r="D95" s="33"/>
      <c r="E95" s="59" t="s">
        <v>321</v>
      </c>
      <c r="F95" s="55">
        <v>1</v>
      </c>
      <c r="G95" s="56" t="s">
        <v>28</v>
      </c>
      <c r="H95" s="57">
        <v>0</v>
      </c>
      <c r="I95" s="58">
        <f t="shared" si="17"/>
        <v>0</v>
      </c>
    </row>
    <row r="96" spans="1:9" ht="20" customHeight="1" thickTop="1" thickBot="1" x14ac:dyDescent="0.25">
      <c r="A96" s="21" t="str">
        <f>IF(F96=0,"",1+MAX(A$19:A95))</f>
        <v/>
      </c>
      <c r="B96" s="38"/>
      <c r="C96" s="39"/>
      <c r="D96" s="21"/>
      <c r="E96" s="62"/>
      <c r="F96" s="63"/>
      <c r="G96" s="63"/>
      <c r="H96" s="64" t="s">
        <v>47</v>
      </c>
      <c r="I96" s="65">
        <f>SUM(I19:I95)</f>
        <v>0</v>
      </c>
    </row>
    <row r="97" spans="1:11" ht="20" customHeight="1" thickTop="1" thickBot="1" x14ac:dyDescent="0.25">
      <c r="B97" s="44"/>
      <c r="C97" s="44"/>
      <c r="E97" s="45"/>
      <c r="F97" s="46"/>
      <c r="G97" s="46"/>
      <c r="H97" s="47"/>
      <c r="I97" s="48"/>
    </row>
    <row r="98" spans="1:11" ht="20" customHeight="1" thickTop="1" thickBot="1" x14ac:dyDescent="0.25">
      <c r="A98" s="21" t="s">
        <v>20</v>
      </c>
      <c r="B98" s="66" t="s">
        <v>21</v>
      </c>
      <c r="C98" s="24"/>
      <c r="D98" s="21"/>
      <c r="E98" s="24" t="s">
        <v>14</v>
      </c>
      <c r="F98" s="21" t="s">
        <v>1</v>
      </c>
      <c r="G98" s="21" t="s">
        <v>25</v>
      </c>
      <c r="H98" s="21" t="s">
        <v>2</v>
      </c>
      <c r="I98" s="22" t="s">
        <v>4</v>
      </c>
      <c r="K98" s="11" t="s">
        <v>24</v>
      </c>
    </row>
    <row r="99" spans="1:11" ht="20" customHeight="1" thickTop="1" x14ac:dyDescent="0.2">
      <c r="A99" s="49"/>
      <c r="B99" s="177" t="s">
        <v>344</v>
      </c>
      <c r="C99" s="174"/>
      <c r="D99" s="33"/>
      <c r="E99" s="27" t="s">
        <v>37</v>
      </c>
      <c r="F99" s="28"/>
      <c r="G99" s="51"/>
      <c r="H99" s="52"/>
      <c r="I99" s="30"/>
    </row>
    <row r="100" spans="1:11" x14ac:dyDescent="0.2">
      <c r="A100" s="25" t="str">
        <f>IF(F100=0,"",1+MAX(A$19:A99))</f>
        <v/>
      </c>
      <c r="B100" s="178"/>
      <c r="C100" s="176"/>
      <c r="D100" s="33"/>
      <c r="E100" s="60" t="s">
        <v>68</v>
      </c>
      <c r="F100" s="56"/>
      <c r="G100" s="56"/>
      <c r="H100" s="67"/>
      <c r="I100" s="37"/>
    </row>
    <row r="101" spans="1:11" ht="39" x14ac:dyDescent="0.2">
      <c r="A101" s="25">
        <f>IF(F101=0,"",1+MAX(A$19:A100))</f>
        <v>76</v>
      </c>
      <c r="B101" s="178"/>
      <c r="C101" s="176"/>
      <c r="D101" s="33"/>
      <c r="E101" s="68" t="s">
        <v>540</v>
      </c>
      <c r="F101" s="55">
        <v>9779</v>
      </c>
      <c r="G101" s="56" t="s">
        <v>30</v>
      </c>
      <c r="H101" s="36">
        <v>0</v>
      </c>
      <c r="I101" s="37">
        <f t="shared" ref="I101" si="19">F101*H101</f>
        <v>0</v>
      </c>
    </row>
    <row r="102" spans="1:11" x14ac:dyDescent="0.2">
      <c r="A102" s="25" t="str">
        <f>IF(F102=0,"",1+MAX(A$19:A101))</f>
        <v/>
      </c>
      <c r="B102" s="178"/>
      <c r="C102" s="176"/>
      <c r="D102" s="33"/>
      <c r="E102" s="60" t="s">
        <v>67</v>
      </c>
      <c r="F102" s="56"/>
      <c r="G102" s="56"/>
      <c r="H102" s="67"/>
      <c r="I102" s="37"/>
    </row>
    <row r="103" spans="1:11" ht="26" x14ac:dyDescent="0.2">
      <c r="A103" s="25">
        <f>IF(F103=0,"",1+MAX(A$19:A102))</f>
        <v>77</v>
      </c>
      <c r="B103" s="178"/>
      <c r="C103" s="176"/>
      <c r="D103" s="33"/>
      <c r="E103" s="68" t="s">
        <v>547</v>
      </c>
      <c r="F103" s="56">
        <v>1.2</v>
      </c>
      <c r="G103" s="56" t="s">
        <v>38</v>
      </c>
      <c r="H103" s="36">
        <v>0</v>
      </c>
      <c r="I103" s="37">
        <f t="shared" ref="I103:I108" si="20">F103*H103</f>
        <v>0</v>
      </c>
    </row>
    <row r="104" spans="1:11" ht="26" x14ac:dyDescent="0.2">
      <c r="A104" s="25">
        <f>IF(F104=0,"",1+MAX(A$19:A103))</f>
        <v>78</v>
      </c>
      <c r="B104" s="178"/>
      <c r="C104" s="176"/>
      <c r="D104" s="33"/>
      <c r="E104" s="68" t="s">
        <v>548</v>
      </c>
      <c r="F104" s="56">
        <v>8</v>
      </c>
      <c r="G104" s="56" t="s">
        <v>38</v>
      </c>
      <c r="H104" s="36">
        <v>0</v>
      </c>
      <c r="I104" s="37">
        <f t="shared" si="20"/>
        <v>0</v>
      </c>
    </row>
    <row r="105" spans="1:11" ht="26" x14ac:dyDescent="0.2">
      <c r="A105" s="25">
        <f>IF(F105=0,"",1+MAX(A$19:A104))</f>
        <v>79</v>
      </c>
      <c r="B105" s="178"/>
      <c r="C105" s="176"/>
      <c r="D105" s="33"/>
      <c r="E105" s="68" t="s">
        <v>549</v>
      </c>
      <c r="F105" s="56">
        <v>15</v>
      </c>
      <c r="G105" s="56" t="s">
        <v>38</v>
      </c>
      <c r="H105" s="36">
        <v>0</v>
      </c>
      <c r="I105" s="37">
        <f t="shared" si="20"/>
        <v>0</v>
      </c>
    </row>
    <row r="106" spans="1:11" ht="39" x14ac:dyDescent="0.2">
      <c r="A106" s="25">
        <f>IF(F106=0,"",1+MAX(A$19:A105))</f>
        <v>80</v>
      </c>
      <c r="B106" s="178"/>
      <c r="C106" s="176"/>
      <c r="D106" s="33"/>
      <c r="E106" s="68" t="s">
        <v>550</v>
      </c>
      <c r="F106" s="56">
        <v>13</v>
      </c>
      <c r="G106" s="56" t="s">
        <v>38</v>
      </c>
      <c r="H106" s="36">
        <v>0</v>
      </c>
      <c r="I106" s="37">
        <f t="shared" si="20"/>
        <v>0</v>
      </c>
    </row>
    <row r="107" spans="1:11" ht="26" x14ac:dyDescent="0.2">
      <c r="A107" s="25">
        <f>IF(F107=0,"",1+MAX(A$19:A106))</f>
        <v>81</v>
      </c>
      <c r="B107" s="178"/>
      <c r="C107" s="176"/>
      <c r="D107" s="33"/>
      <c r="E107" s="68" t="s">
        <v>551</v>
      </c>
      <c r="F107" s="56">
        <v>38</v>
      </c>
      <c r="G107" s="56" t="s">
        <v>38</v>
      </c>
      <c r="H107" s="36">
        <v>0</v>
      </c>
      <c r="I107" s="37">
        <f t="shared" si="20"/>
        <v>0</v>
      </c>
    </row>
    <row r="108" spans="1:11" ht="39" x14ac:dyDescent="0.2">
      <c r="A108" s="25">
        <f>IF(F108=0,"",1+MAX(A$19:A107))</f>
        <v>82</v>
      </c>
      <c r="B108" s="178"/>
      <c r="C108" s="176"/>
      <c r="D108" s="33"/>
      <c r="E108" s="69" t="s">
        <v>552</v>
      </c>
      <c r="F108" s="56">
        <v>66</v>
      </c>
      <c r="G108" s="56" t="s">
        <v>38</v>
      </c>
      <c r="H108" s="36">
        <v>0</v>
      </c>
      <c r="I108" s="37">
        <f t="shared" si="20"/>
        <v>0</v>
      </c>
    </row>
    <row r="109" spans="1:11" x14ac:dyDescent="0.2">
      <c r="A109" s="25" t="str">
        <f>IF(F109=0,"",1+MAX(A$19:A108))</f>
        <v/>
      </c>
      <c r="B109" s="178"/>
      <c r="C109" s="176"/>
      <c r="D109" s="33"/>
      <c r="E109" s="60" t="s">
        <v>356</v>
      </c>
      <c r="F109" s="56"/>
      <c r="G109" s="56"/>
      <c r="H109" s="67"/>
      <c r="I109" s="37"/>
    </row>
    <row r="110" spans="1:11" ht="26" x14ac:dyDescent="0.2">
      <c r="A110" s="25">
        <f>IF(F110=0,"",1+MAX(A$19:A109))</f>
        <v>83</v>
      </c>
      <c r="B110" s="178"/>
      <c r="C110" s="176"/>
      <c r="D110" s="33"/>
      <c r="E110" s="69" t="s">
        <v>553</v>
      </c>
      <c r="F110" s="56">
        <v>13</v>
      </c>
      <c r="G110" s="56" t="s">
        <v>38</v>
      </c>
      <c r="H110" s="36">
        <v>0</v>
      </c>
      <c r="I110" s="37">
        <f t="shared" ref="I110:I112" si="21">F110*H110</f>
        <v>0</v>
      </c>
    </row>
    <row r="111" spans="1:11" ht="26" x14ac:dyDescent="0.2">
      <c r="A111" s="25">
        <f>IF(F111=0,"",1+MAX(A$19:A110))</f>
        <v>84</v>
      </c>
      <c r="B111" s="178"/>
      <c r="C111" s="176"/>
      <c r="D111" s="33"/>
      <c r="E111" s="69" t="s">
        <v>554</v>
      </c>
      <c r="F111" s="56">
        <v>137</v>
      </c>
      <c r="G111" s="56" t="s">
        <v>38</v>
      </c>
      <c r="H111" s="36">
        <v>0</v>
      </c>
      <c r="I111" s="37">
        <f t="shared" si="21"/>
        <v>0</v>
      </c>
    </row>
    <row r="112" spans="1:11" ht="26" x14ac:dyDescent="0.2">
      <c r="A112" s="25">
        <f>IF(F112=0,"",1+MAX(A$19:A111))</f>
        <v>85</v>
      </c>
      <c r="B112" s="178"/>
      <c r="C112" s="176"/>
      <c r="D112" s="33"/>
      <c r="E112" s="69" t="s">
        <v>555</v>
      </c>
      <c r="F112" s="56">
        <v>81</v>
      </c>
      <c r="G112" s="56" t="s">
        <v>38</v>
      </c>
      <c r="H112" s="36">
        <v>0</v>
      </c>
      <c r="I112" s="37">
        <f t="shared" si="21"/>
        <v>0</v>
      </c>
    </row>
    <row r="113" spans="1:11" x14ac:dyDescent="0.2">
      <c r="A113" s="25" t="str">
        <f>IF(F113=0,"",1+MAX(A$19:A112))</f>
        <v/>
      </c>
      <c r="B113" s="178"/>
      <c r="C113" s="176"/>
      <c r="D113" s="33"/>
      <c r="E113" s="60" t="s">
        <v>541</v>
      </c>
      <c r="F113" s="56"/>
      <c r="G113" s="56"/>
      <c r="H113" s="67"/>
      <c r="I113" s="37"/>
    </row>
    <row r="114" spans="1:11" x14ac:dyDescent="0.2">
      <c r="A114" s="25">
        <f>IF(F114=0,"",1+MAX(A$19:A113))</f>
        <v>86</v>
      </c>
      <c r="B114" s="178"/>
      <c r="C114" s="176"/>
      <c r="D114" s="33"/>
      <c r="E114" s="68" t="s">
        <v>543</v>
      </c>
      <c r="F114" s="56">
        <v>6</v>
      </c>
      <c r="G114" s="56" t="s">
        <v>38</v>
      </c>
      <c r="H114" s="36">
        <v>0</v>
      </c>
      <c r="I114" s="37">
        <f t="shared" ref="I114:I115" si="22">F114*H114</f>
        <v>0</v>
      </c>
    </row>
    <row r="115" spans="1:11" x14ac:dyDescent="0.2">
      <c r="A115" s="25">
        <f>IF(F115=0,"",1+MAX(A$19:A114))</f>
        <v>87</v>
      </c>
      <c r="B115" s="178"/>
      <c r="C115" s="176"/>
      <c r="D115" s="33"/>
      <c r="E115" s="68" t="s">
        <v>542</v>
      </c>
      <c r="F115" s="56">
        <v>155</v>
      </c>
      <c r="G115" s="56" t="s">
        <v>30</v>
      </c>
      <c r="H115" s="36">
        <v>0</v>
      </c>
      <c r="I115" s="37">
        <f t="shared" si="22"/>
        <v>0</v>
      </c>
    </row>
    <row r="116" spans="1:11" x14ac:dyDescent="0.2">
      <c r="A116" s="25" t="str">
        <f>IF(F116=0,"",1+MAX(A$19:A112))</f>
        <v/>
      </c>
      <c r="B116" s="178"/>
      <c r="C116" s="176"/>
      <c r="D116" s="33"/>
      <c r="E116" s="60" t="s">
        <v>66</v>
      </c>
      <c r="F116" s="56"/>
      <c r="G116" s="56"/>
      <c r="H116" s="70"/>
      <c r="I116" s="37"/>
    </row>
    <row r="117" spans="1:11" ht="26" x14ac:dyDescent="0.2">
      <c r="A117" s="25">
        <f>IF(F117=0,"",1+MAX(A$19:A116))</f>
        <v>88</v>
      </c>
      <c r="B117" s="178"/>
      <c r="C117" s="176"/>
      <c r="D117" s="33"/>
      <c r="E117" s="69" t="s">
        <v>556</v>
      </c>
      <c r="F117" s="55">
        <v>7.796982167352537</v>
      </c>
      <c r="G117" s="56" t="s">
        <v>38</v>
      </c>
      <c r="H117" s="36">
        <v>0</v>
      </c>
      <c r="I117" s="37">
        <f t="shared" ref="I117:I123" si="23">F117*H117</f>
        <v>0</v>
      </c>
    </row>
    <row r="118" spans="1:11" ht="26" x14ac:dyDescent="0.2">
      <c r="A118" s="25">
        <f>IF(F118=0,"",1+MAX(A$19:A117))</f>
        <v>89</v>
      </c>
      <c r="B118" s="178"/>
      <c r="C118" s="176"/>
      <c r="D118" s="33"/>
      <c r="E118" s="69" t="s">
        <v>557</v>
      </c>
      <c r="F118" s="55">
        <v>140.90276075171471</v>
      </c>
      <c r="G118" s="56" t="s">
        <v>38</v>
      </c>
      <c r="H118" s="36">
        <v>0</v>
      </c>
      <c r="I118" s="37">
        <f t="shared" si="23"/>
        <v>0</v>
      </c>
    </row>
    <row r="119" spans="1:11" ht="26" x14ac:dyDescent="0.2">
      <c r="A119" s="25">
        <f>IF(F119=0,"",1+MAX(A$19:A118))</f>
        <v>90</v>
      </c>
      <c r="B119" s="178"/>
      <c r="C119" s="176"/>
      <c r="D119" s="33"/>
      <c r="E119" s="69" t="s">
        <v>558</v>
      </c>
      <c r="F119" s="55">
        <v>146.06</v>
      </c>
      <c r="G119" s="56" t="s">
        <v>38</v>
      </c>
      <c r="H119" s="36">
        <v>0</v>
      </c>
      <c r="I119" s="37">
        <f t="shared" si="23"/>
        <v>0</v>
      </c>
    </row>
    <row r="120" spans="1:11" x14ac:dyDescent="0.2">
      <c r="A120" s="25" t="str">
        <f>IF(F120=0,"",1+MAX(A$19:A119))</f>
        <v/>
      </c>
      <c r="B120" s="178"/>
      <c r="C120" s="176"/>
      <c r="D120" s="33"/>
      <c r="E120" s="61" t="s">
        <v>65</v>
      </c>
      <c r="F120" s="55"/>
      <c r="G120" s="56"/>
      <c r="H120" s="36"/>
      <c r="I120" s="37"/>
    </row>
    <row r="121" spans="1:11" x14ac:dyDescent="0.2">
      <c r="A121" s="25">
        <f>IF(F121=0,"",1+MAX(A$19:A120))</f>
        <v>91</v>
      </c>
      <c r="B121" s="178"/>
      <c r="C121" s="176"/>
      <c r="D121" s="33"/>
      <c r="E121" s="59" t="s">
        <v>64</v>
      </c>
      <c r="F121" s="55">
        <v>46</v>
      </c>
      <c r="G121" s="56" t="s">
        <v>38</v>
      </c>
      <c r="H121" s="36">
        <v>0</v>
      </c>
      <c r="I121" s="37">
        <f t="shared" si="23"/>
        <v>0</v>
      </c>
    </row>
    <row r="122" spans="1:11" x14ac:dyDescent="0.2">
      <c r="A122" s="25" t="str">
        <f>IF(F122=0,"",1+MAX(A$19:A121))</f>
        <v/>
      </c>
      <c r="B122" s="178"/>
      <c r="C122" s="176"/>
      <c r="D122" s="33"/>
      <c r="E122" s="61" t="s">
        <v>63</v>
      </c>
      <c r="F122" s="56"/>
      <c r="G122" s="56"/>
      <c r="H122" s="36"/>
      <c r="I122" s="37"/>
    </row>
    <row r="123" spans="1:11" ht="17" thickBot="1" x14ac:dyDescent="0.25">
      <c r="A123" s="25">
        <f>IF(F123=0,"",1+MAX(A$19:A122))</f>
        <v>92</v>
      </c>
      <c r="B123" s="178"/>
      <c r="C123" s="176"/>
      <c r="D123" s="33"/>
      <c r="E123" s="59" t="s">
        <v>62</v>
      </c>
      <c r="F123" s="56">
        <v>1</v>
      </c>
      <c r="G123" s="56" t="s">
        <v>28</v>
      </c>
      <c r="H123" s="36">
        <v>0</v>
      </c>
      <c r="I123" s="37">
        <f t="shared" si="23"/>
        <v>0</v>
      </c>
    </row>
    <row r="124" spans="1:11" ht="20" customHeight="1" thickTop="1" thickBot="1" x14ac:dyDescent="0.25">
      <c r="A124" s="21"/>
      <c r="B124" s="38"/>
      <c r="C124" s="39"/>
      <c r="D124" s="21"/>
      <c r="E124" s="62"/>
      <c r="F124" s="71"/>
      <c r="G124" s="71"/>
      <c r="H124" s="72" t="s">
        <v>48</v>
      </c>
      <c r="I124" s="73">
        <f>SUM(I99:I123)</f>
        <v>0</v>
      </c>
    </row>
    <row r="125" spans="1:11" ht="20" customHeight="1" thickTop="1" thickBot="1" x14ac:dyDescent="0.25">
      <c r="B125" s="44"/>
      <c r="C125" s="44"/>
      <c r="E125" s="45"/>
      <c r="F125" s="46"/>
      <c r="G125" s="46"/>
      <c r="H125" s="47"/>
      <c r="I125" s="48"/>
    </row>
    <row r="126" spans="1:11" ht="20" customHeight="1" thickTop="1" thickBot="1" x14ac:dyDescent="0.25">
      <c r="A126" s="21" t="s">
        <v>20</v>
      </c>
      <c r="B126" s="66" t="s">
        <v>21</v>
      </c>
      <c r="C126" s="24"/>
      <c r="D126" s="23"/>
      <c r="E126" s="23" t="s">
        <v>14</v>
      </c>
      <c r="F126" s="21" t="s">
        <v>1</v>
      </c>
      <c r="G126" s="21" t="s">
        <v>25</v>
      </c>
      <c r="H126" s="21" t="s">
        <v>2</v>
      </c>
      <c r="I126" s="22" t="s">
        <v>4</v>
      </c>
      <c r="K126" s="11" t="s">
        <v>24</v>
      </c>
    </row>
    <row r="127" spans="1:11" ht="20" customHeight="1" thickTop="1" x14ac:dyDescent="0.2">
      <c r="A127" s="74"/>
      <c r="B127" s="177" t="s">
        <v>345</v>
      </c>
      <c r="C127" s="174"/>
      <c r="D127" s="26"/>
      <c r="E127" s="27" t="s">
        <v>39</v>
      </c>
      <c r="F127" s="28"/>
      <c r="G127" s="51"/>
      <c r="H127" s="52"/>
      <c r="I127" s="30"/>
    </row>
    <row r="128" spans="1:11" ht="20" customHeight="1" x14ac:dyDescent="0.2">
      <c r="A128" s="74"/>
      <c r="B128" s="178"/>
      <c r="C128" s="176"/>
      <c r="D128" s="33"/>
      <c r="E128" s="75" t="s">
        <v>69</v>
      </c>
      <c r="F128" s="76"/>
      <c r="G128" s="77"/>
      <c r="H128" s="78"/>
      <c r="I128" s="37"/>
    </row>
    <row r="129" spans="1:11" x14ac:dyDescent="0.2">
      <c r="A129" s="74">
        <f>IF(F129=0,"",1+MAX(A$19:A128))</f>
        <v>93</v>
      </c>
      <c r="B129" s="178"/>
      <c r="C129" s="176"/>
      <c r="D129" s="33"/>
      <c r="E129" s="59" t="s">
        <v>70</v>
      </c>
      <c r="F129" s="55">
        <v>16.809999999999999</v>
      </c>
      <c r="G129" s="56" t="s">
        <v>32</v>
      </c>
      <c r="H129" s="67">
        <v>0</v>
      </c>
      <c r="I129" s="37">
        <f t="shared" ref="I129" si="24">F129*H129</f>
        <v>0</v>
      </c>
    </row>
    <row r="130" spans="1:11" x14ac:dyDescent="0.2">
      <c r="A130" s="74" t="str">
        <f>IF(F130=0,"",1+MAX(A$19:A129))</f>
        <v/>
      </c>
      <c r="B130" s="178"/>
      <c r="C130" s="176"/>
      <c r="D130" s="33"/>
      <c r="E130" s="60" t="s">
        <v>71</v>
      </c>
      <c r="F130" s="56"/>
      <c r="G130" s="56"/>
      <c r="H130" s="67"/>
      <c r="I130" s="37"/>
    </row>
    <row r="131" spans="1:11" x14ac:dyDescent="0.2">
      <c r="A131" s="74">
        <f>IF(F131=0,"",1+MAX(A$19:A130))</f>
        <v>94</v>
      </c>
      <c r="B131" s="178"/>
      <c r="C131" s="176"/>
      <c r="D131" s="33"/>
      <c r="E131" s="59" t="s">
        <v>72</v>
      </c>
      <c r="F131" s="55">
        <v>46</v>
      </c>
      <c r="G131" s="56" t="s">
        <v>32</v>
      </c>
      <c r="H131" s="67">
        <v>0</v>
      </c>
      <c r="I131" s="37">
        <f t="shared" ref="I131:I134" si="25">F131*H131</f>
        <v>0</v>
      </c>
    </row>
    <row r="132" spans="1:11" x14ac:dyDescent="0.2">
      <c r="A132" s="74">
        <f>IF(F132=0,"",1+MAX(A$19:A131))</f>
        <v>95</v>
      </c>
      <c r="B132" s="178"/>
      <c r="C132" s="176"/>
      <c r="D132" s="33"/>
      <c r="E132" s="79" t="s">
        <v>73</v>
      </c>
      <c r="F132" s="80">
        <v>44.18</v>
      </c>
      <c r="G132" s="81" t="s">
        <v>32</v>
      </c>
      <c r="H132" s="82">
        <v>0</v>
      </c>
      <c r="I132" s="37">
        <f t="shared" si="25"/>
        <v>0</v>
      </c>
    </row>
    <row r="133" spans="1:11" ht="65" x14ac:dyDescent="0.2">
      <c r="A133" s="74">
        <f>IF(F133=0,"",1+MAX(A$19:A132))</f>
        <v>96</v>
      </c>
      <c r="B133" s="178"/>
      <c r="C133" s="176"/>
      <c r="D133" s="33"/>
      <c r="E133" s="68" t="s">
        <v>559</v>
      </c>
      <c r="F133" s="56">
        <v>1</v>
      </c>
      <c r="G133" s="56" t="s">
        <v>240</v>
      </c>
      <c r="H133" s="57">
        <v>0</v>
      </c>
      <c r="I133" s="37">
        <f>F133*H133</f>
        <v>0</v>
      </c>
    </row>
    <row r="134" spans="1:11" ht="65" x14ac:dyDescent="0.2">
      <c r="A134" s="74">
        <f>IF(F134=0,"",1+MAX(A$19:A133))</f>
        <v>97</v>
      </c>
      <c r="B134" s="178"/>
      <c r="C134" s="176"/>
      <c r="D134" s="33"/>
      <c r="E134" s="68" t="s">
        <v>560</v>
      </c>
      <c r="F134" s="56">
        <v>1</v>
      </c>
      <c r="G134" s="56" t="s">
        <v>240</v>
      </c>
      <c r="H134" s="57">
        <v>0</v>
      </c>
      <c r="I134" s="83">
        <f t="shared" si="25"/>
        <v>0</v>
      </c>
    </row>
    <row r="135" spans="1:11" ht="17" thickBot="1" x14ac:dyDescent="0.25">
      <c r="A135" s="74">
        <f>IF(F135=0,"",1+MAX(A$19:A134))</f>
        <v>98</v>
      </c>
      <c r="B135" s="31"/>
      <c r="C135" s="32"/>
      <c r="D135" s="33"/>
      <c r="E135" s="59" t="s">
        <v>503</v>
      </c>
      <c r="F135" s="55">
        <v>120</v>
      </c>
      <c r="G135" s="56" t="s">
        <v>32</v>
      </c>
      <c r="H135" s="67">
        <v>0</v>
      </c>
      <c r="I135" s="37">
        <f t="shared" ref="I135" si="26">F135*H135</f>
        <v>0</v>
      </c>
    </row>
    <row r="136" spans="1:11" ht="20" customHeight="1" thickTop="1" thickBot="1" x14ac:dyDescent="0.25">
      <c r="A136" s="21"/>
      <c r="B136" s="38"/>
      <c r="C136" s="39"/>
      <c r="D136" s="21"/>
      <c r="E136" s="84"/>
      <c r="F136" s="85"/>
      <c r="G136" s="85"/>
      <c r="H136" s="86" t="s">
        <v>49</v>
      </c>
      <c r="I136" s="43">
        <f>SUM(I127:I135)</f>
        <v>0</v>
      </c>
    </row>
    <row r="137" spans="1:11" ht="20" customHeight="1" thickTop="1" thickBot="1" x14ac:dyDescent="0.25">
      <c r="B137" s="44"/>
      <c r="C137" s="44"/>
      <c r="E137" s="45"/>
      <c r="F137" s="46"/>
      <c r="G137" s="46"/>
      <c r="H137" s="47"/>
      <c r="I137" s="48"/>
    </row>
    <row r="138" spans="1:11" ht="20" customHeight="1" thickTop="1" thickBot="1" x14ac:dyDescent="0.25">
      <c r="A138" s="21" t="s">
        <v>20</v>
      </c>
      <c r="B138" s="66" t="s">
        <v>21</v>
      </c>
      <c r="C138" s="24"/>
      <c r="D138" s="23"/>
      <c r="E138" s="23" t="s">
        <v>14</v>
      </c>
      <c r="F138" s="21" t="s">
        <v>1</v>
      </c>
      <c r="G138" s="21" t="s">
        <v>25</v>
      </c>
      <c r="H138" s="21" t="s">
        <v>2</v>
      </c>
      <c r="I138" s="22" t="s">
        <v>4</v>
      </c>
      <c r="K138" s="11" t="s">
        <v>24</v>
      </c>
    </row>
    <row r="139" spans="1:11" ht="20" customHeight="1" thickTop="1" x14ac:dyDescent="0.2">
      <c r="A139" s="74"/>
      <c r="B139" s="177" t="s">
        <v>346</v>
      </c>
      <c r="C139" s="174"/>
      <c r="D139" s="187"/>
      <c r="E139" s="50" t="s">
        <v>74</v>
      </c>
      <c r="F139" s="51"/>
      <c r="G139" s="51"/>
      <c r="H139" s="52"/>
      <c r="I139" s="30"/>
    </row>
    <row r="140" spans="1:11" x14ac:dyDescent="0.2">
      <c r="A140" s="74">
        <f>IF(F140=0,"",1+MAX(A$19:A139))</f>
        <v>99</v>
      </c>
      <c r="B140" s="178"/>
      <c r="C140" s="176"/>
      <c r="D140" s="188"/>
      <c r="E140" s="59" t="s">
        <v>89</v>
      </c>
      <c r="F140" s="55">
        <v>802</v>
      </c>
      <c r="G140" s="56" t="s">
        <v>32</v>
      </c>
      <c r="H140" s="67">
        <v>0</v>
      </c>
      <c r="I140" s="37">
        <f t="shared" ref="I140" si="27">F140*H140</f>
        <v>0</v>
      </c>
    </row>
    <row r="141" spans="1:11" x14ac:dyDescent="0.2">
      <c r="A141" s="74" t="str">
        <f>IF(F141=0,"",1+MAX(A$19:A140))</f>
        <v/>
      </c>
      <c r="B141" s="178"/>
      <c r="C141" s="176"/>
      <c r="D141" s="188"/>
      <c r="E141" s="60" t="s">
        <v>71</v>
      </c>
      <c r="F141" s="56"/>
      <c r="G141" s="56"/>
      <c r="H141" s="67"/>
      <c r="I141" s="37"/>
    </row>
    <row r="142" spans="1:11" ht="169" x14ac:dyDescent="0.2">
      <c r="A142" s="74">
        <f>IF(F142=0,"",1+MAX(A$19:A141))</f>
        <v>100</v>
      </c>
      <c r="B142" s="178"/>
      <c r="C142" s="176"/>
      <c r="D142" s="188"/>
      <c r="E142" s="68" t="s">
        <v>561</v>
      </c>
      <c r="F142" s="55">
        <v>7969.62</v>
      </c>
      <c r="G142" s="56" t="s">
        <v>30</v>
      </c>
      <c r="H142" s="67">
        <v>0</v>
      </c>
      <c r="I142" s="37">
        <f t="shared" ref="I142:I145" si="28">F142*H142</f>
        <v>0</v>
      </c>
    </row>
    <row r="143" spans="1:11" ht="52" x14ac:dyDescent="0.2">
      <c r="A143" s="74">
        <f>IF(F143=0,"",1+MAX(A$19:A142))</f>
        <v>101</v>
      </c>
      <c r="B143" s="178"/>
      <c r="C143" s="176"/>
      <c r="D143" s="188"/>
      <c r="E143" s="68" t="s">
        <v>562</v>
      </c>
      <c r="F143" s="55">
        <v>1625.77</v>
      </c>
      <c r="G143" s="56" t="s">
        <v>30</v>
      </c>
      <c r="H143" s="67">
        <v>0</v>
      </c>
      <c r="I143" s="37">
        <f t="shared" si="28"/>
        <v>0</v>
      </c>
    </row>
    <row r="144" spans="1:11" x14ac:dyDescent="0.2">
      <c r="A144" s="74">
        <f>IF(F144=0,"",1+MAX(A$19:A143))</f>
        <v>102</v>
      </c>
      <c r="B144" s="178"/>
      <c r="C144" s="176"/>
      <c r="D144" s="188"/>
      <c r="E144" s="59" t="s">
        <v>90</v>
      </c>
      <c r="F144" s="55">
        <v>396.23</v>
      </c>
      <c r="G144" s="56" t="s">
        <v>32</v>
      </c>
      <c r="H144" s="67">
        <v>0</v>
      </c>
      <c r="I144" s="37">
        <f t="shared" si="28"/>
        <v>0</v>
      </c>
    </row>
    <row r="145" spans="1:9" x14ac:dyDescent="0.2">
      <c r="A145" s="74">
        <f>IF(F145=0,"",1+MAX(A$19:A144))</f>
        <v>103</v>
      </c>
      <c r="B145" s="178"/>
      <c r="C145" s="176"/>
      <c r="D145" s="188"/>
      <c r="E145" s="59" t="s">
        <v>80</v>
      </c>
      <c r="F145" s="55">
        <v>7970</v>
      </c>
      <c r="G145" s="56" t="s">
        <v>30</v>
      </c>
      <c r="H145" s="67">
        <v>0</v>
      </c>
      <c r="I145" s="37">
        <f t="shared" si="28"/>
        <v>0</v>
      </c>
    </row>
    <row r="146" spans="1:9" x14ac:dyDescent="0.2">
      <c r="A146" s="74" t="str">
        <f>IF(F146=0,"",1+MAX(A$19:A145))</f>
        <v/>
      </c>
      <c r="B146" s="178"/>
      <c r="C146" s="176"/>
      <c r="D146" s="188"/>
      <c r="E146" s="60" t="s">
        <v>88</v>
      </c>
      <c r="F146" s="56"/>
      <c r="G146" s="56"/>
      <c r="H146" s="67"/>
      <c r="I146" s="37"/>
    </row>
    <row r="147" spans="1:9" x14ac:dyDescent="0.2">
      <c r="A147" s="74">
        <f>IF(F147=0,"",1+MAX(A$19:A146))</f>
        <v>104</v>
      </c>
      <c r="B147" s="178"/>
      <c r="C147" s="176"/>
      <c r="D147" s="188"/>
      <c r="E147" s="59" t="s">
        <v>504</v>
      </c>
      <c r="F147" s="55">
        <v>3526.85</v>
      </c>
      <c r="G147" s="56" t="s">
        <v>30</v>
      </c>
      <c r="H147" s="67">
        <v>0</v>
      </c>
      <c r="I147" s="37">
        <f t="shared" ref="I147:I158" si="29">F147*H147</f>
        <v>0</v>
      </c>
    </row>
    <row r="148" spans="1:9" x14ac:dyDescent="0.2">
      <c r="A148" s="74">
        <f>IF(F148=0,"",1+MAX(A$19:A147))</f>
        <v>105</v>
      </c>
      <c r="B148" s="178"/>
      <c r="C148" s="176"/>
      <c r="D148" s="188"/>
      <c r="E148" s="59" t="s">
        <v>87</v>
      </c>
      <c r="F148" s="55">
        <v>419.53</v>
      </c>
      <c r="G148" s="56" t="s">
        <v>32</v>
      </c>
      <c r="H148" s="67">
        <v>0</v>
      </c>
      <c r="I148" s="37">
        <f t="shared" si="29"/>
        <v>0</v>
      </c>
    </row>
    <row r="149" spans="1:9" x14ac:dyDescent="0.2">
      <c r="A149" s="74">
        <f>IF(F149=0,"",1+MAX(A$19:A148))</f>
        <v>106</v>
      </c>
      <c r="B149" s="178"/>
      <c r="C149" s="176"/>
      <c r="D149" s="188"/>
      <c r="E149" s="59" t="s">
        <v>86</v>
      </c>
      <c r="F149" s="55">
        <v>262.94</v>
      </c>
      <c r="G149" s="56" t="s">
        <v>32</v>
      </c>
      <c r="H149" s="67">
        <v>0</v>
      </c>
      <c r="I149" s="37">
        <f t="shared" si="29"/>
        <v>0</v>
      </c>
    </row>
    <row r="150" spans="1:9" x14ac:dyDescent="0.2">
      <c r="A150" s="74">
        <f>IF(F150=0,"",1+MAX(A$19:A149))</f>
        <v>107</v>
      </c>
      <c r="B150" s="178"/>
      <c r="C150" s="176"/>
      <c r="D150" s="188"/>
      <c r="E150" s="59" t="s">
        <v>85</v>
      </c>
      <c r="F150" s="55">
        <v>2077.92</v>
      </c>
      <c r="G150" s="56" t="s">
        <v>30</v>
      </c>
      <c r="H150" s="67">
        <v>0</v>
      </c>
      <c r="I150" s="37">
        <f t="shared" si="29"/>
        <v>0</v>
      </c>
    </row>
    <row r="151" spans="1:9" x14ac:dyDescent="0.2">
      <c r="A151" s="74">
        <f>IF(F151=0,"",1+MAX(A$19:A150))</f>
        <v>108</v>
      </c>
      <c r="B151" s="178"/>
      <c r="C151" s="176"/>
      <c r="D151" s="188"/>
      <c r="E151" s="59" t="s">
        <v>84</v>
      </c>
      <c r="F151" s="55">
        <v>115.76</v>
      </c>
      <c r="G151" s="56" t="s">
        <v>32</v>
      </c>
      <c r="H151" s="67">
        <v>0</v>
      </c>
      <c r="I151" s="37">
        <f t="shared" si="29"/>
        <v>0</v>
      </c>
    </row>
    <row r="152" spans="1:9" x14ac:dyDescent="0.2">
      <c r="A152" s="74">
        <f>IF(F152=0,"",1+MAX(A$19:A151))</f>
        <v>109</v>
      </c>
      <c r="B152" s="178"/>
      <c r="C152" s="176"/>
      <c r="D152" s="188"/>
      <c r="E152" s="59" t="s">
        <v>83</v>
      </c>
      <c r="F152" s="55">
        <v>951.65</v>
      </c>
      <c r="G152" s="56" t="s">
        <v>30</v>
      </c>
      <c r="H152" s="67">
        <v>0</v>
      </c>
      <c r="I152" s="37">
        <f t="shared" si="29"/>
        <v>0</v>
      </c>
    </row>
    <row r="153" spans="1:9" x14ac:dyDescent="0.2">
      <c r="A153" s="74">
        <f>IF(F153=0,"",1+MAX(A$19:A152))</f>
        <v>110</v>
      </c>
      <c r="B153" s="178"/>
      <c r="C153" s="176"/>
      <c r="D153" s="188"/>
      <c r="E153" s="59" t="s">
        <v>82</v>
      </c>
      <c r="F153" s="55">
        <v>951.1</v>
      </c>
      <c r="G153" s="56" t="s">
        <v>30</v>
      </c>
      <c r="H153" s="67">
        <v>0</v>
      </c>
      <c r="I153" s="37">
        <f t="shared" si="29"/>
        <v>0</v>
      </c>
    </row>
    <row r="154" spans="1:9" x14ac:dyDescent="0.2">
      <c r="A154" s="74">
        <f>IF(F154=0,"",1+MAX(A$19:A153))</f>
        <v>111</v>
      </c>
      <c r="B154" s="178"/>
      <c r="C154" s="176"/>
      <c r="D154" s="188"/>
      <c r="E154" s="59" t="s">
        <v>81</v>
      </c>
      <c r="F154" s="55">
        <v>1988.41</v>
      </c>
      <c r="G154" s="56" t="s">
        <v>30</v>
      </c>
      <c r="H154" s="67">
        <v>0</v>
      </c>
      <c r="I154" s="37">
        <f t="shared" si="29"/>
        <v>0</v>
      </c>
    </row>
    <row r="155" spans="1:9" x14ac:dyDescent="0.2">
      <c r="A155" s="74">
        <f>IF(F155=0,"",1+MAX(A$19:A154))</f>
        <v>112</v>
      </c>
      <c r="B155" s="178"/>
      <c r="C155" s="176"/>
      <c r="D155" s="188"/>
      <c r="E155" s="59" t="s">
        <v>505</v>
      </c>
      <c r="F155" s="55">
        <v>4158</v>
      </c>
      <c r="G155" s="56" t="s">
        <v>30</v>
      </c>
      <c r="H155" s="67">
        <v>0</v>
      </c>
      <c r="I155" s="37">
        <f t="shared" si="29"/>
        <v>0</v>
      </c>
    </row>
    <row r="156" spans="1:9" ht="169" x14ac:dyDescent="0.2">
      <c r="A156" s="74">
        <f>IF(F156=0,"",1+MAX(A$19:A155))</f>
        <v>113</v>
      </c>
      <c r="B156" s="178"/>
      <c r="C156" s="176"/>
      <c r="D156" s="188"/>
      <c r="E156" s="68" t="s">
        <v>563</v>
      </c>
      <c r="F156" s="87">
        <v>3263</v>
      </c>
      <c r="G156" s="56" t="s">
        <v>30</v>
      </c>
      <c r="H156" s="67">
        <v>0</v>
      </c>
      <c r="I156" s="37">
        <f t="shared" si="29"/>
        <v>0</v>
      </c>
    </row>
    <row r="157" spans="1:9" ht="104" x14ac:dyDescent="0.2">
      <c r="A157" s="74">
        <f>IF(F157=0,"",1+MAX(A$19:A156))</f>
        <v>114</v>
      </c>
      <c r="B157" s="178"/>
      <c r="C157" s="176"/>
      <c r="D157" s="188"/>
      <c r="E157" s="68" t="s">
        <v>564</v>
      </c>
      <c r="F157" s="87">
        <v>1678</v>
      </c>
      <c r="G157" s="56" t="s">
        <v>30</v>
      </c>
      <c r="H157" s="67">
        <v>0</v>
      </c>
      <c r="I157" s="37">
        <f t="shared" ref="I157" si="30">F157*H157</f>
        <v>0</v>
      </c>
    </row>
    <row r="158" spans="1:9" ht="195" x14ac:dyDescent="0.2">
      <c r="A158" s="74">
        <f>IF(F158=0,"",1+MAX(A$19:A157))</f>
        <v>115</v>
      </c>
      <c r="B158" s="178"/>
      <c r="C158" s="176"/>
      <c r="D158" s="188"/>
      <c r="E158" s="88" t="s">
        <v>565</v>
      </c>
      <c r="F158" s="87">
        <v>1139</v>
      </c>
      <c r="G158" s="56" t="s">
        <v>30</v>
      </c>
      <c r="H158" s="67">
        <v>0</v>
      </c>
      <c r="I158" s="37">
        <f t="shared" si="29"/>
        <v>0</v>
      </c>
    </row>
    <row r="159" spans="1:9" x14ac:dyDescent="0.2">
      <c r="A159" s="74" t="str">
        <f>IF(F159=0,"",1+MAX(A$19:A158))</f>
        <v/>
      </c>
      <c r="B159" s="178"/>
      <c r="C159" s="176"/>
      <c r="D159" s="188"/>
      <c r="E159" s="60" t="s">
        <v>79</v>
      </c>
      <c r="F159" s="56"/>
      <c r="G159" s="56"/>
      <c r="H159" s="67"/>
      <c r="I159" s="37"/>
    </row>
    <row r="160" spans="1:9" x14ac:dyDescent="0.2">
      <c r="A160" s="74">
        <f>IF(F160=0,"",1+MAX(A$19:A159))</f>
        <v>116</v>
      </c>
      <c r="B160" s="178"/>
      <c r="C160" s="176"/>
      <c r="D160" s="188"/>
      <c r="E160" s="59" t="s">
        <v>78</v>
      </c>
      <c r="F160" s="55">
        <v>4035.4</v>
      </c>
      <c r="G160" s="56" t="s">
        <v>30</v>
      </c>
      <c r="H160" s="67">
        <v>0</v>
      </c>
      <c r="I160" s="37">
        <f t="shared" ref="I160:I164" si="31">F160*H160</f>
        <v>0</v>
      </c>
    </row>
    <row r="161" spans="1:9" x14ac:dyDescent="0.2">
      <c r="A161" s="74">
        <f>IF(F161=0,"",1+MAX(A$19:A160))</f>
        <v>117</v>
      </c>
      <c r="B161" s="178"/>
      <c r="C161" s="176"/>
      <c r="D161" s="188"/>
      <c r="E161" s="59" t="s">
        <v>77</v>
      </c>
      <c r="F161" s="55">
        <v>505.62</v>
      </c>
      <c r="G161" s="56" t="s">
        <v>32</v>
      </c>
      <c r="H161" s="67">
        <v>0</v>
      </c>
      <c r="I161" s="37">
        <f t="shared" si="31"/>
        <v>0</v>
      </c>
    </row>
    <row r="162" spans="1:9" x14ac:dyDescent="0.2">
      <c r="A162" s="74">
        <f>IF(F162=0,"",1+MAX(A$19:A161))</f>
        <v>118</v>
      </c>
      <c r="B162" s="178"/>
      <c r="C162" s="176"/>
      <c r="D162" s="188"/>
      <c r="E162" s="59" t="s">
        <v>76</v>
      </c>
      <c r="F162" s="55">
        <v>1241.44</v>
      </c>
      <c r="G162" s="56" t="s">
        <v>30</v>
      </c>
      <c r="H162" s="67">
        <v>0</v>
      </c>
      <c r="I162" s="37">
        <f t="shared" si="31"/>
        <v>0</v>
      </c>
    </row>
    <row r="163" spans="1:9" x14ac:dyDescent="0.2">
      <c r="A163" s="74">
        <f>IF(F163=0,"",1+MAX(A$19:A162))</f>
        <v>119</v>
      </c>
      <c r="B163" s="178"/>
      <c r="C163" s="176"/>
      <c r="D163" s="188"/>
      <c r="E163" s="59" t="s">
        <v>75</v>
      </c>
      <c r="F163" s="55">
        <v>167.7</v>
      </c>
      <c r="G163" s="56" t="s">
        <v>32</v>
      </c>
      <c r="H163" s="67">
        <v>0</v>
      </c>
      <c r="I163" s="37">
        <f t="shared" si="31"/>
        <v>0</v>
      </c>
    </row>
    <row r="164" spans="1:9" x14ac:dyDescent="0.2">
      <c r="A164" s="74">
        <f>IF(F164=0,"",1+MAX(A$19:A163))</f>
        <v>120</v>
      </c>
      <c r="B164" s="178"/>
      <c r="C164" s="176"/>
      <c r="D164" s="188"/>
      <c r="E164" s="59" t="s">
        <v>360</v>
      </c>
      <c r="F164" s="55">
        <v>5279.23</v>
      </c>
      <c r="G164" s="56" t="s">
        <v>30</v>
      </c>
      <c r="H164" s="67">
        <v>0</v>
      </c>
      <c r="I164" s="37">
        <f t="shared" si="31"/>
        <v>0</v>
      </c>
    </row>
    <row r="165" spans="1:9" x14ac:dyDescent="0.2">
      <c r="A165" s="74">
        <f>IF(F165=0,"",1+MAX(A$19:A164))</f>
        <v>121</v>
      </c>
      <c r="B165" s="178"/>
      <c r="C165" s="176"/>
      <c r="D165" s="188"/>
      <c r="E165" s="59" t="s">
        <v>361</v>
      </c>
      <c r="F165" s="55">
        <v>5279.23</v>
      </c>
      <c r="G165" s="56" t="s">
        <v>30</v>
      </c>
      <c r="H165" s="67">
        <v>0</v>
      </c>
      <c r="I165" s="37">
        <f t="shared" ref="I165" si="32">F165*H165</f>
        <v>0</v>
      </c>
    </row>
    <row r="166" spans="1:9" x14ac:dyDescent="0.2">
      <c r="A166" s="74" t="str">
        <f>IF(F166=0,"",1+MAX(A$19:A165))</f>
        <v/>
      </c>
      <c r="B166" s="178"/>
      <c r="C166" s="176"/>
      <c r="D166" s="188"/>
      <c r="E166" s="54" t="s">
        <v>40</v>
      </c>
      <c r="F166" s="89"/>
      <c r="G166" s="89"/>
      <c r="H166" s="67"/>
      <c r="I166" s="37"/>
    </row>
    <row r="167" spans="1:9" x14ac:dyDescent="0.2">
      <c r="A167" s="74" t="str">
        <f>IF(F167=0,"",1+MAX(A$19:A166))</f>
        <v/>
      </c>
      <c r="B167" s="178"/>
      <c r="C167" s="176"/>
      <c r="D167" s="188"/>
      <c r="E167" s="90" t="s">
        <v>91</v>
      </c>
      <c r="F167" s="89"/>
      <c r="G167" s="89"/>
      <c r="H167" s="67"/>
      <c r="I167" s="37"/>
    </row>
    <row r="168" spans="1:9" ht="52" x14ac:dyDescent="0.2">
      <c r="A168" s="74">
        <f>IF(F168=0,"",1+MAX(A$19:A167))</f>
        <v>122</v>
      </c>
      <c r="B168" s="178"/>
      <c r="C168" s="176"/>
      <c r="D168" s="188"/>
      <c r="E168" s="68" t="s">
        <v>566</v>
      </c>
      <c r="F168" s="56">
        <v>1</v>
      </c>
      <c r="G168" s="56" t="s">
        <v>240</v>
      </c>
      <c r="H168" s="67">
        <v>0</v>
      </c>
      <c r="I168" s="37">
        <f t="shared" ref="I168:I169" si="33">F168*H168</f>
        <v>0</v>
      </c>
    </row>
    <row r="169" spans="1:9" ht="52" x14ac:dyDescent="0.2">
      <c r="A169" s="74">
        <f>IF(F169=0,"",1+MAX(A$19:A168))</f>
        <v>123</v>
      </c>
      <c r="B169" s="91"/>
      <c r="C169" s="92"/>
      <c r="D169" s="188"/>
      <c r="E169" s="68" t="s">
        <v>567</v>
      </c>
      <c r="F169" s="56">
        <v>1</v>
      </c>
      <c r="G169" s="56" t="s">
        <v>240</v>
      </c>
      <c r="H169" s="67">
        <v>0</v>
      </c>
      <c r="I169" s="37">
        <f t="shared" si="33"/>
        <v>0</v>
      </c>
    </row>
    <row r="170" spans="1:9" x14ac:dyDescent="0.2">
      <c r="A170" s="74" t="str">
        <f>IF(F170=0,"",1+MAX(A$19:A169))</f>
        <v/>
      </c>
      <c r="B170" s="91"/>
      <c r="C170" s="92"/>
      <c r="D170" s="188"/>
      <c r="E170" s="60" t="s">
        <v>94</v>
      </c>
      <c r="F170" s="56"/>
      <c r="G170" s="56"/>
      <c r="H170" s="67"/>
      <c r="I170" s="37"/>
    </row>
    <row r="171" spans="1:9" ht="52" x14ac:dyDescent="0.2">
      <c r="A171" s="74">
        <f>IF(F171=0,"",1+MAX(A$19:A170))</f>
        <v>124</v>
      </c>
      <c r="B171" s="91"/>
      <c r="C171" s="92"/>
      <c r="D171" s="188"/>
      <c r="E171" s="68" t="s">
        <v>566</v>
      </c>
      <c r="F171" s="56">
        <v>1</v>
      </c>
      <c r="G171" s="56" t="s">
        <v>240</v>
      </c>
      <c r="H171" s="67">
        <v>0</v>
      </c>
      <c r="I171" s="37">
        <f t="shared" ref="I171:I172" si="34">F171*H171</f>
        <v>0</v>
      </c>
    </row>
    <row r="172" spans="1:9" ht="52" x14ac:dyDescent="0.2">
      <c r="A172" s="74">
        <f>IF(F172=0,"",1+MAX(A$19:A171))</f>
        <v>125</v>
      </c>
      <c r="B172" s="91"/>
      <c r="C172" s="92"/>
      <c r="D172" s="188"/>
      <c r="E172" s="68" t="s">
        <v>568</v>
      </c>
      <c r="F172" s="56">
        <v>1</v>
      </c>
      <c r="G172" s="56" t="s">
        <v>240</v>
      </c>
      <c r="H172" s="67">
        <v>0</v>
      </c>
      <c r="I172" s="37">
        <f t="shared" si="34"/>
        <v>0</v>
      </c>
    </row>
    <row r="173" spans="1:9" x14ac:dyDescent="0.2">
      <c r="A173" s="74" t="str">
        <f>IF(F173=0,"",1+MAX(A$19:A172))</f>
        <v/>
      </c>
      <c r="B173" s="91"/>
      <c r="C173" s="92"/>
      <c r="D173" s="188"/>
      <c r="E173" s="60" t="s">
        <v>95</v>
      </c>
      <c r="F173" s="56"/>
      <c r="G173" s="56"/>
      <c r="H173" s="67"/>
      <c r="I173" s="37"/>
    </row>
    <row r="174" spans="1:9" ht="53" thickBot="1" x14ac:dyDescent="0.25">
      <c r="A174" s="74">
        <f>IF(F174=0,"",1+MAX(A$19:A173))</f>
        <v>126</v>
      </c>
      <c r="B174" s="91"/>
      <c r="C174" s="92"/>
      <c r="D174" s="189"/>
      <c r="E174" s="68" t="s">
        <v>569</v>
      </c>
      <c r="F174" s="56">
        <v>1</v>
      </c>
      <c r="G174" s="56" t="s">
        <v>240</v>
      </c>
      <c r="H174" s="67">
        <v>0</v>
      </c>
      <c r="I174" s="37">
        <f t="shared" ref="I174" si="35">F174*H174</f>
        <v>0</v>
      </c>
    </row>
    <row r="175" spans="1:9" ht="20" customHeight="1" thickTop="1" thickBot="1" x14ac:dyDescent="0.25">
      <c r="A175" s="21"/>
      <c r="B175" s="38"/>
      <c r="C175" s="39"/>
      <c r="D175" s="93"/>
      <c r="E175" s="94"/>
      <c r="F175" s="85"/>
      <c r="G175" s="85"/>
      <c r="H175" s="42" t="s">
        <v>309</v>
      </c>
      <c r="I175" s="43">
        <f>SUM(I139:I174)</f>
        <v>0</v>
      </c>
    </row>
    <row r="176" spans="1:9" ht="20" customHeight="1" thickTop="1" thickBot="1" x14ac:dyDescent="0.25">
      <c r="B176" s="44"/>
      <c r="C176" s="44"/>
      <c r="E176" s="45"/>
      <c r="F176" s="46"/>
      <c r="G176" s="46"/>
      <c r="H176" s="47"/>
      <c r="I176" s="48"/>
    </row>
    <row r="177" spans="1:11" ht="20" customHeight="1" thickTop="1" thickBot="1" x14ac:dyDescent="0.25">
      <c r="A177" s="21" t="s">
        <v>20</v>
      </c>
      <c r="B177" s="66" t="s">
        <v>21</v>
      </c>
      <c r="C177" s="24"/>
      <c r="D177" s="23"/>
      <c r="E177" s="23" t="s">
        <v>14</v>
      </c>
      <c r="F177" s="21" t="s">
        <v>1</v>
      </c>
      <c r="G177" s="21" t="s">
        <v>25</v>
      </c>
      <c r="H177" s="21" t="s">
        <v>2</v>
      </c>
      <c r="I177" s="22" t="s">
        <v>4</v>
      </c>
      <c r="K177" s="11" t="s">
        <v>24</v>
      </c>
    </row>
    <row r="178" spans="1:11" ht="20" customHeight="1" thickTop="1" x14ac:dyDescent="0.2">
      <c r="A178" s="74"/>
      <c r="B178" s="177"/>
      <c r="C178" s="174"/>
      <c r="D178" s="187"/>
      <c r="E178" s="50" t="s">
        <v>357</v>
      </c>
      <c r="F178" s="51"/>
      <c r="G178" s="51"/>
      <c r="H178" s="52"/>
      <c r="I178" s="30"/>
    </row>
    <row r="179" spans="1:11" x14ac:dyDescent="0.2">
      <c r="A179" s="74" t="str">
        <f>IF(F179=0,"",1+MAX(A$19:A178))</f>
        <v/>
      </c>
      <c r="B179" s="178"/>
      <c r="C179" s="176"/>
      <c r="D179" s="188"/>
      <c r="E179" s="60" t="s">
        <v>359</v>
      </c>
      <c r="F179" s="56"/>
      <c r="G179" s="56"/>
      <c r="H179" s="67"/>
      <c r="I179" s="37"/>
    </row>
    <row r="180" spans="1:11" x14ac:dyDescent="0.2">
      <c r="A180" s="74">
        <f>IF(F180=0,"",1+MAX(A$19:A179))</f>
        <v>127</v>
      </c>
      <c r="B180" s="178"/>
      <c r="C180" s="176"/>
      <c r="D180" s="188"/>
      <c r="E180" s="68" t="s">
        <v>362</v>
      </c>
      <c r="F180" s="55">
        <v>5279</v>
      </c>
      <c r="G180" s="55" t="s">
        <v>30</v>
      </c>
      <c r="H180" s="67">
        <v>0</v>
      </c>
      <c r="I180" s="37">
        <f t="shared" ref="I180:I181" si="36">F180*H180</f>
        <v>0</v>
      </c>
    </row>
    <row r="181" spans="1:11" x14ac:dyDescent="0.2">
      <c r="A181" s="74">
        <f>IF(F181=0,"",1+MAX(A$19:A180))</f>
        <v>128</v>
      </c>
      <c r="B181" s="178"/>
      <c r="C181" s="176"/>
      <c r="D181" s="188"/>
      <c r="E181" s="59" t="s">
        <v>363</v>
      </c>
      <c r="F181" s="55">
        <v>5279</v>
      </c>
      <c r="G181" s="55" t="s">
        <v>30</v>
      </c>
      <c r="H181" s="67">
        <v>0</v>
      </c>
      <c r="I181" s="37">
        <f t="shared" si="36"/>
        <v>0</v>
      </c>
    </row>
    <row r="182" spans="1:11" x14ac:dyDescent="0.2">
      <c r="A182" s="74">
        <f>IF(F182=0,"",1+MAX(A$19:A181))</f>
        <v>129</v>
      </c>
      <c r="B182" s="178"/>
      <c r="C182" s="176"/>
      <c r="D182" s="188"/>
      <c r="E182" s="59" t="s">
        <v>364</v>
      </c>
      <c r="F182" s="55">
        <v>5279</v>
      </c>
      <c r="G182" s="55" t="s">
        <v>30</v>
      </c>
      <c r="H182" s="67">
        <v>0</v>
      </c>
      <c r="I182" s="37">
        <f t="shared" ref="I182" si="37">F182*H182</f>
        <v>0</v>
      </c>
    </row>
    <row r="183" spans="1:11" x14ac:dyDescent="0.2">
      <c r="A183" s="74">
        <f>IF(F183=0,"",1+MAX(A$19:A182))</f>
        <v>130</v>
      </c>
      <c r="B183" s="178"/>
      <c r="C183" s="176"/>
      <c r="D183" s="188"/>
      <c r="E183" s="59" t="s">
        <v>365</v>
      </c>
      <c r="F183" s="55">
        <v>5279</v>
      </c>
      <c r="G183" s="55" t="s">
        <v>30</v>
      </c>
      <c r="H183" s="67">
        <v>0</v>
      </c>
      <c r="I183" s="37">
        <f t="shared" ref="I183" si="38">F183*H183</f>
        <v>0</v>
      </c>
    </row>
    <row r="184" spans="1:11" x14ac:dyDescent="0.2">
      <c r="A184" s="74" t="str">
        <f>IF(F184=0,"",1+MAX(A$19:A183))</f>
        <v/>
      </c>
      <c r="B184" s="178"/>
      <c r="C184" s="176"/>
      <c r="D184" s="188"/>
      <c r="E184" s="60" t="s">
        <v>366</v>
      </c>
      <c r="F184" s="56"/>
      <c r="G184" s="56"/>
      <c r="H184" s="67"/>
      <c r="I184" s="37"/>
    </row>
    <row r="185" spans="1:11" x14ac:dyDescent="0.2">
      <c r="A185" s="74" t="str">
        <f>IF(F185=0,"",1+MAX(A$19:A184))</f>
        <v/>
      </c>
      <c r="B185" s="178"/>
      <c r="C185" s="176"/>
      <c r="D185" s="188"/>
      <c r="E185" s="61" t="s">
        <v>94</v>
      </c>
      <c r="F185" s="56"/>
      <c r="G185" s="56"/>
      <c r="H185" s="67"/>
      <c r="I185" s="37"/>
    </row>
    <row r="186" spans="1:11" x14ac:dyDescent="0.2">
      <c r="A186" s="74">
        <f>IF(F186=0,"",1+MAX(A$19:A185))</f>
        <v>131</v>
      </c>
      <c r="B186" s="178"/>
      <c r="C186" s="176"/>
      <c r="D186" s="188"/>
      <c r="E186" s="59" t="s">
        <v>367</v>
      </c>
      <c r="F186" s="56">
        <v>7970</v>
      </c>
      <c r="G186" s="56" t="s">
        <v>30</v>
      </c>
      <c r="H186" s="67">
        <v>0</v>
      </c>
      <c r="I186" s="37">
        <f t="shared" ref="I186" si="39">F186*H186</f>
        <v>0</v>
      </c>
    </row>
    <row r="187" spans="1:11" x14ac:dyDescent="0.2">
      <c r="A187" s="74" t="str">
        <f>IF(F187=0,"",1+MAX(A$19:A186))</f>
        <v/>
      </c>
      <c r="B187" s="178"/>
      <c r="C187" s="176"/>
      <c r="D187" s="188"/>
      <c r="E187" s="61" t="s">
        <v>95</v>
      </c>
      <c r="F187" s="55"/>
      <c r="G187" s="56"/>
      <c r="H187" s="67"/>
      <c r="I187" s="37"/>
    </row>
    <row r="188" spans="1:11" ht="17" thickBot="1" x14ac:dyDescent="0.25">
      <c r="A188" s="74">
        <f>IF(F188=0,"",1+MAX(A$19:A187))</f>
        <v>132</v>
      </c>
      <c r="B188" s="178"/>
      <c r="C188" s="176"/>
      <c r="D188" s="188"/>
      <c r="E188" s="59" t="s">
        <v>367</v>
      </c>
      <c r="F188" s="56">
        <v>5722</v>
      </c>
      <c r="G188" s="56" t="s">
        <v>30</v>
      </c>
      <c r="H188" s="67">
        <v>0</v>
      </c>
      <c r="I188" s="37">
        <f t="shared" ref="I188" si="40">F188*H188</f>
        <v>0</v>
      </c>
    </row>
    <row r="189" spans="1:11" ht="20" customHeight="1" thickTop="1" thickBot="1" x14ac:dyDescent="0.25">
      <c r="A189" s="21"/>
      <c r="B189" s="38"/>
      <c r="C189" s="39"/>
      <c r="D189" s="93"/>
      <c r="E189" s="94"/>
      <c r="F189" s="85"/>
      <c r="G189" s="85"/>
      <c r="H189" s="42" t="s">
        <v>358</v>
      </c>
      <c r="I189" s="43">
        <f>SUM(I178:I188)</f>
        <v>0</v>
      </c>
    </row>
    <row r="190" spans="1:11" ht="20" customHeight="1" thickTop="1" thickBot="1" x14ac:dyDescent="0.25">
      <c r="E190" s="20"/>
      <c r="F190" s="20"/>
      <c r="G190" s="20"/>
      <c r="H190" s="20"/>
      <c r="I190" s="20"/>
    </row>
    <row r="191" spans="1:11" ht="20" customHeight="1" thickTop="1" thickBot="1" x14ac:dyDescent="0.25">
      <c r="A191" s="21" t="s">
        <v>20</v>
      </c>
      <c r="B191" s="66" t="s">
        <v>21</v>
      </c>
      <c r="C191" s="24"/>
      <c r="D191" s="24"/>
      <c r="E191" s="23" t="s">
        <v>14</v>
      </c>
      <c r="F191" s="21" t="s">
        <v>1</v>
      </c>
      <c r="G191" s="21" t="s">
        <v>25</v>
      </c>
      <c r="H191" s="21" t="s">
        <v>2</v>
      </c>
      <c r="I191" s="22" t="s">
        <v>4</v>
      </c>
      <c r="K191" s="11" t="s">
        <v>24</v>
      </c>
    </row>
    <row r="192" spans="1:11" ht="18" thickTop="1" x14ac:dyDescent="0.2">
      <c r="A192" s="49"/>
      <c r="B192" s="173" t="s">
        <v>347</v>
      </c>
      <c r="C192" s="174"/>
      <c r="D192" s="95"/>
      <c r="E192" s="50" t="s">
        <v>26</v>
      </c>
      <c r="F192" s="51"/>
      <c r="G192" s="51"/>
      <c r="H192" s="52"/>
      <c r="I192" s="30"/>
    </row>
    <row r="193" spans="1:11" x14ac:dyDescent="0.2">
      <c r="A193" s="25"/>
      <c r="B193" s="175"/>
      <c r="C193" s="176"/>
      <c r="D193" s="95"/>
      <c r="E193" s="54" t="s">
        <v>41</v>
      </c>
      <c r="F193" s="56"/>
      <c r="G193" s="56"/>
      <c r="H193" s="96"/>
      <c r="I193" s="97"/>
      <c r="J193" s="98" t="s">
        <v>42</v>
      </c>
      <c r="K193" s="98" t="s">
        <v>42</v>
      </c>
    </row>
    <row r="194" spans="1:11" x14ac:dyDescent="0.2">
      <c r="A194" s="25" t="str">
        <f>IF(F194=0,"",1+MAX(A$19:A193))</f>
        <v/>
      </c>
      <c r="B194" s="175"/>
      <c r="C194" s="176"/>
      <c r="D194" s="95"/>
      <c r="E194" s="60" t="s">
        <v>91</v>
      </c>
      <c r="F194" s="56"/>
      <c r="G194" s="56"/>
      <c r="H194" s="67"/>
      <c r="I194" s="37"/>
      <c r="J194" s="98"/>
      <c r="K194" s="98"/>
    </row>
    <row r="195" spans="1:11" x14ac:dyDescent="0.2">
      <c r="A195" s="25" t="str">
        <f>IF(F195=0,"",1+MAX(A$19:A194))</f>
        <v/>
      </c>
      <c r="B195" s="175"/>
      <c r="C195" s="176"/>
      <c r="D195" s="95"/>
      <c r="E195" s="61" t="s">
        <v>92</v>
      </c>
      <c r="F195" s="56"/>
      <c r="G195" s="56"/>
      <c r="H195" s="67"/>
      <c r="I195" s="37"/>
      <c r="J195" s="98"/>
      <c r="K195" s="98"/>
    </row>
    <row r="196" spans="1:11" x14ac:dyDescent="0.2">
      <c r="A196" s="25">
        <f>IF(F196=0,"",1+MAX(A$19:A195))</f>
        <v>133</v>
      </c>
      <c r="B196" s="175"/>
      <c r="C196" s="176"/>
      <c r="D196" s="95"/>
      <c r="E196" s="59" t="s">
        <v>496</v>
      </c>
      <c r="F196" s="56">
        <v>3</v>
      </c>
      <c r="G196" s="56" t="s">
        <v>28</v>
      </c>
      <c r="H196" s="67">
        <v>0</v>
      </c>
      <c r="I196" s="37">
        <f t="shared" ref="I196" si="41">F196*H196</f>
        <v>0</v>
      </c>
      <c r="J196" s="98"/>
      <c r="K196" s="98"/>
    </row>
    <row r="197" spans="1:11" x14ac:dyDescent="0.2">
      <c r="A197" s="25">
        <f>IF(F197=0,"",1+MAX(A$19:A196))</f>
        <v>134</v>
      </c>
      <c r="B197" s="175"/>
      <c r="C197" s="176"/>
      <c r="D197" s="95"/>
      <c r="E197" s="59" t="s">
        <v>497</v>
      </c>
      <c r="F197" s="56">
        <v>2</v>
      </c>
      <c r="G197" s="56" t="s">
        <v>28</v>
      </c>
      <c r="H197" s="67">
        <v>0</v>
      </c>
      <c r="I197" s="37">
        <f t="shared" ref="I197" si="42">F197*H197</f>
        <v>0</v>
      </c>
      <c r="J197" s="98"/>
      <c r="K197" s="98"/>
    </row>
    <row r="198" spans="1:11" x14ac:dyDescent="0.2">
      <c r="A198" s="25">
        <f>IF(F198=0,"",1+MAX(A$19:A197))</f>
        <v>135</v>
      </c>
      <c r="B198" s="175"/>
      <c r="C198" s="176"/>
      <c r="D198" s="95"/>
      <c r="E198" s="59" t="s">
        <v>494</v>
      </c>
      <c r="F198" s="56">
        <v>4</v>
      </c>
      <c r="G198" s="56" t="s">
        <v>28</v>
      </c>
      <c r="H198" s="67">
        <v>0</v>
      </c>
      <c r="I198" s="37">
        <f t="shared" ref="I198:I200" si="43">F198*H198</f>
        <v>0</v>
      </c>
      <c r="J198" s="98"/>
      <c r="K198" s="98"/>
    </row>
    <row r="199" spans="1:11" x14ac:dyDescent="0.2">
      <c r="A199" s="25" t="str">
        <f>IF(F199=0,"",1+MAX(A$19:A198))</f>
        <v/>
      </c>
      <c r="B199" s="175"/>
      <c r="C199" s="176"/>
      <c r="D199" s="95"/>
      <c r="E199" s="61" t="s">
        <v>93</v>
      </c>
      <c r="F199" s="56"/>
      <c r="G199" s="56"/>
      <c r="H199" s="67"/>
      <c r="I199" s="37"/>
      <c r="J199" s="98"/>
      <c r="K199" s="98"/>
    </row>
    <row r="200" spans="1:11" x14ac:dyDescent="0.2">
      <c r="A200" s="25">
        <f>IF(F200=0,"",1+MAX(A$19:A199))</f>
        <v>136</v>
      </c>
      <c r="B200" s="175"/>
      <c r="C200" s="176"/>
      <c r="D200" s="95"/>
      <c r="E200" s="59" t="s">
        <v>370</v>
      </c>
      <c r="F200" s="56">
        <v>14</v>
      </c>
      <c r="G200" s="56" t="s">
        <v>28</v>
      </c>
      <c r="H200" s="67">
        <v>0</v>
      </c>
      <c r="I200" s="37">
        <f t="shared" si="43"/>
        <v>0</v>
      </c>
      <c r="J200" s="98"/>
      <c r="K200" s="98"/>
    </row>
    <row r="201" spans="1:11" x14ac:dyDescent="0.2">
      <c r="A201" s="25">
        <f>IF(F201=0,"",1+MAX(A$19:A200))</f>
        <v>137</v>
      </c>
      <c r="B201" s="175"/>
      <c r="C201" s="176"/>
      <c r="D201" s="95"/>
      <c r="E201" s="59" t="s">
        <v>369</v>
      </c>
      <c r="F201" s="56">
        <v>3</v>
      </c>
      <c r="G201" s="56" t="s">
        <v>28</v>
      </c>
      <c r="H201" s="67">
        <v>0</v>
      </c>
      <c r="I201" s="37">
        <f t="shared" ref="I201" si="44">F201*H201</f>
        <v>0</v>
      </c>
      <c r="J201" s="98" t="s">
        <v>42</v>
      </c>
      <c r="K201" s="98" t="s">
        <v>42</v>
      </c>
    </row>
    <row r="202" spans="1:11" x14ac:dyDescent="0.2">
      <c r="A202" s="25">
        <f>IF(F202=0,"",1+MAX(A$19:A201))</f>
        <v>138</v>
      </c>
      <c r="B202" s="175"/>
      <c r="C202" s="176"/>
      <c r="D202" s="95"/>
      <c r="E202" s="59" t="s">
        <v>368</v>
      </c>
      <c r="F202" s="56">
        <v>3</v>
      </c>
      <c r="G202" s="56" t="s">
        <v>28</v>
      </c>
      <c r="H202" s="67">
        <v>0</v>
      </c>
      <c r="I202" s="37">
        <f t="shared" ref="I202:I203" si="45">F202*H202</f>
        <v>0</v>
      </c>
      <c r="J202" s="98"/>
      <c r="K202" s="98"/>
    </row>
    <row r="203" spans="1:11" x14ac:dyDescent="0.2">
      <c r="A203" s="25">
        <f>IF(F203=0,"",1+MAX(A$19:A202))</f>
        <v>139</v>
      </c>
      <c r="B203" s="175"/>
      <c r="C203" s="176"/>
      <c r="D203" s="95"/>
      <c r="E203" s="59" t="s">
        <v>371</v>
      </c>
      <c r="F203" s="56">
        <v>2</v>
      </c>
      <c r="G203" s="56" t="s">
        <v>28</v>
      </c>
      <c r="H203" s="67">
        <v>0</v>
      </c>
      <c r="I203" s="37">
        <f t="shared" si="45"/>
        <v>0</v>
      </c>
      <c r="J203" s="98"/>
      <c r="K203" s="98"/>
    </row>
    <row r="204" spans="1:11" x14ac:dyDescent="0.2">
      <c r="A204" s="25" t="str">
        <f>IF(F204=0,"",1+MAX(A$19:A203))</f>
        <v/>
      </c>
      <c r="B204" s="175"/>
      <c r="C204" s="176"/>
      <c r="D204" s="95"/>
      <c r="E204" s="60" t="s">
        <v>94</v>
      </c>
      <c r="F204" s="56"/>
      <c r="G204" s="56"/>
      <c r="H204" s="67"/>
      <c r="I204" s="37"/>
      <c r="J204" s="98"/>
      <c r="K204" s="98"/>
    </row>
    <row r="205" spans="1:11" x14ac:dyDescent="0.2">
      <c r="A205" s="25" t="str">
        <f>IF(F205=0,"",1+MAX(A$19:A204))</f>
        <v/>
      </c>
      <c r="B205" s="175"/>
      <c r="C205" s="176"/>
      <c r="D205" s="95"/>
      <c r="E205" s="61" t="s">
        <v>92</v>
      </c>
      <c r="F205" s="56"/>
      <c r="G205" s="56"/>
      <c r="H205" s="99"/>
      <c r="I205" s="97"/>
      <c r="J205" s="98"/>
      <c r="K205" s="98"/>
    </row>
    <row r="206" spans="1:11" x14ac:dyDescent="0.2">
      <c r="A206" s="25">
        <f>IF(F206=0,"",1+MAX(A$19:A205))</f>
        <v>140</v>
      </c>
      <c r="B206" s="175"/>
      <c r="C206" s="176"/>
      <c r="D206" s="95"/>
      <c r="E206" s="59" t="s">
        <v>494</v>
      </c>
      <c r="F206" s="56">
        <v>3</v>
      </c>
      <c r="G206" s="56" t="s">
        <v>28</v>
      </c>
      <c r="H206" s="67">
        <v>0</v>
      </c>
      <c r="I206" s="37">
        <f t="shared" ref="I206:I207" si="46">F206*H206</f>
        <v>0</v>
      </c>
      <c r="J206" s="98"/>
      <c r="K206" s="98"/>
    </row>
    <row r="207" spans="1:11" x14ac:dyDescent="0.2">
      <c r="A207" s="25">
        <f>IF(F207=0,"",1+MAX(A$19:A206))</f>
        <v>141</v>
      </c>
      <c r="B207" s="175"/>
      <c r="C207" s="176"/>
      <c r="D207" s="95"/>
      <c r="E207" s="59" t="s">
        <v>495</v>
      </c>
      <c r="F207" s="56">
        <v>1</v>
      </c>
      <c r="G207" s="56" t="s">
        <v>28</v>
      </c>
      <c r="H207" s="67">
        <v>0</v>
      </c>
      <c r="I207" s="37">
        <f t="shared" si="46"/>
        <v>0</v>
      </c>
      <c r="J207" s="98"/>
      <c r="K207" s="98"/>
    </row>
    <row r="208" spans="1:11" x14ac:dyDescent="0.2">
      <c r="A208" s="25" t="str">
        <f>IF(F208=0,"",1+MAX(A$19:A207))</f>
        <v/>
      </c>
      <c r="B208" s="175"/>
      <c r="C208" s="176"/>
      <c r="D208" s="95"/>
      <c r="E208" s="61" t="s">
        <v>93</v>
      </c>
      <c r="F208" s="56"/>
      <c r="G208" s="56"/>
      <c r="H208" s="67"/>
      <c r="I208" s="37"/>
      <c r="J208" s="98"/>
      <c r="K208" s="98"/>
    </row>
    <row r="209" spans="1:11" x14ac:dyDescent="0.2">
      <c r="A209" s="25">
        <f>IF(F209=0,"",1+MAX(A$19:A208))</f>
        <v>142</v>
      </c>
      <c r="B209" s="175"/>
      <c r="C209" s="176"/>
      <c r="D209" s="95"/>
      <c r="E209" s="59" t="s">
        <v>370</v>
      </c>
      <c r="F209" s="56">
        <v>7</v>
      </c>
      <c r="G209" s="56" t="s">
        <v>28</v>
      </c>
      <c r="H209" s="67">
        <v>0</v>
      </c>
      <c r="I209" s="37">
        <f t="shared" ref="I209" si="47">F209*H209</f>
        <v>0</v>
      </c>
      <c r="J209" s="98" t="s">
        <v>42</v>
      </c>
      <c r="K209" s="98" t="s">
        <v>42</v>
      </c>
    </row>
    <row r="210" spans="1:11" x14ac:dyDescent="0.2">
      <c r="A210" s="25">
        <f>IF(F210=0,"",1+MAX(A$19:A209))</f>
        <v>143</v>
      </c>
      <c r="B210" s="175"/>
      <c r="C210" s="176"/>
      <c r="D210" s="95"/>
      <c r="E210" s="59" t="s">
        <v>371</v>
      </c>
      <c r="F210" s="56">
        <v>2</v>
      </c>
      <c r="G210" s="56" t="s">
        <v>28</v>
      </c>
      <c r="H210" s="67">
        <v>0</v>
      </c>
      <c r="I210" s="37">
        <f t="shared" ref="I210:I212" si="48">F210*H210</f>
        <v>0</v>
      </c>
      <c r="J210" s="98"/>
      <c r="K210" s="98"/>
    </row>
    <row r="211" spans="1:11" x14ac:dyDescent="0.2">
      <c r="A211" s="25">
        <f>IF(F211=0,"",1+MAX(A$19:A210))</f>
        <v>144</v>
      </c>
      <c r="B211" s="175"/>
      <c r="C211" s="176"/>
      <c r="D211" s="95"/>
      <c r="E211" s="59" t="s">
        <v>373</v>
      </c>
      <c r="F211" s="56">
        <v>1</v>
      </c>
      <c r="G211" s="56" t="s">
        <v>28</v>
      </c>
      <c r="H211" s="67">
        <v>0</v>
      </c>
      <c r="I211" s="37">
        <f t="shared" si="48"/>
        <v>0</v>
      </c>
      <c r="J211" s="98"/>
      <c r="K211" s="98"/>
    </row>
    <row r="212" spans="1:11" x14ac:dyDescent="0.2">
      <c r="A212" s="25">
        <f>IF(F212=0,"",1+MAX(A$19:A211))</f>
        <v>145</v>
      </c>
      <c r="B212" s="175"/>
      <c r="C212" s="176"/>
      <c r="D212" s="95"/>
      <c r="E212" s="59" t="s">
        <v>372</v>
      </c>
      <c r="F212" s="56">
        <v>1</v>
      </c>
      <c r="G212" s="56" t="s">
        <v>28</v>
      </c>
      <c r="H212" s="67">
        <v>0</v>
      </c>
      <c r="I212" s="37">
        <f t="shared" si="48"/>
        <v>0</v>
      </c>
      <c r="J212" s="98"/>
      <c r="K212" s="98"/>
    </row>
    <row r="213" spans="1:11" x14ac:dyDescent="0.2">
      <c r="A213" s="25">
        <f>IF(F213=0,"",1+MAX(A$19:A212))</f>
        <v>146</v>
      </c>
      <c r="B213" s="175"/>
      <c r="C213" s="176"/>
      <c r="D213" s="95"/>
      <c r="E213" s="59" t="s">
        <v>369</v>
      </c>
      <c r="F213" s="56">
        <v>3</v>
      </c>
      <c r="G213" s="56" t="s">
        <v>28</v>
      </c>
      <c r="H213" s="67">
        <v>0</v>
      </c>
      <c r="I213" s="37">
        <f t="shared" ref="I213" si="49">F213*H213</f>
        <v>0</v>
      </c>
      <c r="J213" s="98"/>
      <c r="K213" s="98"/>
    </row>
    <row r="214" spans="1:11" x14ac:dyDescent="0.2">
      <c r="A214" s="25" t="str">
        <f>IF(F214=0,"",1+MAX(A$19:A213))</f>
        <v/>
      </c>
      <c r="B214" s="175"/>
      <c r="C214" s="176"/>
      <c r="D214" s="95"/>
      <c r="E214" s="60" t="s">
        <v>95</v>
      </c>
      <c r="F214" s="56"/>
      <c r="G214" s="56"/>
      <c r="H214" s="67"/>
      <c r="I214" s="37"/>
      <c r="J214" s="98"/>
      <c r="K214" s="98"/>
    </row>
    <row r="215" spans="1:11" x14ac:dyDescent="0.2">
      <c r="A215" s="25">
        <f>IF(F215=0,"",1+MAX(A$19:A214))</f>
        <v>147</v>
      </c>
      <c r="B215" s="175"/>
      <c r="C215" s="176"/>
      <c r="D215" s="95"/>
      <c r="E215" s="59" t="s">
        <v>492</v>
      </c>
      <c r="F215" s="56">
        <v>2</v>
      </c>
      <c r="G215" s="56" t="s">
        <v>28</v>
      </c>
      <c r="H215" s="67">
        <v>0</v>
      </c>
      <c r="I215" s="37">
        <f t="shared" ref="I215:I216" si="50">F215*H215</f>
        <v>0</v>
      </c>
      <c r="J215" s="98"/>
      <c r="K215" s="98"/>
    </row>
    <row r="216" spans="1:11" x14ac:dyDescent="0.2">
      <c r="A216" s="25">
        <f>IF(F216=0,"",1+MAX(A$19:A215))</f>
        <v>148</v>
      </c>
      <c r="B216" s="175"/>
      <c r="C216" s="176"/>
      <c r="D216" s="95"/>
      <c r="E216" s="59" t="s">
        <v>370</v>
      </c>
      <c r="F216" s="56">
        <v>6</v>
      </c>
      <c r="G216" s="56" t="s">
        <v>28</v>
      </c>
      <c r="H216" s="67">
        <v>0</v>
      </c>
      <c r="I216" s="37">
        <f t="shared" si="50"/>
        <v>0</v>
      </c>
      <c r="J216" s="98"/>
      <c r="K216" s="98"/>
    </row>
    <row r="217" spans="1:11" x14ac:dyDescent="0.2">
      <c r="A217" s="25">
        <f>IF(F217=0,"",1+MAX(A$19:A216))</f>
        <v>149</v>
      </c>
      <c r="B217" s="175"/>
      <c r="C217" s="176"/>
      <c r="D217" s="95"/>
      <c r="E217" s="59" t="s">
        <v>493</v>
      </c>
      <c r="F217" s="56">
        <v>1</v>
      </c>
      <c r="G217" s="56" t="s">
        <v>28</v>
      </c>
      <c r="H217" s="67">
        <v>0</v>
      </c>
      <c r="I217" s="37">
        <f t="shared" ref="I217" si="51">F217*H217</f>
        <v>0</v>
      </c>
      <c r="J217" s="98" t="s">
        <v>42</v>
      </c>
      <c r="K217" s="98" t="s">
        <v>42</v>
      </c>
    </row>
    <row r="218" spans="1:11" x14ac:dyDescent="0.2">
      <c r="A218" s="25">
        <f>IF(F218=0,"",1+MAX(A$19:A217))</f>
        <v>150</v>
      </c>
      <c r="B218" s="175"/>
      <c r="C218" s="176"/>
      <c r="D218" s="95"/>
      <c r="E218" s="59" t="s">
        <v>494</v>
      </c>
      <c r="F218" s="56">
        <v>3</v>
      </c>
      <c r="G218" s="56" t="s">
        <v>28</v>
      </c>
      <c r="H218" s="67">
        <v>0</v>
      </c>
      <c r="I218" s="37">
        <f t="shared" ref="I218:I227" si="52">F218*H218</f>
        <v>0</v>
      </c>
      <c r="J218" s="98"/>
      <c r="K218" s="98"/>
    </row>
    <row r="219" spans="1:11" x14ac:dyDescent="0.2">
      <c r="A219" s="25" t="str">
        <f>IF(F219=0,"",1+MAX(A$19:A218))</f>
        <v/>
      </c>
      <c r="B219" s="175"/>
      <c r="C219" s="176"/>
      <c r="D219" s="95"/>
      <c r="E219" s="54" t="s">
        <v>508</v>
      </c>
      <c r="F219" s="56"/>
      <c r="G219" s="56"/>
      <c r="H219" s="67"/>
      <c r="I219" s="37"/>
      <c r="J219" s="98"/>
      <c r="K219" s="98"/>
    </row>
    <row r="220" spans="1:11" x14ac:dyDescent="0.2">
      <c r="A220" s="25" t="str">
        <f>IF(F220=0,"",1+MAX(A$19:A219))</f>
        <v/>
      </c>
      <c r="B220" s="175"/>
      <c r="C220" s="176"/>
      <c r="D220" s="95"/>
      <c r="E220" s="60" t="s">
        <v>91</v>
      </c>
      <c r="F220" s="56"/>
      <c r="G220" s="56"/>
      <c r="H220" s="67"/>
      <c r="I220" s="37"/>
      <c r="J220" s="98"/>
      <c r="K220" s="98"/>
    </row>
    <row r="221" spans="1:11" x14ac:dyDescent="0.2">
      <c r="A221" s="25">
        <f>IF(F221=0,"",1+MAX(A$19:A220))</f>
        <v>151</v>
      </c>
      <c r="B221" s="175"/>
      <c r="C221" s="176"/>
      <c r="D221" s="95"/>
      <c r="E221" s="59" t="s">
        <v>509</v>
      </c>
      <c r="F221" s="56">
        <v>31</v>
      </c>
      <c r="G221" s="56" t="s">
        <v>28</v>
      </c>
      <c r="H221" s="67">
        <v>0</v>
      </c>
      <c r="I221" s="37">
        <f t="shared" ref="I221:I223" si="53">F221*H221</f>
        <v>0</v>
      </c>
      <c r="J221" s="98"/>
      <c r="K221" s="98"/>
    </row>
    <row r="222" spans="1:11" x14ac:dyDescent="0.2">
      <c r="A222" s="25" t="str">
        <f>IF(F222=0,"",1+MAX(A$19:A221))</f>
        <v/>
      </c>
      <c r="B222" s="175"/>
      <c r="C222" s="176"/>
      <c r="D222" s="95"/>
      <c r="E222" s="60" t="s">
        <v>94</v>
      </c>
      <c r="F222" s="56"/>
      <c r="G222" s="56"/>
      <c r="H222" s="67"/>
      <c r="I222" s="37"/>
      <c r="J222" s="98" t="s">
        <v>42</v>
      </c>
      <c r="K222" s="98" t="s">
        <v>42</v>
      </c>
    </row>
    <row r="223" spans="1:11" x14ac:dyDescent="0.2">
      <c r="A223" s="25">
        <f>IF(F223=0,"",1+MAX(A$19:A222))</f>
        <v>152</v>
      </c>
      <c r="B223" s="175"/>
      <c r="C223" s="176"/>
      <c r="D223" s="95"/>
      <c r="E223" s="59" t="s">
        <v>509</v>
      </c>
      <c r="F223" s="56">
        <v>18</v>
      </c>
      <c r="G223" s="56" t="s">
        <v>28</v>
      </c>
      <c r="H223" s="67">
        <v>0</v>
      </c>
      <c r="I223" s="37">
        <f t="shared" si="53"/>
        <v>0</v>
      </c>
      <c r="J223" s="98"/>
      <c r="K223" s="98"/>
    </row>
    <row r="224" spans="1:11" x14ac:dyDescent="0.2">
      <c r="A224" s="25" t="str">
        <f>IF(F224=0,"",1+MAX(A$19:A223))</f>
        <v/>
      </c>
      <c r="B224" s="175"/>
      <c r="C224" s="176"/>
      <c r="D224" s="95"/>
      <c r="E224" s="60" t="s">
        <v>95</v>
      </c>
      <c r="F224" s="56"/>
      <c r="G224" s="56"/>
      <c r="H224" s="67"/>
      <c r="I224" s="37"/>
      <c r="J224" s="98" t="s">
        <v>42</v>
      </c>
      <c r="K224" s="98" t="s">
        <v>42</v>
      </c>
    </row>
    <row r="225" spans="1:11" x14ac:dyDescent="0.2">
      <c r="A225" s="25">
        <f>IF(F225=0,"",1+MAX(A$19:A224))</f>
        <v>153</v>
      </c>
      <c r="B225" s="175"/>
      <c r="C225" s="176"/>
      <c r="D225" s="95"/>
      <c r="E225" s="59" t="s">
        <v>509</v>
      </c>
      <c r="F225" s="56">
        <v>12</v>
      </c>
      <c r="G225" s="56" t="s">
        <v>28</v>
      </c>
      <c r="H225" s="67">
        <v>0</v>
      </c>
      <c r="I225" s="37">
        <f t="shared" ref="I225" si="54">F225*H225</f>
        <v>0</v>
      </c>
      <c r="J225" s="98"/>
      <c r="K225" s="98"/>
    </row>
    <row r="226" spans="1:11" x14ac:dyDescent="0.2">
      <c r="A226" s="25" t="str">
        <f>IF(F226=0,"",1+MAX(A$19:A225))</f>
        <v/>
      </c>
      <c r="B226" s="175"/>
      <c r="C226" s="176"/>
      <c r="D226" s="95"/>
      <c r="E226" s="54" t="s">
        <v>96</v>
      </c>
      <c r="F226" s="56"/>
      <c r="G226" s="56"/>
      <c r="H226" s="67"/>
      <c r="I226" s="37"/>
      <c r="J226" s="98"/>
      <c r="K226" s="98"/>
    </row>
    <row r="227" spans="1:11" x14ac:dyDescent="0.2">
      <c r="A227" s="25">
        <f>IF(F227=0,"",1+MAX(A$19:A226))</f>
        <v>154</v>
      </c>
      <c r="B227" s="175"/>
      <c r="C227" s="176"/>
      <c r="D227" s="95"/>
      <c r="E227" s="59" t="s">
        <v>510</v>
      </c>
      <c r="F227" s="56">
        <v>2</v>
      </c>
      <c r="G227" s="56" t="s">
        <v>28</v>
      </c>
      <c r="H227" s="67">
        <v>0</v>
      </c>
      <c r="I227" s="37">
        <f t="shared" si="52"/>
        <v>0</v>
      </c>
      <c r="J227" s="98"/>
      <c r="K227" s="98"/>
    </row>
    <row r="228" spans="1:11" x14ac:dyDescent="0.2">
      <c r="A228" s="25">
        <f>IF(F228=0,"",1+MAX(A$19:A227))</f>
        <v>155</v>
      </c>
      <c r="B228" s="175"/>
      <c r="C228" s="176"/>
      <c r="D228" s="95"/>
      <c r="E228" s="59" t="s">
        <v>511</v>
      </c>
      <c r="F228" s="56">
        <v>1</v>
      </c>
      <c r="G228" s="56" t="s">
        <v>28</v>
      </c>
      <c r="H228" s="67">
        <v>0</v>
      </c>
      <c r="I228" s="37">
        <f t="shared" ref="I228" si="55">F228*H228</f>
        <v>0</v>
      </c>
      <c r="J228" s="98"/>
      <c r="K228" s="98"/>
    </row>
    <row r="229" spans="1:11" x14ac:dyDescent="0.2">
      <c r="A229" s="25">
        <f>IF(F229=0,"",1+MAX(A$19:A228))</f>
        <v>156</v>
      </c>
      <c r="B229" s="175"/>
      <c r="C229" s="176"/>
      <c r="D229" s="95"/>
      <c r="E229" s="59" t="s">
        <v>512</v>
      </c>
      <c r="F229" s="56">
        <v>4</v>
      </c>
      <c r="G229" s="56" t="s">
        <v>28</v>
      </c>
      <c r="H229" s="67">
        <v>0</v>
      </c>
      <c r="I229" s="37">
        <f t="shared" ref="I229:I231" si="56">F229*H229</f>
        <v>0</v>
      </c>
      <c r="J229" s="98"/>
      <c r="K229" s="98"/>
    </row>
    <row r="230" spans="1:11" x14ac:dyDescent="0.2">
      <c r="A230" s="25">
        <f>IF(F230=0,"",1+MAX(A$19:A229))</f>
        <v>157</v>
      </c>
      <c r="B230" s="175"/>
      <c r="C230" s="176"/>
      <c r="D230" s="95"/>
      <c r="E230" s="59" t="s">
        <v>513</v>
      </c>
      <c r="F230" s="56">
        <v>2</v>
      </c>
      <c r="G230" s="56" t="s">
        <v>28</v>
      </c>
      <c r="H230" s="67">
        <v>0</v>
      </c>
      <c r="I230" s="37">
        <f t="shared" si="56"/>
        <v>0</v>
      </c>
      <c r="J230" s="98"/>
      <c r="K230" s="98"/>
    </row>
    <row r="231" spans="1:11" x14ac:dyDescent="0.2">
      <c r="A231" s="25">
        <f>IF(F231=0,"",1+MAX(A$19:A230))</f>
        <v>158</v>
      </c>
      <c r="B231" s="175"/>
      <c r="C231" s="176"/>
      <c r="D231" s="95"/>
      <c r="E231" s="59" t="s">
        <v>514</v>
      </c>
      <c r="F231" s="56">
        <v>1</v>
      </c>
      <c r="G231" s="56" t="s">
        <v>28</v>
      </c>
      <c r="H231" s="67">
        <v>0</v>
      </c>
      <c r="I231" s="37">
        <f t="shared" si="56"/>
        <v>0</v>
      </c>
      <c r="J231" s="98"/>
      <c r="K231" s="98"/>
    </row>
    <row r="232" spans="1:11" x14ac:dyDescent="0.2">
      <c r="A232" s="25">
        <f>IF(F232=0,"",1+MAX(A$19:A231))</f>
        <v>159</v>
      </c>
      <c r="B232" s="175"/>
      <c r="C232" s="176"/>
      <c r="D232" s="95"/>
      <c r="E232" s="59" t="s">
        <v>515</v>
      </c>
      <c r="F232" s="56">
        <v>3</v>
      </c>
      <c r="G232" s="56" t="s">
        <v>28</v>
      </c>
      <c r="H232" s="67">
        <v>0</v>
      </c>
      <c r="I232" s="37">
        <f t="shared" ref="I232" si="57">F232*H232</f>
        <v>0</v>
      </c>
      <c r="J232" s="98" t="s">
        <v>42</v>
      </c>
      <c r="K232" s="98" t="s">
        <v>42</v>
      </c>
    </row>
    <row r="233" spans="1:11" x14ac:dyDescent="0.2">
      <c r="A233" s="25">
        <f>IF(F233=0,"",1+MAX(A$19:A232))</f>
        <v>160</v>
      </c>
      <c r="B233" s="175"/>
      <c r="C233" s="176"/>
      <c r="D233" s="95"/>
      <c r="E233" s="59" t="s">
        <v>374</v>
      </c>
      <c r="F233" s="56">
        <v>2</v>
      </c>
      <c r="G233" s="56" t="s">
        <v>28</v>
      </c>
      <c r="H233" s="67">
        <v>0</v>
      </c>
      <c r="I233" s="37">
        <f t="shared" ref="I233:I235" si="58">F233*H233</f>
        <v>0</v>
      </c>
      <c r="J233" s="98"/>
      <c r="K233" s="98"/>
    </row>
    <row r="234" spans="1:11" x14ac:dyDescent="0.2">
      <c r="A234" s="25">
        <f>IF(F234=0,"",1+MAX(A$19:A233))</f>
        <v>161</v>
      </c>
      <c r="B234" s="175"/>
      <c r="C234" s="176"/>
      <c r="D234" s="95"/>
      <c r="E234" s="59" t="s">
        <v>375</v>
      </c>
      <c r="F234" s="56">
        <v>4</v>
      </c>
      <c r="G234" s="56" t="s">
        <v>28</v>
      </c>
      <c r="H234" s="67">
        <v>0</v>
      </c>
      <c r="I234" s="37">
        <f t="shared" si="58"/>
        <v>0</v>
      </c>
      <c r="J234" s="98"/>
      <c r="K234" s="98"/>
    </row>
    <row r="235" spans="1:11" x14ac:dyDescent="0.2">
      <c r="A235" s="25">
        <f>IF(F235=0,"",1+MAX(A$19:A234))</f>
        <v>162</v>
      </c>
      <c r="B235" s="175"/>
      <c r="C235" s="176"/>
      <c r="D235" s="95"/>
      <c r="E235" s="59" t="s">
        <v>516</v>
      </c>
      <c r="F235" s="56">
        <v>2</v>
      </c>
      <c r="G235" s="56" t="s">
        <v>28</v>
      </c>
      <c r="H235" s="67">
        <v>0</v>
      </c>
      <c r="I235" s="37">
        <f t="shared" si="58"/>
        <v>0</v>
      </c>
      <c r="J235" s="98"/>
      <c r="K235" s="98"/>
    </row>
    <row r="236" spans="1:11" x14ac:dyDescent="0.2">
      <c r="A236" s="25">
        <f>IF(F236=0,"",1+MAX(A$19:A235))</f>
        <v>163</v>
      </c>
      <c r="B236" s="175"/>
      <c r="C236" s="176"/>
      <c r="D236" s="95"/>
      <c r="E236" s="59" t="s">
        <v>376</v>
      </c>
      <c r="F236" s="56">
        <v>2</v>
      </c>
      <c r="G236" s="56" t="s">
        <v>28</v>
      </c>
      <c r="H236" s="67">
        <v>0</v>
      </c>
      <c r="I236" s="37">
        <f t="shared" ref="I236" si="59">F236*H236</f>
        <v>0</v>
      </c>
      <c r="J236" s="98"/>
      <c r="K236" s="98"/>
    </row>
    <row r="237" spans="1:11" x14ac:dyDescent="0.2">
      <c r="A237" s="25">
        <f>IF(F237=0,"",1+MAX(A$19:A236))</f>
        <v>164</v>
      </c>
      <c r="B237" s="175"/>
      <c r="C237" s="176"/>
      <c r="D237" s="95"/>
      <c r="E237" s="59" t="s">
        <v>517</v>
      </c>
      <c r="F237" s="56">
        <v>3</v>
      </c>
      <c r="G237" s="56" t="s">
        <v>28</v>
      </c>
      <c r="H237" s="67">
        <v>0</v>
      </c>
      <c r="I237" s="37">
        <f t="shared" ref="I237:I239" si="60">F237*H237</f>
        <v>0</v>
      </c>
      <c r="J237" s="98"/>
      <c r="K237" s="98"/>
    </row>
    <row r="238" spans="1:11" x14ac:dyDescent="0.2">
      <c r="A238" s="25">
        <f>IF(F238=0,"",1+MAX(A$19:A237))</f>
        <v>165</v>
      </c>
      <c r="B238" s="175"/>
      <c r="C238" s="176"/>
      <c r="D238" s="95"/>
      <c r="E238" s="59" t="s">
        <v>518</v>
      </c>
      <c r="F238" s="56">
        <v>1</v>
      </c>
      <c r="G238" s="56" t="s">
        <v>28</v>
      </c>
      <c r="H238" s="67">
        <v>0</v>
      </c>
      <c r="I238" s="37">
        <f t="shared" si="60"/>
        <v>0</v>
      </c>
      <c r="J238" s="98"/>
      <c r="K238" s="98"/>
    </row>
    <row r="239" spans="1:11" x14ac:dyDescent="0.2">
      <c r="A239" s="25">
        <f>IF(F239=0,"",1+MAX(A$19:A238))</f>
        <v>166</v>
      </c>
      <c r="B239" s="175"/>
      <c r="C239" s="176"/>
      <c r="D239" s="95"/>
      <c r="E239" s="59" t="s">
        <v>377</v>
      </c>
      <c r="F239" s="56">
        <v>4</v>
      </c>
      <c r="G239" s="56" t="s">
        <v>28</v>
      </c>
      <c r="H239" s="67">
        <v>0</v>
      </c>
      <c r="I239" s="37">
        <f t="shared" si="60"/>
        <v>0</v>
      </c>
      <c r="J239" s="98"/>
      <c r="K239" s="98"/>
    </row>
    <row r="240" spans="1:11" x14ac:dyDescent="0.2">
      <c r="A240" s="25">
        <f>IF(F240=0,"",1+MAX(A$19:A239))</f>
        <v>167</v>
      </c>
      <c r="B240" s="175"/>
      <c r="C240" s="176"/>
      <c r="D240" s="95"/>
      <c r="E240" s="59" t="s">
        <v>519</v>
      </c>
      <c r="F240" s="56">
        <v>13</v>
      </c>
      <c r="G240" s="56" t="s">
        <v>28</v>
      </c>
      <c r="H240" s="67">
        <v>0</v>
      </c>
      <c r="I240" s="37">
        <f t="shared" ref="I240" si="61">F240*H240</f>
        <v>0</v>
      </c>
      <c r="J240" s="98" t="s">
        <v>42</v>
      </c>
      <c r="K240" s="98" t="s">
        <v>42</v>
      </c>
    </row>
    <row r="241" spans="1:11" x14ac:dyDescent="0.2">
      <c r="A241" s="25">
        <f>IF(F241=0,"",1+MAX(A$19:A240))</f>
        <v>168</v>
      </c>
      <c r="B241" s="175"/>
      <c r="C241" s="176"/>
      <c r="D241" s="95"/>
      <c r="E241" s="59" t="s">
        <v>520</v>
      </c>
      <c r="F241" s="56">
        <v>1</v>
      </c>
      <c r="G241" s="56" t="s">
        <v>28</v>
      </c>
      <c r="H241" s="67">
        <v>0</v>
      </c>
      <c r="I241" s="37">
        <f t="shared" ref="I241:I243" si="62">F241*H241</f>
        <v>0</v>
      </c>
      <c r="J241" s="98"/>
      <c r="K241" s="98"/>
    </row>
    <row r="242" spans="1:11" x14ac:dyDescent="0.2">
      <c r="A242" s="25">
        <f>IF(F242=0,"",1+MAX(A$19:A241))</f>
        <v>169</v>
      </c>
      <c r="B242" s="175"/>
      <c r="C242" s="176"/>
      <c r="D242" s="95"/>
      <c r="E242" s="59" t="s">
        <v>521</v>
      </c>
      <c r="F242" s="56">
        <v>1</v>
      </c>
      <c r="G242" s="56" t="s">
        <v>28</v>
      </c>
      <c r="H242" s="67">
        <v>0</v>
      </c>
      <c r="I242" s="37">
        <f t="shared" si="62"/>
        <v>0</v>
      </c>
      <c r="J242" s="98"/>
      <c r="K242" s="98"/>
    </row>
    <row r="243" spans="1:11" x14ac:dyDescent="0.2">
      <c r="A243" s="25">
        <f>IF(F243=0,"",1+MAX(A$19:A242))</f>
        <v>170</v>
      </c>
      <c r="B243" s="175"/>
      <c r="C243" s="176"/>
      <c r="D243" s="95"/>
      <c r="E243" s="59" t="s">
        <v>378</v>
      </c>
      <c r="F243" s="56">
        <v>1</v>
      </c>
      <c r="G243" s="56" t="s">
        <v>28</v>
      </c>
      <c r="H243" s="67">
        <v>0</v>
      </c>
      <c r="I243" s="37">
        <f t="shared" si="62"/>
        <v>0</v>
      </c>
      <c r="J243" s="98"/>
      <c r="K243" s="98"/>
    </row>
    <row r="244" spans="1:11" x14ac:dyDescent="0.2">
      <c r="A244" s="25">
        <f>IF(F244=0,"",1+MAX(A$19:A243))</f>
        <v>171</v>
      </c>
      <c r="B244" s="175"/>
      <c r="C244" s="176"/>
      <c r="D244" s="95"/>
      <c r="E244" s="59" t="s">
        <v>379</v>
      </c>
      <c r="F244" s="56">
        <v>9</v>
      </c>
      <c r="G244" s="56" t="s">
        <v>28</v>
      </c>
      <c r="H244" s="67">
        <v>0</v>
      </c>
      <c r="I244" s="37">
        <f t="shared" ref="I244" si="63">F244*H244</f>
        <v>0</v>
      </c>
      <c r="J244" s="98"/>
      <c r="K244" s="98"/>
    </row>
    <row r="245" spans="1:11" x14ac:dyDescent="0.2">
      <c r="A245" s="25">
        <f>IF(F245=0,"",1+MAX(A$19:A244))</f>
        <v>172</v>
      </c>
      <c r="B245" s="175"/>
      <c r="C245" s="176"/>
      <c r="D245" s="95"/>
      <c r="E245" s="59" t="s">
        <v>522</v>
      </c>
      <c r="F245" s="56">
        <v>1</v>
      </c>
      <c r="G245" s="56" t="s">
        <v>28</v>
      </c>
      <c r="H245" s="67">
        <v>0</v>
      </c>
      <c r="I245" s="37">
        <f t="shared" ref="I245:I263" si="64">F245*H245</f>
        <v>0</v>
      </c>
      <c r="J245" s="98"/>
      <c r="K245" s="98"/>
    </row>
    <row r="246" spans="1:11" x14ac:dyDescent="0.2">
      <c r="A246" s="25">
        <f>IF(F246=0,"",1+MAX(A$19:A245))</f>
        <v>173</v>
      </c>
      <c r="B246" s="175"/>
      <c r="C246" s="176"/>
      <c r="D246" s="95"/>
      <c r="E246" s="59" t="s">
        <v>523</v>
      </c>
      <c r="F246" s="56">
        <v>3</v>
      </c>
      <c r="G246" s="56" t="s">
        <v>28</v>
      </c>
      <c r="H246" s="67">
        <v>0</v>
      </c>
      <c r="I246" s="37">
        <f t="shared" si="64"/>
        <v>0</v>
      </c>
      <c r="J246" s="98"/>
      <c r="K246" s="98"/>
    </row>
    <row r="247" spans="1:11" x14ac:dyDescent="0.2">
      <c r="A247" s="25">
        <f>IF(F247=0,"",1+MAX(A$19:A246))</f>
        <v>174</v>
      </c>
      <c r="B247" s="175"/>
      <c r="C247" s="176"/>
      <c r="D247" s="95"/>
      <c r="E247" s="59" t="s">
        <v>524</v>
      </c>
      <c r="F247" s="56">
        <v>6</v>
      </c>
      <c r="G247" s="56" t="s">
        <v>28</v>
      </c>
      <c r="H247" s="67">
        <v>0</v>
      </c>
      <c r="I247" s="37">
        <f t="shared" si="64"/>
        <v>0</v>
      </c>
      <c r="J247" s="98"/>
      <c r="K247" s="98"/>
    </row>
    <row r="248" spans="1:11" x14ac:dyDescent="0.2">
      <c r="A248" s="25">
        <f>IF(F248=0,"",1+MAX(A$19:A247))</f>
        <v>175</v>
      </c>
      <c r="B248" s="175"/>
      <c r="C248" s="176"/>
      <c r="D248" s="95"/>
      <c r="E248" s="59" t="s">
        <v>380</v>
      </c>
      <c r="F248" s="56">
        <v>1</v>
      </c>
      <c r="G248" s="56" t="s">
        <v>28</v>
      </c>
      <c r="H248" s="67">
        <v>0</v>
      </c>
      <c r="I248" s="37">
        <f t="shared" si="64"/>
        <v>0</v>
      </c>
      <c r="J248" s="98" t="s">
        <v>42</v>
      </c>
      <c r="K248" s="98" t="s">
        <v>42</v>
      </c>
    </row>
    <row r="249" spans="1:11" x14ac:dyDescent="0.2">
      <c r="A249" s="25">
        <f>IF(F249=0,"",1+MAX(A$19:A248))</f>
        <v>176</v>
      </c>
      <c r="B249" s="175"/>
      <c r="C249" s="176"/>
      <c r="D249" s="95"/>
      <c r="E249" s="59" t="s">
        <v>381</v>
      </c>
      <c r="F249" s="56">
        <v>3</v>
      </c>
      <c r="G249" s="56" t="s">
        <v>28</v>
      </c>
      <c r="H249" s="67">
        <v>0</v>
      </c>
      <c r="I249" s="37">
        <f t="shared" si="64"/>
        <v>0</v>
      </c>
      <c r="J249" s="98"/>
      <c r="K249" s="98"/>
    </row>
    <row r="250" spans="1:11" x14ac:dyDescent="0.2">
      <c r="A250" s="25">
        <f>IF(F250=0,"",1+MAX(A$19:A249))</f>
        <v>177</v>
      </c>
      <c r="B250" s="175"/>
      <c r="C250" s="176"/>
      <c r="D250" s="95"/>
      <c r="E250" s="59" t="s">
        <v>525</v>
      </c>
      <c r="F250" s="56">
        <v>2</v>
      </c>
      <c r="G250" s="56" t="s">
        <v>28</v>
      </c>
      <c r="H250" s="67">
        <v>0</v>
      </c>
      <c r="I250" s="37">
        <f t="shared" si="64"/>
        <v>0</v>
      </c>
      <c r="J250" s="98"/>
      <c r="K250" s="98"/>
    </row>
    <row r="251" spans="1:11" x14ac:dyDescent="0.2">
      <c r="A251" s="25">
        <f>IF(F251=0,"",1+MAX(A$19:A250))</f>
        <v>178</v>
      </c>
      <c r="B251" s="175"/>
      <c r="C251" s="176"/>
      <c r="D251" s="95"/>
      <c r="E251" s="59" t="s">
        <v>526</v>
      </c>
      <c r="F251" s="56">
        <v>2</v>
      </c>
      <c r="G251" s="56" t="s">
        <v>28</v>
      </c>
      <c r="H251" s="67">
        <v>0</v>
      </c>
      <c r="I251" s="37">
        <f t="shared" si="64"/>
        <v>0</v>
      </c>
      <c r="J251" s="98"/>
      <c r="K251" s="98"/>
    </row>
    <row r="252" spans="1:11" x14ac:dyDescent="0.2">
      <c r="A252" s="25">
        <f>IF(F252=0,"",1+MAX(A$19:A251))</f>
        <v>179</v>
      </c>
      <c r="B252" s="175"/>
      <c r="C252" s="176"/>
      <c r="D252" s="95"/>
      <c r="E252" s="59" t="s">
        <v>527</v>
      </c>
      <c r="F252" s="56">
        <v>1</v>
      </c>
      <c r="G252" s="56" t="s">
        <v>28</v>
      </c>
      <c r="H252" s="67">
        <v>0</v>
      </c>
      <c r="I252" s="37">
        <f t="shared" si="64"/>
        <v>0</v>
      </c>
      <c r="J252" s="98"/>
      <c r="K252" s="98"/>
    </row>
    <row r="253" spans="1:11" x14ac:dyDescent="0.2">
      <c r="A253" s="25">
        <f>IF(F253=0,"",1+MAX(A$19:A252))</f>
        <v>180</v>
      </c>
      <c r="B253" s="175"/>
      <c r="C253" s="176"/>
      <c r="D253" s="95"/>
      <c r="E253" s="59" t="s">
        <v>382</v>
      </c>
      <c r="F253" s="56">
        <v>3</v>
      </c>
      <c r="G253" s="56" t="s">
        <v>28</v>
      </c>
      <c r="H253" s="67">
        <v>0</v>
      </c>
      <c r="I253" s="37">
        <f t="shared" si="64"/>
        <v>0</v>
      </c>
      <c r="J253" s="98" t="s">
        <v>42</v>
      </c>
      <c r="K253" s="98" t="s">
        <v>42</v>
      </c>
    </row>
    <row r="254" spans="1:11" x14ac:dyDescent="0.2">
      <c r="A254" s="25">
        <f>IF(F254=0,"",1+MAX(A$19:A253))</f>
        <v>181</v>
      </c>
      <c r="B254" s="175"/>
      <c r="C254" s="176"/>
      <c r="D254" s="95"/>
      <c r="E254" s="59" t="s">
        <v>383</v>
      </c>
      <c r="F254" s="56">
        <v>3</v>
      </c>
      <c r="G254" s="56" t="s">
        <v>28</v>
      </c>
      <c r="H254" s="67">
        <v>0</v>
      </c>
      <c r="I254" s="37">
        <f t="shared" si="64"/>
        <v>0</v>
      </c>
      <c r="J254" s="98"/>
      <c r="K254" s="98"/>
    </row>
    <row r="255" spans="1:11" x14ac:dyDescent="0.2">
      <c r="A255" s="25">
        <f>IF(F255=0,"",1+MAX(A$19:A254))</f>
        <v>182</v>
      </c>
      <c r="B255" s="175"/>
      <c r="C255" s="176"/>
      <c r="D255" s="95"/>
      <c r="E255" s="59" t="s">
        <v>384</v>
      </c>
      <c r="F255" s="56">
        <v>3</v>
      </c>
      <c r="G255" s="56" t="s">
        <v>28</v>
      </c>
      <c r="H255" s="67">
        <v>0</v>
      </c>
      <c r="I255" s="37">
        <f t="shared" si="64"/>
        <v>0</v>
      </c>
      <c r="J255" s="98"/>
      <c r="K255" s="98"/>
    </row>
    <row r="256" spans="1:11" x14ac:dyDescent="0.2">
      <c r="A256" s="25">
        <f>IF(F256=0,"",1+MAX(A$19:A255))</f>
        <v>183</v>
      </c>
      <c r="B256" s="175"/>
      <c r="C256" s="176"/>
      <c r="D256" s="95"/>
      <c r="E256" s="59" t="s">
        <v>385</v>
      </c>
      <c r="F256" s="56">
        <v>6</v>
      </c>
      <c r="G256" s="56" t="s">
        <v>28</v>
      </c>
      <c r="H256" s="67">
        <v>0</v>
      </c>
      <c r="I256" s="37">
        <f t="shared" si="64"/>
        <v>0</v>
      </c>
      <c r="J256" s="98"/>
      <c r="K256" s="98"/>
    </row>
    <row r="257" spans="1:11" x14ac:dyDescent="0.2">
      <c r="A257" s="25">
        <f>IF(F257=0,"",1+MAX(A$19:A256))</f>
        <v>184</v>
      </c>
      <c r="B257" s="175"/>
      <c r="C257" s="176"/>
      <c r="D257" s="95"/>
      <c r="E257" s="59" t="s">
        <v>386</v>
      </c>
      <c r="F257" s="56">
        <v>3</v>
      </c>
      <c r="G257" s="56" t="s">
        <v>28</v>
      </c>
      <c r="H257" s="67">
        <v>0</v>
      </c>
      <c r="I257" s="37">
        <f t="shared" si="64"/>
        <v>0</v>
      </c>
      <c r="J257" s="98"/>
      <c r="K257" s="98"/>
    </row>
    <row r="258" spans="1:11" x14ac:dyDescent="0.2">
      <c r="A258" s="25">
        <f>IF(F258=0,"",1+MAX(A$19:A257))</f>
        <v>185</v>
      </c>
      <c r="B258" s="175"/>
      <c r="C258" s="176"/>
      <c r="D258" s="95"/>
      <c r="E258" s="59" t="s">
        <v>528</v>
      </c>
      <c r="F258" s="56">
        <v>6</v>
      </c>
      <c r="G258" s="56" t="s">
        <v>28</v>
      </c>
      <c r="H258" s="67">
        <v>0</v>
      </c>
      <c r="I258" s="37">
        <f t="shared" si="64"/>
        <v>0</v>
      </c>
      <c r="J258" s="98"/>
      <c r="K258" s="98"/>
    </row>
    <row r="259" spans="1:11" x14ac:dyDescent="0.2">
      <c r="A259" s="25">
        <f>IF(F259=0,"",1+MAX(A$19:A258))</f>
        <v>186</v>
      </c>
      <c r="B259" s="175"/>
      <c r="C259" s="176"/>
      <c r="D259" s="95"/>
      <c r="E259" s="59" t="s">
        <v>529</v>
      </c>
      <c r="F259" s="56">
        <v>2</v>
      </c>
      <c r="G259" s="56" t="s">
        <v>28</v>
      </c>
      <c r="H259" s="67">
        <v>0</v>
      </c>
      <c r="I259" s="37">
        <f t="shared" si="64"/>
        <v>0</v>
      </c>
      <c r="J259" s="98"/>
      <c r="K259" s="98"/>
    </row>
    <row r="260" spans="1:11" x14ac:dyDescent="0.2">
      <c r="A260" s="25">
        <f>IF(F260=0,"",1+MAX(A$19:A259))</f>
        <v>187</v>
      </c>
      <c r="B260" s="175"/>
      <c r="C260" s="176"/>
      <c r="D260" s="95"/>
      <c r="E260" s="59" t="s">
        <v>387</v>
      </c>
      <c r="F260" s="56">
        <v>2</v>
      </c>
      <c r="G260" s="56" t="s">
        <v>28</v>
      </c>
      <c r="H260" s="67">
        <v>0</v>
      </c>
      <c r="I260" s="37">
        <f t="shared" si="64"/>
        <v>0</v>
      </c>
      <c r="J260" s="98"/>
      <c r="K260" s="98"/>
    </row>
    <row r="261" spans="1:11" x14ac:dyDescent="0.2">
      <c r="A261" s="25">
        <f>IF(F261=0,"",1+MAX(A$19:A260))</f>
        <v>188</v>
      </c>
      <c r="B261" s="175"/>
      <c r="C261" s="176"/>
      <c r="D261" s="95"/>
      <c r="E261" s="59" t="s">
        <v>388</v>
      </c>
      <c r="F261" s="56">
        <v>2</v>
      </c>
      <c r="G261" s="56" t="s">
        <v>28</v>
      </c>
      <c r="H261" s="67">
        <v>0</v>
      </c>
      <c r="I261" s="37">
        <f t="shared" si="64"/>
        <v>0</v>
      </c>
      <c r="J261" s="98"/>
      <c r="K261" s="98"/>
    </row>
    <row r="262" spans="1:11" x14ac:dyDescent="0.2">
      <c r="A262" s="25">
        <f>IF(F262=0,"",1+MAX(A$19:A261))</f>
        <v>189</v>
      </c>
      <c r="B262" s="175"/>
      <c r="C262" s="176"/>
      <c r="D262" s="95"/>
      <c r="E262" s="59" t="s">
        <v>530</v>
      </c>
      <c r="F262" s="56">
        <v>3</v>
      </c>
      <c r="G262" s="56" t="s">
        <v>28</v>
      </c>
      <c r="H262" s="67">
        <v>0</v>
      </c>
      <c r="I262" s="37">
        <f t="shared" si="64"/>
        <v>0</v>
      </c>
      <c r="J262" s="98"/>
      <c r="K262" s="98"/>
    </row>
    <row r="263" spans="1:11" x14ac:dyDescent="0.2">
      <c r="A263" s="25">
        <f>IF(F263=0,"",1+MAX(A$19:A262))</f>
        <v>190</v>
      </c>
      <c r="B263" s="175"/>
      <c r="C263" s="176"/>
      <c r="D263" s="95"/>
      <c r="E263" s="59" t="s">
        <v>531</v>
      </c>
      <c r="F263" s="56">
        <v>1</v>
      </c>
      <c r="G263" s="56" t="s">
        <v>28</v>
      </c>
      <c r="H263" s="67">
        <v>0</v>
      </c>
      <c r="I263" s="37">
        <f t="shared" si="64"/>
        <v>0</v>
      </c>
      <c r="J263" s="98"/>
      <c r="K263" s="98"/>
    </row>
    <row r="264" spans="1:11" x14ac:dyDescent="0.2">
      <c r="A264" s="25">
        <f>IF(F264=0,"",1+MAX(A$19:A263))</f>
        <v>191</v>
      </c>
      <c r="B264" s="175"/>
      <c r="C264" s="176"/>
      <c r="D264" s="95"/>
      <c r="E264" s="59" t="s">
        <v>389</v>
      </c>
      <c r="F264" s="56">
        <v>1</v>
      </c>
      <c r="G264" s="56" t="s">
        <v>28</v>
      </c>
      <c r="H264" s="67">
        <v>0</v>
      </c>
      <c r="I264" s="37">
        <f t="shared" ref="I264:I273" si="65">F264*H264</f>
        <v>0</v>
      </c>
      <c r="J264" s="98"/>
      <c r="K264" s="98"/>
    </row>
    <row r="265" spans="1:11" x14ac:dyDescent="0.2">
      <c r="A265" s="25">
        <f>IF(F265=0,"",1+MAX(A$19:A264))</f>
        <v>192</v>
      </c>
      <c r="B265" s="175"/>
      <c r="C265" s="176"/>
      <c r="D265" s="95"/>
      <c r="E265" s="59" t="s">
        <v>390</v>
      </c>
      <c r="F265" s="56">
        <v>1</v>
      </c>
      <c r="G265" s="56" t="s">
        <v>28</v>
      </c>
      <c r="H265" s="67">
        <v>0</v>
      </c>
      <c r="I265" s="37">
        <f t="shared" si="65"/>
        <v>0</v>
      </c>
      <c r="J265" s="98" t="s">
        <v>42</v>
      </c>
      <c r="K265" s="98" t="s">
        <v>42</v>
      </c>
    </row>
    <row r="266" spans="1:11" x14ac:dyDescent="0.2">
      <c r="A266" s="25">
        <f>IF(F266=0,"",1+MAX(A$19:A265))</f>
        <v>193</v>
      </c>
      <c r="B266" s="175"/>
      <c r="C266" s="176"/>
      <c r="D266" s="95"/>
      <c r="E266" s="59" t="s">
        <v>391</v>
      </c>
      <c r="F266" s="56">
        <v>1</v>
      </c>
      <c r="G266" s="56" t="s">
        <v>28</v>
      </c>
      <c r="H266" s="67">
        <v>0</v>
      </c>
      <c r="I266" s="37">
        <f t="shared" si="65"/>
        <v>0</v>
      </c>
      <c r="J266" s="98"/>
      <c r="K266" s="98"/>
    </row>
    <row r="267" spans="1:11" x14ac:dyDescent="0.2">
      <c r="A267" s="25">
        <f>IF(F267=0,"",1+MAX(A$19:A266))</f>
        <v>194</v>
      </c>
      <c r="B267" s="175"/>
      <c r="C267" s="176"/>
      <c r="D267" s="95"/>
      <c r="E267" s="59" t="s">
        <v>392</v>
      </c>
      <c r="F267" s="56">
        <v>1</v>
      </c>
      <c r="G267" s="56" t="s">
        <v>28</v>
      </c>
      <c r="H267" s="67">
        <v>0</v>
      </c>
      <c r="I267" s="37">
        <f t="shared" si="65"/>
        <v>0</v>
      </c>
      <c r="J267" s="98"/>
      <c r="K267" s="98"/>
    </row>
    <row r="268" spans="1:11" x14ac:dyDescent="0.2">
      <c r="A268" s="25">
        <f>IF(F268=0,"",1+MAX(A$19:A267))</f>
        <v>195</v>
      </c>
      <c r="B268" s="175"/>
      <c r="C268" s="176"/>
      <c r="D268" s="95"/>
      <c r="E268" s="59" t="s">
        <v>393</v>
      </c>
      <c r="F268" s="56">
        <v>3</v>
      </c>
      <c r="G268" s="56" t="s">
        <v>28</v>
      </c>
      <c r="H268" s="67">
        <v>0</v>
      </c>
      <c r="I268" s="37">
        <f t="shared" si="65"/>
        <v>0</v>
      </c>
      <c r="J268" s="98"/>
      <c r="K268" s="98"/>
    </row>
    <row r="269" spans="1:11" x14ac:dyDescent="0.2">
      <c r="A269" s="25">
        <f>IF(F269=0,"",1+MAX(A$19:A268))</f>
        <v>196</v>
      </c>
      <c r="B269" s="175"/>
      <c r="C269" s="176"/>
      <c r="D269" s="95"/>
      <c r="E269" s="59" t="s">
        <v>394</v>
      </c>
      <c r="F269" s="56">
        <v>2</v>
      </c>
      <c r="G269" s="56" t="s">
        <v>28</v>
      </c>
      <c r="H269" s="67">
        <v>0</v>
      </c>
      <c r="I269" s="37">
        <f t="shared" si="65"/>
        <v>0</v>
      </c>
      <c r="J269" s="98"/>
      <c r="K269" s="98"/>
    </row>
    <row r="270" spans="1:11" x14ac:dyDescent="0.2">
      <c r="A270" s="25">
        <f>IF(F270=0,"",1+MAX(A$19:A269))</f>
        <v>197</v>
      </c>
      <c r="B270" s="175"/>
      <c r="C270" s="176"/>
      <c r="D270" s="95"/>
      <c r="E270" s="59" t="s">
        <v>532</v>
      </c>
      <c r="F270" s="56">
        <v>1</v>
      </c>
      <c r="G270" s="56" t="s">
        <v>28</v>
      </c>
      <c r="H270" s="67">
        <v>0</v>
      </c>
      <c r="I270" s="37">
        <f t="shared" si="65"/>
        <v>0</v>
      </c>
      <c r="J270" s="98"/>
      <c r="K270" s="98"/>
    </row>
    <row r="271" spans="1:11" x14ac:dyDescent="0.2">
      <c r="A271" s="25">
        <f>IF(F271=0,"",1+MAX(A$19:A270))</f>
        <v>198</v>
      </c>
      <c r="B271" s="175"/>
      <c r="C271" s="176"/>
      <c r="D271" s="95"/>
      <c r="E271" s="59" t="s">
        <v>533</v>
      </c>
      <c r="F271" s="56">
        <v>1</v>
      </c>
      <c r="G271" s="56" t="s">
        <v>28</v>
      </c>
      <c r="H271" s="67">
        <v>0</v>
      </c>
      <c r="I271" s="37">
        <f t="shared" si="65"/>
        <v>0</v>
      </c>
      <c r="J271" s="98"/>
      <c r="K271" s="98"/>
    </row>
    <row r="272" spans="1:11" x14ac:dyDescent="0.2">
      <c r="A272" s="25">
        <f>IF(F272=0,"",1+MAX(A$19:A271))</f>
        <v>199</v>
      </c>
      <c r="B272" s="175"/>
      <c r="C272" s="176"/>
      <c r="D272" s="95"/>
      <c r="E272" s="59" t="s">
        <v>395</v>
      </c>
      <c r="F272" s="56">
        <v>6</v>
      </c>
      <c r="G272" s="56" t="s">
        <v>28</v>
      </c>
      <c r="H272" s="67">
        <v>0</v>
      </c>
      <c r="I272" s="37">
        <f t="shared" si="65"/>
        <v>0</v>
      </c>
      <c r="J272" s="98"/>
      <c r="K272" s="98"/>
    </row>
    <row r="273" spans="1:11" ht="17" thickBot="1" x14ac:dyDescent="0.25">
      <c r="A273" s="25">
        <f>IF(F273=0,"",1+MAX(A$19:A272))</f>
        <v>200</v>
      </c>
      <c r="B273" s="175"/>
      <c r="C273" s="176"/>
      <c r="D273" s="95"/>
      <c r="E273" s="59" t="s">
        <v>534</v>
      </c>
      <c r="F273" s="56">
        <v>1</v>
      </c>
      <c r="G273" s="56" t="s">
        <v>28</v>
      </c>
      <c r="H273" s="67">
        <v>0</v>
      </c>
      <c r="I273" s="37">
        <f t="shared" si="65"/>
        <v>0</v>
      </c>
      <c r="J273" s="98"/>
      <c r="K273" s="98"/>
    </row>
    <row r="274" spans="1:11" ht="20" customHeight="1" thickTop="1" thickBot="1" x14ac:dyDescent="0.25">
      <c r="A274" s="21"/>
      <c r="B274" s="38"/>
      <c r="C274" s="39"/>
      <c r="D274" s="21"/>
      <c r="E274" s="40"/>
      <c r="F274" s="41"/>
      <c r="G274" s="41"/>
      <c r="H274" s="42" t="s">
        <v>50</v>
      </c>
      <c r="I274" s="43">
        <f>SUM(I192:I273)</f>
        <v>0</v>
      </c>
    </row>
    <row r="275" spans="1:11" ht="20" customHeight="1" thickTop="1" thickBot="1" x14ac:dyDescent="0.25">
      <c r="E275" s="20"/>
      <c r="F275" s="20"/>
      <c r="G275" s="20"/>
      <c r="H275" s="20"/>
      <c r="I275" s="20"/>
    </row>
    <row r="276" spans="1:11" ht="20" customHeight="1" thickTop="1" thickBot="1" x14ac:dyDescent="0.25">
      <c r="A276" s="21" t="s">
        <v>20</v>
      </c>
      <c r="B276" s="66" t="s">
        <v>21</v>
      </c>
      <c r="C276" s="24"/>
      <c r="D276" s="24"/>
      <c r="E276" s="66" t="s">
        <v>14</v>
      </c>
      <c r="F276" s="22" t="s">
        <v>1</v>
      </c>
      <c r="G276" s="22" t="s">
        <v>25</v>
      </c>
      <c r="H276" s="22" t="s">
        <v>2</v>
      </c>
      <c r="I276" s="22" t="s">
        <v>4</v>
      </c>
      <c r="K276" s="11" t="s">
        <v>24</v>
      </c>
    </row>
    <row r="277" spans="1:11" ht="18" thickTop="1" x14ac:dyDescent="0.2">
      <c r="A277" s="49"/>
      <c r="B277" s="175" t="s">
        <v>348</v>
      </c>
      <c r="C277" s="176"/>
      <c r="D277" s="95"/>
      <c r="E277" s="27" t="s">
        <v>27</v>
      </c>
      <c r="F277" s="28"/>
      <c r="G277" s="51"/>
      <c r="H277" s="52"/>
      <c r="I277" s="30"/>
    </row>
    <row r="278" spans="1:11" x14ac:dyDescent="0.2">
      <c r="A278" s="25"/>
      <c r="B278" s="175"/>
      <c r="C278" s="176"/>
      <c r="D278" s="95"/>
      <c r="E278" s="100" t="s">
        <v>35</v>
      </c>
      <c r="F278" s="101"/>
      <c r="G278" s="102"/>
      <c r="H278" s="78"/>
      <c r="I278" s="37"/>
    </row>
    <row r="279" spans="1:11" x14ac:dyDescent="0.2">
      <c r="A279" s="25" t="str">
        <f>IF(F279=0,"",1+MAX(#REF!))</f>
        <v/>
      </c>
      <c r="B279" s="175"/>
      <c r="C279" s="176"/>
      <c r="D279" s="95"/>
      <c r="E279" s="60" t="s">
        <v>91</v>
      </c>
      <c r="F279" s="56"/>
      <c r="G279" s="56"/>
      <c r="H279" s="70"/>
      <c r="I279" s="37"/>
    </row>
    <row r="280" spans="1:11" x14ac:dyDescent="0.2">
      <c r="A280" s="25" t="str">
        <f>IF(F280=0,"",1+MAX(A$19:A279))</f>
        <v/>
      </c>
      <c r="B280" s="175"/>
      <c r="C280" s="176"/>
      <c r="D280" s="95"/>
      <c r="E280" s="61" t="s">
        <v>108</v>
      </c>
      <c r="F280" s="103"/>
      <c r="G280" s="103"/>
      <c r="H280" s="67"/>
      <c r="I280" s="37"/>
    </row>
    <row r="281" spans="1:11" x14ac:dyDescent="0.2">
      <c r="A281" s="25">
        <f>IF(F281=0,"",1+MAX(A$19:A280))</f>
        <v>201</v>
      </c>
      <c r="B281" s="175"/>
      <c r="C281" s="176"/>
      <c r="D281" s="95"/>
      <c r="E281" s="59" t="s">
        <v>109</v>
      </c>
      <c r="F281" s="56">
        <v>1028</v>
      </c>
      <c r="G281" s="56" t="s">
        <v>32</v>
      </c>
      <c r="H281" s="67">
        <v>0</v>
      </c>
      <c r="I281" s="37">
        <f t="shared" ref="I281:I283" si="66">F281*H281</f>
        <v>0</v>
      </c>
    </row>
    <row r="282" spans="1:11" x14ac:dyDescent="0.2">
      <c r="A282" s="25">
        <f>IF(F282=0,"",1+MAX(A$19:A281))</f>
        <v>202</v>
      </c>
      <c r="B282" s="175"/>
      <c r="C282" s="176"/>
      <c r="D282" s="95"/>
      <c r="E282" s="59" t="s">
        <v>110</v>
      </c>
      <c r="F282" s="56">
        <v>11088</v>
      </c>
      <c r="G282" s="56" t="s">
        <v>30</v>
      </c>
      <c r="H282" s="67">
        <v>0</v>
      </c>
      <c r="I282" s="37">
        <f t="shared" si="66"/>
        <v>0</v>
      </c>
    </row>
    <row r="283" spans="1:11" x14ac:dyDescent="0.2">
      <c r="A283" s="25">
        <f>IF(F283=0,"",1+MAX(A$19:A282))</f>
        <v>203</v>
      </c>
      <c r="B283" s="175"/>
      <c r="C283" s="176"/>
      <c r="D283" s="95"/>
      <c r="E283" s="59" t="s">
        <v>111</v>
      </c>
      <c r="F283" s="56">
        <v>6168</v>
      </c>
      <c r="G283" s="56" t="s">
        <v>30</v>
      </c>
      <c r="H283" s="67">
        <v>0</v>
      </c>
      <c r="I283" s="37">
        <f t="shared" si="66"/>
        <v>0</v>
      </c>
    </row>
    <row r="284" spans="1:11" x14ac:dyDescent="0.2">
      <c r="A284" s="25">
        <f>IF(F284=0,"",1+MAX(A$19:A283))</f>
        <v>204</v>
      </c>
      <c r="B284" s="175"/>
      <c r="C284" s="176"/>
      <c r="D284" s="95"/>
      <c r="E284" s="59" t="s">
        <v>112</v>
      </c>
      <c r="F284" s="56">
        <v>6168</v>
      </c>
      <c r="G284" s="56" t="s">
        <v>30</v>
      </c>
      <c r="H284" s="67">
        <v>0</v>
      </c>
      <c r="I284" s="37">
        <f t="shared" ref="I284" si="67">F284*H284</f>
        <v>0</v>
      </c>
    </row>
    <row r="285" spans="1:11" x14ac:dyDescent="0.2">
      <c r="A285" s="25">
        <f>IF(F285=0,"",1+MAX(A$19:A284))</f>
        <v>205</v>
      </c>
      <c r="B285" s="175"/>
      <c r="C285" s="176"/>
      <c r="D285" s="95"/>
      <c r="E285" s="59" t="s">
        <v>351</v>
      </c>
      <c r="F285" s="56">
        <v>2056</v>
      </c>
      <c r="G285" s="56" t="s">
        <v>32</v>
      </c>
      <c r="H285" s="67">
        <v>0</v>
      </c>
      <c r="I285" s="37">
        <f t="shared" ref="I285" si="68">F285*H285</f>
        <v>0</v>
      </c>
    </row>
    <row r="286" spans="1:11" x14ac:dyDescent="0.2">
      <c r="A286" s="25">
        <f>IF(F286=0,"",1+MAX(A$19:A285))</f>
        <v>206</v>
      </c>
      <c r="B286" s="175"/>
      <c r="C286" s="176"/>
      <c r="D286" s="95"/>
      <c r="E286" s="59" t="s">
        <v>502</v>
      </c>
      <c r="F286" s="56">
        <v>1248</v>
      </c>
      <c r="G286" s="56" t="s">
        <v>30</v>
      </c>
      <c r="H286" s="67">
        <v>0</v>
      </c>
      <c r="I286" s="37">
        <f t="shared" ref="I286" si="69">F286*H286</f>
        <v>0</v>
      </c>
    </row>
    <row r="287" spans="1:11" x14ac:dyDescent="0.2">
      <c r="A287" s="25" t="str">
        <f>IF(F287=0,"",1+MAX(A$19:A286))</f>
        <v/>
      </c>
      <c r="B287" s="175"/>
      <c r="C287" s="176"/>
      <c r="D287" s="95"/>
      <c r="E287" s="61" t="s">
        <v>113</v>
      </c>
      <c r="F287" s="104"/>
      <c r="G287" s="103"/>
      <c r="H287" s="67"/>
      <c r="I287" s="37"/>
    </row>
    <row r="288" spans="1:11" x14ac:dyDescent="0.2">
      <c r="A288" s="25">
        <f>IF(F288=0,"",1+MAX(A$19:A287))</f>
        <v>207</v>
      </c>
      <c r="B288" s="175"/>
      <c r="C288" s="176"/>
      <c r="D288" s="95"/>
      <c r="E288" s="59" t="s">
        <v>109</v>
      </c>
      <c r="F288" s="56">
        <v>680</v>
      </c>
      <c r="G288" s="56" t="s">
        <v>32</v>
      </c>
      <c r="H288" s="67">
        <v>0</v>
      </c>
      <c r="I288" s="37">
        <f t="shared" ref="I288" si="70">F288*H288</f>
        <v>0</v>
      </c>
    </row>
    <row r="289" spans="1:9" x14ac:dyDescent="0.2">
      <c r="A289" s="25">
        <f>IF(F289=0,"",1+MAX(A$19:A288))</f>
        <v>208</v>
      </c>
      <c r="B289" s="175"/>
      <c r="C289" s="176"/>
      <c r="D289" s="95"/>
      <c r="E289" s="59" t="s">
        <v>114</v>
      </c>
      <c r="F289" s="55">
        <f>4075.68-240</f>
        <v>3835.68</v>
      </c>
      <c r="G289" s="56" t="s">
        <v>30</v>
      </c>
      <c r="H289" s="67">
        <v>0</v>
      </c>
      <c r="I289" s="37">
        <f t="shared" ref="I289" si="71">F289*H289</f>
        <v>0</v>
      </c>
    </row>
    <row r="290" spans="1:9" x14ac:dyDescent="0.2">
      <c r="A290" s="25">
        <f>IF(F290=0,"",1+MAX(A$19:A289))</f>
        <v>209</v>
      </c>
      <c r="B290" s="175"/>
      <c r="C290" s="176"/>
      <c r="D290" s="95"/>
      <c r="E290" s="59" t="s">
        <v>115</v>
      </c>
      <c r="F290" s="55">
        <f>4075.68-240</f>
        <v>3835.68</v>
      </c>
      <c r="G290" s="56" t="s">
        <v>30</v>
      </c>
      <c r="H290" s="67">
        <v>0</v>
      </c>
      <c r="I290" s="37">
        <f t="shared" ref="I290" si="72">F290*H290</f>
        <v>0</v>
      </c>
    </row>
    <row r="291" spans="1:9" x14ac:dyDescent="0.2">
      <c r="A291" s="25">
        <f>IF(F291=0,"",1+MAX(A$19:A290))</f>
        <v>210</v>
      </c>
      <c r="B291" s="175"/>
      <c r="C291" s="176"/>
      <c r="D291" s="95"/>
      <c r="E291" s="59" t="s">
        <v>116</v>
      </c>
      <c r="F291" s="55">
        <v>4075.68</v>
      </c>
      <c r="G291" s="56" t="s">
        <v>30</v>
      </c>
      <c r="H291" s="67">
        <v>0</v>
      </c>
      <c r="I291" s="37">
        <f t="shared" ref="I291:I293" si="73">F291*H291</f>
        <v>0</v>
      </c>
    </row>
    <row r="292" spans="1:9" x14ac:dyDescent="0.2">
      <c r="A292" s="25">
        <f>IF(F292=0,"",1+MAX(A$19:A291))</f>
        <v>211</v>
      </c>
      <c r="B292" s="175"/>
      <c r="C292" s="176"/>
      <c r="D292" s="95"/>
      <c r="E292" s="59" t="s">
        <v>117</v>
      </c>
      <c r="F292" s="55">
        <v>4075.68</v>
      </c>
      <c r="G292" s="56" t="s">
        <v>30</v>
      </c>
      <c r="H292" s="67">
        <v>0</v>
      </c>
      <c r="I292" s="37">
        <f t="shared" si="73"/>
        <v>0</v>
      </c>
    </row>
    <row r="293" spans="1:9" x14ac:dyDescent="0.2">
      <c r="A293" s="25">
        <f>IF(F293=0,"",1+MAX(A$19:A292))</f>
        <v>212</v>
      </c>
      <c r="B293" s="175"/>
      <c r="C293" s="176"/>
      <c r="D293" s="95"/>
      <c r="E293" s="59" t="s">
        <v>118</v>
      </c>
      <c r="F293" s="55">
        <f>4075.68-240</f>
        <v>3835.68</v>
      </c>
      <c r="G293" s="56" t="s">
        <v>30</v>
      </c>
      <c r="H293" s="67">
        <v>0</v>
      </c>
      <c r="I293" s="37">
        <f t="shared" si="73"/>
        <v>0</v>
      </c>
    </row>
    <row r="294" spans="1:9" x14ac:dyDescent="0.2">
      <c r="A294" s="25">
        <f>IF(F294=0,"",1+MAX(A$19:A293))</f>
        <v>213</v>
      </c>
      <c r="B294" s="175"/>
      <c r="C294" s="176"/>
      <c r="D294" s="95"/>
      <c r="E294" s="59" t="s">
        <v>119</v>
      </c>
      <c r="F294" s="55">
        <f>4075.68-240</f>
        <v>3835.68</v>
      </c>
      <c r="G294" s="56" t="s">
        <v>30</v>
      </c>
      <c r="H294" s="67">
        <v>0</v>
      </c>
      <c r="I294" s="37">
        <f t="shared" ref="I294" si="74">F294*H294</f>
        <v>0</v>
      </c>
    </row>
    <row r="295" spans="1:9" x14ac:dyDescent="0.2">
      <c r="A295" s="25">
        <f>IF(F295=0,"",1+MAX(A$19:A294))</f>
        <v>214</v>
      </c>
      <c r="B295" s="175"/>
      <c r="C295" s="176"/>
      <c r="D295" s="95"/>
      <c r="E295" s="59" t="s">
        <v>120</v>
      </c>
      <c r="F295" s="55">
        <f>4075.68-240</f>
        <v>3835.68</v>
      </c>
      <c r="G295" s="56" t="s">
        <v>30</v>
      </c>
      <c r="H295" s="67">
        <v>0</v>
      </c>
      <c r="I295" s="37">
        <f t="shared" ref="I295:I297" si="75">F295*H295</f>
        <v>0</v>
      </c>
    </row>
    <row r="296" spans="1:9" x14ac:dyDescent="0.2">
      <c r="A296" s="25">
        <f>IF(F296=0,"",1+MAX(A$19:A295))</f>
        <v>215</v>
      </c>
      <c r="B296" s="175"/>
      <c r="C296" s="176"/>
      <c r="D296" s="95"/>
      <c r="E296" s="59" t="s">
        <v>121</v>
      </c>
      <c r="F296" s="55">
        <v>4075.68</v>
      </c>
      <c r="G296" s="56" t="s">
        <v>30</v>
      </c>
      <c r="H296" s="67">
        <v>0</v>
      </c>
      <c r="I296" s="37">
        <f t="shared" si="75"/>
        <v>0</v>
      </c>
    </row>
    <row r="297" spans="1:9" x14ac:dyDescent="0.2">
      <c r="A297" s="25">
        <f>IF(F297=0,"",1+MAX(A$19:A296))</f>
        <v>216</v>
      </c>
      <c r="B297" s="175"/>
      <c r="C297" s="176"/>
      <c r="D297" s="95"/>
      <c r="E297" s="59" t="s">
        <v>351</v>
      </c>
      <c r="F297" s="56">
        <v>680</v>
      </c>
      <c r="G297" s="56" t="s">
        <v>32</v>
      </c>
      <c r="H297" s="67">
        <v>0</v>
      </c>
      <c r="I297" s="37">
        <f t="shared" si="75"/>
        <v>0</v>
      </c>
    </row>
    <row r="298" spans="1:9" x14ac:dyDescent="0.2">
      <c r="A298" s="25" t="str">
        <f>IF(F298=0,"",1+MAX(A$19:A297))</f>
        <v/>
      </c>
      <c r="B298" s="175"/>
      <c r="C298" s="176"/>
      <c r="D298" s="95"/>
      <c r="E298" s="61" t="s">
        <v>122</v>
      </c>
      <c r="F298" s="56"/>
      <c r="G298" s="56"/>
      <c r="H298" s="70"/>
      <c r="I298" s="37"/>
    </row>
    <row r="299" spans="1:9" x14ac:dyDescent="0.2">
      <c r="A299" s="25">
        <f>IF(F299=0,"",1+MAX(A$19:A298))</f>
        <v>217</v>
      </c>
      <c r="B299" s="175"/>
      <c r="C299" s="176"/>
      <c r="D299" s="95"/>
      <c r="E299" s="59" t="s">
        <v>109</v>
      </c>
      <c r="F299" s="56">
        <v>214</v>
      </c>
      <c r="G299" s="56" t="s">
        <v>32</v>
      </c>
      <c r="H299" s="67">
        <v>0</v>
      </c>
      <c r="I299" s="37">
        <f t="shared" ref="I299" si="76">F299*H299</f>
        <v>0</v>
      </c>
    </row>
    <row r="300" spans="1:9" x14ac:dyDescent="0.2">
      <c r="A300" s="25">
        <f>IF(F300=0,"",1+MAX(A$19:A299))</f>
        <v>218</v>
      </c>
      <c r="B300" s="175"/>
      <c r="C300" s="176"/>
      <c r="D300" s="95"/>
      <c r="E300" s="59" t="s">
        <v>110</v>
      </c>
      <c r="F300" s="56">
        <v>1284</v>
      </c>
      <c r="G300" s="56" t="s">
        <v>30</v>
      </c>
      <c r="H300" s="67">
        <v>0</v>
      </c>
      <c r="I300" s="37">
        <f t="shared" ref="I300:I302" si="77">F300*H300</f>
        <v>0</v>
      </c>
    </row>
    <row r="301" spans="1:9" x14ac:dyDescent="0.2">
      <c r="A301" s="25">
        <f>IF(F301=0,"",1+MAX(A$19:A300))</f>
        <v>219</v>
      </c>
      <c r="B301" s="175"/>
      <c r="C301" s="176"/>
      <c r="D301" s="95"/>
      <c r="E301" s="59" t="s">
        <v>111</v>
      </c>
      <c r="F301" s="56">
        <v>1284</v>
      </c>
      <c r="G301" s="56" t="s">
        <v>30</v>
      </c>
      <c r="H301" s="67">
        <v>0</v>
      </c>
      <c r="I301" s="37">
        <f t="shared" si="77"/>
        <v>0</v>
      </c>
    </row>
    <row r="302" spans="1:9" x14ac:dyDescent="0.2">
      <c r="A302" s="25">
        <f>IF(F302=0,"",1+MAX(A$19:A301))</f>
        <v>220</v>
      </c>
      <c r="B302" s="175"/>
      <c r="C302" s="176"/>
      <c r="D302" s="95"/>
      <c r="E302" s="59" t="s">
        <v>351</v>
      </c>
      <c r="F302" s="56">
        <v>428</v>
      </c>
      <c r="G302" s="56" t="s">
        <v>32</v>
      </c>
      <c r="H302" s="67">
        <v>0</v>
      </c>
      <c r="I302" s="37">
        <f t="shared" si="77"/>
        <v>0</v>
      </c>
    </row>
    <row r="303" spans="1:9" x14ac:dyDescent="0.2">
      <c r="A303" s="25" t="str">
        <f>IF(F303=0,"",1+MAX(A$19:A302))</f>
        <v/>
      </c>
      <c r="B303" s="175"/>
      <c r="C303" s="176"/>
      <c r="D303" s="95"/>
      <c r="E303" s="61" t="s">
        <v>396</v>
      </c>
      <c r="F303" s="56"/>
      <c r="G303" s="56"/>
      <c r="H303" s="70"/>
      <c r="I303" s="37"/>
    </row>
    <row r="304" spans="1:9" x14ac:dyDescent="0.2">
      <c r="A304" s="25">
        <f>IF(F304=0,"",1+MAX(A$19:A303))</f>
        <v>221</v>
      </c>
      <c r="B304" s="175"/>
      <c r="C304" s="176"/>
      <c r="D304" s="95"/>
      <c r="E304" s="59" t="s">
        <v>109</v>
      </c>
      <c r="F304" s="55">
        <v>120</v>
      </c>
      <c r="G304" s="56" t="s">
        <v>32</v>
      </c>
      <c r="H304" s="67">
        <v>0</v>
      </c>
      <c r="I304" s="37">
        <f t="shared" ref="I304:I308" si="78">F304*H304</f>
        <v>0</v>
      </c>
    </row>
    <row r="305" spans="1:9" x14ac:dyDescent="0.2">
      <c r="A305" s="25">
        <f>IF(F305=0,"",1+MAX(A$19:A304))</f>
        <v>222</v>
      </c>
      <c r="B305" s="175"/>
      <c r="C305" s="176"/>
      <c r="D305" s="95"/>
      <c r="E305" s="59" t="s">
        <v>110</v>
      </c>
      <c r="F305" s="55">
        <v>720</v>
      </c>
      <c r="G305" s="56" t="s">
        <v>30</v>
      </c>
      <c r="H305" s="67">
        <v>0</v>
      </c>
      <c r="I305" s="37">
        <f t="shared" si="78"/>
        <v>0</v>
      </c>
    </row>
    <row r="306" spans="1:9" x14ac:dyDescent="0.2">
      <c r="A306" s="25">
        <f>IF(F306=0,"",1+MAX(A$19:A305))</f>
        <v>223</v>
      </c>
      <c r="B306" s="175"/>
      <c r="C306" s="176"/>
      <c r="D306" s="95"/>
      <c r="E306" s="59" t="s">
        <v>111</v>
      </c>
      <c r="F306" s="55">
        <v>720</v>
      </c>
      <c r="G306" s="56" t="s">
        <v>30</v>
      </c>
      <c r="H306" s="67">
        <v>0</v>
      </c>
      <c r="I306" s="37">
        <f t="shared" si="78"/>
        <v>0</v>
      </c>
    </row>
    <row r="307" spans="1:9" x14ac:dyDescent="0.2">
      <c r="A307" s="25">
        <f>IF(F307=0,"",1+MAX(A$19:A306))</f>
        <v>224</v>
      </c>
      <c r="B307" s="175"/>
      <c r="C307" s="176"/>
      <c r="D307" s="95"/>
      <c r="E307" s="59" t="s">
        <v>351</v>
      </c>
      <c r="F307" s="56">
        <v>120</v>
      </c>
      <c r="G307" s="56" t="s">
        <v>32</v>
      </c>
      <c r="H307" s="67">
        <v>0</v>
      </c>
      <c r="I307" s="37">
        <f t="shared" si="78"/>
        <v>0</v>
      </c>
    </row>
    <row r="308" spans="1:9" x14ac:dyDescent="0.2">
      <c r="A308" s="25">
        <f>IF(F308=0,"",1+MAX(A$19:A307))</f>
        <v>225</v>
      </c>
      <c r="B308" s="175"/>
      <c r="C308" s="176"/>
      <c r="D308" s="95"/>
      <c r="E308" s="59" t="s">
        <v>506</v>
      </c>
      <c r="F308" s="55">
        <v>720</v>
      </c>
      <c r="G308" s="56" t="s">
        <v>30</v>
      </c>
      <c r="H308" s="67">
        <v>0</v>
      </c>
      <c r="I308" s="37">
        <f t="shared" si="78"/>
        <v>0</v>
      </c>
    </row>
    <row r="309" spans="1:9" x14ac:dyDescent="0.2">
      <c r="A309" s="25" t="str">
        <f>IF(F309=0,"",1+MAX(A$19:A308))</f>
        <v/>
      </c>
      <c r="B309" s="175"/>
      <c r="C309" s="176"/>
      <c r="D309" s="95"/>
      <c r="E309" s="61" t="s">
        <v>123</v>
      </c>
      <c r="F309" s="55"/>
      <c r="G309" s="56"/>
      <c r="H309" s="67"/>
      <c r="I309" s="37"/>
    </row>
    <row r="310" spans="1:9" x14ac:dyDescent="0.2">
      <c r="A310" s="25">
        <f>IF(F310=0,"",1+MAX(A$19:A309))</f>
        <v>226</v>
      </c>
      <c r="B310" s="175"/>
      <c r="C310" s="176"/>
      <c r="D310" s="95"/>
      <c r="E310" s="59" t="s">
        <v>124</v>
      </c>
      <c r="F310" s="55">
        <f>296*12</f>
        <v>3552</v>
      </c>
      <c r="G310" s="56" t="s">
        <v>30</v>
      </c>
      <c r="H310" s="67">
        <v>0</v>
      </c>
      <c r="I310" s="37">
        <f t="shared" ref="I310" si="79">F310*H310</f>
        <v>0</v>
      </c>
    </row>
    <row r="311" spans="1:9" x14ac:dyDescent="0.2">
      <c r="A311" s="25" t="str">
        <f>IF(F311=0,"",1+MAX(A$19:A310))</f>
        <v/>
      </c>
      <c r="B311" s="175"/>
      <c r="C311" s="176"/>
      <c r="D311" s="95"/>
      <c r="E311" s="61" t="s">
        <v>507</v>
      </c>
      <c r="F311" s="55"/>
      <c r="G311" s="56"/>
      <c r="H311" s="67"/>
      <c r="I311" s="37"/>
    </row>
    <row r="312" spans="1:9" x14ac:dyDescent="0.2">
      <c r="A312" s="25">
        <f>IF(F312=0,"",1+MAX(A$19:A311))</f>
        <v>227</v>
      </c>
      <c r="B312" s="175"/>
      <c r="C312" s="176"/>
      <c r="D312" s="95"/>
      <c r="E312" s="59" t="s">
        <v>124</v>
      </c>
      <c r="F312" s="55">
        <f>152*12</f>
        <v>1824</v>
      </c>
      <c r="G312" s="56" t="s">
        <v>30</v>
      </c>
      <c r="H312" s="67">
        <v>0</v>
      </c>
      <c r="I312" s="37">
        <f t="shared" ref="I312" si="80">F312*H312</f>
        <v>0</v>
      </c>
    </row>
    <row r="313" spans="1:9" x14ac:dyDescent="0.2">
      <c r="A313" s="25" t="str">
        <f>IF(F313=0,"",1+MAX(A$19:A312))</f>
        <v/>
      </c>
      <c r="B313" s="175"/>
      <c r="C313" s="176"/>
      <c r="D313" s="95"/>
      <c r="E313" s="60" t="s">
        <v>94</v>
      </c>
      <c r="F313" s="56"/>
      <c r="G313" s="56"/>
      <c r="H313" s="67"/>
      <c r="I313" s="37"/>
    </row>
    <row r="314" spans="1:9" x14ac:dyDescent="0.2">
      <c r="A314" s="25" t="str">
        <f>IF(F314=0,"",1+MAX(A$19:A313))</f>
        <v/>
      </c>
      <c r="B314" s="175"/>
      <c r="C314" s="176"/>
      <c r="D314" s="95"/>
      <c r="E314" s="61" t="s">
        <v>108</v>
      </c>
      <c r="F314" s="56"/>
      <c r="G314" s="56"/>
      <c r="H314" s="67"/>
      <c r="I314" s="37"/>
    </row>
    <row r="315" spans="1:9" x14ac:dyDescent="0.2">
      <c r="A315" s="25">
        <f>IF(F315=0,"",1+MAX(A$19:A314))</f>
        <v>228</v>
      </c>
      <c r="B315" s="175"/>
      <c r="C315" s="176"/>
      <c r="D315" s="95"/>
      <c r="E315" s="59" t="s">
        <v>109</v>
      </c>
      <c r="F315" s="55">
        <v>1060.5999999999999</v>
      </c>
      <c r="G315" s="56" t="s">
        <v>32</v>
      </c>
      <c r="H315" s="67">
        <v>0</v>
      </c>
      <c r="I315" s="37">
        <f t="shared" ref="I315" si="81">F315*H315</f>
        <v>0</v>
      </c>
    </row>
    <row r="316" spans="1:9" x14ac:dyDescent="0.2">
      <c r="A316" s="25">
        <f>IF(F316=0,"",1+MAX(A$19:A315))</f>
        <v>229</v>
      </c>
      <c r="B316" s="175"/>
      <c r="C316" s="176"/>
      <c r="D316" s="95"/>
      <c r="E316" s="59" t="s">
        <v>110</v>
      </c>
      <c r="F316" s="55">
        <v>12197.9</v>
      </c>
      <c r="G316" s="56" t="s">
        <v>30</v>
      </c>
      <c r="H316" s="67">
        <v>0</v>
      </c>
      <c r="I316" s="37">
        <f t="shared" ref="I316:I320" si="82">F316*H316</f>
        <v>0</v>
      </c>
    </row>
    <row r="317" spans="1:9" x14ac:dyDescent="0.2">
      <c r="A317" s="25">
        <f>IF(F317=0,"",1+MAX(A$19:A316))</f>
        <v>230</v>
      </c>
      <c r="B317" s="175"/>
      <c r="C317" s="176"/>
      <c r="D317" s="95"/>
      <c r="E317" s="59" t="s">
        <v>111</v>
      </c>
      <c r="F317" s="55">
        <v>6893.9</v>
      </c>
      <c r="G317" s="56" t="s">
        <v>30</v>
      </c>
      <c r="H317" s="67">
        <v>0</v>
      </c>
      <c r="I317" s="37">
        <f t="shared" si="82"/>
        <v>0</v>
      </c>
    </row>
    <row r="318" spans="1:9" x14ac:dyDescent="0.2">
      <c r="A318" s="25">
        <f>IF(F318=0,"",1+MAX(A$19:A317))</f>
        <v>231</v>
      </c>
      <c r="B318" s="175"/>
      <c r="C318" s="176"/>
      <c r="D318" s="95"/>
      <c r="E318" s="59" t="s">
        <v>112</v>
      </c>
      <c r="F318" s="55">
        <v>6893.9</v>
      </c>
      <c r="G318" s="56" t="s">
        <v>30</v>
      </c>
      <c r="H318" s="67">
        <v>0</v>
      </c>
      <c r="I318" s="37">
        <f t="shared" si="82"/>
        <v>0</v>
      </c>
    </row>
    <row r="319" spans="1:9" x14ac:dyDescent="0.2">
      <c r="A319" s="25">
        <f>IF(F319=0,"",1+MAX(A$19:A318))</f>
        <v>232</v>
      </c>
      <c r="B319" s="175"/>
      <c r="C319" s="176"/>
      <c r="D319" s="95"/>
      <c r="E319" s="59" t="s">
        <v>351</v>
      </c>
      <c r="F319" s="55">
        <f>F315*2</f>
        <v>2121.1999999999998</v>
      </c>
      <c r="G319" s="56" t="s">
        <v>32</v>
      </c>
      <c r="H319" s="67">
        <v>0</v>
      </c>
      <c r="I319" s="37">
        <f t="shared" si="82"/>
        <v>0</v>
      </c>
    </row>
    <row r="320" spans="1:9" x14ac:dyDescent="0.2">
      <c r="A320" s="25">
        <f>IF(F320=0,"",1+MAX(A$19:A319))</f>
        <v>233</v>
      </c>
      <c r="B320" s="175"/>
      <c r="C320" s="176"/>
      <c r="D320" s="95"/>
      <c r="E320" s="59" t="s">
        <v>502</v>
      </c>
      <c r="F320" s="56">
        <v>598</v>
      </c>
      <c r="G320" s="56" t="s">
        <v>30</v>
      </c>
      <c r="H320" s="67">
        <v>0</v>
      </c>
      <c r="I320" s="37">
        <f t="shared" si="82"/>
        <v>0</v>
      </c>
    </row>
    <row r="321" spans="1:9" x14ac:dyDescent="0.2">
      <c r="A321" s="25" t="str">
        <f>IF(F321=0,"",1+MAX(A$19:A320))</f>
        <v/>
      </c>
      <c r="B321" s="175"/>
      <c r="C321" s="176"/>
      <c r="D321" s="95"/>
      <c r="E321" s="61" t="s">
        <v>122</v>
      </c>
      <c r="F321" s="55"/>
      <c r="G321" s="56"/>
      <c r="H321" s="67"/>
      <c r="I321" s="37"/>
    </row>
    <row r="322" spans="1:9" x14ac:dyDescent="0.2">
      <c r="A322" s="25">
        <f>IF(F322=0,"",1+MAX(A$19:A321))</f>
        <v>234</v>
      </c>
      <c r="B322" s="175"/>
      <c r="C322" s="176"/>
      <c r="D322" s="95"/>
      <c r="E322" s="59" t="s">
        <v>109</v>
      </c>
      <c r="F322" s="55">
        <v>100.54</v>
      </c>
      <c r="G322" s="56" t="s">
        <v>32</v>
      </c>
      <c r="H322" s="67">
        <v>0</v>
      </c>
      <c r="I322" s="37">
        <f t="shared" ref="I322:I323" si="83">F322*H322</f>
        <v>0</v>
      </c>
    </row>
    <row r="323" spans="1:9" x14ac:dyDescent="0.2">
      <c r="A323" s="25">
        <f>IF(F323=0,"",1+MAX(A$19:A322))</f>
        <v>235</v>
      </c>
      <c r="B323" s="175"/>
      <c r="C323" s="176"/>
      <c r="D323" s="95"/>
      <c r="E323" s="59" t="s">
        <v>110</v>
      </c>
      <c r="F323" s="55">
        <v>653.51</v>
      </c>
      <c r="G323" s="56" t="s">
        <v>30</v>
      </c>
      <c r="H323" s="67">
        <v>0</v>
      </c>
      <c r="I323" s="37">
        <f t="shared" si="83"/>
        <v>0</v>
      </c>
    </row>
    <row r="324" spans="1:9" x14ac:dyDescent="0.2">
      <c r="A324" s="25">
        <f>IF(F324=0,"",1+MAX(A$19:A323))</f>
        <v>236</v>
      </c>
      <c r="B324" s="175"/>
      <c r="C324" s="176"/>
      <c r="D324" s="95"/>
      <c r="E324" s="59" t="s">
        <v>111</v>
      </c>
      <c r="F324" s="55">
        <v>653.51</v>
      </c>
      <c r="G324" s="56" t="s">
        <v>30</v>
      </c>
      <c r="H324" s="67">
        <v>0</v>
      </c>
      <c r="I324" s="37">
        <f t="shared" ref="I324:I325" si="84">F324*H324</f>
        <v>0</v>
      </c>
    </row>
    <row r="325" spans="1:9" x14ac:dyDescent="0.2">
      <c r="A325" s="25">
        <f>IF(F325=0,"",1+MAX(A$19:A324))</f>
        <v>237</v>
      </c>
      <c r="B325" s="175"/>
      <c r="C325" s="176"/>
      <c r="D325" s="95"/>
      <c r="E325" s="59" t="s">
        <v>351</v>
      </c>
      <c r="F325" s="56">
        <v>202</v>
      </c>
      <c r="G325" s="56" t="s">
        <v>32</v>
      </c>
      <c r="H325" s="67">
        <v>0</v>
      </c>
      <c r="I325" s="37">
        <f t="shared" si="84"/>
        <v>0</v>
      </c>
    </row>
    <row r="326" spans="1:9" x14ac:dyDescent="0.2">
      <c r="A326" s="25" t="str">
        <f>IF(F326=0,"",1+MAX(A$19:A325))</f>
        <v/>
      </c>
      <c r="B326" s="175"/>
      <c r="C326" s="176"/>
      <c r="D326" s="95"/>
      <c r="E326" s="61" t="s">
        <v>125</v>
      </c>
      <c r="F326" s="56"/>
      <c r="G326" s="56"/>
      <c r="H326" s="70"/>
      <c r="I326" s="37"/>
    </row>
    <row r="327" spans="1:9" x14ac:dyDescent="0.2">
      <c r="A327" s="25">
        <f>IF(F327=0,"",1+MAX(A$19:A326))</f>
        <v>238</v>
      </c>
      <c r="B327" s="175"/>
      <c r="C327" s="176"/>
      <c r="D327" s="95"/>
      <c r="E327" s="59" t="s">
        <v>109</v>
      </c>
      <c r="F327" s="55">
        <v>1140</v>
      </c>
      <c r="G327" s="56" t="s">
        <v>32</v>
      </c>
      <c r="H327" s="67">
        <v>0</v>
      </c>
      <c r="I327" s="37">
        <f t="shared" ref="I327" si="85">F327*H327</f>
        <v>0</v>
      </c>
    </row>
    <row r="328" spans="1:9" x14ac:dyDescent="0.2">
      <c r="A328" s="25">
        <f>IF(F328=0,"",1+MAX(A$19:A327))</f>
        <v>239</v>
      </c>
      <c r="B328" s="175"/>
      <c r="C328" s="176"/>
      <c r="D328" s="95"/>
      <c r="E328" s="59" t="s">
        <v>114</v>
      </c>
      <c r="F328" s="56">
        <v>6838</v>
      </c>
      <c r="G328" s="56" t="s">
        <v>30</v>
      </c>
      <c r="H328" s="67">
        <v>0</v>
      </c>
      <c r="I328" s="37">
        <f t="shared" ref="I328:I329" si="86">F328*H328</f>
        <v>0</v>
      </c>
    </row>
    <row r="329" spans="1:9" x14ac:dyDescent="0.2">
      <c r="A329" s="25">
        <f>IF(F329=0,"",1+MAX(A$19:A328))</f>
        <v>240</v>
      </c>
      <c r="B329" s="175"/>
      <c r="C329" s="176"/>
      <c r="D329" s="95"/>
      <c r="E329" s="59" t="s">
        <v>115</v>
      </c>
      <c r="F329" s="56">
        <f>7410-572</f>
        <v>6838</v>
      </c>
      <c r="G329" s="56" t="s">
        <v>30</v>
      </c>
      <c r="H329" s="67">
        <v>0</v>
      </c>
      <c r="I329" s="37">
        <f t="shared" si="86"/>
        <v>0</v>
      </c>
    </row>
    <row r="330" spans="1:9" x14ac:dyDescent="0.2">
      <c r="A330" s="25">
        <f>IF(F330=0,"",1+MAX(A$19:A329))</f>
        <v>241</v>
      </c>
      <c r="B330" s="175"/>
      <c r="C330" s="176"/>
      <c r="D330" s="95"/>
      <c r="E330" s="59" t="s">
        <v>116</v>
      </c>
      <c r="F330" s="56">
        <v>7410</v>
      </c>
      <c r="G330" s="56" t="s">
        <v>30</v>
      </c>
      <c r="H330" s="67">
        <v>0</v>
      </c>
      <c r="I330" s="37">
        <f t="shared" ref="I330:I333" si="87">F330*H330</f>
        <v>0</v>
      </c>
    </row>
    <row r="331" spans="1:9" x14ac:dyDescent="0.2">
      <c r="A331" s="25">
        <f>IF(F331=0,"",1+MAX(A$19:A330))</f>
        <v>242</v>
      </c>
      <c r="B331" s="175"/>
      <c r="C331" s="176"/>
      <c r="D331" s="95"/>
      <c r="E331" s="59" t="s">
        <v>117</v>
      </c>
      <c r="F331" s="56">
        <v>7410</v>
      </c>
      <c r="G331" s="56" t="s">
        <v>30</v>
      </c>
      <c r="H331" s="67">
        <v>0</v>
      </c>
      <c r="I331" s="37">
        <f t="shared" si="87"/>
        <v>0</v>
      </c>
    </row>
    <row r="332" spans="1:9" x14ac:dyDescent="0.2">
      <c r="A332" s="25">
        <f>IF(F332=0,"",1+MAX(A$19:A331))</f>
        <v>243</v>
      </c>
      <c r="B332" s="175"/>
      <c r="C332" s="176"/>
      <c r="D332" s="95"/>
      <c r="E332" s="59" t="s">
        <v>118</v>
      </c>
      <c r="F332" s="56">
        <f>7410-572</f>
        <v>6838</v>
      </c>
      <c r="G332" s="56" t="s">
        <v>30</v>
      </c>
      <c r="H332" s="67">
        <v>0</v>
      </c>
      <c r="I332" s="37">
        <f t="shared" si="87"/>
        <v>0</v>
      </c>
    </row>
    <row r="333" spans="1:9" x14ac:dyDescent="0.2">
      <c r="A333" s="25">
        <f>IF(F333=0,"",1+MAX(A$19:A332))</f>
        <v>244</v>
      </c>
      <c r="B333" s="175"/>
      <c r="C333" s="176"/>
      <c r="D333" s="95"/>
      <c r="E333" s="59" t="s">
        <v>119</v>
      </c>
      <c r="F333" s="56">
        <f>7410-572</f>
        <v>6838</v>
      </c>
      <c r="G333" s="56" t="s">
        <v>30</v>
      </c>
      <c r="H333" s="67">
        <v>0</v>
      </c>
      <c r="I333" s="37">
        <f t="shared" si="87"/>
        <v>0</v>
      </c>
    </row>
    <row r="334" spans="1:9" x14ac:dyDescent="0.2">
      <c r="A334" s="25">
        <f>IF(F334=0,"",1+MAX(A$19:A333))</f>
        <v>245</v>
      </c>
      <c r="B334" s="175"/>
      <c r="C334" s="176"/>
      <c r="D334" s="95"/>
      <c r="E334" s="59" t="s">
        <v>120</v>
      </c>
      <c r="F334" s="56">
        <f>7410-572</f>
        <v>6838</v>
      </c>
      <c r="G334" s="56" t="s">
        <v>30</v>
      </c>
      <c r="H334" s="67">
        <v>0</v>
      </c>
      <c r="I334" s="37">
        <f t="shared" ref="I334:I336" si="88">F334*H334</f>
        <v>0</v>
      </c>
    </row>
    <row r="335" spans="1:9" x14ac:dyDescent="0.2">
      <c r="A335" s="25">
        <f>IF(F335=0,"",1+MAX(A$19:A334))</f>
        <v>246</v>
      </c>
      <c r="B335" s="175"/>
      <c r="C335" s="176"/>
      <c r="D335" s="95"/>
      <c r="E335" s="59" t="s">
        <v>121</v>
      </c>
      <c r="F335" s="56">
        <v>7410</v>
      </c>
      <c r="G335" s="56" t="s">
        <v>30</v>
      </c>
      <c r="H335" s="67">
        <v>0</v>
      </c>
      <c r="I335" s="37">
        <f t="shared" si="88"/>
        <v>0</v>
      </c>
    </row>
    <row r="336" spans="1:9" x14ac:dyDescent="0.2">
      <c r="A336" s="25">
        <f>IF(F336=0,"",1+MAX(A$19:A335))</f>
        <v>247</v>
      </c>
      <c r="B336" s="175"/>
      <c r="C336" s="176"/>
      <c r="D336" s="95"/>
      <c r="E336" s="59" t="s">
        <v>351</v>
      </c>
      <c r="F336" s="55">
        <v>1140</v>
      </c>
      <c r="G336" s="56" t="s">
        <v>32</v>
      </c>
      <c r="H336" s="67">
        <v>0</v>
      </c>
      <c r="I336" s="37">
        <f t="shared" si="88"/>
        <v>0</v>
      </c>
    </row>
    <row r="337" spans="1:9" x14ac:dyDescent="0.2">
      <c r="A337" s="25" t="str">
        <f>IF(F337=0,"",1+MAX(A$19:A336))</f>
        <v/>
      </c>
      <c r="B337" s="175"/>
      <c r="C337" s="176"/>
      <c r="D337" s="95"/>
      <c r="E337" s="61" t="s">
        <v>396</v>
      </c>
      <c r="F337" s="56"/>
      <c r="G337" s="56"/>
      <c r="H337" s="70"/>
      <c r="I337" s="37"/>
    </row>
    <row r="338" spans="1:9" x14ac:dyDescent="0.2">
      <c r="A338" s="25">
        <f>IF(F338=0,"",1+MAX(A$19:A337))</f>
        <v>248</v>
      </c>
      <c r="B338" s="175"/>
      <c r="C338" s="176"/>
      <c r="D338" s="95"/>
      <c r="E338" s="59" t="s">
        <v>109</v>
      </c>
      <c r="F338" s="55">
        <v>120</v>
      </c>
      <c r="G338" s="56" t="s">
        <v>32</v>
      </c>
      <c r="H338" s="67">
        <v>0</v>
      </c>
      <c r="I338" s="37">
        <f t="shared" ref="I338:I342" si="89">F338*H338</f>
        <v>0</v>
      </c>
    </row>
    <row r="339" spans="1:9" x14ac:dyDescent="0.2">
      <c r="A339" s="25">
        <f>IF(F339=0,"",1+MAX(A$19:A338))</f>
        <v>249</v>
      </c>
      <c r="B339" s="175"/>
      <c r="C339" s="176"/>
      <c r="D339" s="95"/>
      <c r="E339" s="59" t="s">
        <v>110</v>
      </c>
      <c r="F339" s="55">
        <v>780</v>
      </c>
      <c r="G339" s="56" t="s">
        <v>30</v>
      </c>
      <c r="H339" s="67">
        <v>0</v>
      </c>
      <c r="I339" s="37">
        <f t="shared" si="89"/>
        <v>0</v>
      </c>
    </row>
    <row r="340" spans="1:9" x14ac:dyDescent="0.2">
      <c r="A340" s="25">
        <f>IF(F340=0,"",1+MAX(A$19:A339))</f>
        <v>250</v>
      </c>
      <c r="B340" s="175"/>
      <c r="C340" s="176"/>
      <c r="D340" s="95"/>
      <c r="E340" s="59" t="s">
        <v>111</v>
      </c>
      <c r="F340" s="55">
        <v>780</v>
      </c>
      <c r="G340" s="56" t="s">
        <v>30</v>
      </c>
      <c r="H340" s="67">
        <v>0</v>
      </c>
      <c r="I340" s="37">
        <f t="shared" si="89"/>
        <v>0</v>
      </c>
    </row>
    <row r="341" spans="1:9" x14ac:dyDescent="0.2">
      <c r="A341" s="25">
        <f>IF(F341=0,"",1+MAX(A$19:A340))</f>
        <v>251</v>
      </c>
      <c r="B341" s="175"/>
      <c r="C341" s="176"/>
      <c r="D341" s="95"/>
      <c r="E341" s="59" t="s">
        <v>351</v>
      </c>
      <c r="F341" s="56">
        <v>120</v>
      </c>
      <c r="G341" s="56" t="s">
        <v>32</v>
      </c>
      <c r="H341" s="67">
        <v>0</v>
      </c>
      <c r="I341" s="37">
        <f t="shared" si="89"/>
        <v>0</v>
      </c>
    </row>
    <row r="342" spans="1:9" x14ac:dyDescent="0.2">
      <c r="A342" s="25">
        <f>IF(F342=0,"",1+MAX(A$19:A341))</f>
        <v>252</v>
      </c>
      <c r="B342" s="175"/>
      <c r="C342" s="176"/>
      <c r="D342" s="95"/>
      <c r="E342" s="59" t="s">
        <v>506</v>
      </c>
      <c r="F342" s="55">
        <v>780</v>
      </c>
      <c r="G342" s="56" t="s">
        <v>30</v>
      </c>
      <c r="H342" s="67">
        <v>0</v>
      </c>
      <c r="I342" s="37">
        <f t="shared" si="89"/>
        <v>0</v>
      </c>
    </row>
    <row r="343" spans="1:9" x14ac:dyDescent="0.2">
      <c r="A343" s="25" t="str">
        <f>IF(F343=0,"",1+MAX(A$19:A342))</f>
        <v/>
      </c>
      <c r="B343" s="175"/>
      <c r="C343" s="176"/>
      <c r="D343" s="95"/>
      <c r="E343" s="61" t="s">
        <v>126</v>
      </c>
      <c r="F343" s="56"/>
      <c r="G343" s="56"/>
      <c r="H343" s="67"/>
      <c r="I343" s="37"/>
    </row>
    <row r="344" spans="1:9" x14ac:dyDescent="0.2">
      <c r="A344" s="25">
        <f>IF(F344=0,"",1+MAX(A$19:A343))</f>
        <v>253</v>
      </c>
      <c r="B344" s="175"/>
      <c r="C344" s="176"/>
      <c r="D344" s="95"/>
      <c r="E344" s="59" t="s">
        <v>109</v>
      </c>
      <c r="F344" s="55">
        <v>67.34</v>
      </c>
      <c r="G344" s="56" t="s">
        <v>32</v>
      </c>
      <c r="H344" s="67">
        <v>0</v>
      </c>
      <c r="I344" s="37">
        <f t="shared" ref="I344" si="90">F344*H344</f>
        <v>0</v>
      </c>
    </row>
    <row r="345" spans="1:9" x14ac:dyDescent="0.2">
      <c r="A345" s="25">
        <f>IF(F345=0,"",1+MAX(A$19:A344))</f>
        <v>254</v>
      </c>
      <c r="B345" s="175"/>
      <c r="C345" s="176"/>
      <c r="D345" s="95"/>
      <c r="E345" s="59" t="s">
        <v>110</v>
      </c>
      <c r="F345" s="55">
        <v>437.71000000000004</v>
      </c>
      <c r="G345" s="56" t="s">
        <v>30</v>
      </c>
      <c r="H345" s="67">
        <v>0</v>
      </c>
      <c r="I345" s="37">
        <f t="shared" ref="I345:I347" si="91">F345*H345</f>
        <v>0</v>
      </c>
    </row>
    <row r="346" spans="1:9" x14ac:dyDescent="0.2">
      <c r="A346" s="25">
        <f>IF(F346=0,"",1+MAX(A$19:A345))</f>
        <v>255</v>
      </c>
      <c r="B346" s="175"/>
      <c r="C346" s="176"/>
      <c r="D346" s="95"/>
      <c r="E346" s="59" t="s">
        <v>111</v>
      </c>
      <c r="F346" s="55">
        <v>437.71000000000004</v>
      </c>
      <c r="G346" s="56" t="s">
        <v>30</v>
      </c>
      <c r="H346" s="67">
        <v>0</v>
      </c>
      <c r="I346" s="37">
        <f t="shared" si="91"/>
        <v>0</v>
      </c>
    </row>
    <row r="347" spans="1:9" x14ac:dyDescent="0.2">
      <c r="A347" s="25">
        <f>IF(F347=0,"",1+MAX(A$19:A346))</f>
        <v>256</v>
      </c>
      <c r="B347" s="175"/>
      <c r="C347" s="176"/>
      <c r="D347" s="95"/>
      <c r="E347" s="59" t="s">
        <v>351</v>
      </c>
      <c r="F347" s="55">
        <v>67</v>
      </c>
      <c r="G347" s="56" t="s">
        <v>32</v>
      </c>
      <c r="H347" s="67">
        <v>0</v>
      </c>
      <c r="I347" s="37">
        <f t="shared" si="91"/>
        <v>0</v>
      </c>
    </row>
    <row r="348" spans="1:9" x14ac:dyDescent="0.2">
      <c r="A348" s="25" t="str">
        <f>IF(F348=0,"",1+MAX(A$19:A347))</f>
        <v/>
      </c>
      <c r="B348" s="175"/>
      <c r="C348" s="176"/>
      <c r="D348" s="95"/>
      <c r="E348" s="60" t="s">
        <v>95</v>
      </c>
      <c r="F348" s="56"/>
      <c r="G348" s="56"/>
      <c r="H348" s="67"/>
      <c r="I348" s="37"/>
    </row>
    <row r="349" spans="1:9" x14ac:dyDescent="0.2">
      <c r="A349" s="25" t="str">
        <f>IF(F349=0,"",1+MAX(A$19:A348))</f>
        <v/>
      </c>
      <c r="B349" s="175"/>
      <c r="C349" s="176"/>
      <c r="D349" s="95"/>
      <c r="E349" s="61" t="s">
        <v>108</v>
      </c>
      <c r="F349" s="56"/>
      <c r="G349" s="56"/>
      <c r="H349" s="67"/>
      <c r="I349" s="37"/>
    </row>
    <row r="350" spans="1:9" x14ac:dyDescent="0.2">
      <c r="A350" s="25">
        <f>IF(F350=0,"",1+MAX(A$19:A349))</f>
        <v>257</v>
      </c>
      <c r="B350" s="175"/>
      <c r="C350" s="176"/>
      <c r="D350" s="95"/>
      <c r="E350" s="59" t="s">
        <v>109</v>
      </c>
      <c r="F350" s="55">
        <v>332.8</v>
      </c>
      <c r="G350" s="56" t="s">
        <v>32</v>
      </c>
      <c r="H350" s="67">
        <v>0</v>
      </c>
      <c r="I350" s="37">
        <f t="shared" ref="I350" si="92">F350*H350</f>
        <v>0</v>
      </c>
    </row>
    <row r="351" spans="1:9" x14ac:dyDescent="0.2">
      <c r="A351" s="25">
        <f>IF(F351=0,"",1+MAX(A$19:A350))</f>
        <v>258</v>
      </c>
      <c r="B351" s="175"/>
      <c r="C351" s="176"/>
      <c r="D351" s="95"/>
      <c r="E351" s="59" t="s">
        <v>110</v>
      </c>
      <c r="F351" s="55">
        <v>2558</v>
      </c>
      <c r="G351" s="56" t="s">
        <v>30</v>
      </c>
      <c r="H351" s="67">
        <v>0</v>
      </c>
      <c r="I351" s="37">
        <f t="shared" ref="I351:I352" si="93">F351*H351</f>
        <v>0</v>
      </c>
    </row>
    <row r="352" spans="1:9" x14ac:dyDescent="0.2">
      <c r="A352" s="25">
        <f>IF(F352=0,"",1+MAX(A$19:A351))</f>
        <v>259</v>
      </c>
      <c r="B352" s="175"/>
      <c r="C352" s="176"/>
      <c r="D352" s="95"/>
      <c r="E352" s="59" t="s">
        <v>111</v>
      </c>
      <c r="F352" s="55">
        <v>1664</v>
      </c>
      <c r="G352" s="56" t="s">
        <v>30</v>
      </c>
      <c r="H352" s="67">
        <v>0</v>
      </c>
      <c r="I352" s="37">
        <f t="shared" si="93"/>
        <v>0</v>
      </c>
    </row>
    <row r="353" spans="1:9" x14ac:dyDescent="0.2">
      <c r="A353" s="25">
        <f>IF(F353=0,"",1+MAX(A$19:A352))</f>
        <v>260</v>
      </c>
      <c r="B353" s="175"/>
      <c r="C353" s="176"/>
      <c r="D353" s="95"/>
      <c r="E353" s="59" t="s">
        <v>112</v>
      </c>
      <c r="F353" s="55">
        <v>1664</v>
      </c>
      <c r="G353" s="56" t="s">
        <v>30</v>
      </c>
      <c r="H353" s="67">
        <v>0</v>
      </c>
      <c r="I353" s="37">
        <f t="shared" ref="I353:I357" si="94">F353*H353</f>
        <v>0</v>
      </c>
    </row>
    <row r="354" spans="1:9" x14ac:dyDescent="0.2">
      <c r="A354" s="25">
        <f>IF(F354=0,"",1+MAX(A$19:A353))</f>
        <v>261</v>
      </c>
      <c r="B354" s="175"/>
      <c r="C354" s="176"/>
      <c r="D354" s="95"/>
      <c r="E354" s="59" t="s">
        <v>351</v>
      </c>
      <c r="F354" s="55">
        <v>666</v>
      </c>
      <c r="G354" s="56" t="s">
        <v>32</v>
      </c>
      <c r="H354" s="67">
        <v>0</v>
      </c>
      <c r="I354" s="37">
        <f t="shared" si="94"/>
        <v>0</v>
      </c>
    </row>
    <row r="355" spans="1:9" x14ac:dyDescent="0.2">
      <c r="A355" s="25">
        <f>IF(F355=0,"",1+MAX(A$19:A354))</f>
        <v>262</v>
      </c>
      <c r="B355" s="175"/>
      <c r="C355" s="176"/>
      <c r="D355" s="95"/>
      <c r="E355" s="59" t="s">
        <v>502</v>
      </c>
      <c r="F355" s="56">
        <v>770</v>
      </c>
      <c r="G355" s="56" t="s">
        <v>30</v>
      </c>
      <c r="H355" s="67">
        <v>0</v>
      </c>
      <c r="I355" s="37">
        <f t="shared" si="94"/>
        <v>0</v>
      </c>
    </row>
    <row r="356" spans="1:9" x14ac:dyDescent="0.2">
      <c r="A356" s="25" t="str">
        <f>IF(F356=0,"",1+MAX(A$19:A355))</f>
        <v/>
      </c>
      <c r="B356" s="175"/>
      <c r="C356" s="176"/>
      <c r="D356" s="95"/>
      <c r="E356" s="61" t="s">
        <v>122</v>
      </c>
      <c r="F356" s="56"/>
      <c r="G356" s="56"/>
      <c r="H356" s="67"/>
      <c r="I356" s="37"/>
    </row>
    <row r="357" spans="1:9" x14ac:dyDescent="0.2">
      <c r="A357" s="25">
        <f>IF(F357=0,"",1+MAX(A$19:A356))</f>
        <v>263</v>
      </c>
      <c r="B357" s="175"/>
      <c r="C357" s="176"/>
      <c r="D357" s="95"/>
      <c r="E357" s="59" t="s">
        <v>109</v>
      </c>
      <c r="F357" s="55">
        <v>68.08</v>
      </c>
      <c r="G357" s="56" t="s">
        <v>32</v>
      </c>
      <c r="H357" s="67">
        <v>0</v>
      </c>
      <c r="I357" s="37">
        <f t="shared" si="94"/>
        <v>0</v>
      </c>
    </row>
    <row r="358" spans="1:9" x14ac:dyDescent="0.2">
      <c r="A358" s="25">
        <f>IF(F358=0,"",1+MAX(A$19:A357))</f>
        <v>264</v>
      </c>
      <c r="B358" s="175"/>
      <c r="C358" s="176"/>
      <c r="D358" s="95"/>
      <c r="E358" s="59" t="s">
        <v>110</v>
      </c>
      <c r="F358" s="55">
        <v>340.4</v>
      </c>
      <c r="G358" s="56" t="s">
        <v>30</v>
      </c>
      <c r="H358" s="67">
        <v>0</v>
      </c>
      <c r="I358" s="37">
        <f t="shared" ref="I358:I360" si="95">F358*H358</f>
        <v>0</v>
      </c>
    </row>
    <row r="359" spans="1:9" x14ac:dyDescent="0.2">
      <c r="A359" s="25">
        <f>IF(F359=0,"",1+MAX(A$19:A358))</f>
        <v>265</v>
      </c>
      <c r="B359" s="175"/>
      <c r="C359" s="176"/>
      <c r="D359" s="95"/>
      <c r="E359" s="59" t="s">
        <v>111</v>
      </c>
      <c r="F359" s="55">
        <v>340.4</v>
      </c>
      <c r="G359" s="56" t="s">
        <v>30</v>
      </c>
      <c r="H359" s="67">
        <v>0</v>
      </c>
      <c r="I359" s="37">
        <f t="shared" si="95"/>
        <v>0</v>
      </c>
    </row>
    <row r="360" spans="1:9" x14ac:dyDescent="0.2">
      <c r="A360" s="25">
        <f>IF(F360=0,"",1+MAX(A$19:A359))</f>
        <v>266</v>
      </c>
      <c r="B360" s="175"/>
      <c r="C360" s="176"/>
      <c r="D360" s="95"/>
      <c r="E360" s="59" t="s">
        <v>351</v>
      </c>
      <c r="F360" s="55">
        <v>136.16</v>
      </c>
      <c r="G360" s="56" t="s">
        <v>32</v>
      </c>
      <c r="H360" s="67">
        <v>0</v>
      </c>
      <c r="I360" s="37">
        <f t="shared" si="95"/>
        <v>0</v>
      </c>
    </row>
    <row r="361" spans="1:9" x14ac:dyDescent="0.2">
      <c r="A361" s="25" t="str">
        <f>IF(F361=0,"",1+MAX(A$19:A360))</f>
        <v/>
      </c>
      <c r="B361" s="175"/>
      <c r="C361" s="176"/>
      <c r="D361" s="95"/>
      <c r="E361" s="61" t="s">
        <v>396</v>
      </c>
      <c r="F361" s="56"/>
      <c r="G361" s="56"/>
      <c r="H361" s="70"/>
      <c r="I361" s="37"/>
    </row>
    <row r="362" spans="1:9" x14ac:dyDescent="0.2">
      <c r="A362" s="25">
        <f>IF(F362=0,"",1+MAX(A$19:A361))</f>
        <v>267</v>
      </c>
      <c r="B362" s="175"/>
      <c r="C362" s="176"/>
      <c r="D362" s="95"/>
      <c r="E362" s="59" t="s">
        <v>109</v>
      </c>
      <c r="F362" s="55">
        <v>120</v>
      </c>
      <c r="G362" s="56" t="s">
        <v>32</v>
      </c>
      <c r="H362" s="67">
        <v>0</v>
      </c>
      <c r="I362" s="37">
        <f t="shared" ref="I362:I365" si="96">F362*H362</f>
        <v>0</v>
      </c>
    </row>
    <row r="363" spans="1:9" x14ac:dyDescent="0.2">
      <c r="A363" s="25">
        <f>IF(F363=0,"",1+MAX(A$19:A362))</f>
        <v>268</v>
      </c>
      <c r="B363" s="175"/>
      <c r="C363" s="176"/>
      <c r="D363" s="95"/>
      <c r="E363" s="59" t="s">
        <v>110</v>
      </c>
      <c r="F363" s="55">
        <v>600</v>
      </c>
      <c r="G363" s="56" t="s">
        <v>30</v>
      </c>
      <c r="H363" s="67">
        <v>0</v>
      </c>
      <c r="I363" s="37">
        <f t="shared" si="96"/>
        <v>0</v>
      </c>
    </row>
    <row r="364" spans="1:9" x14ac:dyDescent="0.2">
      <c r="A364" s="25">
        <f>IF(F364=0,"",1+MAX(A$19:A363))</f>
        <v>269</v>
      </c>
      <c r="B364" s="175"/>
      <c r="C364" s="176"/>
      <c r="D364" s="95"/>
      <c r="E364" s="59" t="s">
        <v>111</v>
      </c>
      <c r="F364" s="55">
        <v>600</v>
      </c>
      <c r="G364" s="56" t="s">
        <v>30</v>
      </c>
      <c r="H364" s="67">
        <v>0</v>
      </c>
      <c r="I364" s="37">
        <f t="shared" si="96"/>
        <v>0</v>
      </c>
    </row>
    <row r="365" spans="1:9" x14ac:dyDescent="0.2">
      <c r="A365" s="25">
        <f>IF(F365=0,"",1+MAX(A$19:A364))</f>
        <v>270</v>
      </c>
      <c r="B365" s="175"/>
      <c r="C365" s="176"/>
      <c r="D365" s="95"/>
      <c r="E365" s="59" t="s">
        <v>351</v>
      </c>
      <c r="F365" s="56">
        <v>120</v>
      </c>
      <c r="G365" s="56" t="s">
        <v>32</v>
      </c>
      <c r="H365" s="67">
        <v>0</v>
      </c>
      <c r="I365" s="37">
        <f t="shared" si="96"/>
        <v>0</v>
      </c>
    </row>
    <row r="366" spans="1:9" x14ac:dyDescent="0.2">
      <c r="A366" s="25">
        <f>IF(F366=0,"",1+MAX(A$19:A365))</f>
        <v>271</v>
      </c>
      <c r="B366" s="175"/>
      <c r="C366" s="176"/>
      <c r="D366" s="95"/>
      <c r="E366" s="59" t="s">
        <v>506</v>
      </c>
      <c r="F366" s="55">
        <v>600</v>
      </c>
      <c r="G366" s="56" t="s">
        <v>30</v>
      </c>
      <c r="H366" s="67">
        <v>0</v>
      </c>
      <c r="I366" s="37">
        <f t="shared" ref="I366" si="97">F366*H366</f>
        <v>0</v>
      </c>
    </row>
    <row r="367" spans="1:9" x14ac:dyDescent="0.2">
      <c r="A367" s="25" t="str">
        <f>IF(F367=0,"",1+MAX(A$19:A366))</f>
        <v/>
      </c>
      <c r="B367" s="175"/>
      <c r="C367" s="176"/>
      <c r="D367" s="95"/>
      <c r="E367" s="61" t="s">
        <v>113</v>
      </c>
      <c r="F367" s="56"/>
      <c r="G367" s="56"/>
      <c r="H367" s="67"/>
      <c r="I367" s="37"/>
    </row>
    <row r="368" spans="1:9" x14ac:dyDescent="0.2">
      <c r="A368" s="25">
        <f>IF(F368=0,"",1+MAX(A$19:A367))</f>
        <v>272</v>
      </c>
      <c r="B368" s="175"/>
      <c r="C368" s="176"/>
      <c r="D368" s="95"/>
      <c r="E368" s="59" t="s">
        <v>109</v>
      </c>
      <c r="F368" s="55">
        <v>400</v>
      </c>
      <c r="G368" s="56" t="s">
        <v>32</v>
      </c>
      <c r="H368" s="67">
        <v>0</v>
      </c>
      <c r="I368" s="37">
        <f t="shared" ref="I368" si="98">F368*H368</f>
        <v>0</v>
      </c>
    </row>
    <row r="369" spans="1:9" x14ac:dyDescent="0.2">
      <c r="A369" s="25">
        <f>IF(F369=0,"",1+MAX(A$19:A368))</f>
        <v>273</v>
      </c>
      <c r="B369" s="175"/>
      <c r="C369" s="176"/>
      <c r="D369" s="95"/>
      <c r="E369" s="59" t="s">
        <v>114</v>
      </c>
      <c r="F369" s="55">
        <f>3999.6-694</f>
        <v>3305.6</v>
      </c>
      <c r="G369" s="56" t="s">
        <v>30</v>
      </c>
      <c r="H369" s="67">
        <v>0</v>
      </c>
      <c r="I369" s="37">
        <f t="shared" ref="I369" si="99">F369*H369</f>
        <v>0</v>
      </c>
    </row>
    <row r="370" spans="1:9" x14ac:dyDescent="0.2">
      <c r="A370" s="25">
        <f>IF(F370=0,"",1+MAX(A$19:A369))</f>
        <v>274</v>
      </c>
      <c r="B370" s="175"/>
      <c r="C370" s="176"/>
      <c r="D370" s="95"/>
      <c r="E370" s="59" t="s">
        <v>115</v>
      </c>
      <c r="F370" s="55">
        <f>3999.6-694</f>
        <v>3305.6</v>
      </c>
      <c r="G370" s="56" t="s">
        <v>30</v>
      </c>
      <c r="H370" s="67">
        <v>0</v>
      </c>
      <c r="I370" s="37">
        <f t="shared" ref="I370" si="100">F370*H370</f>
        <v>0</v>
      </c>
    </row>
    <row r="371" spans="1:9" x14ac:dyDescent="0.2">
      <c r="A371" s="25">
        <f>IF(F371=0,"",1+MAX(A$19:A370))</f>
        <v>275</v>
      </c>
      <c r="B371" s="175"/>
      <c r="C371" s="176"/>
      <c r="D371" s="95"/>
      <c r="E371" s="59" t="s">
        <v>116</v>
      </c>
      <c r="F371" s="55">
        <v>3999.6</v>
      </c>
      <c r="G371" s="56" t="s">
        <v>30</v>
      </c>
      <c r="H371" s="67">
        <v>0</v>
      </c>
      <c r="I371" s="37">
        <f t="shared" ref="I371" si="101">F371*H371</f>
        <v>0</v>
      </c>
    </row>
    <row r="372" spans="1:9" x14ac:dyDescent="0.2">
      <c r="A372" s="25">
        <f>IF(F372=0,"",1+MAX(A$19:A371))</f>
        <v>276</v>
      </c>
      <c r="B372" s="175"/>
      <c r="C372" s="176"/>
      <c r="D372" s="95"/>
      <c r="E372" s="59" t="s">
        <v>117</v>
      </c>
      <c r="F372" s="55">
        <v>3999.6</v>
      </c>
      <c r="G372" s="56" t="s">
        <v>30</v>
      </c>
      <c r="H372" s="67">
        <v>0</v>
      </c>
      <c r="I372" s="37">
        <f t="shared" ref="I372:I374" si="102">F372*H372</f>
        <v>0</v>
      </c>
    </row>
    <row r="373" spans="1:9" x14ac:dyDescent="0.2">
      <c r="A373" s="25">
        <f>IF(F373=0,"",1+MAX(A$19:A372))</f>
        <v>277</v>
      </c>
      <c r="B373" s="175"/>
      <c r="C373" s="176"/>
      <c r="D373" s="95"/>
      <c r="E373" s="59" t="s">
        <v>118</v>
      </c>
      <c r="F373" s="55">
        <f>3999.6-694</f>
        <v>3305.6</v>
      </c>
      <c r="G373" s="56" t="s">
        <v>30</v>
      </c>
      <c r="H373" s="67">
        <v>0</v>
      </c>
      <c r="I373" s="37">
        <f t="shared" si="102"/>
        <v>0</v>
      </c>
    </row>
    <row r="374" spans="1:9" x14ac:dyDescent="0.2">
      <c r="A374" s="25">
        <f>IF(F374=0,"",1+MAX(A$19:A373))</f>
        <v>278</v>
      </c>
      <c r="B374" s="175"/>
      <c r="C374" s="176"/>
      <c r="D374" s="95"/>
      <c r="E374" s="59" t="s">
        <v>119</v>
      </c>
      <c r="F374" s="55">
        <f>3999.6-694</f>
        <v>3305.6</v>
      </c>
      <c r="G374" s="56" t="s">
        <v>30</v>
      </c>
      <c r="H374" s="67">
        <v>0</v>
      </c>
      <c r="I374" s="37">
        <f t="shared" si="102"/>
        <v>0</v>
      </c>
    </row>
    <row r="375" spans="1:9" x14ac:dyDescent="0.2">
      <c r="A375" s="25">
        <f>IF(F375=0,"",1+MAX(A$19:A374))</f>
        <v>279</v>
      </c>
      <c r="B375" s="175"/>
      <c r="C375" s="176"/>
      <c r="D375" s="95"/>
      <c r="E375" s="59" t="s">
        <v>120</v>
      </c>
      <c r="F375" s="55">
        <f>3999.6-694</f>
        <v>3305.6</v>
      </c>
      <c r="G375" s="56" t="s">
        <v>30</v>
      </c>
      <c r="H375" s="67">
        <v>0</v>
      </c>
      <c r="I375" s="37">
        <f t="shared" ref="I375:I377" si="103">F375*H375</f>
        <v>0</v>
      </c>
    </row>
    <row r="376" spans="1:9" x14ac:dyDescent="0.2">
      <c r="A376" s="25">
        <f>IF(F376=0,"",1+MAX(A$19:A375))</f>
        <v>280</v>
      </c>
      <c r="B376" s="175"/>
      <c r="C376" s="176"/>
      <c r="D376" s="95"/>
      <c r="E376" s="59" t="s">
        <v>121</v>
      </c>
      <c r="F376" s="55">
        <v>3999.6</v>
      </c>
      <c r="G376" s="56" t="s">
        <v>30</v>
      </c>
      <c r="H376" s="67">
        <v>0</v>
      </c>
      <c r="I376" s="37">
        <f t="shared" si="103"/>
        <v>0</v>
      </c>
    </row>
    <row r="377" spans="1:9" x14ac:dyDescent="0.2">
      <c r="A377" s="25">
        <f>IF(F377=0,"",1+MAX(A$19:A376))</f>
        <v>281</v>
      </c>
      <c r="B377" s="175"/>
      <c r="C377" s="176"/>
      <c r="D377" s="95"/>
      <c r="E377" s="59" t="s">
        <v>351</v>
      </c>
      <c r="F377" s="55">
        <v>400</v>
      </c>
      <c r="G377" s="56" t="s">
        <v>32</v>
      </c>
      <c r="H377" s="67">
        <v>0</v>
      </c>
      <c r="I377" s="37">
        <f t="shared" si="103"/>
        <v>0</v>
      </c>
    </row>
    <row r="378" spans="1:9" x14ac:dyDescent="0.2">
      <c r="A378" s="25" t="str">
        <f>IF(F378=0,"",1+MAX(A$19:A377))</f>
        <v/>
      </c>
      <c r="B378" s="175"/>
      <c r="C378" s="176"/>
      <c r="D378" s="95"/>
      <c r="E378" s="61" t="s">
        <v>127</v>
      </c>
      <c r="F378" s="56"/>
      <c r="G378" s="56"/>
      <c r="H378" s="67"/>
      <c r="I378" s="37"/>
    </row>
    <row r="379" spans="1:9" x14ac:dyDescent="0.2">
      <c r="A379" s="25">
        <f>IF(F379=0,"",1+MAX(A$19:A378))</f>
        <v>282</v>
      </c>
      <c r="B379" s="175"/>
      <c r="C379" s="176"/>
      <c r="D379" s="95"/>
      <c r="E379" s="59" t="s">
        <v>109</v>
      </c>
      <c r="F379" s="55">
        <v>79.099999999999994</v>
      </c>
      <c r="G379" s="56" t="s">
        <v>32</v>
      </c>
      <c r="H379" s="67">
        <v>0</v>
      </c>
      <c r="I379" s="37">
        <f t="shared" ref="I379:I380" si="104">F379*H379</f>
        <v>0</v>
      </c>
    </row>
    <row r="380" spans="1:9" x14ac:dyDescent="0.2">
      <c r="A380" s="25">
        <f>IF(F380=0,"",1+MAX(A$19:A379))</f>
        <v>283</v>
      </c>
      <c r="B380" s="175"/>
      <c r="C380" s="176"/>
      <c r="D380" s="95"/>
      <c r="E380" s="59" t="s">
        <v>110</v>
      </c>
      <c r="F380" s="55">
        <v>395.5</v>
      </c>
      <c r="G380" s="56" t="s">
        <v>30</v>
      </c>
      <c r="H380" s="67">
        <v>0</v>
      </c>
      <c r="I380" s="37">
        <f t="shared" si="104"/>
        <v>0</v>
      </c>
    </row>
    <row r="381" spans="1:9" x14ac:dyDescent="0.2">
      <c r="A381" s="25">
        <f>IF(F381=0,"",1+MAX(A$19:A380))</f>
        <v>284</v>
      </c>
      <c r="B381" s="175"/>
      <c r="C381" s="176"/>
      <c r="D381" s="95"/>
      <c r="E381" s="59" t="s">
        <v>111</v>
      </c>
      <c r="F381" s="55">
        <v>395.5</v>
      </c>
      <c r="G381" s="56" t="s">
        <v>30</v>
      </c>
      <c r="H381" s="67">
        <v>0</v>
      </c>
      <c r="I381" s="37">
        <f t="shared" ref="I381:I382" si="105">F381*H381</f>
        <v>0</v>
      </c>
    </row>
    <row r="382" spans="1:9" x14ac:dyDescent="0.2">
      <c r="A382" s="25">
        <f>IF(F382=0,"",1+MAX(A$19:A381))</f>
        <v>285</v>
      </c>
      <c r="B382" s="175"/>
      <c r="C382" s="176"/>
      <c r="D382" s="95"/>
      <c r="E382" s="59" t="s">
        <v>351</v>
      </c>
      <c r="F382" s="55">
        <v>79</v>
      </c>
      <c r="G382" s="56" t="s">
        <v>32</v>
      </c>
      <c r="H382" s="67">
        <v>0</v>
      </c>
      <c r="I382" s="37">
        <f t="shared" si="105"/>
        <v>0</v>
      </c>
    </row>
    <row r="383" spans="1:9" x14ac:dyDescent="0.2">
      <c r="A383" s="25" t="str">
        <f>IF(F383=0,"",1+MAX(A$19:A382))</f>
        <v/>
      </c>
      <c r="B383" s="175"/>
      <c r="C383" s="176"/>
      <c r="D383" s="95"/>
      <c r="E383" s="61" t="s">
        <v>128</v>
      </c>
      <c r="F383" s="56"/>
      <c r="G383" s="56"/>
      <c r="H383" s="67"/>
      <c r="I383" s="37"/>
    </row>
    <row r="384" spans="1:9" x14ac:dyDescent="0.2">
      <c r="A384" s="25">
        <f>IF(F384=0,"",1+MAX(A$19:A383))</f>
        <v>286</v>
      </c>
      <c r="B384" s="175"/>
      <c r="C384" s="176"/>
      <c r="D384" s="95"/>
      <c r="E384" s="59" t="s">
        <v>129</v>
      </c>
      <c r="F384" s="55">
        <v>1410.2</v>
      </c>
      <c r="G384" s="56" t="s">
        <v>30</v>
      </c>
      <c r="H384" s="67">
        <v>0</v>
      </c>
      <c r="I384" s="37">
        <f t="shared" ref="I384" si="106">F384*H384</f>
        <v>0</v>
      </c>
    </row>
    <row r="385" spans="1:9" x14ac:dyDescent="0.2">
      <c r="A385" s="25" t="str">
        <f>IF(F385=0,"",1+MAX(A$19:A384))</f>
        <v/>
      </c>
      <c r="B385" s="175"/>
      <c r="C385" s="176"/>
      <c r="D385" s="95"/>
      <c r="E385" s="105" t="s">
        <v>130</v>
      </c>
      <c r="F385" s="56"/>
      <c r="G385" s="56"/>
      <c r="H385" s="67"/>
      <c r="I385" s="37"/>
    </row>
    <row r="386" spans="1:9" x14ac:dyDescent="0.2">
      <c r="A386" s="25" t="str">
        <f>IF(F386=0,"",1+MAX(A$19:A385))</f>
        <v/>
      </c>
      <c r="B386" s="175"/>
      <c r="C386" s="176"/>
      <c r="D386" s="95"/>
      <c r="E386" s="60" t="s">
        <v>91</v>
      </c>
      <c r="F386" s="56"/>
      <c r="G386" s="56"/>
      <c r="H386" s="67"/>
      <c r="I386" s="37"/>
    </row>
    <row r="387" spans="1:9" x14ac:dyDescent="0.2">
      <c r="A387" s="25">
        <f>IF(F387=0,"",1+MAX(A$19:A386))</f>
        <v>287</v>
      </c>
      <c r="B387" s="175"/>
      <c r="C387" s="176"/>
      <c r="D387" s="95"/>
      <c r="E387" s="106" t="s">
        <v>570</v>
      </c>
      <c r="F387" s="55">
        <v>263.52</v>
      </c>
      <c r="G387" s="56" t="s">
        <v>30</v>
      </c>
      <c r="H387" s="67">
        <v>0</v>
      </c>
      <c r="I387" s="37">
        <f t="shared" ref="I387:I388" si="107">F387*H387</f>
        <v>0</v>
      </c>
    </row>
    <row r="388" spans="1:9" x14ac:dyDescent="0.2">
      <c r="A388" s="25">
        <f>IF(F388=0,"",1+MAX(A$19:A387))</f>
        <v>288</v>
      </c>
      <c r="B388" s="175"/>
      <c r="C388" s="176"/>
      <c r="D388" s="95"/>
      <c r="E388" s="68" t="s">
        <v>571</v>
      </c>
      <c r="F388" s="55">
        <v>169.56</v>
      </c>
      <c r="G388" s="56" t="s">
        <v>30</v>
      </c>
      <c r="H388" s="67">
        <v>0</v>
      </c>
      <c r="I388" s="37">
        <f t="shared" si="107"/>
        <v>0</v>
      </c>
    </row>
    <row r="389" spans="1:9" x14ac:dyDescent="0.2">
      <c r="A389" s="25" t="str">
        <f>IF(F389=0,"",1+MAX(A$19:A388))</f>
        <v/>
      </c>
      <c r="B389" s="175"/>
      <c r="C389" s="176"/>
      <c r="D389" s="95"/>
      <c r="E389" s="60" t="s">
        <v>94</v>
      </c>
      <c r="F389" s="55"/>
      <c r="G389" s="56"/>
      <c r="H389" s="67"/>
      <c r="I389" s="37"/>
    </row>
    <row r="390" spans="1:9" x14ac:dyDescent="0.2">
      <c r="A390" s="25">
        <f>IF(F390=0,"",1+MAX(A$19:A389))</f>
        <v>289</v>
      </c>
      <c r="B390" s="175"/>
      <c r="C390" s="176"/>
      <c r="D390" s="95"/>
      <c r="E390" s="107" t="s">
        <v>572</v>
      </c>
      <c r="F390" s="55">
        <v>170.04</v>
      </c>
      <c r="G390" s="56" t="s">
        <v>30</v>
      </c>
      <c r="H390" s="67">
        <v>0</v>
      </c>
      <c r="I390" s="37">
        <f t="shared" ref="I390:I391" si="108">F390*H390</f>
        <v>0</v>
      </c>
    </row>
    <row r="391" spans="1:9" x14ac:dyDescent="0.2">
      <c r="A391" s="25">
        <f>IF(F391=0,"",1+MAX(A$19:A390))</f>
        <v>290</v>
      </c>
      <c r="B391" s="175"/>
      <c r="C391" s="176"/>
      <c r="D391" s="95"/>
      <c r="E391" s="59" t="s">
        <v>573</v>
      </c>
      <c r="F391" s="55">
        <v>124.74</v>
      </c>
      <c r="G391" s="56" t="s">
        <v>30</v>
      </c>
      <c r="H391" s="67">
        <v>0</v>
      </c>
      <c r="I391" s="37">
        <f t="shared" si="108"/>
        <v>0</v>
      </c>
    </row>
    <row r="392" spans="1:9" x14ac:dyDescent="0.2">
      <c r="A392" s="25" t="str">
        <f>IF(F392=0,"",1+MAX(A$19:A391))</f>
        <v/>
      </c>
      <c r="B392" s="175"/>
      <c r="C392" s="176"/>
      <c r="D392" s="95"/>
      <c r="E392" s="60" t="s">
        <v>95</v>
      </c>
      <c r="F392" s="55"/>
      <c r="G392" s="56"/>
      <c r="H392" s="70"/>
      <c r="I392" s="37"/>
    </row>
    <row r="393" spans="1:9" x14ac:dyDescent="0.2">
      <c r="A393" s="25">
        <f>IF(F393=0,"",1+MAX(A$19:A392))</f>
        <v>291</v>
      </c>
      <c r="B393" s="175"/>
      <c r="C393" s="176"/>
      <c r="D393" s="95"/>
      <c r="E393" s="59" t="s">
        <v>574</v>
      </c>
      <c r="F393" s="55">
        <v>101.58</v>
      </c>
      <c r="G393" s="56" t="s">
        <v>30</v>
      </c>
      <c r="H393" s="67">
        <v>0</v>
      </c>
      <c r="I393" s="37">
        <f t="shared" ref="I393" si="109">F393*H393</f>
        <v>0</v>
      </c>
    </row>
    <row r="394" spans="1:9" x14ac:dyDescent="0.2">
      <c r="A394" s="25">
        <f>IF(F394=0,"",1+MAX(A$19:A393))</f>
        <v>292</v>
      </c>
      <c r="B394" s="175"/>
      <c r="C394" s="176"/>
      <c r="D394" s="95"/>
      <c r="E394" s="68" t="s">
        <v>575</v>
      </c>
      <c r="F394" s="55">
        <v>119.69999999999999</v>
      </c>
      <c r="G394" s="56" t="s">
        <v>30</v>
      </c>
      <c r="H394" s="67">
        <v>0</v>
      </c>
      <c r="I394" s="37">
        <f t="shared" ref="I394" si="110">F394*H394</f>
        <v>0</v>
      </c>
    </row>
    <row r="395" spans="1:9" x14ac:dyDescent="0.2">
      <c r="A395" s="25" t="str">
        <f>IF(F395=0,"",1+MAX(A$19:A394))</f>
        <v/>
      </c>
      <c r="B395" s="175"/>
      <c r="C395" s="176"/>
      <c r="D395" s="95"/>
      <c r="E395" s="105" t="s">
        <v>43</v>
      </c>
      <c r="F395" s="56"/>
      <c r="G395" s="56"/>
      <c r="H395" s="67"/>
      <c r="I395" s="37"/>
    </row>
    <row r="396" spans="1:9" x14ac:dyDescent="0.2">
      <c r="A396" s="25" t="str">
        <f>IF(F396=0,"",1+MAX(A$19:A395))</f>
        <v/>
      </c>
      <c r="B396" s="175"/>
      <c r="C396" s="176"/>
      <c r="D396" s="95"/>
      <c r="E396" s="60" t="s">
        <v>91</v>
      </c>
      <c r="F396" s="56"/>
      <c r="G396" s="56"/>
      <c r="H396" s="67"/>
      <c r="I396" s="37"/>
    </row>
    <row r="397" spans="1:9" x14ac:dyDescent="0.2">
      <c r="A397" s="25">
        <f>IF(F397=0,"",1+MAX(A$19:A396))</f>
        <v>293</v>
      </c>
      <c r="B397" s="175"/>
      <c r="C397" s="176"/>
      <c r="D397" s="95"/>
      <c r="E397" s="108" t="s">
        <v>397</v>
      </c>
      <c r="F397" s="56">
        <v>994</v>
      </c>
      <c r="G397" s="56" t="s">
        <v>30</v>
      </c>
      <c r="H397" s="67">
        <v>0</v>
      </c>
      <c r="I397" s="37">
        <f t="shared" ref="I397:I417" si="111">F397*H397</f>
        <v>0</v>
      </c>
    </row>
    <row r="398" spans="1:9" x14ac:dyDescent="0.2">
      <c r="A398" s="25">
        <f>IF(F398=0,"",1+MAX(A$19:A397))</f>
        <v>294</v>
      </c>
      <c r="B398" s="175"/>
      <c r="C398" s="176"/>
      <c r="D398" s="95"/>
      <c r="E398" s="108" t="s">
        <v>398</v>
      </c>
      <c r="F398" s="56">
        <v>298</v>
      </c>
      <c r="G398" s="56" t="s">
        <v>30</v>
      </c>
      <c r="H398" s="67">
        <v>0</v>
      </c>
      <c r="I398" s="37">
        <f t="shared" si="111"/>
        <v>0</v>
      </c>
    </row>
    <row r="399" spans="1:9" x14ac:dyDescent="0.2">
      <c r="A399" s="25">
        <f>IF(F399=0,"",1+MAX(A$19:A398))</f>
        <v>295</v>
      </c>
      <c r="B399" s="175"/>
      <c r="C399" s="176"/>
      <c r="D399" s="95"/>
      <c r="E399" s="108" t="s">
        <v>399</v>
      </c>
      <c r="F399" s="56">
        <v>81</v>
      </c>
      <c r="G399" s="56" t="s">
        <v>30</v>
      </c>
      <c r="H399" s="67">
        <v>0</v>
      </c>
      <c r="I399" s="37">
        <f t="shared" si="111"/>
        <v>0</v>
      </c>
    </row>
    <row r="400" spans="1:9" x14ac:dyDescent="0.2">
      <c r="A400" s="25">
        <f>IF(F400=0,"",1+MAX(A$19:A399))</f>
        <v>296</v>
      </c>
      <c r="B400" s="175"/>
      <c r="C400" s="176"/>
      <c r="D400" s="95"/>
      <c r="E400" s="108" t="s">
        <v>400</v>
      </c>
      <c r="F400" s="56">
        <v>405</v>
      </c>
      <c r="G400" s="56" t="s">
        <v>30</v>
      </c>
      <c r="H400" s="67">
        <v>0</v>
      </c>
      <c r="I400" s="37">
        <f t="shared" si="111"/>
        <v>0</v>
      </c>
    </row>
    <row r="401" spans="1:9" x14ac:dyDescent="0.2">
      <c r="A401" s="25">
        <f>IF(F401=0,"",1+MAX(A$19:A400))</f>
        <v>297</v>
      </c>
      <c r="B401" s="175"/>
      <c r="C401" s="176"/>
      <c r="D401" s="95"/>
      <c r="E401" s="108" t="s">
        <v>401</v>
      </c>
      <c r="F401" s="56">
        <v>141</v>
      </c>
      <c r="G401" s="56" t="s">
        <v>30</v>
      </c>
      <c r="H401" s="67">
        <v>0</v>
      </c>
      <c r="I401" s="37">
        <f t="shared" si="111"/>
        <v>0</v>
      </c>
    </row>
    <row r="402" spans="1:9" x14ac:dyDescent="0.2">
      <c r="A402" s="25">
        <f>IF(F402=0,"",1+MAX(A$19:A401))</f>
        <v>298</v>
      </c>
      <c r="B402" s="175"/>
      <c r="C402" s="176"/>
      <c r="D402" s="95"/>
      <c r="E402" s="108" t="s">
        <v>402</v>
      </c>
      <c r="F402" s="56">
        <v>245</v>
      </c>
      <c r="G402" s="56" t="s">
        <v>30</v>
      </c>
      <c r="H402" s="67">
        <v>0</v>
      </c>
      <c r="I402" s="37">
        <f t="shared" si="111"/>
        <v>0</v>
      </c>
    </row>
    <row r="403" spans="1:9" x14ac:dyDescent="0.2">
      <c r="A403" s="25">
        <f>IF(F403=0,"",1+MAX(A$19:A402))</f>
        <v>299</v>
      </c>
      <c r="B403" s="175"/>
      <c r="C403" s="176"/>
      <c r="D403" s="95"/>
      <c r="E403" s="108" t="s">
        <v>403</v>
      </c>
      <c r="F403" s="56">
        <v>50</v>
      </c>
      <c r="G403" s="56" t="s">
        <v>30</v>
      </c>
      <c r="H403" s="67">
        <v>0</v>
      </c>
      <c r="I403" s="37">
        <f t="shared" si="111"/>
        <v>0</v>
      </c>
    </row>
    <row r="404" spans="1:9" x14ac:dyDescent="0.2">
      <c r="A404" s="25">
        <f>IF(F404=0,"",1+MAX(A$19:A403))</f>
        <v>300</v>
      </c>
      <c r="B404" s="175"/>
      <c r="C404" s="176"/>
      <c r="D404" s="95"/>
      <c r="E404" s="108" t="s">
        <v>404</v>
      </c>
      <c r="F404" s="56">
        <v>62</v>
      </c>
      <c r="G404" s="56" t="s">
        <v>30</v>
      </c>
      <c r="H404" s="67">
        <v>0</v>
      </c>
      <c r="I404" s="37">
        <f t="shared" si="111"/>
        <v>0</v>
      </c>
    </row>
    <row r="405" spans="1:9" x14ac:dyDescent="0.2">
      <c r="A405" s="25">
        <f>IF(F405=0,"",1+MAX(A$19:A404))</f>
        <v>301</v>
      </c>
      <c r="B405" s="175"/>
      <c r="C405" s="176"/>
      <c r="D405" s="95"/>
      <c r="E405" s="108" t="s">
        <v>405</v>
      </c>
      <c r="F405" s="56">
        <v>307</v>
      </c>
      <c r="G405" s="56" t="s">
        <v>30</v>
      </c>
      <c r="H405" s="67">
        <v>0</v>
      </c>
      <c r="I405" s="37">
        <f t="shared" si="111"/>
        <v>0</v>
      </c>
    </row>
    <row r="406" spans="1:9" x14ac:dyDescent="0.2">
      <c r="A406" s="25">
        <f>IF(F406=0,"",1+MAX(A$19:A405))</f>
        <v>302</v>
      </c>
      <c r="B406" s="175"/>
      <c r="C406" s="176"/>
      <c r="D406" s="95"/>
      <c r="E406" s="108" t="s">
        <v>406</v>
      </c>
      <c r="F406" s="56">
        <v>373</v>
      </c>
      <c r="G406" s="56" t="s">
        <v>30</v>
      </c>
      <c r="H406" s="67">
        <v>0</v>
      </c>
      <c r="I406" s="37">
        <f t="shared" si="111"/>
        <v>0</v>
      </c>
    </row>
    <row r="407" spans="1:9" x14ac:dyDescent="0.2">
      <c r="A407" s="25">
        <f>IF(F407=0,"",1+MAX(A$19:A406))</f>
        <v>303</v>
      </c>
      <c r="B407" s="175"/>
      <c r="C407" s="176"/>
      <c r="D407" s="95"/>
      <c r="E407" s="108" t="s">
        <v>407</v>
      </c>
      <c r="F407" s="56">
        <v>143</v>
      </c>
      <c r="G407" s="56" t="s">
        <v>30</v>
      </c>
      <c r="H407" s="67">
        <v>0</v>
      </c>
      <c r="I407" s="37">
        <f t="shared" si="111"/>
        <v>0</v>
      </c>
    </row>
    <row r="408" spans="1:9" x14ac:dyDescent="0.2">
      <c r="A408" s="25">
        <f>IF(F408=0,"",1+MAX(A$19:A407))</f>
        <v>304</v>
      </c>
      <c r="B408" s="175"/>
      <c r="C408" s="176"/>
      <c r="D408" s="95"/>
      <c r="E408" s="108" t="s">
        <v>408</v>
      </c>
      <c r="F408" s="56">
        <v>61</v>
      </c>
      <c r="G408" s="56" t="s">
        <v>30</v>
      </c>
      <c r="H408" s="67">
        <v>0</v>
      </c>
      <c r="I408" s="37">
        <f t="shared" si="111"/>
        <v>0</v>
      </c>
    </row>
    <row r="409" spans="1:9" x14ac:dyDescent="0.2">
      <c r="A409" s="25">
        <f>IF(F409=0,"",1+MAX(A$19:A408))</f>
        <v>305</v>
      </c>
      <c r="B409" s="175"/>
      <c r="C409" s="176"/>
      <c r="D409" s="95"/>
      <c r="E409" s="108" t="s">
        <v>409</v>
      </c>
      <c r="F409" s="56">
        <v>138</v>
      </c>
      <c r="G409" s="56" t="s">
        <v>30</v>
      </c>
      <c r="H409" s="67">
        <v>0</v>
      </c>
      <c r="I409" s="37">
        <f t="shared" si="111"/>
        <v>0</v>
      </c>
    </row>
    <row r="410" spans="1:9" x14ac:dyDescent="0.2">
      <c r="A410" s="25">
        <f>IF(F410=0,"",1+MAX(A$19:A409))</f>
        <v>306</v>
      </c>
      <c r="B410" s="175"/>
      <c r="C410" s="176"/>
      <c r="D410" s="95"/>
      <c r="E410" s="108" t="s">
        <v>410</v>
      </c>
      <c r="F410" s="56">
        <v>124</v>
      </c>
      <c r="G410" s="56" t="s">
        <v>30</v>
      </c>
      <c r="H410" s="67">
        <v>0</v>
      </c>
      <c r="I410" s="37">
        <f t="shared" si="111"/>
        <v>0</v>
      </c>
    </row>
    <row r="411" spans="1:9" x14ac:dyDescent="0.2">
      <c r="A411" s="25">
        <f>IF(F411=0,"",1+MAX(A$19:A410))</f>
        <v>307</v>
      </c>
      <c r="B411" s="175"/>
      <c r="C411" s="176"/>
      <c r="D411" s="95"/>
      <c r="E411" s="108" t="s">
        <v>411</v>
      </c>
      <c r="F411" s="56">
        <v>442</v>
      </c>
      <c r="G411" s="56" t="s">
        <v>30</v>
      </c>
      <c r="H411" s="67">
        <v>0</v>
      </c>
      <c r="I411" s="37">
        <f t="shared" si="111"/>
        <v>0</v>
      </c>
    </row>
    <row r="412" spans="1:9" x14ac:dyDescent="0.2">
      <c r="A412" s="25">
        <f>IF(F412=0,"",1+MAX(A$19:A411))</f>
        <v>308</v>
      </c>
      <c r="B412" s="175"/>
      <c r="C412" s="176"/>
      <c r="D412" s="95"/>
      <c r="E412" s="108" t="s">
        <v>412</v>
      </c>
      <c r="F412" s="56">
        <v>3465</v>
      </c>
      <c r="G412" s="56" t="s">
        <v>30</v>
      </c>
      <c r="H412" s="67">
        <v>0</v>
      </c>
      <c r="I412" s="37">
        <f t="shared" si="111"/>
        <v>0</v>
      </c>
    </row>
    <row r="413" spans="1:9" x14ac:dyDescent="0.2">
      <c r="A413" s="25">
        <f>IF(F413=0,"",1+MAX(A$19:A412))</f>
        <v>309</v>
      </c>
      <c r="B413" s="175"/>
      <c r="C413" s="176"/>
      <c r="D413" s="95"/>
      <c r="E413" s="108" t="s">
        <v>413</v>
      </c>
      <c r="F413" s="56">
        <v>543</v>
      </c>
      <c r="G413" s="56" t="s">
        <v>30</v>
      </c>
      <c r="H413" s="67">
        <v>0</v>
      </c>
      <c r="I413" s="37">
        <f t="shared" si="111"/>
        <v>0</v>
      </c>
    </row>
    <row r="414" spans="1:9" x14ac:dyDescent="0.2">
      <c r="A414" s="25">
        <f>IF(F414=0,"",1+MAX(A$19:A413))</f>
        <v>310</v>
      </c>
      <c r="B414" s="175"/>
      <c r="C414" s="176"/>
      <c r="D414" s="95"/>
      <c r="E414" s="108" t="s">
        <v>414</v>
      </c>
      <c r="F414" s="56">
        <v>390</v>
      </c>
      <c r="G414" s="56" t="s">
        <v>30</v>
      </c>
      <c r="H414" s="67">
        <v>0</v>
      </c>
      <c r="I414" s="37">
        <f t="shared" si="111"/>
        <v>0</v>
      </c>
    </row>
    <row r="415" spans="1:9" x14ac:dyDescent="0.2">
      <c r="A415" s="25">
        <f>IF(F415=0,"",1+MAX(A$19:A414))</f>
        <v>311</v>
      </c>
      <c r="B415" s="175"/>
      <c r="C415" s="176"/>
      <c r="D415" s="95"/>
      <c r="E415" s="108" t="s">
        <v>415</v>
      </c>
      <c r="F415" s="56">
        <v>70</v>
      </c>
      <c r="G415" s="56" t="s">
        <v>30</v>
      </c>
      <c r="H415" s="67">
        <v>0</v>
      </c>
      <c r="I415" s="37">
        <f t="shared" si="111"/>
        <v>0</v>
      </c>
    </row>
    <row r="416" spans="1:9" x14ac:dyDescent="0.2">
      <c r="A416" s="25">
        <f>IF(F416=0,"",1+MAX(A$19:A415))</f>
        <v>312</v>
      </c>
      <c r="B416" s="175"/>
      <c r="C416" s="176"/>
      <c r="D416" s="95"/>
      <c r="E416" s="108" t="s">
        <v>416</v>
      </c>
      <c r="F416" s="56">
        <v>58</v>
      </c>
      <c r="G416" s="56" t="s">
        <v>30</v>
      </c>
      <c r="H416" s="67">
        <v>0</v>
      </c>
      <c r="I416" s="37">
        <f t="shared" si="111"/>
        <v>0</v>
      </c>
    </row>
    <row r="417" spans="1:9" x14ac:dyDescent="0.2">
      <c r="A417" s="25">
        <f>IF(F417=0,"",1+MAX(A$19:A416))</f>
        <v>313</v>
      </c>
      <c r="B417" s="175"/>
      <c r="C417" s="176"/>
      <c r="D417" s="95"/>
      <c r="E417" s="108" t="s">
        <v>417</v>
      </c>
      <c r="F417" s="56">
        <v>73</v>
      </c>
      <c r="G417" s="56" t="s">
        <v>30</v>
      </c>
      <c r="H417" s="67">
        <v>0</v>
      </c>
      <c r="I417" s="37">
        <f t="shared" si="111"/>
        <v>0</v>
      </c>
    </row>
    <row r="418" spans="1:9" x14ac:dyDescent="0.2">
      <c r="A418" s="25">
        <f>IF(F418=0,"",1+MAX(A$19:A417))</f>
        <v>314</v>
      </c>
      <c r="B418" s="175"/>
      <c r="C418" s="176"/>
      <c r="D418" s="95"/>
      <c r="E418" s="108" t="s">
        <v>418</v>
      </c>
      <c r="F418" s="56">
        <v>292</v>
      </c>
      <c r="G418" s="56" t="s">
        <v>30</v>
      </c>
      <c r="H418" s="67">
        <v>0</v>
      </c>
      <c r="I418" s="37">
        <f t="shared" ref="I418" si="112">F418*H418</f>
        <v>0</v>
      </c>
    </row>
    <row r="419" spans="1:9" x14ac:dyDescent="0.2">
      <c r="A419" s="25">
        <f>IF(F419=0,"",1+MAX(A$19:A418))</f>
        <v>315</v>
      </c>
      <c r="B419" s="175"/>
      <c r="C419" s="176"/>
      <c r="D419" s="95"/>
      <c r="E419" s="108" t="s">
        <v>419</v>
      </c>
      <c r="F419" s="56">
        <v>326</v>
      </c>
      <c r="G419" s="56" t="s">
        <v>30</v>
      </c>
      <c r="H419" s="67">
        <v>0</v>
      </c>
      <c r="I419" s="37">
        <f t="shared" ref="I419" si="113">F419*H419</f>
        <v>0</v>
      </c>
    </row>
    <row r="420" spans="1:9" x14ac:dyDescent="0.2">
      <c r="A420" s="25" t="str">
        <f>IF(F420=0,"",1+MAX(A$19:A419))</f>
        <v/>
      </c>
      <c r="B420" s="175"/>
      <c r="C420" s="176"/>
      <c r="D420" s="95"/>
      <c r="E420" s="60" t="s">
        <v>94</v>
      </c>
      <c r="F420" s="55"/>
      <c r="G420" s="56"/>
      <c r="H420" s="67"/>
      <c r="I420" s="37"/>
    </row>
    <row r="421" spans="1:9" x14ac:dyDescent="0.2">
      <c r="A421" s="25">
        <f>IF(F421=0,"",1+MAX(A$19:A420))</f>
        <v>316</v>
      </c>
      <c r="B421" s="175"/>
      <c r="C421" s="176"/>
      <c r="D421" s="95"/>
      <c r="E421" s="108" t="s">
        <v>420</v>
      </c>
      <c r="F421" s="56">
        <v>1065</v>
      </c>
      <c r="G421" s="56" t="s">
        <v>30</v>
      </c>
      <c r="H421" s="67">
        <v>0</v>
      </c>
      <c r="I421" s="37">
        <f t="shared" ref="I421" si="114">F421*H421</f>
        <v>0</v>
      </c>
    </row>
    <row r="422" spans="1:9" x14ac:dyDescent="0.2">
      <c r="A422" s="25">
        <f>IF(F422=0,"",1+MAX(A$19:A421))</f>
        <v>317</v>
      </c>
      <c r="B422" s="175"/>
      <c r="C422" s="176"/>
      <c r="D422" s="95"/>
      <c r="E422" s="108" t="s">
        <v>421</v>
      </c>
      <c r="F422" s="56">
        <v>147</v>
      </c>
      <c r="G422" s="56" t="s">
        <v>30</v>
      </c>
      <c r="H422" s="67">
        <v>0</v>
      </c>
      <c r="I422" s="37">
        <f t="shared" ref="I422" si="115">F422*H422</f>
        <v>0</v>
      </c>
    </row>
    <row r="423" spans="1:9" x14ac:dyDescent="0.2">
      <c r="A423" s="25">
        <f>IF(F423=0,"",1+MAX(A$19:A422))</f>
        <v>318</v>
      </c>
      <c r="B423" s="175"/>
      <c r="C423" s="176"/>
      <c r="D423" s="95"/>
      <c r="E423" s="108" t="s">
        <v>422</v>
      </c>
      <c r="F423" s="56">
        <v>2212</v>
      </c>
      <c r="G423" s="56" t="s">
        <v>30</v>
      </c>
      <c r="H423" s="67">
        <v>0</v>
      </c>
      <c r="I423" s="37">
        <f t="shared" ref="I423" si="116">F423*H423</f>
        <v>0</v>
      </c>
    </row>
    <row r="424" spans="1:9" x14ac:dyDescent="0.2">
      <c r="A424" s="25">
        <f>IF(F424=0,"",1+MAX(A$19:A423))</f>
        <v>319</v>
      </c>
      <c r="B424" s="175"/>
      <c r="C424" s="176"/>
      <c r="D424" s="95"/>
      <c r="E424" s="108" t="s">
        <v>423</v>
      </c>
      <c r="F424" s="56">
        <v>124</v>
      </c>
      <c r="G424" s="56" t="s">
        <v>30</v>
      </c>
      <c r="H424" s="67">
        <v>0</v>
      </c>
      <c r="I424" s="37">
        <f t="shared" ref="I424:I438" si="117">F424*H424</f>
        <v>0</v>
      </c>
    </row>
    <row r="425" spans="1:9" x14ac:dyDescent="0.2">
      <c r="A425" s="25">
        <f>IF(F425=0,"",1+MAX(A$19:A424))</f>
        <v>320</v>
      </c>
      <c r="B425" s="175"/>
      <c r="C425" s="176"/>
      <c r="D425" s="95"/>
      <c r="E425" s="108" t="s">
        <v>424</v>
      </c>
      <c r="F425" s="56">
        <v>202</v>
      </c>
      <c r="G425" s="56" t="s">
        <v>30</v>
      </c>
      <c r="H425" s="67">
        <v>0</v>
      </c>
      <c r="I425" s="37">
        <f t="shared" si="117"/>
        <v>0</v>
      </c>
    </row>
    <row r="426" spans="1:9" x14ac:dyDescent="0.2">
      <c r="A426" s="25">
        <f>IF(F426=0,"",1+MAX(A$19:A425))</f>
        <v>321</v>
      </c>
      <c r="B426" s="175"/>
      <c r="C426" s="176"/>
      <c r="D426" s="95"/>
      <c r="E426" s="108" t="s">
        <v>425</v>
      </c>
      <c r="F426" s="56">
        <v>58</v>
      </c>
      <c r="G426" s="56" t="s">
        <v>30</v>
      </c>
      <c r="H426" s="67">
        <v>0</v>
      </c>
      <c r="I426" s="37">
        <f t="shared" si="117"/>
        <v>0</v>
      </c>
    </row>
    <row r="427" spans="1:9" x14ac:dyDescent="0.2">
      <c r="A427" s="25">
        <f>IF(F427=0,"",1+MAX(A$19:A426))</f>
        <v>322</v>
      </c>
      <c r="B427" s="175"/>
      <c r="C427" s="176"/>
      <c r="D427" s="95"/>
      <c r="E427" s="108" t="s">
        <v>426</v>
      </c>
      <c r="F427" s="56">
        <v>162</v>
      </c>
      <c r="G427" s="56" t="s">
        <v>30</v>
      </c>
      <c r="H427" s="67">
        <v>0</v>
      </c>
      <c r="I427" s="37">
        <f t="shared" si="117"/>
        <v>0</v>
      </c>
    </row>
    <row r="428" spans="1:9" x14ac:dyDescent="0.2">
      <c r="A428" s="25">
        <f>IF(F428=0,"",1+MAX(A$19:A427))</f>
        <v>323</v>
      </c>
      <c r="B428" s="175"/>
      <c r="C428" s="176"/>
      <c r="D428" s="95"/>
      <c r="E428" s="108" t="s">
        <v>427</v>
      </c>
      <c r="F428" s="56">
        <v>1477</v>
      </c>
      <c r="G428" s="56" t="s">
        <v>30</v>
      </c>
      <c r="H428" s="67">
        <v>0</v>
      </c>
      <c r="I428" s="37">
        <f t="shared" si="117"/>
        <v>0</v>
      </c>
    </row>
    <row r="429" spans="1:9" x14ac:dyDescent="0.2">
      <c r="A429" s="25">
        <f>IF(F429=0,"",1+MAX(A$19:A428))</f>
        <v>324</v>
      </c>
      <c r="B429" s="175"/>
      <c r="C429" s="176"/>
      <c r="D429" s="95"/>
      <c r="E429" s="108" t="s">
        <v>428</v>
      </c>
      <c r="F429" s="56">
        <v>727</v>
      </c>
      <c r="G429" s="56" t="s">
        <v>30</v>
      </c>
      <c r="H429" s="67">
        <v>0</v>
      </c>
      <c r="I429" s="37">
        <f t="shared" si="117"/>
        <v>0</v>
      </c>
    </row>
    <row r="430" spans="1:9" x14ac:dyDescent="0.2">
      <c r="A430" s="25">
        <f>IF(F430=0,"",1+MAX(A$19:A429))</f>
        <v>325</v>
      </c>
      <c r="B430" s="175"/>
      <c r="C430" s="176"/>
      <c r="D430" s="95"/>
      <c r="E430" s="108" t="s">
        <v>429</v>
      </c>
      <c r="F430" s="56">
        <v>109</v>
      </c>
      <c r="G430" s="56" t="s">
        <v>30</v>
      </c>
      <c r="H430" s="67">
        <v>0</v>
      </c>
      <c r="I430" s="37">
        <f t="shared" si="117"/>
        <v>0</v>
      </c>
    </row>
    <row r="431" spans="1:9" x14ac:dyDescent="0.2">
      <c r="A431" s="25">
        <f>IF(F431=0,"",1+MAX(A$19:A430))</f>
        <v>326</v>
      </c>
      <c r="B431" s="175"/>
      <c r="C431" s="176"/>
      <c r="D431" s="95"/>
      <c r="E431" s="108" t="s">
        <v>430</v>
      </c>
      <c r="F431" s="56">
        <v>422</v>
      </c>
      <c r="G431" s="56" t="s">
        <v>30</v>
      </c>
      <c r="H431" s="67">
        <v>0</v>
      </c>
      <c r="I431" s="37">
        <f t="shared" si="117"/>
        <v>0</v>
      </c>
    </row>
    <row r="432" spans="1:9" x14ac:dyDescent="0.2">
      <c r="A432" s="25">
        <f>IF(F432=0,"",1+MAX(A$19:A431))</f>
        <v>327</v>
      </c>
      <c r="B432" s="175"/>
      <c r="C432" s="176"/>
      <c r="D432" s="95"/>
      <c r="E432" s="108" t="s">
        <v>431</v>
      </c>
      <c r="F432" s="56">
        <v>119</v>
      </c>
      <c r="G432" s="56" t="s">
        <v>30</v>
      </c>
      <c r="H432" s="67">
        <v>0</v>
      </c>
      <c r="I432" s="37">
        <f t="shared" si="117"/>
        <v>0</v>
      </c>
    </row>
    <row r="433" spans="1:9" x14ac:dyDescent="0.2">
      <c r="A433" s="25">
        <f>IF(F433=0,"",1+MAX(A$19:A432))</f>
        <v>328</v>
      </c>
      <c r="B433" s="175"/>
      <c r="C433" s="176"/>
      <c r="D433" s="95"/>
      <c r="E433" s="108" t="s">
        <v>432</v>
      </c>
      <c r="F433" s="56">
        <v>409</v>
      </c>
      <c r="G433" s="56" t="s">
        <v>30</v>
      </c>
      <c r="H433" s="67">
        <v>0</v>
      </c>
      <c r="I433" s="37">
        <f t="shared" si="117"/>
        <v>0</v>
      </c>
    </row>
    <row r="434" spans="1:9" x14ac:dyDescent="0.2">
      <c r="A434" s="25">
        <f>IF(F434=0,"",1+MAX(A$19:A433))</f>
        <v>329</v>
      </c>
      <c r="B434" s="175"/>
      <c r="C434" s="176"/>
      <c r="D434" s="95"/>
      <c r="E434" s="108" t="s">
        <v>433</v>
      </c>
      <c r="F434" s="56">
        <v>60</v>
      </c>
      <c r="G434" s="56" t="s">
        <v>30</v>
      </c>
      <c r="H434" s="67">
        <v>0</v>
      </c>
      <c r="I434" s="37">
        <f t="shared" si="117"/>
        <v>0</v>
      </c>
    </row>
    <row r="435" spans="1:9" x14ac:dyDescent="0.2">
      <c r="A435" s="25">
        <f>IF(F435=0,"",1+MAX(A$19:A434))</f>
        <v>330</v>
      </c>
      <c r="B435" s="175"/>
      <c r="C435" s="176"/>
      <c r="D435" s="95"/>
      <c r="E435" s="108" t="s">
        <v>434</v>
      </c>
      <c r="F435" s="56">
        <v>60</v>
      </c>
      <c r="G435" s="56" t="s">
        <v>30</v>
      </c>
      <c r="H435" s="67">
        <v>0</v>
      </c>
      <c r="I435" s="37">
        <f t="shared" si="117"/>
        <v>0</v>
      </c>
    </row>
    <row r="436" spans="1:9" x14ac:dyDescent="0.2">
      <c r="A436" s="25">
        <f>IF(F436=0,"",1+MAX(A$19:A435))</f>
        <v>331</v>
      </c>
      <c r="B436" s="175"/>
      <c r="C436" s="176"/>
      <c r="D436" s="95"/>
      <c r="E436" s="108" t="s">
        <v>436</v>
      </c>
      <c r="F436" s="56">
        <v>101</v>
      </c>
      <c r="G436" s="56" t="s">
        <v>30</v>
      </c>
      <c r="H436" s="67">
        <v>0</v>
      </c>
      <c r="I436" s="37">
        <f t="shared" si="117"/>
        <v>0</v>
      </c>
    </row>
    <row r="437" spans="1:9" x14ac:dyDescent="0.2">
      <c r="A437" s="25">
        <f>IF(F437=0,"",1+MAX(A$19:A436))</f>
        <v>332</v>
      </c>
      <c r="B437" s="175"/>
      <c r="C437" s="176"/>
      <c r="D437" s="95"/>
      <c r="E437" s="108" t="s">
        <v>435</v>
      </c>
      <c r="F437" s="56">
        <v>182</v>
      </c>
      <c r="G437" s="56" t="s">
        <v>30</v>
      </c>
      <c r="H437" s="67">
        <v>0</v>
      </c>
      <c r="I437" s="37">
        <f t="shared" si="117"/>
        <v>0</v>
      </c>
    </row>
    <row r="438" spans="1:9" x14ac:dyDescent="0.2">
      <c r="A438" s="25">
        <f>IF(F438=0,"",1+MAX(A$19:A437))</f>
        <v>333</v>
      </c>
      <c r="B438" s="175"/>
      <c r="C438" s="176"/>
      <c r="D438" s="95"/>
      <c r="E438" s="108" t="s">
        <v>437</v>
      </c>
      <c r="F438" s="56">
        <v>181</v>
      </c>
      <c r="G438" s="56" t="s">
        <v>30</v>
      </c>
      <c r="H438" s="67">
        <v>0</v>
      </c>
      <c r="I438" s="37">
        <f t="shared" si="117"/>
        <v>0</v>
      </c>
    </row>
    <row r="439" spans="1:9" x14ac:dyDescent="0.2">
      <c r="A439" s="25" t="str">
        <f>IF(F439=0,"",1+MAX(A$19:A438))</f>
        <v/>
      </c>
      <c r="B439" s="175"/>
      <c r="C439" s="176"/>
      <c r="D439" s="95"/>
      <c r="E439" s="60" t="s">
        <v>95</v>
      </c>
      <c r="F439" s="55"/>
      <c r="G439" s="56"/>
      <c r="H439" s="70"/>
      <c r="I439" s="37"/>
    </row>
    <row r="440" spans="1:9" x14ac:dyDescent="0.2">
      <c r="A440" s="25">
        <f>IF(F440=0,"",1+MAX(A$19:A439))</f>
        <v>334</v>
      </c>
      <c r="B440" s="175"/>
      <c r="C440" s="176"/>
      <c r="D440" s="95"/>
      <c r="E440" s="108" t="s">
        <v>438</v>
      </c>
      <c r="F440" s="56">
        <v>971</v>
      </c>
      <c r="G440" s="56" t="s">
        <v>30</v>
      </c>
      <c r="H440" s="67">
        <v>0</v>
      </c>
      <c r="I440" s="37">
        <f t="shared" ref="I440:I447" si="118">F440*H440</f>
        <v>0</v>
      </c>
    </row>
    <row r="441" spans="1:9" x14ac:dyDescent="0.2">
      <c r="A441" s="25">
        <f>IF(F441=0,"",1+MAX(A$19:A440))</f>
        <v>335</v>
      </c>
      <c r="B441" s="175"/>
      <c r="C441" s="176"/>
      <c r="D441" s="95"/>
      <c r="E441" s="108" t="s">
        <v>439</v>
      </c>
      <c r="F441" s="56">
        <v>488</v>
      </c>
      <c r="G441" s="56" t="s">
        <v>30</v>
      </c>
      <c r="H441" s="67">
        <v>0</v>
      </c>
      <c r="I441" s="37">
        <f t="shared" si="118"/>
        <v>0</v>
      </c>
    </row>
    <row r="442" spans="1:9" x14ac:dyDescent="0.2">
      <c r="A442" s="25">
        <f>IF(F442=0,"",1+MAX(A$19:A441))</f>
        <v>336</v>
      </c>
      <c r="B442" s="175"/>
      <c r="C442" s="176"/>
      <c r="D442" s="95"/>
      <c r="E442" s="108" t="s">
        <v>440</v>
      </c>
      <c r="F442" s="56">
        <v>200</v>
      </c>
      <c r="G442" s="56" t="s">
        <v>30</v>
      </c>
      <c r="H442" s="67">
        <v>0</v>
      </c>
      <c r="I442" s="37">
        <f t="shared" si="118"/>
        <v>0</v>
      </c>
    </row>
    <row r="443" spans="1:9" x14ac:dyDescent="0.2">
      <c r="A443" s="25">
        <f>IF(F443=0,"",1+MAX(A$19:A442))</f>
        <v>337</v>
      </c>
      <c r="B443" s="175"/>
      <c r="C443" s="176"/>
      <c r="D443" s="95"/>
      <c r="E443" s="108" t="s">
        <v>425</v>
      </c>
      <c r="F443" s="56">
        <v>73</v>
      </c>
      <c r="G443" s="56" t="s">
        <v>30</v>
      </c>
      <c r="H443" s="67">
        <v>0</v>
      </c>
      <c r="I443" s="37">
        <f t="shared" si="118"/>
        <v>0</v>
      </c>
    </row>
    <row r="444" spans="1:9" x14ac:dyDescent="0.2">
      <c r="A444" s="25">
        <f>IF(F444=0,"",1+MAX(A$19:A443))</f>
        <v>338</v>
      </c>
      <c r="B444" s="175"/>
      <c r="C444" s="176"/>
      <c r="D444" s="95"/>
      <c r="E444" s="108" t="s">
        <v>441</v>
      </c>
      <c r="F444" s="56">
        <v>911</v>
      </c>
      <c r="G444" s="56" t="s">
        <v>30</v>
      </c>
      <c r="H444" s="67">
        <v>0</v>
      </c>
      <c r="I444" s="37">
        <f t="shared" si="118"/>
        <v>0</v>
      </c>
    </row>
    <row r="445" spans="1:9" x14ac:dyDescent="0.2">
      <c r="A445" s="25">
        <f>IF(F445=0,"",1+MAX(A$19:A444))</f>
        <v>339</v>
      </c>
      <c r="B445" s="175"/>
      <c r="C445" s="176"/>
      <c r="D445" s="95"/>
      <c r="E445" s="108" t="s">
        <v>442</v>
      </c>
      <c r="F445" s="56">
        <v>443</v>
      </c>
      <c r="G445" s="56" t="s">
        <v>30</v>
      </c>
      <c r="H445" s="67">
        <v>0</v>
      </c>
      <c r="I445" s="37">
        <f t="shared" si="118"/>
        <v>0</v>
      </c>
    </row>
    <row r="446" spans="1:9" x14ac:dyDescent="0.2">
      <c r="A446" s="25">
        <f>IF(F446=0,"",1+MAX(A$19:A445))</f>
        <v>340</v>
      </c>
      <c r="B446" s="175"/>
      <c r="C446" s="176"/>
      <c r="D446" s="95"/>
      <c r="E446" s="108" t="s">
        <v>443</v>
      </c>
      <c r="F446" s="56">
        <v>189</v>
      </c>
      <c r="G446" s="56" t="s">
        <v>30</v>
      </c>
      <c r="H446" s="67">
        <v>0</v>
      </c>
      <c r="I446" s="37">
        <f t="shared" si="118"/>
        <v>0</v>
      </c>
    </row>
    <row r="447" spans="1:9" x14ac:dyDescent="0.2">
      <c r="A447" s="25">
        <f>IF(F447=0,"",1+MAX(A$19:A446))</f>
        <v>341</v>
      </c>
      <c r="B447" s="175"/>
      <c r="C447" s="176"/>
      <c r="D447" s="95"/>
      <c r="E447" s="108" t="s">
        <v>131</v>
      </c>
      <c r="F447" s="56">
        <v>301</v>
      </c>
      <c r="G447" s="56" t="s">
        <v>30</v>
      </c>
      <c r="H447" s="67">
        <v>0</v>
      </c>
      <c r="I447" s="37">
        <f t="shared" si="118"/>
        <v>0</v>
      </c>
    </row>
    <row r="448" spans="1:9" x14ac:dyDescent="0.2">
      <c r="A448" s="25" t="str">
        <f>IF(F448=0,"",1+MAX(A$19:A447))</f>
        <v/>
      </c>
      <c r="B448" s="175"/>
      <c r="C448" s="176"/>
      <c r="D448" s="95"/>
      <c r="E448" s="105" t="s">
        <v>133</v>
      </c>
      <c r="F448" s="55"/>
      <c r="G448" s="56"/>
      <c r="H448" s="67"/>
      <c r="I448" s="37"/>
    </row>
    <row r="449" spans="1:9" x14ac:dyDescent="0.2">
      <c r="A449" s="25" t="str">
        <f>IF(F449=0,"",1+MAX(A$19:A448))</f>
        <v/>
      </c>
      <c r="B449" s="175"/>
      <c r="C449" s="176"/>
      <c r="D449" s="95"/>
      <c r="E449" s="60" t="s">
        <v>91</v>
      </c>
      <c r="F449" s="55"/>
      <c r="G449" s="56"/>
      <c r="H449" s="67"/>
      <c r="I449" s="37"/>
    </row>
    <row r="450" spans="1:9" x14ac:dyDescent="0.2">
      <c r="A450" s="25">
        <f>IF(F450=0,"",1+MAX(A$19:A449))</f>
        <v>342</v>
      </c>
      <c r="B450" s="175"/>
      <c r="C450" s="176"/>
      <c r="D450" s="95"/>
      <c r="E450" s="108" t="s">
        <v>444</v>
      </c>
      <c r="F450" s="56">
        <v>989</v>
      </c>
      <c r="G450" s="56" t="s">
        <v>30</v>
      </c>
      <c r="H450" s="67">
        <v>0</v>
      </c>
      <c r="I450" s="37">
        <f t="shared" ref="I450:I451" si="119">F450*H450</f>
        <v>0</v>
      </c>
    </row>
    <row r="451" spans="1:9" x14ac:dyDescent="0.2">
      <c r="A451" s="25">
        <f>IF(F451=0,"",1+MAX(A$19:A450))</f>
        <v>343</v>
      </c>
      <c r="B451" s="175"/>
      <c r="C451" s="176"/>
      <c r="D451" s="95"/>
      <c r="E451" s="108" t="s">
        <v>445</v>
      </c>
      <c r="F451" s="56">
        <v>83</v>
      </c>
      <c r="G451" s="56" t="s">
        <v>30</v>
      </c>
      <c r="H451" s="67">
        <v>0</v>
      </c>
      <c r="I451" s="37">
        <f t="shared" si="119"/>
        <v>0</v>
      </c>
    </row>
    <row r="452" spans="1:9" x14ac:dyDescent="0.2">
      <c r="A452" s="25">
        <f>IF(F452=0,"",1+MAX(A$19:A451))</f>
        <v>344</v>
      </c>
      <c r="B452" s="175"/>
      <c r="C452" s="176"/>
      <c r="D452" s="95"/>
      <c r="E452" s="108" t="s">
        <v>446</v>
      </c>
      <c r="F452" s="56">
        <v>295</v>
      </c>
      <c r="G452" s="56" t="s">
        <v>30</v>
      </c>
      <c r="H452" s="67">
        <v>0</v>
      </c>
      <c r="I452" s="37">
        <f t="shared" ref="I452:I454" si="120">F452*H452</f>
        <v>0</v>
      </c>
    </row>
    <row r="453" spans="1:9" x14ac:dyDescent="0.2">
      <c r="A453" s="25">
        <f>IF(F453=0,"",1+MAX(A$19:A452))</f>
        <v>345</v>
      </c>
      <c r="B453" s="175"/>
      <c r="C453" s="176"/>
      <c r="D453" s="95"/>
      <c r="E453" s="108" t="s">
        <v>447</v>
      </c>
      <c r="F453" s="56">
        <v>404</v>
      </c>
      <c r="G453" s="56" t="s">
        <v>30</v>
      </c>
      <c r="H453" s="67">
        <v>0</v>
      </c>
      <c r="I453" s="37">
        <f t="shared" si="120"/>
        <v>0</v>
      </c>
    </row>
    <row r="454" spans="1:9" x14ac:dyDescent="0.2">
      <c r="A454" s="25">
        <f>IF(F454=0,"",1+MAX(A$19:A453))</f>
        <v>346</v>
      </c>
      <c r="B454" s="175"/>
      <c r="C454" s="176"/>
      <c r="D454" s="95"/>
      <c r="E454" s="108" t="s">
        <v>448</v>
      </c>
      <c r="F454" s="56">
        <v>243</v>
      </c>
      <c r="G454" s="56" t="s">
        <v>30</v>
      </c>
      <c r="H454" s="67">
        <v>0</v>
      </c>
      <c r="I454" s="37">
        <f t="shared" si="120"/>
        <v>0</v>
      </c>
    </row>
    <row r="455" spans="1:9" x14ac:dyDescent="0.2">
      <c r="A455" s="25">
        <f>IF(F455=0,"",1+MAX(A$19:A454))</f>
        <v>347</v>
      </c>
      <c r="B455" s="175"/>
      <c r="C455" s="176"/>
      <c r="D455" s="95"/>
      <c r="E455" s="108" t="s">
        <v>449</v>
      </c>
      <c r="F455" s="56">
        <v>51</v>
      </c>
      <c r="G455" s="56" t="s">
        <v>30</v>
      </c>
      <c r="H455" s="67">
        <v>0</v>
      </c>
      <c r="I455" s="37">
        <f t="shared" ref="I455:I458" si="121">F455*H455</f>
        <v>0</v>
      </c>
    </row>
    <row r="456" spans="1:9" x14ac:dyDescent="0.2">
      <c r="A456" s="25">
        <f>IF(F456=0,"",1+MAX(A$19:A455))</f>
        <v>348</v>
      </c>
      <c r="B456" s="175"/>
      <c r="C456" s="176"/>
      <c r="D456" s="95"/>
      <c r="E456" s="108" t="s">
        <v>450</v>
      </c>
      <c r="F456" s="56">
        <v>62</v>
      </c>
      <c r="G456" s="56" t="s">
        <v>30</v>
      </c>
      <c r="H456" s="67">
        <v>0</v>
      </c>
      <c r="I456" s="37">
        <f t="shared" si="121"/>
        <v>0</v>
      </c>
    </row>
    <row r="457" spans="1:9" x14ac:dyDescent="0.2">
      <c r="A457" s="25">
        <f>IF(F457=0,"",1+MAX(A$19:A456))</f>
        <v>349</v>
      </c>
      <c r="B457" s="175"/>
      <c r="C457" s="176"/>
      <c r="D457" s="95"/>
      <c r="E457" s="108" t="s">
        <v>451</v>
      </c>
      <c r="F457" s="56">
        <v>371</v>
      </c>
      <c r="G457" s="56" t="s">
        <v>30</v>
      </c>
      <c r="H457" s="67">
        <v>0</v>
      </c>
      <c r="I457" s="37">
        <f t="shared" si="121"/>
        <v>0</v>
      </c>
    </row>
    <row r="458" spans="1:9" x14ac:dyDescent="0.2">
      <c r="A458" s="25">
        <f>IF(F458=0,"",1+MAX(A$19:A457))</f>
        <v>350</v>
      </c>
      <c r="B458" s="175"/>
      <c r="C458" s="176"/>
      <c r="D458" s="95"/>
      <c r="E458" s="108" t="s">
        <v>452</v>
      </c>
      <c r="F458" s="56">
        <v>440</v>
      </c>
      <c r="G458" s="56" t="s">
        <v>30</v>
      </c>
      <c r="H458" s="67">
        <v>0</v>
      </c>
      <c r="I458" s="37">
        <f t="shared" si="121"/>
        <v>0</v>
      </c>
    </row>
    <row r="459" spans="1:9" x14ac:dyDescent="0.2">
      <c r="A459" s="25">
        <f>IF(F459=0,"",1+MAX(A$19:A458))</f>
        <v>351</v>
      </c>
      <c r="B459" s="175"/>
      <c r="C459" s="176"/>
      <c r="D459" s="95"/>
      <c r="E459" s="108" t="s">
        <v>453</v>
      </c>
      <c r="F459" s="56">
        <v>310</v>
      </c>
      <c r="G459" s="56" t="s">
        <v>30</v>
      </c>
      <c r="H459" s="67">
        <v>0</v>
      </c>
      <c r="I459" s="37">
        <f t="shared" ref="I459:I461" si="122">F459*H459</f>
        <v>0</v>
      </c>
    </row>
    <row r="460" spans="1:9" x14ac:dyDescent="0.2">
      <c r="A460" s="25">
        <f>IF(F460=0,"",1+MAX(A$19:A459))</f>
        <v>352</v>
      </c>
      <c r="B460" s="175"/>
      <c r="C460" s="176"/>
      <c r="D460" s="95"/>
      <c r="E460" s="108" t="s">
        <v>454</v>
      </c>
      <c r="F460" s="56">
        <v>124</v>
      </c>
      <c r="G460" s="56" t="s">
        <v>30</v>
      </c>
      <c r="H460" s="67">
        <v>0</v>
      </c>
      <c r="I460" s="37">
        <f t="shared" si="122"/>
        <v>0</v>
      </c>
    </row>
    <row r="461" spans="1:9" x14ac:dyDescent="0.2">
      <c r="A461" s="25">
        <f>IF(F461=0,"",1+MAX(A$19:A460))</f>
        <v>353</v>
      </c>
      <c r="B461" s="175"/>
      <c r="C461" s="176"/>
      <c r="D461" s="95"/>
      <c r="E461" s="108" t="s">
        <v>455</v>
      </c>
      <c r="F461" s="56">
        <v>139</v>
      </c>
      <c r="G461" s="56" t="s">
        <v>30</v>
      </c>
      <c r="H461" s="67">
        <v>0</v>
      </c>
      <c r="I461" s="37">
        <f t="shared" si="122"/>
        <v>0</v>
      </c>
    </row>
    <row r="462" spans="1:9" x14ac:dyDescent="0.2">
      <c r="A462" s="25">
        <f>IF(F462=0,"",1+MAX(A$19:A461))</f>
        <v>354</v>
      </c>
      <c r="B462" s="175"/>
      <c r="C462" s="176"/>
      <c r="D462" s="95"/>
      <c r="E462" s="108" t="s">
        <v>456</v>
      </c>
      <c r="F462" s="56">
        <v>328</v>
      </c>
      <c r="G462" s="56" t="s">
        <v>30</v>
      </c>
      <c r="H462" s="67">
        <v>0</v>
      </c>
      <c r="I462" s="37">
        <f t="shared" ref="I462:I466" si="123">F462*H462</f>
        <v>0</v>
      </c>
    </row>
    <row r="463" spans="1:9" x14ac:dyDescent="0.2">
      <c r="A463" s="25">
        <f>IF(F463=0,"",1+MAX(A$19:A462))</f>
        <v>355</v>
      </c>
      <c r="B463" s="175"/>
      <c r="C463" s="176"/>
      <c r="D463" s="95"/>
      <c r="E463" s="108" t="s">
        <v>457</v>
      </c>
      <c r="F463" s="56">
        <v>292</v>
      </c>
      <c r="G463" s="56" t="s">
        <v>30</v>
      </c>
      <c r="H463" s="67">
        <v>0</v>
      </c>
      <c r="I463" s="37">
        <f t="shared" si="123"/>
        <v>0</v>
      </c>
    </row>
    <row r="464" spans="1:9" x14ac:dyDescent="0.2">
      <c r="A464" s="25">
        <f>IF(F464=0,"",1+MAX(A$19:A463))</f>
        <v>356</v>
      </c>
      <c r="B464" s="175"/>
      <c r="C464" s="176"/>
      <c r="D464" s="95"/>
      <c r="E464" s="108" t="s">
        <v>458</v>
      </c>
      <c r="F464" s="56">
        <v>73</v>
      </c>
      <c r="G464" s="56" t="s">
        <v>30</v>
      </c>
      <c r="H464" s="67">
        <v>0</v>
      </c>
      <c r="I464" s="37">
        <f t="shared" si="123"/>
        <v>0</v>
      </c>
    </row>
    <row r="465" spans="1:9" x14ac:dyDescent="0.2">
      <c r="A465" s="25">
        <f>IF(F465=0,"",1+MAX(A$19:A464))</f>
        <v>357</v>
      </c>
      <c r="B465" s="175"/>
      <c r="C465" s="176"/>
      <c r="D465" s="95"/>
      <c r="E465" s="108" t="s">
        <v>459</v>
      </c>
      <c r="F465" s="56">
        <v>58</v>
      </c>
      <c r="G465" s="56" t="s">
        <v>30</v>
      </c>
      <c r="H465" s="67">
        <v>0</v>
      </c>
      <c r="I465" s="37">
        <f t="shared" si="123"/>
        <v>0</v>
      </c>
    </row>
    <row r="466" spans="1:9" x14ac:dyDescent="0.2">
      <c r="A466" s="25">
        <f>IF(F466=0,"",1+MAX(A$19:A465))</f>
        <v>358</v>
      </c>
      <c r="B466" s="175"/>
      <c r="C466" s="176"/>
      <c r="D466" s="95"/>
      <c r="E466" s="108" t="s">
        <v>460</v>
      </c>
      <c r="F466" s="56">
        <v>71</v>
      </c>
      <c r="G466" s="56" t="s">
        <v>30</v>
      </c>
      <c r="H466" s="67">
        <v>0</v>
      </c>
      <c r="I466" s="37">
        <f t="shared" si="123"/>
        <v>0</v>
      </c>
    </row>
    <row r="467" spans="1:9" x14ac:dyDescent="0.2">
      <c r="A467" s="25">
        <f>IF(F467=0,"",1+MAX(A$19:A466))</f>
        <v>359</v>
      </c>
      <c r="B467" s="175"/>
      <c r="C467" s="176"/>
      <c r="D467" s="95"/>
      <c r="E467" s="108" t="s">
        <v>461</v>
      </c>
      <c r="F467" s="56">
        <v>1735</v>
      </c>
      <c r="G467" s="56" t="s">
        <v>30</v>
      </c>
      <c r="H467" s="67">
        <v>0</v>
      </c>
      <c r="I467" s="37">
        <f t="shared" ref="I467:I468" si="124">F467*H467</f>
        <v>0</v>
      </c>
    </row>
    <row r="468" spans="1:9" x14ac:dyDescent="0.2">
      <c r="A468" s="25">
        <f>IF(F468=0,"",1+MAX(A$19:A467))</f>
        <v>360</v>
      </c>
      <c r="B468" s="175"/>
      <c r="C468" s="176"/>
      <c r="D468" s="95"/>
      <c r="E468" s="108" t="s">
        <v>134</v>
      </c>
      <c r="F468" s="56">
        <v>999</v>
      </c>
      <c r="G468" s="56" t="s">
        <v>30</v>
      </c>
      <c r="H468" s="67">
        <v>0</v>
      </c>
      <c r="I468" s="37">
        <f t="shared" si="124"/>
        <v>0</v>
      </c>
    </row>
    <row r="469" spans="1:9" x14ac:dyDescent="0.2">
      <c r="A469" s="25">
        <f>IF(F469=0,"",1+MAX(A$19:A468))</f>
        <v>361</v>
      </c>
      <c r="B469" s="175"/>
      <c r="C469" s="176"/>
      <c r="D469" s="95"/>
      <c r="E469" s="108" t="s">
        <v>135</v>
      </c>
      <c r="F469" s="56">
        <v>53</v>
      </c>
      <c r="G469" s="56" t="s">
        <v>30</v>
      </c>
      <c r="H469" s="67">
        <v>0</v>
      </c>
      <c r="I469" s="37">
        <f t="shared" ref="I469:I471" si="125">F469*H469</f>
        <v>0</v>
      </c>
    </row>
    <row r="470" spans="1:9" x14ac:dyDescent="0.2">
      <c r="A470" s="25" t="str">
        <f>IF(F470=0,"",1+MAX(A$19:A469))</f>
        <v/>
      </c>
      <c r="B470" s="175"/>
      <c r="C470" s="176"/>
      <c r="D470" s="95"/>
      <c r="E470" s="60" t="s">
        <v>94</v>
      </c>
      <c r="F470" s="56"/>
      <c r="G470" s="56"/>
      <c r="H470" s="67"/>
      <c r="I470" s="37"/>
    </row>
    <row r="471" spans="1:9" x14ac:dyDescent="0.2">
      <c r="A471" s="25">
        <f>IF(F471=0,"",1+MAX(A$19:A470))</f>
        <v>362</v>
      </c>
      <c r="B471" s="175"/>
      <c r="C471" s="176"/>
      <c r="D471" s="95"/>
      <c r="E471" s="108" t="s">
        <v>462</v>
      </c>
      <c r="F471" s="56">
        <v>1061</v>
      </c>
      <c r="G471" s="56" t="s">
        <v>30</v>
      </c>
      <c r="H471" s="67">
        <v>0</v>
      </c>
      <c r="I471" s="37">
        <f t="shared" si="125"/>
        <v>0</v>
      </c>
    </row>
    <row r="472" spans="1:9" x14ac:dyDescent="0.2">
      <c r="A472" s="25">
        <f>IF(F472=0,"",1+MAX(A$19:A471))</f>
        <v>363</v>
      </c>
      <c r="B472" s="175"/>
      <c r="C472" s="176"/>
      <c r="D472" s="95"/>
      <c r="E472" s="108" t="s">
        <v>463</v>
      </c>
      <c r="F472" s="56">
        <v>147</v>
      </c>
      <c r="G472" s="56" t="s">
        <v>30</v>
      </c>
      <c r="H472" s="67">
        <v>0</v>
      </c>
      <c r="I472" s="37">
        <f t="shared" ref="I472" si="126">F472*H472</f>
        <v>0</v>
      </c>
    </row>
    <row r="473" spans="1:9" x14ac:dyDescent="0.2">
      <c r="A473" s="25">
        <f>IF(F473=0,"",1+MAX(A$19:A472))</f>
        <v>364</v>
      </c>
      <c r="B473" s="175"/>
      <c r="C473" s="176"/>
      <c r="D473" s="95"/>
      <c r="E473" s="108" t="s">
        <v>464</v>
      </c>
      <c r="F473" s="56">
        <v>124</v>
      </c>
      <c r="G473" s="56" t="s">
        <v>30</v>
      </c>
      <c r="H473" s="67">
        <v>0</v>
      </c>
      <c r="I473" s="37">
        <f t="shared" ref="I473:I491" si="127">F473*H473</f>
        <v>0</v>
      </c>
    </row>
    <row r="474" spans="1:9" x14ac:dyDescent="0.2">
      <c r="A474" s="25">
        <f>IF(F474=0,"",1+MAX(A$19:A473))</f>
        <v>365</v>
      </c>
      <c r="B474" s="175"/>
      <c r="C474" s="176"/>
      <c r="D474" s="95"/>
      <c r="E474" s="108" t="s">
        <v>465</v>
      </c>
      <c r="F474" s="56">
        <v>828</v>
      </c>
      <c r="G474" s="56" t="s">
        <v>30</v>
      </c>
      <c r="H474" s="67">
        <v>0</v>
      </c>
      <c r="I474" s="37">
        <f t="shared" si="127"/>
        <v>0</v>
      </c>
    </row>
    <row r="475" spans="1:9" x14ac:dyDescent="0.2">
      <c r="A475" s="25">
        <f>IF(F475=0,"",1+MAX(A$19:A474))</f>
        <v>366</v>
      </c>
      <c r="B475" s="175"/>
      <c r="C475" s="176"/>
      <c r="D475" s="95"/>
      <c r="E475" s="108" t="s">
        <v>466</v>
      </c>
      <c r="F475" s="56">
        <v>57</v>
      </c>
      <c r="G475" s="56" t="s">
        <v>30</v>
      </c>
      <c r="H475" s="67">
        <v>0</v>
      </c>
      <c r="I475" s="37">
        <f t="shared" si="127"/>
        <v>0</v>
      </c>
    </row>
    <row r="476" spans="1:9" x14ac:dyDescent="0.2">
      <c r="A476" s="25">
        <f>IF(F476=0,"",1+MAX(A$19:A475))</f>
        <v>367</v>
      </c>
      <c r="B476" s="175"/>
      <c r="C476" s="176"/>
      <c r="D476" s="95"/>
      <c r="E476" s="108" t="s">
        <v>467</v>
      </c>
      <c r="F476" s="56">
        <v>198</v>
      </c>
      <c r="G476" s="56" t="s">
        <v>30</v>
      </c>
      <c r="H476" s="67">
        <v>0</v>
      </c>
      <c r="I476" s="37">
        <f t="shared" si="127"/>
        <v>0</v>
      </c>
    </row>
    <row r="477" spans="1:9" x14ac:dyDescent="0.2">
      <c r="A477" s="25">
        <f>IF(F477=0,"",1+MAX(A$19:A476))</f>
        <v>368</v>
      </c>
      <c r="B477" s="175"/>
      <c r="C477" s="176"/>
      <c r="D477" s="95"/>
      <c r="E477" s="108" t="s">
        <v>468</v>
      </c>
      <c r="F477" s="56">
        <v>84</v>
      </c>
      <c r="G477" s="56" t="s">
        <v>30</v>
      </c>
      <c r="H477" s="67">
        <v>0</v>
      </c>
      <c r="I477" s="37">
        <f t="shared" si="127"/>
        <v>0</v>
      </c>
    </row>
    <row r="478" spans="1:9" x14ac:dyDescent="0.2">
      <c r="A478" s="25">
        <f>IF(F478=0,"",1+MAX(A$19:A477))</f>
        <v>369</v>
      </c>
      <c r="B478" s="175"/>
      <c r="C478" s="176"/>
      <c r="D478" s="95"/>
      <c r="E478" s="108" t="s">
        <v>538</v>
      </c>
      <c r="F478" s="56">
        <v>167</v>
      </c>
      <c r="G478" s="56" t="s">
        <v>30</v>
      </c>
      <c r="H478" s="109">
        <v>0</v>
      </c>
      <c r="I478" s="37">
        <f t="shared" si="127"/>
        <v>0</v>
      </c>
    </row>
    <row r="479" spans="1:9" x14ac:dyDescent="0.2">
      <c r="A479" s="25">
        <f>IF(F479=0,"",1+MAX(A$19:A478))</f>
        <v>370</v>
      </c>
      <c r="B479" s="175"/>
      <c r="C479" s="176"/>
      <c r="D479" s="95"/>
      <c r="E479" s="108" t="s">
        <v>469</v>
      </c>
      <c r="F479" s="56">
        <v>666</v>
      </c>
      <c r="G479" s="56" t="s">
        <v>30</v>
      </c>
      <c r="H479" s="67">
        <v>0</v>
      </c>
      <c r="I479" s="37">
        <f t="shared" si="127"/>
        <v>0</v>
      </c>
    </row>
    <row r="480" spans="1:9" x14ac:dyDescent="0.2">
      <c r="A480" s="25">
        <f>IF(F480=0,"",1+MAX(A$19:A479))</f>
        <v>371</v>
      </c>
      <c r="B480" s="175"/>
      <c r="C480" s="176"/>
      <c r="D480" s="95"/>
      <c r="E480" s="108" t="s">
        <v>470</v>
      </c>
      <c r="F480" s="56">
        <v>1074</v>
      </c>
      <c r="G480" s="56" t="s">
        <v>30</v>
      </c>
      <c r="H480" s="67">
        <v>0</v>
      </c>
      <c r="I480" s="37">
        <f t="shared" si="127"/>
        <v>0</v>
      </c>
    </row>
    <row r="481" spans="1:9" x14ac:dyDescent="0.2">
      <c r="A481" s="25">
        <f>IF(F481=0,"",1+MAX(A$19:A480))</f>
        <v>372</v>
      </c>
      <c r="B481" s="175"/>
      <c r="C481" s="176"/>
      <c r="D481" s="95"/>
      <c r="E481" s="108" t="s">
        <v>471</v>
      </c>
      <c r="F481" s="56">
        <v>87</v>
      </c>
      <c r="G481" s="56" t="s">
        <v>30</v>
      </c>
      <c r="H481" s="67">
        <v>0</v>
      </c>
      <c r="I481" s="37">
        <f t="shared" si="127"/>
        <v>0</v>
      </c>
    </row>
    <row r="482" spans="1:9" x14ac:dyDescent="0.2">
      <c r="A482" s="25">
        <f>IF(F482=0,"",1+MAX(A$19:A481))</f>
        <v>373</v>
      </c>
      <c r="B482" s="175"/>
      <c r="C482" s="176"/>
      <c r="D482" s="95"/>
      <c r="E482" s="108" t="s">
        <v>472</v>
      </c>
      <c r="F482" s="56">
        <v>179</v>
      </c>
      <c r="G482" s="56" t="s">
        <v>30</v>
      </c>
      <c r="H482" s="67">
        <v>0</v>
      </c>
      <c r="I482" s="37">
        <f t="shared" si="127"/>
        <v>0</v>
      </c>
    </row>
    <row r="483" spans="1:9" x14ac:dyDescent="0.2">
      <c r="A483" s="25">
        <f>IF(F483=0,"",1+MAX(A$19:A482))</f>
        <v>374</v>
      </c>
      <c r="B483" s="175"/>
      <c r="C483" s="176"/>
      <c r="D483" s="95"/>
      <c r="E483" s="108" t="s">
        <v>473</v>
      </c>
      <c r="F483" s="56">
        <v>180</v>
      </c>
      <c r="G483" s="56" t="s">
        <v>30</v>
      </c>
      <c r="H483" s="67">
        <v>0</v>
      </c>
      <c r="I483" s="37">
        <f t="shared" si="127"/>
        <v>0</v>
      </c>
    </row>
    <row r="484" spans="1:9" x14ac:dyDescent="0.2">
      <c r="A484" s="25">
        <f>IF(F484=0,"",1+MAX(A$19:A483))</f>
        <v>375</v>
      </c>
      <c r="B484" s="175"/>
      <c r="C484" s="176"/>
      <c r="D484" s="95"/>
      <c r="E484" s="108" t="s">
        <v>474</v>
      </c>
      <c r="F484" s="56">
        <v>39</v>
      </c>
      <c r="G484" s="56" t="s">
        <v>30</v>
      </c>
      <c r="H484" s="67">
        <v>0</v>
      </c>
      <c r="I484" s="37">
        <f t="shared" si="127"/>
        <v>0</v>
      </c>
    </row>
    <row r="485" spans="1:9" x14ac:dyDescent="0.2">
      <c r="A485" s="25">
        <f>IF(F485=0,"",1+MAX(A$19:A484))</f>
        <v>376</v>
      </c>
      <c r="B485" s="175"/>
      <c r="C485" s="176"/>
      <c r="D485" s="95"/>
      <c r="E485" s="108" t="s">
        <v>475</v>
      </c>
      <c r="F485" s="56">
        <v>38</v>
      </c>
      <c r="G485" s="56" t="s">
        <v>30</v>
      </c>
      <c r="H485" s="67">
        <v>0</v>
      </c>
      <c r="I485" s="37">
        <f t="shared" si="127"/>
        <v>0</v>
      </c>
    </row>
    <row r="486" spans="1:9" x14ac:dyDescent="0.2">
      <c r="A486" s="25">
        <f>IF(F486=0,"",1+MAX(A$19:A485))</f>
        <v>377</v>
      </c>
      <c r="B486" s="175"/>
      <c r="C486" s="176"/>
      <c r="D486" s="95"/>
      <c r="E486" s="108" t="s">
        <v>476</v>
      </c>
      <c r="F486" s="56">
        <v>119</v>
      </c>
      <c r="G486" s="56" t="s">
        <v>30</v>
      </c>
      <c r="H486" s="67">
        <v>0</v>
      </c>
      <c r="I486" s="37">
        <f t="shared" si="127"/>
        <v>0</v>
      </c>
    </row>
    <row r="487" spans="1:9" x14ac:dyDescent="0.2">
      <c r="A487" s="25">
        <f>IF(F487=0,"",1+MAX(A$19:A486))</f>
        <v>378</v>
      </c>
      <c r="B487" s="175"/>
      <c r="C487" s="176"/>
      <c r="D487" s="95"/>
      <c r="E487" s="108" t="s">
        <v>477</v>
      </c>
      <c r="F487" s="56">
        <v>411</v>
      </c>
      <c r="G487" s="56" t="s">
        <v>30</v>
      </c>
      <c r="H487" s="67">
        <v>0</v>
      </c>
      <c r="I487" s="37">
        <f t="shared" si="127"/>
        <v>0</v>
      </c>
    </row>
    <row r="488" spans="1:9" x14ac:dyDescent="0.2">
      <c r="A488" s="25">
        <f>IF(F488=0,"",1+MAX(A$19:A487))</f>
        <v>379</v>
      </c>
      <c r="B488" s="175"/>
      <c r="C488" s="176"/>
      <c r="D488" s="95"/>
      <c r="E488" s="108" t="s">
        <v>478</v>
      </c>
      <c r="F488" s="56">
        <v>1384</v>
      </c>
      <c r="G488" s="56" t="s">
        <v>30</v>
      </c>
      <c r="H488" s="67">
        <v>0</v>
      </c>
      <c r="I488" s="37">
        <f t="shared" si="127"/>
        <v>0</v>
      </c>
    </row>
    <row r="489" spans="1:9" x14ac:dyDescent="0.2">
      <c r="A489" s="25">
        <f>IF(F489=0,"",1+MAX(A$19:A488))</f>
        <v>380</v>
      </c>
      <c r="B489" s="175"/>
      <c r="C489" s="176"/>
      <c r="D489" s="95"/>
      <c r="E489" s="108" t="s">
        <v>136</v>
      </c>
      <c r="F489" s="56">
        <v>670</v>
      </c>
      <c r="G489" s="56" t="s">
        <v>30</v>
      </c>
      <c r="H489" s="67">
        <v>0</v>
      </c>
      <c r="I489" s="37">
        <f t="shared" si="127"/>
        <v>0</v>
      </c>
    </row>
    <row r="490" spans="1:9" x14ac:dyDescent="0.2">
      <c r="A490" s="25">
        <f>IF(F490=0,"",1+MAX(A$19:A489))</f>
        <v>381</v>
      </c>
      <c r="B490" s="175"/>
      <c r="C490" s="176"/>
      <c r="D490" s="95"/>
      <c r="E490" s="108" t="s">
        <v>479</v>
      </c>
      <c r="F490" s="56">
        <v>3839</v>
      </c>
      <c r="G490" s="56" t="s">
        <v>30</v>
      </c>
      <c r="H490" s="67">
        <v>0</v>
      </c>
      <c r="I490" s="37">
        <f t="shared" si="127"/>
        <v>0</v>
      </c>
    </row>
    <row r="491" spans="1:9" x14ac:dyDescent="0.2">
      <c r="A491" s="25">
        <f>IF(F491=0,"",1+MAX(A$19:A490))</f>
        <v>382</v>
      </c>
      <c r="B491" s="175"/>
      <c r="C491" s="176"/>
      <c r="D491" s="95"/>
      <c r="E491" s="108" t="s">
        <v>480</v>
      </c>
      <c r="F491" s="56">
        <v>111</v>
      </c>
      <c r="G491" s="56" t="s">
        <v>30</v>
      </c>
      <c r="H491" s="67">
        <v>0</v>
      </c>
      <c r="I491" s="37">
        <f t="shared" si="127"/>
        <v>0</v>
      </c>
    </row>
    <row r="492" spans="1:9" x14ac:dyDescent="0.2">
      <c r="A492" s="25" t="str">
        <f>IF(F492=0,"",1+MAX(A$19:A491))</f>
        <v/>
      </c>
      <c r="B492" s="175"/>
      <c r="C492" s="176"/>
      <c r="D492" s="95"/>
      <c r="E492" s="60" t="s">
        <v>95</v>
      </c>
      <c r="F492" s="56"/>
      <c r="G492" s="56"/>
      <c r="H492" s="67"/>
      <c r="I492" s="37"/>
    </row>
    <row r="493" spans="1:9" x14ac:dyDescent="0.2">
      <c r="A493" s="25">
        <f>IF(F493=0,"",1+MAX(A$19:A492))</f>
        <v>383</v>
      </c>
      <c r="B493" s="175"/>
      <c r="C493" s="176"/>
      <c r="D493" s="95"/>
      <c r="E493" s="108" t="s">
        <v>481</v>
      </c>
      <c r="F493" s="56">
        <v>489</v>
      </c>
      <c r="G493" s="56" t="s">
        <v>30</v>
      </c>
      <c r="H493" s="67">
        <v>0</v>
      </c>
      <c r="I493" s="37">
        <f t="shared" ref="I493:I503" si="128">F493*H493</f>
        <v>0</v>
      </c>
    </row>
    <row r="494" spans="1:9" x14ac:dyDescent="0.2">
      <c r="A494" s="25">
        <f>IF(F494=0,"",1+MAX(A$19:A493))</f>
        <v>384</v>
      </c>
      <c r="B494" s="175"/>
      <c r="C494" s="176"/>
      <c r="D494" s="95"/>
      <c r="E494" s="108" t="s">
        <v>482</v>
      </c>
      <c r="F494" s="56">
        <v>196</v>
      </c>
      <c r="G494" s="56" t="s">
        <v>30</v>
      </c>
      <c r="H494" s="67">
        <v>0</v>
      </c>
      <c r="I494" s="37">
        <f t="shared" si="128"/>
        <v>0</v>
      </c>
    </row>
    <row r="495" spans="1:9" x14ac:dyDescent="0.2">
      <c r="A495" s="25">
        <f>IF(F495=0,"",1+MAX(A$19:A494))</f>
        <v>385</v>
      </c>
      <c r="B495" s="175"/>
      <c r="C495" s="176"/>
      <c r="D495" s="95"/>
      <c r="E495" s="108" t="s">
        <v>483</v>
      </c>
      <c r="F495" s="56">
        <v>68</v>
      </c>
      <c r="G495" s="56" t="s">
        <v>30</v>
      </c>
      <c r="H495" s="67">
        <v>0</v>
      </c>
      <c r="I495" s="37">
        <f t="shared" si="128"/>
        <v>0</v>
      </c>
    </row>
    <row r="496" spans="1:9" x14ac:dyDescent="0.2">
      <c r="A496" s="25">
        <f>IF(F496=0,"",1+MAX(A$19:A495))</f>
        <v>386</v>
      </c>
      <c r="B496" s="175"/>
      <c r="C496" s="176"/>
      <c r="D496" s="95"/>
      <c r="E496" s="108" t="s">
        <v>484</v>
      </c>
      <c r="F496" s="56">
        <v>961</v>
      </c>
      <c r="G496" s="56" t="s">
        <v>30</v>
      </c>
      <c r="H496" s="67">
        <v>0</v>
      </c>
      <c r="I496" s="37">
        <f t="shared" si="128"/>
        <v>0</v>
      </c>
    </row>
    <row r="497" spans="1:9" x14ac:dyDescent="0.2">
      <c r="A497" s="25">
        <f>IF(F497=0,"",1+MAX(A$19:A496))</f>
        <v>387</v>
      </c>
      <c r="B497" s="175"/>
      <c r="C497" s="176"/>
      <c r="D497" s="95"/>
      <c r="E497" s="108" t="s">
        <v>485</v>
      </c>
      <c r="F497" s="56">
        <v>859</v>
      </c>
      <c r="G497" s="56" t="s">
        <v>30</v>
      </c>
      <c r="H497" s="67">
        <v>0</v>
      </c>
      <c r="I497" s="37">
        <f t="shared" si="128"/>
        <v>0</v>
      </c>
    </row>
    <row r="498" spans="1:9" x14ac:dyDescent="0.2">
      <c r="A498" s="25">
        <f>IF(F498=0,"",1+MAX(A$19:A497))</f>
        <v>388</v>
      </c>
      <c r="B498" s="175"/>
      <c r="C498" s="176"/>
      <c r="D498" s="95"/>
      <c r="E498" s="108" t="s">
        <v>486</v>
      </c>
      <c r="F498" s="56">
        <v>439</v>
      </c>
      <c r="G498" s="56" t="s">
        <v>30</v>
      </c>
      <c r="H498" s="67">
        <v>0</v>
      </c>
      <c r="I498" s="37">
        <f t="shared" si="128"/>
        <v>0</v>
      </c>
    </row>
    <row r="499" spans="1:9" x14ac:dyDescent="0.2">
      <c r="A499" s="25">
        <f>IF(F499=0,"",1+MAX(A$19:A498))</f>
        <v>389</v>
      </c>
      <c r="B499" s="175"/>
      <c r="C499" s="176"/>
      <c r="D499" s="95"/>
      <c r="E499" s="108" t="s">
        <v>457</v>
      </c>
      <c r="F499" s="56">
        <v>149</v>
      </c>
      <c r="G499" s="56" t="s">
        <v>30</v>
      </c>
      <c r="H499" s="67">
        <v>0</v>
      </c>
      <c r="I499" s="37">
        <f t="shared" si="128"/>
        <v>0</v>
      </c>
    </row>
    <row r="500" spans="1:9" x14ac:dyDescent="0.2">
      <c r="A500" s="25">
        <f>IF(F500=0,"",1+MAX(A$19:A499))</f>
        <v>390</v>
      </c>
      <c r="B500" s="175"/>
      <c r="C500" s="176"/>
      <c r="D500" s="95"/>
      <c r="E500" s="108" t="s">
        <v>487</v>
      </c>
      <c r="F500" s="56">
        <v>1141</v>
      </c>
      <c r="G500" s="56" t="s">
        <v>30</v>
      </c>
      <c r="H500" s="67">
        <v>0</v>
      </c>
      <c r="I500" s="37">
        <f t="shared" si="128"/>
        <v>0</v>
      </c>
    </row>
    <row r="501" spans="1:9" x14ac:dyDescent="0.2">
      <c r="A501" s="25">
        <f>IF(F501=0,"",1+MAX(A$19:A500))</f>
        <v>391</v>
      </c>
      <c r="B501" s="175"/>
      <c r="C501" s="176"/>
      <c r="D501" s="95"/>
      <c r="E501" s="108" t="s">
        <v>488</v>
      </c>
      <c r="F501" s="56">
        <v>183</v>
      </c>
      <c r="G501" s="56" t="s">
        <v>30</v>
      </c>
      <c r="H501" s="67">
        <v>0</v>
      </c>
      <c r="I501" s="37">
        <f t="shared" si="128"/>
        <v>0</v>
      </c>
    </row>
    <row r="502" spans="1:9" x14ac:dyDescent="0.2">
      <c r="A502" s="25">
        <f>IF(F502=0,"",1+MAX(A$19:A501))</f>
        <v>392</v>
      </c>
      <c r="B502" s="175"/>
      <c r="C502" s="176"/>
      <c r="D502" s="95"/>
      <c r="E502" s="108" t="s">
        <v>489</v>
      </c>
      <c r="F502" s="56">
        <v>151</v>
      </c>
      <c r="G502" s="56" t="s">
        <v>30</v>
      </c>
      <c r="H502" s="67">
        <v>0</v>
      </c>
      <c r="I502" s="37">
        <f t="shared" si="128"/>
        <v>0</v>
      </c>
    </row>
    <row r="503" spans="1:9" x14ac:dyDescent="0.2">
      <c r="A503" s="25">
        <f>IF(F503=0,"",1+MAX(A$19:A502))</f>
        <v>393</v>
      </c>
      <c r="B503" s="175"/>
      <c r="C503" s="176"/>
      <c r="D503" s="95"/>
      <c r="E503" s="108" t="s">
        <v>490</v>
      </c>
      <c r="F503" s="56">
        <v>389</v>
      </c>
      <c r="G503" s="56" t="s">
        <v>30</v>
      </c>
      <c r="H503" s="67">
        <v>0</v>
      </c>
      <c r="I503" s="37">
        <f t="shared" si="128"/>
        <v>0</v>
      </c>
    </row>
    <row r="504" spans="1:9" x14ac:dyDescent="0.2">
      <c r="A504" s="25" t="str">
        <f>IF(F504=0,"",1+MAX(A$19:A503))</f>
        <v/>
      </c>
      <c r="B504" s="175"/>
      <c r="C504" s="176"/>
      <c r="D504" s="95"/>
      <c r="E504" s="105" t="s">
        <v>137</v>
      </c>
      <c r="F504" s="56"/>
      <c r="G504" s="56"/>
      <c r="H504" s="67"/>
      <c r="I504" s="37"/>
    </row>
    <row r="505" spans="1:9" x14ac:dyDescent="0.2">
      <c r="A505" s="25" t="str">
        <f>IF(F505=0,"",1+MAX(A$19:A504))</f>
        <v/>
      </c>
      <c r="B505" s="175"/>
      <c r="C505" s="176"/>
      <c r="D505" s="95"/>
      <c r="E505" s="60" t="s">
        <v>91</v>
      </c>
      <c r="F505" s="56"/>
      <c r="G505" s="56"/>
      <c r="H505" s="67"/>
      <c r="I505" s="37"/>
    </row>
    <row r="506" spans="1:9" x14ac:dyDescent="0.2">
      <c r="A506" s="25" t="str">
        <f>IF(F506=0,"",1+MAX(A$19:A505))</f>
        <v/>
      </c>
      <c r="B506" s="175"/>
      <c r="C506" s="176"/>
      <c r="D506" s="95"/>
      <c r="E506" s="110" t="s">
        <v>138</v>
      </c>
      <c r="F506" s="56"/>
      <c r="G506" s="56"/>
      <c r="H506" s="67"/>
      <c r="I506" s="37"/>
    </row>
    <row r="507" spans="1:9" x14ac:dyDescent="0.2">
      <c r="A507" s="25">
        <f>IF(F507=0,"",1+MAX(A$19:A506))</f>
        <v>394</v>
      </c>
      <c r="B507" s="175"/>
      <c r="C507" s="176"/>
      <c r="D507" s="95"/>
      <c r="E507" s="108" t="s">
        <v>139</v>
      </c>
      <c r="F507" s="56">
        <v>1104</v>
      </c>
      <c r="G507" s="56" t="s">
        <v>140</v>
      </c>
      <c r="H507" s="67">
        <v>0</v>
      </c>
      <c r="I507" s="37">
        <f t="shared" ref="I507" si="129">F507*H507</f>
        <v>0</v>
      </c>
    </row>
    <row r="508" spans="1:9" x14ac:dyDescent="0.2">
      <c r="A508" s="25" t="str">
        <f>IF(F508=0,"",1+MAX(A$19:A507))</f>
        <v/>
      </c>
      <c r="B508" s="175"/>
      <c r="C508" s="176"/>
      <c r="D508" s="95"/>
      <c r="E508" s="110" t="s">
        <v>132</v>
      </c>
      <c r="F508" s="56"/>
      <c r="G508" s="56"/>
      <c r="H508" s="67"/>
      <c r="I508" s="37"/>
    </row>
    <row r="509" spans="1:9" x14ac:dyDescent="0.2">
      <c r="A509" s="25">
        <f>IF(F509=0,"",1+MAX(A$19:A508))</f>
        <v>395</v>
      </c>
      <c r="B509" s="175"/>
      <c r="C509" s="176"/>
      <c r="D509" s="95"/>
      <c r="E509" s="108" t="s">
        <v>576</v>
      </c>
      <c r="F509" s="56">
        <v>14</v>
      </c>
      <c r="G509" s="56" t="s">
        <v>30</v>
      </c>
      <c r="H509" s="67">
        <v>0</v>
      </c>
      <c r="I509" s="37">
        <f t="shared" ref="I509:I512" si="130">F509*H509</f>
        <v>0</v>
      </c>
    </row>
    <row r="510" spans="1:9" x14ac:dyDescent="0.2">
      <c r="A510" s="25">
        <f>IF(F510=0,"",1+MAX(A$19:A509))</f>
        <v>396</v>
      </c>
      <c r="B510" s="175"/>
      <c r="C510" s="176"/>
      <c r="D510" s="95"/>
      <c r="E510" s="108" t="s">
        <v>577</v>
      </c>
      <c r="F510" s="56">
        <v>16</v>
      </c>
      <c r="G510" s="56" t="s">
        <v>30</v>
      </c>
      <c r="H510" s="67">
        <v>0</v>
      </c>
      <c r="I510" s="37">
        <f t="shared" si="130"/>
        <v>0</v>
      </c>
    </row>
    <row r="511" spans="1:9" x14ac:dyDescent="0.2">
      <c r="A511" s="25">
        <f>IF(F511=0,"",1+MAX(A$19:A510))</f>
        <v>397</v>
      </c>
      <c r="B511" s="175"/>
      <c r="C511" s="176"/>
      <c r="D511" s="95"/>
      <c r="E511" s="108" t="s">
        <v>578</v>
      </c>
      <c r="F511" s="56">
        <v>54</v>
      </c>
      <c r="G511" s="56" t="s">
        <v>30</v>
      </c>
      <c r="H511" s="67">
        <v>0</v>
      </c>
      <c r="I511" s="37">
        <f t="shared" si="130"/>
        <v>0</v>
      </c>
    </row>
    <row r="512" spans="1:9" x14ac:dyDescent="0.2">
      <c r="A512" s="25">
        <f>IF(F512=0,"",1+MAX(A$19:A511))</f>
        <v>398</v>
      </c>
      <c r="B512" s="175"/>
      <c r="C512" s="176"/>
      <c r="D512" s="95"/>
      <c r="E512" s="108" t="s">
        <v>579</v>
      </c>
      <c r="F512" s="56">
        <v>53</v>
      </c>
      <c r="G512" s="56" t="s">
        <v>30</v>
      </c>
      <c r="H512" s="67">
        <v>0</v>
      </c>
      <c r="I512" s="37">
        <f t="shared" si="130"/>
        <v>0</v>
      </c>
    </row>
    <row r="513" spans="1:9" x14ac:dyDescent="0.2">
      <c r="A513" s="25" t="str">
        <f>IF(F513=0,"",1+MAX(A$19:A512))</f>
        <v/>
      </c>
      <c r="B513" s="175"/>
      <c r="C513" s="176"/>
      <c r="D513" s="95"/>
      <c r="E513" s="60" t="s">
        <v>94</v>
      </c>
      <c r="F513" s="56"/>
      <c r="G513" s="56"/>
      <c r="H513" s="67"/>
      <c r="I513" s="37"/>
    </row>
    <row r="514" spans="1:9" x14ac:dyDescent="0.2">
      <c r="A514" s="25" t="str">
        <f>IF(F514=0,"",1+MAX(A$19:A513))</f>
        <v/>
      </c>
      <c r="B514" s="175"/>
      <c r="C514" s="176"/>
      <c r="D514" s="95"/>
      <c r="E514" s="110" t="s">
        <v>138</v>
      </c>
      <c r="F514" s="56"/>
      <c r="G514" s="56"/>
      <c r="H514" s="67"/>
      <c r="I514" s="37"/>
    </row>
    <row r="515" spans="1:9" x14ac:dyDescent="0.2">
      <c r="A515" s="25">
        <f>IF(F515=0,"",1+MAX(A$19:A514))</f>
        <v>399</v>
      </c>
      <c r="B515" s="175"/>
      <c r="C515" s="176"/>
      <c r="D515" s="95"/>
      <c r="E515" s="108" t="s">
        <v>139</v>
      </c>
      <c r="F515" s="56">
        <v>1172</v>
      </c>
      <c r="G515" s="56" t="s">
        <v>32</v>
      </c>
      <c r="H515" s="67">
        <v>0</v>
      </c>
      <c r="I515" s="37">
        <f t="shared" ref="I515" si="131">F515*H515</f>
        <v>0</v>
      </c>
    </row>
    <row r="516" spans="1:9" x14ac:dyDescent="0.2">
      <c r="A516" s="25" t="str">
        <f>IF(F516=0,"",1+MAX(A$19:A515))</f>
        <v/>
      </c>
      <c r="B516" s="175"/>
      <c r="C516" s="176"/>
      <c r="D516" s="95"/>
      <c r="E516" s="110" t="s">
        <v>132</v>
      </c>
      <c r="F516" s="103"/>
      <c r="G516" s="103"/>
      <c r="H516" s="67"/>
      <c r="I516" s="37"/>
    </row>
    <row r="517" spans="1:9" x14ac:dyDescent="0.2">
      <c r="A517" s="25">
        <f>IF(F517=0,"",1+MAX(A$19:A516))</f>
        <v>400</v>
      </c>
      <c r="B517" s="175"/>
      <c r="C517" s="176"/>
      <c r="D517" s="95"/>
      <c r="E517" s="108" t="s">
        <v>580</v>
      </c>
      <c r="F517" s="56">
        <v>13</v>
      </c>
      <c r="G517" s="56" t="s">
        <v>30</v>
      </c>
      <c r="H517" s="67">
        <v>0</v>
      </c>
      <c r="I517" s="37">
        <f t="shared" ref="I517:I518" si="132">F517*H517</f>
        <v>0</v>
      </c>
    </row>
    <row r="518" spans="1:9" x14ac:dyDescent="0.2">
      <c r="A518" s="25">
        <f>IF(F518=0,"",1+MAX(A$19:A517))</f>
        <v>401</v>
      </c>
      <c r="B518" s="175"/>
      <c r="C518" s="176"/>
      <c r="D518" s="95"/>
      <c r="E518" s="108" t="s">
        <v>581</v>
      </c>
      <c r="F518" s="56">
        <v>37</v>
      </c>
      <c r="G518" s="56" t="s">
        <v>30</v>
      </c>
      <c r="H518" s="67">
        <v>0</v>
      </c>
      <c r="I518" s="37">
        <f t="shared" si="132"/>
        <v>0</v>
      </c>
    </row>
    <row r="519" spans="1:9" x14ac:dyDescent="0.2">
      <c r="A519" s="25">
        <f>IF(F519=0,"",1+MAX(A$19:A518))</f>
        <v>402</v>
      </c>
      <c r="B519" s="175"/>
      <c r="C519" s="176"/>
      <c r="D519" s="95"/>
      <c r="E519" s="108" t="s">
        <v>582</v>
      </c>
      <c r="F519" s="56">
        <v>35</v>
      </c>
      <c r="G519" s="56" t="s">
        <v>30</v>
      </c>
      <c r="H519" s="67">
        <v>0</v>
      </c>
      <c r="I519" s="37">
        <f t="shared" ref="I519" si="133">F519*H519</f>
        <v>0</v>
      </c>
    </row>
    <row r="520" spans="1:9" x14ac:dyDescent="0.2">
      <c r="A520" s="25" t="str">
        <f>IF(F520=0,"",1+MAX(A$19:A519))</f>
        <v/>
      </c>
      <c r="B520" s="175"/>
      <c r="C520" s="176"/>
      <c r="D520" s="95"/>
      <c r="E520" s="60" t="s">
        <v>95</v>
      </c>
      <c r="F520" s="56"/>
      <c r="G520" s="56"/>
      <c r="H520" s="67"/>
      <c r="I520" s="37"/>
    </row>
    <row r="521" spans="1:9" x14ac:dyDescent="0.2">
      <c r="A521" s="25" t="str">
        <f>IF(F521=0,"",1+MAX(A$19:A520))</f>
        <v/>
      </c>
      <c r="B521" s="175"/>
      <c r="C521" s="176"/>
      <c r="D521" s="95"/>
      <c r="E521" s="110" t="s">
        <v>138</v>
      </c>
      <c r="F521" s="56"/>
      <c r="G521" s="56"/>
      <c r="H521" s="67"/>
      <c r="I521" s="37"/>
    </row>
    <row r="522" spans="1:9" x14ac:dyDescent="0.2">
      <c r="A522" s="25">
        <f>IF(F522=0,"",1+MAX(A$19:A521))</f>
        <v>403</v>
      </c>
      <c r="B522" s="175"/>
      <c r="C522" s="176"/>
      <c r="D522" s="95"/>
      <c r="E522" s="108" t="s">
        <v>139</v>
      </c>
      <c r="F522" s="56">
        <v>403</v>
      </c>
      <c r="G522" s="56" t="s">
        <v>32</v>
      </c>
      <c r="H522" s="67">
        <v>0</v>
      </c>
      <c r="I522" s="37">
        <f t="shared" ref="I522" si="134">F522*H522</f>
        <v>0</v>
      </c>
    </row>
    <row r="523" spans="1:9" x14ac:dyDescent="0.2">
      <c r="A523" s="25" t="str">
        <f>IF(F523=0,"",1+MAX(A$19:A522))</f>
        <v/>
      </c>
      <c r="B523" s="175"/>
      <c r="C523" s="176"/>
      <c r="D523" s="95"/>
      <c r="E523" s="110" t="s">
        <v>132</v>
      </c>
      <c r="F523" s="56"/>
      <c r="G523" s="56"/>
      <c r="H523" s="67"/>
      <c r="I523" s="37"/>
    </row>
    <row r="524" spans="1:9" x14ac:dyDescent="0.2">
      <c r="A524" s="25">
        <f>IF(F524=0,"",1+MAX(A$19:A523))</f>
        <v>404</v>
      </c>
      <c r="B524" s="175"/>
      <c r="C524" s="176"/>
      <c r="D524" s="95"/>
      <c r="E524" s="108" t="s">
        <v>583</v>
      </c>
      <c r="F524" s="56">
        <v>30</v>
      </c>
      <c r="G524" s="56" t="s">
        <v>30</v>
      </c>
      <c r="H524" s="67">
        <v>0</v>
      </c>
      <c r="I524" s="37">
        <f t="shared" ref="I524" si="135">F524*H524</f>
        <v>0</v>
      </c>
    </row>
    <row r="525" spans="1:9" x14ac:dyDescent="0.2">
      <c r="A525" s="25">
        <f>IF(F525=0,"",1+MAX(A$19:A524))</f>
        <v>405</v>
      </c>
      <c r="B525" s="175"/>
      <c r="C525" s="176"/>
      <c r="D525" s="95"/>
      <c r="E525" s="108" t="s">
        <v>578</v>
      </c>
      <c r="F525" s="56">
        <v>27</v>
      </c>
      <c r="G525" s="56" t="s">
        <v>30</v>
      </c>
      <c r="H525" s="67">
        <v>0</v>
      </c>
      <c r="I525" s="37">
        <f t="shared" ref="I525" si="136">F525*H525</f>
        <v>0</v>
      </c>
    </row>
    <row r="526" spans="1:9" x14ac:dyDescent="0.2">
      <c r="A526" s="25" t="str">
        <f>IF(F526=0,"",1+MAX(A$19:A525))</f>
        <v/>
      </c>
      <c r="B526" s="175"/>
      <c r="C526" s="176"/>
      <c r="D526" s="95"/>
      <c r="E526" s="105" t="s">
        <v>141</v>
      </c>
      <c r="F526" s="56"/>
      <c r="G526" s="56"/>
      <c r="H526" s="70"/>
      <c r="I526" s="37"/>
    </row>
    <row r="527" spans="1:9" x14ac:dyDescent="0.2">
      <c r="A527" s="25">
        <f>IF(F527=0,"",1+MAX(A$19:A526))</f>
        <v>406</v>
      </c>
      <c r="B527" s="175"/>
      <c r="C527" s="176"/>
      <c r="D527" s="95"/>
      <c r="E527" s="59" t="s">
        <v>142</v>
      </c>
      <c r="F527" s="56">
        <v>426</v>
      </c>
      <c r="G527" s="56" t="s">
        <v>30</v>
      </c>
      <c r="H527" s="67">
        <v>0</v>
      </c>
      <c r="I527" s="37">
        <f t="shared" ref="I527" si="137">F527*H527</f>
        <v>0</v>
      </c>
    </row>
    <row r="528" spans="1:9" x14ac:dyDescent="0.2">
      <c r="A528" s="25">
        <f>IF(F528=0,"",1+MAX(A$19:A527))</f>
        <v>407</v>
      </c>
      <c r="B528" s="175"/>
      <c r="C528" s="176"/>
      <c r="D528" s="95"/>
      <c r="E528" s="59" t="s">
        <v>143</v>
      </c>
      <c r="F528" s="56">
        <v>8486</v>
      </c>
      <c r="G528" s="56" t="s">
        <v>30</v>
      </c>
      <c r="H528" s="67">
        <v>0</v>
      </c>
      <c r="I528" s="37">
        <f t="shared" ref="I528" si="138">F528*H528</f>
        <v>0</v>
      </c>
    </row>
    <row r="529" spans="1:9" x14ac:dyDescent="0.2">
      <c r="A529" s="25">
        <f>IF(F529=0,"",1+MAX(A$19:A528))</f>
        <v>408</v>
      </c>
      <c r="B529" s="175"/>
      <c r="C529" s="176"/>
      <c r="D529" s="95"/>
      <c r="E529" s="59" t="s">
        <v>144</v>
      </c>
      <c r="F529" s="56">
        <v>103</v>
      </c>
      <c r="G529" s="56" t="s">
        <v>30</v>
      </c>
      <c r="H529" s="67">
        <v>0</v>
      </c>
      <c r="I529" s="37">
        <f t="shared" ref="I529:I530" si="139">F529*H529</f>
        <v>0</v>
      </c>
    </row>
    <row r="530" spans="1:9" x14ac:dyDescent="0.2">
      <c r="A530" s="25">
        <f>IF(F530=0,"",1+MAX(A$19:A529))</f>
        <v>409</v>
      </c>
      <c r="B530" s="175"/>
      <c r="C530" s="176"/>
      <c r="D530" s="95"/>
      <c r="E530" s="59" t="s">
        <v>498</v>
      </c>
      <c r="F530" s="56">
        <v>2985</v>
      </c>
      <c r="G530" s="56" t="s">
        <v>30</v>
      </c>
      <c r="H530" s="67">
        <v>0</v>
      </c>
      <c r="I530" s="37">
        <f t="shared" si="139"/>
        <v>0</v>
      </c>
    </row>
    <row r="531" spans="1:9" x14ac:dyDescent="0.2">
      <c r="A531" s="25">
        <f>IF(F531=0,"",1+MAX(A$19:A530))</f>
        <v>410</v>
      </c>
      <c r="B531" s="175"/>
      <c r="C531" s="176"/>
      <c r="D531" s="95"/>
      <c r="E531" s="59" t="s">
        <v>499</v>
      </c>
      <c r="F531" s="56">
        <v>276</v>
      </c>
      <c r="G531" s="56" t="s">
        <v>30</v>
      </c>
      <c r="H531" s="67">
        <v>0</v>
      </c>
      <c r="I531" s="37">
        <f t="shared" ref="I531" si="140">F531*H531</f>
        <v>0</v>
      </c>
    </row>
    <row r="532" spans="1:9" x14ac:dyDescent="0.2">
      <c r="A532" s="25" t="str">
        <f>IF(F532=0,"",1+MAX(A$19:A531))</f>
        <v/>
      </c>
      <c r="B532" s="175"/>
      <c r="C532" s="176"/>
      <c r="D532" s="95"/>
      <c r="E532" s="111"/>
      <c r="F532" s="56"/>
      <c r="G532" s="56"/>
      <c r="H532" s="67"/>
      <c r="I532" s="37"/>
    </row>
    <row r="533" spans="1:9" x14ac:dyDescent="0.2">
      <c r="A533" s="25" t="str">
        <f>IF(F533=0,"",1+MAX(A$19:A532))</f>
        <v/>
      </c>
      <c r="B533" s="175"/>
      <c r="C533" s="176"/>
      <c r="D533" s="95"/>
      <c r="E533" s="105" t="s">
        <v>145</v>
      </c>
      <c r="F533" s="56"/>
      <c r="G533" s="56"/>
      <c r="H533" s="67"/>
      <c r="I533" s="37"/>
    </row>
    <row r="534" spans="1:9" x14ac:dyDescent="0.2">
      <c r="A534" s="25" t="str">
        <f>IF(F534=0,"",1+MAX(A$19:A533))</f>
        <v/>
      </c>
      <c r="B534" s="175"/>
      <c r="C534" s="176"/>
      <c r="D534" s="95"/>
      <c r="E534" s="60" t="s">
        <v>146</v>
      </c>
      <c r="F534" s="56"/>
      <c r="G534" s="56"/>
      <c r="H534" s="67"/>
      <c r="I534" s="37"/>
    </row>
    <row r="535" spans="1:9" x14ac:dyDescent="0.2">
      <c r="A535" s="25" t="str">
        <f>IF(F535=0,"",1+MAX(A$19:A534))</f>
        <v/>
      </c>
      <c r="B535" s="175"/>
      <c r="C535" s="176"/>
      <c r="D535" s="95"/>
      <c r="E535" s="61" t="s">
        <v>91</v>
      </c>
      <c r="F535" s="56"/>
      <c r="G535" s="56"/>
      <c r="H535" s="67"/>
      <c r="I535" s="37"/>
    </row>
    <row r="536" spans="1:9" x14ac:dyDescent="0.2">
      <c r="A536" s="25">
        <f>IF(F536=0,"",1+MAX(A$19:A535))</f>
        <v>411</v>
      </c>
      <c r="B536" s="175"/>
      <c r="C536" s="176"/>
      <c r="D536" s="95"/>
      <c r="E536" s="112" t="s">
        <v>147</v>
      </c>
      <c r="F536" s="56">
        <v>1866</v>
      </c>
      <c r="G536" s="56" t="s">
        <v>30</v>
      </c>
      <c r="H536" s="67">
        <v>0</v>
      </c>
      <c r="I536" s="37">
        <f t="shared" ref="I536" si="141">F536*H536</f>
        <v>0</v>
      </c>
    </row>
    <row r="537" spans="1:9" x14ac:dyDescent="0.2">
      <c r="A537" s="25">
        <f>IF(F537=0,"",1+MAX(A$19:A536))</f>
        <v>412</v>
      </c>
      <c r="B537" s="175"/>
      <c r="C537" s="176"/>
      <c r="D537" s="95"/>
      <c r="E537" s="112" t="s">
        <v>148</v>
      </c>
      <c r="F537" s="56">
        <v>567</v>
      </c>
      <c r="G537" s="56" t="s">
        <v>32</v>
      </c>
      <c r="H537" s="67">
        <v>0</v>
      </c>
      <c r="I537" s="37">
        <f t="shared" ref="I537:I538" si="142">F537*H537</f>
        <v>0</v>
      </c>
    </row>
    <row r="538" spans="1:9" x14ac:dyDescent="0.2">
      <c r="A538" s="25">
        <f>IF(F538=0,"",1+MAX(A$19:A537))</f>
        <v>413</v>
      </c>
      <c r="B538" s="175"/>
      <c r="C538" s="176"/>
      <c r="D538" s="95"/>
      <c r="E538" s="112" t="s">
        <v>149</v>
      </c>
      <c r="F538" s="56">
        <f>F537*2</f>
        <v>1134</v>
      </c>
      <c r="G538" s="56" t="s">
        <v>32</v>
      </c>
      <c r="H538" s="67">
        <v>0</v>
      </c>
      <c r="I538" s="37">
        <f t="shared" si="142"/>
        <v>0</v>
      </c>
    </row>
    <row r="539" spans="1:9" x14ac:dyDescent="0.2">
      <c r="A539" s="25" t="str">
        <f>IF(F539=0,"",1+MAX(A$19:A538))</f>
        <v/>
      </c>
      <c r="B539" s="175"/>
      <c r="C539" s="176"/>
      <c r="D539" s="95"/>
      <c r="E539" s="61" t="s">
        <v>94</v>
      </c>
      <c r="F539" s="56"/>
      <c r="G539" s="56"/>
      <c r="H539" s="67"/>
      <c r="I539" s="37"/>
    </row>
    <row r="540" spans="1:9" x14ac:dyDescent="0.2">
      <c r="A540" s="25">
        <f>IF(F540=0,"",1+MAX(A$19:A539))</f>
        <v>414</v>
      </c>
      <c r="B540" s="175"/>
      <c r="C540" s="176"/>
      <c r="D540" s="95"/>
      <c r="E540" s="112" t="s">
        <v>147</v>
      </c>
      <c r="F540" s="56">
        <v>1100</v>
      </c>
      <c r="G540" s="56" t="s">
        <v>30</v>
      </c>
      <c r="H540" s="67">
        <v>0</v>
      </c>
      <c r="I540" s="37">
        <f t="shared" ref="I540:I542" si="143">F540*H540</f>
        <v>0</v>
      </c>
    </row>
    <row r="541" spans="1:9" x14ac:dyDescent="0.2">
      <c r="A541" s="25">
        <f>IF(F541=0,"",1+MAX(A$19:A540))</f>
        <v>415</v>
      </c>
      <c r="B541" s="175"/>
      <c r="C541" s="176"/>
      <c r="D541" s="95"/>
      <c r="E541" s="112" t="s">
        <v>148</v>
      </c>
      <c r="F541" s="56">
        <v>331</v>
      </c>
      <c r="G541" s="56" t="s">
        <v>32</v>
      </c>
      <c r="H541" s="67">
        <v>0</v>
      </c>
      <c r="I541" s="37">
        <f t="shared" si="143"/>
        <v>0</v>
      </c>
    </row>
    <row r="542" spans="1:9" x14ac:dyDescent="0.2">
      <c r="A542" s="25">
        <f>IF(F542=0,"",1+MAX(A$19:A541))</f>
        <v>416</v>
      </c>
      <c r="B542" s="175"/>
      <c r="C542" s="176"/>
      <c r="D542" s="95"/>
      <c r="E542" s="112" t="s">
        <v>149</v>
      </c>
      <c r="F542" s="56">
        <f>F541*2</f>
        <v>662</v>
      </c>
      <c r="G542" s="56" t="s">
        <v>32</v>
      </c>
      <c r="H542" s="67">
        <v>0</v>
      </c>
      <c r="I542" s="37">
        <f t="shared" si="143"/>
        <v>0</v>
      </c>
    </row>
    <row r="543" spans="1:9" x14ac:dyDescent="0.2">
      <c r="A543" s="25" t="str">
        <f>IF(F543=0,"",1+MAX(A$19:A542))</f>
        <v/>
      </c>
      <c r="B543" s="175"/>
      <c r="C543" s="176"/>
      <c r="D543" s="95"/>
      <c r="E543" s="61" t="s">
        <v>95</v>
      </c>
      <c r="F543" s="56"/>
      <c r="G543" s="56"/>
      <c r="H543" s="67"/>
      <c r="I543" s="37"/>
    </row>
    <row r="544" spans="1:9" x14ac:dyDescent="0.2">
      <c r="A544" s="25">
        <f>IF(F544=0,"",1+MAX(A$19:A543))</f>
        <v>417</v>
      </c>
      <c r="B544" s="175"/>
      <c r="C544" s="176"/>
      <c r="D544" s="95"/>
      <c r="E544" s="112" t="s">
        <v>147</v>
      </c>
      <c r="F544" s="56">
        <v>702</v>
      </c>
      <c r="G544" s="56" t="s">
        <v>30</v>
      </c>
      <c r="H544" s="67">
        <v>0</v>
      </c>
      <c r="I544" s="37">
        <f t="shared" ref="I544:I546" si="144">F544*H544</f>
        <v>0</v>
      </c>
    </row>
    <row r="545" spans="1:9" x14ac:dyDescent="0.2">
      <c r="A545" s="25">
        <f>IF(F545=0,"",1+MAX(A$19:A544))</f>
        <v>418</v>
      </c>
      <c r="B545" s="175"/>
      <c r="C545" s="176"/>
      <c r="D545" s="95"/>
      <c r="E545" s="112" t="s">
        <v>148</v>
      </c>
      <c r="F545" s="56">
        <v>218</v>
      </c>
      <c r="G545" s="56" t="s">
        <v>32</v>
      </c>
      <c r="H545" s="67">
        <v>0</v>
      </c>
      <c r="I545" s="37">
        <f t="shared" si="144"/>
        <v>0</v>
      </c>
    </row>
    <row r="546" spans="1:9" x14ac:dyDescent="0.2">
      <c r="A546" s="25">
        <f>IF(F546=0,"",1+MAX(A$19:A545))</f>
        <v>419</v>
      </c>
      <c r="B546" s="175"/>
      <c r="C546" s="176"/>
      <c r="D546" s="95"/>
      <c r="E546" s="112" t="s">
        <v>149</v>
      </c>
      <c r="F546" s="56">
        <f>F545*2</f>
        <v>436</v>
      </c>
      <c r="G546" s="56" t="s">
        <v>32</v>
      </c>
      <c r="H546" s="67">
        <v>0</v>
      </c>
      <c r="I546" s="37">
        <f t="shared" si="144"/>
        <v>0</v>
      </c>
    </row>
    <row r="547" spans="1:9" x14ac:dyDescent="0.2">
      <c r="A547" s="25" t="str">
        <f>IF(F547=0,"",1+MAX(A$19:A546))</f>
        <v/>
      </c>
      <c r="B547" s="175"/>
      <c r="C547" s="176"/>
      <c r="D547" s="95"/>
      <c r="E547" s="60" t="s">
        <v>150</v>
      </c>
      <c r="F547" s="56"/>
      <c r="G547" s="56"/>
      <c r="H547" s="67"/>
      <c r="I547" s="37"/>
    </row>
    <row r="548" spans="1:9" x14ac:dyDescent="0.2">
      <c r="A548" s="25">
        <f>IF(F548=0,"",1+MAX(A$19:A547))</f>
        <v>420</v>
      </c>
      <c r="B548" s="175"/>
      <c r="C548" s="176"/>
      <c r="D548" s="95"/>
      <c r="E548" s="59" t="s">
        <v>151</v>
      </c>
      <c r="F548" s="56">
        <v>2548</v>
      </c>
      <c r="G548" s="56" t="s">
        <v>32</v>
      </c>
      <c r="H548" s="67">
        <v>0</v>
      </c>
      <c r="I548" s="37">
        <f t="shared" ref="I548" si="145">F548*H548</f>
        <v>0</v>
      </c>
    </row>
    <row r="549" spans="1:9" x14ac:dyDescent="0.2">
      <c r="A549" s="25">
        <f>IF(F549=0,"",1+MAX(A$19:A548))</f>
        <v>421</v>
      </c>
      <c r="B549" s="175"/>
      <c r="C549" s="176"/>
      <c r="D549" s="95"/>
      <c r="E549" s="59" t="s">
        <v>152</v>
      </c>
      <c r="F549" s="56">
        <v>5096</v>
      </c>
      <c r="G549" s="56" t="s">
        <v>32</v>
      </c>
      <c r="H549" s="67">
        <v>0</v>
      </c>
      <c r="I549" s="37">
        <f t="shared" ref="I549" si="146">F549*H549</f>
        <v>0</v>
      </c>
    </row>
    <row r="550" spans="1:9" x14ac:dyDescent="0.2">
      <c r="A550" s="25" t="str">
        <f>IF(F550=0,"",1+MAX(A$19:A549))</f>
        <v/>
      </c>
      <c r="B550" s="175"/>
      <c r="C550" s="176"/>
      <c r="D550" s="95"/>
      <c r="E550" s="60" t="s">
        <v>153</v>
      </c>
      <c r="F550" s="56"/>
      <c r="G550" s="56"/>
      <c r="H550" s="67"/>
      <c r="I550" s="37"/>
    </row>
    <row r="551" spans="1:9" x14ac:dyDescent="0.2">
      <c r="A551" s="25" t="str">
        <f>IF(F551=0,"",1+MAX(A$19:A550))</f>
        <v/>
      </c>
      <c r="B551" s="175"/>
      <c r="C551" s="176"/>
      <c r="D551" s="95"/>
      <c r="E551" s="61" t="s">
        <v>91</v>
      </c>
      <c r="F551" s="56"/>
      <c r="G551" s="56"/>
      <c r="H551" s="67"/>
      <c r="I551" s="37"/>
    </row>
    <row r="552" spans="1:9" x14ac:dyDescent="0.2">
      <c r="A552" s="25">
        <f>IF(F552=0,"",1+MAX(A$19:A551))</f>
        <v>422</v>
      </c>
      <c r="B552" s="175"/>
      <c r="C552" s="176"/>
      <c r="D552" s="95"/>
      <c r="E552" s="108" t="s">
        <v>155</v>
      </c>
      <c r="F552" s="56">
        <f>15552+52</f>
        <v>15604</v>
      </c>
      <c r="G552" s="56" t="s">
        <v>30</v>
      </c>
      <c r="H552" s="67">
        <v>0</v>
      </c>
      <c r="I552" s="37">
        <f t="shared" ref="I552" si="147">F552*H552</f>
        <v>0</v>
      </c>
    </row>
    <row r="553" spans="1:9" x14ac:dyDescent="0.2">
      <c r="A553" s="25" t="str">
        <f>IF(F553=0,"",1+MAX(A$19:A552))</f>
        <v/>
      </c>
      <c r="B553" s="175"/>
      <c r="C553" s="176"/>
      <c r="D553" s="95"/>
      <c r="E553" s="61" t="s">
        <v>94</v>
      </c>
      <c r="F553" s="56"/>
      <c r="G553" s="56"/>
      <c r="H553" s="67"/>
      <c r="I553" s="37"/>
    </row>
    <row r="554" spans="1:9" x14ac:dyDescent="0.2">
      <c r="A554" s="25">
        <f>IF(F554=0,"",1+MAX(A$19:A553))</f>
        <v>423</v>
      </c>
      <c r="B554" s="175"/>
      <c r="C554" s="176"/>
      <c r="D554" s="95"/>
      <c r="E554" s="108" t="s">
        <v>155</v>
      </c>
      <c r="F554" s="56">
        <v>7164</v>
      </c>
      <c r="G554" s="56" t="s">
        <v>30</v>
      </c>
      <c r="H554" s="67">
        <v>0</v>
      </c>
      <c r="I554" s="37">
        <f t="shared" ref="I554" si="148">F554*H554</f>
        <v>0</v>
      </c>
    </row>
    <row r="555" spans="1:9" x14ac:dyDescent="0.2">
      <c r="A555" s="25" t="str">
        <f>IF(F555=0,"",1+MAX(A$19:A554))</f>
        <v/>
      </c>
      <c r="B555" s="175"/>
      <c r="C555" s="176"/>
      <c r="D555" s="95"/>
      <c r="E555" s="61" t="s">
        <v>95</v>
      </c>
      <c r="F555" s="56"/>
      <c r="G555" s="56"/>
      <c r="H555" s="70"/>
      <c r="I555" s="37"/>
    </row>
    <row r="556" spans="1:9" x14ac:dyDescent="0.2">
      <c r="A556" s="25">
        <f>IF(F556=0,"",1+MAX(A$19:A555))</f>
        <v>424</v>
      </c>
      <c r="B556" s="175"/>
      <c r="C556" s="176"/>
      <c r="D556" s="95"/>
      <c r="E556" s="108" t="s">
        <v>155</v>
      </c>
      <c r="F556" s="56">
        <v>4258</v>
      </c>
      <c r="G556" s="56" t="s">
        <v>30</v>
      </c>
      <c r="H556" s="67">
        <v>0</v>
      </c>
      <c r="I556" s="37">
        <f t="shared" ref="I556" si="149">F556*H556</f>
        <v>0</v>
      </c>
    </row>
    <row r="557" spans="1:9" x14ac:dyDescent="0.2">
      <c r="A557" s="25" t="str">
        <f>IF(F557=0,"",1+MAX(A$19:A556))</f>
        <v/>
      </c>
      <c r="B557" s="175"/>
      <c r="C557" s="176"/>
      <c r="D557" s="95"/>
      <c r="E557" s="60" t="s">
        <v>154</v>
      </c>
      <c r="F557" s="56"/>
      <c r="G557" s="56"/>
      <c r="H557" s="67"/>
      <c r="I557" s="37"/>
    </row>
    <row r="558" spans="1:9" x14ac:dyDescent="0.2">
      <c r="A558" s="25" t="str">
        <f>IF(F558=0,"",1+MAX(A$19:A557))</f>
        <v/>
      </c>
      <c r="B558" s="175"/>
      <c r="C558" s="176"/>
      <c r="D558" s="95"/>
      <c r="E558" s="61" t="s">
        <v>91</v>
      </c>
      <c r="F558" s="55"/>
      <c r="G558" s="56"/>
      <c r="H558" s="67"/>
      <c r="I558" s="37"/>
    </row>
    <row r="559" spans="1:9" x14ac:dyDescent="0.2">
      <c r="A559" s="25">
        <f>IF(F559=0,"",1+MAX(A$19:A558))</f>
        <v>425</v>
      </c>
      <c r="B559" s="175"/>
      <c r="C559" s="176"/>
      <c r="D559" s="95"/>
      <c r="E559" s="108" t="s">
        <v>352</v>
      </c>
      <c r="F559" s="56">
        <v>2498</v>
      </c>
      <c r="G559" s="56" t="s">
        <v>30</v>
      </c>
      <c r="H559" s="67">
        <v>0</v>
      </c>
      <c r="I559" s="37">
        <f t="shared" ref="I559" si="150">F559*H559</f>
        <v>0</v>
      </c>
    </row>
    <row r="560" spans="1:9" x14ac:dyDescent="0.2">
      <c r="A560" s="25">
        <f>IF(F560=0,"",1+MAX(A$19:A559))</f>
        <v>426</v>
      </c>
      <c r="B560" s="175"/>
      <c r="C560" s="176"/>
      <c r="D560" s="95"/>
      <c r="E560" s="108" t="s">
        <v>353</v>
      </c>
      <c r="F560" s="56">
        <v>3183</v>
      </c>
      <c r="G560" s="56" t="s">
        <v>30</v>
      </c>
      <c r="H560" s="67">
        <v>0</v>
      </c>
      <c r="I560" s="37">
        <f t="shared" ref="I560" si="151">F560*H560</f>
        <v>0</v>
      </c>
    </row>
    <row r="561" spans="1:11" x14ac:dyDescent="0.2">
      <c r="A561" s="25">
        <f>IF(F561=0,"",1+MAX(A$19:A560))</f>
        <v>427</v>
      </c>
      <c r="B561" s="175"/>
      <c r="C561" s="176"/>
      <c r="D561" s="95"/>
      <c r="E561" s="108" t="s">
        <v>354</v>
      </c>
      <c r="F561" s="56">
        <v>440</v>
      </c>
      <c r="G561" s="56" t="s">
        <v>30</v>
      </c>
      <c r="H561" s="67">
        <v>0</v>
      </c>
      <c r="I561" s="37">
        <f t="shared" ref="I561" si="152">F561*H561</f>
        <v>0</v>
      </c>
    </row>
    <row r="562" spans="1:11" x14ac:dyDescent="0.2">
      <c r="A562" s="25">
        <f>IF(F562=0,"",1+MAX(A$19:A561))</f>
        <v>428</v>
      </c>
      <c r="B562" s="175"/>
      <c r="C562" s="176"/>
      <c r="D562" s="95"/>
      <c r="E562" s="108" t="s">
        <v>355</v>
      </c>
      <c r="F562" s="56">
        <v>999</v>
      </c>
      <c r="G562" s="56" t="s">
        <v>30</v>
      </c>
      <c r="H562" s="67">
        <v>0</v>
      </c>
      <c r="I562" s="37">
        <f t="shared" ref="I562" si="153">F562*H562</f>
        <v>0</v>
      </c>
    </row>
    <row r="563" spans="1:11" x14ac:dyDescent="0.2">
      <c r="A563" s="25" t="str">
        <f>IF(F563=0,"",1+MAX(A$19:A562))</f>
        <v/>
      </c>
      <c r="B563" s="175"/>
      <c r="C563" s="176"/>
      <c r="D563" s="95"/>
      <c r="E563" s="61" t="s">
        <v>94</v>
      </c>
      <c r="F563" s="56"/>
      <c r="G563" s="56"/>
      <c r="H563" s="67"/>
      <c r="I563" s="37"/>
    </row>
    <row r="564" spans="1:11" x14ac:dyDescent="0.2">
      <c r="A564" s="25">
        <f>IF(F564=0,"",1+MAX(A$19:A563))</f>
        <v>429</v>
      </c>
      <c r="B564" s="175"/>
      <c r="C564" s="176"/>
      <c r="D564" s="95"/>
      <c r="E564" s="108" t="s">
        <v>353</v>
      </c>
      <c r="F564" s="56">
        <v>4852</v>
      </c>
      <c r="G564" s="56" t="s">
        <v>30</v>
      </c>
      <c r="H564" s="67">
        <v>0</v>
      </c>
      <c r="I564" s="37">
        <f t="shared" ref="I564" si="154">F564*H564</f>
        <v>0</v>
      </c>
    </row>
    <row r="565" spans="1:11" x14ac:dyDescent="0.2">
      <c r="A565" s="25">
        <f>IF(F565=0,"",1+MAX(A$19:A564))</f>
        <v>430</v>
      </c>
      <c r="B565" s="175"/>
      <c r="C565" s="176"/>
      <c r="D565" s="95"/>
      <c r="E565" s="108" t="s">
        <v>355</v>
      </c>
      <c r="F565" s="56">
        <v>6611</v>
      </c>
      <c r="G565" s="56" t="s">
        <v>30</v>
      </c>
      <c r="H565" s="67">
        <v>0</v>
      </c>
      <c r="I565" s="37">
        <f t="shared" ref="I565:I569" si="155">F565*H565</f>
        <v>0</v>
      </c>
    </row>
    <row r="566" spans="1:11" x14ac:dyDescent="0.2">
      <c r="A566" s="25" t="str">
        <f>IF(F566=0,"",1+MAX(A$19:A565))</f>
        <v/>
      </c>
      <c r="B566" s="175"/>
      <c r="C566" s="176"/>
      <c r="D566" s="95"/>
      <c r="E566" s="61" t="s">
        <v>95</v>
      </c>
      <c r="F566" s="56"/>
      <c r="G566" s="56"/>
      <c r="H566" s="67"/>
      <c r="I566" s="37"/>
    </row>
    <row r="567" spans="1:11" x14ac:dyDescent="0.2">
      <c r="A567" s="25">
        <f>IF(F567=0,"",1+MAX(A$19:A566))</f>
        <v>431</v>
      </c>
      <c r="B567" s="175"/>
      <c r="C567" s="176"/>
      <c r="D567" s="95"/>
      <c r="E567" s="108" t="s">
        <v>352</v>
      </c>
      <c r="F567" s="56">
        <v>389</v>
      </c>
      <c r="G567" s="56" t="s">
        <v>30</v>
      </c>
      <c r="H567" s="67">
        <v>0</v>
      </c>
      <c r="I567" s="37">
        <f t="shared" ref="I567:I568" si="156">F567*H567</f>
        <v>0</v>
      </c>
    </row>
    <row r="568" spans="1:11" x14ac:dyDescent="0.2">
      <c r="A568" s="25">
        <f>IF(F568=0,"",1+MAX(A$19:A567))</f>
        <v>432</v>
      </c>
      <c r="B568" s="175"/>
      <c r="C568" s="176"/>
      <c r="D568" s="95"/>
      <c r="E568" s="108" t="s">
        <v>353</v>
      </c>
      <c r="F568" s="56">
        <v>2377</v>
      </c>
      <c r="G568" s="56" t="s">
        <v>30</v>
      </c>
      <c r="H568" s="67">
        <v>0</v>
      </c>
      <c r="I568" s="37">
        <f t="shared" si="156"/>
        <v>0</v>
      </c>
    </row>
    <row r="569" spans="1:11" ht="17" thickBot="1" x14ac:dyDescent="0.25">
      <c r="A569" s="25">
        <f>IF(F569=0,"",1+MAX(A$19:A568))</f>
        <v>433</v>
      </c>
      <c r="B569" s="175"/>
      <c r="C569" s="176"/>
      <c r="D569" s="95"/>
      <c r="E569" s="108" t="s">
        <v>355</v>
      </c>
      <c r="F569" s="56">
        <v>2259</v>
      </c>
      <c r="G569" s="56" t="s">
        <v>30</v>
      </c>
      <c r="H569" s="67">
        <v>0</v>
      </c>
      <c r="I569" s="37">
        <f t="shared" si="155"/>
        <v>0</v>
      </c>
    </row>
    <row r="570" spans="1:11" ht="20" customHeight="1" thickTop="1" thickBot="1" x14ac:dyDescent="0.25">
      <c r="A570" s="21"/>
      <c r="B570" s="38"/>
      <c r="C570" s="39"/>
      <c r="D570" s="21"/>
      <c r="E570" s="94"/>
      <c r="F570" s="85"/>
      <c r="G570" s="85"/>
      <c r="H570" s="42" t="s">
        <v>51</v>
      </c>
      <c r="I570" s="43">
        <f>SUM(I277:I569)</f>
        <v>0</v>
      </c>
    </row>
    <row r="571" spans="1:11" ht="21" customHeight="1" thickTop="1" thickBot="1" x14ac:dyDescent="0.25">
      <c r="B571" s="1"/>
      <c r="C571" s="1"/>
      <c r="D571" s="1"/>
      <c r="E571" s="1"/>
      <c r="F571" s="1"/>
      <c r="G571" s="1"/>
      <c r="H571" s="1"/>
      <c r="I571" s="1"/>
      <c r="J571" s="1"/>
    </row>
    <row r="572" spans="1:11" ht="20" customHeight="1" thickTop="1" thickBot="1" x14ac:dyDescent="0.25">
      <c r="A572" s="21" t="s">
        <v>20</v>
      </c>
      <c r="B572" s="66" t="s">
        <v>21</v>
      </c>
      <c r="C572" s="66"/>
      <c r="D572" s="23"/>
      <c r="E572" s="24" t="s">
        <v>14</v>
      </c>
      <c r="F572" s="22" t="s">
        <v>1</v>
      </c>
      <c r="G572" s="113" t="s">
        <v>25</v>
      </c>
      <c r="H572" s="21" t="s">
        <v>2</v>
      </c>
      <c r="I572" s="22" t="s">
        <v>4</v>
      </c>
      <c r="K572" s="11" t="s">
        <v>24</v>
      </c>
    </row>
    <row r="573" spans="1:11" ht="17" thickTop="1" x14ac:dyDescent="0.2">
      <c r="A573" s="25"/>
      <c r="B573" s="181" t="s">
        <v>347</v>
      </c>
      <c r="C573" s="173"/>
      <c r="D573" s="187"/>
      <c r="E573" s="114" t="s">
        <v>99</v>
      </c>
      <c r="F573" s="51"/>
      <c r="G573" s="51"/>
      <c r="H573" s="52"/>
      <c r="I573" s="30"/>
    </row>
    <row r="574" spans="1:11" x14ac:dyDescent="0.2">
      <c r="A574" s="25">
        <f>IF(F574=0,"",1+MAX(A$19:A573))</f>
        <v>434</v>
      </c>
      <c r="B574" s="182"/>
      <c r="C574" s="175"/>
      <c r="D574" s="188"/>
      <c r="E574" s="59" t="s">
        <v>100</v>
      </c>
      <c r="F574" s="56">
        <v>45</v>
      </c>
      <c r="G574" s="56" t="s">
        <v>28</v>
      </c>
      <c r="H574" s="67">
        <v>0</v>
      </c>
      <c r="I574" s="37">
        <f t="shared" ref="I574:I575" si="157">F574*H574</f>
        <v>0</v>
      </c>
      <c r="J574" s="98" t="s">
        <v>42</v>
      </c>
      <c r="K574" s="98" t="s">
        <v>42</v>
      </c>
    </row>
    <row r="575" spans="1:11" x14ac:dyDescent="0.2">
      <c r="A575" s="25">
        <f>IF(F575=0,"",1+MAX(A$19:A574))</f>
        <v>435</v>
      </c>
      <c r="B575" s="182"/>
      <c r="C575" s="175"/>
      <c r="D575" s="188"/>
      <c r="E575" s="59" t="s">
        <v>101</v>
      </c>
      <c r="F575" s="56">
        <v>1</v>
      </c>
      <c r="G575" s="56" t="s">
        <v>28</v>
      </c>
      <c r="H575" s="67">
        <v>0</v>
      </c>
      <c r="I575" s="37">
        <f t="shared" si="157"/>
        <v>0</v>
      </c>
      <c r="J575" s="98"/>
      <c r="K575" s="98"/>
    </row>
    <row r="576" spans="1:11" x14ac:dyDescent="0.2">
      <c r="A576" s="25">
        <f>IF(F576=0,"",1+MAX(A$19:A575))</f>
        <v>436</v>
      </c>
      <c r="B576" s="182"/>
      <c r="C576" s="175"/>
      <c r="D576" s="188"/>
      <c r="E576" s="59" t="s">
        <v>102</v>
      </c>
      <c r="F576" s="56">
        <v>3</v>
      </c>
      <c r="G576" s="56" t="s">
        <v>28</v>
      </c>
      <c r="H576" s="67">
        <v>0</v>
      </c>
      <c r="I576" s="37">
        <f t="shared" ref="I576:I582" si="158">F576*H576</f>
        <v>0</v>
      </c>
      <c r="J576" s="98"/>
      <c r="K576" s="98"/>
    </row>
    <row r="577" spans="1:11" x14ac:dyDescent="0.2">
      <c r="A577" s="25">
        <f>IF(F577=0,"",1+MAX(A$19:A576))</f>
        <v>437</v>
      </c>
      <c r="B577" s="182"/>
      <c r="C577" s="175"/>
      <c r="D577" s="188"/>
      <c r="E577" s="59" t="s">
        <v>103</v>
      </c>
      <c r="F577" s="56">
        <v>3</v>
      </c>
      <c r="G577" s="56" t="s">
        <v>28</v>
      </c>
      <c r="H577" s="67">
        <v>0</v>
      </c>
      <c r="I577" s="37">
        <f t="shared" si="158"/>
        <v>0</v>
      </c>
      <c r="J577" s="98"/>
      <c r="K577" s="98"/>
    </row>
    <row r="578" spans="1:11" x14ac:dyDescent="0.2">
      <c r="A578" s="25">
        <f>IF(F578=0,"",1+MAX(A$19:A577))</f>
        <v>438</v>
      </c>
      <c r="B578" s="182"/>
      <c r="C578" s="175"/>
      <c r="D578" s="188"/>
      <c r="E578" s="59" t="s">
        <v>104</v>
      </c>
      <c r="F578" s="56">
        <v>8</v>
      </c>
      <c r="G578" s="56" t="s">
        <v>28</v>
      </c>
      <c r="H578" s="67">
        <v>0</v>
      </c>
      <c r="I578" s="37">
        <f t="shared" si="158"/>
        <v>0</v>
      </c>
      <c r="J578" s="98"/>
      <c r="K578" s="98"/>
    </row>
    <row r="579" spans="1:11" x14ac:dyDescent="0.2">
      <c r="A579" s="25">
        <f>IF(F579=0,"",1+MAX(A$19:A578))</f>
        <v>439</v>
      </c>
      <c r="B579" s="182"/>
      <c r="C579" s="175"/>
      <c r="D579" s="188"/>
      <c r="E579" s="59" t="s">
        <v>105</v>
      </c>
      <c r="F579" s="56">
        <v>7</v>
      </c>
      <c r="G579" s="56" t="s">
        <v>28</v>
      </c>
      <c r="H579" s="67">
        <v>0</v>
      </c>
      <c r="I579" s="37">
        <f t="shared" si="158"/>
        <v>0</v>
      </c>
      <c r="J579" s="98"/>
      <c r="K579" s="98"/>
    </row>
    <row r="580" spans="1:11" x14ac:dyDescent="0.2">
      <c r="A580" s="25" t="str">
        <f>IF(F580=0,"",1+MAX(A$19:A579))</f>
        <v/>
      </c>
      <c r="B580" s="182"/>
      <c r="C580" s="175"/>
      <c r="D580" s="188"/>
      <c r="E580" s="60" t="s">
        <v>91</v>
      </c>
      <c r="F580" s="56"/>
      <c r="G580" s="56"/>
      <c r="H580" s="67"/>
      <c r="I580" s="37"/>
      <c r="J580" s="98"/>
      <c r="K580" s="98"/>
    </row>
    <row r="581" spans="1:11" x14ac:dyDescent="0.2">
      <c r="A581" s="25">
        <f>IF(F581=0,"",1+MAX(A$19:A580))</f>
        <v>440</v>
      </c>
      <c r="B581" s="182"/>
      <c r="C581" s="175"/>
      <c r="D581" s="188"/>
      <c r="E581" s="59" t="s">
        <v>322</v>
      </c>
      <c r="F581" s="55">
        <v>19.55</v>
      </c>
      <c r="G581" s="56" t="s">
        <v>30</v>
      </c>
      <c r="H581" s="67">
        <v>0</v>
      </c>
      <c r="I581" s="37">
        <f t="shared" si="158"/>
        <v>0</v>
      </c>
      <c r="J581" s="98"/>
      <c r="K581" s="98"/>
    </row>
    <row r="582" spans="1:11" x14ac:dyDescent="0.2">
      <c r="A582" s="25">
        <f>IF(F582=0,"",1+MAX(A$19:A581))</f>
        <v>441</v>
      </c>
      <c r="B582" s="182"/>
      <c r="C582" s="175"/>
      <c r="D582" s="188"/>
      <c r="E582" s="59" t="s">
        <v>323</v>
      </c>
      <c r="F582" s="55">
        <v>27.9</v>
      </c>
      <c r="G582" s="56" t="s">
        <v>30</v>
      </c>
      <c r="H582" s="67">
        <v>0</v>
      </c>
      <c r="I582" s="37">
        <f t="shared" si="158"/>
        <v>0</v>
      </c>
      <c r="J582" s="98"/>
      <c r="K582" s="98"/>
    </row>
    <row r="583" spans="1:11" x14ac:dyDescent="0.2">
      <c r="A583" s="25">
        <f>IF(F583=0,"",1+MAX(A$19:A582))</f>
        <v>442</v>
      </c>
      <c r="B583" s="182"/>
      <c r="C583" s="175"/>
      <c r="D583" s="188"/>
      <c r="E583" s="59" t="s">
        <v>324</v>
      </c>
      <c r="F583" s="55">
        <v>9.34</v>
      </c>
      <c r="G583" s="56" t="s">
        <v>32</v>
      </c>
      <c r="H583" s="67">
        <v>0</v>
      </c>
      <c r="I583" s="37">
        <f t="shared" ref="I583" si="159">F583*H583</f>
        <v>0</v>
      </c>
      <c r="J583" s="98"/>
      <c r="K583" s="98"/>
    </row>
    <row r="584" spans="1:11" x14ac:dyDescent="0.2">
      <c r="A584" s="25">
        <f>IF(F584=0,"",1+MAX(A$19:A583))</f>
        <v>443</v>
      </c>
      <c r="B584" s="182"/>
      <c r="C584" s="175"/>
      <c r="D584" s="188"/>
      <c r="E584" s="59" t="s">
        <v>325</v>
      </c>
      <c r="F584" s="55">
        <v>13.69</v>
      </c>
      <c r="G584" s="56" t="s">
        <v>32</v>
      </c>
      <c r="H584" s="67">
        <v>0</v>
      </c>
      <c r="I584" s="37">
        <f t="shared" ref="I584:I595" si="160">F584*H584</f>
        <v>0</v>
      </c>
      <c r="J584" s="98"/>
      <c r="K584" s="98"/>
    </row>
    <row r="585" spans="1:11" x14ac:dyDescent="0.2">
      <c r="A585" s="25">
        <f>IF(F585=0,"",1+MAX(A$19:A584))</f>
        <v>444</v>
      </c>
      <c r="B585" s="182"/>
      <c r="C585" s="175"/>
      <c r="D585" s="188"/>
      <c r="E585" s="59" t="s">
        <v>230</v>
      </c>
      <c r="F585" s="56">
        <v>8</v>
      </c>
      <c r="G585" s="56" t="s">
        <v>28</v>
      </c>
      <c r="H585" s="57">
        <v>0</v>
      </c>
      <c r="I585" s="83">
        <f t="shared" si="160"/>
        <v>0</v>
      </c>
      <c r="J585" s="98" t="s">
        <v>42</v>
      </c>
      <c r="K585" s="98" t="s">
        <v>42</v>
      </c>
    </row>
    <row r="586" spans="1:11" x14ac:dyDescent="0.2">
      <c r="A586" s="25">
        <f>IF(F586=0,"",1+MAX(A$19:A585))</f>
        <v>445</v>
      </c>
      <c r="B586" s="182"/>
      <c r="C586" s="175"/>
      <c r="D586" s="188"/>
      <c r="E586" s="59" t="s">
        <v>231</v>
      </c>
      <c r="F586" s="56">
        <v>8</v>
      </c>
      <c r="G586" s="56" t="s">
        <v>28</v>
      </c>
      <c r="H586" s="57">
        <v>0</v>
      </c>
      <c r="I586" s="83">
        <f t="shared" si="160"/>
        <v>0</v>
      </c>
      <c r="J586" s="98"/>
      <c r="K586" s="98"/>
    </row>
    <row r="587" spans="1:11" x14ac:dyDescent="0.2">
      <c r="A587" s="25">
        <f>IF(F587=0,"",1+MAX(A$19:A586))</f>
        <v>446</v>
      </c>
      <c r="B587" s="182"/>
      <c r="C587" s="175"/>
      <c r="D587" s="188"/>
      <c r="E587" s="59" t="s">
        <v>328</v>
      </c>
      <c r="F587" s="115">
        <v>3</v>
      </c>
      <c r="G587" s="56" t="s">
        <v>28</v>
      </c>
      <c r="H587" s="116">
        <v>0</v>
      </c>
      <c r="I587" s="37">
        <f t="shared" si="160"/>
        <v>0</v>
      </c>
      <c r="J587" s="98"/>
      <c r="K587" s="98"/>
    </row>
    <row r="588" spans="1:11" x14ac:dyDescent="0.2">
      <c r="A588" s="25">
        <f>IF(F588=0,"",1+MAX(A$19:A587))</f>
        <v>447</v>
      </c>
      <c r="B588" s="182"/>
      <c r="C588" s="175"/>
      <c r="D588" s="188"/>
      <c r="E588" s="59" t="s">
        <v>329</v>
      </c>
      <c r="F588" s="115">
        <v>4</v>
      </c>
      <c r="G588" s="56" t="s">
        <v>28</v>
      </c>
      <c r="H588" s="116">
        <v>0</v>
      </c>
      <c r="I588" s="37">
        <f t="shared" si="160"/>
        <v>0</v>
      </c>
      <c r="J588" s="98"/>
      <c r="K588" s="98"/>
    </row>
    <row r="589" spans="1:11" x14ac:dyDescent="0.2">
      <c r="A589" s="25">
        <f>IF(F589=0,"",1+MAX(A$19:A588))</f>
        <v>448</v>
      </c>
      <c r="B589" s="182"/>
      <c r="C589" s="175"/>
      <c r="D589" s="188"/>
      <c r="E589" s="59" t="s">
        <v>331</v>
      </c>
      <c r="F589" s="115">
        <v>3</v>
      </c>
      <c r="G589" s="56" t="s">
        <v>28</v>
      </c>
      <c r="H589" s="116">
        <v>0</v>
      </c>
      <c r="I589" s="37">
        <f t="shared" si="160"/>
        <v>0</v>
      </c>
      <c r="J589" s="98"/>
      <c r="K589" s="98"/>
    </row>
    <row r="590" spans="1:11" x14ac:dyDescent="0.2">
      <c r="A590" s="25">
        <f>IF(F590=0,"",1+MAX(A$19:A589))</f>
        <v>449</v>
      </c>
      <c r="B590" s="182"/>
      <c r="C590" s="175"/>
      <c r="D590" s="188"/>
      <c r="E590" s="59" t="s">
        <v>332</v>
      </c>
      <c r="F590" s="115">
        <v>4</v>
      </c>
      <c r="G590" s="56" t="s">
        <v>28</v>
      </c>
      <c r="H590" s="116">
        <v>0</v>
      </c>
      <c r="I590" s="37">
        <f t="shared" si="160"/>
        <v>0</v>
      </c>
      <c r="J590" s="98"/>
      <c r="K590" s="98"/>
    </row>
    <row r="591" spans="1:11" x14ac:dyDescent="0.2">
      <c r="A591" s="25">
        <f>IF(F591=0,"",1+MAX(A$19:A590))</f>
        <v>450</v>
      </c>
      <c r="B591" s="182"/>
      <c r="C591" s="175"/>
      <c r="D591" s="188"/>
      <c r="E591" s="59" t="s">
        <v>333</v>
      </c>
      <c r="F591" s="115">
        <v>6</v>
      </c>
      <c r="G591" s="56" t="s">
        <v>28</v>
      </c>
      <c r="H591" s="116">
        <v>0</v>
      </c>
      <c r="I591" s="37">
        <f t="shared" si="160"/>
        <v>0</v>
      </c>
      <c r="J591" s="98"/>
      <c r="K591" s="98"/>
    </row>
    <row r="592" spans="1:11" x14ac:dyDescent="0.2">
      <c r="A592" s="25">
        <f>IF(F592=0,"",1+MAX(A$19:A591))</f>
        <v>451</v>
      </c>
      <c r="B592" s="182"/>
      <c r="C592" s="175"/>
      <c r="D592" s="188"/>
      <c r="E592" s="59" t="s">
        <v>334</v>
      </c>
      <c r="F592" s="115">
        <v>3</v>
      </c>
      <c r="G592" s="56" t="s">
        <v>28</v>
      </c>
      <c r="H592" s="116">
        <v>0</v>
      </c>
      <c r="I592" s="37">
        <f t="shared" si="160"/>
        <v>0</v>
      </c>
      <c r="J592" s="98"/>
      <c r="K592" s="98"/>
    </row>
    <row r="593" spans="1:11" x14ac:dyDescent="0.2">
      <c r="A593" s="25" t="str">
        <f>IF(F593=0,"",1+MAX(A$19:A592))</f>
        <v/>
      </c>
      <c r="B593" s="182"/>
      <c r="C593" s="175"/>
      <c r="D593" s="188"/>
      <c r="E593" s="60" t="s">
        <v>94</v>
      </c>
      <c r="F593" s="56"/>
      <c r="G593" s="56"/>
      <c r="H593" s="67"/>
      <c r="I593" s="37"/>
      <c r="J593" s="98"/>
      <c r="K593" s="98"/>
    </row>
    <row r="594" spans="1:11" x14ac:dyDescent="0.2">
      <c r="A594" s="25">
        <f>IF(F594=0,"",1+MAX(A$19:A593))</f>
        <v>452</v>
      </c>
      <c r="B594" s="182"/>
      <c r="C594" s="175"/>
      <c r="D594" s="188"/>
      <c r="E594" s="59" t="s">
        <v>106</v>
      </c>
      <c r="F594" s="55">
        <v>20.71</v>
      </c>
      <c r="G594" s="56" t="s">
        <v>30</v>
      </c>
      <c r="H594" s="67">
        <v>0</v>
      </c>
      <c r="I594" s="37">
        <f t="shared" si="160"/>
        <v>0</v>
      </c>
      <c r="J594" s="98"/>
      <c r="K594" s="98"/>
    </row>
    <row r="595" spans="1:11" x14ac:dyDescent="0.2">
      <c r="A595" s="25">
        <f>IF(F595=0,"",1+MAX(A$19:A594))</f>
        <v>453</v>
      </c>
      <c r="B595" s="182"/>
      <c r="C595" s="175"/>
      <c r="D595" s="188"/>
      <c r="E595" s="59" t="s">
        <v>107</v>
      </c>
      <c r="F595" s="55">
        <v>10.210000000000001</v>
      </c>
      <c r="G595" s="56" t="s">
        <v>32</v>
      </c>
      <c r="H595" s="67">
        <v>0</v>
      </c>
      <c r="I595" s="37">
        <f t="shared" si="160"/>
        <v>0</v>
      </c>
      <c r="J595" s="98"/>
      <c r="K595" s="98"/>
    </row>
    <row r="596" spans="1:11" x14ac:dyDescent="0.2">
      <c r="A596" s="25" t="str">
        <f>IF(F596=0,"",1+MAX(A$19:A595))</f>
        <v/>
      </c>
      <c r="B596" s="182"/>
      <c r="C596" s="175"/>
      <c r="D596" s="188"/>
      <c r="E596" s="60" t="s">
        <v>95</v>
      </c>
      <c r="F596" s="56"/>
      <c r="G596" s="56"/>
      <c r="H596" s="67"/>
      <c r="I596" s="37"/>
      <c r="J596" s="98"/>
      <c r="K596" s="98"/>
    </row>
    <row r="597" spans="1:11" x14ac:dyDescent="0.2">
      <c r="A597" s="25">
        <f>IF(F597=0,"",1+MAX(A$19:A596))</f>
        <v>454</v>
      </c>
      <c r="B597" s="182"/>
      <c r="C597" s="175"/>
      <c r="D597" s="188"/>
      <c r="E597" s="59" t="s">
        <v>328</v>
      </c>
      <c r="F597" s="115">
        <v>2</v>
      </c>
      <c r="G597" s="56" t="s">
        <v>28</v>
      </c>
      <c r="H597" s="116">
        <v>0</v>
      </c>
      <c r="I597" s="37">
        <f t="shared" ref="I597:I602" si="161">F597*H597</f>
        <v>0</v>
      </c>
      <c r="J597" s="98"/>
      <c r="K597" s="98"/>
    </row>
    <row r="598" spans="1:11" x14ac:dyDescent="0.2">
      <c r="A598" s="25">
        <f>IF(F598=0,"",1+MAX(A$19:A597))</f>
        <v>455</v>
      </c>
      <c r="B598" s="182"/>
      <c r="C598" s="175"/>
      <c r="D598" s="188"/>
      <c r="E598" s="59" t="s">
        <v>329</v>
      </c>
      <c r="F598" s="115">
        <v>2</v>
      </c>
      <c r="G598" s="56" t="s">
        <v>28</v>
      </c>
      <c r="H598" s="116">
        <v>0</v>
      </c>
      <c r="I598" s="37">
        <f t="shared" si="161"/>
        <v>0</v>
      </c>
      <c r="J598" s="98"/>
      <c r="K598" s="98"/>
    </row>
    <row r="599" spans="1:11" x14ac:dyDescent="0.2">
      <c r="A599" s="25">
        <f>IF(F599=0,"",1+MAX(A$19:A598))</f>
        <v>456</v>
      </c>
      <c r="B599" s="182"/>
      <c r="C599" s="175"/>
      <c r="D599" s="188"/>
      <c r="E599" s="59" t="s">
        <v>331</v>
      </c>
      <c r="F599" s="115">
        <v>2</v>
      </c>
      <c r="G599" s="56" t="s">
        <v>28</v>
      </c>
      <c r="H599" s="116">
        <v>0</v>
      </c>
      <c r="I599" s="37">
        <f t="shared" si="161"/>
        <v>0</v>
      </c>
      <c r="J599" s="98"/>
      <c r="K599" s="98"/>
    </row>
    <row r="600" spans="1:11" x14ac:dyDescent="0.2">
      <c r="A600" s="25">
        <f>IF(F600=0,"",1+MAX(A$19:A599))</f>
        <v>457</v>
      </c>
      <c r="B600" s="182"/>
      <c r="C600" s="175"/>
      <c r="D600" s="188"/>
      <c r="E600" s="59" t="s">
        <v>332</v>
      </c>
      <c r="F600" s="115">
        <v>2</v>
      </c>
      <c r="G600" s="56" t="s">
        <v>28</v>
      </c>
      <c r="H600" s="116">
        <v>0</v>
      </c>
      <c r="I600" s="37">
        <f t="shared" si="161"/>
        <v>0</v>
      </c>
      <c r="J600" s="98"/>
      <c r="K600" s="98"/>
    </row>
    <row r="601" spans="1:11" x14ac:dyDescent="0.2">
      <c r="A601" s="25">
        <f>IF(F601=0,"",1+MAX(A$19:A600))</f>
        <v>458</v>
      </c>
      <c r="B601" s="182"/>
      <c r="C601" s="175"/>
      <c r="D601" s="188"/>
      <c r="E601" s="59" t="s">
        <v>333</v>
      </c>
      <c r="F601" s="115">
        <v>3</v>
      </c>
      <c r="G601" s="56" t="s">
        <v>28</v>
      </c>
      <c r="H601" s="116">
        <v>0</v>
      </c>
      <c r="I601" s="37">
        <f t="shared" si="161"/>
        <v>0</v>
      </c>
      <c r="J601" s="98"/>
      <c r="K601" s="98"/>
    </row>
    <row r="602" spans="1:11" x14ac:dyDescent="0.2">
      <c r="A602" s="25">
        <f>IF(F602=0,"",1+MAX(A$19:A601))</f>
        <v>459</v>
      </c>
      <c r="B602" s="182"/>
      <c r="C602" s="175"/>
      <c r="D602" s="188"/>
      <c r="E602" s="59" t="s">
        <v>334</v>
      </c>
      <c r="F602" s="115">
        <v>2</v>
      </c>
      <c r="G602" s="56" t="s">
        <v>28</v>
      </c>
      <c r="H602" s="116">
        <v>0</v>
      </c>
      <c r="I602" s="37">
        <f t="shared" si="161"/>
        <v>0</v>
      </c>
      <c r="J602" s="98"/>
      <c r="K602" s="98"/>
    </row>
    <row r="603" spans="1:11" x14ac:dyDescent="0.2">
      <c r="A603" s="25">
        <f>IF(F603=0,"",1+MAX(A$19:A602))</f>
        <v>460</v>
      </c>
      <c r="B603" s="182"/>
      <c r="C603" s="175"/>
      <c r="D603" s="188"/>
      <c r="E603" s="59" t="s">
        <v>322</v>
      </c>
      <c r="F603" s="55">
        <v>10.99</v>
      </c>
      <c r="G603" s="56" t="s">
        <v>30</v>
      </c>
      <c r="H603" s="67">
        <v>0</v>
      </c>
      <c r="I603" s="37">
        <f t="shared" ref="I603:I606" si="162">F603*H603</f>
        <v>0</v>
      </c>
      <c r="J603" s="98"/>
      <c r="K603" s="98"/>
    </row>
    <row r="604" spans="1:11" x14ac:dyDescent="0.2">
      <c r="A604" s="25">
        <f>IF(F604=0,"",1+MAX(A$19:A603))</f>
        <v>461</v>
      </c>
      <c r="B604" s="182"/>
      <c r="C604" s="175"/>
      <c r="D604" s="188"/>
      <c r="E604" s="59" t="s">
        <v>323</v>
      </c>
      <c r="F604" s="55">
        <v>10.58</v>
      </c>
      <c r="G604" s="56" t="s">
        <v>30</v>
      </c>
      <c r="H604" s="67">
        <v>0</v>
      </c>
      <c r="I604" s="37">
        <f t="shared" si="162"/>
        <v>0</v>
      </c>
      <c r="J604" s="98"/>
      <c r="K604" s="98"/>
    </row>
    <row r="605" spans="1:11" x14ac:dyDescent="0.2">
      <c r="A605" s="25">
        <f>IF(F605=0,"",1+MAX(A$19:A604))</f>
        <v>462</v>
      </c>
      <c r="B605" s="182"/>
      <c r="C605" s="175"/>
      <c r="D605" s="188"/>
      <c r="E605" s="59" t="s">
        <v>325</v>
      </c>
      <c r="F605" s="55">
        <v>5.4</v>
      </c>
      <c r="G605" s="56" t="s">
        <v>32</v>
      </c>
      <c r="H605" s="67">
        <v>0</v>
      </c>
      <c r="I605" s="37">
        <f t="shared" si="162"/>
        <v>0</v>
      </c>
      <c r="J605" s="98"/>
      <c r="K605" s="98"/>
    </row>
    <row r="606" spans="1:11" ht="17" thickBot="1" x14ac:dyDescent="0.25">
      <c r="A606" s="25">
        <f>IF(F606=0,"",1+MAX(A$19:A605))</f>
        <v>463</v>
      </c>
      <c r="B606" s="182"/>
      <c r="C606" s="175"/>
      <c r="D606" s="189"/>
      <c r="E606" s="59" t="s">
        <v>324</v>
      </c>
      <c r="F606" s="55">
        <v>5.37</v>
      </c>
      <c r="G606" s="56" t="s">
        <v>32</v>
      </c>
      <c r="H606" s="67">
        <v>0</v>
      </c>
      <c r="I606" s="37">
        <f t="shared" si="162"/>
        <v>0</v>
      </c>
      <c r="J606" s="98"/>
      <c r="K606" s="98"/>
    </row>
    <row r="607" spans="1:11" ht="20" customHeight="1" thickTop="1" thickBot="1" x14ac:dyDescent="0.25">
      <c r="A607" s="117"/>
      <c r="B607" s="38"/>
      <c r="C607" s="39"/>
      <c r="D607" s="117"/>
      <c r="E607" s="62"/>
      <c r="F607" s="63"/>
      <c r="G607" s="63"/>
      <c r="H607" s="64" t="s">
        <v>501</v>
      </c>
      <c r="I607" s="43">
        <f>SUM(I573:I606)</f>
        <v>0</v>
      </c>
    </row>
    <row r="608" spans="1:11" ht="20" customHeight="1" thickTop="1" thickBot="1" x14ac:dyDescent="0.25">
      <c r="E608" s="20"/>
      <c r="F608" s="20"/>
      <c r="G608" s="20"/>
      <c r="H608" s="20"/>
      <c r="I608" s="20"/>
    </row>
    <row r="609" spans="1:11" ht="20" customHeight="1" thickTop="1" thickBot="1" x14ac:dyDescent="0.25">
      <c r="A609" s="21" t="s">
        <v>20</v>
      </c>
      <c r="B609" s="66" t="s">
        <v>21</v>
      </c>
      <c r="C609" s="24"/>
      <c r="D609" s="24"/>
      <c r="E609" s="24" t="s">
        <v>14</v>
      </c>
      <c r="F609" s="22" t="s">
        <v>1</v>
      </c>
      <c r="G609" s="22" t="s">
        <v>25</v>
      </c>
      <c r="H609" s="22" t="s">
        <v>2</v>
      </c>
      <c r="I609" s="22" t="s">
        <v>4</v>
      </c>
      <c r="K609" s="11" t="s">
        <v>24</v>
      </c>
    </row>
    <row r="610" spans="1:11" ht="20" customHeight="1" thickTop="1" x14ac:dyDescent="0.2">
      <c r="A610" s="25"/>
      <c r="B610" s="181" t="s">
        <v>349</v>
      </c>
      <c r="C610" s="174"/>
      <c r="D610" s="191"/>
      <c r="E610" s="50" t="s">
        <v>44</v>
      </c>
      <c r="F610" s="51"/>
      <c r="G610" s="51"/>
      <c r="H610" s="52"/>
      <c r="I610" s="30"/>
    </row>
    <row r="611" spans="1:11" x14ac:dyDescent="0.2">
      <c r="A611" s="25">
        <f>IF(F611=0,"",1+MAX(A$19:A609))</f>
        <v>464</v>
      </c>
      <c r="B611" s="182"/>
      <c r="C611" s="176"/>
      <c r="D611" s="192"/>
      <c r="E611" s="59" t="s">
        <v>97</v>
      </c>
      <c r="F611" s="56">
        <v>1</v>
      </c>
      <c r="G611" s="56" t="s">
        <v>28</v>
      </c>
      <c r="H611" s="67">
        <v>0</v>
      </c>
      <c r="I611" s="37">
        <f t="shared" ref="I611" si="163">F611*H611</f>
        <v>0</v>
      </c>
      <c r="J611" s="98" t="s">
        <v>42</v>
      </c>
      <c r="K611" s="98" t="s">
        <v>42</v>
      </c>
    </row>
    <row r="612" spans="1:11" ht="17" thickBot="1" x14ac:dyDescent="0.25">
      <c r="A612" s="25">
        <f>IF(F612=0,"",1+MAX(A$19:A611))</f>
        <v>465</v>
      </c>
      <c r="B612" s="183"/>
      <c r="C612" s="184"/>
      <c r="D612" s="193"/>
      <c r="E612" s="59" t="s">
        <v>98</v>
      </c>
      <c r="F612" s="56">
        <v>1</v>
      </c>
      <c r="G612" s="56" t="s">
        <v>28</v>
      </c>
      <c r="H612" s="67">
        <v>0</v>
      </c>
      <c r="I612" s="37">
        <f t="shared" ref="I612" si="164">F612*H612</f>
        <v>0</v>
      </c>
      <c r="J612" s="98" t="s">
        <v>42</v>
      </c>
      <c r="K612" s="98" t="s">
        <v>42</v>
      </c>
    </row>
    <row r="613" spans="1:11" ht="20" customHeight="1" thickTop="1" thickBot="1" x14ac:dyDescent="0.25">
      <c r="A613" s="117"/>
      <c r="B613" s="38"/>
      <c r="C613" s="39"/>
      <c r="D613" s="21"/>
      <c r="E613" s="118"/>
      <c r="F613" s="119"/>
      <c r="G613" s="119"/>
      <c r="H613" s="72" t="s">
        <v>52</v>
      </c>
      <c r="I613" s="73">
        <f>SUM(I610:I612)</f>
        <v>0</v>
      </c>
    </row>
    <row r="614" spans="1:11" ht="21" customHeight="1" thickTop="1" thickBot="1" x14ac:dyDescent="0.25">
      <c r="B614" s="1"/>
      <c r="C614" s="1"/>
      <c r="D614" s="1"/>
      <c r="E614" s="1"/>
      <c r="F614" s="1"/>
      <c r="G614" s="1"/>
      <c r="H614" s="1"/>
      <c r="I614" s="1"/>
      <c r="J614" s="1"/>
    </row>
    <row r="615" spans="1:11" ht="20" customHeight="1" thickTop="1" thickBot="1" x14ac:dyDescent="0.25">
      <c r="A615" s="21" t="s">
        <v>20</v>
      </c>
      <c r="B615" s="66" t="s">
        <v>21</v>
      </c>
      <c r="C615" s="66"/>
      <c r="D615" s="26"/>
      <c r="E615" s="23" t="s">
        <v>14</v>
      </c>
      <c r="F615" s="22" t="s">
        <v>1</v>
      </c>
      <c r="G615" s="22" t="s">
        <v>25</v>
      </c>
      <c r="H615" s="22" t="s">
        <v>2</v>
      </c>
      <c r="I615" s="22" t="s">
        <v>4</v>
      </c>
      <c r="K615" s="11" t="s">
        <v>24</v>
      </c>
    </row>
    <row r="616" spans="1:11" ht="18" thickTop="1" x14ac:dyDescent="0.2">
      <c r="A616" s="25"/>
      <c r="B616" s="181" t="s">
        <v>343</v>
      </c>
      <c r="C616" s="174"/>
      <c r="D616" s="187"/>
      <c r="E616" s="120" t="s">
        <v>156</v>
      </c>
      <c r="F616" s="121"/>
      <c r="G616" s="121"/>
      <c r="H616" s="58"/>
      <c r="I616" s="83"/>
    </row>
    <row r="617" spans="1:11" x14ac:dyDescent="0.2">
      <c r="A617" s="25"/>
      <c r="B617" s="182"/>
      <c r="C617" s="176"/>
      <c r="D617" s="188"/>
      <c r="E617" s="105" t="s">
        <v>491</v>
      </c>
      <c r="F617" s="55"/>
      <c r="G617" s="56"/>
      <c r="H617" s="58"/>
      <c r="I617" s="83"/>
    </row>
    <row r="618" spans="1:11" ht="39" x14ac:dyDescent="0.2">
      <c r="A618" s="25">
        <f>IF(F618=0,"",1+MAX(A$19:A617))</f>
        <v>466</v>
      </c>
      <c r="B618" s="182"/>
      <c r="C618" s="176"/>
      <c r="D618" s="188"/>
      <c r="E618" s="68" t="s">
        <v>584</v>
      </c>
      <c r="F618" s="55">
        <v>1</v>
      </c>
      <c r="G618" s="56" t="s">
        <v>28</v>
      </c>
      <c r="H618" s="57">
        <v>0</v>
      </c>
      <c r="I618" s="83">
        <f t="shared" ref="I618:I620" si="165">F618*H618</f>
        <v>0</v>
      </c>
      <c r="J618" s="98" t="s">
        <v>42</v>
      </c>
      <c r="K618" s="98" t="s">
        <v>42</v>
      </c>
    </row>
    <row r="619" spans="1:11" ht="26" x14ac:dyDescent="0.2">
      <c r="A619" s="25">
        <f>IF(F619=0,"",1+MAX(A$19:A618))</f>
        <v>467</v>
      </c>
      <c r="B619" s="182"/>
      <c r="C619" s="176"/>
      <c r="D619" s="188"/>
      <c r="E619" s="68" t="s">
        <v>585</v>
      </c>
      <c r="F619" s="55">
        <v>4</v>
      </c>
      <c r="G619" s="56" t="s">
        <v>28</v>
      </c>
      <c r="H619" s="57">
        <v>0</v>
      </c>
      <c r="I619" s="83">
        <f t="shared" si="165"/>
        <v>0</v>
      </c>
      <c r="J619" s="98"/>
      <c r="K619" s="98"/>
    </row>
    <row r="620" spans="1:11" x14ac:dyDescent="0.2">
      <c r="A620" s="25">
        <f>IF(F620=0,"",1+MAX(A$19:A619))</f>
        <v>468</v>
      </c>
      <c r="B620" s="182"/>
      <c r="C620" s="176"/>
      <c r="D620" s="188"/>
      <c r="E620" s="59" t="s">
        <v>157</v>
      </c>
      <c r="F620" s="55">
        <v>11136.01</v>
      </c>
      <c r="G620" s="56" t="s">
        <v>30</v>
      </c>
      <c r="H620" s="57">
        <v>0</v>
      </c>
      <c r="I620" s="83">
        <f t="shared" si="165"/>
        <v>0</v>
      </c>
      <c r="J620" s="98"/>
      <c r="K620" s="98"/>
    </row>
    <row r="621" spans="1:11" x14ac:dyDescent="0.2">
      <c r="A621" s="25" t="str">
        <f>IF(F621=0,"",1+MAX(A$19:A620))</f>
        <v/>
      </c>
      <c r="B621" s="182"/>
      <c r="C621" s="176"/>
      <c r="D621" s="188"/>
      <c r="E621" s="105" t="s">
        <v>311</v>
      </c>
      <c r="F621" s="55"/>
      <c r="G621" s="56"/>
      <c r="H621" s="57"/>
      <c r="I621" s="83"/>
      <c r="J621" s="98"/>
      <c r="K621" s="98"/>
    </row>
    <row r="622" spans="1:11" x14ac:dyDescent="0.2">
      <c r="A622" s="25">
        <f>IF(F622=0,"",1+MAX(A$19:A621))</f>
        <v>469</v>
      </c>
      <c r="B622" s="182"/>
      <c r="C622" s="176"/>
      <c r="D622" s="188"/>
      <c r="E622" s="59" t="s">
        <v>157</v>
      </c>
      <c r="F622" s="55">
        <v>10917</v>
      </c>
      <c r="G622" s="56" t="s">
        <v>30</v>
      </c>
      <c r="H622" s="57">
        <v>0</v>
      </c>
      <c r="I622" s="83">
        <f t="shared" ref="I622" si="166">F622*H622</f>
        <v>0</v>
      </c>
      <c r="J622" s="98"/>
      <c r="K622" s="98"/>
    </row>
    <row r="623" spans="1:11" x14ac:dyDescent="0.2">
      <c r="A623" s="25" t="str">
        <f>IF(F623=0,"",1+MAX(A$19:A622))</f>
        <v/>
      </c>
      <c r="B623" s="182"/>
      <c r="C623" s="176"/>
      <c r="D623" s="188"/>
      <c r="E623" s="105" t="s">
        <v>312</v>
      </c>
      <c r="F623" s="55"/>
      <c r="G623" s="56"/>
      <c r="H623" s="57"/>
      <c r="I623" s="83"/>
      <c r="J623" s="98"/>
      <c r="K623" s="98"/>
    </row>
    <row r="624" spans="1:11" x14ac:dyDescent="0.2">
      <c r="A624" s="25">
        <f>IF(F624=0,"",1+MAX(A$19:A623))</f>
        <v>470</v>
      </c>
      <c r="B624" s="182"/>
      <c r="C624" s="176"/>
      <c r="D624" s="188"/>
      <c r="E624" s="59" t="s">
        <v>157</v>
      </c>
      <c r="F624" s="55">
        <v>4260.08</v>
      </c>
      <c r="G624" s="56" t="s">
        <v>30</v>
      </c>
      <c r="H624" s="57">
        <v>0</v>
      </c>
      <c r="I624" s="83">
        <f t="shared" ref="I624" si="167">F624*H624</f>
        <v>0</v>
      </c>
      <c r="J624" s="98"/>
      <c r="K624" s="98"/>
    </row>
    <row r="625" spans="1:11" x14ac:dyDescent="0.2">
      <c r="A625" s="25" t="str">
        <f>IF(F625=0,"",1+MAX(A$19:A624))</f>
        <v/>
      </c>
      <c r="B625" s="182"/>
      <c r="C625" s="176"/>
      <c r="D625" s="188"/>
      <c r="E625" s="105" t="s">
        <v>229</v>
      </c>
      <c r="F625" s="89"/>
      <c r="G625" s="89"/>
      <c r="H625" s="58"/>
      <c r="I625" s="83"/>
    </row>
    <row r="626" spans="1:11" x14ac:dyDescent="0.2">
      <c r="A626" s="25" t="str">
        <f>IF(F626=0,"",1+MAX(A$19:A625))</f>
        <v/>
      </c>
      <c r="B626" s="182"/>
      <c r="C626" s="176"/>
      <c r="D626" s="188"/>
      <c r="E626" s="60" t="s">
        <v>91</v>
      </c>
      <c r="F626" s="56"/>
      <c r="G626" s="56"/>
      <c r="H626" s="58"/>
      <c r="I626" s="83"/>
    </row>
    <row r="627" spans="1:11" x14ac:dyDescent="0.2">
      <c r="A627" s="25">
        <f>IF(F627=0,"",1+MAX(A$19:A626))</f>
        <v>471</v>
      </c>
      <c r="B627" s="182"/>
      <c r="C627" s="176"/>
      <c r="D627" s="188"/>
      <c r="E627" s="59" t="s">
        <v>326</v>
      </c>
      <c r="F627" s="115">
        <v>3</v>
      </c>
      <c r="G627" s="56" t="s">
        <v>28</v>
      </c>
      <c r="H627" s="116">
        <v>0</v>
      </c>
      <c r="I627" s="37">
        <f t="shared" ref="I627:I631" si="168">F627*H627</f>
        <v>0</v>
      </c>
      <c r="J627" s="98"/>
      <c r="K627" s="98"/>
    </row>
    <row r="628" spans="1:11" x14ac:dyDescent="0.2">
      <c r="A628" s="25">
        <f>IF(F628=0,"",1+MAX(A$19:A627))</f>
        <v>472</v>
      </c>
      <c r="B628" s="182"/>
      <c r="C628" s="176"/>
      <c r="D628" s="188"/>
      <c r="E628" s="59" t="s">
        <v>232</v>
      </c>
      <c r="F628" s="115">
        <v>1</v>
      </c>
      <c r="G628" s="56" t="s">
        <v>28</v>
      </c>
      <c r="H628" s="116">
        <v>0</v>
      </c>
      <c r="I628" s="37">
        <f t="shared" si="168"/>
        <v>0</v>
      </c>
      <c r="J628" s="98"/>
      <c r="K628" s="98"/>
    </row>
    <row r="629" spans="1:11" x14ac:dyDescent="0.2">
      <c r="A629" s="25">
        <f>IF(F629=0,"",1+MAX(A$19:A628))</f>
        <v>473</v>
      </c>
      <c r="B629" s="182"/>
      <c r="C629" s="176"/>
      <c r="D629" s="188"/>
      <c r="E629" s="59" t="s">
        <v>233</v>
      </c>
      <c r="F629" s="115">
        <v>1</v>
      </c>
      <c r="G629" s="56" t="s">
        <v>28</v>
      </c>
      <c r="H629" s="116">
        <v>0</v>
      </c>
      <c r="I629" s="37">
        <f t="shared" si="168"/>
        <v>0</v>
      </c>
      <c r="J629" s="98"/>
      <c r="K629" s="98"/>
    </row>
    <row r="630" spans="1:11" x14ac:dyDescent="0.2">
      <c r="A630" s="25">
        <f>IF(F630=0,"",1+MAX(A$19:A629))</f>
        <v>474</v>
      </c>
      <c r="B630" s="182"/>
      <c r="C630" s="176"/>
      <c r="D630" s="188"/>
      <c r="E630" s="59" t="s">
        <v>327</v>
      </c>
      <c r="F630" s="115">
        <v>6</v>
      </c>
      <c r="G630" s="56" t="s">
        <v>28</v>
      </c>
      <c r="H630" s="116">
        <v>0</v>
      </c>
      <c r="I630" s="37">
        <f t="shared" si="168"/>
        <v>0</v>
      </c>
      <c r="J630" s="98"/>
      <c r="K630" s="98"/>
    </row>
    <row r="631" spans="1:11" x14ac:dyDescent="0.2">
      <c r="A631" s="25">
        <f>IF(F631=0,"",1+MAX(A$19:A630))</f>
        <v>475</v>
      </c>
      <c r="B631" s="182"/>
      <c r="C631" s="176"/>
      <c r="D631" s="188"/>
      <c r="E631" s="59" t="s">
        <v>539</v>
      </c>
      <c r="F631" s="115">
        <v>11</v>
      </c>
      <c r="G631" s="56" t="s">
        <v>28</v>
      </c>
      <c r="H631" s="116">
        <v>0</v>
      </c>
      <c r="I631" s="37">
        <f t="shared" si="168"/>
        <v>0</v>
      </c>
      <c r="J631" s="98"/>
      <c r="K631" s="98"/>
    </row>
    <row r="632" spans="1:11" x14ac:dyDescent="0.2">
      <c r="A632" s="25">
        <f>IF(F632=0,"",1+MAX(A$19:A631))</f>
        <v>476</v>
      </c>
      <c r="B632" s="182"/>
      <c r="C632" s="176"/>
      <c r="D632" s="188"/>
      <c r="E632" s="59" t="s">
        <v>234</v>
      </c>
      <c r="F632" s="115">
        <v>1</v>
      </c>
      <c r="G632" s="56" t="s">
        <v>28</v>
      </c>
      <c r="H632" s="116">
        <v>0</v>
      </c>
      <c r="I632" s="37">
        <f t="shared" ref="I632:I633" si="169">F632*H632</f>
        <v>0</v>
      </c>
      <c r="J632" s="98"/>
      <c r="K632" s="98"/>
    </row>
    <row r="633" spans="1:11" x14ac:dyDescent="0.2">
      <c r="A633" s="25">
        <f>IF(F633=0,"",1+MAX(A$19:A632))</f>
        <v>477</v>
      </c>
      <c r="B633" s="182"/>
      <c r="C633" s="176"/>
      <c r="D633" s="188"/>
      <c r="E633" s="59" t="s">
        <v>330</v>
      </c>
      <c r="F633" s="115">
        <v>3</v>
      </c>
      <c r="G633" s="56" t="s">
        <v>28</v>
      </c>
      <c r="H633" s="116">
        <v>0</v>
      </c>
      <c r="I633" s="37">
        <f t="shared" si="169"/>
        <v>0</v>
      </c>
      <c r="J633" s="98"/>
      <c r="K633" s="98"/>
    </row>
    <row r="634" spans="1:11" x14ac:dyDescent="0.2">
      <c r="A634" s="25">
        <f>IF(F634=0,"",1+MAX(A$19:A633))</f>
        <v>478</v>
      </c>
      <c r="B634" s="182"/>
      <c r="C634" s="176"/>
      <c r="D634" s="188"/>
      <c r="E634" s="59" t="s">
        <v>235</v>
      </c>
      <c r="F634" s="115">
        <v>4</v>
      </c>
      <c r="G634" s="56" t="s">
        <v>28</v>
      </c>
      <c r="H634" s="116">
        <v>0</v>
      </c>
      <c r="I634" s="37">
        <f t="shared" ref="I634" si="170">F634*H634</f>
        <v>0</v>
      </c>
      <c r="J634" s="98"/>
      <c r="K634" s="98"/>
    </row>
    <row r="635" spans="1:11" x14ac:dyDescent="0.2">
      <c r="A635" s="25">
        <f>IF(F635=0,"",1+MAX(A$19:A634))</f>
        <v>479</v>
      </c>
      <c r="B635" s="182"/>
      <c r="C635" s="176"/>
      <c r="D635" s="188"/>
      <c r="E635" s="59" t="s">
        <v>335</v>
      </c>
      <c r="F635" s="115">
        <v>3</v>
      </c>
      <c r="G635" s="56" t="s">
        <v>28</v>
      </c>
      <c r="H635" s="116">
        <v>0</v>
      </c>
      <c r="I635" s="37">
        <f t="shared" ref="I635" si="171">F635*H635</f>
        <v>0</v>
      </c>
    </row>
    <row r="636" spans="1:11" x14ac:dyDescent="0.2">
      <c r="A636" s="25" t="str">
        <f>IF(F636=0,"",1+MAX(A$19:A635))</f>
        <v/>
      </c>
      <c r="B636" s="182"/>
      <c r="C636" s="176"/>
      <c r="D636" s="188"/>
      <c r="E636" s="60" t="s">
        <v>94</v>
      </c>
      <c r="F636" s="115"/>
      <c r="G636" s="56"/>
      <c r="H636" s="122"/>
      <c r="I636" s="37"/>
    </row>
    <row r="637" spans="1:11" x14ac:dyDescent="0.2">
      <c r="A637" s="25">
        <f>IF(F637=0,"",1+MAX(A$19:A636))</f>
        <v>480</v>
      </c>
      <c r="B637" s="182"/>
      <c r="C637" s="176"/>
      <c r="D637" s="188"/>
      <c r="E637" s="59" t="s">
        <v>236</v>
      </c>
      <c r="F637" s="115">
        <v>4</v>
      </c>
      <c r="G637" s="56" t="s">
        <v>28</v>
      </c>
      <c r="H637" s="116">
        <v>0</v>
      </c>
      <c r="I637" s="37">
        <f t="shared" ref="I637:I714" si="172">F637*H637</f>
        <v>0</v>
      </c>
      <c r="J637" s="98" t="s">
        <v>42</v>
      </c>
      <c r="K637" s="98" t="s">
        <v>42</v>
      </c>
    </row>
    <row r="638" spans="1:11" x14ac:dyDescent="0.2">
      <c r="A638" s="25">
        <f>IF(F638=0,"",1+MAX(A$19:A637))</f>
        <v>481</v>
      </c>
      <c r="B638" s="182"/>
      <c r="C638" s="176"/>
      <c r="D638" s="188"/>
      <c r="E638" s="59" t="s">
        <v>237</v>
      </c>
      <c r="F638" s="115">
        <v>2</v>
      </c>
      <c r="G638" s="56" t="s">
        <v>28</v>
      </c>
      <c r="H638" s="116">
        <v>0</v>
      </c>
      <c r="I638" s="37">
        <f t="shared" si="172"/>
        <v>0</v>
      </c>
      <c r="J638" s="98"/>
      <c r="K638" s="98"/>
    </row>
    <row r="639" spans="1:11" x14ac:dyDescent="0.2">
      <c r="A639" s="25">
        <f>IF(F639=0,"",1+MAX(A$19:A638))</f>
        <v>482</v>
      </c>
      <c r="B639" s="182"/>
      <c r="C639" s="176"/>
      <c r="D639" s="188"/>
      <c r="E639" s="59" t="s">
        <v>238</v>
      </c>
      <c r="F639" s="115">
        <v>4</v>
      </c>
      <c r="G639" s="56" t="s">
        <v>28</v>
      </c>
      <c r="H639" s="116">
        <v>0</v>
      </c>
      <c r="I639" s="37">
        <f t="shared" si="172"/>
        <v>0</v>
      </c>
      <c r="J639" s="98"/>
      <c r="K639" s="98"/>
    </row>
    <row r="640" spans="1:11" x14ac:dyDescent="0.2">
      <c r="A640" s="25">
        <f>IF(F640=0,"",1+MAX(A$19:A639))</f>
        <v>483</v>
      </c>
      <c r="B640" s="182"/>
      <c r="C640" s="176"/>
      <c r="D640" s="188"/>
      <c r="E640" s="59" t="s">
        <v>539</v>
      </c>
      <c r="F640" s="115">
        <v>6</v>
      </c>
      <c r="G640" s="56" t="s">
        <v>28</v>
      </c>
      <c r="H640" s="116">
        <v>0</v>
      </c>
      <c r="I640" s="37">
        <f t="shared" si="172"/>
        <v>0</v>
      </c>
      <c r="J640" s="98"/>
      <c r="K640" s="98"/>
    </row>
    <row r="641" spans="1:11" x14ac:dyDescent="0.2">
      <c r="A641" s="25">
        <f>IF(F641=0,"",1+MAX(A$19:A640))</f>
        <v>484</v>
      </c>
      <c r="B641" s="182"/>
      <c r="C641" s="176"/>
      <c r="D641" s="188"/>
      <c r="E641" s="59" t="s">
        <v>239</v>
      </c>
      <c r="F641" s="115">
        <v>2</v>
      </c>
      <c r="G641" s="56" t="s">
        <v>28</v>
      </c>
      <c r="H641" s="116">
        <v>0</v>
      </c>
      <c r="I641" s="37">
        <f t="shared" si="172"/>
        <v>0</v>
      </c>
      <c r="J641" s="98"/>
      <c r="K641" s="98"/>
    </row>
    <row r="642" spans="1:11" x14ac:dyDescent="0.2">
      <c r="A642" s="25" t="str">
        <f>IF(F642=0,"",1+MAX(A$19:A641))</f>
        <v/>
      </c>
      <c r="B642" s="182"/>
      <c r="C642" s="176"/>
      <c r="D642" s="188"/>
      <c r="E642" s="60" t="s">
        <v>95</v>
      </c>
      <c r="F642" s="115"/>
      <c r="G642" s="56"/>
      <c r="H642" s="116"/>
      <c r="I642" s="37"/>
      <c r="J642" s="98"/>
      <c r="K642" s="98"/>
    </row>
    <row r="643" spans="1:11" x14ac:dyDescent="0.2">
      <c r="A643" s="25">
        <f>IF(F643=0,"",1+MAX(A$19:A642))</f>
        <v>485</v>
      </c>
      <c r="B643" s="182"/>
      <c r="C643" s="176"/>
      <c r="D643" s="188"/>
      <c r="E643" s="59" t="s">
        <v>330</v>
      </c>
      <c r="F643" s="115">
        <v>2</v>
      </c>
      <c r="G643" s="56" t="s">
        <v>28</v>
      </c>
      <c r="H643" s="116">
        <v>0</v>
      </c>
      <c r="I643" s="37">
        <f t="shared" si="172"/>
        <v>0</v>
      </c>
      <c r="J643" s="98"/>
      <c r="K643" s="98"/>
    </row>
    <row r="644" spans="1:11" x14ac:dyDescent="0.2">
      <c r="A644" s="25">
        <f>IF(F644=0,"",1+MAX(A$19:A643))</f>
        <v>486</v>
      </c>
      <c r="B644" s="182"/>
      <c r="C644" s="176"/>
      <c r="D644" s="188"/>
      <c r="E644" s="59" t="s">
        <v>336</v>
      </c>
      <c r="F644" s="115">
        <v>2</v>
      </c>
      <c r="G644" s="56" t="s">
        <v>28</v>
      </c>
      <c r="H644" s="116">
        <v>0</v>
      </c>
      <c r="I644" s="37">
        <f t="shared" ref="I644" si="173">F644*H644</f>
        <v>0</v>
      </c>
      <c r="J644" s="98"/>
      <c r="K644" s="98"/>
    </row>
    <row r="645" spans="1:11" x14ac:dyDescent="0.2">
      <c r="A645" s="25">
        <f>IF(F645=0,"",1+MAX(A$19:A644))</f>
        <v>487</v>
      </c>
      <c r="B645" s="182"/>
      <c r="C645" s="176"/>
      <c r="D645" s="188"/>
      <c r="E645" s="59" t="s">
        <v>326</v>
      </c>
      <c r="F645" s="115">
        <v>2</v>
      </c>
      <c r="G645" s="56" t="s">
        <v>28</v>
      </c>
      <c r="H645" s="116">
        <v>0</v>
      </c>
      <c r="I645" s="37">
        <f t="shared" ref="I645" si="174">F645*H645</f>
        <v>0</v>
      </c>
      <c r="J645" s="98"/>
      <c r="K645" s="98"/>
    </row>
    <row r="646" spans="1:11" x14ac:dyDescent="0.2">
      <c r="A646" s="25">
        <f>IF(F646=0,"",1+MAX(A$19:A645))</f>
        <v>488</v>
      </c>
      <c r="B646" s="182"/>
      <c r="C646" s="176"/>
      <c r="D646" s="188"/>
      <c r="E646" s="59" t="s">
        <v>327</v>
      </c>
      <c r="F646" s="115">
        <v>3</v>
      </c>
      <c r="G646" s="56" t="s">
        <v>28</v>
      </c>
      <c r="H646" s="116">
        <v>0</v>
      </c>
      <c r="I646" s="37">
        <f t="shared" si="172"/>
        <v>0</v>
      </c>
      <c r="J646" s="98"/>
      <c r="K646" s="98"/>
    </row>
    <row r="647" spans="1:11" x14ac:dyDescent="0.2">
      <c r="A647" s="25">
        <f>IF(F647=0,"",1+MAX(A$19:A646))</f>
        <v>489</v>
      </c>
      <c r="B647" s="182"/>
      <c r="C647" s="176"/>
      <c r="D647" s="188"/>
      <c r="E647" s="59" t="s">
        <v>539</v>
      </c>
      <c r="F647" s="115">
        <v>5</v>
      </c>
      <c r="G647" s="56" t="s">
        <v>28</v>
      </c>
      <c r="H647" s="116">
        <v>0</v>
      </c>
      <c r="I647" s="37">
        <f t="shared" si="172"/>
        <v>0</v>
      </c>
      <c r="J647" s="98"/>
      <c r="K647" s="98"/>
    </row>
    <row r="648" spans="1:11" ht="17" thickBot="1" x14ac:dyDescent="0.25">
      <c r="A648" s="25">
        <f>IF(F648=0,"",1+MAX(A$19:A647))</f>
        <v>490</v>
      </c>
      <c r="B648" s="182"/>
      <c r="C648" s="176"/>
      <c r="D648" s="188"/>
      <c r="E648" s="59" t="s">
        <v>335</v>
      </c>
      <c r="F648" s="115">
        <v>1</v>
      </c>
      <c r="G648" s="56" t="s">
        <v>28</v>
      </c>
      <c r="H648" s="116">
        <v>0</v>
      </c>
      <c r="I648" s="37">
        <f t="shared" si="172"/>
        <v>0</v>
      </c>
      <c r="J648" s="98"/>
      <c r="K648" s="98"/>
    </row>
    <row r="649" spans="1:11" ht="18" thickTop="1" thickBot="1" x14ac:dyDescent="0.25">
      <c r="A649" s="23"/>
      <c r="B649" s="123"/>
      <c r="C649" s="124"/>
      <c r="D649" s="23"/>
      <c r="E649" s="118"/>
      <c r="F649" s="119"/>
      <c r="G649" s="119"/>
      <c r="H649" s="72" t="s">
        <v>227</v>
      </c>
      <c r="I649" s="73">
        <f>SUM(I616:I648)</f>
        <v>0</v>
      </c>
    </row>
    <row r="650" spans="1:11" ht="21" customHeight="1" thickTop="1" thickBot="1" x14ac:dyDescent="0.25">
      <c r="B650" s="1"/>
      <c r="C650" s="1"/>
      <c r="D650" s="1"/>
      <c r="E650" s="1"/>
      <c r="F650" s="1"/>
      <c r="G650" s="1"/>
      <c r="H650" s="1"/>
      <c r="I650" s="1"/>
      <c r="J650" s="1"/>
    </row>
    <row r="651" spans="1:11" ht="20" customHeight="1" thickTop="1" thickBot="1" x14ac:dyDescent="0.25">
      <c r="A651" s="21" t="s">
        <v>20</v>
      </c>
      <c r="B651" s="66" t="s">
        <v>21</v>
      </c>
      <c r="C651" s="66"/>
      <c r="D651" s="26"/>
      <c r="E651" s="23" t="s">
        <v>14</v>
      </c>
      <c r="F651" s="23" t="s">
        <v>1</v>
      </c>
      <c r="G651" s="23" t="s">
        <v>25</v>
      </c>
      <c r="H651" s="23" t="s">
        <v>2</v>
      </c>
      <c r="I651" s="23" t="s">
        <v>4</v>
      </c>
      <c r="K651" s="11" t="s">
        <v>24</v>
      </c>
    </row>
    <row r="652" spans="1:11" ht="18" thickTop="1" x14ac:dyDescent="0.2">
      <c r="A652" s="25"/>
      <c r="B652" s="177" t="s">
        <v>342</v>
      </c>
      <c r="C652" s="174"/>
      <c r="D652" s="125"/>
      <c r="E652" s="120" t="s">
        <v>226</v>
      </c>
      <c r="F652" s="126"/>
      <c r="G652" s="126"/>
      <c r="H652" s="127"/>
      <c r="I652" s="37"/>
    </row>
    <row r="653" spans="1:11" x14ac:dyDescent="0.2">
      <c r="A653" s="25" t="str">
        <f>IF(F653=0,"",1+MAX(A$18:A652))</f>
        <v/>
      </c>
      <c r="B653" s="178"/>
      <c r="C653" s="176"/>
      <c r="D653" s="128"/>
      <c r="E653" s="129" t="s">
        <v>158</v>
      </c>
      <c r="F653" s="130"/>
      <c r="G653" s="131"/>
      <c r="H653" s="116"/>
      <c r="I653" s="37"/>
      <c r="J653" s="98"/>
      <c r="K653" s="98"/>
    </row>
    <row r="654" spans="1:11" x14ac:dyDescent="0.2">
      <c r="A654" s="25" t="str">
        <f>IF(F654=0,"",1+MAX(A$18:A653))</f>
        <v/>
      </c>
      <c r="B654" s="178"/>
      <c r="C654" s="176"/>
      <c r="D654" s="128"/>
      <c r="E654" s="132" t="s">
        <v>159</v>
      </c>
      <c r="F654" s="130"/>
      <c r="G654" s="131"/>
      <c r="H654" s="116"/>
      <c r="I654" s="37"/>
      <c r="J654" s="98"/>
      <c r="K654" s="98"/>
    </row>
    <row r="655" spans="1:11" x14ac:dyDescent="0.2">
      <c r="A655" s="25">
        <f>IF(F655=0,"",1+MAX(A$18:A654))</f>
        <v>491</v>
      </c>
      <c r="B655" s="178"/>
      <c r="C655" s="176"/>
      <c r="D655" s="128"/>
      <c r="E655" s="133" t="s">
        <v>160</v>
      </c>
      <c r="F655" s="130">
        <v>1</v>
      </c>
      <c r="G655" s="131" t="s">
        <v>28</v>
      </c>
      <c r="H655" s="116">
        <v>0</v>
      </c>
      <c r="I655" s="37">
        <f t="shared" si="172"/>
        <v>0</v>
      </c>
      <c r="J655" s="98"/>
      <c r="K655" s="98"/>
    </row>
    <row r="656" spans="1:11" x14ac:dyDescent="0.2">
      <c r="A656" s="25">
        <f>IF(F656=0,"",1+MAX(A$18:A655))</f>
        <v>492</v>
      </c>
      <c r="B656" s="178"/>
      <c r="C656" s="176"/>
      <c r="D656" s="128"/>
      <c r="E656" s="133" t="s">
        <v>161</v>
      </c>
      <c r="F656" s="130">
        <v>2</v>
      </c>
      <c r="G656" s="131" t="s">
        <v>28</v>
      </c>
      <c r="H656" s="116">
        <v>0</v>
      </c>
      <c r="I656" s="37">
        <f t="shared" si="172"/>
        <v>0</v>
      </c>
      <c r="J656" s="98"/>
      <c r="K656" s="98"/>
    </row>
    <row r="657" spans="1:11" ht="53" x14ac:dyDescent="0.2">
      <c r="A657" s="25">
        <f>IF(F657=0,"",1+MAX(A$18:A656))</f>
        <v>493</v>
      </c>
      <c r="B657" s="178"/>
      <c r="C657" s="176"/>
      <c r="D657" s="128"/>
      <c r="E657" s="134" t="s">
        <v>586</v>
      </c>
      <c r="F657" s="130">
        <v>1</v>
      </c>
      <c r="G657" s="131" t="s">
        <v>28</v>
      </c>
      <c r="H657" s="116">
        <v>0</v>
      </c>
      <c r="I657" s="37">
        <f t="shared" si="172"/>
        <v>0</v>
      </c>
      <c r="J657" s="98"/>
      <c r="K657" s="98"/>
    </row>
    <row r="658" spans="1:11" ht="53" x14ac:dyDescent="0.2">
      <c r="A658" s="25">
        <f>IF(F658=0,"",1+MAX(A$18:A657))</f>
        <v>494</v>
      </c>
      <c r="B658" s="178"/>
      <c r="C658" s="176"/>
      <c r="D658" s="128"/>
      <c r="E658" s="134" t="s">
        <v>587</v>
      </c>
      <c r="F658" s="130">
        <v>1</v>
      </c>
      <c r="G658" s="131" t="s">
        <v>28</v>
      </c>
      <c r="H658" s="116">
        <v>0</v>
      </c>
      <c r="I658" s="37">
        <f t="shared" si="172"/>
        <v>0</v>
      </c>
      <c r="J658" s="98"/>
      <c r="K658" s="98"/>
    </row>
    <row r="659" spans="1:11" ht="53" x14ac:dyDescent="0.2">
      <c r="A659" s="25">
        <f>IF(F659=0,"",1+MAX(A$18:A658))</f>
        <v>495</v>
      </c>
      <c r="B659" s="178"/>
      <c r="C659" s="176"/>
      <c r="D659" s="128"/>
      <c r="E659" s="134" t="s">
        <v>588</v>
      </c>
      <c r="F659" s="130">
        <v>1</v>
      </c>
      <c r="G659" s="131" t="s">
        <v>28</v>
      </c>
      <c r="H659" s="116">
        <v>0</v>
      </c>
      <c r="I659" s="37">
        <f t="shared" si="172"/>
        <v>0</v>
      </c>
      <c r="J659" s="98"/>
      <c r="K659" s="98"/>
    </row>
    <row r="660" spans="1:11" x14ac:dyDescent="0.2">
      <c r="A660" s="25" t="str">
        <f>IF(F660=0,"",1+MAX(A$18:A659))</f>
        <v/>
      </c>
      <c r="B660" s="178"/>
      <c r="C660" s="176"/>
      <c r="D660" s="128"/>
      <c r="E660" s="129" t="s">
        <v>29</v>
      </c>
      <c r="F660" s="130"/>
      <c r="G660" s="131"/>
      <c r="H660" s="116"/>
      <c r="I660" s="37"/>
      <c r="J660" s="98"/>
      <c r="K660" s="98"/>
    </row>
    <row r="661" spans="1:11" x14ac:dyDescent="0.2">
      <c r="A661" s="25" t="str">
        <f>IF(F661=0,"",1+MAX(A$18:A660))</f>
        <v/>
      </c>
      <c r="B661" s="178"/>
      <c r="C661" s="176"/>
      <c r="D661" s="128"/>
      <c r="E661" s="132" t="s">
        <v>162</v>
      </c>
      <c r="F661" s="130"/>
      <c r="G661" s="131"/>
      <c r="H661" s="116"/>
      <c r="I661" s="37"/>
      <c r="J661" s="98"/>
      <c r="K661" s="98"/>
    </row>
    <row r="662" spans="1:11" x14ac:dyDescent="0.2">
      <c r="A662" s="25">
        <f>IF(F662=0,"",1+MAX(A$18:A661))</f>
        <v>496</v>
      </c>
      <c r="B662" s="178"/>
      <c r="C662" s="176"/>
      <c r="D662" s="128"/>
      <c r="E662" s="133" t="s">
        <v>163</v>
      </c>
      <c r="F662" s="130">
        <v>4.87</v>
      </c>
      <c r="G662" s="131" t="s">
        <v>32</v>
      </c>
      <c r="H662" s="116">
        <v>0</v>
      </c>
      <c r="I662" s="37">
        <f t="shared" si="172"/>
        <v>0</v>
      </c>
      <c r="J662" s="98"/>
      <c r="K662" s="98"/>
    </row>
    <row r="663" spans="1:11" x14ac:dyDescent="0.2">
      <c r="A663" s="25">
        <f>IF(F663=0,"",1+MAX(A$18:A662))</f>
        <v>497</v>
      </c>
      <c r="B663" s="178"/>
      <c r="C663" s="176"/>
      <c r="D663" s="128"/>
      <c r="E663" s="133" t="s">
        <v>164</v>
      </c>
      <c r="F663" s="130">
        <v>62.88</v>
      </c>
      <c r="G663" s="131" t="s">
        <v>32</v>
      </c>
      <c r="H663" s="116">
        <v>0</v>
      </c>
      <c r="I663" s="37">
        <f t="shared" si="172"/>
        <v>0</v>
      </c>
      <c r="J663" s="98"/>
      <c r="K663" s="98"/>
    </row>
    <row r="664" spans="1:11" x14ac:dyDescent="0.2">
      <c r="A664" s="25">
        <f>IF(F664=0,"",1+MAX(A$18:A663))</f>
        <v>498</v>
      </c>
      <c r="B664" s="178"/>
      <c r="C664" s="176"/>
      <c r="D664" s="128"/>
      <c r="E664" s="133" t="s">
        <v>165</v>
      </c>
      <c r="F664" s="130">
        <v>20</v>
      </c>
      <c r="G664" s="131" t="s">
        <v>32</v>
      </c>
      <c r="H664" s="116">
        <v>0</v>
      </c>
      <c r="I664" s="37">
        <f t="shared" si="172"/>
        <v>0</v>
      </c>
      <c r="J664" s="98"/>
      <c r="K664" s="98"/>
    </row>
    <row r="665" spans="1:11" x14ac:dyDescent="0.2">
      <c r="A665" s="25">
        <f>IF(F665=0,"",1+MAX(A$18:A664))</f>
        <v>499</v>
      </c>
      <c r="B665" s="178"/>
      <c r="C665" s="176"/>
      <c r="D665" s="128"/>
      <c r="E665" s="133" t="s">
        <v>166</v>
      </c>
      <c r="F665" s="130">
        <v>12</v>
      </c>
      <c r="G665" s="131" t="s">
        <v>32</v>
      </c>
      <c r="H665" s="116">
        <v>0</v>
      </c>
      <c r="I665" s="37">
        <f t="shared" si="172"/>
        <v>0</v>
      </c>
      <c r="J665" s="98"/>
      <c r="K665" s="98"/>
    </row>
    <row r="666" spans="1:11" x14ac:dyDescent="0.2">
      <c r="A666" s="25" t="str">
        <f>IF(F666=0,"",1+MAX(A$18:A665))</f>
        <v/>
      </c>
      <c r="B666" s="178"/>
      <c r="C666" s="176"/>
      <c r="D666" s="128"/>
      <c r="E666" s="132" t="s">
        <v>167</v>
      </c>
      <c r="F666" s="130"/>
      <c r="G666" s="131"/>
      <c r="H666" s="116"/>
      <c r="I666" s="37"/>
      <c r="J666" s="98"/>
      <c r="K666" s="98"/>
    </row>
    <row r="667" spans="1:11" x14ac:dyDescent="0.2">
      <c r="A667" s="25">
        <f>IF(F667=0,"",1+MAX(A$18:A666))</f>
        <v>500</v>
      </c>
      <c r="B667" s="178"/>
      <c r="C667" s="176"/>
      <c r="D667" s="128"/>
      <c r="E667" s="133" t="s">
        <v>168</v>
      </c>
      <c r="F667" s="130">
        <v>1</v>
      </c>
      <c r="G667" s="131" t="s">
        <v>28</v>
      </c>
      <c r="H667" s="116">
        <v>0</v>
      </c>
      <c r="I667" s="37">
        <f t="shared" si="172"/>
        <v>0</v>
      </c>
      <c r="J667" s="98"/>
      <c r="K667" s="98"/>
    </row>
    <row r="668" spans="1:11" x14ac:dyDescent="0.2">
      <c r="A668" s="25">
        <f>IF(F668=0,"",1+MAX(A$18:A667))</f>
        <v>501</v>
      </c>
      <c r="B668" s="178"/>
      <c r="C668" s="176"/>
      <c r="D668" s="128"/>
      <c r="E668" s="133" t="s">
        <v>169</v>
      </c>
      <c r="F668" s="130">
        <v>1</v>
      </c>
      <c r="G668" s="131" t="s">
        <v>28</v>
      </c>
      <c r="H668" s="116">
        <v>0</v>
      </c>
      <c r="I668" s="37">
        <f t="shared" si="172"/>
        <v>0</v>
      </c>
      <c r="J668" s="98"/>
      <c r="K668" s="98"/>
    </row>
    <row r="669" spans="1:11" x14ac:dyDescent="0.2">
      <c r="A669" s="25">
        <f>IF(F669=0,"",1+MAX(A$18:A668))</f>
        <v>502</v>
      </c>
      <c r="B669" s="178"/>
      <c r="C669" s="176"/>
      <c r="D669" s="128"/>
      <c r="E669" s="133" t="s">
        <v>170</v>
      </c>
      <c r="F669" s="130">
        <v>1</v>
      </c>
      <c r="G669" s="131" t="s">
        <v>28</v>
      </c>
      <c r="H669" s="116">
        <v>0</v>
      </c>
      <c r="I669" s="37">
        <f t="shared" si="172"/>
        <v>0</v>
      </c>
      <c r="J669" s="98"/>
      <c r="K669" s="98"/>
    </row>
    <row r="670" spans="1:11" x14ac:dyDescent="0.2">
      <c r="A670" s="25">
        <f>IF(F670=0,"",1+MAX(A$18:A669))</f>
        <v>503</v>
      </c>
      <c r="B670" s="178"/>
      <c r="C670" s="176"/>
      <c r="D670" s="128"/>
      <c r="E670" s="133" t="s">
        <v>171</v>
      </c>
      <c r="F670" s="130">
        <v>1</v>
      </c>
      <c r="G670" s="131" t="s">
        <v>28</v>
      </c>
      <c r="H670" s="116">
        <v>0</v>
      </c>
      <c r="I670" s="37">
        <f t="shared" si="172"/>
        <v>0</v>
      </c>
      <c r="J670" s="98"/>
      <c r="K670" s="98"/>
    </row>
    <row r="671" spans="1:11" x14ac:dyDescent="0.2">
      <c r="A671" s="25">
        <f>IF(F671=0,"",1+MAX(A$18:A670))</f>
        <v>504</v>
      </c>
      <c r="B671" s="178"/>
      <c r="C671" s="176"/>
      <c r="D671" s="128"/>
      <c r="E671" s="133" t="s">
        <v>172</v>
      </c>
      <c r="F671" s="130">
        <v>1</v>
      </c>
      <c r="G671" s="131" t="s">
        <v>28</v>
      </c>
      <c r="H671" s="116">
        <v>0</v>
      </c>
      <c r="I671" s="37">
        <f t="shared" si="172"/>
        <v>0</v>
      </c>
      <c r="J671" s="98"/>
      <c r="K671" s="98"/>
    </row>
    <row r="672" spans="1:11" x14ac:dyDescent="0.2">
      <c r="A672" s="25">
        <f>IF(F672=0,"",1+MAX(A$18:A671))</f>
        <v>505</v>
      </c>
      <c r="B672" s="178"/>
      <c r="C672" s="176"/>
      <c r="D672" s="128"/>
      <c r="E672" s="133" t="s">
        <v>173</v>
      </c>
      <c r="F672" s="130">
        <v>2</v>
      </c>
      <c r="G672" s="131" t="s">
        <v>28</v>
      </c>
      <c r="H672" s="116">
        <v>0</v>
      </c>
      <c r="I672" s="37">
        <f t="shared" si="172"/>
        <v>0</v>
      </c>
      <c r="J672" s="98"/>
      <c r="K672" s="98"/>
    </row>
    <row r="673" spans="1:11" x14ac:dyDescent="0.2">
      <c r="A673" s="25" t="str">
        <f>IF(F673=0,"",1+MAX(A$18:A672))</f>
        <v/>
      </c>
      <c r="B673" s="178"/>
      <c r="C673" s="176"/>
      <c r="D673" s="128"/>
      <c r="E673" s="132" t="s">
        <v>337</v>
      </c>
      <c r="F673" s="130"/>
      <c r="G673" s="131"/>
      <c r="H673" s="116"/>
      <c r="I673" s="37"/>
      <c r="J673" s="98"/>
      <c r="K673" s="98"/>
    </row>
    <row r="674" spans="1:11" x14ac:dyDescent="0.2">
      <c r="A674" s="25">
        <f>IF(F674=0,"",1+MAX(A$18:A673))</f>
        <v>506</v>
      </c>
      <c r="B674" s="178"/>
      <c r="C674" s="176"/>
      <c r="D674" s="128"/>
      <c r="E674" s="133" t="s">
        <v>174</v>
      </c>
      <c r="F674" s="130">
        <v>1</v>
      </c>
      <c r="G674" s="131" t="s">
        <v>28</v>
      </c>
      <c r="H674" s="116">
        <v>0</v>
      </c>
      <c r="I674" s="37">
        <f t="shared" si="172"/>
        <v>0</v>
      </c>
      <c r="J674" s="98"/>
      <c r="K674" s="98"/>
    </row>
    <row r="675" spans="1:11" ht="53" x14ac:dyDescent="0.2">
      <c r="A675" s="25">
        <f>IF(F675=0,"",1+MAX(A$18:A674))</f>
        <v>507</v>
      </c>
      <c r="B675" s="178"/>
      <c r="C675" s="176"/>
      <c r="D675" s="128"/>
      <c r="E675" s="134" t="s">
        <v>589</v>
      </c>
      <c r="F675" s="130">
        <v>1</v>
      </c>
      <c r="G675" s="131" t="s">
        <v>28</v>
      </c>
      <c r="H675" s="116">
        <v>0</v>
      </c>
      <c r="I675" s="37">
        <f t="shared" si="172"/>
        <v>0</v>
      </c>
      <c r="J675" s="98"/>
      <c r="K675" s="98"/>
    </row>
    <row r="676" spans="1:11" ht="53" x14ac:dyDescent="0.2">
      <c r="A676" s="25">
        <f>IF(F676=0,"",1+MAX(A$18:A675))</f>
        <v>508</v>
      </c>
      <c r="B676" s="178"/>
      <c r="C676" s="176"/>
      <c r="D676" s="128"/>
      <c r="E676" s="134" t="s">
        <v>590</v>
      </c>
      <c r="F676" s="130">
        <v>1</v>
      </c>
      <c r="G676" s="131" t="s">
        <v>28</v>
      </c>
      <c r="H676" s="116">
        <v>0</v>
      </c>
      <c r="I676" s="37">
        <f t="shared" si="172"/>
        <v>0</v>
      </c>
      <c r="J676" s="98"/>
      <c r="K676" s="98"/>
    </row>
    <row r="677" spans="1:11" ht="53" x14ac:dyDescent="0.2">
      <c r="A677" s="25">
        <f>IF(F677=0,"",1+MAX(A$18:A676))</f>
        <v>509</v>
      </c>
      <c r="B677" s="178"/>
      <c r="C677" s="176"/>
      <c r="D677" s="128"/>
      <c r="E677" s="134" t="s">
        <v>591</v>
      </c>
      <c r="F677" s="130">
        <v>1</v>
      </c>
      <c r="G677" s="131" t="s">
        <v>28</v>
      </c>
      <c r="H677" s="116">
        <v>0</v>
      </c>
      <c r="I677" s="37">
        <f t="shared" si="172"/>
        <v>0</v>
      </c>
      <c r="J677" s="98"/>
      <c r="K677" s="98"/>
    </row>
    <row r="678" spans="1:11" ht="53" x14ac:dyDescent="0.2">
      <c r="A678" s="25">
        <f>IF(F678=0,"",1+MAX(A$18:A677))</f>
        <v>510</v>
      </c>
      <c r="B678" s="178"/>
      <c r="C678" s="176"/>
      <c r="D678" s="128"/>
      <c r="E678" s="134" t="s">
        <v>592</v>
      </c>
      <c r="F678" s="130">
        <v>1</v>
      </c>
      <c r="G678" s="131" t="s">
        <v>28</v>
      </c>
      <c r="H678" s="116">
        <v>0</v>
      </c>
      <c r="I678" s="37">
        <f t="shared" si="172"/>
        <v>0</v>
      </c>
      <c r="J678" s="98"/>
      <c r="K678" s="98"/>
    </row>
    <row r="679" spans="1:11" ht="53" x14ac:dyDescent="0.2">
      <c r="A679" s="25">
        <f>IF(F679=0,"",1+MAX(A$18:A678))</f>
        <v>511</v>
      </c>
      <c r="B679" s="178"/>
      <c r="C679" s="176"/>
      <c r="D679" s="128"/>
      <c r="E679" s="134" t="s">
        <v>593</v>
      </c>
      <c r="F679" s="130">
        <v>1</v>
      </c>
      <c r="G679" s="131" t="s">
        <v>28</v>
      </c>
      <c r="H679" s="116">
        <v>0</v>
      </c>
      <c r="I679" s="37">
        <f t="shared" si="172"/>
        <v>0</v>
      </c>
      <c r="J679" s="98"/>
      <c r="K679" s="98"/>
    </row>
    <row r="680" spans="1:11" ht="53" x14ac:dyDescent="0.2">
      <c r="A680" s="25">
        <f>IF(F680=0,"",1+MAX(A$18:A679))</f>
        <v>512</v>
      </c>
      <c r="B680" s="178"/>
      <c r="C680" s="176"/>
      <c r="D680" s="128"/>
      <c r="E680" s="134" t="s">
        <v>594</v>
      </c>
      <c r="F680" s="130">
        <v>1</v>
      </c>
      <c r="G680" s="131" t="s">
        <v>28</v>
      </c>
      <c r="H680" s="116">
        <v>0</v>
      </c>
      <c r="I680" s="37">
        <f t="shared" si="172"/>
        <v>0</v>
      </c>
      <c r="J680" s="98"/>
      <c r="K680" s="98"/>
    </row>
    <row r="681" spans="1:11" ht="53" x14ac:dyDescent="0.2">
      <c r="A681" s="25">
        <f>IF(F681=0,"",1+MAX(A$18:A680))</f>
        <v>513</v>
      </c>
      <c r="B681" s="178"/>
      <c r="C681" s="176"/>
      <c r="D681" s="128"/>
      <c r="E681" s="134" t="s">
        <v>595</v>
      </c>
      <c r="F681" s="130">
        <v>1</v>
      </c>
      <c r="G681" s="131" t="s">
        <v>28</v>
      </c>
      <c r="H681" s="116">
        <v>0</v>
      </c>
      <c r="I681" s="37">
        <f t="shared" si="172"/>
        <v>0</v>
      </c>
      <c r="J681" s="98"/>
      <c r="K681" s="98"/>
    </row>
    <row r="682" spans="1:11" ht="53" x14ac:dyDescent="0.2">
      <c r="A682" s="25">
        <f>IF(F682=0,"",1+MAX(A$18:A681))</f>
        <v>514</v>
      </c>
      <c r="B682" s="178"/>
      <c r="C682" s="176"/>
      <c r="D682" s="128"/>
      <c r="E682" s="134" t="s">
        <v>596</v>
      </c>
      <c r="F682" s="130">
        <v>1</v>
      </c>
      <c r="G682" s="131" t="s">
        <v>28</v>
      </c>
      <c r="H682" s="116">
        <v>0</v>
      </c>
      <c r="I682" s="37">
        <f t="shared" si="172"/>
        <v>0</v>
      </c>
      <c r="J682" s="98"/>
      <c r="K682" s="98"/>
    </row>
    <row r="683" spans="1:11" ht="53" x14ac:dyDescent="0.2">
      <c r="A683" s="25">
        <f>IF(F683=0,"",1+MAX(A$18:A682))</f>
        <v>515</v>
      </c>
      <c r="B683" s="178"/>
      <c r="C683" s="176"/>
      <c r="D683" s="128"/>
      <c r="E683" s="134" t="s">
        <v>597</v>
      </c>
      <c r="F683" s="130">
        <v>1</v>
      </c>
      <c r="G683" s="131" t="s">
        <v>28</v>
      </c>
      <c r="H683" s="116">
        <v>0</v>
      </c>
      <c r="I683" s="37">
        <f t="shared" si="172"/>
        <v>0</v>
      </c>
      <c r="J683" s="98"/>
      <c r="K683" s="98"/>
    </row>
    <row r="684" spans="1:11" ht="53" x14ac:dyDescent="0.2">
      <c r="A684" s="25">
        <f>IF(F684=0,"",1+MAX(A$18:A683))</f>
        <v>516</v>
      </c>
      <c r="B684" s="178"/>
      <c r="C684" s="176"/>
      <c r="D684" s="128"/>
      <c r="E684" s="134" t="s">
        <v>598</v>
      </c>
      <c r="F684" s="130">
        <v>1</v>
      </c>
      <c r="G684" s="131" t="s">
        <v>28</v>
      </c>
      <c r="H684" s="116">
        <v>0</v>
      </c>
      <c r="I684" s="37">
        <f t="shared" si="172"/>
        <v>0</v>
      </c>
      <c r="J684" s="98"/>
      <c r="K684" s="98"/>
    </row>
    <row r="685" spans="1:11" ht="53" x14ac:dyDescent="0.2">
      <c r="A685" s="25">
        <f>IF(F685=0,"",1+MAX(A$18:A684))</f>
        <v>517</v>
      </c>
      <c r="B685" s="178"/>
      <c r="C685" s="176"/>
      <c r="D685" s="128"/>
      <c r="E685" s="134" t="s">
        <v>599</v>
      </c>
      <c r="F685" s="130">
        <v>1</v>
      </c>
      <c r="G685" s="131" t="s">
        <v>28</v>
      </c>
      <c r="H685" s="116">
        <v>0</v>
      </c>
      <c r="I685" s="37">
        <f t="shared" si="172"/>
        <v>0</v>
      </c>
      <c r="J685" s="98"/>
      <c r="K685" s="98"/>
    </row>
    <row r="686" spans="1:11" ht="53" x14ac:dyDescent="0.2">
      <c r="A686" s="25">
        <f>IF(F686=0,"",1+MAX(A$18:A685))</f>
        <v>518</v>
      </c>
      <c r="B686" s="178"/>
      <c r="C686" s="176"/>
      <c r="D686" s="128"/>
      <c r="E686" s="134" t="s">
        <v>600</v>
      </c>
      <c r="F686" s="130">
        <v>1</v>
      </c>
      <c r="G686" s="131" t="s">
        <v>28</v>
      </c>
      <c r="H686" s="116">
        <v>0</v>
      </c>
      <c r="I686" s="37">
        <f t="shared" si="172"/>
        <v>0</v>
      </c>
      <c r="J686" s="98"/>
      <c r="K686" s="98"/>
    </row>
    <row r="687" spans="1:11" ht="53" x14ac:dyDescent="0.2">
      <c r="A687" s="25">
        <f>IF(F687=0,"",1+MAX(A$18:A686))</f>
        <v>519</v>
      </c>
      <c r="B687" s="178"/>
      <c r="C687" s="176"/>
      <c r="D687" s="128"/>
      <c r="E687" s="134" t="s">
        <v>601</v>
      </c>
      <c r="F687" s="130">
        <v>1</v>
      </c>
      <c r="G687" s="131" t="s">
        <v>28</v>
      </c>
      <c r="H687" s="116">
        <v>0</v>
      </c>
      <c r="I687" s="37">
        <f t="shared" si="172"/>
        <v>0</v>
      </c>
      <c r="J687" s="98"/>
      <c r="K687" s="98"/>
    </row>
    <row r="688" spans="1:11" ht="53" x14ac:dyDescent="0.2">
      <c r="A688" s="25">
        <f>IF(F688=0,"",1+MAX(A$18:A687))</f>
        <v>520</v>
      </c>
      <c r="B688" s="178"/>
      <c r="C688" s="176"/>
      <c r="D688" s="128"/>
      <c r="E688" s="134" t="s">
        <v>602</v>
      </c>
      <c r="F688" s="130">
        <v>1</v>
      </c>
      <c r="G688" s="131" t="s">
        <v>28</v>
      </c>
      <c r="H688" s="116">
        <v>0</v>
      </c>
      <c r="I688" s="37">
        <f t="shared" si="172"/>
        <v>0</v>
      </c>
      <c r="J688" s="98"/>
      <c r="K688" s="98"/>
    </row>
    <row r="689" spans="1:11" ht="40" x14ac:dyDescent="0.2">
      <c r="A689" s="25">
        <f>IF(F689=0,"",1+MAX(A$18:A688))</f>
        <v>521</v>
      </c>
      <c r="B689" s="178"/>
      <c r="C689" s="176"/>
      <c r="D689" s="128"/>
      <c r="E689" s="134" t="s">
        <v>603</v>
      </c>
      <c r="F689" s="130">
        <v>1</v>
      </c>
      <c r="G689" s="131" t="s">
        <v>28</v>
      </c>
      <c r="H689" s="116">
        <v>0</v>
      </c>
      <c r="I689" s="37">
        <f t="shared" si="172"/>
        <v>0</v>
      </c>
      <c r="J689" s="98"/>
      <c r="K689" s="98"/>
    </row>
    <row r="690" spans="1:11" ht="40" x14ac:dyDescent="0.2">
      <c r="A690" s="25">
        <f>IF(F690=0,"",1+MAX(A$18:A689))</f>
        <v>522</v>
      </c>
      <c r="B690" s="178"/>
      <c r="C690" s="176"/>
      <c r="D690" s="128"/>
      <c r="E690" s="134" t="s">
        <v>604</v>
      </c>
      <c r="F690" s="130">
        <v>1</v>
      </c>
      <c r="G690" s="131" t="s">
        <v>28</v>
      </c>
      <c r="H690" s="116">
        <v>0</v>
      </c>
      <c r="I690" s="37">
        <f t="shared" si="172"/>
        <v>0</v>
      </c>
      <c r="J690" s="98"/>
      <c r="K690" s="98"/>
    </row>
    <row r="691" spans="1:11" ht="40" x14ac:dyDescent="0.2">
      <c r="A691" s="25">
        <f>IF(F691=0,"",1+MAX(A$18:A690))</f>
        <v>523</v>
      </c>
      <c r="B691" s="178"/>
      <c r="C691" s="176"/>
      <c r="D691" s="128"/>
      <c r="E691" s="134" t="s">
        <v>605</v>
      </c>
      <c r="F691" s="130">
        <v>1</v>
      </c>
      <c r="G691" s="131" t="s">
        <v>28</v>
      </c>
      <c r="H691" s="116">
        <v>0</v>
      </c>
      <c r="I691" s="37">
        <f t="shared" si="172"/>
        <v>0</v>
      </c>
      <c r="J691" s="98"/>
      <c r="K691" s="98"/>
    </row>
    <row r="692" spans="1:11" ht="40" x14ac:dyDescent="0.2">
      <c r="A692" s="25">
        <f>IF(F692=0,"",1+MAX(A$18:A691))</f>
        <v>524</v>
      </c>
      <c r="B692" s="178"/>
      <c r="C692" s="176"/>
      <c r="D692" s="128"/>
      <c r="E692" s="134" t="s">
        <v>606</v>
      </c>
      <c r="F692" s="130">
        <v>1</v>
      </c>
      <c r="G692" s="131" t="s">
        <v>28</v>
      </c>
      <c r="H692" s="116">
        <v>0</v>
      </c>
      <c r="I692" s="37">
        <f t="shared" si="172"/>
        <v>0</v>
      </c>
      <c r="J692" s="98"/>
      <c r="K692" s="98"/>
    </row>
    <row r="693" spans="1:11" ht="40" x14ac:dyDescent="0.2">
      <c r="A693" s="25">
        <f>IF(F693=0,"",1+MAX(A$18:A692))</f>
        <v>525</v>
      </c>
      <c r="B693" s="178"/>
      <c r="C693" s="176"/>
      <c r="D693" s="128"/>
      <c r="E693" s="134" t="s">
        <v>607</v>
      </c>
      <c r="F693" s="130">
        <v>3</v>
      </c>
      <c r="G693" s="131" t="s">
        <v>28</v>
      </c>
      <c r="H693" s="116">
        <v>0</v>
      </c>
      <c r="I693" s="37">
        <f t="shared" si="172"/>
        <v>0</v>
      </c>
      <c r="J693" s="98"/>
      <c r="K693" s="98"/>
    </row>
    <row r="694" spans="1:11" ht="40" x14ac:dyDescent="0.2">
      <c r="A694" s="25">
        <f>IF(F694=0,"",1+MAX(A$18:A693))</f>
        <v>526</v>
      </c>
      <c r="B694" s="178"/>
      <c r="C694" s="176"/>
      <c r="D694" s="128"/>
      <c r="E694" s="134" t="s">
        <v>608</v>
      </c>
      <c r="F694" s="130">
        <v>3</v>
      </c>
      <c r="G694" s="131" t="s">
        <v>28</v>
      </c>
      <c r="H694" s="116">
        <v>0</v>
      </c>
      <c r="I694" s="37">
        <f t="shared" si="172"/>
        <v>0</v>
      </c>
      <c r="J694" s="98"/>
      <c r="K694" s="98"/>
    </row>
    <row r="695" spans="1:11" ht="40" x14ac:dyDescent="0.2">
      <c r="A695" s="25">
        <f>IF(F695=0,"",1+MAX(A$18:A694))</f>
        <v>527</v>
      </c>
      <c r="B695" s="178"/>
      <c r="C695" s="176"/>
      <c r="D695" s="128"/>
      <c r="E695" s="135" t="s">
        <v>609</v>
      </c>
      <c r="F695" s="130">
        <v>1</v>
      </c>
      <c r="G695" s="131" t="s">
        <v>28</v>
      </c>
      <c r="H695" s="116">
        <v>0</v>
      </c>
      <c r="I695" s="37">
        <f t="shared" si="172"/>
        <v>0</v>
      </c>
      <c r="J695" s="98"/>
      <c r="K695" s="98"/>
    </row>
    <row r="696" spans="1:11" ht="27" x14ac:dyDescent="0.2">
      <c r="A696" s="25">
        <f>IF(F696=0,"",1+MAX(A$18:A695))</f>
        <v>528</v>
      </c>
      <c r="B696" s="178"/>
      <c r="C696" s="176"/>
      <c r="D696" s="128"/>
      <c r="E696" s="134" t="s">
        <v>610</v>
      </c>
      <c r="F696" s="130">
        <v>1</v>
      </c>
      <c r="G696" s="131" t="s">
        <v>28</v>
      </c>
      <c r="H696" s="116">
        <v>0</v>
      </c>
      <c r="I696" s="37">
        <f t="shared" si="172"/>
        <v>0</v>
      </c>
      <c r="J696" s="98"/>
      <c r="K696" s="98"/>
    </row>
    <row r="697" spans="1:11" ht="27" x14ac:dyDescent="0.2">
      <c r="A697" s="25">
        <f>IF(F697=0,"",1+MAX(A$18:A696))</f>
        <v>529</v>
      </c>
      <c r="B697" s="178"/>
      <c r="C697" s="176"/>
      <c r="D697" s="128"/>
      <c r="E697" s="134" t="s">
        <v>611</v>
      </c>
      <c r="F697" s="130">
        <v>1</v>
      </c>
      <c r="G697" s="131" t="s">
        <v>28</v>
      </c>
      <c r="H697" s="116">
        <v>0</v>
      </c>
      <c r="I697" s="37">
        <f t="shared" si="172"/>
        <v>0</v>
      </c>
      <c r="J697" s="98"/>
      <c r="K697" s="98"/>
    </row>
    <row r="698" spans="1:11" ht="27" x14ac:dyDescent="0.2">
      <c r="A698" s="25">
        <f>IF(F698=0,"",1+MAX(A$18:A697))</f>
        <v>530</v>
      </c>
      <c r="B698" s="178"/>
      <c r="C698" s="176"/>
      <c r="D698" s="128"/>
      <c r="E698" s="134" t="s">
        <v>612</v>
      </c>
      <c r="F698" s="130">
        <v>1</v>
      </c>
      <c r="G698" s="131" t="s">
        <v>28</v>
      </c>
      <c r="H698" s="116">
        <v>0</v>
      </c>
      <c r="I698" s="37">
        <f t="shared" si="172"/>
        <v>0</v>
      </c>
      <c r="J698" s="98"/>
      <c r="K698" s="98"/>
    </row>
    <row r="699" spans="1:11" ht="40" x14ac:dyDescent="0.2">
      <c r="A699" s="25">
        <f>IF(F699=0,"",1+MAX(A$18:A698))</f>
        <v>531</v>
      </c>
      <c r="B699" s="178"/>
      <c r="C699" s="176"/>
      <c r="D699" s="128"/>
      <c r="E699" s="134" t="s">
        <v>613</v>
      </c>
      <c r="F699" s="130">
        <v>1</v>
      </c>
      <c r="G699" s="131" t="s">
        <v>28</v>
      </c>
      <c r="H699" s="116">
        <v>0</v>
      </c>
      <c r="I699" s="37">
        <f t="shared" si="172"/>
        <v>0</v>
      </c>
      <c r="J699" s="98"/>
      <c r="K699" s="98"/>
    </row>
    <row r="700" spans="1:11" ht="40" x14ac:dyDescent="0.2">
      <c r="A700" s="25">
        <f>IF(F700=0,"",1+MAX(A$18:A699))</f>
        <v>532</v>
      </c>
      <c r="B700" s="178"/>
      <c r="C700" s="176"/>
      <c r="D700" s="128"/>
      <c r="E700" s="134" t="s">
        <v>614</v>
      </c>
      <c r="F700" s="130">
        <v>2</v>
      </c>
      <c r="G700" s="131" t="s">
        <v>28</v>
      </c>
      <c r="H700" s="116">
        <v>0</v>
      </c>
      <c r="I700" s="37">
        <f t="shared" si="172"/>
        <v>0</v>
      </c>
      <c r="J700" s="98"/>
      <c r="K700" s="98"/>
    </row>
    <row r="701" spans="1:11" x14ac:dyDescent="0.2">
      <c r="A701" s="25">
        <f>IF(F701=0,"",1+MAX(A$18:A700))</f>
        <v>533</v>
      </c>
      <c r="B701" s="178"/>
      <c r="C701" s="176"/>
      <c r="D701" s="128"/>
      <c r="E701" s="133" t="s">
        <v>175</v>
      </c>
      <c r="F701" s="130">
        <v>1</v>
      </c>
      <c r="G701" s="131" t="s">
        <v>28</v>
      </c>
      <c r="H701" s="116">
        <v>0</v>
      </c>
      <c r="I701" s="37">
        <f t="shared" si="172"/>
        <v>0</v>
      </c>
      <c r="J701" s="98"/>
      <c r="K701" s="98"/>
    </row>
    <row r="702" spans="1:11" x14ac:dyDescent="0.2">
      <c r="A702" s="25">
        <f>IF(F702=0,"",1+MAX(A$18:A701))</f>
        <v>534</v>
      </c>
      <c r="B702" s="178"/>
      <c r="C702" s="176"/>
      <c r="D702" s="128"/>
      <c r="E702" s="133" t="s">
        <v>176</v>
      </c>
      <c r="F702" s="130">
        <v>1</v>
      </c>
      <c r="G702" s="131" t="s">
        <v>28</v>
      </c>
      <c r="H702" s="116">
        <v>0</v>
      </c>
      <c r="I702" s="37">
        <f t="shared" si="172"/>
        <v>0</v>
      </c>
      <c r="J702" s="98"/>
      <c r="K702" s="98"/>
    </row>
    <row r="703" spans="1:11" ht="53" x14ac:dyDescent="0.2">
      <c r="A703" s="25">
        <f>IF(F703=0,"",1+MAX(A$18:A702))</f>
        <v>535</v>
      </c>
      <c r="B703" s="178"/>
      <c r="C703" s="176"/>
      <c r="D703" s="128"/>
      <c r="E703" s="134" t="s">
        <v>615</v>
      </c>
      <c r="F703" s="130">
        <v>1</v>
      </c>
      <c r="G703" s="131" t="s">
        <v>28</v>
      </c>
      <c r="H703" s="116">
        <v>0</v>
      </c>
      <c r="I703" s="37">
        <f t="shared" si="172"/>
        <v>0</v>
      </c>
      <c r="J703" s="98"/>
      <c r="K703" s="98"/>
    </row>
    <row r="704" spans="1:11" ht="53" x14ac:dyDescent="0.2">
      <c r="A704" s="25">
        <f>IF(F704=0,"",1+MAX(A$18:A703))</f>
        <v>536</v>
      </c>
      <c r="B704" s="178"/>
      <c r="C704" s="176"/>
      <c r="D704" s="128"/>
      <c r="E704" s="134" t="s">
        <v>616</v>
      </c>
      <c r="F704" s="130">
        <v>1</v>
      </c>
      <c r="G704" s="131" t="s">
        <v>28</v>
      </c>
      <c r="H704" s="116">
        <v>0</v>
      </c>
      <c r="I704" s="37">
        <f t="shared" si="172"/>
        <v>0</v>
      </c>
      <c r="J704" s="98"/>
      <c r="K704" s="98"/>
    </row>
    <row r="705" spans="1:11" ht="27" x14ac:dyDescent="0.2">
      <c r="A705" s="25">
        <f>IF(F705=0,"",1+MAX(A$18:A704))</f>
        <v>537</v>
      </c>
      <c r="B705" s="178"/>
      <c r="C705" s="176"/>
      <c r="D705" s="128"/>
      <c r="E705" s="134" t="s">
        <v>617</v>
      </c>
      <c r="F705" s="130">
        <v>1</v>
      </c>
      <c r="G705" s="131" t="s">
        <v>28</v>
      </c>
      <c r="H705" s="116">
        <v>0</v>
      </c>
      <c r="I705" s="37">
        <f t="shared" si="172"/>
        <v>0</v>
      </c>
      <c r="J705" s="98"/>
      <c r="K705" s="98"/>
    </row>
    <row r="706" spans="1:11" ht="27" x14ac:dyDescent="0.2">
      <c r="A706" s="25">
        <f>IF(F706=0,"",1+MAX(A$18:A705))</f>
        <v>538</v>
      </c>
      <c r="B706" s="178"/>
      <c r="C706" s="176"/>
      <c r="D706" s="128"/>
      <c r="E706" s="134" t="s">
        <v>618</v>
      </c>
      <c r="F706" s="130">
        <v>1</v>
      </c>
      <c r="G706" s="131" t="s">
        <v>28</v>
      </c>
      <c r="H706" s="116">
        <v>0</v>
      </c>
      <c r="I706" s="37">
        <f t="shared" si="172"/>
        <v>0</v>
      </c>
      <c r="J706" s="98"/>
      <c r="K706" s="98"/>
    </row>
    <row r="707" spans="1:11" ht="27" x14ac:dyDescent="0.2">
      <c r="A707" s="25">
        <f>IF(F707=0,"",1+MAX(A$18:A706))</f>
        <v>539</v>
      </c>
      <c r="B707" s="178"/>
      <c r="C707" s="176"/>
      <c r="D707" s="128"/>
      <c r="E707" s="134" t="s">
        <v>619</v>
      </c>
      <c r="F707" s="130">
        <v>1</v>
      </c>
      <c r="G707" s="131" t="s">
        <v>28</v>
      </c>
      <c r="H707" s="116">
        <v>0</v>
      </c>
      <c r="I707" s="37">
        <f t="shared" si="172"/>
        <v>0</v>
      </c>
      <c r="J707" s="98"/>
      <c r="K707" s="98"/>
    </row>
    <row r="708" spans="1:11" ht="27" x14ac:dyDescent="0.2">
      <c r="A708" s="25">
        <f>IF(F708=0,"",1+MAX(A$18:A707))</f>
        <v>540</v>
      </c>
      <c r="B708" s="178"/>
      <c r="C708" s="176"/>
      <c r="D708" s="128"/>
      <c r="E708" s="134" t="s">
        <v>620</v>
      </c>
      <c r="F708" s="130">
        <v>1</v>
      </c>
      <c r="G708" s="131" t="s">
        <v>28</v>
      </c>
      <c r="H708" s="116">
        <v>0</v>
      </c>
      <c r="I708" s="37">
        <f t="shared" si="172"/>
        <v>0</v>
      </c>
      <c r="J708" s="98"/>
      <c r="K708" s="98"/>
    </row>
    <row r="709" spans="1:11" ht="27" x14ac:dyDescent="0.2">
      <c r="A709" s="25">
        <f>IF(F709=0,"",1+MAX(A$18:A708))</f>
        <v>541</v>
      </c>
      <c r="B709" s="178"/>
      <c r="C709" s="176"/>
      <c r="D709" s="128"/>
      <c r="E709" s="134" t="s">
        <v>621</v>
      </c>
      <c r="F709" s="130">
        <v>1</v>
      </c>
      <c r="G709" s="131" t="s">
        <v>28</v>
      </c>
      <c r="H709" s="116">
        <v>0</v>
      </c>
      <c r="I709" s="37">
        <f t="shared" si="172"/>
        <v>0</v>
      </c>
      <c r="J709" s="98"/>
      <c r="K709" s="98"/>
    </row>
    <row r="710" spans="1:11" x14ac:dyDescent="0.2">
      <c r="A710" s="25" t="str">
        <f>IF(F710=0,"",1+MAX(A$18:A709))</f>
        <v/>
      </c>
      <c r="B710" s="178"/>
      <c r="C710" s="176"/>
      <c r="D710" s="128"/>
      <c r="E710" s="129" t="s">
        <v>31</v>
      </c>
      <c r="F710" s="130"/>
      <c r="G710" s="131"/>
      <c r="H710" s="116"/>
      <c r="I710" s="37"/>
      <c r="J710" s="98"/>
      <c r="K710" s="98"/>
    </row>
    <row r="711" spans="1:11" x14ac:dyDescent="0.2">
      <c r="A711" s="25" t="str">
        <f>IF(F711=0,"",1+MAX(A$18:A710))</f>
        <v/>
      </c>
      <c r="B711" s="178"/>
      <c r="C711" s="176"/>
      <c r="D711" s="128"/>
      <c r="E711" s="132" t="s">
        <v>162</v>
      </c>
      <c r="F711" s="130"/>
      <c r="G711" s="131"/>
      <c r="H711" s="116"/>
      <c r="I711" s="37"/>
      <c r="J711" s="98"/>
      <c r="K711" s="98"/>
    </row>
    <row r="712" spans="1:11" x14ac:dyDescent="0.2">
      <c r="A712" s="25">
        <f>IF(F712=0,"",1+MAX(A$18:A711))</f>
        <v>542</v>
      </c>
      <c r="B712" s="178"/>
      <c r="C712" s="176"/>
      <c r="D712" s="128"/>
      <c r="E712" s="133" t="s">
        <v>163</v>
      </c>
      <c r="F712" s="130">
        <v>54.72</v>
      </c>
      <c r="G712" s="131" t="s">
        <v>32</v>
      </c>
      <c r="H712" s="116">
        <v>0</v>
      </c>
      <c r="I712" s="37">
        <f t="shared" si="172"/>
        <v>0</v>
      </c>
      <c r="J712" s="98"/>
      <c r="K712" s="98"/>
    </row>
    <row r="713" spans="1:11" x14ac:dyDescent="0.2">
      <c r="A713" s="25">
        <f>IF(F713=0,"",1+MAX(A$18:A712))</f>
        <v>543</v>
      </c>
      <c r="B713" s="178"/>
      <c r="C713" s="176"/>
      <c r="D713" s="128"/>
      <c r="E713" s="133" t="s">
        <v>177</v>
      </c>
      <c r="F713" s="130">
        <v>42.28</v>
      </c>
      <c r="G713" s="131" t="s">
        <v>32</v>
      </c>
      <c r="H713" s="116">
        <v>0</v>
      </c>
      <c r="I713" s="37">
        <f t="shared" si="172"/>
        <v>0</v>
      </c>
      <c r="J713" s="98"/>
      <c r="K713" s="98"/>
    </row>
    <row r="714" spans="1:11" x14ac:dyDescent="0.2">
      <c r="A714" s="25">
        <f>IF(F714=0,"",1+MAX(A$18:A713))</f>
        <v>544</v>
      </c>
      <c r="B714" s="178"/>
      <c r="C714" s="176"/>
      <c r="D714" s="128"/>
      <c r="E714" s="133" t="s">
        <v>164</v>
      </c>
      <c r="F714" s="130">
        <v>12.22</v>
      </c>
      <c r="G714" s="131" t="s">
        <v>32</v>
      </c>
      <c r="H714" s="116">
        <v>0</v>
      </c>
      <c r="I714" s="37">
        <f t="shared" si="172"/>
        <v>0</v>
      </c>
      <c r="J714" s="98"/>
      <c r="K714" s="98"/>
    </row>
    <row r="715" spans="1:11" x14ac:dyDescent="0.2">
      <c r="A715" s="25">
        <f>IF(F715=0,"",1+MAX(A$18:A714))</f>
        <v>545</v>
      </c>
      <c r="B715" s="178"/>
      <c r="C715" s="176"/>
      <c r="D715" s="128"/>
      <c r="E715" s="133" t="s">
        <v>178</v>
      </c>
      <c r="F715" s="130">
        <v>16.079999999999998</v>
      </c>
      <c r="G715" s="131" t="s">
        <v>32</v>
      </c>
      <c r="H715" s="116">
        <v>0</v>
      </c>
      <c r="I715" s="37">
        <f t="shared" ref="I715:I812" si="175">F715*H715</f>
        <v>0</v>
      </c>
      <c r="J715" s="98"/>
      <c r="K715" s="98"/>
    </row>
    <row r="716" spans="1:11" x14ac:dyDescent="0.2">
      <c r="A716" s="25">
        <f>IF(F716=0,"",1+MAX(A$18:A715))</f>
        <v>546</v>
      </c>
      <c r="B716" s="178"/>
      <c r="C716" s="176"/>
      <c r="D716" s="128"/>
      <c r="E716" s="133" t="s">
        <v>179</v>
      </c>
      <c r="F716" s="130">
        <v>9.86</v>
      </c>
      <c r="G716" s="131" t="s">
        <v>32</v>
      </c>
      <c r="H716" s="116">
        <v>0</v>
      </c>
      <c r="I716" s="37">
        <f t="shared" si="175"/>
        <v>0</v>
      </c>
      <c r="J716" s="98"/>
      <c r="K716" s="98"/>
    </row>
    <row r="717" spans="1:11" x14ac:dyDescent="0.2">
      <c r="A717" s="25">
        <f>IF(F717=0,"",1+MAX(A$18:A716))</f>
        <v>547</v>
      </c>
      <c r="B717" s="178"/>
      <c r="C717" s="176"/>
      <c r="D717" s="128"/>
      <c r="E717" s="133" t="s">
        <v>180</v>
      </c>
      <c r="F717" s="130">
        <v>13</v>
      </c>
      <c r="G717" s="131" t="s">
        <v>32</v>
      </c>
      <c r="H717" s="116">
        <v>0</v>
      </c>
      <c r="I717" s="37">
        <f t="shared" si="175"/>
        <v>0</v>
      </c>
      <c r="J717" s="98"/>
      <c r="K717" s="98"/>
    </row>
    <row r="718" spans="1:11" x14ac:dyDescent="0.2">
      <c r="A718" s="25">
        <f>IF(F718=0,"",1+MAX(A$18:A717))</f>
        <v>548</v>
      </c>
      <c r="B718" s="178"/>
      <c r="C718" s="176"/>
      <c r="D718" s="128"/>
      <c r="E718" s="133" t="s">
        <v>181</v>
      </c>
      <c r="F718" s="130">
        <v>31.5</v>
      </c>
      <c r="G718" s="131" t="s">
        <v>32</v>
      </c>
      <c r="H718" s="116">
        <v>0</v>
      </c>
      <c r="I718" s="37">
        <f t="shared" si="175"/>
        <v>0</v>
      </c>
      <c r="J718" s="98"/>
      <c r="K718" s="98"/>
    </row>
    <row r="719" spans="1:11" x14ac:dyDescent="0.2">
      <c r="A719" s="25">
        <f>IF(F719=0,"",1+MAX(A$18:A718))</f>
        <v>549</v>
      </c>
      <c r="B719" s="178"/>
      <c r="C719" s="176"/>
      <c r="D719" s="128"/>
      <c r="E719" s="133" t="s">
        <v>182</v>
      </c>
      <c r="F719" s="130">
        <v>46.91</v>
      </c>
      <c r="G719" s="131" t="s">
        <v>32</v>
      </c>
      <c r="H719" s="116">
        <v>0</v>
      </c>
      <c r="I719" s="37">
        <f t="shared" si="175"/>
        <v>0</v>
      </c>
      <c r="J719" s="98"/>
      <c r="K719" s="98"/>
    </row>
    <row r="720" spans="1:11" x14ac:dyDescent="0.2">
      <c r="A720" s="25">
        <f>IF(F720=0,"",1+MAX(A$18:A719))</f>
        <v>550</v>
      </c>
      <c r="B720" s="178"/>
      <c r="C720" s="176"/>
      <c r="D720" s="128"/>
      <c r="E720" s="133" t="s">
        <v>183</v>
      </c>
      <c r="F720" s="130">
        <v>19.760000000000002</v>
      </c>
      <c r="G720" s="131" t="s">
        <v>32</v>
      </c>
      <c r="H720" s="116">
        <v>0</v>
      </c>
      <c r="I720" s="37">
        <f t="shared" si="175"/>
        <v>0</v>
      </c>
      <c r="J720" s="98"/>
      <c r="K720" s="98"/>
    </row>
    <row r="721" spans="1:11" x14ac:dyDescent="0.2">
      <c r="A721" s="25">
        <f>IF(F721=0,"",1+MAX(A$18:A720))</f>
        <v>551</v>
      </c>
      <c r="B721" s="178"/>
      <c r="C721" s="176"/>
      <c r="D721" s="128"/>
      <c r="E721" s="133" t="s">
        <v>184</v>
      </c>
      <c r="F721" s="130">
        <v>13.09</v>
      </c>
      <c r="G721" s="131" t="s">
        <v>32</v>
      </c>
      <c r="H721" s="116">
        <v>0</v>
      </c>
      <c r="I721" s="37">
        <f t="shared" si="175"/>
        <v>0</v>
      </c>
      <c r="J721" s="98"/>
      <c r="K721" s="98"/>
    </row>
    <row r="722" spans="1:11" x14ac:dyDescent="0.2">
      <c r="A722" s="25">
        <f>IF(F722=0,"",1+MAX(A$18:A721))</f>
        <v>552</v>
      </c>
      <c r="B722" s="178"/>
      <c r="C722" s="176"/>
      <c r="D722" s="128"/>
      <c r="E722" s="133" t="s">
        <v>185</v>
      </c>
      <c r="F722" s="130">
        <v>42</v>
      </c>
      <c r="G722" s="131" t="s">
        <v>32</v>
      </c>
      <c r="H722" s="116">
        <v>0</v>
      </c>
      <c r="I722" s="37">
        <f t="shared" si="175"/>
        <v>0</v>
      </c>
      <c r="J722" s="98"/>
      <c r="K722" s="98"/>
    </row>
    <row r="723" spans="1:11" x14ac:dyDescent="0.2">
      <c r="A723" s="25">
        <f>IF(F723=0,"",1+MAX(A$18:A722))</f>
        <v>553</v>
      </c>
      <c r="B723" s="178"/>
      <c r="C723" s="176"/>
      <c r="D723" s="128"/>
      <c r="E723" s="133" t="s">
        <v>186</v>
      </c>
      <c r="F723" s="130">
        <v>4</v>
      </c>
      <c r="G723" s="131" t="s">
        <v>32</v>
      </c>
      <c r="H723" s="116">
        <v>0</v>
      </c>
      <c r="I723" s="37">
        <f t="shared" si="175"/>
        <v>0</v>
      </c>
      <c r="J723" s="98"/>
      <c r="K723" s="98"/>
    </row>
    <row r="724" spans="1:11" x14ac:dyDescent="0.2">
      <c r="A724" s="25" t="str">
        <f>IF(F724=0,"",1+MAX(A$18:A723))</f>
        <v/>
      </c>
      <c r="B724" s="178"/>
      <c r="C724" s="176"/>
      <c r="D724" s="128"/>
      <c r="E724" s="136" t="s">
        <v>167</v>
      </c>
      <c r="F724" s="130"/>
      <c r="G724" s="131"/>
      <c r="H724" s="116"/>
      <c r="I724" s="37"/>
      <c r="J724" s="98"/>
      <c r="K724" s="98"/>
    </row>
    <row r="725" spans="1:11" x14ac:dyDescent="0.2">
      <c r="A725" s="25">
        <f>IF(F725=0,"",1+MAX(A$18:A724))</f>
        <v>554</v>
      </c>
      <c r="B725" s="178"/>
      <c r="C725" s="176"/>
      <c r="D725" s="128"/>
      <c r="E725" s="133" t="s">
        <v>187</v>
      </c>
      <c r="F725" s="130">
        <v>1</v>
      </c>
      <c r="G725" s="131" t="s">
        <v>28</v>
      </c>
      <c r="H725" s="116">
        <v>0</v>
      </c>
      <c r="I725" s="37">
        <f t="shared" si="175"/>
        <v>0</v>
      </c>
      <c r="J725" s="98"/>
      <c r="K725" s="98"/>
    </row>
    <row r="726" spans="1:11" x14ac:dyDescent="0.2">
      <c r="A726" s="25">
        <f>IF(F726=0,"",1+MAX(A$18:A725))</f>
        <v>555</v>
      </c>
      <c r="B726" s="178"/>
      <c r="C726" s="176"/>
      <c r="D726" s="128"/>
      <c r="E726" s="133" t="s">
        <v>188</v>
      </c>
      <c r="F726" s="130">
        <v>2</v>
      </c>
      <c r="G726" s="131" t="s">
        <v>28</v>
      </c>
      <c r="H726" s="116">
        <v>0</v>
      </c>
      <c r="I726" s="37">
        <f t="shared" si="175"/>
        <v>0</v>
      </c>
      <c r="J726" s="98"/>
      <c r="K726" s="98"/>
    </row>
    <row r="727" spans="1:11" x14ac:dyDescent="0.2">
      <c r="A727" s="25">
        <f>IF(F727=0,"",1+MAX(A$18:A726))</f>
        <v>556</v>
      </c>
      <c r="B727" s="178"/>
      <c r="C727" s="176"/>
      <c r="D727" s="128"/>
      <c r="E727" s="133" t="s">
        <v>189</v>
      </c>
      <c r="F727" s="130">
        <v>1</v>
      </c>
      <c r="G727" s="131" t="s">
        <v>28</v>
      </c>
      <c r="H727" s="116">
        <v>0</v>
      </c>
      <c r="I727" s="37">
        <f t="shared" si="175"/>
        <v>0</v>
      </c>
      <c r="J727" s="98"/>
      <c r="K727" s="98"/>
    </row>
    <row r="728" spans="1:11" x14ac:dyDescent="0.2">
      <c r="A728" s="25">
        <f>IF(F728=0,"",1+MAX(A$18:A727))</f>
        <v>557</v>
      </c>
      <c r="B728" s="178"/>
      <c r="C728" s="176"/>
      <c r="D728" s="128"/>
      <c r="E728" s="133" t="s">
        <v>190</v>
      </c>
      <c r="F728" s="130">
        <v>1</v>
      </c>
      <c r="G728" s="131" t="s">
        <v>28</v>
      </c>
      <c r="H728" s="116">
        <v>0</v>
      </c>
      <c r="I728" s="37">
        <f t="shared" si="175"/>
        <v>0</v>
      </c>
      <c r="J728" s="98"/>
      <c r="K728" s="98"/>
    </row>
    <row r="729" spans="1:11" x14ac:dyDescent="0.2">
      <c r="A729" s="25">
        <f>IF(F729=0,"",1+MAX(A$18:A728))</f>
        <v>558</v>
      </c>
      <c r="B729" s="178"/>
      <c r="C729" s="176"/>
      <c r="D729" s="128"/>
      <c r="E729" s="133" t="s">
        <v>191</v>
      </c>
      <c r="F729" s="130">
        <v>1</v>
      </c>
      <c r="G729" s="131" t="s">
        <v>28</v>
      </c>
      <c r="H729" s="116">
        <v>0</v>
      </c>
      <c r="I729" s="37">
        <f t="shared" si="175"/>
        <v>0</v>
      </c>
      <c r="J729" s="98"/>
      <c r="K729" s="98"/>
    </row>
    <row r="730" spans="1:11" x14ac:dyDescent="0.2">
      <c r="A730" s="25">
        <f>IF(F730=0,"",1+MAX(A$18:A729))</f>
        <v>559</v>
      </c>
      <c r="B730" s="178"/>
      <c r="C730" s="176"/>
      <c r="D730" s="128"/>
      <c r="E730" s="133" t="s">
        <v>192</v>
      </c>
      <c r="F730" s="130">
        <v>2</v>
      </c>
      <c r="G730" s="131" t="s">
        <v>28</v>
      </c>
      <c r="H730" s="116">
        <v>0</v>
      </c>
      <c r="I730" s="37">
        <f t="shared" si="175"/>
        <v>0</v>
      </c>
      <c r="J730" s="98"/>
      <c r="K730" s="98"/>
    </row>
    <row r="731" spans="1:11" x14ac:dyDescent="0.2">
      <c r="A731" s="25">
        <f>IF(F731=0,"",1+MAX(A$18:A730))</f>
        <v>560</v>
      </c>
      <c r="B731" s="178"/>
      <c r="C731" s="176"/>
      <c r="D731" s="128"/>
      <c r="E731" s="133" t="s">
        <v>193</v>
      </c>
      <c r="F731" s="130">
        <v>1</v>
      </c>
      <c r="G731" s="131" t="s">
        <v>28</v>
      </c>
      <c r="H731" s="116">
        <v>0</v>
      </c>
      <c r="I731" s="37">
        <f t="shared" si="175"/>
        <v>0</v>
      </c>
      <c r="J731" s="98"/>
      <c r="K731" s="98"/>
    </row>
    <row r="732" spans="1:11" x14ac:dyDescent="0.2">
      <c r="A732" s="25">
        <f>IF(F732=0,"",1+MAX(A$18:A731))</f>
        <v>561</v>
      </c>
      <c r="B732" s="178"/>
      <c r="C732" s="176"/>
      <c r="D732" s="128"/>
      <c r="E732" s="133" t="s">
        <v>194</v>
      </c>
      <c r="F732" s="130">
        <v>1</v>
      </c>
      <c r="G732" s="131" t="s">
        <v>28</v>
      </c>
      <c r="H732" s="116">
        <v>0</v>
      </c>
      <c r="I732" s="37">
        <f t="shared" si="175"/>
        <v>0</v>
      </c>
      <c r="J732" s="98"/>
      <c r="K732" s="98"/>
    </row>
    <row r="733" spans="1:11" x14ac:dyDescent="0.2">
      <c r="A733" s="25">
        <f>IF(F733=0,"",1+MAX(A$18:A732))</f>
        <v>562</v>
      </c>
      <c r="B733" s="178"/>
      <c r="C733" s="176"/>
      <c r="D733" s="128"/>
      <c r="E733" s="133" t="s">
        <v>195</v>
      </c>
      <c r="F733" s="130">
        <v>1</v>
      </c>
      <c r="G733" s="131" t="s">
        <v>28</v>
      </c>
      <c r="H733" s="116">
        <v>0</v>
      </c>
      <c r="I733" s="37">
        <f t="shared" si="175"/>
        <v>0</v>
      </c>
      <c r="J733" s="98"/>
      <c r="K733" s="98"/>
    </row>
    <row r="734" spans="1:11" x14ac:dyDescent="0.2">
      <c r="A734" s="25">
        <f>IF(F734=0,"",1+MAX(A$18:A733))</f>
        <v>563</v>
      </c>
      <c r="B734" s="178"/>
      <c r="C734" s="176"/>
      <c r="D734" s="128"/>
      <c r="E734" s="133" t="s">
        <v>196</v>
      </c>
      <c r="F734" s="130">
        <v>1</v>
      </c>
      <c r="G734" s="131" t="s">
        <v>28</v>
      </c>
      <c r="H734" s="116">
        <v>0</v>
      </c>
      <c r="I734" s="37">
        <f t="shared" si="175"/>
        <v>0</v>
      </c>
      <c r="J734" s="98"/>
      <c r="K734" s="98"/>
    </row>
    <row r="735" spans="1:11" x14ac:dyDescent="0.2">
      <c r="A735" s="25">
        <f>IF(F735=0,"",1+MAX(A$18:A734))</f>
        <v>564</v>
      </c>
      <c r="B735" s="178"/>
      <c r="C735" s="176"/>
      <c r="D735" s="128"/>
      <c r="E735" s="133" t="s">
        <v>197</v>
      </c>
      <c r="F735" s="130">
        <v>1</v>
      </c>
      <c r="G735" s="131" t="s">
        <v>28</v>
      </c>
      <c r="H735" s="116">
        <v>0</v>
      </c>
      <c r="I735" s="37">
        <f t="shared" si="175"/>
        <v>0</v>
      </c>
      <c r="J735" s="98"/>
      <c r="K735" s="98"/>
    </row>
    <row r="736" spans="1:11" x14ac:dyDescent="0.2">
      <c r="A736" s="25">
        <f>IF(F736=0,"",1+MAX(A$18:A735))</f>
        <v>565</v>
      </c>
      <c r="B736" s="178"/>
      <c r="C736" s="176"/>
      <c r="D736" s="128"/>
      <c r="E736" s="133" t="s">
        <v>172</v>
      </c>
      <c r="F736" s="130">
        <v>5</v>
      </c>
      <c r="G736" s="131" t="s">
        <v>28</v>
      </c>
      <c r="H736" s="116">
        <v>0</v>
      </c>
      <c r="I736" s="37">
        <f t="shared" si="175"/>
        <v>0</v>
      </c>
      <c r="J736" s="98"/>
      <c r="K736" s="98"/>
    </row>
    <row r="737" spans="1:11" x14ac:dyDescent="0.2">
      <c r="A737" s="25" t="str">
        <f>IF(F737=0,"",1+MAX(A$18:A736))</f>
        <v/>
      </c>
      <c r="B737" s="178"/>
      <c r="C737" s="176"/>
      <c r="D737" s="128"/>
      <c r="E737" s="132" t="s">
        <v>337</v>
      </c>
      <c r="F737" s="130"/>
      <c r="G737" s="131"/>
      <c r="H737" s="116"/>
      <c r="I737" s="37"/>
      <c r="J737" s="98"/>
      <c r="K737" s="98"/>
    </row>
    <row r="738" spans="1:11" x14ac:dyDescent="0.2">
      <c r="A738" s="25">
        <f>IF(F738=0,"",1+MAX(A$18:A737))</f>
        <v>566</v>
      </c>
      <c r="B738" s="178"/>
      <c r="C738" s="176"/>
      <c r="D738" s="128"/>
      <c r="E738" s="133" t="s">
        <v>198</v>
      </c>
      <c r="F738" s="130">
        <v>1</v>
      </c>
      <c r="G738" s="131" t="s">
        <v>28</v>
      </c>
      <c r="H738" s="116">
        <v>0</v>
      </c>
      <c r="I738" s="37">
        <f t="shared" si="175"/>
        <v>0</v>
      </c>
      <c r="J738" s="98"/>
      <c r="K738" s="98"/>
    </row>
    <row r="739" spans="1:11" ht="53" x14ac:dyDescent="0.2">
      <c r="A739" s="25">
        <f>IF(F739=0,"",1+MAX(A$18:A738))</f>
        <v>567</v>
      </c>
      <c r="B739" s="178"/>
      <c r="C739" s="176"/>
      <c r="D739" s="128"/>
      <c r="E739" s="134" t="s">
        <v>622</v>
      </c>
      <c r="F739" s="130">
        <v>1</v>
      </c>
      <c r="G739" s="131" t="s">
        <v>28</v>
      </c>
      <c r="H739" s="116">
        <v>0</v>
      </c>
      <c r="I739" s="37">
        <f t="shared" si="175"/>
        <v>0</v>
      </c>
      <c r="J739" s="98"/>
      <c r="K739" s="98"/>
    </row>
    <row r="740" spans="1:11" ht="53" x14ac:dyDescent="0.2">
      <c r="A740" s="25">
        <f>IF(F740=0,"",1+MAX(A$18:A739))</f>
        <v>568</v>
      </c>
      <c r="B740" s="178"/>
      <c r="C740" s="176"/>
      <c r="D740" s="128"/>
      <c r="E740" s="134" t="s">
        <v>623</v>
      </c>
      <c r="F740" s="130">
        <v>1</v>
      </c>
      <c r="G740" s="131" t="s">
        <v>28</v>
      </c>
      <c r="H740" s="116">
        <v>0</v>
      </c>
      <c r="I740" s="37">
        <f t="shared" si="175"/>
        <v>0</v>
      </c>
      <c r="J740" s="98"/>
      <c r="K740" s="98"/>
    </row>
    <row r="741" spans="1:11" ht="53" x14ac:dyDescent="0.2">
      <c r="A741" s="25">
        <f>IF(F741=0,"",1+MAX(A$18:A740))</f>
        <v>569</v>
      </c>
      <c r="B741" s="178"/>
      <c r="C741" s="176"/>
      <c r="D741" s="128"/>
      <c r="E741" s="134" t="s">
        <v>624</v>
      </c>
      <c r="F741" s="130">
        <v>1</v>
      </c>
      <c r="G741" s="131" t="s">
        <v>28</v>
      </c>
      <c r="H741" s="116">
        <v>0</v>
      </c>
      <c r="I741" s="37">
        <f t="shared" si="175"/>
        <v>0</v>
      </c>
      <c r="J741" s="98"/>
      <c r="K741" s="98"/>
    </row>
    <row r="742" spans="1:11" ht="53" x14ac:dyDescent="0.2">
      <c r="A742" s="25">
        <f>IF(F742=0,"",1+MAX(A$18:A741))</f>
        <v>570</v>
      </c>
      <c r="B742" s="178"/>
      <c r="C742" s="176"/>
      <c r="D742" s="128"/>
      <c r="E742" s="134" t="s">
        <v>625</v>
      </c>
      <c r="F742" s="130">
        <v>1</v>
      </c>
      <c r="G742" s="131" t="s">
        <v>28</v>
      </c>
      <c r="H742" s="116">
        <v>0</v>
      </c>
      <c r="I742" s="37">
        <f t="shared" si="175"/>
        <v>0</v>
      </c>
      <c r="J742" s="98"/>
      <c r="K742" s="98"/>
    </row>
    <row r="743" spans="1:11" ht="53" x14ac:dyDescent="0.2">
      <c r="A743" s="25">
        <f>IF(F743=0,"",1+MAX(A$18:A742))</f>
        <v>571</v>
      </c>
      <c r="B743" s="178"/>
      <c r="C743" s="176"/>
      <c r="D743" s="128"/>
      <c r="E743" s="134" t="s">
        <v>626</v>
      </c>
      <c r="F743" s="130">
        <v>1</v>
      </c>
      <c r="G743" s="131" t="s">
        <v>28</v>
      </c>
      <c r="H743" s="116">
        <v>0</v>
      </c>
      <c r="I743" s="37">
        <f t="shared" si="175"/>
        <v>0</v>
      </c>
      <c r="J743" s="98"/>
      <c r="K743" s="98"/>
    </row>
    <row r="744" spans="1:11" ht="53" x14ac:dyDescent="0.2">
      <c r="A744" s="25">
        <f>IF(F744=0,"",1+MAX(A$18:A743))</f>
        <v>572</v>
      </c>
      <c r="B744" s="178"/>
      <c r="C744" s="176"/>
      <c r="D744" s="128"/>
      <c r="E744" s="134" t="s">
        <v>627</v>
      </c>
      <c r="F744" s="130">
        <v>1</v>
      </c>
      <c r="G744" s="131" t="s">
        <v>28</v>
      </c>
      <c r="H744" s="116">
        <v>0</v>
      </c>
      <c r="I744" s="37">
        <f t="shared" si="175"/>
        <v>0</v>
      </c>
      <c r="J744" s="98"/>
      <c r="K744" s="98"/>
    </row>
    <row r="745" spans="1:11" ht="53" x14ac:dyDescent="0.2">
      <c r="A745" s="25">
        <f>IF(F745=0,"",1+MAX(A$18:A744))</f>
        <v>573</v>
      </c>
      <c r="B745" s="178"/>
      <c r="C745" s="176"/>
      <c r="D745" s="128"/>
      <c r="E745" s="134" t="s">
        <v>628</v>
      </c>
      <c r="F745" s="130">
        <v>1</v>
      </c>
      <c r="G745" s="131" t="s">
        <v>28</v>
      </c>
      <c r="H745" s="116">
        <v>0</v>
      </c>
      <c r="I745" s="37">
        <f t="shared" si="175"/>
        <v>0</v>
      </c>
      <c r="J745" s="98"/>
      <c r="K745" s="98"/>
    </row>
    <row r="746" spans="1:11" ht="53" x14ac:dyDescent="0.2">
      <c r="A746" s="25">
        <f>IF(F746=0,"",1+MAX(A$18:A745))</f>
        <v>574</v>
      </c>
      <c r="B746" s="178"/>
      <c r="C746" s="176"/>
      <c r="D746" s="128"/>
      <c r="E746" s="134" t="s">
        <v>629</v>
      </c>
      <c r="F746" s="130">
        <v>1</v>
      </c>
      <c r="G746" s="131" t="s">
        <v>28</v>
      </c>
      <c r="H746" s="116">
        <v>0</v>
      </c>
      <c r="I746" s="37">
        <f t="shared" si="175"/>
        <v>0</v>
      </c>
      <c r="J746" s="98"/>
      <c r="K746" s="98"/>
    </row>
    <row r="747" spans="1:11" ht="53" x14ac:dyDescent="0.2">
      <c r="A747" s="25">
        <f>IF(F747=0,"",1+MAX(A$18:A746))</f>
        <v>575</v>
      </c>
      <c r="B747" s="178"/>
      <c r="C747" s="176"/>
      <c r="D747" s="128"/>
      <c r="E747" s="134" t="s">
        <v>630</v>
      </c>
      <c r="F747" s="130">
        <v>1</v>
      </c>
      <c r="G747" s="131" t="s">
        <v>28</v>
      </c>
      <c r="H747" s="116">
        <v>0</v>
      </c>
      <c r="I747" s="37">
        <f t="shared" si="175"/>
        <v>0</v>
      </c>
      <c r="J747" s="98"/>
      <c r="K747" s="98"/>
    </row>
    <row r="748" spans="1:11" ht="53" x14ac:dyDescent="0.2">
      <c r="A748" s="25">
        <f>IF(F748=0,"",1+MAX(A$18:A747))</f>
        <v>576</v>
      </c>
      <c r="B748" s="178"/>
      <c r="C748" s="176"/>
      <c r="D748" s="128"/>
      <c r="E748" s="134" t="s">
        <v>631</v>
      </c>
      <c r="F748" s="130">
        <v>1</v>
      </c>
      <c r="G748" s="131" t="s">
        <v>28</v>
      </c>
      <c r="H748" s="116">
        <v>0</v>
      </c>
      <c r="I748" s="37">
        <f t="shared" si="175"/>
        <v>0</v>
      </c>
      <c r="J748" s="98"/>
      <c r="K748" s="98"/>
    </row>
    <row r="749" spans="1:11" ht="53" x14ac:dyDescent="0.2">
      <c r="A749" s="25">
        <f>IF(F749=0,"",1+MAX(A$18:A748))</f>
        <v>577</v>
      </c>
      <c r="B749" s="178"/>
      <c r="C749" s="176"/>
      <c r="D749" s="128"/>
      <c r="E749" s="134" t="s">
        <v>632</v>
      </c>
      <c r="F749" s="130">
        <v>1</v>
      </c>
      <c r="G749" s="131" t="s">
        <v>28</v>
      </c>
      <c r="H749" s="116">
        <v>0</v>
      </c>
      <c r="I749" s="37">
        <f t="shared" si="175"/>
        <v>0</v>
      </c>
      <c r="J749" s="98"/>
      <c r="K749" s="98"/>
    </row>
    <row r="750" spans="1:11" ht="53" x14ac:dyDescent="0.2">
      <c r="A750" s="25">
        <f>IF(F750=0,"",1+MAX(A$18:A749))</f>
        <v>578</v>
      </c>
      <c r="B750" s="178"/>
      <c r="C750" s="176"/>
      <c r="D750" s="128"/>
      <c r="E750" s="134" t="s">
        <v>633</v>
      </c>
      <c r="F750" s="130">
        <v>1</v>
      </c>
      <c r="G750" s="131" t="s">
        <v>28</v>
      </c>
      <c r="H750" s="116">
        <v>0</v>
      </c>
      <c r="I750" s="37">
        <f t="shared" si="175"/>
        <v>0</v>
      </c>
      <c r="J750" s="98"/>
      <c r="K750" s="98"/>
    </row>
    <row r="751" spans="1:11" ht="53" x14ac:dyDescent="0.2">
      <c r="A751" s="25">
        <f>IF(F751=0,"",1+MAX(A$18:A750))</f>
        <v>579</v>
      </c>
      <c r="B751" s="178"/>
      <c r="C751" s="176"/>
      <c r="D751" s="128"/>
      <c r="E751" s="134" t="s">
        <v>634</v>
      </c>
      <c r="F751" s="130">
        <v>1</v>
      </c>
      <c r="G751" s="131" t="s">
        <v>28</v>
      </c>
      <c r="H751" s="116">
        <v>0</v>
      </c>
      <c r="I751" s="37">
        <f t="shared" si="175"/>
        <v>0</v>
      </c>
      <c r="J751" s="98"/>
      <c r="K751" s="98"/>
    </row>
    <row r="752" spans="1:11" ht="53" x14ac:dyDescent="0.2">
      <c r="A752" s="25">
        <f>IF(F752=0,"",1+MAX(A$18:A751))</f>
        <v>580</v>
      </c>
      <c r="B752" s="178"/>
      <c r="C752" s="176"/>
      <c r="D752" s="128"/>
      <c r="E752" s="134" t="s">
        <v>635</v>
      </c>
      <c r="F752" s="130">
        <v>1</v>
      </c>
      <c r="G752" s="131" t="s">
        <v>28</v>
      </c>
      <c r="H752" s="116">
        <v>0</v>
      </c>
      <c r="I752" s="37">
        <f t="shared" si="175"/>
        <v>0</v>
      </c>
      <c r="J752" s="98"/>
      <c r="K752" s="98"/>
    </row>
    <row r="753" spans="1:11" ht="53" x14ac:dyDescent="0.2">
      <c r="A753" s="25">
        <f>IF(F753=0,"",1+MAX(A$18:A752))</f>
        <v>581</v>
      </c>
      <c r="B753" s="178"/>
      <c r="C753" s="176"/>
      <c r="D753" s="128"/>
      <c r="E753" s="134" t="s">
        <v>636</v>
      </c>
      <c r="F753" s="130">
        <v>1</v>
      </c>
      <c r="G753" s="131" t="s">
        <v>28</v>
      </c>
      <c r="H753" s="116">
        <v>0</v>
      </c>
      <c r="I753" s="37">
        <f t="shared" si="175"/>
        <v>0</v>
      </c>
      <c r="J753" s="98"/>
      <c r="K753" s="98"/>
    </row>
    <row r="754" spans="1:11" ht="53" x14ac:dyDescent="0.2">
      <c r="A754" s="25">
        <f>IF(F754=0,"",1+MAX(A$18:A753))</f>
        <v>582</v>
      </c>
      <c r="B754" s="178"/>
      <c r="C754" s="176"/>
      <c r="D754" s="128"/>
      <c r="E754" s="134" t="s">
        <v>637</v>
      </c>
      <c r="F754" s="130">
        <v>1</v>
      </c>
      <c r="G754" s="131" t="s">
        <v>28</v>
      </c>
      <c r="H754" s="116">
        <v>0</v>
      </c>
      <c r="I754" s="37">
        <f t="shared" si="175"/>
        <v>0</v>
      </c>
      <c r="J754" s="98"/>
      <c r="K754" s="98"/>
    </row>
    <row r="755" spans="1:11" ht="53" x14ac:dyDescent="0.2">
      <c r="A755" s="25">
        <f>IF(F755=0,"",1+MAX(A$18:A754))</f>
        <v>583</v>
      </c>
      <c r="B755" s="178"/>
      <c r="C755" s="176"/>
      <c r="D755" s="128"/>
      <c r="E755" s="134" t="s">
        <v>638</v>
      </c>
      <c r="F755" s="130">
        <v>1</v>
      </c>
      <c r="G755" s="131" t="s">
        <v>28</v>
      </c>
      <c r="H755" s="116">
        <v>0</v>
      </c>
      <c r="I755" s="37">
        <f t="shared" si="175"/>
        <v>0</v>
      </c>
      <c r="J755" s="98"/>
      <c r="K755" s="98"/>
    </row>
    <row r="756" spans="1:11" ht="53" x14ac:dyDescent="0.2">
      <c r="A756" s="25">
        <f>IF(F756=0,"",1+MAX(A$18:A755))</f>
        <v>584</v>
      </c>
      <c r="B756" s="178"/>
      <c r="C756" s="176"/>
      <c r="D756" s="128"/>
      <c r="E756" s="134" t="s">
        <v>639</v>
      </c>
      <c r="F756" s="130">
        <v>1</v>
      </c>
      <c r="G756" s="131" t="s">
        <v>28</v>
      </c>
      <c r="H756" s="116">
        <v>0</v>
      </c>
      <c r="I756" s="37">
        <f t="shared" si="175"/>
        <v>0</v>
      </c>
      <c r="J756" s="98"/>
      <c r="K756" s="98"/>
    </row>
    <row r="757" spans="1:11" ht="53" x14ac:dyDescent="0.2">
      <c r="A757" s="25">
        <f>IF(F757=0,"",1+MAX(A$18:A756))</f>
        <v>585</v>
      </c>
      <c r="B757" s="178"/>
      <c r="C757" s="176"/>
      <c r="D757" s="128"/>
      <c r="E757" s="134" t="s">
        <v>640</v>
      </c>
      <c r="F757" s="130">
        <v>1</v>
      </c>
      <c r="G757" s="131" t="s">
        <v>28</v>
      </c>
      <c r="H757" s="116">
        <v>0</v>
      </c>
      <c r="I757" s="37">
        <f t="shared" si="175"/>
        <v>0</v>
      </c>
      <c r="J757" s="98"/>
      <c r="K757" s="98"/>
    </row>
    <row r="758" spans="1:11" ht="53" x14ac:dyDescent="0.2">
      <c r="A758" s="25">
        <f>IF(F758=0,"",1+MAX(A$18:A757))</f>
        <v>586</v>
      </c>
      <c r="B758" s="178"/>
      <c r="C758" s="176"/>
      <c r="D758" s="128"/>
      <c r="E758" s="134" t="s">
        <v>641</v>
      </c>
      <c r="F758" s="130">
        <v>1</v>
      </c>
      <c r="G758" s="131" t="s">
        <v>28</v>
      </c>
      <c r="H758" s="116">
        <v>0</v>
      </c>
      <c r="I758" s="37">
        <f t="shared" si="175"/>
        <v>0</v>
      </c>
      <c r="J758" s="98"/>
      <c r="K758" s="98"/>
    </row>
    <row r="759" spans="1:11" ht="53" x14ac:dyDescent="0.2">
      <c r="A759" s="25">
        <f>IF(F759=0,"",1+MAX(A$18:A758))</f>
        <v>587</v>
      </c>
      <c r="B759" s="178"/>
      <c r="C759" s="176"/>
      <c r="D759" s="128"/>
      <c r="E759" s="134" t="s">
        <v>642</v>
      </c>
      <c r="F759" s="130">
        <v>1</v>
      </c>
      <c r="G759" s="131" t="s">
        <v>28</v>
      </c>
      <c r="H759" s="116">
        <v>0</v>
      </c>
      <c r="I759" s="37">
        <f t="shared" si="175"/>
        <v>0</v>
      </c>
      <c r="J759" s="98"/>
      <c r="K759" s="98"/>
    </row>
    <row r="760" spans="1:11" ht="53" x14ac:dyDescent="0.2">
      <c r="A760" s="25">
        <f>IF(F760=0,"",1+MAX(A$18:A759))</f>
        <v>588</v>
      </c>
      <c r="B760" s="178"/>
      <c r="C760" s="176"/>
      <c r="D760" s="128"/>
      <c r="E760" s="134" t="s">
        <v>643</v>
      </c>
      <c r="F760" s="130">
        <v>1</v>
      </c>
      <c r="G760" s="131" t="s">
        <v>28</v>
      </c>
      <c r="H760" s="116">
        <v>0</v>
      </c>
      <c r="I760" s="37">
        <f t="shared" si="175"/>
        <v>0</v>
      </c>
      <c r="J760" s="98"/>
      <c r="K760" s="98"/>
    </row>
    <row r="761" spans="1:11" ht="40" x14ac:dyDescent="0.2">
      <c r="A761" s="25">
        <f>IF(F761=0,"",1+MAX(A$18:A760))</f>
        <v>589</v>
      </c>
      <c r="B761" s="178"/>
      <c r="C761" s="176"/>
      <c r="D761" s="128"/>
      <c r="E761" s="134" t="s">
        <v>607</v>
      </c>
      <c r="F761" s="130">
        <v>3</v>
      </c>
      <c r="G761" s="131" t="s">
        <v>28</v>
      </c>
      <c r="H761" s="116">
        <v>0</v>
      </c>
      <c r="I761" s="37">
        <f t="shared" si="175"/>
        <v>0</v>
      </c>
      <c r="J761" s="98"/>
      <c r="K761" s="98"/>
    </row>
    <row r="762" spans="1:11" ht="40" x14ac:dyDescent="0.2">
      <c r="A762" s="25">
        <f>IF(F762=0,"",1+MAX(A$18:A761))</f>
        <v>590</v>
      </c>
      <c r="B762" s="178"/>
      <c r="C762" s="176"/>
      <c r="D762" s="128"/>
      <c r="E762" s="134" t="s">
        <v>608</v>
      </c>
      <c r="F762" s="130">
        <v>3</v>
      </c>
      <c r="G762" s="131" t="s">
        <v>28</v>
      </c>
      <c r="H762" s="116">
        <v>0</v>
      </c>
      <c r="I762" s="37">
        <f t="shared" si="175"/>
        <v>0</v>
      </c>
      <c r="J762" s="98"/>
      <c r="K762" s="98"/>
    </row>
    <row r="763" spans="1:11" ht="40" x14ac:dyDescent="0.2">
      <c r="A763" s="25">
        <f>IF(F763=0,"",1+MAX(A$18:A762))</f>
        <v>591</v>
      </c>
      <c r="B763" s="178"/>
      <c r="C763" s="176"/>
      <c r="D763" s="128"/>
      <c r="E763" s="135" t="s">
        <v>609</v>
      </c>
      <c r="F763" s="130">
        <v>1</v>
      </c>
      <c r="G763" s="131" t="s">
        <v>28</v>
      </c>
      <c r="H763" s="116">
        <v>0</v>
      </c>
      <c r="I763" s="37">
        <f t="shared" si="175"/>
        <v>0</v>
      </c>
      <c r="J763" s="98"/>
      <c r="K763" s="98"/>
    </row>
    <row r="764" spans="1:11" ht="53" x14ac:dyDescent="0.2">
      <c r="A764" s="25">
        <f>IF(F764=0,"",1+MAX(A$18:A763))</f>
        <v>592</v>
      </c>
      <c r="B764" s="178"/>
      <c r="C764" s="176"/>
      <c r="D764" s="128"/>
      <c r="E764" s="134" t="s">
        <v>644</v>
      </c>
      <c r="F764" s="130">
        <v>1</v>
      </c>
      <c r="G764" s="131" t="s">
        <v>28</v>
      </c>
      <c r="H764" s="116">
        <v>0</v>
      </c>
      <c r="I764" s="37">
        <f t="shared" si="175"/>
        <v>0</v>
      </c>
      <c r="J764" s="98"/>
      <c r="K764" s="98"/>
    </row>
    <row r="765" spans="1:11" ht="53" x14ac:dyDescent="0.2">
      <c r="A765" s="25">
        <f>IF(F765=0,"",1+MAX(A$18:A764))</f>
        <v>593</v>
      </c>
      <c r="B765" s="178"/>
      <c r="C765" s="176"/>
      <c r="D765" s="128"/>
      <c r="E765" s="134" t="s">
        <v>645</v>
      </c>
      <c r="F765" s="130">
        <v>1</v>
      </c>
      <c r="G765" s="131" t="s">
        <v>28</v>
      </c>
      <c r="H765" s="116">
        <v>0</v>
      </c>
      <c r="I765" s="37">
        <f t="shared" si="175"/>
        <v>0</v>
      </c>
      <c r="J765" s="98"/>
      <c r="K765" s="98"/>
    </row>
    <row r="766" spans="1:11" ht="53" x14ac:dyDescent="0.2">
      <c r="A766" s="25">
        <f>IF(F766=0,"",1+MAX(A$18:A765))</f>
        <v>594</v>
      </c>
      <c r="B766" s="178"/>
      <c r="C766" s="176"/>
      <c r="D766" s="128"/>
      <c r="E766" s="134" t="s">
        <v>646</v>
      </c>
      <c r="F766" s="130">
        <v>1</v>
      </c>
      <c r="G766" s="131" t="s">
        <v>28</v>
      </c>
      <c r="H766" s="116">
        <v>0</v>
      </c>
      <c r="I766" s="37">
        <f t="shared" si="175"/>
        <v>0</v>
      </c>
      <c r="J766" s="98"/>
      <c r="K766" s="98"/>
    </row>
    <row r="767" spans="1:11" ht="40" x14ac:dyDescent="0.2">
      <c r="A767" s="25">
        <f>IF(F767=0,"",1+MAX(A$18:A766))</f>
        <v>595</v>
      </c>
      <c r="B767" s="178"/>
      <c r="C767" s="176"/>
      <c r="D767" s="128"/>
      <c r="E767" s="134" t="s">
        <v>603</v>
      </c>
      <c r="F767" s="130">
        <v>1</v>
      </c>
      <c r="G767" s="131" t="s">
        <v>28</v>
      </c>
      <c r="H767" s="116">
        <v>0</v>
      </c>
      <c r="I767" s="37">
        <f t="shared" si="175"/>
        <v>0</v>
      </c>
      <c r="J767" s="98"/>
      <c r="K767" s="98"/>
    </row>
    <row r="768" spans="1:11" ht="40" x14ac:dyDescent="0.2">
      <c r="A768" s="25">
        <f>IF(F768=0,"",1+MAX(A$18:A767))</f>
        <v>596</v>
      </c>
      <c r="B768" s="178"/>
      <c r="C768" s="176"/>
      <c r="D768" s="128"/>
      <c r="E768" s="134" t="s">
        <v>604</v>
      </c>
      <c r="F768" s="130">
        <v>1</v>
      </c>
      <c r="G768" s="131" t="s">
        <v>28</v>
      </c>
      <c r="H768" s="116">
        <v>0</v>
      </c>
      <c r="I768" s="37">
        <f t="shared" si="175"/>
        <v>0</v>
      </c>
      <c r="J768" s="98"/>
      <c r="K768" s="98"/>
    </row>
    <row r="769" spans="1:11" ht="40" x14ac:dyDescent="0.2">
      <c r="A769" s="25">
        <f>IF(F769=0,"",1+MAX(A$18:A768))</f>
        <v>597</v>
      </c>
      <c r="B769" s="178"/>
      <c r="C769" s="176"/>
      <c r="D769" s="128"/>
      <c r="E769" s="134" t="s">
        <v>605</v>
      </c>
      <c r="F769" s="130">
        <v>1</v>
      </c>
      <c r="G769" s="131" t="s">
        <v>28</v>
      </c>
      <c r="H769" s="116">
        <v>0</v>
      </c>
      <c r="I769" s="37">
        <f t="shared" si="175"/>
        <v>0</v>
      </c>
      <c r="J769" s="98"/>
      <c r="K769" s="98"/>
    </row>
    <row r="770" spans="1:11" ht="40" x14ac:dyDescent="0.2">
      <c r="A770" s="25">
        <f>IF(F770=0,"",1+MAX(A$18:A769))</f>
        <v>598</v>
      </c>
      <c r="B770" s="178"/>
      <c r="C770" s="176"/>
      <c r="D770" s="128"/>
      <c r="E770" s="134" t="s">
        <v>606</v>
      </c>
      <c r="F770" s="130">
        <v>1</v>
      </c>
      <c r="G770" s="131" t="s">
        <v>28</v>
      </c>
      <c r="H770" s="116">
        <v>0</v>
      </c>
      <c r="I770" s="37">
        <f t="shared" si="175"/>
        <v>0</v>
      </c>
      <c r="J770" s="98"/>
      <c r="K770" s="98"/>
    </row>
    <row r="771" spans="1:11" x14ac:dyDescent="0.2">
      <c r="A771" s="25">
        <f>IF(F771=0,"",1+MAX(A$18:A770))</f>
        <v>599</v>
      </c>
      <c r="B771" s="178"/>
      <c r="C771" s="176"/>
      <c r="D771" s="128"/>
      <c r="E771" s="133" t="s">
        <v>174</v>
      </c>
      <c r="F771" s="130">
        <v>1</v>
      </c>
      <c r="G771" s="131" t="s">
        <v>28</v>
      </c>
      <c r="H771" s="116">
        <v>0</v>
      </c>
      <c r="I771" s="37">
        <f t="shared" si="175"/>
        <v>0</v>
      </c>
      <c r="J771" s="98"/>
      <c r="K771" s="98"/>
    </row>
    <row r="772" spans="1:11" x14ac:dyDescent="0.2">
      <c r="A772" s="25" t="str">
        <f>IF(F772=0,"",1+MAX(A$18:A771))</f>
        <v/>
      </c>
      <c r="B772" s="178"/>
      <c r="C772" s="176"/>
      <c r="D772" s="128"/>
      <c r="E772" s="129" t="s">
        <v>199</v>
      </c>
      <c r="F772" s="130"/>
      <c r="G772" s="131"/>
      <c r="H772" s="116"/>
      <c r="I772" s="37"/>
      <c r="J772" s="98"/>
      <c r="K772" s="98"/>
    </row>
    <row r="773" spans="1:11" x14ac:dyDescent="0.2">
      <c r="A773" s="25" t="str">
        <f>IF(F773=0,"",1+MAX(A$18:A772))</f>
        <v/>
      </c>
      <c r="B773" s="178"/>
      <c r="C773" s="176"/>
      <c r="D773" s="128"/>
      <c r="E773" s="132" t="s">
        <v>162</v>
      </c>
      <c r="F773" s="130"/>
      <c r="G773" s="131"/>
      <c r="H773" s="116"/>
      <c r="I773" s="37"/>
      <c r="J773" s="98"/>
      <c r="K773" s="98"/>
    </row>
    <row r="774" spans="1:11" x14ac:dyDescent="0.2">
      <c r="A774" s="25">
        <f>IF(F774=0,"",1+MAX(A$18:A773))</f>
        <v>600</v>
      </c>
      <c r="B774" s="178"/>
      <c r="C774" s="176"/>
      <c r="D774" s="128"/>
      <c r="E774" s="133" t="s">
        <v>200</v>
      </c>
      <c r="F774" s="130">
        <v>4.49</v>
      </c>
      <c r="G774" s="131" t="s">
        <v>32</v>
      </c>
      <c r="H774" s="116">
        <v>0</v>
      </c>
      <c r="I774" s="37">
        <f t="shared" si="175"/>
        <v>0</v>
      </c>
      <c r="J774" s="98"/>
      <c r="K774" s="98"/>
    </row>
    <row r="775" spans="1:11" x14ac:dyDescent="0.2">
      <c r="A775" s="25">
        <f>IF(F775=0,"",1+MAX(A$18:A774))</f>
        <v>601</v>
      </c>
      <c r="B775" s="178"/>
      <c r="C775" s="176"/>
      <c r="D775" s="128"/>
      <c r="E775" s="133" t="s">
        <v>201</v>
      </c>
      <c r="F775" s="130">
        <v>12.22</v>
      </c>
      <c r="G775" s="131" t="s">
        <v>32</v>
      </c>
      <c r="H775" s="116">
        <v>0</v>
      </c>
      <c r="I775" s="37">
        <f t="shared" si="175"/>
        <v>0</v>
      </c>
      <c r="J775" s="98"/>
      <c r="K775" s="98"/>
    </row>
    <row r="776" spans="1:11" x14ac:dyDescent="0.2">
      <c r="A776" s="25">
        <f>IF(F776=0,"",1+MAX(A$18:A775))</f>
        <v>602</v>
      </c>
      <c r="B776" s="178"/>
      <c r="C776" s="176"/>
      <c r="D776" s="128"/>
      <c r="E776" s="133" t="s">
        <v>181</v>
      </c>
      <c r="F776" s="130">
        <v>50.97</v>
      </c>
      <c r="G776" s="131" t="s">
        <v>32</v>
      </c>
      <c r="H776" s="116">
        <v>0</v>
      </c>
      <c r="I776" s="37">
        <f t="shared" si="175"/>
        <v>0</v>
      </c>
      <c r="J776" s="98"/>
      <c r="K776" s="98"/>
    </row>
    <row r="777" spans="1:11" x14ac:dyDescent="0.2">
      <c r="A777" s="25">
        <f>IF(F777=0,"",1+MAX(A$18:A776))</f>
        <v>603</v>
      </c>
      <c r="B777" s="178"/>
      <c r="C777" s="176"/>
      <c r="D777" s="128"/>
      <c r="E777" s="133" t="s">
        <v>202</v>
      </c>
      <c r="F777" s="130">
        <v>6.46</v>
      </c>
      <c r="G777" s="131" t="s">
        <v>32</v>
      </c>
      <c r="H777" s="116">
        <v>0</v>
      </c>
      <c r="I777" s="37">
        <f t="shared" si="175"/>
        <v>0</v>
      </c>
      <c r="J777" s="98"/>
      <c r="K777" s="98"/>
    </row>
    <row r="778" spans="1:11" x14ac:dyDescent="0.2">
      <c r="A778" s="25" t="str">
        <f>IF(F778=0,"",1+MAX(A$18:A777))</f>
        <v/>
      </c>
      <c r="B778" s="178"/>
      <c r="C778" s="176"/>
      <c r="D778" s="128"/>
      <c r="E778" s="132" t="s">
        <v>167</v>
      </c>
      <c r="F778" s="130"/>
      <c r="G778" s="131"/>
      <c r="H778" s="116"/>
      <c r="I778" s="37"/>
      <c r="J778" s="98"/>
      <c r="K778" s="98"/>
    </row>
    <row r="779" spans="1:11" x14ac:dyDescent="0.2">
      <c r="A779" s="25">
        <f>IF(F779=0,"",1+MAX(A$18:A778))</f>
        <v>604</v>
      </c>
      <c r="B779" s="178"/>
      <c r="C779" s="176"/>
      <c r="D779" s="128"/>
      <c r="E779" s="133" t="s">
        <v>203</v>
      </c>
      <c r="F779" s="130">
        <v>1</v>
      </c>
      <c r="G779" s="131" t="s">
        <v>28</v>
      </c>
      <c r="H779" s="116">
        <v>0</v>
      </c>
      <c r="I779" s="37">
        <f t="shared" si="175"/>
        <v>0</v>
      </c>
      <c r="J779" s="98"/>
      <c r="K779" s="98"/>
    </row>
    <row r="780" spans="1:11" x14ac:dyDescent="0.2">
      <c r="A780" s="25">
        <f>IF(F780=0,"",1+MAX(A$18:A779))</f>
        <v>605</v>
      </c>
      <c r="B780" s="178"/>
      <c r="C780" s="176"/>
      <c r="D780" s="128"/>
      <c r="E780" s="133" t="s">
        <v>204</v>
      </c>
      <c r="F780" s="130">
        <v>1</v>
      </c>
      <c r="G780" s="131" t="s">
        <v>28</v>
      </c>
      <c r="H780" s="116">
        <v>0</v>
      </c>
      <c r="I780" s="37">
        <f t="shared" si="175"/>
        <v>0</v>
      </c>
      <c r="J780" s="98"/>
      <c r="K780" s="98"/>
    </row>
    <row r="781" spans="1:11" x14ac:dyDescent="0.2">
      <c r="A781" s="25">
        <f>IF(F781=0,"",1+MAX(A$18:A780))</f>
        <v>606</v>
      </c>
      <c r="B781" s="178"/>
      <c r="C781" s="176"/>
      <c r="D781" s="128"/>
      <c r="E781" s="133" t="s">
        <v>205</v>
      </c>
      <c r="F781" s="130">
        <v>1</v>
      </c>
      <c r="G781" s="131" t="s">
        <v>28</v>
      </c>
      <c r="H781" s="116">
        <v>0</v>
      </c>
      <c r="I781" s="37">
        <f t="shared" si="175"/>
        <v>0</v>
      </c>
      <c r="J781" s="98"/>
      <c r="K781" s="98"/>
    </row>
    <row r="782" spans="1:11" x14ac:dyDescent="0.2">
      <c r="A782" s="25">
        <f>IF(F782=0,"",1+MAX(A$18:A781))</f>
        <v>607</v>
      </c>
      <c r="B782" s="178"/>
      <c r="C782" s="176"/>
      <c r="D782" s="128"/>
      <c r="E782" s="133" t="s">
        <v>206</v>
      </c>
      <c r="F782" s="130">
        <v>1</v>
      </c>
      <c r="G782" s="131" t="s">
        <v>28</v>
      </c>
      <c r="H782" s="116">
        <v>0</v>
      </c>
      <c r="I782" s="37">
        <f t="shared" si="175"/>
        <v>0</v>
      </c>
      <c r="J782" s="98"/>
      <c r="K782" s="98"/>
    </row>
    <row r="783" spans="1:11" x14ac:dyDescent="0.2">
      <c r="A783" s="25">
        <f>IF(F783=0,"",1+MAX(A$18:A782))</f>
        <v>608</v>
      </c>
      <c r="B783" s="178"/>
      <c r="C783" s="176"/>
      <c r="D783" s="128"/>
      <c r="E783" s="133" t="s">
        <v>174</v>
      </c>
      <c r="F783" s="130">
        <v>1</v>
      </c>
      <c r="G783" s="131" t="s">
        <v>28</v>
      </c>
      <c r="H783" s="116">
        <v>0</v>
      </c>
      <c r="I783" s="37">
        <f t="shared" si="175"/>
        <v>0</v>
      </c>
      <c r="J783" s="98"/>
      <c r="K783" s="98"/>
    </row>
    <row r="784" spans="1:11" x14ac:dyDescent="0.2">
      <c r="A784" s="25" t="str">
        <f>IF(F784=0,"",1+MAX(A$18:A783))</f>
        <v/>
      </c>
      <c r="B784" s="178"/>
      <c r="C784" s="176"/>
      <c r="D784" s="128"/>
      <c r="E784" s="132" t="s">
        <v>337</v>
      </c>
      <c r="F784" s="130"/>
      <c r="G784" s="131"/>
      <c r="H784" s="116"/>
      <c r="I784" s="37"/>
      <c r="J784" s="98"/>
      <c r="K784" s="98"/>
    </row>
    <row r="785" spans="1:11" ht="53" x14ac:dyDescent="0.2">
      <c r="A785" s="25">
        <f>IF(F785=0,"",1+MAX(A$18:A784))</f>
        <v>609</v>
      </c>
      <c r="B785" s="31"/>
      <c r="C785" s="32"/>
      <c r="D785" s="128"/>
      <c r="E785" s="134" t="s">
        <v>647</v>
      </c>
      <c r="F785" s="130">
        <v>1</v>
      </c>
      <c r="G785" s="131" t="s">
        <v>28</v>
      </c>
      <c r="H785" s="116">
        <v>0</v>
      </c>
      <c r="I785" s="37">
        <f t="shared" ref="I785:I802" si="176">F785*H785</f>
        <v>0</v>
      </c>
      <c r="J785" s="98"/>
      <c r="K785" s="98"/>
    </row>
    <row r="786" spans="1:11" ht="53" x14ac:dyDescent="0.2">
      <c r="A786" s="25">
        <f>IF(F786=0,"",1+MAX(A$18:A785))</f>
        <v>610</v>
      </c>
      <c r="B786" s="31"/>
      <c r="C786" s="32"/>
      <c r="D786" s="128"/>
      <c r="E786" s="134" t="s">
        <v>648</v>
      </c>
      <c r="F786" s="130">
        <v>1</v>
      </c>
      <c r="G786" s="131" t="s">
        <v>28</v>
      </c>
      <c r="H786" s="116">
        <v>0</v>
      </c>
      <c r="I786" s="37">
        <f t="shared" si="176"/>
        <v>0</v>
      </c>
      <c r="J786" s="98"/>
      <c r="K786" s="98"/>
    </row>
    <row r="787" spans="1:11" ht="53" x14ac:dyDescent="0.2">
      <c r="A787" s="25">
        <f>IF(F787=0,"",1+MAX(A$18:A786))</f>
        <v>611</v>
      </c>
      <c r="B787" s="31"/>
      <c r="C787" s="32"/>
      <c r="D787" s="128"/>
      <c r="E787" s="134" t="s">
        <v>649</v>
      </c>
      <c r="F787" s="130">
        <v>1</v>
      </c>
      <c r="G787" s="131" t="s">
        <v>28</v>
      </c>
      <c r="H787" s="116">
        <v>0</v>
      </c>
      <c r="I787" s="37">
        <f t="shared" si="176"/>
        <v>0</v>
      </c>
      <c r="J787" s="98"/>
      <c r="K787" s="98"/>
    </row>
    <row r="788" spans="1:11" ht="53" x14ac:dyDescent="0.2">
      <c r="A788" s="25">
        <f>IF(F788=0,"",1+MAX(A$18:A787))</f>
        <v>612</v>
      </c>
      <c r="B788" s="31"/>
      <c r="C788" s="32"/>
      <c r="D788" s="128"/>
      <c r="E788" s="134" t="s">
        <v>650</v>
      </c>
      <c r="F788" s="130">
        <v>1</v>
      </c>
      <c r="G788" s="131" t="s">
        <v>28</v>
      </c>
      <c r="H788" s="116">
        <v>0</v>
      </c>
      <c r="I788" s="37">
        <f t="shared" si="176"/>
        <v>0</v>
      </c>
      <c r="J788" s="98"/>
      <c r="K788" s="98"/>
    </row>
    <row r="789" spans="1:11" ht="53" x14ac:dyDescent="0.2">
      <c r="A789" s="25">
        <f>IF(F789=0,"",1+MAX(A$18:A788))</f>
        <v>613</v>
      </c>
      <c r="B789" s="31"/>
      <c r="C789" s="32"/>
      <c r="D789" s="128"/>
      <c r="E789" s="134" t="s">
        <v>651</v>
      </c>
      <c r="F789" s="130">
        <v>1</v>
      </c>
      <c r="G789" s="131" t="s">
        <v>28</v>
      </c>
      <c r="H789" s="116">
        <v>0</v>
      </c>
      <c r="I789" s="37">
        <f t="shared" si="176"/>
        <v>0</v>
      </c>
      <c r="J789" s="98"/>
      <c r="K789" s="98"/>
    </row>
    <row r="790" spans="1:11" ht="53" x14ac:dyDescent="0.2">
      <c r="A790" s="25">
        <f>IF(F790=0,"",1+MAX(A$18:A789))</f>
        <v>614</v>
      </c>
      <c r="B790" s="31"/>
      <c r="C790" s="32"/>
      <c r="D790" s="128"/>
      <c r="E790" s="134" t="s">
        <v>652</v>
      </c>
      <c r="F790" s="130">
        <v>1</v>
      </c>
      <c r="G790" s="131" t="s">
        <v>28</v>
      </c>
      <c r="H790" s="116">
        <v>0</v>
      </c>
      <c r="I790" s="37">
        <f t="shared" si="176"/>
        <v>0</v>
      </c>
      <c r="J790" s="98"/>
      <c r="K790" s="98"/>
    </row>
    <row r="791" spans="1:11" ht="53" x14ac:dyDescent="0.2">
      <c r="A791" s="25">
        <f>IF(F791=0,"",1+MAX(A$18:A790))</f>
        <v>615</v>
      </c>
      <c r="B791" s="31"/>
      <c r="C791" s="32"/>
      <c r="D791" s="128"/>
      <c r="E791" s="134" t="s">
        <v>653</v>
      </c>
      <c r="F791" s="130">
        <v>1</v>
      </c>
      <c r="G791" s="131" t="s">
        <v>28</v>
      </c>
      <c r="H791" s="116">
        <v>0</v>
      </c>
      <c r="I791" s="37">
        <f t="shared" si="176"/>
        <v>0</v>
      </c>
      <c r="J791" s="98"/>
      <c r="K791" s="98"/>
    </row>
    <row r="792" spans="1:11" ht="53" x14ac:dyDescent="0.2">
      <c r="A792" s="25">
        <f>IF(F792=0,"",1+MAX(A$18:A791))</f>
        <v>616</v>
      </c>
      <c r="B792" s="31"/>
      <c r="C792" s="32"/>
      <c r="D792" s="128"/>
      <c r="E792" s="134" t="s">
        <v>654</v>
      </c>
      <c r="F792" s="130">
        <v>1</v>
      </c>
      <c r="G792" s="131" t="s">
        <v>28</v>
      </c>
      <c r="H792" s="116">
        <v>0</v>
      </c>
      <c r="I792" s="37">
        <f t="shared" si="176"/>
        <v>0</v>
      </c>
      <c r="J792" s="98"/>
      <c r="K792" s="98"/>
    </row>
    <row r="793" spans="1:11" ht="53" x14ac:dyDescent="0.2">
      <c r="A793" s="25">
        <f>IF(F793=0,"",1+MAX(A$18:A792))</f>
        <v>617</v>
      </c>
      <c r="B793" s="31"/>
      <c r="C793" s="32"/>
      <c r="D793" s="128"/>
      <c r="E793" s="134" t="s">
        <v>655</v>
      </c>
      <c r="F793" s="130">
        <v>1</v>
      </c>
      <c r="G793" s="131" t="s">
        <v>28</v>
      </c>
      <c r="H793" s="116">
        <v>0</v>
      </c>
      <c r="I793" s="37">
        <f t="shared" si="176"/>
        <v>0</v>
      </c>
      <c r="J793" s="98"/>
      <c r="K793" s="98"/>
    </row>
    <row r="794" spans="1:11" ht="53" x14ac:dyDescent="0.2">
      <c r="A794" s="25">
        <f>IF(F794=0,"",1+MAX(A$18:A793))</f>
        <v>618</v>
      </c>
      <c r="B794" s="31"/>
      <c r="C794" s="32"/>
      <c r="D794" s="128"/>
      <c r="E794" s="134" t="s">
        <v>656</v>
      </c>
      <c r="F794" s="130">
        <v>1</v>
      </c>
      <c r="G794" s="131" t="s">
        <v>28</v>
      </c>
      <c r="H794" s="116">
        <v>0</v>
      </c>
      <c r="I794" s="37">
        <f t="shared" si="176"/>
        <v>0</v>
      </c>
      <c r="J794" s="98"/>
      <c r="K794" s="98"/>
    </row>
    <row r="795" spans="1:11" ht="40" x14ac:dyDescent="0.2">
      <c r="A795" s="25">
        <f>IF(F795=0,"",1+MAX(A$18:A794))</f>
        <v>619</v>
      </c>
      <c r="B795" s="31"/>
      <c r="C795" s="32"/>
      <c r="D795" s="128"/>
      <c r="E795" s="134" t="s">
        <v>603</v>
      </c>
      <c r="F795" s="130">
        <v>1</v>
      </c>
      <c r="G795" s="131" t="s">
        <v>28</v>
      </c>
      <c r="H795" s="116">
        <v>0</v>
      </c>
      <c r="I795" s="37">
        <f t="shared" si="176"/>
        <v>0</v>
      </c>
      <c r="J795" s="98"/>
      <c r="K795" s="98"/>
    </row>
    <row r="796" spans="1:11" ht="40" x14ac:dyDescent="0.2">
      <c r="A796" s="25">
        <f>IF(F796=0,"",1+MAX(A$18:A795))</f>
        <v>620</v>
      </c>
      <c r="B796" s="31"/>
      <c r="C796" s="32"/>
      <c r="D796" s="128"/>
      <c r="E796" s="134" t="s">
        <v>604</v>
      </c>
      <c r="F796" s="130">
        <v>1</v>
      </c>
      <c r="G796" s="131" t="s">
        <v>28</v>
      </c>
      <c r="H796" s="116">
        <v>0</v>
      </c>
      <c r="I796" s="37">
        <f t="shared" si="176"/>
        <v>0</v>
      </c>
      <c r="J796" s="98"/>
      <c r="K796" s="98"/>
    </row>
    <row r="797" spans="1:11" ht="40" x14ac:dyDescent="0.2">
      <c r="A797" s="25">
        <f>IF(F797=0,"",1+MAX(A$18:A796))</f>
        <v>621</v>
      </c>
      <c r="B797" s="31"/>
      <c r="C797" s="32"/>
      <c r="D797" s="128"/>
      <c r="E797" s="134" t="s">
        <v>605</v>
      </c>
      <c r="F797" s="130">
        <v>1</v>
      </c>
      <c r="G797" s="131" t="s">
        <v>28</v>
      </c>
      <c r="H797" s="116">
        <v>0</v>
      </c>
      <c r="I797" s="37">
        <f t="shared" si="176"/>
        <v>0</v>
      </c>
      <c r="J797" s="98"/>
      <c r="K797" s="98"/>
    </row>
    <row r="798" spans="1:11" ht="40" x14ac:dyDescent="0.2">
      <c r="A798" s="25">
        <f>IF(F798=0,"",1+MAX(A$18:A797))</f>
        <v>622</v>
      </c>
      <c r="B798" s="31"/>
      <c r="C798" s="32"/>
      <c r="D798" s="128"/>
      <c r="E798" s="134" t="s">
        <v>606</v>
      </c>
      <c r="F798" s="130">
        <v>1</v>
      </c>
      <c r="G798" s="131" t="s">
        <v>28</v>
      </c>
      <c r="H798" s="116">
        <v>0</v>
      </c>
      <c r="I798" s="37">
        <f t="shared" si="176"/>
        <v>0</v>
      </c>
      <c r="J798" s="98"/>
      <c r="K798" s="98"/>
    </row>
    <row r="799" spans="1:11" ht="40" x14ac:dyDescent="0.2">
      <c r="A799" s="25">
        <f>IF(F799=0,"",1+MAX(A$18:A798))</f>
        <v>623</v>
      </c>
      <c r="B799" s="31"/>
      <c r="C799" s="32"/>
      <c r="D799" s="128"/>
      <c r="E799" s="134" t="s">
        <v>607</v>
      </c>
      <c r="F799" s="130">
        <v>3</v>
      </c>
      <c r="G799" s="131" t="s">
        <v>28</v>
      </c>
      <c r="H799" s="116">
        <v>0</v>
      </c>
      <c r="I799" s="37">
        <f t="shared" si="176"/>
        <v>0</v>
      </c>
      <c r="J799" s="98"/>
      <c r="K799" s="98"/>
    </row>
    <row r="800" spans="1:11" ht="40" x14ac:dyDescent="0.2">
      <c r="A800" s="25">
        <f>IF(F800=0,"",1+MAX(A$18:A799))</f>
        <v>624</v>
      </c>
      <c r="B800" s="31"/>
      <c r="C800" s="32"/>
      <c r="D800" s="128"/>
      <c r="E800" s="134" t="s">
        <v>608</v>
      </c>
      <c r="F800" s="130">
        <v>3</v>
      </c>
      <c r="G800" s="131" t="s">
        <v>28</v>
      </c>
      <c r="H800" s="116">
        <v>0</v>
      </c>
      <c r="I800" s="37">
        <f t="shared" si="176"/>
        <v>0</v>
      </c>
      <c r="J800" s="98"/>
      <c r="K800" s="98"/>
    </row>
    <row r="801" spans="1:11" ht="40" x14ac:dyDescent="0.2">
      <c r="A801" s="25">
        <f>IF(F801=0,"",1+MAX(A$18:A800))</f>
        <v>625</v>
      </c>
      <c r="B801" s="31"/>
      <c r="C801" s="32"/>
      <c r="D801" s="128"/>
      <c r="E801" s="135" t="s">
        <v>609</v>
      </c>
      <c r="F801" s="130">
        <v>1</v>
      </c>
      <c r="G801" s="131" t="s">
        <v>28</v>
      </c>
      <c r="H801" s="116">
        <v>0</v>
      </c>
      <c r="I801" s="37">
        <f t="shared" si="176"/>
        <v>0</v>
      </c>
      <c r="J801" s="98"/>
      <c r="K801" s="98"/>
    </row>
    <row r="802" spans="1:11" ht="54" thickBot="1" x14ac:dyDescent="0.25">
      <c r="A802" s="25">
        <f>IF(F802=0,"",1+MAX(A$18:A801))</f>
        <v>626</v>
      </c>
      <c r="B802" s="31"/>
      <c r="C802" s="32"/>
      <c r="D802" s="128"/>
      <c r="E802" s="134" t="s">
        <v>645</v>
      </c>
      <c r="F802" s="130">
        <v>1</v>
      </c>
      <c r="G802" s="131" t="s">
        <v>28</v>
      </c>
      <c r="H802" s="116">
        <v>0</v>
      </c>
      <c r="I802" s="37">
        <f t="shared" si="176"/>
        <v>0</v>
      </c>
      <c r="J802" s="98"/>
      <c r="K802" s="98"/>
    </row>
    <row r="803" spans="1:11" ht="20" customHeight="1" thickTop="1" thickBot="1" x14ac:dyDescent="0.25">
      <c r="A803" s="23"/>
      <c r="B803" s="38"/>
      <c r="C803" s="39"/>
      <c r="D803" s="23"/>
      <c r="E803" s="118"/>
      <c r="F803" s="119"/>
      <c r="G803" s="119"/>
      <c r="H803" s="72" t="s">
        <v>228</v>
      </c>
      <c r="I803" s="73">
        <f>SUM(I652:I802)</f>
        <v>0</v>
      </c>
    </row>
    <row r="804" spans="1:11" ht="21" customHeight="1" thickTop="1" thickBot="1" x14ac:dyDescent="0.25">
      <c r="B804" s="1"/>
      <c r="C804" s="1"/>
      <c r="D804" s="1"/>
      <c r="E804" s="1"/>
      <c r="F804" s="1"/>
      <c r="G804" s="1"/>
      <c r="H804" s="1"/>
      <c r="I804" s="1"/>
      <c r="J804" s="1"/>
    </row>
    <row r="805" spans="1:11" ht="20" customHeight="1" thickTop="1" thickBot="1" x14ac:dyDescent="0.25">
      <c r="A805" s="21" t="s">
        <v>20</v>
      </c>
      <c r="B805" s="66" t="s">
        <v>21</v>
      </c>
      <c r="C805" s="66"/>
      <c r="D805" s="21"/>
      <c r="E805" s="23" t="s">
        <v>14</v>
      </c>
      <c r="F805" s="23" t="s">
        <v>1</v>
      </c>
      <c r="G805" s="23" t="s">
        <v>25</v>
      </c>
      <c r="H805" s="23" t="s">
        <v>2</v>
      </c>
      <c r="I805" s="23" t="s">
        <v>4</v>
      </c>
      <c r="K805" s="11" t="s">
        <v>24</v>
      </c>
    </row>
    <row r="806" spans="1:11" ht="17" thickTop="1" x14ac:dyDescent="0.2">
      <c r="A806" s="25" t="str">
        <f>IF(F806=0,"",1+MAX(A$18:A784))</f>
        <v/>
      </c>
      <c r="B806" s="177" t="s">
        <v>350</v>
      </c>
      <c r="C806" s="174"/>
      <c r="D806" s="128"/>
      <c r="E806" s="137" t="s">
        <v>45</v>
      </c>
      <c r="F806" s="130"/>
      <c r="G806" s="131"/>
      <c r="H806" s="116"/>
      <c r="I806" s="37"/>
      <c r="J806" s="98"/>
      <c r="K806" s="98"/>
    </row>
    <row r="807" spans="1:11" x14ac:dyDescent="0.2">
      <c r="A807" s="25" t="str">
        <f>IF(F807=0,"",1+MAX(A$18:A806))</f>
        <v/>
      </c>
      <c r="B807" s="178"/>
      <c r="C807" s="176"/>
      <c r="D807" s="128"/>
      <c r="E807" s="129" t="s">
        <v>310</v>
      </c>
      <c r="F807" s="138"/>
      <c r="G807" s="138"/>
      <c r="H807" s="116"/>
      <c r="I807" s="37"/>
      <c r="J807" s="98"/>
      <c r="K807" s="98"/>
    </row>
    <row r="808" spans="1:11" x14ac:dyDescent="0.2">
      <c r="A808" s="25"/>
      <c r="B808" s="178"/>
      <c r="C808" s="176"/>
      <c r="D808" s="128"/>
      <c r="E808" s="139" t="s">
        <v>313</v>
      </c>
      <c r="F808" s="138"/>
      <c r="G808" s="138"/>
      <c r="H808" s="116"/>
      <c r="I808" s="37"/>
      <c r="J808" s="98"/>
      <c r="K808" s="98"/>
    </row>
    <row r="809" spans="1:11" x14ac:dyDescent="0.2">
      <c r="A809" s="25">
        <f>IF(F809=0,"",1+MAX(A$18:A807))</f>
        <v>627</v>
      </c>
      <c r="B809" s="178"/>
      <c r="C809" s="176"/>
      <c r="D809" s="128"/>
      <c r="E809" s="140" t="s">
        <v>207</v>
      </c>
      <c r="F809" s="131">
        <v>9</v>
      </c>
      <c r="G809" s="131" t="s">
        <v>28</v>
      </c>
      <c r="H809" s="116">
        <v>0</v>
      </c>
      <c r="I809" s="37">
        <f t="shared" si="175"/>
        <v>0</v>
      </c>
      <c r="J809" s="98"/>
      <c r="K809" s="98"/>
    </row>
    <row r="810" spans="1:11" x14ac:dyDescent="0.2">
      <c r="A810" s="25">
        <f>IF(F810=0,"",1+MAX(A$18:A808))</f>
        <v>627</v>
      </c>
      <c r="B810" s="178"/>
      <c r="C810" s="176"/>
      <c r="D810" s="128"/>
      <c r="E810" s="140" t="s">
        <v>208</v>
      </c>
      <c r="F810" s="131">
        <v>73</v>
      </c>
      <c r="G810" s="131" t="s">
        <v>28</v>
      </c>
      <c r="H810" s="116">
        <v>0</v>
      </c>
      <c r="I810" s="37">
        <f t="shared" si="175"/>
        <v>0</v>
      </c>
      <c r="J810" s="98"/>
      <c r="K810" s="98"/>
    </row>
    <row r="811" spans="1:11" x14ac:dyDescent="0.2">
      <c r="A811" s="25">
        <f>IF(F811=0,"",1+MAX(A$18:A809))</f>
        <v>628</v>
      </c>
      <c r="B811" s="178"/>
      <c r="C811" s="176"/>
      <c r="D811" s="128"/>
      <c r="E811" s="141" t="s">
        <v>209</v>
      </c>
      <c r="F811" s="131">
        <v>5</v>
      </c>
      <c r="G811" s="131" t="s">
        <v>28</v>
      </c>
      <c r="H811" s="116">
        <v>0</v>
      </c>
      <c r="I811" s="37">
        <f t="shared" si="175"/>
        <v>0</v>
      </c>
      <c r="J811" s="98"/>
      <c r="K811" s="98"/>
    </row>
    <row r="812" spans="1:11" x14ac:dyDescent="0.2">
      <c r="A812" s="25">
        <f>IF(F812=0,"",1+MAX(A$18:A810))</f>
        <v>628</v>
      </c>
      <c r="B812" s="178"/>
      <c r="C812" s="176"/>
      <c r="D812" s="128"/>
      <c r="E812" s="140" t="s">
        <v>338</v>
      </c>
      <c r="F812" s="131">
        <v>4</v>
      </c>
      <c r="G812" s="131" t="s">
        <v>28</v>
      </c>
      <c r="H812" s="116">
        <v>0</v>
      </c>
      <c r="I812" s="37">
        <f t="shared" si="175"/>
        <v>0</v>
      </c>
      <c r="J812" s="98"/>
      <c r="K812" s="98"/>
    </row>
    <row r="813" spans="1:11" x14ac:dyDescent="0.2">
      <c r="A813" s="25">
        <f>IF(F813=0,"",1+MAX(A$18:A811))</f>
        <v>629</v>
      </c>
      <c r="B813" s="178"/>
      <c r="C813" s="176"/>
      <c r="D813" s="128"/>
      <c r="E813" s="140" t="s">
        <v>339</v>
      </c>
      <c r="F813" s="131">
        <v>2</v>
      </c>
      <c r="G813" s="131" t="s">
        <v>28</v>
      </c>
      <c r="H813" s="116">
        <v>0</v>
      </c>
      <c r="I813" s="37">
        <f t="shared" ref="I813:I884" si="177">F813*H813</f>
        <v>0</v>
      </c>
      <c r="J813" s="98"/>
      <c r="K813" s="98"/>
    </row>
    <row r="814" spans="1:11" x14ac:dyDescent="0.2">
      <c r="A814" s="25">
        <f>IF(F814=0,"",1+MAX(A$18:A812))</f>
        <v>629</v>
      </c>
      <c r="B814" s="178"/>
      <c r="C814" s="176"/>
      <c r="D814" s="128"/>
      <c r="E814" s="140" t="s">
        <v>210</v>
      </c>
      <c r="F814" s="131">
        <v>1</v>
      </c>
      <c r="G814" s="131" t="s">
        <v>28</v>
      </c>
      <c r="H814" s="116">
        <v>0</v>
      </c>
      <c r="I814" s="37">
        <f t="shared" si="177"/>
        <v>0</v>
      </c>
      <c r="J814" s="98"/>
      <c r="K814" s="98"/>
    </row>
    <row r="815" spans="1:11" x14ac:dyDescent="0.2">
      <c r="A815" s="25" t="str">
        <f>IF(F815=0,"",1+MAX(A$18:A813))</f>
        <v/>
      </c>
      <c r="B815" s="178"/>
      <c r="C815" s="176"/>
      <c r="D815" s="128"/>
      <c r="E815" s="140" t="s">
        <v>657</v>
      </c>
      <c r="F815" s="131"/>
      <c r="G815" s="131"/>
      <c r="H815" s="116"/>
      <c r="I815" s="37"/>
      <c r="J815" s="98"/>
      <c r="K815" s="98"/>
    </row>
    <row r="816" spans="1:11" x14ac:dyDescent="0.2">
      <c r="A816" s="25">
        <f>IF(F816=0,"",1+MAX(A$18:A814))</f>
        <v>630</v>
      </c>
      <c r="B816" s="178"/>
      <c r="C816" s="176"/>
      <c r="D816" s="128"/>
      <c r="E816" s="140" t="s">
        <v>211</v>
      </c>
      <c r="F816" s="131">
        <v>1</v>
      </c>
      <c r="G816" s="131" t="s">
        <v>28</v>
      </c>
      <c r="H816" s="116">
        <v>0</v>
      </c>
      <c r="I816" s="37">
        <f t="shared" si="177"/>
        <v>0</v>
      </c>
      <c r="J816" s="98"/>
      <c r="K816" s="98"/>
    </row>
    <row r="817" spans="1:11" x14ac:dyDescent="0.2">
      <c r="A817" s="25">
        <f>IF(F817=0,"",1+MAX(A$18:A815))</f>
        <v>630</v>
      </c>
      <c r="B817" s="178"/>
      <c r="C817" s="176"/>
      <c r="D817" s="128"/>
      <c r="E817" s="140" t="s">
        <v>212</v>
      </c>
      <c r="F817" s="131">
        <v>1</v>
      </c>
      <c r="G817" s="131" t="s">
        <v>28</v>
      </c>
      <c r="H817" s="116">
        <v>0</v>
      </c>
      <c r="I817" s="37">
        <f t="shared" si="177"/>
        <v>0</v>
      </c>
      <c r="J817" s="98"/>
      <c r="K817" s="98"/>
    </row>
    <row r="818" spans="1:11" ht="26" x14ac:dyDescent="0.2">
      <c r="A818" s="25">
        <f>IF(F818=0,"",1+MAX(A$18:A816))</f>
        <v>631</v>
      </c>
      <c r="B818" s="178"/>
      <c r="C818" s="176"/>
      <c r="D818" s="128"/>
      <c r="E818" s="141" t="s">
        <v>658</v>
      </c>
      <c r="F818" s="131">
        <v>2</v>
      </c>
      <c r="G818" s="131" t="s">
        <v>28</v>
      </c>
      <c r="H818" s="116">
        <v>0</v>
      </c>
      <c r="I818" s="37">
        <f t="shared" si="177"/>
        <v>0</v>
      </c>
      <c r="J818" s="98"/>
      <c r="K818" s="98"/>
    </row>
    <row r="819" spans="1:11" ht="26" x14ac:dyDescent="0.2">
      <c r="A819" s="25">
        <f>IF(F819=0,"",1+MAX(A$18:A817))</f>
        <v>631</v>
      </c>
      <c r="B819" s="178"/>
      <c r="C819" s="176"/>
      <c r="D819" s="128"/>
      <c r="E819" s="141" t="s">
        <v>659</v>
      </c>
      <c r="F819" s="131">
        <v>1</v>
      </c>
      <c r="G819" s="131" t="s">
        <v>28</v>
      </c>
      <c r="H819" s="116">
        <v>0</v>
      </c>
      <c r="I819" s="37">
        <f t="shared" si="177"/>
        <v>0</v>
      </c>
      <c r="J819" s="98"/>
      <c r="K819" s="98"/>
    </row>
    <row r="820" spans="1:11" x14ac:dyDescent="0.2">
      <c r="A820" s="25" t="str">
        <f>IF(F820=0,"",1+MAX(A$18:A818))</f>
        <v/>
      </c>
      <c r="B820" s="178"/>
      <c r="C820" s="176"/>
      <c r="D820" s="128"/>
      <c r="E820" s="140" t="s">
        <v>657</v>
      </c>
      <c r="F820" s="131"/>
      <c r="G820" s="131"/>
      <c r="H820" s="116"/>
      <c r="I820" s="37"/>
      <c r="J820" s="98"/>
      <c r="K820" s="98"/>
    </row>
    <row r="821" spans="1:11" x14ac:dyDescent="0.2">
      <c r="A821" s="25">
        <f>IF(F821=0,"",1+MAX(A$18:A819))</f>
        <v>632</v>
      </c>
      <c r="B821" s="178"/>
      <c r="C821" s="176"/>
      <c r="D821" s="128"/>
      <c r="E821" s="140" t="s">
        <v>211</v>
      </c>
      <c r="F821" s="131">
        <v>4</v>
      </c>
      <c r="G821" s="131" t="s">
        <v>28</v>
      </c>
      <c r="H821" s="116">
        <v>0</v>
      </c>
      <c r="I821" s="37">
        <f t="shared" si="177"/>
        <v>0</v>
      </c>
      <c r="J821" s="98"/>
      <c r="K821" s="98"/>
    </row>
    <row r="822" spans="1:11" ht="26" x14ac:dyDescent="0.2">
      <c r="A822" s="25">
        <f>IF(F822=0,"",1+MAX(A$18:A820))</f>
        <v>632</v>
      </c>
      <c r="B822" s="178"/>
      <c r="C822" s="176"/>
      <c r="D822" s="128"/>
      <c r="E822" s="141" t="s">
        <v>660</v>
      </c>
      <c r="F822" s="131">
        <v>1</v>
      </c>
      <c r="G822" s="131" t="s">
        <v>28</v>
      </c>
      <c r="H822" s="116">
        <v>0</v>
      </c>
      <c r="I822" s="37">
        <f t="shared" si="177"/>
        <v>0</v>
      </c>
      <c r="J822" s="98"/>
      <c r="K822" s="98"/>
    </row>
    <row r="823" spans="1:11" ht="26" x14ac:dyDescent="0.2">
      <c r="A823" s="25">
        <f>IF(F823=0,"",1+MAX(A$18:A821))</f>
        <v>633</v>
      </c>
      <c r="B823" s="178"/>
      <c r="C823" s="176"/>
      <c r="D823" s="128"/>
      <c r="E823" s="141" t="s">
        <v>661</v>
      </c>
      <c r="F823" s="131">
        <v>1</v>
      </c>
      <c r="G823" s="131" t="s">
        <v>28</v>
      </c>
      <c r="H823" s="116">
        <v>0</v>
      </c>
      <c r="I823" s="37">
        <f t="shared" si="177"/>
        <v>0</v>
      </c>
      <c r="J823" s="98"/>
      <c r="K823" s="98"/>
    </row>
    <row r="824" spans="1:11" x14ac:dyDescent="0.2">
      <c r="A824" s="25">
        <f>IF(F824=0,"",1+MAX(A$18:A822))</f>
        <v>633</v>
      </c>
      <c r="B824" s="178"/>
      <c r="C824" s="176"/>
      <c r="D824" s="128"/>
      <c r="E824" s="140" t="s">
        <v>213</v>
      </c>
      <c r="F824" s="131">
        <v>14</v>
      </c>
      <c r="G824" s="131" t="s">
        <v>28</v>
      </c>
      <c r="H824" s="116">
        <v>0</v>
      </c>
      <c r="I824" s="37">
        <f t="shared" si="177"/>
        <v>0</v>
      </c>
      <c r="J824" s="98"/>
      <c r="K824" s="98"/>
    </row>
    <row r="825" spans="1:11" x14ac:dyDescent="0.2">
      <c r="A825" s="25" t="str">
        <f>IF(F825=0,"",1+MAX(A$18:A823))</f>
        <v/>
      </c>
      <c r="B825" s="178"/>
      <c r="C825" s="176"/>
      <c r="D825" s="128"/>
      <c r="E825" s="129" t="s">
        <v>311</v>
      </c>
      <c r="F825" s="138"/>
      <c r="G825" s="138"/>
      <c r="H825" s="116"/>
      <c r="I825" s="37"/>
      <c r="J825" s="98"/>
      <c r="K825" s="98"/>
    </row>
    <row r="826" spans="1:11" x14ac:dyDescent="0.2">
      <c r="A826" s="25" t="str">
        <f>IF(F826=0,"",1+MAX(A$18:A824))</f>
        <v/>
      </c>
      <c r="B826" s="178"/>
      <c r="C826" s="176"/>
      <c r="D826" s="128"/>
      <c r="E826" s="139" t="s">
        <v>313</v>
      </c>
      <c r="F826" s="138"/>
      <c r="G826" s="138"/>
      <c r="H826" s="116"/>
      <c r="I826" s="37"/>
      <c r="J826" s="98"/>
      <c r="K826" s="98"/>
    </row>
    <row r="827" spans="1:11" x14ac:dyDescent="0.2">
      <c r="A827" s="25">
        <f>IF(F827=0,"",1+MAX(A$18:A825))</f>
        <v>634</v>
      </c>
      <c r="B827" s="178"/>
      <c r="C827" s="176"/>
      <c r="D827" s="128"/>
      <c r="E827" s="140" t="s">
        <v>208</v>
      </c>
      <c r="F827" s="131">
        <v>37</v>
      </c>
      <c r="G827" s="131" t="s">
        <v>28</v>
      </c>
      <c r="H827" s="116">
        <v>0</v>
      </c>
      <c r="I827" s="37">
        <f t="shared" si="177"/>
        <v>0</v>
      </c>
      <c r="J827" s="98"/>
      <c r="K827" s="98"/>
    </row>
    <row r="828" spans="1:11" x14ac:dyDescent="0.2">
      <c r="A828" s="25">
        <f>IF(F828=0,"",1+MAX(A$18:A826))</f>
        <v>634</v>
      </c>
      <c r="B828" s="178"/>
      <c r="C828" s="176"/>
      <c r="D828" s="128"/>
      <c r="E828" s="140" t="s">
        <v>338</v>
      </c>
      <c r="F828" s="131">
        <v>2</v>
      </c>
      <c r="G828" s="131" t="s">
        <v>28</v>
      </c>
      <c r="H828" s="116">
        <v>0</v>
      </c>
      <c r="I828" s="37">
        <f t="shared" si="177"/>
        <v>0</v>
      </c>
      <c r="J828" s="98"/>
      <c r="K828" s="98"/>
    </row>
    <row r="829" spans="1:11" x14ac:dyDescent="0.2">
      <c r="A829" s="25">
        <f>IF(F829=0,"",1+MAX(A$18:A827))</f>
        <v>635</v>
      </c>
      <c r="B829" s="178"/>
      <c r="C829" s="176"/>
      <c r="D829" s="128"/>
      <c r="E829" s="140" t="s">
        <v>339</v>
      </c>
      <c r="F829" s="131">
        <v>1</v>
      </c>
      <c r="G829" s="131" t="s">
        <v>28</v>
      </c>
      <c r="H829" s="116">
        <v>0</v>
      </c>
      <c r="I829" s="37">
        <f t="shared" si="177"/>
        <v>0</v>
      </c>
      <c r="J829" s="98"/>
      <c r="K829" s="98"/>
    </row>
    <row r="830" spans="1:11" x14ac:dyDescent="0.2">
      <c r="A830" s="25">
        <f>IF(F830=0,"",1+MAX(A$18:A828))</f>
        <v>635</v>
      </c>
      <c r="B830" s="178"/>
      <c r="C830" s="176"/>
      <c r="D830" s="128"/>
      <c r="E830" s="140" t="s">
        <v>214</v>
      </c>
      <c r="F830" s="131">
        <v>3</v>
      </c>
      <c r="G830" s="131" t="s">
        <v>28</v>
      </c>
      <c r="H830" s="116">
        <v>0</v>
      </c>
      <c r="I830" s="37">
        <f t="shared" si="177"/>
        <v>0</v>
      </c>
      <c r="J830" s="98"/>
      <c r="K830" s="98"/>
    </row>
    <row r="831" spans="1:11" x14ac:dyDescent="0.2">
      <c r="A831" s="25">
        <f>IF(F831=0,"",1+MAX(A$18:A829))</f>
        <v>636</v>
      </c>
      <c r="B831" s="178"/>
      <c r="C831" s="176"/>
      <c r="D831" s="128"/>
      <c r="E831" s="140" t="s">
        <v>215</v>
      </c>
      <c r="F831" s="131">
        <v>3</v>
      </c>
      <c r="G831" s="131" t="s">
        <v>28</v>
      </c>
      <c r="H831" s="116">
        <v>0</v>
      </c>
      <c r="I831" s="37">
        <f t="shared" si="177"/>
        <v>0</v>
      </c>
      <c r="J831" s="98"/>
      <c r="K831" s="98"/>
    </row>
    <row r="832" spans="1:11" ht="26" x14ac:dyDescent="0.2">
      <c r="A832" s="25">
        <f>IF(F832=0,"",1+MAX(A$18:A830))</f>
        <v>636</v>
      </c>
      <c r="B832" s="178"/>
      <c r="C832" s="176"/>
      <c r="D832" s="128"/>
      <c r="E832" s="141" t="s">
        <v>659</v>
      </c>
      <c r="F832" s="131">
        <v>1</v>
      </c>
      <c r="G832" s="131" t="s">
        <v>28</v>
      </c>
      <c r="H832" s="116">
        <v>0</v>
      </c>
      <c r="I832" s="37">
        <f t="shared" si="177"/>
        <v>0</v>
      </c>
      <c r="J832" s="98"/>
      <c r="K832" s="98"/>
    </row>
    <row r="833" spans="1:11" x14ac:dyDescent="0.2">
      <c r="A833" s="25">
        <f>IF(F833=0,"",1+MAX(A$18:A831))</f>
        <v>637</v>
      </c>
      <c r="B833" s="178"/>
      <c r="C833" s="176"/>
      <c r="D833" s="128"/>
      <c r="E833" s="140" t="s">
        <v>207</v>
      </c>
      <c r="F833" s="131">
        <v>4</v>
      </c>
      <c r="G833" s="131" t="s">
        <v>28</v>
      </c>
      <c r="H833" s="116">
        <v>0</v>
      </c>
      <c r="I833" s="37">
        <f t="shared" si="177"/>
        <v>0</v>
      </c>
      <c r="J833" s="98"/>
      <c r="K833" s="98"/>
    </row>
    <row r="834" spans="1:11" x14ac:dyDescent="0.2">
      <c r="A834" s="25">
        <f>IF(F834=0,"",1+MAX(A$18:A832))</f>
        <v>637</v>
      </c>
      <c r="B834" s="178"/>
      <c r="C834" s="176"/>
      <c r="D834" s="128"/>
      <c r="E834" s="140" t="s">
        <v>216</v>
      </c>
      <c r="F834" s="131">
        <v>1</v>
      </c>
      <c r="G834" s="131" t="s">
        <v>28</v>
      </c>
      <c r="H834" s="116">
        <v>0</v>
      </c>
      <c r="I834" s="37">
        <f t="shared" si="177"/>
        <v>0</v>
      </c>
      <c r="J834" s="98"/>
      <c r="K834" s="98"/>
    </row>
    <row r="835" spans="1:11" x14ac:dyDescent="0.2">
      <c r="A835" s="25" t="str">
        <f>IF(F835=0,"",1+MAX(A$18:A833))</f>
        <v/>
      </c>
      <c r="B835" s="178"/>
      <c r="C835" s="176"/>
      <c r="D835" s="128"/>
      <c r="E835" s="129" t="s">
        <v>312</v>
      </c>
      <c r="F835" s="138"/>
      <c r="G835" s="138"/>
      <c r="H835" s="116"/>
      <c r="I835" s="37"/>
      <c r="J835" s="98"/>
      <c r="K835" s="98"/>
    </row>
    <row r="836" spans="1:11" x14ac:dyDescent="0.2">
      <c r="A836" s="25" t="str">
        <f>IF(F836=0,"",1+MAX(A$18:A834))</f>
        <v/>
      </c>
      <c r="B836" s="178"/>
      <c r="C836" s="176"/>
      <c r="D836" s="128"/>
      <c r="E836" s="139" t="s">
        <v>313</v>
      </c>
      <c r="F836" s="138"/>
      <c r="G836" s="138"/>
      <c r="H836" s="116"/>
      <c r="I836" s="37"/>
      <c r="J836" s="98"/>
      <c r="K836" s="98"/>
    </row>
    <row r="837" spans="1:11" x14ac:dyDescent="0.2">
      <c r="A837" s="25">
        <f>IF(F837=0,"",1+MAX(A$18:A835))</f>
        <v>638</v>
      </c>
      <c r="B837" s="178"/>
      <c r="C837" s="176"/>
      <c r="D837" s="128"/>
      <c r="E837" s="140" t="s">
        <v>208</v>
      </c>
      <c r="F837" s="131">
        <v>33</v>
      </c>
      <c r="G837" s="131" t="s">
        <v>28</v>
      </c>
      <c r="H837" s="116">
        <v>0</v>
      </c>
      <c r="I837" s="37">
        <f t="shared" si="177"/>
        <v>0</v>
      </c>
      <c r="J837" s="98"/>
      <c r="K837" s="98"/>
    </row>
    <row r="838" spans="1:11" x14ac:dyDescent="0.2">
      <c r="A838" s="25">
        <f>IF(F838=0,"",1+MAX(A$18:A836))</f>
        <v>638</v>
      </c>
      <c r="B838" s="178"/>
      <c r="C838" s="176"/>
      <c r="D838" s="128"/>
      <c r="E838" s="141" t="s">
        <v>209</v>
      </c>
      <c r="F838" s="131">
        <v>6</v>
      </c>
      <c r="G838" s="131" t="s">
        <v>28</v>
      </c>
      <c r="H838" s="142">
        <v>0</v>
      </c>
      <c r="I838" s="37">
        <f t="shared" si="177"/>
        <v>0</v>
      </c>
      <c r="J838" s="98"/>
      <c r="K838" s="98"/>
    </row>
    <row r="839" spans="1:11" x14ac:dyDescent="0.2">
      <c r="A839" s="25">
        <f>IF(F839=0,"",1+MAX(A$18:A837))</f>
        <v>639</v>
      </c>
      <c r="B839" s="178"/>
      <c r="C839" s="176"/>
      <c r="D839" s="128"/>
      <c r="E839" s="140" t="s">
        <v>207</v>
      </c>
      <c r="F839" s="131">
        <v>6</v>
      </c>
      <c r="G839" s="131" t="s">
        <v>28</v>
      </c>
      <c r="H839" s="116">
        <v>0</v>
      </c>
      <c r="I839" s="37">
        <f t="shared" si="177"/>
        <v>0</v>
      </c>
      <c r="J839" s="98"/>
      <c r="K839" s="98"/>
    </row>
    <row r="840" spans="1:11" x14ac:dyDescent="0.2">
      <c r="A840" s="25">
        <f>IF(F840=0,"",1+MAX(A$18:A838))</f>
        <v>639</v>
      </c>
      <c r="B840" s="178"/>
      <c r="C840" s="176"/>
      <c r="D840" s="128"/>
      <c r="E840" s="140" t="s">
        <v>216</v>
      </c>
      <c r="F840" s="131">
        <v>1</v>
      </c>
      <c r="G840" s="131" t="s">
        <v>28</v>
      </c>
      <c r="H840" s="116">
        <v>0</v>
      </c>
      <c r="I840" s="37">
        <f t="shared" si="177"/>
        <v>0</v>
      </c>
      <c r="J840" s="98"/>
      <c r="K840" s="98"/>
    </row>
    <row r="841" spans="1:11" ht="26" x14ac:dyDescent="0.2">
      <c r="A841" s="25">
        <f>IF(F841=0,"",1+MAX(A$18:A839))</f>
        <v>640</v>
      </c>
      <c r="B841" s="178"/>
      <c r="C841" s="176"/>
      <c r="D841" s="128"/>
      <c r="E841" s="141" t="s">
        <v>659</v>
      </c>
      <c r="F841" s="131">
        <v>1</v>
      </c>
      <c r="G841" s="131" t="s">
        <v>28</v>
      </c>
      <c r="H841" s="116">
        <v>0</v>
      </c>
      <c r="I841" s="37">
        <f t="shared" si="177"/>
        <v>0</v>
      </c>
      <c r="J841" s="98"/>
      <c r="K841" s="98"/>
    </row>
    <row r="842" spans="1:11" x14ac:dyDescent="0.2">
      <c r="A842" s="25">
        <f>IF(F842=0,"",1+MAX(A$18:A840))</f>
        <v>640</v>
      </c>
      <c r="B842" s="178"/>
      <c r="C842" s="176"/>
      <c r="D842" s="128"/>
      <c r="E842" s="140" t="s">
        <v>213</v>
      </c>
      <c r="F842" s="131">
        <v>4</v>
      </c>
      <c r="G842" s="131" t="s">
        <v>28</v>
      </c>
      <c r="H842" s="116">
        <v>0</v>
      </c>
      <c r="I842" s="37">
        <f t="shared" si="177"/>
        <v>0</v>
      </c>
      <c r="J842" s="98"/>
      <c r="K842" s="98"/>
    </row>
    <row r="843" spans="1:11" x14ac:dyDescent="0.2">
      <c r="A843" s="25" t="str">
        <f>IF(F843=0,"",1+MAX(A$18:A841))</f>
        <v/>
      </c>
      <c r="B843" s="178"/>
      <c r="C843" s="176"/>
      <c r="D843" s="128"/>
      <c r="E843" s="129" t="s">
        <v>310</v>
      </c>
      <c r="F843" s="138"/>
      <c r="G843" s="138"/>
      <c r="H843" s="116"/>
      <c r="I843" s="37"/>
      <c r="J843" s="98"/>
      <c r="K843" s="98"/>
    </row>
    <row r="844" spans="1:11" x14ac:dyDescent="0.2">
      <c r="A844" s="25" t="str">
        <f>IF(F844=0,"",1+MAX(A$18:A842))</f>
        <v/>
      </c>
      <c r="B844" s="178"/>
      <c r="C844" s="176"/>
      <c r="D844" s="128"/>
      <c r="E844" s="139" t="s">
        <v>314</v>
      </c>
      <c r="F844" s="138"/>
      <c r="G844" s="138"/>
      <c r="H844" s="116"/>
      <c r="I844" s="37"/>
      <c r="J844" s="98"/>
      <c r="K844" s="98"/>
    </row>
    <row r="845" spans="1:11" x14ac:dyDescent="0.2">
      <c r="A845" s="25" t="str">
        <f>IF(F845=0,"",1+MAX(A$18:A843))</f>
        <v/>
      </c>
      <c r="B845" s="178"/>
      <c r="C845" s="176"/>
      <c r="D845" s="128"/>
      <c r="E845" s="143" t="s">
        <v>217</v>
      </c>
      <c r="F845" s="138"/>
      <c r="G845" s="138"/>
      <c r="H845" s="116"/>
      <c r="I845" s="37"/>
      <c r="J845" s="98"/>
      <c r="K845" s="98"/>
    </row>
    <row r="846" spans="1:11" x14ac:dyDescent="0.2">
      <c r="A846" s="25">
        <f>IF(F846=0,"",1+MAX(A$18:A844))</f>
        <v>641</v>
      </c>
      <c r="B846" s="178"/>
      <c r="C846" s="176"/>
      <c r="D846" s="128"/>
      <c r="E846" s="140" t="s">
        <v>211</v>
      </c>
      <c r="F846" s="131">
        <v>20</v>
      </c>
      <c r="G846" s="131" t="s">
        <v>28</v>
      </c>
      <c r="H846" s="116">
        <v>0</v>
      </c>
      <c r="I846" s="37">
        <f t="shared" si="177"/>
        <v>0</v>
      </c>
      <c r="J846" s="98"/>
      <c r="K846" s="98"/>
    </row>
    <row r="847" spans="1:11" x14ac:dyDescent="0.2">
      <c r="A847" s="25">
        <f>IF(F847=0,"",1+MAX(A$18:A845))</f>
        <v>641</v>
      </c>
      <c r="B847" s="178"/>
      <c r="C847" s="176"/>
      <c r="D847" s="128"/>
      <c r="E847" s="140" t="s">
        <v>340</v>
      </c>
      <c r="F847" s="131">
        <v>13</v>
      </c>
      <c r="G847" s="131" t="s">
        <v>28</v>
      </c>
      <c r="H847" s="116">
        <v>0</v>
      </c>
      <c r="I847" s="37">
        <f t="shared" si="177"/>
        <v>0</v>
      </c>
      <c r="J847" s="98"/>
      <c r="K847" s="98"/>
    </row>
    <row r="848" spans="1:11" x14ac:dyDescent="0.2">
      <c r="A848" s="25">
        <f>IF(F848=0,"",1+MAX(A$18:A846))</f>
        <v>642</v>
      </c>
      <c r="B848" s="178"/>
      <c r="C848" s="176"/>
      <c r="D848" s="128"/>
      <c r="E848" s="140" t="s">
        <v>218</v>
      </c>
      <c r="F848" s="131">
        <v>1</v>
      </c>
      <c r="G848" s="131" t="s">
        <v>28</v>
      </c>
      <c r="H848" s="116">
        <v>0</v>
      </c>
      <c r="I848" s="37">
        <f t="shared" si="177"/>
        <v>0</v>
      </c>
      <c r="J848" s="98"/>
      <c r="K848" s="98"/>
    </row>
    <row r="849" spans="1:11" x14ac:dyDescent="0.2">
      <c r="A849" s="25" t="str">
        <f>IF(F849=0,"",1+MAX(A$18:A847))</f>
        <v/>
      </c>
      <c r="B849" s="178"/>
      <c r="C849" s="176"/>
      <c r="D849" s="128"/>
      <c r="E849" s="129" t="s">
        <v>311</v>
      </c>
      <c r="F849" s="138"/>
      <c r="G849" s="138"/>
      <c r="H849" s="116"/>
      <c r="I849" s="37"/>
      <c r="J849" s="98"/>
      <c r="K849" s="98"/>
    </row>
    <row r="850" spans="1:11" x14ac:dyDescent="0.2">
      <c r="A850" s="25" t="str">
        <f>IF(F850=0,"",1+MAX(A$18:A848))</f>
        <v/>
      </c>
      <c r="B850" s="178"/>
      <c r="C850" s="176"/>
      <c r="D850" s="128"/>
      <c r="E850" s="139" t="s">
        <v>314</v>
      </c>
      <c r="F850" s="138"/>
      <c r="G850" s="138"/>
      <c r="H850" s="116"/>
      <c r="I850" s="37"/>
      <c r="J850" s="98"/>
      <c r="K850" s="98"/>
    </row>
    <row r="851" spans="1:11" x14ac:dyDescent="0.2">
      <c r="A851" s="25" t="str">
        <f>IF(F851=0,"",1+MAX(A$18:A849))</f>
        <v/>
      </c>
      <c r="B851" s="178"/>
      <c r="C851" s="176"/>
      <c r="D851" s="128"/>
      <c r="E851" s="143" t="s">
        <v>217</v>
      </c>
      <c r="F851" s="138"/>
      <c r="G851" s="138"/>
      <c r="H851" s="116"/>
      <c r="I851" s="37"/>
      <c r="J851" s="98"/>
      <c r="K851" s="98"/>
    </row>
    <row r="852" spans="1:11" x14ac:dyDescent="0.2">
      <c r="A852" s="25">
        <f>IF(F852=0,"",1+MAX(A$18:A850))</f>
        <v>643</v>
      </c>
      <c r="B852" s="178"/>
      <c r="C852" s="176"/>
      <c r="D852" s="128"/>
      <c r="E852" s="140" t="s">
        <v>211</v>
      </c>
      <c r="F852" s="131">
        <v>11</v>
      </c>
      <c r="G852" s="131" t="s">
        <v>28</v>
      </c>
      <c r="H852" s="116">
        <v>0</v>
      </c>
      <c r="I852" s="37">
        <f t="shared" si="177"/>
        <v>0</v>
      </c>
      <c r="J852" s="98"/>
      <c r="K852" s="98"/>
    </row>
    <row r="853" spans="1:11" x14ac:dyDescent="0.2">
      <c r="A853" s="25">
        <f>IF(F853=0,"",1+MAX(A$18:A851))</f>
        <v>643</v>
      </c>
      <c r="B853" s="178"/>
      <c r="C853" s="176"/>
      <c r="D853" s="128"/>
      <c r="E853" s="140" t="s">
        <v>340</v>
      </c>
      <c r="F853" s="131">
        <v>11</v>
      </c>
      <c r="G853" s="131" t="s">
        <v>28</v>
      </c>
      <c r="H853" s="116">
        <v>0</v>
      </c>
      <c r="I853" s="37">
        <f t="shared" si="177"/>
        <v>0</v>
      </c>
      <c r="J853" s="98"/>
      <c r="K853" s="98"/>
    </row>
    <row r="854" spans="1:11" x14ac:dyDescent="0.2">
      <c r="A854" s="25" t="str">
        <f>IF(F854=0,"",1+MAX(A$18:A852))</f>
        <v/>
      </c>
      <c r="B854" s="178"/>
      <c r="C854" s="176"/>
      <c r="D854" s="128"/>
      <c r="E854" s="129" t="s">
        <v>312</v>
      </c>
      <c r="F854" s="131"/>
      <c r="G854" s="131"/>
      <c r="H854" s="116"/>
      <c r="I854" s="37"/>
      <c r="J854" s="98"/>
      <c r="K854" s="98"/>
    </row>
    <row r="855" spans="1:11" x14ac:dyDescent="0.2">
      <c r="A855" s="25" t="str">
        <f>IF(F855=0,"",1+MAX(A$18:A853))</f>
        <v/>
      </c>
      <c r="B855" s="178"/>
      <c r="C855" s="176"/>
      <c r="D855" s="128"/>
      <c r="E855" s="139" t="s">
        <v>314</v>
      </c>
      <c r="F855" s="138"/>
      <c r="G855" s="138"/>
      <c r="H855" s="116"/>
      <c r="I855" s="37"/>
      <c r="J855" s="98"/>
      <c r="K855" s="98"/>
    </row>
    <row r="856" spans="1:11" x14ac:dyDescent="0.2">
      <c r="A856" s="25" t="str">
        <f>IF(F856=0,"",1+MAX(A$18:A854))</f>
        <v/>
      </c>
      <c r="B856" s="178"/>
      <c r="C856" s="176"/>
      <c r="D856" s="128"/>
      <c r="E856" s="143" t="s">
        <v>217</v>
      </c>
      <c r="F856" s="131"/>
      <c r="G856" s="131"/>
      <c r="H856" s="116"/>
      <c r="I856" s="37"/>
      <c r="J856" s="98"/>
      <c r="K856" s="98"/>
    </row>
    <row r="857" spans="1:11" x14ac:dyDescent="0.2">
      <c r="A857" s="25">
        <f>IF(F857=0,"",1+MAX(A$18:A855))</f>
        <v>644</v>
      </c>
      <c r="B857" s="178"/>
      <c r="C857" s="176"/>
      <c r="D857" s="128"/>
      <c r="E857" s="140" t="s">
        <v>211</v>
      </c>
      <c r="F857" s="131">
        <v>14</v>
      </c>
      <c r="G857" s="131" t="s">
        <v>28</v>
      </c>
      <c r="H857" s="116">
        <v>0</v>
      </c>
      <c r="I857" s="37">
        <f t="shared" si="177"/>
        <v>0</v>
      </c>
      <c r="J857" s="98"/>
      <c r="K857" s="98"/>
    </row>
    <row r="858" spans="1:11" x14ac:dyDescent="0.2">
      <c r="A858" s="25">
        <f>IF(F858=0,"",1+MAX(A$18:A856))</f>
        <v>644</v>
      </c>
      <c r="B858" s="178"/>
      <c r="C858" s="176"/>
      <c r="D858" s="128"/>
      <c r="E858" s="140" t="s">
        <v>340</v>
      </c>
      <c r="F858" s="131">
        <v>13</v>
      </c>
      <c r="G858" s="131" t="s">
        <v>28</v>
      </c>
      <c r="H858" s="116">
        <v>0</v>
      </c>
      <c r="I858" s="37">
        <f t="shared" si="177"/>
        <v>0</v>
      </c>
      <c r="J858" s="98"/>
      <c r="K858" s="98"/>
    </row>
    <row r="859" spans="1:11" x14ac:dyDescent="0.2">
      <c r="A859" s="25">
        <f>IF(F859=0,"",1+MAX(A$18:A857))</f>
        <v>645</v>
      </c>
      <c r="B859" s="178"/>
      <c r="C859" s="176"/>
      <c r="D859" s="128"/>
      <c r="E859" s="140" t="s">
        <v>218</v>
      </c>
      <c r="F859" s="131">
        <v>1</v>
      </c>
      <c r="G859" s="131" t="s">
        <v>28</v>
      </c>
      <c r="H859" s="116">
        <v>0</v>
      </c>
      <c r="I859" s="37">
        <f t="shared" si="177"/>
        <v>0</v>
      </c>
      <c r="J859" s="98"/>
      <c r="K859" s="98"/>
    </row>
    <row r="860" spans="1:11" x14ac:dyDescent="0.2">
      <c r="A860" s="25" t="str">
        <f>IF(F860=0,"",1+MAX(A$18:A858))</f>
        <v/>
      </c>
      <c r="B860" s="178"/>
      <c r="C860" s="176"/>
      <c r="D860" s="128"/>
      <c r="E860" s="129" t="s">
        <v>310</v>
      </c>
      <c r="F860" s="131"/>
      <c r="G860" s="131"/>
      <c r="H860" s="116"/>
      <c r="I860" s="37"/>
      <c r="J860" s="98"/>
      <c r="K860" s="98"/>
    </row>
    <row r="861" spans="1:11" x14ac:dyDescent="0.2">
      <c r="A861" s="25" t="str">
        <f>IF(F861=0,"",1+MAX(A$18:A859))</f>
        <v/>
      </c>
      <c r="B861" s="178"/>
      <c r="C861" s="176"/>
      <c r="D861" s="128"/>
      <c r="E861" s="139" t="s">
        <v>315</v>
      </c>
      <c r="F861" s="131"/>
      <c r="G861" s="131"/>
      <c r="H861" s="116"/>
      <c r="I861" s="37"/>
      <c r="J861" s="98"/>
      <c r="K861" s="98"/>
    </row>
    <row r="862" spans="1:11" x14ac:dyDescent="0.2">
      <c r="A862" s="25">
        <f>IF(F862=0,"",1+MAX(A$18:A860))</f>
        <v>646</v>
      </c>
      <c r="B862" s="178"/>
      <c r="C862" s="176"/>
      <c r="D862" s="128"/>
      <c r="E862" s="140" t="s">
        <v>219</v>
      </c>
      <c r="F862" s="131">
        <v>4</v>
      </c>
      <c r="G862" s="131" t="s">
        <v>28</v>
      </c>
      <c r="H862" s="116">
        <v>0</v>
      </c>
      <c r="I862" s="37">
        <f t="shared" si="177"/>
        <v>0</v>
      </c>
      <c r="J862" s="98"/>
      <c r="K862" s="98"/>
    </row>
    <row r="863" spans="1:11" ht="26" x14ac:dyDescent="0.2">
      <c r="A863" s="25">
        <f>IF(F863=0,"",1+MAX(A$18:A861))</f>
        <v>646</v>
      </c>
      <c r="B863" s="178"/>
      <c r="C863" s="176"/>
      <c r="D863" s="128"/>
      <c r="E863" s="141" t="s">
        <v>662</v>
      </c>
      <c r="F863" s="131">
        <v>14</v>
      </c>
      <c r="G863" s="131" t="s">
        <v>28</v>
      </c>
      <c r="H863" s="116">
        <v>0</v>
      </c>
      <c r="I863" s="37">
        <f t="shared" si="177"/>
        <v>0</v>
      </c>
      <c r="J863" s="98"/>
      <c r="K863" s="98"/>
    </row>
    <row r="864" spans="1:11" ht="26" x14ac:dyDescent="0.2">
      <c r="A864" s="25">
        <f>IF(F864=0,"",1+MAX(A$18:A862))</f>
        <v>647</v>
      </c>
      <c r="B864" s="178"/>
      <c r="C864" s="176"/>
      <c r="D864" s="128"/>
      <c r="E864" s="141" t="s">
        <v>663</v>
      </c>
      <c r="F864" s="131">
        <v>15</v>
      </c>
      <c r="G864" s="131" t="s">
        <v>28</v>
      </c>
      <c r="H864" s="116">
        <v>0</v>
      </c>
      <c r="I864" s="37">
        <f t="shared" si="177"/>
        <v>0</v>
      </c>
      <c r="J864" s="98"/>
      <c r="K864" s="98"/>
    </row>
    <row r="865" spans="1:11" x14ac:dyDescent="0.2">
      <c r="A865" s="25">
        <f>IF(F865=0,"",1+MAX(A$18:A863))</f>
        <v>647</v>
      </c>
      <c r="B865" s="178"/>
      <c r="C865" s="176"/>
      <c r="D865" s="128"/>
      <c r="E865" s="140" t="s">
        <v>220</v>
      </c>
      <c r="F865" s="131">
        <v>10</v>
      </c>
      <c r="G865" s="131" t="s">
        <v>28</v>
      </c>
      <c r="H865" s="116">
        <v>0</v>
      </c>
      <c r="I865" s="37">
        <f t="shared" si="177"/>
        <v>0</v>
      </c>
      <c r="J865" s="98"/>
      <c r="K865" s="98"/>
    </row>
    <row r="866" spans="1:11" x14ac:dyDescent="0.2">
      <c r="A866" s="25">
        <f>IF(F866=0,"",1+MAX(A$18:A864))</f>
        <v>648</v>
      </c>
      <c r="B866" s="178"/>
      <c r="C866" s="176"/>
      <c r="D866" s="128"/>
      <c r="E866" s="140" t="s">
        <v>221</v>
      </c>
      <c r="F866" s="131">
        <v>10</v>
      </c>
      <c r="G866" s="131" t="s">
        <v>28</v>
      </c>
      <c r="H866" s="116">
        <v>0</v>
      </c>
      <c r="I866" s="37">
        <f t="shared" si="177"/>
        <v>0</v>
      </c>
      <c r="J866" s="98"/>
      <c r="K866" s="98"/>
    </row>
    <row r="867" spans="1:11" x14ac:dyDescent="0.2">
      <c r="A867" s="25">
        <f>IF(F867=0,"",1+MAX(A$18:A865))</f>
        <v>648</v>
      </c>
      <c r="B867" s="178"/>
      <c r="C867" s="176"/>
      <c r="D867" s="128"/>
      <c r="E867" s="140" t="s">
        <v>46</v>
      </c>
      <c r="F867" s="131">
        <v>8</v>
      </c>
      <c r="G867" s="131" t="s">
        <v>28</v>
      </c>
      <c r="H867" s="116">
        <v>0</v>
      </c>
      <c r="I867" s="37">
        <f t="shared" si="177"/>
        <v>0</v>
      </c>
      <c r="J867" s="98"/>
      <c r="K867" s="98"/>
    </row>
    <row r="868" spans="1:11" x14ac:dyDescent="0.2">
      <c r="A868" s="25">
        <f>IF(F868=0,"",1+MAX(A$18:A866))</f>
        <v>649</v>
      </c>
      <c r="B868" s="178"/>
      <c r="C868" s="176"/>
      <c r="D868" s="128"/>
      <c r="E868" s="140" t="s">
        <v>222</v>
      </c>
      <c r="F868" s="131">
        <v>4</v>
      </c>
      <c r="G868" s="131" t="s">
        <v>28</v>
      </c>
      <c r="H868" s="116">
        <v>0</v>
      </c>
      <c r="I868" s="37">
        <f t="shared" si="177"/>
        <v>0</v>
      </c>
      <c r="J868" s="98"/>
      <c r="K868" s="98"/>
    </row>
    <row r="869" spans="1:11" x14ac:dyDescent="0.2">
      <c r="A869" s="25">
        <f>IF(F869=0,"",1+MAX(A$18:A867))</f>
        <v>649</v>
      </c>
      <c r="B869" s="178"/>
      <c r="C869" s="176"/>
      <c r="D869" s="128"/>
      <c r="E869" s="140" t="s">
        <v>223</v>
      </c>
      <c r="F869" s="131">
        <v>22</v>
      </c>
      <c r="G869" s="131" t="s">
        <v>28</v>
      </c>
      <c r="H869" s="116">
        <v>0</v>
      </c>
      <c r="I869" s="37">
        <f t="shared" si="177"/>
        <v>0</v>
      </c>
      <c r="J869" s="98"/>
      <c r="K869" s="98"/>
    </row>
    <row r="870" spans="1:11" x14ac:dyDescent="0.2">
      <c r="A870" s="25">
        <f>IF(F870=0,"",1+MAX(A$18:A868))</f>
        <v>650</v>
      </c>
      <c r="B870" s="178"/>
      <c r="C870" s="176"/>
      <c r="D870" s="128"/>
      <c r="E870" s="140" t="s">
        <v>224</v>
      </c>
      <c r="F870" s="131">
        <v>24</v>
      </c>
      <c r="G870" s="131" t="s">
        <v>28</v>
      </c>
      <c r="H870" s="116">
        <v>0</v>
      </c>
      <c r="I870" s="37">
        <f t="shared" si="177"/>
        <v>0</v>
      </c>
      <c r="J870" s="98"/>
      <c r="K870" s="98"/>
    </row>
    <row r="871" spans="1:11" x14ac:dyDescent="0.2">
      <c r="A871" s="25" t="str">
        <f>IF(F871=0,"",1+MAX(A$18:A869))</f>
        <v/>
      </c>
      <c r="B871" s="178"/>
      <c r="C871" s="176"/>
      <c r="D871" s="128"/>
      <c r="E871" s="129" t="s">
        <v>311</v>
      </c>
      <c r="F871" s="131"/>
      <c r="G871" s="131"/>
      <c r="H871" s="116"/>
      <c r="I871" s="37"/>
      <c r="J871" s="98"/>
      <c r="K871" s="98"/>
    </row>
    <row r="872" spans="1:11" x14ac:dyDescent="0.2">
      <c r="A872" s="25" t="str">
        <f>IF(F872=0,"",1+MAX(A$18:A870))</f>
        <v/>
      </c>
      <c r="B872" s="178"/>
      <c r="C872" s="176"/>
      <c r="D872" s="128"/>
      <c r="E872" s="139" t="s">
        <v>315</v>
      </c>
      <c r="F872" s="131"/>
      <c r="G872" s="131"/>
      <c r="H872" s="116"/>
      <c r="I872" s="37"/>
      <c r="J872" s="98"/>
      <c r="K872" s="98"/>
    </row>
    <row r="873" spans="1:11" x14ac:dyDescent="0.2">
      <c r="A873" s="25">
        <f>IF(F873=0,"",1+MAX(A$18:A871))</f>
        <v>651</v>
      </c>
      <c r="B873" s="178"/>
      <c r="C873" s="176"/>
      <c r="D873" s="128"/>
      <c r="E873" s="140" t="s">
        <v>219</v>
      </c>
      <c r="F873" s="131">
        <v>11</v>
      </c>
      <c r="G873" s="131" t="s">
        <v>28</v>
      </c>
      <c r="H873" s="116">
        <v>0</v>
      </c>
      <c r="I873" s="37">
        <f t="shared" si="177"/>
        <v>0</v>
      </c>
      <c r="J873" s="98"/>
      <c r="K873" s="98"/>
    </row>
    <row r="874" spans="1:11" ht="26" x14ac:dyDescent="0.2">
      <c r="A874" s="25">
        <f>IF(F874=0,"",1+MAX(A$18:A872))</f>
        <v>651</v>
      </c>
      <c r="B874" s="178"/>
      <c r="C874" s="176"/>
      <c r="D874" s="128"/>
      <c r="E874" s="141" t="s">
        <v>662</v>
      </c>
      <c r="F874" s="131">
        <v>10</v>
      </c>
      <c r="G874" s="131" t="s">
        <v>28</v>
      </c>
      <c r="H874" s="116">
        <v>0</v>
      </c>
      <c r="I874" s="37">
        <f t="shared" si="177"/>
        <v>0</v>
      </c>
      <c r="J874" s="98"/>
      <c r="K874" s="98"/>
    </row>
    <row r="875" spans="1:11" ht="26" x14ac:dyDescent="0.2">
      <c r="A875" s="25">
        <f>IF(F875=0,"",1+MAX(A$18:A873))</f>
        <v>652</v>
      </c>
      <c r="B875" s="178"/>
      <c r="C875" s="176"/>
      <c r="D875" s="128"/>
      <c r="E875" s="141" t="s">
        <v>663</v>
      </c>
      <c r="F875" s="131">
        <v>10</v>
      </c>
      <c r="G875" s="131" t="s">
        <v>28</v>
      </c>
      <c r="H875" s="116">
        <v>0</v>
      </c>
      <c r="I875" s="37">
        <f t="shared" si="177"/>
        <v>0</v>
      </c>
      <c r="J875" s="98"/>
      <c r="K875" s="98"/>
    </row>
    <row r="876" spans="1:11" x14ac:dyDescent="0.2">
      <c r="A876" s="25">
        <f>IF(F876=0,"",1+MAX(A$18:A874))</f>
        <v>652</v>
      </c>
      <c r="B876" s="178"/>
      <c r="C876" s="176"/>
      <c r="D876" s="128"/>
      <c r="E876" s="140" t="s">
        <v>220</v>
      </c>
      <c r="F876" s="131">
        <v>1</v>
      </c>
      <c r="G876" s="131" t="s">
        <v>28</v>
      </c>
      <c r="H876" s="116">
        <v>0</v>
      </c>
      <c r="I876" s="37">
        <f t="shared" si="177"/>
        <v>0</v>
      </c>
      <c r="J876" s="98"/>
      <c r="K876" s="98"/>
    </row>
    <row r="877" spans="1:11" x14ac:dyDescent="0.2">
      <c r="A877" s="25">
        <f>IF(F877=0,"",1+MAX(A$18:A875))</f>
        <v>653</v>
      </c>
      <c r="B877" s="178"/>
      <c r="C877" s="176"/>
      <c r="D877" s="128"/>
      <c r="E877" s="140" t="s">
        <v>221</v>
      </c>
      <c r="F877" s="131">
        <v>6</v>
      </c>
      <c r="G877" s="131" t="s">
        <v>28</v>
      </c>
      <c r="H877" s="116">
        <v>0</v>
      </c>
      <c r="I877" s="37">
        <f t="shared" si="177"/>
        <v>0</v>
      </c>
      <c r="J877" s="98"/>
      <c r="K877" s="98"/>
    </row>
    <row r="878" spans="1:11" x14ac:dyDescent="0.2">
      <c r="A878" s="25">
        <f>IF(F878=0,"",1+MAX(A$18:A876))</f>
        <v>653</v>
      </c>
      <c r="B878" s="178"/>
      <c r="C878" s="176"/>
      <c r="D878" s="128"/>
      <c r="E878" s="140" t="s">
        <v>223</v>
      </c>
      <c r="F878" s="131">
        <v>3</v>
      </c>
      <c r="G878" s="131" t="s">
        <v>28</v>
      </c>
      <c r="H878" s="116">
        <v>0</v>
      </c>
      <c r="I878" s="37">
        <f t="shared" si="177"/>
        <v>0</v>
      </c>
      <c r="J878" s="98"/>
      <c r="K878" s="98"/>
    </row>
    <row r="879" spans="1:11" x14ac:dyDescent="0.2">
      <c r="A879" s="25">
        <f>IF(F879=0,"",1+MAX(A$18:A877))</f>
        <v>654</v>
      </c>
      <c r="B879" s="178"/>
      <c r="C879" s="176"/>
      <c r="D879" s="128"/>
      <c r="E879" s="140" t="s">
        <v>224</v>
      </c>
      <c r="F879" s="131">
        <v>12</v>
      </c>
      <c r="G879" s="131" t="s">
        <v>28</v>
      </c>
      <c r="H879" s="116">
        <v>0</v>
      </c>
      <c r="I879" s="37">
        <f t="shared" si="177"/>
        <v>0</v>
      </c>
      <c r="J879" s="98"/>
      <c r="K879" s="98"/>
    </row>
    <row r="880" spans="1:11" x14ac:dyDescent="0.2">
      <c r="A880" s="25">
        <f>IF(F880=0,"",1+MAX(A$18:A878))</f>
        <v>654</v>
      </c>
      <c r="B880" s="178"/>
      <c r="C880" s="176"/>
      <c r="D880" s="128"/>
      <c r="E880" s="140" t="s">
        <v>222</v>
      </c>
      <c r="F880" s="131">
        <v>2</v>
      </c>
      <c r="G880" s="131" t="s">
        <v>28</v>
      </c>
      <c r="H880" s="116">
        <v>0</v>
      </c>
      <c r="I880" s="37">
        <f t="shared" si="177"/>
        <v>0</v>
      </c>
      <c r="J880" s="98"/>
      <c r="K880" s="98"/>
    </row>
    <row r="881" spans="1:11" x14ac:dyDescent="0.2">
      <c r="A881" s="25" t="str">
        <f>IF(F881=0,"",1+MAX(A$18:A879))</f>
        <v/>
      </c>
      <c r="B881" s="178"/>
      <c r="C881" s="176"/>
      <c r="D881" s="128"/>
      <c r="E881" s="129" t="s">
        <v>312</v>
      </c>
      <c r="F881" s="131"/>
      <c r="G881" s="131"/>
      <c r="H881" s="116"/>
      <c r="I881" s="37"/>
      <c r="J881" s="98"/>
      <c r="K881" s="98"/>
    </row>
    <row r="882" spans="1:11" x14ac:dyDescent="0.2">
      <c r="A882" s="25" t="str">
        <f>IF(F882=0,"",1+MAX(A$18:A880))</f>
        <v/>
      </c>
      <c r="B882" s="178"/>
      <c r="C882" s="176"/>
      <c r="D882" s="128"/>
      <c r="E882" s="139" t="s">
        <v>315</v>
      </c>
      <c r="F882" s="131"/>
      <c r="G882" s="131"/>
      <c r="H882" s="116"/>
      <c r="I882" s="37"/>
      <c r="J882" s="98"/>
      <c r="K882" s="98"/>
    </row>
    <row r="883" spans="1:11" ht="26" x14ac:dyDescent="0.2">
      <c r="A883" s="25">
        <f>IF(F883=0,"",1+MAX(A$18:A881))</f>
        <v>655</v>
      </c>
      <c r="B883" s="178"/>
      <c r="C883" s="176"/>
      <c r="D883" s="128"/>
      <c r="E883" s="141" t="s">
        <v>664</v>
      </c>
      <c r="F883" s="131">
        <v>5</v>
      </c>
      <c r="G883" s="131" t="s">
        <v>28</v>
      </c>
      <c r="H883" s="116">
        <v>0</v>
      </c>
      <c r="I883" s="37">
        <f t="shared" si="177"/>
        <v>0</v>
      </c>
      <c r="J883" s="98"/>
      <c r="K883" s="98"/>
    </row>
    <row r="884" spans="1:11" ht="26" x14ac:dyDescent="0.2">
      <c r="A884" s="25">
        <f>IF(F884=0,"",1+MAX(A$18:A882))</f>
        <v>655</v>
      </c>
      <c r="B884" s="178"/>
      <c r="C884" s="176"/>
      <c r="D884" s="128"/>
      <c r="E884" s="141" t="s">
        <v>665</v>
      </c>
      <c r="F884" s="131">
        <v>4</v>
      </c>
      <c r="G884" s="131" t="s">
        <v>28</v>
      </c>
      <c r="H884" s="116">
        <v>0</v>
      </c>
      <c r="I884" s="37">
        <f t="shared" si="177"/>
        <v>0</v>
      </c>
      <c r="J884" s="98"/>
      <c r="K884" s="98"/>
    </row>
    <row r="885" spans="1:11" ht="26" x14ac:dyDescent="0.2">
      <c r="A885" s="25">
        <f>IF(F885=0,"",1+MAX(A$18:A883))</f>
        <v>656</v>
      </c>
      <c r="B885" s="178"/>
      <c r="C885" s="176"/>
      <c r="D885" s="128"/>
      <c r="E885" s="141" t="s">
        <v>663</v>
      </c>
      <c r="F885" s="131">
        <v>4</v>
      </c>
      <c r="G885" s="131" t="s">
        <v>28</v>
      </c>
      <c r="H885" s="116">
        <v>0</v>
      </c>
      <c r="I885" s="37">
        <f t="shared" ref="I885" si="178">F885*H885</f>
        <v>0</v>
      </c>
      <c r="J885" s="98"/>
      <c r="K885" s="98"/>
    </row>
    <row r="886" spans="1:11" x14ac:dyDescent="0.2">
      <c r="A886" s="25" t="str">
        <f>IF(F886=0,"",1+MAX(A$18:A884))</f>
        <v/>
      </c>
      <c r="B886" s="178"/>
      <c r="C886" s="176"/>
      <c r="D886" s="128"/>
      <c r="E886" s="129" t="s">
        <v>310</v>
      </c>
      <c r="F886" s="131"/>
      <c r="G886" s="131"/>
      <c r="H886" s="116"/>
      <c r="I886" s="37"/>
      <c r="J886" s="98"/>
      <c r="K886" s="98"/>
    </row>
    <row r="887" spans="1:11" x14ac:dyDescent="0.2">
      <c r="A887" s="25" t="str">
        <f>IF(F887=0,"",1+MAX(A$18:A885))</f>
        <v/>
      </c>
      <c r="B887" s="178"/>
      <c r="C887" s="176"/>
      <c r="D887" s="128"/>
      <c r="E887" s="139" t="s">
        <v>316</v>
      </c>
      <c r="F887" s="131"/>
      <c r="G887" s="131"/>
      <c r="H887" s="116"/>
      <c r="I887" s="37"/>
      <c r="J887" s="98"/>
      <c r="K887" s="98"/>
    </row>
    <row r="888" spans="1:11" x14ac:dyDescent="0.2">
      <c r="A888" s="25">
        <f>IF(F888=0,"",1+MAX(A$18:A886))</f>
        <v>657</v>
      </c>
      <c r="B888" s="178"/>
      <c r="C888" s="176"/>
      <c r="D888" s="128"/>
      <c r="E888" s="140" t="s">
        <v>225</v>
      </c>
      <c r="F888" s="131">
        <v>1</v>
      </c>
      <c r="G888" s="131" t="s">
        <v>28</v>
      </c>
      <c r="H888" s="116">
        <v>0</v>
      </c>
      <c r="I888" s="37">
        <f t="shared" ref="I888:I889" si="179">F888*H888</f>
        <v>0</v>
      </c>
      <c r="J888" s="98"/>
      <c r="K888" s="98"/>
    </row>
    <row r="889" spans="1:11" ht="27" thickBot="1" x14ac:dyDescent="0.25">
      <c r="A889" s="25">
        <v>656</v>
      </c>
      <c r="B889" s="179"/>
      <c r="C889" s="180"/>
      <c r="D889" s="128"/>
      <c r="E889" s="141" t="s">
        <v>666</v>
      </c>
      <c r="F889" s="131">
        <v>1</v>
      </c>
      <c r="G889" s="131" t="s">
        <v>28</v>
      </c>
      <c r="H889" s="116">
        <v>0</v>
      </c>
      <c r="I889" s="37">
        <f t="shared" si="179"/>
        <v>0</v>
      </c>
      <c r="J889" s="98"/>
      <c r="K889" s="98"/>
    </row>
    <row r="890" spans="1:11" ht="20" customHeight="1" thickTop="1" thickBot="1" x14ac:dyDescent="0.25">
      <c r="A890" s="23"/>
      <c r="B890" s="38"/>
      <c r="C890" s="39"/>
      <c r="D890" s="23"/>
      <c r="E890" s="62"/>
      <c r="F890" s="63"/>
      <c r="G890" s="63"/>
      <c r="H890" s="64" t="s">
        <v>53</v>
      </c>
      <c r="I890" s="43">
        <f>SUM(I806:I889)</f>
        <v>0</v>
      </c>
    </row>
    <row r="891" spans="1:11" ht="20" customHeight="1" thickTop="1" thickBot="1" x14ac:dyDescent="0.25">
      <c r="B891" s="190"/>
      <c r="C891" s="190"/>
      <c r="D891" s="190"/>
      <c r="E891" s="190"/>
      <c r="F891" s="46"/>
      <c r="G891" s="46"/>
      <c r="H891" s="47"/>
      <c r="I891" s="48"/>
    </row>
    <row r="892" spans="1:11" ht="20" customHeight="1" thickTop="1" thickBot="1" x14ac:dyDescent="0.25">
      <c r="A892" s="21" t="s">
        <v>20</v>
      </c>
      <c r="B892" s="66" t="s">
        <v>21</v>
      </c>
      <c r="C892" s="24"/>
      <c r="D892" s="23"/>
      <c r="E892" s="144" t="s">
        <v>14</v>
      </c>
      <c r="F892" s="21" t="s">
        <v>1</v>
      </c>
      <c r="G892" s="21" t="s">
        <v>25</v>
      </c>
      <c r="H892" s="21" t="s">
        <v>2</v>
      </c>
      <c r="I892" s="22" t="s">
        <v>4</v>
      </c>
      <c r="K892" s="11" t="s">
        <v>24</v>
      </c>
    </row>
    <row r="893" spans="1:11" ht="20" customHeight="1" thickTop="1" x14ac:dyDescent="0.2">
      <c r="A893" s="25"/>
      <c r="B893" s="177" t="s">
        <v>317</v>
      </c>
      <c r="C893" s="174"/>
      <c r="D893" s="128"/>
      <c r="E893" s="145" t="s">
        <v>305</v>
      </c>
      <c r="F893" s="121"/>
      <c r="G893" s="121"/>
      <c r="H893" s="146"/>
      <c r="I893" s="30"/>
    </row>
    <row r="894" spans="1:11" x14ac:dyDescent="0.2">
      <c r="A894" s="25"/>
      <c r="B894" s="178"/>
      <c r="C894" s="176"/>
      <c r="D894" s="128"/>
      <c r="E894" s="129" t="s">
        <v>306</v>
      </c>
      <c r="F894" s="55"/>
      <c r="G894" s="56"/>
      <c r="H894" s="70"/>
      <c r="I894" s="37"/>
    </row>
    <row r="895" spans="1:11" x14ac:dyDescent="0.2">
      <c r="A895" s="25" t="str">
        <f>IF(F895=0,"",1+MAX(A$19:A894))</f>
        <v/>
      </c>
      <c r="B895" s="178"/>
      <c r="C895" s="176"/>
      <c r="D895" s="128"/>
      <c r="E895" s="147" t="s">
        <v>307</v>
      </c>
      <c r="F895" s="55"/>
      <c r="G895" s="56"/>
      <c r="H895" s="67"/>
      <c r="I895" s="37"/>
    </row>
    <row r="896" spans="1:11" x14ac:dyDescent="0.2">
      <c r="A896" s="25">
        <f>IF(F896=0,"",1+MAX(A$19:A895))</f>
        <v>658</v>
      </c>
      <c r="B896" s="178"/>
      <c r="C896" s="176"/>
      <c r="D896" s="128"/>
      <c r="E896" s="148" t="s">
        <v>272</v>
      </c>
      <c r="F896" s="55">
        <v>39.200000000000003</v>
      </c>
      <c r="G896" s="56" t="s">
        <v>38</v>
      </c>
      <c r="H896" s="67">
        <v>0</v>
      </c>
      <c r="I896" s="37">
        <f t="shared" ref="I896" si="180">F896*H896</f>
        <v>0</v>
      </c>
    </row>
    <row r="897" spans="1:9" x14ac:dyDescent="0.2">
      <c r="A897" s="25">
        <f>IF(F897=0,"",1+MAX(A$19:A896))</f>
        <v>659</v>
      </c>
      <c r="B897" s="178"/>
      <c r="C897" s="176"/>
      <c r="D897" s="128"/>
      <c r="E897" s="148" t="s">
        <v>279</v>
      </c>
      <c r="F897" s="55">
        <v>137.80000000000001</v>
      </c>
      <c r="G897" s="56" t="s">
        <v>38</v>
      </c>
      <c r="H897" s="67">
        <v>0</v>
      </c>
      <c r="I897" s="37">
        <f t="shared" ref="I897:I898" si="181">F897*H897</f>
        <v>0</v>
      </c>
    </row>
    <row r="898" spans="1:9" x14ac:dyDescent="0.2">
      <c r="A898" s="25">
        <f>IF(F898=0,"",1+MAX(A$19:A897))</f>
        <v>660</v>
      </c>
      <c r="B898" s="178"/>
      <c r="C898" s="176"/>
      <c r="D898" s="128"/>
      <c r="E898" s="148" t="s">
        <v>319</v>
      </c>
      <c r="F898" s="55">
        <v>36.9</v>
      </c>
      <c r="G898" s="56" t="s">
        <v>38</v>
      </c>
      <c r="H898" s="82">
        <v>0</v>
      </c>
      <c r="I898" s="37">
        <f t="shared" si="181"/>
        <v>0</v>
      </c>
    </row>
    <row r="899" spans="1:9" x14ac:dyDescent="0.2">
      <c r="A899" s="25">
        <f>IF(F899=0,"",1+MAX(A$19:A898))</f>
        <v>661</v>
      </c>
      <c r="B899" s="178"/>
      <c r="C899" s="176"/>
      <c r="D899" s="128"/>
      <c r="E899" s="148" t="s">
        <v>320</v>
      </c>
      <c r="F899" s="55">
        <v>25.5</v>
      </c>
      <c r="G899" s="56" t="s">
        <v>38</v>
      </c>
      <c r="H899" s="149">
        <v>0</v>
      </c>
      <c r="I899" s="37">
        <f>F899*H899</f>
        <v>0</v>
      </c>
    </row>
    <row r="900" spans="1:9" x14ac:dyDescent="0.2">
      <c r="A900" s="25">
        <f>IF(F900=0,"",1+MAX(A$19:A899))</f>
        <v>662</v>
      </c>
      <c r="B900" s="178"/>
      <c r="C900" s="176"/>
      <c r="D900" s="128"/>
      <c r="E900" s="148" t="s">
        <v>280</v>
      </c>
      <c r="F900" s="55">
        <v>821.5</v>
      </c>
      <c r="G900" s="56" t="s">
        <v>38</v>
      </c>
      <c r="H900" s="149">
        <v>0</v>
      </c>
      <c r="I900" s="83">
        <f t="shared" ref="I900" si="182">F900*H900</f>
        <v>0</v>
      </c>
    </row>
    <row r="901" spans="1:9" x14ac:dyDescent="0.2">
      <c r="A901" s="25" t="str">
        <f>IF(F901=0,"",1+MAX(A$19:A900))</f>
        <v/>
      </c>
      <c r="B901" s="178"/>
      <c r="C901" s="176"/>
      <c r="D901" s="128"/>
      <c r="E901" s="147" t="s">
        <v>308</v>
      </c>
      <c r="F901" s="55"/>
      <c r="G901" s="56"/>
      <c r="H901" s="70"/>
      <c r="I901" s="37"/>
    </row>
    <row r="902" spans="1:9" ht="27" x14ac:dyDescent="0.2">
      <c r="A902" s="25">
        <f>IF(F902=0,"",1+MAX(A$19:A901))</f>
        <v>663</v>
      </c>
      <c r="B902" s="178"/>
      <c r="C902" s="176"/>
      <c r="D902" s="128"/>
      <c r="E902" s="150" t="s">
        <v>667</v>
      </c>
      <c r="F902" s="55">
        <v>9.8800000000000008</v>
      </c>
      <c r="G902" s="56" t="s">
        <v>38</v>
      </c>
      <c r="H902" s="67">
        <v>0</v>
      </c>
      <c r="I902" s="37">
        <f t="shared" ref="I902:I903" si="183">F902*H902</f>
        <v>0</v>
      </c>
    </row>
    <row r="903" spans="1:9" ht="27" x14ac:dyDescent="0.2">
      <c r="A903" s="25">
        <f>IF(F903=0,"",1+MAX(A$19:A902))</f>
        <v>664</v>
      </c>
      <c r="B903" s="178"/>
      <c r="C903" s="176"/>
      <c r="D903" s="128"/>
      <c r="E903" s="150" t="s">
        <v>668</v>
      </c>
      <c r="F903" s="55">
        <v>26.898148148148149</v>
      </c>
      <c r="G903" s="56" t="s">
        <v>38</v>
      </c>
      <c r="H903" s="67">
        <v>0</v>
      </c>
      <c r="I903" s="37">
        <f t="shared" si="183"/>
        <v>0</v>
      </c>
    </row>
    <row r="904" spans="1:9" ht="27" x14ac:dyDescent="0.2">
      <c r="A904" s="25">
        <f>IF(F904=0,"",1+MAX(A$19:A903))</f>
        <v>665</v>
      </c>
      <c r="B904" s="178"/>
      <c r="C904" s="176"/>
      <c r="D904" s="128"/>
      <c r="E904" s="150" t="s">
        <v>669</v>
      </c>
      <c r="F904" s="55">
        <v>33.9</v>
      </c>
      <c r="G904" s="56" t="s">
        <v>38</v>
      </c>
      <c r="H904" s="67">
        <v>0</v>
      </c>
      <c r="I904" s="37">
        <f t="shared" ref="I904:I905" si="184">F904*H904</f>
        <v>0</v>
      </c>
    </row>
    <row r="905" spans="1:9" ht="27" x14ac:dyDescent="0.2">
      <c r="A905" s="25">
        <f>IF(F905=0,"",1+MAX(A$19:A904))</f>
        <v>666</v>
      </c>
      <c r="B905" s="178"/>
      <c r="C905" s="176"/>
      <c r="D905" s="128"/>
      <c r="E905" s="150" t="s">
        <v>670</v>
      </c>
      <c r="F905" s="55">
        <v>123.14814814814815</v>
      </c>
      <c r="G905" s="56" t="s">
        <v>38</v>
      </c>
      <c r="H905" s="82">
        <v>0</v>
      </c>
      <c r="I905" s="37">
        <f t="shared" si="184"/>
        <v>0</v>
      </c>
    </row>
    <row r="906" spans="1:9" ht="27" x14ac:dyDescent="0.2">
      <c r="A906" s="25">
        <f>IF(F906=0,"",1+MAX(A$19:A905))</f>
        <v>667</v>
      </c>
      <c r="B906" s="178"/>
      <c r="C906" s="176"/>
      <c r="D906" s="128"/>
      <c r="E906" s="150" t="s">
        <v>671</v>
      </c>
      <c r="F906" s="55">
        <v>9.1999999999999993</v>
      </c>
      <c r="G906" s="56" t="s">
        <v>38</v>
      </c>
      <c r="H906" s="149">
        <v>0</v>
      </c>
      <c r="I906" s="37">
        <f>F906*H906</f>
        <v>0</v>
      </c>
    </row>
    <row r="907" spans="1:9" ht="27" x14ac:dyDescent="0.2">
      <c r="A907" s="25">
        <f>IF(F907=0,"",1+MAX(A$19:A906))</f>
        <v>668</v>
      </c>
      <c r="B907" s="178"/>
      <c r="C907" s="176"/>
      <c r="D907" s="128"/>
      <c r="E907" s="150" t="s">
        <v>672</v>
      </c>
      <c r="F907" s="55">
        <v>26.9</v>
      </c>
      <c r="G907" s="56" t="s">
        <v>38</v>
      </c>
      <c r="H907" s="149">
        <v>0</v>
      </c>
      <c r="I907" s="83">
        <f t="shared" ref="I907:I908" si="185">F907*H907</f>
        <v>0</v>
      </c>
    </row>
    <row r="908" spans="1:9" ht="27" x14ac:dyDescent="0.2">
      <c r="A908" s="25">
        <f>IF(F908=0,"",1+MAX(A$19:A907))</f>
        <v>669</v>
      </c>
      <c r="B908" s="178"/>
      <c r="C908" s="176"/>
      <c r="D908" s="128"/>
      <c r="E908" s="150" t="s">
        <v>673</v>
      </c>
      <c r="F908" s="55">
        <v>6.4</v>
      </c>
      <c r="G908" s="56" t="s">
        <v>38</v>
      </c>
      <c r="H908" s="67">
        <v>0</v>
      </c>
      <c r="I908" s="37">
        <f t="shared" si="185"/>
        <v>0</v>
      </c>
    </row>
    <row r="909" spans="1:9" ht="27" x14ac:dyDescent="0.2">
      <c r="A909" s="25">
        <f>IF(F909=0,"",1+MAX(A$19:A908))</f>
        <v>670</v>
      </c>
      <c r="B909" s="178"/>
      <c r="C909" s="176"/>
      <c r="D909" s="128"/>
      <c r="E909" s="150" t="s">
        <v>674</v>
      </c>
      <c r="F909" s="55">
        <v>18.2</v>
      </c>
      <c r="G909" s="56" t="s">
        <v>38</v>
      </c>
      <c r="H909" s="67">
        <v>0</v>
      </c>
      <c r="I909" s="37">
        <f t="shared" ref="I909:I910" si="186">F909*H909</f>
        <v>0</v>
      </c>
    </row>
    <row r="910" spans="1:9" ht="27" x14ac:dyDescent="0.2">
      <c r="A910" s="25">
        <f>IF(F910=0,"",1+MAX(A$19:A909))</f>
        <v>671</v>
      </c>
      <c r="B910" s="178"/>
      <c r="C910" s="176"/>
      <c r="D910" s="128"/>
      <c r="E910" s="150" t="s">
        <v>675</v>
      </c>
      <c r="F910" s="55">
        <v>106</v>
      </c>
      <c r="G910" s="56" t="s">
        <v>38</v>
      </c>
      <c r="H910" s="67">
        <v>0</v>
      </c>
      <c r="I910" s="37">
        <f t="shared" si="186"/>
        <v>0</v>
      </c>
    </row>
    <row r="911" spans="1:9" ht="28" thickBot="1" x14ac:dyDescent="0.25">
      <c r="A911" s="25">
        <f>IF(F911=0,"",1+MAX(A$19:A910))</f>
        <v>672</v>
      </c>
      <c r="B911" s="178"/>
      <c r="C911" s="176"/>
      <c r="D911" s="128"/>
      <c r="E911" s="150" t="s">
        <v>676</v>
      </c>
      <c r="F911" s="55">
        <v>7</v>
      </c>
      <c r="G911" s="56" t="s">
        <v>38</v>
      </c>
      <c r="H911" s="67">
        <v>0</v>
      </c>
      <c r="I911" s="37">
        <f t="shared" ref="I911" si="187">F911*H911</f>
        <v>0</v>
      </c>
    </row>
    <row r="912" spans="1:9" ht="20" customHeight="1" thickTop="1" thickBot="1" x14ac:dyDescent="0.25">
      <c r="A912" s="23"/>
      <c r="B912" s="38"/>
      <c r="C912" s="39"/>
      <c r="D912" s="23"/>
      <c r="E912" s="94"/>
      <c r="F912" s="85"/>
      <c r="G912" s="85"/>
      <c r="H912" s="86" t="s">
        <v>304</v>
      </c>
      <c r="I912" s="43">
        <f>SUM(I893:I911)</f>
        <v>0</v>
      </c>
    </row>
    <row r="913" spans="1:9" ht="20" customHeight="1" thickTop="1" thickBot="1" x14ac:dyDescent="0.25">
      <c r="B913" s="151"/>
      <c r="C913" s="151"/>
      <c r="E913" s="152"/>
      <c r="F913" s="153"/>
      <c r="G913" s="153"/>
      <c r="H913" s="154" t="s">
        <v>3</v>
      </c>
      <c r="I913" s="155">
        <f>SUM(I912,I890,I803,I649,I613,I607,I570,I274,I189,I136,I124,I96,I16,I175)</f>
        <v>0</v>
      </c>
    </row>
    <row r="914" spans="1:9" ht="20" customHeight="1" thickTop="1" thickBot="1" x14ac:dyDescent="0.25">
      <c r="B914" s="156"/>
      <c r="C914" s="156"/>
      <c r="E914" s="157" t="s">
        <v>22</v>
      </c>
      <c r="F914" s="158"/>
      <c r="G914" s="158"/>
      <c r="H914" s="159" t="s">
        <v>33</v>
      </c>
      <c r="I914" s="155">
        <v>0</v>
      </c>
    </row>
    <row r="915" spans="1:9" ht="20" customHeight="1" thickTop="1" thickBot="1" x14ac:dyDescent="0.25">
      <c r="B915" s="172"/>
      <c r="C915" s="160"/>
      <c r="E915" s="185"/>
      <c r="F915" s="158"/>
      <c r="G915" s="158"/>
      <c r="H915" s="159" t="s">
        <v>8</v>
      </c>
      <c r="I915" s="155">
        <f>I913-I914</f>
        <v>0</v>
      </c>
    </row>
    <row r="916" spans="1:9" ht="20" customHeight="1" thickTop="1" thickBot="1" x14ac:dyDescent="0.25">
      <c r="B916" s="172"/>
      <c r="C916" s="160"/>
      <c r="E916" s="186"/>
      <c r="F916" s="158"/>
      <c r="G916" s="158"/>
      <c r="H916" s="159" t="s">
        <v>34</v>
      </c>
      <c r="I916" s="161">
        <v>0</v>
      </c>
    </row>
    <row r="917" spans="1:9" ht="20" customHeight="1" thickTop="1" thickBot="1" x14ac:dyDescent="0.25">
      <c r="B917" s="151"/>
      <c r="C917" s="151"/>
      <c r="E917" s="185"/>
      <c r="F917" s="158"/>
      <c r="G917" s="158"/>
      <c r="H917" s="159" t="s">
        <v>7</v>
      </c>
      <c r="I917" s="155">
        <f>I915*I916</f>
        <v>0</v>
      </c>
    </row>
    <row r="918" spans="1:9" ht="20" customHeight="1" thickTop="1" thickBot="1" x14ac:dyDescent="0.25">
      <c r="B918" s="151"/>
      <c r="C918" s="151"/>
      <c r="E918" s="186"/>
      <c r="F918" s="158"/>
      <c r="G918" s="158"/>
      <c r="H918" s="159" t="s">
        <v>5</v>
      </c>
      <c r="I918" s="162">
        <v>0</v>
      </c>
    </row>
    <row r="919" spans="1:9" ht="20" customHeight="1" thickTop="1" thickBot="1" x14ac:dyDescent="0.25">
      <c r="B919" s="151"/>
      <c r="C919" s="151"/>
      <c r="E919" s="170"/>
      <c r="F919" s="158"/>
      <c r="G919" s="158"/>
      <c r="H919" s="159" t="s">
        <v>6</v>
      </c>
      <c r="I919" s="162">
        <v>0</v>
      </c>
    </row>
    <row r="920" spans="1:9" ht="20" customHeight="1" thickTop="1" thickBot="1" x14ac:dyDescent="0.25">
      <c r="A920" s="163"/>
      <c r="B920" s="164"/>
      <c r="C920" s="164"/>
      <c r="D920" s="165"/>
      <c r="E920" s="171"/>
      <c r="F920" s="166"/>
      <c r="G920" s="166"/>
      <c r="H920" s="167" t="s">
        <v>4</v>
      </c>
      <c r="I920" s="168">
        <f>I915+I917+I918+I919</f>
        <v>0</v>
      </c>
    </row>
    <row r="921" spans="1:9" ht="17" thickTop="1" x14ac:dyDescent="0.2"/>
  </sheetData>
  <sortState xmlns:xlrd2="http://schemas.microsoft.com/office/spreadsheetml/2017/richdata2" ref="E223:G271">
    <sortCondition ref="E271"/>
  </sortState>
  <mergeCells count="26">
    <mergeCell ref="D573:D606"/>
    <mergeCell ref="B652:C784"/>
    <mergeCell ref="B806:C889"/>
    <mergeCell ref="B9:C14"/>
    <mergeCell ref="D178:D188"/>
    <mergeCell ref="B8:C8"/>
    <mergeCell ref="B127:C134"/>
    <mergeCell ref="B573:C606"/>
    <mergeCell ref="B178:C188"/>
    <mergeCell ref="B18:C18"/>
    <mergeCell ref="E919:E920"/>
    <mergeCell ref="B915:B916"/>
    <mergeCell ref="B192:C273"/>
    <mergeCell ref="B19:C95"/>
    <mergeCell ref="B99:C123"/>
    <mergeCell ref="B277:C569"/>
    <mergeCell ref="B610:C612"/>
    <mergeCell ref="B893:C911"/>
    <mergeCell ref="E917:E918"/>
    <mergeCell ref="E915:E916"/>
    <mergeCell ref="B616:C648"/>
    <mergeCell ref="B139:C168"/>
    <mergeCell ref="D139:D174"/>
    <mergeCell ref="B891:E891"/>
    <mergeCell ref="D616:D648"/>
    <mergeCell ref="D610:D612"/>
  </mergeCells>
  <phoneticPr fontId="5" type="noConversion"/>
  <printOptions horizontalCentered="1" verticalCentered="1"/>
  <pageMargins left="0.3" right="0.3" top="0.3" bottom="0.3" header="0" footer="0"/>
  <pageSetup scale="1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Q36"/>
  <sheetViews>
    <sheetView showGridLines="0" workbookViewId="0">
      <selection activeCell="E16" sqref="E16"/>
    </sheetView>
  </sheetViews>
  <sheetFormatPr baseColWidth="10" defaultRowHeight="16" x14ac:dyDescent="0.2"/>
  <cols>
    <col min="1" max="1" width="5" style="196" customWidth="1"/>
    <col min="2" max="3" width="10.83203125" style="196"/>
    <col min="4" max="4" width="17.83203125" style="196" customWidth="1"/>
    <col min="5" max="8" width="10.83203125" style="196"/>
    <col min="9" max="9" width="30.6640625" style="196" customWidth="1"/>
    <col min="10" max="16384" width="10.83203125" style="196"/>
  </cols>
  <sheetData>
    <row r="1" spans="1:17" ht="20" customHeight="1" x14ac:dyDescent="0.2">
      <c r="B1" s="197" t="s">
        <v>679</v>
      </c>
      <c r="C1" s="197"/>
      <c r="D1" s="197"/>
      <c r="E1" s="197"/>
      <c r="F1" s="197"/>
      <c r="G1" s="197"/>
      <c r="H1" s="197"/>
      <c r="I1" s="197"/>
    </row>
    <row r="2" spans="1:17" ht="84.5" customHeight="1" x14ac:dyDescent="0.2">
      <c r="C2" s="198" t="s">
        <v>680</v>
      </c>
      <c r="D2" s="198"/>
      <c r="E2" s="198"/>
      <c r="F2" s="198"/>
      <c r="G2" s="198"/>
      <c r="H2" s="198"/>
      <c r="I2" s="198"/>
    </row>
    <row r="4" spans="1:17" ht="22" x14ac:dyDescent="0.3">
      <c r="B4" s="199" t="s">
        <v>681</v>
      </c>
      <c r="C4" s="199"/>
      <c r="D4" s="199"/>
      <c r="E4" s="199"/>
      <c r="F4" s="199"/>
      <c r="G4" s="199"/>
      <c r="H4" s="199"/>
      <c r="I4" s="199"/>
      <c r="J4" s="199"/>
      <c r="K4" s="199"/>
      <c r="L4" s="199"/>
      <c r="M4" s="199"/>
      <c r="N4" s="199"/>
      <c r="O4" s="199"/>
      <c r="P4" s="199"/>
      <c r="Q4" s="199"/>
    </row>
    <row r="5" spans="1:17" ht="22" x14ac:dyDescent="0.3">
      <c r="B5" s="200"/>
      <c r="C5" s="200"/>
      <c r="D5" s="200"/>
      <c r="E5" s="200"/>
      <c r="F5" s="200"/>
      <c r="G5" s="200"/>
      <c r="H5" s="200"/>
      <c r="I5" s="200"/>
      <c r="J5" s="200"/>
      <c r="K5" s="200"/>
      <c r="L5" s="200"/>
      <c r="M5" s="200"/>
      <c r="N5" s="200"/>
      <c r="O5" s="200"/>
      <c r="P5" s="200"/>
      <c r="Q5" s="200"/>
    </row>
    <row r="6" spans="1:17" ht="22" x14ac:dyDescent="0.3">
      <c r="A6" s="201">
        <v>1</v>
      </c>
      <c r="B6" s="200" t="s">
        <v>682</v>
      </c>
      <c r="C6" s="200"/>
      <c r="D6" s="200"/>
      <c r="E6" s="200"/>
      <c r="F6" s="200"/>
      <c r="G6" s="200"/>
      <c r="H6" s="200"/>
    </row>
    <row r="7" spans="1:17" ht="22" x14ac:dyDescent="0.3">
      <c r="A7" s="201">
        <v>2</v>
      </c>
      <c r="B7" s="200" t="s">
        <v>683</v>
      </c>
      <c r="C7" s="200"/>
      <c r="D7" s="200"/>
      <c r="E7" s="200"/>
      <c r="F7" s="200"/>
      <c r="G7" s="200"/>
      <c r="H7" s="200"/>
    </row>
    <row r="8" spans="1:17" ht="22" x14ac:dyDescent="0.3">
      <c r="A8" s="201">
        <v>3</v>
      </c>
      <c r="B8" s="200" t="s">
        <v>684</v>
      </c>
      <c r="C8" s="200"/>
      <c r="D8" s="200"/>
      <c r="E8" s="200"/>
      <c r="F8" s="200"/>
      <c r="G8" s="200"/>
      <c r="H8" s="200"/>
    </row>
    <row r="10" spans="1:17" ht="22" x14ac:dyDescent="0.3">
      <c r="B10" s="202" t="s">
        <v>685</v>
      </c>
      <c r="C10" s="199"/>
    </row>
    <row r="12" spans="1:17" ht="22" x14ac:dyDescent="0.3">
      <c r="A12" s="201">
        <v>1</v>
      </c>
      <c r="B12" s="200" t="s">
        <v>686</v>
      </c>
    </row>
    <row r="13" spans="1:17" ht="22" x14ac:dyDescent="0.3">
      <c r="A13" s="201">
        <v>2</v>
      </c>
      <c r="B13" s="200" t="s">
        <v>687</v>
      </c>
    </row>
    <row r="14" spans="1:17" ht="22" x14ac:dyDescent="0.3">
      <c r="A14" s="201">
        <v>3</v>
      </c>
      <c r="B14" s="200" t="s">
        <v>688</v>
      </c>
    </row>
    <row r="15" spans="1:17" ht="22" x14ac:dyDescent="0.3">
      <c r="A15" s="201">
        <v>4</v>
      </c>
      <c r="B15" s="200" t="s">
        <v>689</v>
      </c>
    </row>
    <row r="16" spans="1:17" ht="22" x14ac:dyDescent="0.3">
      <c r="A16" s="201">
        <v>5</v>
      </c>
      <c r="B16" s="200" t="s">
        <v>690</v>
      </c>
    </row>
    <row r="17" spans="1:2" ht="22" x14ac:dyDescent="0.3">
      <c r="A17" s="201">
        <v>6</v>
      </c>
      <c r="B17" s="200" t="s">
        <v>691</v>
      </c>
    </row>
    <row r="18" spans="1:2" ht="22" x14ac:dyDescent="0.3">
      <c r="A18" s="201">
        <v>7</v>
      </c>
      <c r="B18" s="200" t="s">
        <v>692</v>
      </c>
    </row>
    <row r="19" spans="1:2" ht="22" x14ac:dyDescent="0.3">
      <c r="A19" s="201">
        <v>8</v>
      </c>
      <c r="B19" s="200" t="s">
        <v>693</v>
      </c>
    </row>
    <row r="20" spans="1:2" ht="22" x14ac:dyDescent="0.3">
      <c r="A20" s="201">
        <v>9</v>
      </c>
      <c r="B20" s="200" t="s">
        <v>694</v>
      </c>
    </row>
    <row r="21" spans="1:2" ht="22" x14ac:dyDescent="0.3">
      <c r="A21" s="201">
        <v>10</v>
      </c>
      <c r="B21" s="200" t="s">
        <v>695</v>
      </c>
    </row>
    <row r="22" spans="1:2" ht="22" x14ac:dyDescent="0.3">
      <c r="A22" s="201">
        <v>11</v>
      </c>
      <c r="B22" s="200" t="s">
        <v>696</v>
      </c>
    </row>
    <row r="23" spans="1:2" ht="22" x14ac:dyDescent="0.3">
      <c r="A23" s="201">
        <v>12</v>
      </c>
      <c r="B23" s="200" t="s">
        <v>697</v>
      </c>
    </row>
    <row r="24" spans="1:2" ht="22" x14ac:dyDescent="0.3">
      <c r="B24" s="200" t="s">
        <v>698</v>
      </c>
    </row>
    <row r="25" spans="1:2" ht="22" x14ac:dyDescent="0.3">
      <c r="B25" s="200"/>
    </row>
    <row r="26" spans="1:2" ht="22" x14ac:dyDescent="0.3">
      <c r="B26" s="203" t="s">
        <v>699</v>
      </c>
    </row>
    <row r="27" spans="1:2" ht="22" x14ac:dyDescent="0.3">
      <c r="A27" s="201">
        <v>1</v>
      </c>
      <c r="B27" s="200" t="s">
        <v>700</v>
      </c>
    </row>
    <row r="28" spans="1:2" ht="22" x14ac:dyDescent="0.3">
      <c r="A28" s="201">
        <v>2</v>
      </c>
      <c r="B28" s="200" t="s">
        <v>701</v>
      </c>
    </row>
    <row r="29" spans="1:2" ht="22" x14ac:dyDescent="0.3">
      <c r="A29" s="201">
        <v>3</v>
      </c>
      <c r="B29" s="200" t="s">
        <v>702</v>
      </c>
    </row>
    <row r="31" spans="1:2" ht="24" x14ac:dyDescent="0.3">
      <c r="B31" s="204" t="s">
        <v>703</v>
      </c>
    </row>
    <row r="32" spans="1:2" ht="22" x14ac:dyDescent="0.3">
      <c r="A32" s="201">
        <v>1</v>
      </c>
      <c r="B32" s="200" t="s">
        <v>704</v>
      </c>
    </row>
    <row r="33" spans="1:2" ht="22" x14ac:dyDescent="0.3">
      <c r="A33" s="201">
        <v>2</v>
      </c>
      <c r="B33" s="200" t="s">
        <v>705</v>
      </c>
    </row>
    <row r="34" spans="1:2" ht="22" x14ac:dyDescent="0.3">
      <c r="A34" s="201">
        <v>3</v>
      </c>
      <c r="B34" s="200" t="s">
        <v>706</v>
      </c>
    </row>
    <row r="35" spans="1:2" ht="22" x14ac:dyDescent="0.3">
      <c r="A35" s="201">
        <v>4</v>
      </c>
      <c r="B35" s="200" t="s">
        <v>707</v>
      </c>
    </row>
    <row r="36" spans="1:2" ht="22" x14ac:dyDescent="0.3">
      <c r="A36" s="201">
        <v>5</v>
      </c>
      <c r="B36" s="200" t="s">
        <v>708</v>
      </c>
    </row>
  </sheetData>
  <mergeCells count="1">
    <mergeCell ref="B1:I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55230-9ED9-2042-ABAB-7202D4F66363}">
  <sheetPr>
    <tabColor rgb="FF00B300"/>
  </sheetPr>
  <dimension ref="A1:D22"/>
  <sheetViews>
    <sheetView workbookViewId="0">
      <selection activeCell="D28" sqref="D28"/>
    </sheetView>
  </sheetViews>
  <sheetFormatPr baseColWidth="10" defaultRowHeight="16" x14ac:dyDescent="0.2"/>
  <cols>
    <col min="1" max="3" width="10.83203125" style="205"/>
    <col min="4" max="4" width="53.83203125" style="205" customWidth="1"/>
    <col min="5" max="16384" width="10.83203125" style="205"/>
  </cols>
  <sheetData>
    <row r="1" spans="1:4" ht="23" x14ac:dyDescent="0.2">
      <c r="D1" s="206" t="s">
        <v>709</v>
      </c>
    </row>
    <row r="3" spans="1:4" ht="22" x14ac:dyDescent="0.3">
      <c r="A3" s="207" t="s">
        <v>710</v>
      </c>
    </row>
    <row r="4" spans="1:4" x14ac:dyDescent="0.2">
      <c r="A4"/>
    </row>
    <row r="5" spans="1:4" ht="22" x14ac:dyDescent="0.3">
      <c r="A5" s="199" t="s">
        <v>711</v>
      </c>
    </row>
    <row r="6" spans="1:4" x14ac:dyDescent="0.2">
      <c r="A6"/>
    </row>
    <row r="7" spans="1:4" ht="22" x14ac:dyDescent="0.3">
      <c r="A7" s="199" t="s">
        <v>712</v>
      </c>
    </row>
    <row r="8" spans="1:4" x14ac:dyDescent="0.2">
      <c r="A8"/>
    </row>
    <row r="9" spans="1:4" ht="22" x14ac:dyDescent="0.3">
      <c r="A9" s="199" t="s">
        <v>713</v>
      </c>
    </row>
    <row r="10" spans="1:4" x14ac:dyDescent="0.2">
      <c r="A10"/>
    </row>
    <row r="11" spans="1:4" ht="22" x14ac:dyDescent="0.3">
      <c r="A11" s="199" t="s">
        <v>714</v>
      </c>
    </row>
    <row r="12" spans="1:4" x14ac:dyDescent="0.2">
      <c r="A12"/>
    </row>
    <row r="13" spans="1:4" ht="22" x14ac:dyDescent="0.3">
      <c r="A13" s="199" t="s">
        <v>715</v>
      </c>
    </row>
    <row r="14" spans="1:4" x14ac:dyDescent="0.2">
      <c r="A14"/>
    </row>
    <row r="15" spans="1:4" ht="22" x14ac:dyDescent="0.3">
      <c r="A15" s="199" t="s">
        <v>716</v>
      </c>
    </row>
    <row r="16" spans="1:4" x14ac:dyDescent="0.2">
      <c r="A16"/>
    </row>
    <row r="17" spans="1:1" ht="22" x14ac:dyDescent="0.3">
      <c r="A17" s="199" t="s">
        <v>717</v>
      </c>
    </row>
    <row r="18" spans="1:1" x14ac:dyDescent="0.2">
      <c r="A18"/>
    </row>
    <row r="19" spans="1:1" ht="22" x14ac:dyDescent="0.3">
      <c r="A19" s="199" t="s">
        <v>718</v>
      </c>
    </row>
    <row r="20" spans="1:1" x14ac:dyDescent="0.2">
      <c r="A20"/>
    </row>
    <row r="21" spans="1:1" ht="22" x14ac:dyDescent="0.3">
      <c r="A21" s="199" t="s">
        <v>719</v>
      </c>
    </row>
    <row r="22" spans="1:1" ht="22" x14ac:dyDescent="0.3">
      <c r="A22" s="19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Job Estimate</vt:lpstr>
      <vt:lpstr>Our Services</vt:lpstr>
      <vt:lpstr>Why Us</vt:lpstr>
      <vt:lpstr>'Job 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Muhammad Fiaz Ahmed</cp:lastModifiedBy>
  <dcterms:created xsi:type="dcterms:W3CDTF">2016-02-17T05:52:24Z</dcterms:created>
  <dcterms:modified xsi:type="dcterms:W3CDTF">2025-06-03T21:24:30Z</dcterms:modified>
</cp:coreProperties>
</file>