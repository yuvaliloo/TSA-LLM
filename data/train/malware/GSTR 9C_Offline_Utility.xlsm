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9426" codeName="{DD97A8EA-9A9A-E61F-A557-7D5A7D7259CE}"/>
  <workbookPr showInkAnnotation="0" updateLinks="never" codeName="ThisWorkbook"/>
  <mc:AlternateContent xmlns:mc="http://schemas.openxmlformats.org/markup-compatibility/2006">
    <mc:Choice Requires="x15">
      <x15ac:absPath xmlns:x15ac="http://schemas.microsoft.com/office/spreadsheetml/2010/11/ac" url="C:\Users\VIPUL MODI\Desktop\9C ADINATH\adinathgstannualreturndata\"/>
    </mc:Choice>
  </mc:AlternateContent>
  <xr:revisionPtr revIDLastSave="0" documentId="13_ncr:1_{EA487571-4713-4246-8DA8-8275F1AF4FB4}" xr6:coauthVersionLast="47" xr6:coauthVersionMax="47" xr10:uidLastSave="{00000000-0000-0000-0000-000000000000}"/>
  <workbookProtection workbookAlgorithmName="SHA-512" workbookHashValue="XHVwG6OKmIxzDNurWb7w29/UGDJ3ptVbjZVlrlVB01j0FxBZmVRGjFuJnaTLRuTLV2jcn65B6GjQ2wtxBtxq/Q==" workbookSaltValue="XfFaAtsphKIAHtXZ9tWWMQ==" workbookSpinCount="100000" lockStructure="1"/>
  <bookViews>
    <workbookView xWindow="-108" yWindow="-108" windowWidth="23256" windowHeight="13896" tabRatio="906" firstSheet="1" activeTab="12" xr2:uid="{00000000-000D-0000-FFFF-FFFF00000000}"/>
  </bookViews>
  <sheets>
    <sheet name="Read Me FY 17-18 to 19-20" sheetId="1162" r:id="rId1"/>
    <sheet name="Read Me FY 20-21 to 21-22" sheetId="1161" r:id="rId2"/>
    <sheet name="Read Me FY 24-25 onwards" sheetId="1570" r:id="rId3"/>
    <sheet name="Home" sheetId="19" r:id="rId4"/>
    <sheet name="PT II (5)" sheetId="20" r:id="rId5"/>
    <sheet name="PT II (6)" sheetId="726" r:id="rId6"/>
    <sheet name="PT II (7)" sheetId="24" r:id="rId7"/>
    <sheet name="PT II (8)" sheetId="727" r:id="rId8"/>
    <sheet name="PT III (9)" sheetId="29" r:id="rId9"/>
    <sheet name="PT III (10)" sheetId="728" r:id="rId10"/>
    <sheet name="PT III (11)" sheetId="30" r:id="rId11"/>
    <sheet name="PT IV (12)" sheetId="31" r:id="rId12"/>
    <sheet name="PT IV(13)" sheetId="729" r:id="rId13"/>
    <sheet name="PT IV (14)" sheetId="32" r:id="rId14"/>
    <sheet name="PT IV (15)" sheetId="730" r:id="rId15"/>
    <sheet name="PT IV (16)" sheetId="33" r:id="rId16"/>
    <sheet name="PT V" sheetId="35" r:id="rId17"/>
    <sheet name="Part B (i)" sheetId="731" state="veryHidden" r:id="rId18"/>
    <sheet name="Part B (ii)" sheetId="104" state="veryHidden" r:id="rId19"/>
    <sheet name="Table 3" sheetId="185" state="veryHidden" r:id="rId20"/>
    <sheet name="Table 2" sheetId="116" state="veryHidden" r:id="rId21"/>
    <sheet name="Table 1" sheetId="1681" state="veryHidden" r:id="rId22"/>
    <sheet name="Table 4" sheetId="1682" state="veryHidden" r:id="rId23"/>
    <sheet name="Table 5" sheetId="968" state="hidden" r:id="rId24"/>
    <sheet name="Table 6" sheetId="1502" state="hidden" r:id="rId25"/>
    <sheet name="Temp_Table" sheetId="1132" state="veryHidden" r:id="rId26"/>
    <sheet name="Master" sheetId="51" state="hidden" r:id="rId27"/>
    <sheet name="State dropdown" sheetId="59" state="hidden" r:id="rId28"/>
  </sheets>
  <externalReferences>
    <externalReference r:id="rId29"/>
    <externalReference r:id="rId30"/>
    <externalReference r:id="rId31"/>
    <externalReference r:id="rId32"/>
    <externalReference r:id="rId33"/>
  </externalReferences>
  <definedNames>
    <definedName name="_xleta.SUM" hidden="1" xlm="1">#NAME?</definedName>
    <definedName name="AdAdrs">'Part B (i)'!$E$34:$E$37</definedName>
    <definedName name="AddAdrs">'Part B (i)'!$G$34:$G$37</definedName>
    <definedName name="flag" localSheetId="27">[1]master!$W$2:$W$3</definedName>
    <definedName name="flag">[1]master!$W$2:$W$3</definedName>
    <definedName name="goods_type_with_invoice" localSheetId="27">[2]Master_table!$X$2:$X$4</definedName>
    <definedName name="goods_type_with_invoice">[2]Master_table!$X$2:$X$4</definedName>
    <definedName name="HashChkAdrs">'Part B (i)'!$E$21:$E$24</definedName>
    <definedName name="HashChkAdrsB">'Part B (ii)'!$D$9:$D$12</definedName>
    <definedName name="HashChkAdrss">'Part B (i)'!$G$21:$G$24</definedName>
    <definedName name="HashChkAdrssB">'Part B (ii)'!$F$9:$F$12</definedName>
    <definedName name="HashChkBi">'Part B (i)'!$G$66:$G$80</definedName>
    <definedName name="HashChkBii">'Part B (ii)'!$G$54:$G$68</definedName>
    <definedName name="HashChkBsns">'Part B (i)'!$E$29:$E$37</definedName>
    <definedName name="HashChkBsnsB">'Part B (ii)'!$D$18:$D$21</definedName>
    <definedName name="HashChkBsnss">'Part B (i)'!$G$29:$G$37</definedName>
    <definedName name="HashChkBsnssB">'Part B (ii)'!$F$18:$F$21</definedName>
    <definedName name="HashChkEgt">'PT II (8)'!$C$5:$I$5</definedName>
    <definedName name="HashChkFtn">'PT IV (15)'!$C$5:$I$5</definedName>
    <definedName name="HashChkSix">'PT II (6)'!$C$5:$I$5</definedName>
    <definedName name="HashChkTen">'PT III (10)'!$C$5:$I$5</definedName>
    <definedName name="HashChkTtn">'PT IV(13)'!$C$5:$I$5</definedName>
    <definedName name="inv_typ" localSheetId="27">[1]master!$N$2:$N$2</definedName>
    <definedName name="inv_typ">[1]master!$N$2:$N$2</definedName>
    <definedName name="invoice_typ" localSheetId="27">[1]master!$AF$2:$AF$3</definedName>
    <definedName name="invoice_typ">[1]master!$AF$2:$AF$3</definedName>
    <definedName name="ntty" localSheetId="27">[1]master!$F$2:$F$3</definedName>
    <definedName name="ntty">[1]master!$F$2:$F$3</definedName>
    <definedName name="p_gst" localSheetId="27">[1]master!$C$2:$C$3</definedName>
    <definedName name="p_gst">[1]master!$C$2:$C$3</definedName>
    <definedName name="pos" localSheetId="27">[1]master!$K$2:$K$38</definedName>
    <definedName name="pos">[1]master!$K$2:$K$38</definedName>
    <definedName name="_xlnm.Print_Area" localSheetId="23">'Table 5'!$A$2:$K$156</definedName>
    <definedName name="_xlnm.Print_Area" localSheetId="24">'Table 6'!$A$2:$K$160</definedName>
    <definedName name="_xlnm.Print_Area" localSheetId="25">Temp_Table!$A$2:$K$160</definedName>
    <definedName name="retq" localSheetId="27">[1]master!$AA$2:$AA$5</definedName>
    <definedName name="retq">[1]master!$AA$2:$AA$5</definedName>
    <definedName name="rt" localSheetId="27">[1]master!$H$2:$H$8</definedName>
    <definedName name="rt">[1]master!$H$2:$H$8</definedName>
    <definedName name="sply_ty" localSheetId="27">[1]master!$T$2:$T$3</definedName>
    <definedName name="sply_ty">[1]master!$T$2:$T$3</definedName>
    <definedName name="Year" localSheetId="27">[1]master!$AD$2:$AD$5</definedName>
    <definedName name="Year">[1]master!$AD$2:$AD$5</definedName>
    <definedName name="year2" localSheetId="27">[3]master!$AD$2:$AD$5</definedName>
    <definedName name="year2">[3]master!$AD$2:$AD$5</definedName>
    <definedName name="ZeroRange">'PT III (11)'!$C$7:$D$15</definedName>
    <definedName name="ZeroRange2021">'PT III (11)'!$C$7:$D$16</definedName>
    <definedName name="ZeroRangeSxtn">'PT IV (16)'!$C$6:$G$11</definedName>
    <definedName name="ZeroRangeTV" localSheetId="24">'[4]PT III (11)'!$E$16:$I$19,'[4]PT III (11)'!$E$7:$I$14</definedName>
    <definedName name="ZeroRangeTV">'PT III (11)'!$E$18:$I$21,'PT III (11)'!$E$7:$I$15</definedName>
    <definedName name="ZeroRangeTV2021">'PT III (11)'!$E$7:$I$21</definedName>
  </definedNames>
  <calcPr calcId="191029" fullPrecision="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25" i="32" l="1"/>
  <c r="H23" i="32"/>
  <c r="I27" i="29"/>
  <c r="G27" i="29"/>
  <c r="G29" i="29" s="1"/>
  <c r="F27" i="29"/>
  <c r="F29" i="29" s="1"/>
  <c r="E27" i="29"/>
  <c r="E29" i="29" s="1"/>
  <c r="J233" i="1682"/>
  <c r="F233" i="1682"/>
  <c r="J232" i="1682"/>
  <c r="F232" i="1682"/>
  <c r="J231" i="1682"/>
  <c r="F231" i="1682"/>
  <c r="J230" i="1682"/>
  <c r="F230" i="1682"/>
  <c r="F229" i="1682"/>
  <c r="F228" i="1682"/>
  <c r="F227" i="1682"/>
  <c r="F226" i="1682"/>
  <c r="C216" i="1682"/>
  <c r="F215" i="1682"/>
  <c r="B215" i="1682"/>
  <c r="A208" i="1682"/>
  <c r="B207" i="1682"/>
  <c r="H204" i="1682"/>
  <c r="E202" i="1682"/>
  <c r="E201" i="1682"/>
  <c r="E198" i="1682"/>
  <c r="E197" i="1682"/>
  <c r="E196" i="1682"/>
  <c r="E194" i="1682"/>
  <c r="D192" i="1682"/>
  <c r="G191" i="1682"/>
  <c r="A191" i="1682"/>
  <c r="E190" i="1682"/>
  <c r="J188" i="1682"/>
  <c r="F188" i="1682"/>
  <c r="J187" i="1682"/>
  <c r="F187" i="1682"/>
  <c r="J186" i="1682"/>
  <c r="F186" i="1682"/>
  <c r="J185" i="1682"/>
  <c r="F185" i="1682"/>
  <c r="E183" i="1682"/>
  <c r="C183" i="1682"/>
  <c r="J179" i="1682"/>
  <c r="F179" i="1682"/>
  <c r="J178" i="1682"/>
  <c r="F178" i="1682"/>
  <c r="J177" i="1682"/>
  <c r="F177" i="1682"/>
  <c r="J176" i="1682"/>
  <c r="F176" i="1682"/>
  <c r="E174" i="1682"/>
  <c r="C174" i="1682"/>
  <c r="A172" i="1682"/>
  <c r="F168" i="1682"/>
  <c r="J166" i="1682"/>
  <c r="F166" i="1682"/>
  <c r="J165" i="1682"/>
  <c r="F165" i="1682"/>
  <c r="J164" i="1682"/>
  <c r="F164" i="1682"/>
  <c r="J163" i="1682"/>
  <c r="F163" i="1682"/>
  <c r="F162" i="1682"/>
  <c r="F161" i="1682"/>
  <c r="F160" i="1682"/>
  <c r="F159" i="1682"/>
  <c r="J253" i="1681"/>
  <c r="F253" i="1681"/>
  <c r="J252" i="1681"/>
  <c r="F252" i="1681"/>
  <c r="J251" i="1681"/>
  <c r="F251" i="1681"/>
  <c r="J250" i="1681"/>
  <c r="F250" i="1681"/>
  <c r="F249" i="1681"/>
  <c r="F248" i="1681"/>
  <c r="F247" i="1681"/>
  <c r="F246" i="1681"/>
  <c r="C236" i="1681"/>
  <c r="F235" i="1681"/>
  <c r="B235" i="1681"/>
  <c r="B228" i="1681"/>
  <c r="A227" i="1681"/>
  <c r="E225" i="1681"/>
  <c r="B224" i="1681"/>
  <c r="F223" i="1681"/>
  <c r="G222" i="1681"/>
  <c r="C218" i="1681"/>
  <c r="B218" i="1681"/>
  <c r="B214" i="1681"/>
  <c r="A210" i="1681"/>
  <c r="J207" i="1681"/>
  <c r="F207" i="1681"/>
  <c r="J206" i="1681"/>
  <c r="F206" i="1681"/>
  <c r="J205" i="1681"/>
  <c r="F205" i="1681"/>
  <c r="J204" i="1681"/>
  <c r="F204" i="1681"/>
  <c r="J201" i="1681"/>
  <c r="F201" i="1681"/>
  <c r="J200" i="1681"/>
  <c r="F200" i="1681"/>
  <c r="J199" i="1681"/>
  <c r="F199" i="1681"/>
  <c r="J198" i="1681"/>
  <c r="F198" i="1681"/>
  <c r="C195" i="1681"/>
  <c r="J193" i="1681"/>
  <c r="F193" i="1681"/>
  <c r="J192" i="1681"/>
  <c r="F192" i="1681"/>
  <c r="J191" i="1681"/>
  <c r="F191" i="1681"/>
  <c r="J190" i="1681"/>
  <c r="F190" i="1681"/>
  <c r="E188" i="1681"/>
  <c r="C188" i="1681"/>
  <c r="E185" i="1681"/>
  <c r="E184" i="1681"/>
  <c r="E181" i="1681"/>
  <c r="E180" i="1681"/>
  <c r="E179" i="1681"/>
  <c r="G224" i="1681" s="1"/>
  <c r="E177" i="1681"/>
  <c r="A175" i="1681"/>
  <c r="B217" i="1681" s="1"/>
  <c r="F168" i="1681"/>
  <c r="J166" i="1681"/>
  <c r="F166" i="1681"/>
  <c r="J165" i="1681"/>
  <c r="F165" i="1681"/>
  <c r="J164" i="1681"/>
  <c r="F164" i="1681"/>
  <c r="J163" i="1681"/>
  <c r="F163" i="1681"/>
  <c r="F162" i="1681"/>
  <c r="F161" i="1681"/>
  <c r="F160" i="1681"/>
  <c r="F159" i="1681"/>
  <c r="I29" i="29"/>
  <c r="K218" i="1681" l="1"/>
  <c r="B222" i="1681"/>
  <c r="D209" i="1681"/>
  <c r="H21" i="20"/>
  <c r="G6" i="24" s="1"/>
  <c r="G11" i="24" s="1"/>
  <c r="C218" i="116" l="1"/>
  <c r="E190" i="185"/>
  <c r="J179" i="185" l="1"/>
  <c r="J253" i="116" l="1"/>
  <c r="J252" i="116"/>
  <c r="J251" i="116"/>
  <c r="J250" i="116"/>
  <c r="F253" i="116"/>
  <c r="F252" i="116"/>
  <c r="F251" i="116"/>
  <c r="F250" i="116"/>
  <c r="F249" i="116"/>
  <c r="F248" i="116"/>
  <c r="F247" i="116"/>
  <c r="F246" i="116"/>
  <c r="E225" i="116" l="1"/>
  <c r="G222" i="116"/>
  <c r="A210" i="116" l="1"/>
  <c r="J207" i="116"/>
  <c r="F207" i="116"/>
  <c r="J206" i="116"/>
  <c r="F206" i="116"/>
  <c r="J205" i="116"/>
  <c r="F205" i="116"/>
  <c r="J204" i="116"/>
  <c r="F204" i="116"/>
  <c r="J201" i="116"/>
  <c r="F201" i="116"/>
  <c r="J200" i="116"/>
  <c r="F200" i="116"/>
  <c r="J199" i="116"/>
  <c r="F199" i="116"/>
  <c r="J198" i="116"/>
  <c r="F198" i="116"/>
  <c r="C195" i="116"/>
  <c r="J193" i="116"/>
  <c r="F193" i="116"/>
  <c r="J192" i="116"/>
  <c r="F192" i="116"/>
  <c r="J191" i="116"/>
  <c r="F191" i="116"/>
  <c r="J190" i="116"/>
  <c r="F190" i="116"/>
  <c r="E188" i="116"/>
  <c r="C188" i="116"/>
  <c r="E185" i="116"/>
  <c r="E184" i="116"/>
  <c r="E181" i="116"/>
  <c r="E180" i="116"/>
  <c r="E179" i="116"/>
  <c r="E177" i="116"/>
  <c r="A175" i="116"/>
  <c r="H59" i="731" l="1"/>
  <c r="E59" i="731"/>
  <c r="C59" i="731"/>
  <c r="C54" i="731"/>
  <c r="F53" i="731"/>
  <c r="F52" i="731"/>
  <c r="C52" i="731"/>
  <c r="J50" i="731"/>
  <c r="D50" i="731"/>
  <c r="G47" i="731"/>
  <c r="C47" i="731"/>
  <c r="B46" i="731"/>
  <c r="B44" i="731"/>
  <c r="D40" i="731"/>
  <c r="B235" i="116" l="1"/>
  <c r="B228" i="116"/>
  <c r="F235" i="116"/>
  <c r="A227" i="116"/>
  <c r="C236" i="116"/>
  <c r="J163" i="185"/>
  <c r="F168" i="116"/>
  <c r="F168" i="185"/>
  <c r="F164" i="185" l="1"/>
  <c r="F164" i="116"/>
  <c r="J163" i="116"/>
  <c r="F162" i="116"/>
  <c r="F161" i="116"/>
  <c r="F160" i="116"/>
  <c r="F159" i="116"/>
  <c r="F231" i="185"/>
  <c r="J230" i="185"/>
  <c r="F163" i="185"/>
  <c r="F186" i="185"/>
  <c r="J185" i="185"/>
  <c r="J164" i="185"/>
  <c r="F162" i="185"/>
  <c r="F161" i="185"/>
  <c r="F160" i="185"/>
  <c r="F159" i="185"/>
  <c r="F177" i="185"/>
  <c r="J176" i="185"/>
  <c r="J177" i="185"/>
  <c r="J186" i="185"/>
  <c r="H23" i="20" l="1"/>
  <c r="H9" i="31" l="1"/>
  <c r="H11" i="31" s="1"/>
  <c r="G13" i="24"/>
  <c r="J233" i="185" l="1"/>
  <c r="F233" i="185"/>
  <c r="J232" i="185"/>
  <c r="F232" i="185"/>
  <c r="J231" i="185"/>
  <c r="F230" i="185"/>
  <c r="F229" i="185"/>
  <c r="F228" i="185"/>
  <c r="F227" i="185"/>
  <c r="F226" i="185"/>
  <c r="A208" i="185"/>
  <c r="E202" i="185"/>
  <c r="E201" i="185"/>
  <c r="E198" i="185"/>
  <c r="E197" i="185"/>
  <c r="E196" i="185"/>
  <c r="E194" i="185"/>
  <c r="D192" i="185"/>
  <c r="A191" i="185"/>
  <c r="J188" i="185"/>
  <c r="F188" i="185"/>
  <c r="J187" i="185"/>
  <c r="F187" i="185"/>
  <c r="F185" i="185"/>
  <c r="E183" i="185"/>
  <c r="C183" i="185"/>
  <c r="F179" i="185"/>
  <c r="J178" i="185"/>
  <c r="F178" i="185"/>
  <c r="F176" i="185"/>
  <c r="E174" i="185"/>
  <c r="C174" i="185"/>
  <c r="A172" i="185"/>
  <c r="J166" i="185"/>
  <c r="F166" i="185"/>
  <c r="J165" i="185"/>
  <c r="F165" i="185"/>
  <c r="F223" i="116" l="1"/>
  <c r="G224" i="116"/>
  <c r="B224" i="116"/>
  <c r="J166" i="116"/>
  <c r="F166" i="116"/>
  <c r="J165" i="116"/>
  <c r="F165" i="116"/>
  <c r="J164" i="116"/>
  <c r="F163" i="116"/>
  <c r="B214" i="116" l="1"/>
  <c r="B217" i="116"/>
  <c r="B222" i="116"/>
  <c r="D209" i="116"/>
  <c r="B218" i="116"/>
  <c r="K218" i="116"/>
  <c r="H47" i="104" l="1"/>
  <c r="E47" i="104"/>
  <c r="C47" i="104"/>
  <c r="B40" i="104"/>
  <c r="E37" i="104"/>
  <c r="H23" i="104"/>
  <c r="H204" i="185" l="1"/>
  <c r="B207" i="185"/>
  <c r="G191" i="185"/>
  <c r="F215" i="185"/>
  <c r="C216" i="185"/>
  <c r="B215" i="185"/>
</calcChain>
</file>

<file path=xl/sharedStrings.xml><?xml version="1.0" encoding="utf-8"?>
<sst xmlns="http://schemas.openxmlformats.org/spreadsheetml/2006/main" count="3724" uniqueCount="762">
  <si>
    <t>Deemed Supply under Schedule I</t>
  </si>
  <si>
    <t>Credit Notes issued after the end of the financial year but reflected in the annual return</t>
  </si>
  <si>
    <t>Credit notes accounted for in the audited Annual Financial Statement but are not permissible under GST</t>
  </si>
  <si>
    <t>Adjustments on account of supply of goods by SEZ units to DTA Units</t>
  </si>
  <si>
    <t>Turnover for the period under composition scheme</t>
  </si>
  <si>
    <t>Adjustments in turnover under section 15 and rules thereunder</t>
  </si>
  <si>
    <t>A</t>
  </si>
  <si>
    <t>B</t>
  </si>
  <si>
    <t>C</t>
  </si>
  <si>
    <t>D</t>
  </si>
  <si>
    <t>E</t>
  </si>
  <si>
    <t>F</t>
  </si>
  <si>
    <t>G</t>
  </si>
  <si>
    <t xml:space="preserve">Unbilled revenue as at the end of the Financial Year </t>
  </si>
  <si>
    <t>H</t>
  </si>
  <si>
    <t xml:space="preserve">Unadjusted Advances as at the beginning of the Financial Year </t>
  </si>
  <si>
    <t>I</t>
  </si>
  <si>
    <t>J</t>
  </si>
  <si>
    <t>K</t>
  </si>
  <si>
    <t xml:space="preserve">Adjustment in Turnover due to reasons not listed above </t>
  </si>
  <si>
    <t>L</t>
  </si>
  <si>
    <t>M</t>
  </si>
  <si>
    <t>N</t>
  </si>
  <si>
    <t>Reconciliation of rate wise liability and amount payable thereon</t>
  </si>
  <si>
    <t>Description</t>
  </si>
  <si>
    <t>Cess</t>
  </si>
  <si>
    <t>Interest</t>
  </si>
  <si>
    <t>Late Fee</t>
  </si>
  <si>
    <t>Penalty</t>
  </si>
  <si>
    <t>O</t>
  </si>
  <si>
    <t xml:space="preserve">Others </t>
  </si>
  <si>
    <t>P</t>
  </si>
  <si>
    <t>Q</t>
  </si>
  <si>
    <t>R</t>
  </si>
  <si>
    <t>Value of Exempted, Nil Rated, Non-GST Turnover, No supply turnover</t>
  </si>
  <si>
    <t>Rent and Insurance Expense</t>
  </si>
  <si>
    <t>Goods lost, stolen, destroyed, written off or disposed of by way of gift or free samples</t>
  </si>
  <si>
    <t>Royalties</t>
  </si>
  <si>
    <t>Conveyance charges</t>
  </si>
  <si>
    <t>Bank Charges</t>
  </si>
  <si>
    <t>Entertainment charges</t>
  </si>
  <si>
    <t>Stationery Expenses (including postage etc.)</t>
  </si>
  <si>
    <t>Repair and Maintenance</t>
  </si>
  <si>
    <t>Capital goods</t>
  </si>
  <si>
    <t>Any other expense 1</t>
  </si>
  <si>
    <t>Any other expense 2</t>
  </si>
  <si>
    <t>S</t>
  </si>
  <si>
    <t>T</t>
  </si>
  <si>
    <t>Integrated Tax</t>
  </si>
  <si>
    <t>Central Tax</t>
  </si>
  <si>
    <t>Adjustments in Turnover due to foreign exchange fluctuation</t>
  </si>
  <si>
    <t>Reasons for Un - Reconciled difference in Annual Gross Turnover</t>
  </si>
  <si>
    <t>Zero rated supplies without payment of tax</t>
  </si>
  <si>
    <t>Supplies on which tax is to be paid by the recipient on reverse charge basis</t>
  </si>
  <si>
    <t>Additional amount payable but not paid (due to reasons specified under Tables 6,8 and 10 above)</t>
  </si>
  <si>
    <t>Reconciliation of ITC declared in Annual Return (GSTR9) with ITC availed on expenses as per audited Annual Financial Statement or books of account</t>
  </si>
  <si>
    <t xml:space="preserve">Freight / Carriage </t>
  </si>
  <si>
    <r>
      <t>Trade Discounts</t>
    </r>
    <r>
      <rPr>
        <sz val="10"/>
        <color theme="1"/>
        <rFont val="Times New Roman"/>
        <family val="1"/>
      </rPr>
      <t>  accounted for in the audited Annual Financial Statement but are not permissible under GST</t>
    </r>
  </si>
  <si>
    <t>State Tax/UT Tax</t>
  </si>
  <si>
    <t>Cess, if applicable</t>
  </si>
  <si>
    <r>
      <t>GSTIN</t>
    </r>
    <r>
      <rPr>
        <b/>
        <sz val="11"/>
        <color rgb="FFFF0000"/>
        <rFont val="Calibri"/>
        <family val="2"/>
        <scheme val="minor"/>
      </rPr>
      <t>*</t>
    </r>
  </si>
  <si>
    <r>
      <t xml:space="preserve">     </t>
    </r>
    <r>
      <rPr>
        <sz val="10"/>
        <color indexed="8"/>
        <rFont val="Arial"/>
        <family val="2"/>
      </rPr>
      <t xml:space="preserve"> </t>
    </r>
    <r>
      <rPr>
        <b/>
        <i/>
        <u/>
        <sz val="10"/>
        <color indexed="8"/>
        <rFont val="Arial"/>
        <family val="2"/>
      </rPr>
      <t>Please Note :</t>
    </r>
    <r>
      <rPr>
        <i/>
        <sz val="10"/>
        <color indexed="8"/>
        <rFont val="Arial"/>
        <family val="2"/>
      </rPr>
      <t xml:space="preserve"> Fields marked with </t>
    </r>
    <r>
      <rPr>
        <b/>
        <i/>
        <sz val="10"/>
        <color indexed="10"/>
        <rFont val="Arial"/>
        <family val="2"/>
      </rPr>
      <t>*</t>
    </r>
    <r>
      <rPr>
        <i/>
        <sz val="10"/>
        <color indexed="8"/>
        <rFont val="Arial"/>
        <family val="2"/>
      </rPr>
      <t xml:space="preserve"> (red asterisk) are mandatory fields and need to be filled up</t>
    </r>
  </si>
  <si>
    <t xml:space="preserve">    Goods and Services Tax - GSTR 9C Offline tool</t>
  </si>
  <si>
    <r>
      <t>Financial Year</t>
    </r>
    <r>
      <rPr>
        <b/>
        <sz val="11"/>
        <color rgb="FFFF0000"/>
        <rFont val="Calibri"/>
        <family val="2"/>
        <scheme val="minor"/>
      </rPr>
      <t>*</t>
    </r>
  </si>
  <si>
    <r>
      <t>Are you liable to audit under any Act</t>
    </r>
    <r>
      <rPr>
        <b/>
        <sz val="8"/>
        <color theme="1"/>
        <rFont val="Calibri"/>
        <family val="2"/>
        <scheme val="minor"/>
      </rPr>
      <t> </t>
    </r>
    <r>
      <rPr>
        <b/>
        <sz val="10"/>
        <color theme="0"/>
        <rFont val="Times New Roman"/>
        <family val="1"/>
      </rPr>
      <t xml:space="preserve"> ?</t>
    </r>
    <r>
      <rPr>
        <b/>
        <sz val="10"/>
        <color rgb="FFFF0000"/>
        <rFont val="Times New Roman"/>
        <family val="1"/>
      </rPr>
      <t xml:space="preserve"> *</t>
    </r>
  </si>
  <si>
    <t>No</t>
  </si>
  <si>
    <t>Reasons for Un - Reconciled difference in ITC</t>
  </si>
  <si>
    <r>
      <t>Reconciliation of Taxable Turnover</t>
    </r>
    <r>
      <rPr>
        <b/>
        <sz val="11"/>
        <color rgb="FFFF0000"/>
        <rFont val="Times New Roman"/>
        <family val="1"/>
      </rPr>
      <t>*</t>
    </r>
  </si>
  <si>
    <t>Reasons for Un - Reconciled difference in Taxable Turnover</t>
  </si>
  <si>
    <t>Reasons for Un - Reconciled Payment of Tax</t>
  </si>
  <si>
    <t xml:space="preserve">PART -A - Reconciliation Statement </t>
  </si>
  <si>
    <t>2017-18</t>
  </si>
  <si>
    <t>(c) the cash flow statement for the period beginning:</t>
  </si>
  <si>
    <t>attached herewith, of</t>
  </si>
  <si>
    <t>S.No.</t>
  </si>
  <si>
    <t>Qualification Type</t>
  </si>
  <si>
    <t>Observation/Qualification</t>
  </si>
  <si>
    <t>2. List of Documents not maintained</t>
  </si>
  <si>
    <t>3(a). observations/ comments / discrepancies / inconsistencies in accounts and records maintained</t>
  </si>
  <si>
    <t>5.Observation/qualification in Form 9C</t>
  </si>
  <si>
    <t>Auditor's details</t>
  </si>
  <si>
    <t>Qualifications</t>
  </si>
  <si>
    <t>have examined the—</t>
  </si>
  <si>
    <t>M/S</t>
  </si>
  <si>
    <t xml:space="preserve"> Additional place of business </t>
  </si>
  <si>
    <t xml:space="preserve">Based on our audit  </t>
  </si>
  <si>
    <t xml:space="preserve">report that the said registered person </t>
  </si>
  <si>
    <t>has not maintained books of accounts/records/documents specified below</t>
  </si>
  <si>
    <t>report the below mentioned observations/ comments / discrepancies / inconsistencies; if any</t>
  </si>
  <si>
    <t>3(a)</t>
  </si>
  <si>
    <t>3(b)</t>
  </si>
  <si>
    <t xml:space="preserve">further report that, - </t>
  </si>
  <si>
    <t>(A)</t>
  </si>
  <si>
    <t xml:space="preserve"> knowledge and belief, were necessary for the </t>
  </si>
  <si>
    <t xml:space="preserve">made/issued thereunder </t>
  </si>
  <si>
    <t>(B)</t>
  </si>
  <si>
    <t>In</t>
  </si>
  <si>
    <t>examination of the books.</t>
  </si>
  <si>
    <t xml:space="preserve">(C) </t>
  </si>
  <si>
    <t>certify that the balance sheet, the</t>
  </si>
  <si>
    <t>and the cash flow Statement are</t>
  </si>
  <si>
    <t>with the books of account maintained at the Principal place of business at</t>
  </si>
  <si>
    <t xml:space="preserve">and </t>
  </si>
  <si>
    <t xml:space="preserve">The documents required to be furnished under section 35 (5) of the CGST Act and Reconciliation Statement required to be furnished under section 44(2) of the CGST Act is annexed </t>
  </si>
  <si>
    <t>herewith in Form No. GSTR-9C</t>
  </si>
  <si>
    <t>opinion and to the best of</t>
  </si>
  <si>
    <t>information and according to explanations given to</t>
  </si>
  <si>
    <t>the particulars given</t>
  </si>
  <si>
    <t xml:space="preserve">as required by the IGST/CGST/SGST/UTGST Act, 2017 and the rules/notifications </t>
  </si>
  <si>
    <t>report that the audit of the books of accounts and the financial statements of</t>
  </si>
  <si>
    <t>was conducted by</t>
  </si>
  <si>
    <t>Institute of Chartered Accountants of India</t>
  </si>
  <si>
    <t>Institute of Cost Accountants of India</t>
  </si>
  <si>
    <t>and</t>
  </si>
  <si>
    <t>annex hereto a copy of their audit report dated</t>
  </si>
  <si>
    <t>along with a copy of each of:</t>
  </si>
  <si>
    <t>(d) documents declared by the said Act to be part of, or annexed to, the</t>
  </si>
  <si>
    <t>and balance sheet</t>
  </si>
  <si>
    <t>additional place of business within the State.</t>
  </si>
  <si>
    <t>Others</t>
  </si>
  <si>
    <t>State tax /UT tax</t>
  </si>
  <si>
    <t>Tax payable on un-reconciled difference in ITC (due to reasons specified in 13 &amp; 15 above)</t>
  </si>
  <si>
    <t xml:space="preserve">has maintained the books of accounts, records and documents </t>
  </si>
  <si>
    <t>Institute of Company Secretary of India</t>
  </si>
  <si>
    <t>Verification: I hereby solemnly affirm and declare that the information given herein above is true and correct to the best of my knowledge and belief and nothing has been concealed there from.</t>
  </si>
  <si>
    <t>Reconciliation of Gross Turnover</t>
  </si>
  <si>
    <r>
      <t>Turnover (including exports) as per Audited Financial Statement  for the State / UT (For multi-GSTIN units under same PAN, the turnover shall as be derived from the Audited Annual Financial Statements</t>
    </r>
    <r>
      <rPr>
        <sz val="10"/>
        <color theme="1"/>
        <rFont val="Times New Roman"/>
        <family val="1"/>
      </rPr>
      <t> </t>
    </r>
    <r>
      <rPr>
        <sz val="10"/>
        <color rgb="FF000000"/>
        <rFont val="Times New Roman"/>
        <family val="1"/>
      </rPr>
      <t>)</t>
    </r>
    <r>
      <rPr>
        <sz val="10"/>
        <color rgb="FFFF0000"/>
        <rFont val="Times New Roman"/>
        <family val="1"/>
      </rPr>
      <t>*</t>
    </r>
  </si>
  <si>
    <r>
      <t>Turnover as declared in Annual return (GSTR9)</t>
    </r>
    <r>
      <rPr>
        <sz val="10"/>
        <color rgb="FFFF0000"/>
        <rFont val="Times New Roman"/>
        <family val="1"/>
      </rPr>
      <t>*</t>
    </r>
  </si>
  <si>
    <r>
      <t>Taxable turnover as per liability declared in Annual Return (GSTR9)</t>
    </r>
    <r>
      <rPr>
        <sz val="10"/>
        <color rgb="FFFF0000"/>
        <rFont val="Times New Roman"/>
        <family val="1"/>
      </rPr>
      <t>*</t>
    </r>
  </si>
  <si>
    <r>
      <t>Reconciliation of Net Input Tax Credit (ITC)</t>
    </r>
    <r>
      <rPr>
        <b/>
        <sz val="11"/>
        <color rgb="FFFF0000"/>
        <rFont val="Times New Roman"/>
        <family val="1"/>
      </rPr>
      <t xml:space="preserve"> </t>
    </r>
  </si>
  <si>
    <r>
      <t>ITC availed as per audited Annual Financial Statement for the State/ UT (For multi-GSTIN units under same PAN, this should be derived from books of accounts)</t>
    </r>
    <r>
      <rPr>
        <sz val="10"/>
        <color rgb="FFFF0000"/>
        <rFont val="Times New Roman"/>
        <family val="1"/>
      </rPr>
      <t>*</t>
    </r>
  </si>
  <si>
    <r>
      <t>ITC claimed in Annual Return (GSTR9)</t>
    </r>
    <r>
      <rPr>
        <sz val="10"/>
        <color rgb="FFFF0000"/>
        <rFont val="Times New Roman"/>
        <family val="1"/>
      </rPr>
      <t>*</t>
    </r>
  </si>
  <si>
    <r>
      <t>Is the person making reconciliation statement (FORM GSTR-9C) is same person who had conducted the audit of mentioned GSTIN</t>
    </r>
    <r>
      <rPr>
        <b/>
        <sz val="11"/>
        <color rgb="FFFF0000"/>
        <rFont val="Calibri"/>
        <family val="2"/>
        <scheme val="minor"/>
      </rPr>
      <t>*</t>
    </r>
  </si>
  <si>
    <t>Yes</t>
  </si>
  <si>
    <t>S.No</t>
  </si>
  <si>
    <t>Amount (₹)</t>
  </si>
  <si>
    <t>Taxable Value (₹)</t>
  </si>
  <si>
    <t>Tax payable (₹)</t>
  </si>
  <si>
    <t>Value (₹)</t>
  </si>
  <si>
    <t>Amount of Total ITC (₹)</t>
  </si>
  <si>
    <t>Amount of eligible ITC availed (₹)</t>
  </si>
  <si>
    <t>Amount payable (₹)</t>
  </si>
  <si>
    <t>Trade Name (If any)</t>
  </si>
  <si>
    <t>Legal Name</t>
  </si>
  <si>
    <t xml:space="preserve">Unbilled revenue at the beginning of the Financial Year </t>
  </si>
  <si>
    <r>
      <t>Unadjusted advances at the end of the Financial Year</t>
    </r>
    <r>
      <rPr>
        <sz val="10"/>
        <color theme="1"/>
        <rFont val="Times New Roman"/>
        <family val="1"/>
      </rPr>
      <t> </t>
    </r>
  </si>
  <si>
    <t>Power and Fuel Costs</t>
  </si>
  <si>
    <t>Imported goods (Including received from SEZ)</t>
  </si>
  <si>
    <t>Floor Number</t>
  </si>
  <si>
    <t>Name of the Premises/Buildig</t>
  </si>
  <si>
    <t>2018-19</t>
  </si>
  <si>
    <t>Name of the Premises/Building</t>
  </si>
  <si>
    <t>Sheet validation error</t>
  </si>
  <si>
    <t>Portal validation error</t>
  </si>
  <si>
    <r>
      <rPr>
        <sz val="12"/>
        <rFont val="Times New Roman"/>
        <family val="1"/>
      </rPr>
      <t>GSTIN</t>
    </r>
  </si>
  <si>
    <r>
      <rPr>
        <sz val="12"/>
        <rFont val="Times New Roman"/>
        <family val="1"/>
      </rPr>
      <t>Legal Name</t>
    </r>
  </si>
  <si>
    <r>
      <rPr>
        <sz val="12"/>
        <rFont val="Times New Roman"/>
        <family val="1"/>
      </rPr>
      <t>(Amount in ₹ in all tables)</t>
    </r>
  </si>
  <si>
    <r>
      <rPr>
        <b/>
        <sz val="12"/>
        <rFont val="Times New Roman"/>
        <family val="1"/>
      </rPr>
      <t>Reconciliation of Gross Turnover</t>
    </r>
  </si>
  <si>
    <r>
      <rPr>
        <sz val="12"/>
        <rFont val="Times New Roman"/>
        <family val="1"/>
      </rPr>
      <t>A</t>
    </r>
  </si>
  <si>
    <r>
      <rPr>
        <sz val="12"/>
        <rFont val="Times New Roman"/>
        <family val="1"/>
      </rPr>
      <t xml:space="preserve">Turnover (including exports) as per audited financial statements for the State / UT (For multi-GSTIN units under
</t>
    </r>
    <r>
      <rPr>
        <sz val="12"/>
        <rFont val="Times New Roman"/>
        <family val="1"/>
      </rPr>
      <t>same PAN the turnover shall be derived from the audited Annual Financial Statement)</t>
    </r>
  </si>
  <si>
    <r>
      <rPr>
        <sz val="12"/>
        <rFont val="Times New Roman"/>
        <family val="1"/>
      </rPr>
      <t>B</t>
    </r>
  </si>
  <si>
    <r>
      <rPr>
        <sz val="12"/>
        <rFont val="Times New Roman"/>
        <family val="1"/>
      </rPr>
      <t>Unbilled revenue at the beginning of Financial Year</t>
    </r>
  </si>
  <si>
    <r>
      <rPr>
        <sz val="12"/>
        <rFont val="Times New Roman"/>
        <family val="1"/>
      </rPr>
      <t>C</t>
    </r>
  </si>
  <si>
    <r>
      <rPr>
        <sz val="12"/>
        <rFont val="Times New Roman"/>
        <family val="1"/>
      </rPr>
      <t>Unadjusted advances at the end of the Financial Year</t>
    </r>
  </si>
  <si>
    <r>
      <rPr>
        <sz val="12"/>
        <rFont val="Times New Roman"/>
        <family val="1"/>
      </rPr>
      <t>D</t>
    </r>
  </si>
  <si>
    <r>
      <rPr>
        <sz val="12"/>
        <rFont val="Times New Roman"/>
        <family val="1"/>
      </rPr>
      <t>Deemed Supply under Schedule I</t>
    </r>
  </si>
  <si>
    <r>
      <rPr>
        <sz val="12"/>
        <rFont val="Times New Roman"/>
        <family val="1"/>
      </rPr>
      <t>E</t>
    </r>
  </si>
  <si>
    <r>
      <rPr>
        <sz val="12"/>
        <rFont val="Times New Roman"/>
        <family val="1"/>
      </rPr>
      <t xml:space="preserve">Credit Notes issued after the end of the financial year
</t>
    </r>
    <r>
      <rPr>
        <sz val="12"/>
        <rFont val="Times New Roman"/>
        <family val="1"/>
      </rPr>
      <t>but reflected in the annual return</t>
    </r>
  </si>
  <si>
    <r>
      <rPr>
        <sz val="12"/>
        <rFont val="Times New Roman"/>
        <family val="1"/>
      </rPr>
      <t>F</t>
    </r>
  </si>
  <si>
    <r>
      <rPr>
        <sz val="12"/>
        <rFont val="Times New Roman"/>
        <family val="1"/>
      </rPr>
      <t>G</t>
    </r>
  </si>
  <si>
    <r>
      <rPr>
        <sz val="12"/>
        <rFont val="Times New Roman"/>
        <family val="1"/>
      </rPr>
      <t>Turnover from April 2017 to June 2017</t>
    </r>
  </si>
  <si>
    <r>
      <rPr>
        <sz val="12"/>
        <rFont val="Times New Roman"/>
        <family val="1"/>
      </rPr>
      <t>H</t>
    </r>
  </si>
  <si>
    <r>
      <rPr>
        <sz val="12"/>
        <rFont val="Times New Roman"/>
        <family val="1"/>
      </rPr>
      <t>Unbilled revenue at the end of Financial Year</t>
    </r>
  </si>
  <si>
    <r>
      <rPr>
        <sz val="12"/>
        <rFont val="Times New Roman"/>
        <family val="1"/>
      </rPr>
      <t>I</t>
    </r>
  </si>
  <si>
    <r>
      <rPr>
        <sz val="12"/>
        <rFont val="Times New Roman"/>
        <family val="1"/>
      </rPr>
      <t xml:space="preserve">Unadjusted Advances at the beginning of the Financial
</t>
    </r>
    <r>
      <rPr>
        <sz val="12"/>
        <rFont val="Times New Roman"/>
        <family val="1"/>
      </rPr>
      <t>Year</t>
    </r>
  </si>
  <si>
    <r>
      <rPr>
        <sz val="12"/>
        <rFont val="Times New Roman"/>
        <family val="1"/>
      </rPr>
      <t>J</t>
    </r>
  </si>
  <si>
    <r>
      <rPr>
        <sz val="12"/>
        <rFont val="Times New Roman"/>
        <family val="1"/>
      </rPr>
      <t xml:space="preserve">Credit notes accounted for in the audited Annual
</t>
    </r>
    <r>
      <rPr>
        <sz val="12"/>
        <rFont val="Times New Roman"/>
        <family val="1"/>
      </rPr>
      <t>Financial Statement but are not permissible under GST</t>
    </r>
  </si>
  <si>
    <r>
      <rPr>
        <sz val="12"/>
        <rFont val="Times New Roman"/>
        <family val="1"/>
      </rPr>
      <t>K</t>
    </r>
  </si>
  <si>
    <r>
      <rPr>
        <sz val="12"/>
        <rFont val="Times New Roman"/>
        <family val="1"/>
      </rPr>
      <t xml:space="preserve">Adjustments on account of supply of goods by SEZ
</t>
    </r>
    <r>
      <rPr>
        <sz val="12"/>
        <rFont val="Times New Roman"/>
        <family val="1"/>
      </rPr>
      <t>units to DTA Units</t>
    </r>
  </si>
  <si>
    <r>
      <rPr>
        <sz val="12"/>
        <rFont val="Times New Roman"/>
        <family val="1"/>
      </rPr>
      <t>L</t>
    </r>
  </si>
  <si>
    <r>
      <rPr>
        <sz val="12"/>
        <rFont val="Times New Roman"/>
        <family val="1"/>
      </rPr>
      <t>Turnover for the period under composition scheme</t>
    </r>
  </si>
  <si>
    <r>
      <rPr>
        <sz val="12"/>
        <rFont val="Times New Roman"/>
        <family val="1"/>
      </rPr>
      <t>M</t>
    </r>
  </si>
  <si>
    <r>
      <rPr>
        <sz val="12"/>
        <rFont val="Times New Roman"/>
        <family val="1"/>
      </rPr>
      <t xml:space="preserve">Adjustments in turnover under section 15 and rules
</t>
    </r>
    <r>
      <rPr>
        <sz val="12"/>
        <rFont val="Times New Roman"/>
        <family val="1"/>
      </rPr>
      <t>thereunder</t>
    </r>
  </si>
  <si>
    <r>
      <rPr>
        <sz val="12"/>
        <rFont val="Times New Roman"/>
        <family val="1"/>
      </rPr>
      <t>N</t>
    </r>
  </si>
  <si>
    <r>
      <rPr>
        <sz val="12"/>
        <rFont val="Times New Roman"/>
        <family val="1"/>
      </rPr>
      <t xml:space="preserve">Adjustments in turnover due to foreign exchange
</t>
    </r>
    <r>
      <rPr>
        <sz val="12"/>
        <rFont val="Times New Roman"/>
        <family val="1"/>
      </rPr>
      <t>fluctuations</t>
    </r>
  </si>
  <si>
    <r>
      <rPr>
        <sz val="12"/>
        <rFont val="Times New Roman"/>
        <family val="1"/>
      </rPr>
      <t>O</t>
    </r>
  </si>
  <si>
    <r>
      <rPr>
        <sz val="12"/>
        <rFont val="Times New Roman"/>
        <family val="1"/>
      </rPr>
      <t>Adjustments in turnover due to reasons not listed above</t>
    </r>
  </si>
  <si>
    <r>
      <rPr>
        <sz val="12"/>
        <rFont val="Times New Roman"/>
        <family val="1"/>
      </rPr>
      <t>P</t>
    </r>
  </si>
  <si>
    <r>
      <rPr>
        <sz val="12"/>
        <rFont val="Times New Roman"/>
        <family val="1"/>
      </rPr>
      <t>Q</t>
    </r>
  </si>
  <si>
    <r>
      <rPr>
        <sz val="12"/>
        <rFont val="Times New Roman"/>
        <family val="1"/>
      </rPr>
      <t>Turnover as declared in Annual Return (GSTR9)</t>
    </r>
  </si>
  <si>
    <r>
      <rPr>
        <sz val="12"/>
        <rFont val="Times New Roman"/>
        <family val="1"/>
      </rPr>
      <t>R</t>
    </r>
  </si>
  <si>
    <r>
      <rPr>
        <sz val="12"/>
        <rFont val="Times New Roman"/>
        <family val="1"/>
      </rPr>
      <t>Un-Reconciled turnover (Q - P)</t>
    </r>
  </si>
  <si>
    <r>
      <rPr>
        <b/>
        <sz val="12"/>
        <rFont val="Times New Roman"/>
        <family val="1"/>
      </rPr>
      <t>Reasons for Un - Reconciled difference in Annual Gross Turnover</t>
    </r>
  </si>
  <si>
    <r>
      <rPr>
        <b/>
        <sz val="12"/>
        <rFont val="Times New Roman"/>
        <family val="1"/>
      </rPr>
      <t>Reconciliation of Taxable Turnover</t>
    </r>
  </si>
  <si>
    <r>
      <rPr>
        <sz val="12"/>
        <rFont val="Times New Roman"/>
        <family val="1"/>
      </rPr>
      <t>Annual turnover after adjustments (from 5P above)</t>
    </r>
  </si>
  <si>
    <r>
      <rPr>
        <sz val="12"/>
        <rFont val="Times New Roman"/>
        <family val="1"/>
      </rPr>
      <t xml:space="preserve">Value of Exempted, Nil Rated, Non-GST supplies, No-Supply
</t>
    </r>
    <r>
      <rPr>
        <sz val="12"/>
        <rFont val="Times New Roman"/>
        <family val="1"/>
      </rPr>
      <t>turnover</t>
    </r>
  </si>
  <si>
    <r>
      <rPr>
        <sz val="12"/>
        <rFont val="Times New Roman"/>
        <family val="1"/>
      </rPr>
      <t>Zero rated supplies without payment of tax</t>
    </r>
  </si>
  <si>
    <r>
      <rPr>
        <sz val="12"/>
        <rFont val="Times New Roman"/>
        <family val="1"/>
      </rPr>
      <t xml:space="preserve">Supplies on which tax is to be paid by the recipient on reverse
</t>
    </r>
    <r>
      <rPr>
        <sz val="12"/>
        <rFont val="Times New Roman"/>
        <family val="1"/>
      </rPr>
      <t>charge basis</t>
    </r>
  </si>
  <si>
    <r>
      <rPr>
        <sz val="12"/>
        <rFont val="Times New Roman"/>
        <family val="1"/>
      </rPr>
      <t>Taxable turnover as per adjustments above (A-B-C-D)</t>
    </r>
  </si>
  <si>
    <r>
      <rPr>
        <sz val="12"/>
        <rFont val="Times New Roman"/>
        <family val="1"/>
      </rPr>
      <t xml:space="preserve">Taxable turnover as per liability declared in Annual Return
</t>
    </r>
    <r>
      <rPr>
        <sz val="12"/>
        <rFont val="Times New Roman"/>
        <family val="1"/>
      </rPr>
      <t>(GSTR9)</t>
    </r>
  </si>
  <si>
    <r>
      <rPr>
        <sz val="12"/>
        <rFont val="Times New Roman"/>
        <family val="1"/>
      </rPr>
      <t>Unreconciled taxable turnover (F-E)</t>
    </r>
  </si>
  <si>
    <r>
      <rPr>
        <b/>
        <sz val="12"/>
        <rFont val="Times New Roman"/>
        <family val="1"/>
      </rPr>
      <t>Reasons for Un - Reconciled difference in taxable turnover</t>
    </r>
  </si>
  <si>
    <r>
      <rPr>
        <b/>
        <sz val="12"/>
        <rFont val="Times New Roman"/>
        <family val="1"/>
      </rPr>
      <t>Reconciliation of rate wise liability and amount payable thereon</t>
    </r>
  </si>
  <si>
    <r>
      <rPr>
        <sz val="12"/>
        <rFont val="Times New Roman"/>
        <family val="1"/>
      </rPr>
      <t>Tax payable</t>
    </r>
  </si>
  <si>
    <r>
      <rPr>
        <sz val="12"/>
        <rFont val="Times New Roman"/>
        <family val="1"/>
      </rPr>
      <t>Description</t>
    </r>
  </si>
  <si>
    <r>
      <rPr>
        <sz val="12"/>
        <rFont val="Times New Roman"/>
        <family val="1"/>
      </rPr>
      <t>Taxable Value</t>
    </r>
  </si>
  <si>
    <r>
      <rPr>
        <sz val="12"/>
        <rFont val="Times New Roman"/>
        <family val="1"/>
      </rPr>
      <t>Integrated Tax</t>
    </r>
  </si>
  <si>
    <r>
      <rPr>
        <sz val="12"/>
        <rFont val="Times New Roman"/>
        <family val="1"/>
      </rPr>
      <t>5% (RC)</t>
    </r>
  </si>
  <si>
    <r>
      <rPr>
        <sz val="12"/>
        <rFont val="Times New Roman"/>
        <family val="1"/>
      </rPr>
      <t>12% (RC)</t>
    </r>
  </si>
  <si>
    <r>
      <rPr>
        <sz val="12"/>
        <rFont val="Times New Roman"/>
        <family val="1"/>
      </rPr>
      <t>18% (RC)</t>
    </r>
  </si>
  <si>
    <r>
      <rPr>
        <sz val="12"/>
        <rFont val="Times New Roman"/>
        <family val="1"/>
      </rPr>
      <t>28% (RC)</t>
    </r>
  </si>
  <si>
    <r>
      <rPr>
        <sz val="12"/>
        <rFont val="Times New Roman"/>
        <family val="1"/>
      </rPr>
      <t>Interest</t>
    </r>
  </si>
  <si>
    <r>
      <rPr>
        <sz val="12"/>
        <rFont val="Times New Roman"/>
        <family val="1"/>
      </rPr>
      <t>Late Fee</t>
    </r>
  </si>
  <si>
    <r>
      <rPr>
        <sz val="12"/>
        <rFont val="Times New Roman"/>
        <family val="1"/>
      </rPr>
      <t>Penalty</t>
    </r>
  </si>
  <si>
    <r>
      <rPr>
        <sz val="12"/>
        <rFont val="Times New Roman"/>
        <family val="1"/>
      </rPr>
      <t>Others</t>
    </r>
  </si>
  <si>
    <r>
      <rPr>
        <sz val="12"/>
        <rFont val="Times New Roman"/>
        <family val="1"/>
      </rPr>
      <t xml:space="preserve">Total amount to be paid as per
</t>
    </r>
    <r>
      <rPr>
        <sz val="12"/>
        <rFont val="Times New Roman"/>
        <family val="1"/>
      </rPr>
      <t>tables above</t>
    </r>
  </si>
  <si>
    <r>
      <rPr>
        <sz val="12"/>
        <rFont val="Times New Roman"/>
        <family val="1"/>
      </rPr>
      <t xml:space="preserve">Total amount paid as declared in
</t>
    </r>
    <r>
      <rPr>
        <sz val="12"/>
        <rFont val="Times New Roman"/>
        <family val="1"/>
      </rPr>
      <t>Annual Return (GSTR 9)</t>
    </r>
  </si>
  <si>
    <t>Un-reconciled payment of Amount</t>
  </si>
  <si>
    <t>Reasons for un-reconciled payment of amount</t>
  </si>
  <si>
    <r>
      <rPr>
        <b/>
        <sz val="12"/>
        <rFont val="Times New Roman"/>
        <family val="1"/>
      </rPr>
      <t>Additional amount payable but not paid (due to reasons specified under Tables 6,8 and 10 above)</t>
    </r>
  </si>
  <si>
    <r>
      <rPr>
        <sz val="12"/>
        <rFont val="Times New Roman"/>
        <family val="1"/>
      </rPr>
      <t>To be paid through Cash</t>
    </r>
  </si>
  <si>
    <r>
      <rPr>
        <sz val="12"/>
        <rFont val="Times New Roman"/>
        <family val="1"/>
      </rPr>
      <t xml:space="preserve">Others
</t>
    </r>
    <r>
      <rPr>
        <sz val="12"/>
        <rFont val="Times New Roman"/>
        <family val="1"/>
      </rPr>
      <t>(please specify)</t>
    </r>
  </si>
  <si>
    <r>
      <rPr>
        <b/>
        <sz val="12"/>
        <rFont val="Times New Roman"/>
        <family val="1"/>
      </rPr>
      <t>Reconciliation of Net Input Tax Credit (ITC)</t>
    </r>
  </si>
  <si>
    <r>
      <rPr>
        <sz val="12"/>
        <rFont val="Times New Roman"/>
        <family val="1"/>
      </rPr>
      <t xml:space="preserve">ITC availed as per audited Annual Financial Statement for the State/ UT (For multi-GSTIN units under same PAN this should
</t>
    </r>
    <r>
      <rPr>
        <sz val="12"/>
        <rFont val="Times New Roman"/>
        <family val="1"/>
      </rPr>
      <t>be derived from books of accounts)</t>
    </r>
  </si>
  <si>
    <r>
      <rPr>
        <sz val="12"/>
        <rFont val="Times New Roman"/>
        <family val="1"/>
      </rPr>
      <t xml:space="preserve">ITC booked in earlier Financial Years claimed in current
</t>
    </r>
    <r>
      <rPr>
        <sz val="12"/>
        <rFont val="Times New Roman"/>
        <family val="1"/>
      </rPr>
      <t>Financial Year</t>
    </r>
  </si>
  <si>
    <r>
      <rPr>
        <sz val="12"/>
        <rFont val="Times New Roman"/>
        <family val="1"/>
      </rPr>
      <t xml:space="preserve">ITC booked in current Financial Year to be claimed in
</t>
    </r>
    <r>
      <rPr>
        <sz val="12"/>
        <rFont val="Times New Roman"/>
        <family val="1"/>
      </rPr>
      <t>subsequent Financial Years</t>
    </r>
  </si>
  <si>
    <r>
      <rPr>
        <sz val="12"/>
        <rFont val="Times New Roman"/>
        <family val="1"/>
      </rPr>
      <t xml:space="preserve">ITC availed as per audited financial statements or books of
</t>
    </r>
    <r>
      <rPr>
        <sz val="12"/>
        <rFont val="Times New Roman"/>
        <family val="1"/>
      </rPr>
      <t>account</t>
    </r>
  </si>
  <si>
    <r>
      <rPr>
        <sz val="12"/>
        <rFont val="Times New Roman"/>
        <family val="1"/>
      </rPr>
      <t>ITC claimed in Annual Return (GSTR9)</t>
    </r>
  </si>
  <si>
    <r>
      <rPr>
        <sz val="12"/>
        <rFont val="Times New Roman"/>
        <family val="1"/>
      </rPr>
      <t>Un-reconciled ITC</t>
    </r>
  </si>
  <si>
    <r>
      <rPr>
        <b/>
        <sz val="12"/>
        <rFont val="Times New Roman"/>
        <family val="1"/>
      </rPr>
      <t>Reasons for un-reconciled difference in ITC</t>
    </r>
  </si>
  <si>
    <r>
      <rPr>
        <b/>
        <sz val="12"/>
        <rFont val="Times New Roman"/>
        <family val="1"/>
      </rPr>
      <t>Reconciliation of ITC declared in Annual Return (GSTR9) with ITC availed on expenses as per audited Annual Financial Statement or books of account</t>
    </r>
  </si>
  <si>
    <r>
      <rPr>
        <sz val="12"/>
        <rFont val="Times New Roman"/>
        <family val="1"/>
      </rPr>
      <t>Value</t>
    </r>
  </si>
  <si>
    <r>
      <rPr>
        <sz val="12"/>
        <rFont val="Times New Roman"/>
        <family val="1"/>
      </rPr>
      <t>Amount of Total ITC</t>
    </r>
  </si>
  <si>
    <r>
      <rPr>
        <sz val="12"/>
        <rFont val="Times New Roman"/>
        <family val="1"/>
      </rPr>
      <t>Amount of eligible ITC availed</t>
    </r>
  </si>
  <si>
    <r>
      <rPr>
        <sz val="12"/>
        <rFont val="Times New Roman"/>
        <family val="1"/>
      </rPr>
      <t>S</t>
    </r>
  </si>
  <si>
    <r>
      <rPr>
        <sz val="12"/>
        <rFont val="Times New Roman"/>
        <family val="1"/>
      </rPr>
      <t>T</t>
    </r>
  </si>
  <si>
    <r>
      <rPr>
        <b/>
        <sz val="12"/>
        <rFont val="Times New Roman"/>
        <family val="1"/>
      </rPr>
      <t>Reasons for un - reconciled difference in ITC</t>
    </r>
  </si>
  <si>
    <r>
      <rPr>
        <b/>
        <sz val="12"/>
        <rFont val="Times New Roman"/>
        <family val="1"/>
      </rPr>
      <t xml:space="preserve">Tax payable on un-reconciled difference in ITC (due to reasons specified in 13
</t>
    </r>
    <r>
      <rPr>
        <b/>
        <sz val="12"/>
        <rFont val="Times New Roman"/>
        <family val="1"/>
      </rPr>
      <t>and 15 above)</t>
    </r>
  </si>
  <si>
    <r>
      <rPr>
        <sz val="12"/>
        <rFont val="Times New Roman"/>
        <family val="1"/>
      </rPr>
      <t>Amount Payable</t>
    </r>
  </si>
  <si>
    <r>
      <rPr>
        <sz val="12"/>
        <rFont val="Times New Roman"/>
        <family val="1"/>
      </rPr>
      <t>Central Tax</t>
    </r>
  </si>
  <si>
    <r>
      <rPr>
        <sz val="12"/>
        <rFont val="Times New Roman"/>
        <family val="1"/>
      </rPr>
      <t xml:space="preserve">State/UT
</t>
    </r>
    <r>
      <rPr>
        <sz val="12"/>
        <rFont val="Times New Roman"/>
        <family val="1"/>
      </rPr>
      <t>Tax</t>
    </r>
  </si>
  <si>
    <r>
      <rPr>
        <sz val="12"/>
        <rFont val="Times New Roman"/>
        <family val="1"/>
      </rPr>
      <t xml:space="preserve">Integrated
</t>
    </r>
    <r>
      <rPr>
        <sz val="12"/>
        <rFont val="Times New Roman"/>
        <family val="1"/>
      </rPr>
      <t>Tax</t>
    </r>
  </si>
  <si>
    <r>
      <rPr>
        <sz val="12"/>
        <rFont val="Times New Roman"/>
        <family val="1"/>
      </rPr>
      <t>Cess</t>
    </r>
  </si>
  <si>
    <r>
      <rPr>
        <sz val="12"/>
        <rFont val="Times New Roman"/>
        <family val="1"/>
      </rPr>
      <t xml:space="preserve">Input Tax
</t>
    </r>
    <r>
      <rPr>
        <sz val="12"/>
        <rFont val="Times New Roman"/>
        <family val="1"/>
      </rPr>
      <t>Credit</t>
    </r>
  </si>
  <si>
    <r>
      <rPr>
        <sz val="12"/>
        <rFont val="Times New Roman"/>
        <family val="1"/>
      </rPr>
      <t xml:space="preserve">Erroneous refund to be
</t>
    </r>
    <r>
      <rPr>
        <sz val="12"/>
        <rFont val="Times New Roman"/>
        <family val="1"/>
      </rPr>
      <t>paid back</t>
    </r>
  </si>
  <si>
    <r>
      <rPr>
        <sz val="12"/>
        <rFont val="Times New Roman"/>
        <family val="1"/>
      </rPr>
      <t xml:space="preserve">Outstanding demands to
</t>
    </r>
    <r>
      <rPr>
        <sz val="12"/>
        <rFont val="Times New Roman"/>
        <family val="1"/>
      </rPr>
      <t>be settled</t>
    </r>
  </si>
  <si>
    <r>
      <rPr>
        <sz val="12"/>
        <rFont val="Times New Roman"/>
        <family val="1"/>
      </rPr>
      <t xml:space="preserve">Other (Pl.
</t>
    </r>
    <r>
      <rPr>
        <sz val="12"/>
        <rFont val="Times New Roman"/>
        <family val="1"/>
      </rPr>
      <t>specify)</t>
    </r>
  </si>
  <si>
    <t>Purchases</t>
  </si>
  <si>
    <t>Other Miscellaneous expenses</t>
  </si>
  <si>
    <t>Other Territory</t>
  </si>
  <si>
    <t>Uttarakhand</t>
  </si>
  <si>
    <t>Tripura</t>
  </si>
  <si>
    <t>Telangana</t>
  </si>
  <si>
    <t>Sikkim</t>
  </si>
  <si>
    <t>Rajasthan</t>
  </si>
  <si>
    <t>Punjab</t>
  </si>
  <si>
    <t>Puducherry</t>
  </si>
  <si>
    <t>Odisha</t>
  </si>
  <si>
    <t>Nagaland</t>
  </si>
  <si>
    <t>Mizoram</t>
  </si>
  <si>
    <t>Meghalaya</t>
  </si>
  <si>
    <t>Manipur</t>
  </si>
  <si>
    <t>Maharashtra</t>
  </si>
  <si>
    <t>Lakshadweep</t>
  </si>
  <si>
    <t>Kerala</t>
  </si>
  <si>
    <t>Karnataka</t>
  </si>
  <si>
    <t>Jharkhand</t>
  </si>
  <si>
    <t>Haryana</t>
  </si>
  <si>
    <t>Gujarat</t>
  </si>
  <si>
    <t>Goa</t>
  </si>
  <si>
    <t>Delhi</t>
  </si>
  <si>
    <t>Chhattisgarh</t>
  </si>
  <si>
    <t>Chandigarh</t>
  </si>
  <si>
    <t>Bihar</t>
  </si>
  <si>
    <t>Assam</t>
  </si>
  <si>
    <r>
      <t>ITC availed as per audited financial statements or books of accounts (A + B - C)</t>
    </r>
    <r>
      <rPr>
        <sz val="10"/>
        <color rgb="FFFF0000"/>
        <rFont val="Times New Roman"/>
        <family val="1"/>
      </rPr>
      <t xml:space="preserve">* </t>
    </r>
  </si>
  <si>
    <t>4A</t>
  </si>
  <si>
    <t>Trade Discounts accounted for in the audited Annual Financial Statement but are not permissible under GST</t>
  </si>
  <si>
    <t>Introduction to Excel based GSTR-9C offline tool</t>
  </si>
  <si>
    <t>Reason Number 01</t>
  </si>
  <si>
    <t>subject to observations/qualifications, if any specified below</t>
  </si>
  <si>
    <t xml:space="preserve"> given to</t>
  </si>
  <si>
    <t>information and according to explanations</t>
  </si>
  <si>
    <t>4. In</t>
  </si>
  <si>
    <t xml:space="preserve"> Reconciliation Statement required to be furnished under section 44(2) of the CGST Act is annexed </t>
  </si>
  <si>
    <t>3. The documents required to be furnished under section 35 (5) of the CGST Act and</t>
  </si>
  <si>
    <t xml:space="preserve"> IGST/CGST/SGST/UTGST Act, 2017 and the rules/notifications,made/issued thereunder </t>
  </si>
  <si>
    <t>as required by the</t>
  </si>
  <si>
    <t xml:space="preserve"> audit report dated</t>
  </si>
  <si>
    <t xml:space="preserve">annex hereto a copy of their </t>
  </si>
  <si>
    <t>5. In</t>
  </si>
  <si>
    <t>4. The documents required to be furnished under section 35 (5) of the CGST Act and</t>
  </si>
  <si>
    <t>maintained at the Principal place of business at</t>
  </si>
  <si>
    <t xml:space="preserve">with the books of account </t>
  </si>
  <si>
    <t xml:space="preserve"> ( C )</t>
  </si>
  <si>
    <t>(B) In</t>
  </si>
  <si>
    <t xml:space="preserve"> / inconsistencies; if any</t>
  </si>
  <si>
    <t>report the below mentioned observations/ comments / discrepancies</t>
  </si>
  <si>
    <t xml:space="preserve">2.Based on our audit  </t>
  </si>
  <si>
    <t>PART – B- CERTIFICATION
I. Certification in cases where the reconciliation statement (FORM GSTR-9C)
is drawn up by the person who had conducted the audit:</t>
  </si>
  <si>
    <t>Verification: 
I hereby solemnly affirm and declare that the information given herein above is true
 and correct to the best of my knowledge and belief and nothing has been concealed there from.</t>
  </si>
  <si>
    <t>Reason Number 1</t>
  </si>
  <si>
    <t>Auditor's recommendation on additional Liability due to non-reconciliation</t>
  </si>
  <si>
    <t>(d)documents declared by the said Act to be part of,or annexed to, the</t>
  </si>
  <si>
    <t>Basic Details</t>
  </si>
  <si>
    <t>Form GSTR - 9C
[See rule 80(3)] 
PART – A - Reconciliation Statement</t>
  </si>
  <si>
    <t>Reconciliation of turnover declared in audited Annual Financial Statement with turnover declared in Annual Return (GSTR9)</t>
  </si>
  <si>
    <t>Reconciliation of tax paid</t>
  </si>
  <si>
    <r>
      <rPr>
        <sz val="12"/>
        <rFont val="Times New Roman"/>
        <family val="1"/>
      </rPr>
      <t xml:space="preserve">Cess, if
</t>
    </r>
    <r>
      <rPr>
        <sz val="12"/>
        <rFont val="Times New Roman"/>
        <family val="1"/>
      </rPr>
      <t>applicable</t>
    </r>
  </si>
  <si>
    <t>Reconciliation of 
Input Tax Credit (ITC)</t>
  </si>
  <si>
    <t>Any other amount paid for supplies not included
in Annual Return
(GSTR 9)</t>
  </si>
  <si>
    <t>Employee's Cost (Salaries, Wages, Bonus etc)</t>
  </si>
  <si>
    <r>
      <t>Place</t>
    </r>
    <r>
      <rPr>
        <sz val="11"/>
        <color rgb="FFFF0000"/>
        <rFont val="Calibri"/>
        <family val="2"/>
        <scheme val="minor"/>
      </rPr>
      <t>*</t>
    </r>
  </si>
  <si>
    <r>
      <t>Name of the signatory</t>
    </r>
    <r>
      <rPr>
        <sz val="11"/>
        <color rgb="FFFF0000"/>
        <rFont val="Calibri"/>
        <family val="2"/>
        <scheme val="minor"/>
      </rPr>
      <t>*</t>
    </r>
  </si>
  <si>
    <r>
      <t>Membership No</t>
    </r>
    <r>
      <rPr>
        <sz val="11"/>
        <color rgb="FFFF0000"/>
        <rFont val="Calibri"/>
        <family val="2"/>
        <scheme val="minor"/>
      </rPr>
      <t>*</t>
    </r>
  </si>
  <si>
    <r>
      <t>Date</t>
    </r>
    <r>
      <rPr>
        <sz val="11"/>
        <color rgb="FFFF0000"/>
        <rFont val="Calibri"/>
        <family val="2"/>
        <scheme val="minor"/>
      </rPr>
      <t>*</t>
    </r>
  </si>
  <si>
    <r>
      <t>Full address</t>
    </r>
    <r>
      <rPr>
        <sz val="11"/>
        <color rgb="FFFF0000"/>
        <rFont val="Calibri"/>
        <family val="2"/>
        <scheme val="minor"/>
      </rPr>
      <t>*</t>
    </r>
  </si>
  <si>
    <r>
      <t>Building No /Flat No</t>
    </r>
    <r>
      <rPr>
        <sz val="11"/>
        <color rgb="FFFF0000"/>
        <rFont val="Calibri"/>
        <family val="2"/>
        <scheme val="minor"/>
      </rPr>
      <t>*</t>
    </r>
  </si>
  <si>
    <r>
      <t>Road/Street</t>
    </r>
    <r>
      <rPr>
        <sz val="11"/>
        <color rgb="FFFF0000"/>
        <rFont val="Calibri"/>
        <family val="2"/>
        <scheme val="minor"/>
      </rPr>
      <t>*</t>
    </r>
  </si>
  <si>
    <r>
      <t>City/Town/Locality/Village</t>
    </r>
    <r>
      <rPr>
        <sz val="11"/>
        <color rgb="FFFF0000"/>
        <rFont val="Calibri"/>
        <family val="2"/>
        <scheme val="minor"/>
      </rPr>
      <t>*</t>
    </r>
  </si>
  <si>
    <r>
      <t>District</t>
    </r>
    <r>
      <rPr>
        <sz val="11"/>
        <color rgb="FFFF0000"/>
        <rFont val="Calibri"/>
        <family val="2"/>
        <scheme val="minor"/>
      </rPr>
      <t>*</t>
    </r>
  </si>
  <si>
    <r>
      <t>State</t>
    </r>
    <r>
      <rPr>
        <sz val="11"/>
        <color rgb="FFFF0000"/>
        <rFont val="Calibri"/>
        <family val="2"/>
        <scheme val="minor"/>
      </rPr>
      <t>*</t>
    </r>
  </si>
  <si>
    <r>
      <t>Pin Code</t>
    </r>
    <r>
      <rPr>
        <sz val="11"/>
        <color rgb="FFFF0000"/>
        <rFont val="Calibri"/>
        <family val="2"/>
        <scheme val="minor"/>
      </rPr>
      <t>*</t>
    </r>
  </si>
  <si>
    <r>
      <t>(a) balance sheet as on</t>
    </r>
    <r>
      <rPr>
        <sz val="11"/>
        <color rgb="FFFF0000"/>
        <rFont val="Calibri"/>
        <family val="2"/>
        <scheme val="minor"/>
      </rPr>
      <t>*</t>
    </r>
  </si>
  <si>
    <r>
      <t xml:space="preserve">(b) the </t>
    </r>
    <r>
      <rPr>
        <sz val="11"/>
        <color rgb="FFFF0000"/>
        <rFont val="Calibri"/>
        <family val="2"/>
        <scheme val="minor"/>
      </rPr>
      <t>*</t>
    </r>
    <r>
      <rPr>
        <sz val="11"/>
        <color theme="1"/>
        <rFont val="Calibri"/>
        <family val="2"/>
        <scheme val="minor"/>
      </rPr>
      <t xml:space="preserve">                                                                                                        </t>
    </r>
  </si>
  <si>
    <r>
      <t>for the period beginning from</t>
    </r>
    <r>
      <rPr>
        <sz val="11"/>
        <color rgb="FFFF0000"/>
        <rFont val="Calibri"/>
        <family val="2"/>
        <scheme val="minor"/>
      </rPr>
      <t>*</t>
    </r>
  </si>
  <si>
    <r>
      <t>to ending on</t>
    </r>
    <r>
      <rPr>
        <sz val="11"/>
        <color rgb="FFFF0000"/>
        <rFont val="Calibri"/>
        <family val="2"/>
        <scheme val="minor"/>
      </rPr>
      <t>*</t>
    </r>
  </si>
  <si>
    <r>
      <t xml:space="preserve"> Name</t>
    </r>
    <r>
      <rPr>
        <sz val="11"/>
        <color rgb="FFFF0000"/>
        <rFont val="Calibri"/>
        <family val="2"/>
        <scheme val="minor"/>
      </rPr>
      <t>*</t>
    </r>
  </si>
  <si>
    <r>
      <t>Address</t>
    </r>
    <r>
      <rPr>
        <sz val="11"/>
        <color rgb="FFFF0000"/>
        <rFont val="Calibri"/>
        <family val="2"/>
        <scheme val="minor"/>
      </rPr>
      <t>*</t>
    </r>
  </si>
  <si>
    <r>
      <t>Principal place of business</t>
    </r>
    <r>
      <rPr>
        <sz val="11"/>
        <color rgb="FFFF0000"/>
        <rFont val="Calibri"/>
        <family val="2"/>
        <scheme val="minor"/>
      </rPr>
      <t>*</t>
    </r>
  </si>
  <si>
    <r>
      <t>Building No/Flat No</t>
    </r>
    <r>
      <rPr>
        <sz val="11"/>
        <color rgb="FFFF0000"/>
        <rFont val="Calibri"/>
        <family val="2"/>
        <scheme val="minor"/>
      </rPr>
      <t>*</t>
    </r>
  </si>
  <si>
    <t>Andaman Nicobar</t>
  </si>
  <si>
    <t>Andhra Pradesh</t>
  </si>
  <si>
    <t>Arunachal Pradesh</t>
  </si>
  <si>
    <t>Daman and Diu</t>
  </si>
  <si>
    <t>Himachal Pradesh</t>
  </si>
  <si>
    <t>Jammu and Kashmir</t>
  </si>
  <si>
    <t>Madhya Pradesh</t>
  </si>
  <si>
    <t>Tamil Nadu</t>
  </si>
  <si>
    <t>Uttar Pradesh</t>
  </si>
  <si>
    <t>West Bengal</t>
  </si>
  <si>
    <r>
      <t>PAN details for digital signature</t>
    </r>
    <r>
      <rPr>
        <sz val="11"/>
        <color rgb="FFFF0000"/>
        <rFont val="Calibri"/>
        <family val="2"/>
        <scheme val="minor"/>
      </rPr>
      <t>*</t>
    </r>
  </si>
  <si>
    <r>
      <t>GSTIN</t>
    </r>
    <r>
      <rPr>
        <sz val="11"/>
        <color rgb="FFFF0000"/>
        <rFont val="Calibri"/>
        <family val="2"/>
        <scheme val="minor"/>
      </rPr>
      <t>*</t>
    </r>
  </si>
  <si>
    <r>
      <t xml:space="preserve">Annual Turnover after adjustments as above(A+B+C+D-E+F-G-H-I+J-K-L+M+N+O) </t>
    </r>
    <r>
      <rPr>
        <sz val="10"/>
        <color rgb="FFFF0000"/>
        <rFont val="Times New Roman"/>
        <family val="1"/>
      </rPr>
      <t>*</t>
    </r>
  </si>
  <si>
    <r>
      <t xml:space="preserve">Un-Reconciled turnover  (Q- P) </t>
    </r>
    <r>
      <rPr>
        <b/>
        <sz val="10"/>
        <color rgb="FFFF0000"/>
        <rFont val="Times New Roman"/>
        <family val="1"/>
      </rPr>
      <t>*</t>
    </r>
  </si>
  <si>
    <r>
      <t>Unreconciled Taxable Turnover (F-E)</t>
    </r>
    <r>
      <rPr>
        <b/>
        <sz val="10"/>
        <color rgb="FFFF0000"/>
        <rFont val="Times New Roman"/>
        <family val="1"/>
      </rPr>
      <t>*</t>
    </r>
  </si>
  <si>
    <r>
      <t>Un-reconciled payment (Q-P)</t>
    </r>
    <r>
      <rPr>
        <b/>
        <sz val="10"/>
        <color rgb="FFFF0000"/>
        <rFont val="Times New Roman"/>
        <family val="1"/>
      </rPr>
      <t>*</t>
    </r>
  </si>
  <si>
    <r>
      <t>Un-reconciled ITC (E-D)</t>
    </r>
    <r>
      <rPr>
        <b/>
        <sz val="10"/>
        <color rgb="FFFF0000"/>
        <rFont val="Times New Roman"/>
        <family val="1"/>
      </rPr>
      <t>*</t>
    </r>
  </si>
  <si>
    <r>
      <t>Un-reconciled ITC (S-R)</t>
    </r>
    <r>
      <rPr>
        <b/>
        <sz val="10"/>
        <color rgb="FFFF0000"/>
        <rFont val="Times New Roman"/>
        <family val="1"/>
      </rPr>
      <t>*</t>
    </r>
  </si>
  <si>
    <t>opinion, proper books of accounts</t>
  </si>
  <si>
    <t>kept by the registered person so far as appears from</t>
  </si>
  <si>
    <t>4.Observation/qualification in Form 9C</t>
  </si>
  <si>
    <t>State Tax / Union territory Tax</t>
  </si>
  <si>
    <t xml:space="preserve"> Integrated Tax </t>
  </si>
  <si>
    <t>Employee's Cost (Salaries, Wages, Bonus etc .)</t>
  </si>
  <si>
    <t>Sheet Validation Error</t>
  </si>
  <si>
    <t>5% (RC)</t>
  </si>
  <si>
    <t>12% (RC)</t>
  </si>
  <si>
    <t>18% (RC)</t>
  </si>
  <si>
    <t>28% (RC)</t>
  </si>
  <si>
    <t xml:space="preserve">Input tax credit </t>
  </si>
  <si>
    <t xml:space="preserve">Interest </t>
  </si>
  <si>
    <t xml:space="preserve">Penalty </t>
  </si>
  <si>
    <t xml:space="preserve">Any other amount paid for supplies not included in annual return (GSTR9) </t>
  </si>
  <si>
    <t xml:space="preserve">Erroneous refund to be paid back) </t>
  </si>
  <si>
    <t>Outstanding demands to be settled</t>
  </si>
  <si>
    <t xml:space="preserve">Late Fee </t>
  </si>
  <si>
    <t>5RC</t>
  </si>
  <si>
    <t>12RC</t>
  </si>
  <si>
    <t>18RC</t>
  </si>
  <si>
    <t>28RC</t>
  </si>
  <si>
    <t>5</t>
  </si>
  <si>
    <t>18</t>
  </si>
  <si>
    <t>28</t>
  </si>
  <si>
    <t>3</t>
  </si>
  <si>
    <t>0.25</t>
  </si>
  <si>
    <t>0.25%</t>
  </si>
  <si>
    <t>0.10%</t>
  </si>
  <si>
    <t>3%</t>
  </si>
  <si>
    <t>28%</t>
  </si>
  <si>
    <t>18%</t>
  </si>
  <si>
    <t>12%</t>
  </si>
  <si>
    <t>5%</t>
  </si>
  <si>
    <t>12</t>
  </si>
  <si>
    <t>INP</t>
  </si>
  <si>
    <t>INT</t>
  </si>
  <si>
    <t>LAT</t>
  </si>
  <si>
    <t>PEN</t>
  </si>
  <si>
    <t>ANO</t>
  </si>
  <si>
    <t>ERP</t>
  </si>
  <si>
    <t>OUD</t>
  </si>
  <si>
    <t>OTH</t>
  </si>
  <si>
    <t>0.1</t>
  </si>
  <si>
    <t>Other</t>
  </si>
  <si>
    <t>0.10</t>
  </si>
  <si>
    <t>Any other expense 3</t>
  </si>
  <si>
    <t>Any other expense 4</t>
  </si>
  <si>
    <t>Any other expense 5</t>
  </si>
  <si>
    <t>PURCHS</t>
  </si>
  <si>
    <t>FRTCAR</t>
  </si>
  <si>
    <t>POFUEL</t>
  </si>
  <si>
    <t>IMPGDS</t>
  </si>
  <si>
    <t>RNTEXP</t>
  </si>
  <si>
    <t>GDSLST</t>
  </si>
  <si>
    <t>RYLTES</t>
  </si>
  <si>
    <t>EMPCST</t>
  </si>
  <si>
    <t>CONCHR</t>
  </si>
  <si>
    <t>BNKCHR</t>
  </si>
  <si>
    <t>ENTCHR</t>
  </si>
  <si>
    <t>STNEXP</t>
  </si>
  <si>
    <t>RPRMNT</t>
  </si>
  <si>
    <t>OTRMIS</t>
  </si>
  <si>
    <t>CAPGDS</t>
  </si>
  <si>
    <t>ANEXP1</t>
  </si>
  <si>
    <t>ANEXP2</t>
  </si>
  <si>
    <t>ANEXP3</t>
  </si>
  <si>
    <t>ANEXP4</t>
  </si>
  <si>
    <t>ANEXP5</t>
  </si>
  <si>
    <t>2</t>
  </si>
  <si>
    <t>4</t>
  </si>
  <si>
    <t>Name of Act, if you are liable to audit under any Act.</t>
  </si>
  <si>
    <r>
      <t>Building N/Flat No</t>
    </r>
    <r>
      <rPr>
        <sz val="11"/>
        <color rgb="FFFF0000"/>
        <rFont val="Calibri"/>
        <family val="2"/>
        <scheme val="minor"/>
      </rPr>
      <t>*</t>
    </r>
  </si>
  <si>
    <t>Dadar And Nagar Haveli</t>
  </si>
  <si>
    <r>
      <t>Annual Turnover after adjustments [from 5(P) above]</t>
    </r>
    <r>
      <rPr>
        <sz val="10"/>
        <color rgb="FFFF0000"/>
        <rFont val="Times New Roman"/>
        <family val="1"/>
      </rPr>
      <t>*</t>
    </r>
  </si>
  <si>
    <t>Any amount which is payable due to reasons specified in Table 13 and 15 above shall be declared here.</t>
  </si>
  <si>
    <t>Amount payable</t>
  </si>
  <si>
    <t xml:space="preserve">Tax payable on un-reconciled difference in ITC (due to reasons specified in 13 and 15 above) </t>
  </si>
  <si>
    <t>PT II(16)</t>
  </si>
  <si>
    <t>Reasons for non-reconciliation between ITC availed on the various expenses declared in Table 14R and ITC declared in Table 14S shall be specified here.</t>
  </si>
  <si>
    <t>Reasons</t>
  </si>
  <si>
    <t xml:space="preserve">Reasons for un - reconciled difference in ITC </t>
  </si>
  <si>
    <t>PT II(15)</t>
  </si>
  <si>
    <t>Net ITC availed as declared in the Annual Return (GSTR9) shall be declared here. Table 7J of the Annual Return (GSTR9) may be used for filing this Table. Auditor can use the 'system generated summary based on GSTR 9' PDF to fill this field.</t>
  </si>
  <si>
    <t>14S. ITC claimed in Annual Return (GSTR9)</t>
  </si>
  <si>
    <t xml:space="preserve">14R. Total amount of eligible ITC availed </t>
  </si>
  <si>
    <t xml:space="preserve">Reconciliation of ITC declared in Annual Return (GSTR9) with ITC availed on expenses as per audited Annual Financial Statement or books of account </t>
  </si>
  <si>
    <t>PT II(14)</t>
  </si>
  <si>
    <t>Please provide reasons if any.</t>
  </si>
  <si>
    <t xml:space="preserve">Reasons for un-reconciled difference in ITC </t>
  </si>
  <si>
    <t>PT II(13)</t>
  </si>
  <si>
    <t>12F. Un-reconciled ITC</t>
  </si>
  <si>
    <t>Net ITC available for utilization as declared in Table 7J of Annual Return (GSTR9) shall be declared here.
Auditor can use the 'system generated summary based on GSTR 9' PDF to fill this field.</t>
  </si>
  <si>
    <t xml:space="preserve">12E. ITC claimed in Annual Return (GSTR9) </t>
  </si>
  <si>
    <t>ITC availed as per audited Annual Financial Statement or books of accounts as derived from values declared in Table 12A, 12B and 12C above will be autopopulated here. This field is non-editable</t>
  </si>
  <si>
    <t xml:space="preserve">12D. ITC availed as per audited financial statements or books of account </t>
  </si>
  <si>
    <t xml:space="preserve">12C. ITC booked in current Financial Year to be claimed in subsequent Financial Years </t>
  </si>
  <si>
    <t xml:space="preserve">12B. ITC booked in earlier Financial Years claimed in current Financial Year </t>
  </si>
  <si>
    <t xml:space="preserve">12A. ITC availed as per audited Annual Financial Statement for the State/ UT (For multi-GSTIN units under same PAN this should be derived from books of accounts) </t>
  </si>
  <si>
    <t xml:space="preserve">Reconciliation of Net Input Tax Credit (ITC) </t>
  </si>
  <si>
    <t>PT II(12)</t>
  </si>
  <si>
    <t>Any amount which is payable due to reasons specified under Table 6, 8 and 10 above shall be declared here.</t>
  </si>
  <si>
    <t xml:space="preserve">Additional amount payable but not paid (due to reasons specified under Tables 6,8 and 10 above) </t>
  </si>
  <si>
    <t>PT II(11)</t>
  </si>
  <si>
    <t xml:space="preserve">Reasons for non-reconciliation between payable / liability declared in Table 9P above and the amount payable in Table 9Q shall be specified here. </t>
  </si>
  <si>
    <t xml:space="preserve">Reasons for un-reconciled payment of amount </t>
  </si>
  <si>
    <t>PT II(10)</t>
  </si>
  <si>
    <t>This shall be the difference between the table no 9Q and 9P</t>
  </si>
  <si>
    <t>9R. Unreconciled payment of amount (PT1)</t>
  </si>
  <si>
    <t>The amount payable as declared in Table 9 of the Annual Return (GSTR9) shall be declared here. It should also contain any differential tax paid on Table 10 or 11 of the Annual Return (GSTR9). Auditor can use the 'system generated summary based on GSTR 9' PDF to fill this field.</t>
  </si>
  <si>
    <t>9Q. Total amount paid as declared in Annual Return (GSTR 9)</t>
  </si>
  <si>
    <t>The total amount to be paid as per liability declared in Table 9A to 9O is auto populated here. This field is non-editable.</t>
  </si>
  <si>
    <t>9P. Total amount to be paid as per tables above</t>
  </si>
  <si>
    <t>The table provides for reconciliation of tax paid as per reconciliation statement and amount of tax paid as declared in Annual Return (GSTR 9). Under the head labelled "RC", supplies where tax was paid on reverse charge basis by the recipient (i.e. the person for whom reconciliation statement has been prepared) shall be declared.</t>
  </si>
  <si>
    <t>9A to 9O tax rates, interest, penalty, late fee and others</t>
  </si>
  <si>
    <t xml:space="preserve">Reconciliation of rate wise liability and amount payable thereon </t>
  </si>
  <si>
    <t>PT II(9)</t>
  </si>
  <si>
    <t>Please provide reason if un-reconcilied difference in taxable turnover</t>
  </si>
  <si>
    <t>Reason</t>
  </si>
  <si>
    <t xml:space="preserve">Reasons for Un - Reconciled difference in taxable turnover </t>
  </si>
  <si>
    <t>PT II(8)</t>
  </si>
  <si>
    <t>Reasons for non-reconciliation between adjusted annual taxable turnover as derived from Table 7E above and the taxable turnover declared in Table 7F shall be specified here. This field shall be auto calcualted and non-editable</t>
  </si>
  <si>
    <t xml:space="preserve">7G. Unreconciled taxable turnover (F-E) </t>
  </si>
  <si>
    <t>Taxable turnover as declared in Table (4N – 4G) + (10-11) of the Annual Return (GSTR9) shall be declared here. 
Auditor can use the 'system generated summary based on GSTR 9' PDF to fill this field.</t>
  </si>
  <si>
    <t xml:space="preserve">7F. Taxable turnover as per liability declared in Annual Return (GSTR9) </t>
  </si>
  <si>
    <t>The taxable turnover is derived as the difference between the annual turnover after adjustments declared in Table 7A above and the sum of all supplies (exempted, nonGST, reverse charge etc.) declared in Table 7B, 7C and 7D above. This field shall be auto calculated and non-editable</t>
  </si>
  <si>
    <t>7E. Taxable turnover as per adjustments above (A-B-C-D)</t>
  </si>
  <si>
    <t>Value of reverse charge supplies on which tax is to be paid by the recipient shall be declared here. This shall be reported net of credit notes, debit notes and amendments if any
Positive or negative values are allowed in this field. 
If positive values are entered in this field, then it shall be reduced while calculating the taxable turnover as per table no 7(E)
If negative values are entered in this field, then it shall be added while calculating the taxable turnover as per table no 7(E)</t>
  </si>
  <si>
    <t xml:space="preserve">7D. Supplies on which tax is to be paid by the recipient on reverse charge basis </t>
  </si>
  <si>
    <t>Value of zero rated supplies (including supplies to SEZs) on which tax is not paid shall be declared here. This shall be reported net of credit notes, debit notes and amendments if any.
Positive or negative values are allowed in this field. 
If positive values are entered in this field, then it shall be reduced while calculating the taxable turnover as per table no 7(E)
If negative values are entered in this field, then it shall be added while calculating the taxable turnover as per table no 7(E)</t>
  </si>
  <si>
    <t xml:space="preserve">7C. Zero rated supplies without payment of tax </t>
  </si>
  <si>
    <t>Value of exempted, nil rated, non-GST and no-supply turnover shall be declared here. This shall be reported net of credit notes, debit notes and amendments if any.
Positive or negative values are allowed in this field. 
If positive values are entered in this field, then it shall be reduced while calculating the taxable turnover as per table no 7(E)
If negative values are entered in this field, then it shall be added while calculating the taxable turnover as per table no 7(E)</t>
  </si>
  <si>
    <t xml:space="preserve">7B. Value of Exempted, Nil Rated, Non-GST supplies, No-Supply turnover </t>
  </si>
  <si>
    <t>Annual turnover as derived in Table 5P above would be auto-populated here. This field is non-editable.</t>
  </si>
  <si>
    <t>7A. Annual turnover after adjustments (from 5P above)</t>
  </si>
  <si>
    <t>The table provides for reconciliation of taxable turnover from the audited annual turnover after adjustments with the taxable turnover declared in annual return (GSTR-9).</t>
  </si>
  <si>
    <t xml:space="preserve">Reconciliation of Taxable Turnover </t>
  </si>
  <si>
    <t>PT II(7)</t>
  </si>
  <si>
    <t>Reasons for non-reconciliation between the annual turnover declared in the audited Annual Financial Statement and turnover as declared in the Annual Return (GSTR 9) shall be specified here</t>
  </si>
  <si>
    <t xml:space="preserve">Reasons for Un - Reconciled difference in Annual Gross Turnover </t>
  </si>
  <si>
    <t>PT II(6)</t>
  </si>
  <si>
    <t>This shall be the difference between the table no 5Q and 5P</t>
  </si>
  <si>
    <t xml:space="preserve">5R. Un-Reconciled turnover (Q - P) </t>
  </si>
  <si>
    <t>Annual turnover as declared in the Annual Return (GSTR 9) shall be declared here. This turnover may be derived from Sr. No. 5N, 10 and 11 of Annual Return (GSTR 9). Auditor can use the 'system generated summary based on GSTR 9' PDF to fill this field.</t>
  </si>
  <si>
    <t xml:space="preserve">5Q.Turnover as declared in Annual Return (GSTR9) </t>
  </si>
  <si>
    <t>This field shall be auto calculated basd on the details filled in table no 5A to 5O and the same is non-editable</t>
  </si>
  <si>
    <t xml:space="preserve">5P. Annual turnover after adjustments as above </t>
  </si>
  <si>
    <t>Any difference between the turnover reported in the Annual Return (GSTR9) and turnover reported in the audited Annual Financial Statement due to reasons not listed above shall be declared here. 
Positive or negative values are allowed in this field. 
If positive values are entered in this field, then it shall be added while calculating the turnover as per 5(P).
If negative values are entered in this field, then it shall be reduced while calculating the turnover as per 5(P)</t>
  </si>
  <si>
    <t xml:space="preserve">5O. Adjustments in turnover due to reasons not listed above </t>
  </si>
  <si>
    <t>Any difference between the turnover reported in the Annual Return (GSTR9) and turnover reported in the audited Annual Financial Statement due to foreign exchange fluctuations shall be declared here. 
Positive or negative values are allowed in this field. 
If positive values are entered in this field, then it shall be added while calculating the turnover as per 5(P).
If negative values are entered in this field, then it shall be reduced while calculating the turnover as per 5(P)</t>
  </si>
  <si>
    <t xml:space="preserve">5N. Adjustments in turnover due to foreign exchange fluctuations </t>
  </si>
  <si>
    <t>There may be cases where the taxable value and the invoice value differ due to valuation principles under section 15 of the CGST Act, 2017 and rules thereunder. Therefore, any difference between the turnover reported in the Annual Return (GSTR 9) and turnover reported in the audited Annual Financial Statement due to difference in valuation of supplies shall be declared here. 
Positive or negative values are allowed in this field. 
If positive values are entered in this field, then it shall be added while calculating the turnover as per 5(P).
If negative values are entered in this field, then it shall be reduced while calculating the turnover as per 5(P)</t>
  </si>
  <si>
    <t>5M. Adjustments in turnover under section 15 and rules thereunder</t>
  </si>
  <si>
    <t xml:space="preserve">5L. Turnover for the period under composition scheme </t>
  </si>
  <si>
    <t xml:space="preserve">5K. Adjustments on account of supply of goods by SEZ units to DTA Units </t>
  </si>
  <si>
    <t>5J. Credit notes accounted for in the audited Annual Financial Statement but are not permissible under GST</t>
  </si>
  <si>
    <t xml:space="preserve">5I. Unadjusted Advances at the beginning of the Financial Year </t>
  </si>
  <si>
    <t>5H. Unbilled revenue at the end of Financial Year</t>
  </si>
  <si>
    <t>Turnover included in the audited Annual Financial Statement for April 2017 to June 2017 shall be declared here.
Positive or negative values are allowed in this field. 
If positive values are entered in this field then it shall be reduced while calculating the turnover as per 5(P).
If negative values are entered in this field then it shall be added while calculating the turnover as per 5(P)</t>
  </si>
  <si>
    <t xml:space="preserve">5G. Turnover from April 2017 to June 2017 </t>
  </si>
  <si>
    <t>5F. Trade Discounts accounted for in the audited Annual Financial Statement but are not permissible under GST</t>
  </si>
  <si>
    <t xml:space="preserve">5E. Credit Notes issued after the end of the financial year but reflected in the annual return </t>
  </si>
  <si>
    <t xml:space="preserve">5D. Deemed Supply under Schedule I </t>
  </si>
  <si>
    <t>5C. Unadjusted advances at the end of the Financial Year</t>
  </si>
  <si>
    <t xml:space="preserve">5B. Unbilled revenue at the beginning of Financial Year </t>
  </si>
  <si>
    <t>5A. Turnover (including exports) as per audited financial statements for the State / UT (For multi-GSTIN units under same PAN the turnover shall be derived from the audited Annual Financial Statement)</t>
  </si>
  <si>
    <t xml:space="preserve">Reconciliation of Gross Turnover </t>
  </si>
  <si>
    <t>PT II(5)</t>
  </si>
  <si>
    <t>Help Instruction</t>
  </si>
  <si>
    <t>Field Name</t>
  </si>
  <si>
    <t>GSTR-9C Table Reference</t>
  </si>
  <si>
    <t>Worksheet Name</t>
  </si>
  <si>
    <t>GSTR 9C Data Entry Instruction</t>
  </si>
  <si>
    <t xml:space="preserve">1. Auditor shall pass this signed GSTR 9C JSON file to taxpayer for upload
2. Taxpayer login to GST Portal and select 'Returns Dashboard'
3. Select applicable Financial Year and Tax-period. Click on Prepare Offline 
4. Upload the JSON prepared using offline Tool using upload option 
5. The uploaded JSON file would be validated and processed. 
6. In case of validation failure of one or more details in the uploaded JSON; an error file (returns_&lt;Date&gt;_R9C_&lt;GSTIN&gt;error Report. json) would be generated with status of uploaded JSON file as 
     'Processed with Error' .
7. Taxpayer shall share this error file to auditor to correct the error and resign the same.
8. Auditor to open the error file in offline tool using 'Open GSTR-9C JSON Error file downloaded from GST Portal'. All  records along with errors to be populated in respective worksheets with errors 
    description in column ‘GST Portal Validation error(s)’ for the records which have error. Post correction of errors, sign the statement using DSC and generate the JSON file and send it to the taxpayer 
    to upload the same in GST portal.
9. Post successful upload of data on GST portal ; Taxpayer to Preview the form and file GSTR-9C
</t>
  </si>
  <si>
    <t xml:space="preserve">Preparing GSTR-9C Statement Using Offline Tool </t>
  </si>
  <si>
    <r>
      <t xml:space="preserve">3. The Offline tool has following features to help taxpayer in Return Preparation 
     a. </t>
    </r>
    <r>
      <rPr>
        <b/>
        <sz val="10"/>
        <color theme="1"/>
        <rFont val="Arial"/>
        <family val="2"/>
      </rPr>
      <t>Open GSTR-9C JSON file downloaded from GST Portal</t>
    </r>
    <r>
      <rPr>
        <sz val="10"/>
        <color theme="1"/>
        <rFont val="Arial"/>
        <family val="2"/>
      </rPr>
      <t xml:space="preserve">: To open Form GSTR-9C details (uploaded earlier) file - downloaded from GST portal into the Offline Tool. Upon successful import of file, 
         the details wouldbe populated to respective tables of Excel workbook.
     b. </t>
    </r>
    <r>
      <rPr>
        <b/>
        <sz val="10"/>
        <color theme="1"/>
        <rFont val="Arial"/>
        <family val="2"/>
      </rPr>
      <t>Open GSTR-9C JSON Error File Downloaded from GST Portal:</t>
    </r>
    <r>
      <rPr>
        <sz val="10"/>
        <color theme="1"/>
        <rFont val="Arial"/>
        <family val="2"/>
      </rPr>
      <t xml:space="preserve"> To open file downloaded from GST portal from the ‘Processed with error’ link. Upon successful import of the file details ‘processed 
          with error’ records would be populated to respective tables of Excel workbook. The GST portal errors would be marked as red and can be shown in hover at red marked field.
     c. </t>
    </r>
    <r>
      <rPr>
        <b/>
        <sz val="10"/>
        <color theme="1"/>
        <rFont val="Arial"/>
        <family val="2"/>
      </rPr>
      <t>Generate JSON File to Upload GSTR-9C details on GST Portal:</t>
    </r>
    <r>
      <rPr>
        <sz val="10"/>
        <color theme="1"/>
        <rFont val="Arial"/>
        <family val="2"/>
      </rPr>
      <t xml:space="preserve"> To generate JSON file for upload of Form GSTR-9C details prepared offline on GST portal. The error file will also require to be signed  
          by auditor again.
     d. </t>
    </r>
    <r>
      <rPr>
        <b/>
        <sz val="10"/>
        <color theme="1"/>
        <rFont val="Arial"/>
        <family val="2"/>
      </rPr>
      <t>Generate Preview PDF file to view Draft GSTR-9C form:</t>
    </r>
    <r>
      <rPr>
        <sz val="10"/>
        <color theme="1"/>
        <rFont val="Arial"/>
        <family val="2"/>
      </rPr>
      <t xml:space="preserve"> To preview in PDF format, Form GSTR-9C details as prepared offline on GST portal. </t>
    </r>
    <r>
      <rPr>
        <b/>
        <sz val="10"/>
        <color theme="1"/>
        <rFont val="Arial"/>
        <family val="2"/>
      </rPr>
      <t xml:space="preserve">
</t>
    </r>
    <r>
      <rPr>
        <sz val="10"/>
        <color theme="1"/>
        <rFont val="Arial"/>
        <family val="2"/>
      </rPr>
      <t xml:space="preserve">     e. </t>
    </r>
    <r>
      <rPr>
        <b/>
        <sz val="10"/>
        <color theme="1"/>
        <rFont val="Arial"/>
        <family val="2"/>
      </rPr>
      <t>Validate Sheet:</t>
    </r>
    <r>
      <rPr>
        <sz val="10"/>
        <color theme="1"/>
        <rFont val="Arial"/>
        <family val="2"/>
      </rPr>
      <t xml:space="preserve"> To Validate the data entered in respective worksheet of this offline Tool. Successful validation is notified to Taxpayer via pop-up while on failure of validation the cells that fail 
           validation would be marked in Red.               
    </t>
    </r>
  </si>
  <si>
    <r>
      <t xml:space="preserve">2. Details for following Tables of Form GSTR-9C statement can be added by auditor using the offline Tool. 
   </t>
    </r>
    <r>
      <rPr>
        <b/>
        <sz val="10"/>
        <color theme="1"/>
        <rFont val="Arial"/>
        <family val="2"/>
      </rPr>
      <t xml:space="preserve">Pt. II- Reconciliation of turnover declared in audited Annual Financial Statement with turnover declared in Annual Return (GSTR9).
</t>
    </r>
    <r>
      <rPr>
        <sz val="10"/>
        <color theme="1"/>
        <rFont val="Arial"/>
        <family val="2"/>
      </rPr>
      <t xml:space="preserve">   Pt. II(5)- Reconciliation of Gross Turnover.
   Pt. II(6)- Reasons for Un - Reconciled difference in Annual Gross Turnover.
   Pt. II(7)- Reconciliation of Taxable Turnover.
   Pt. II(8)- Reasons for Un - Reconciled difference in taxable turnover.
   </t>
    </r>
    <r>
      <rPr>
        <b/>
        <sz val="10"/>
        <color theme="1"/>
        <rFont val="Arial"/>
        <family val="2"/>
      </rPr>
      <t xml:space="preserve">Pt. III- Reconciliation of tax paid
   </t>
    </r>
    <r>
      <rPr>
        <sz val="10"/>
        <color theme="1"/>
        <rFont val="Arial"/>
        <family val="2"/>
      </rPr>
      <t xml:space="preserve">Pt. III(9)- Reconciliation of rate wise liability and amount payable thereon.
   Pt. III(10)- Reasons for un-reconciled payment of amount.
   Pt. III(11)- Additional amount payable but not paid (due to reasons specified under Tables 6,8 and 10 above).
   </t>
    </r>
    <r>
      <rPr>
        <b/>
        <sz val="10"/>
        <color theme="1"/>
        <rFont val="Arial"/>
        <family val="2"/>
      </rPr>
      <t xml:space="preserve">Pt. IV- Reconciliation of Input Tax Credit (ITC)
   </t>
    </r>
    <r>
      <rPr>
        <sz val="10"/>
        <color theme="1"/>
        <rFont val="Arial"/>
        <family val="2"/>
      </rPr>
      <t xml:space="preserve">Pt. IV(12)- Reconciliation of Net Input Tax Credit (ITC).
   Pt. IV(13)- Reasons for un-reconciled difference in ITC.
   Pt. IV(14)- Reconciliation of ITC declared in Annual Return (GSTR9) with ITC availed on expenses as per audited Annual Financial Statement or books of account.
   Pt. IV(15)- Reasons for un - reconciled difference in ITC
   Pt. IV(16)- Tax payable on un-reconciled difference in ITC (due to reasons specified in 13 and 15 above) 
   </t>
    </r>
    <r>
      <rPr>
        <b/>
        <sz val="10"/>
        <color theme="1"/>
        <rFont val="Arial"/>
        <family val="2"/>
      </rPr>
      <t>Pt. V- Auditor's recommendation on additional Liability due to non-reconciliation .
   PART – B- Certification</t>
    </r>
  </si>
  <si>
    <t>1. The Excel based Form GSTR-9C Offline Tool is designed to help auditor to prepare taxpayer's GSTR-9C statement offline.</t>
  </si>
  <si>
    <t>profit and loss account</t>
  </si>
  <si>
    <t>Part V consists of the auditor‘s recommendation on the additional liability to be discharged by the taxpayer due to non-reconciliation of turnover or non-reconciliation of input tax credit. The auditor shall also recommend if there is any other amount to be paid for supplies not included in the Annual Return. Any refund which has been erroneously taken and shall be paid back to the Government shall also be declared in this table. Lastly, any other outstanding demands which is recommended to be settled by the auditor shall be declared in this Table</t>
  </si>
  <si>
    <t xml:space="preserve">Auditor's recommendation on additional Liability due to non-reconciliation </t>
  </si>
  <si>
    <t>PT V</t>
  </si>
  <si>
    <t>This shall be difference between 14S and 14R</t>
  </si>
  <si>
    <t>14T. Unreconciled ITC</t>
  </si>
  <si>
    <t>This shall be the difference between table no 12E and 12D. This field is auto filled and non-editable</t>
  </si>
  <si>
    <t>income and expenditure account</t>
  </si>
  <si>
    <t xml:space="preserve">3(c)  </t>
  </si>
  <si>
    <t>3(d)</t>
  </si>
  <si>
    <t>ARN</t>
  </si>
  <si>
    <t>ARN Date</t>
  </si>
  <si>
    <t>Is the person making reconcilation statement (FORM
GSTR-9C) is same person who had conducted the
audit of mentioned GSTIN</t>
  </si>
  <si>
    <t>-</t>
  </si>
  <si>
    <t>Name of Act. If you are liable to audit under any Act</t>
  </si>
  <si>
    <t>Sr.No.</t>
  </si>
  <si>
    <t>GSTIN</t>
  </si>
  <si>
    <t>(+)</t>
  </si>
  <si>
    <t>(-)</t>
  </si>
  <si>
    <t>(+/-)</t>
  </si>
  <si>
    <t>State Tax
/ UT Tax</t>
  </si>
  <si>
    <t>Place</t>
  </si>
  <si>
    <t>Name of the signatory</t>
  </si>
  <si>
    <t>Membership No</t>
  </si>
  <si>
    <t>Date</t>
  </si>
  <si>
    <t>Building No/Flat No</t>
  </si>
  <si>
    <t>Full address</t>
  </si>
  <si>
    <t>State</t>
  </si>
  <si>
    <t>District</t>
  </si>
  <si>
    <t>Road/Street</t>
  </si>
  <si>
    <t>Pin Code</t>
  </si>
  <si>
    <t>(a) balance sheet as on</t>
  </si>
  <si>
    <t xml:space="preserve">(b) the                                                                                              </t>
  </si>
  <si>
    <t>for the period beginning from</t>
  </si>
  <si>
    <t>to ending on</t>
  </si>
  <si>
    <t xml:space="preserve">from </t>
  </si>
  <si>
    <t xml:space="preserve"> to ending on</t>
  </si>
  <si>
    <t>Name</t>
  </si>
  <si>
    <t>Address</t>
  </si>
  <si>
    <t>City/Town/Locality/Village</t>
  </si>
  <si>
    <t xml:space="preserve">(b) the                                                                                                       </t>
  </si>
  <si>
    <t xml:space="preserve">  PART – B- CERTIFICATION
II. Certification in cases where the reconciliation statement (FORM GSTR-9C) is drawn up by a person other than the person who had conducted the audit of the accounts:</t>
  </si>
  <si>
    <t>Name of the Premises/
Building</t>
  </si>
  <si>
    <t>Amount</t>
  </si>
  <si>
    <t>Cess, if
applicable</t>
  </si>
  <si>
    <t>Cess, if 
applicable</t>
  </si>
  <si>
    <t>Total amount of eligible ITC availed</t>
  </si>
  <si>
    <t>ITC claimed in Annual Return (GSTR9)</t>
  </si>
  <si>
    <t>Un-reconciled ITC</t>
  </si>
  <si>
    <t>Principal place of business</t>
  </si>
  <si>
    <t xml:space="preserve">  </t>
  </si>
  <si>
    <t>Additional place of business</t>
  </si>
  <si>
    <t>Name of the Premises/ Building</t>
  </si>
  <si>
    <t>in agreement</t>
  </si>
  <si>
    <t>has maintained the books of accounts, records and documents</t>
  </si>
  <si>
    <t>Annual turnover after adjustments as above(A+B+C+D-E+F-G-H-I+J-K-L+M+N+O)</t>
  </si>
  <si>
    <t>PAN details for digital signature</t>
  </si>
  <si>
    <t xml:space="preserve">opinion proper books of account </t>
  </si>
  <si>
    <t>kept by the</t>
  </si>
  <si>
    <t>registered person so far as appears from</t>
  </si>
  <si>
    <t>have been</t>
  </si>
  <si>
    <t>Adjustments in turnover due to reasons not listed above</t>
  </si>
  <si>
    <r>
      <t xml:space="preserve">Pt. II. Reconciliation of turnover declared in audited Annual Financial Statement with turnover declared in Annual Return (GSTR9)
</t>
    </r>
    <r>
      <rPr>
        <b/>
        <i/>
        <u/>
        <sz val="10"/>
        <color indexed="8"/>
        <rFont val="Arial"/>
        <family val="2"/>
      </rPr>
      <t xml:space="preserve">Please Note </t>
    </r>
    <r>
      <rPr>
        <i/>
        <sz val="10"/>
        <color indexed="8"/>
        <rFont val="Arial"/>
        <family val="2"/>
      </rPr>
      <t xml:space="preserve">: Fields marked with </t>
    </r>
    <r>
      <rPr>
        <i/>
        <sz val="10"/>
        <color rgb="FFFF0000"/>
        <rFont val="Arial"/>
        <family val="2"/>
      </rPr>
      <t>*</t>
    </r>
    <r>
      <rPr>
        <i/>
        <sz val="10"/>
        <color indexed="8"/>
        <rFont val="Arial"/>
        <family val="2"/>
      </rPr>
      <t xml:space="preserve"> (red asterisk) are mandatory fields and need to be filled up</t>
    </r>
  </si>
  <si>
    <r>
      <t xml:space="preserve">Pt. III. Reconciliation of tax paid 
</t>
    </r>
    <r>
      <rPr>
        <b/>
        <i/>
        <sz val="11"/>
        <color theme="1"/>
        <rFont val="Arial"/>
        <family val="2"/>
      </rPr>
      <t>Please Note</t>
    </r>
    <r>
      <rPr>
        <i/>
        <sz val="11"/>
        <color theme="1"/>
        <rFont val="Arial"/>
        <family val="2"/>
      </rPr>
      <t xml:space="preserve"> : Fields marked with </t>
    </r>
    <r>
      <rPr>
        <i/>
        <sz val="11"/>
        <color rgb="FFFF0000"/>
        <rFont val="Arial"/>
        <family val="2"/>
      </rPr>
      <t>*</t>
    </r>
    <r>
      <rPr>
        <i/>
        <sz val="11"/>
        <color theme="1"/>
        <rFont val="Arial"/>
        <family val="2"/>
      </rPr>
      <t xml:space="preserve"> (red asterisk) are mandatory fields and need to be filled up
</t>
    </r>
  </si>
  <si>
    <r>
      <t xml:space="preserve">Pt. IV. Reconciliation of Input Tax Credit (ITC)  
</t>
    </r>
    <r>
      <rPr>
        <b/>
        <i/>
        <sz val="11"/>
        <color theme="1"/>
        <rFont val="Arial"/>
        <family val="2"/>
      </rPr>
      <t xml:space="preserve">Please Note : </t>
    </r>
    <r>
      <rPr>
        <i/>
        <sz val="11"/>
        <color theme="1"/>
        <rFont val="Arial"/>
        <family val="2"/>
      </rPr>
      <t xml:space="preserve">Fields marked with </t>
    </r>
    <r>
      <rPr>
        <i/>
        <sz val="11"/>
        <color rgb="FFFF0000"/>
        <rFont val="Arial"/>
        <family val="2"/>
      </rPr>
      <t>*</t>
    </r>
    <r>
      <rPr>
        <i/>
        <sz val="11"/>
        <color theme="1"/>
        <rFont val="Arial"/>
        <family val="2"/>
      </rPr>
      <t xml:space="preserve"> (red asterisk) are mandatory fields and need to be filled up</t>
    </r>
  </si>
  <si>
    <r>
      <t xml:space="preserve">Pt. IV. Reconciliation of Input Tax Credit (ITC)  
</t>
    </r>
    <r>
      <rPr>
        <b/>
        <i/>
        <sz val="11"/>
        <color theme="1"/>
        <rFont val="Arial"/>
        <family val="2"/>
      </rPr>
      <t>Please Note</t>
    </r>
    <r>
      <rPr>
        <i/>
        <sz val="11"/>
        <color theme="1"/>
        <rFont val="Arial"/>
        <family val="2"/>
      </rPr>
      <t xml:space="preserve"> : Fields marked with </t>
    </r>
    <r>
      <rPr>
        <i/>
        <sz val="11"/>
        <color rgb="FFFF0000"/>
        <rFont val="Arial"/>
        <family val="2"/>
      </rPr>
      <t>*</t>
    </r>
    <r>
      <rPr>
        <i/>
        <sz val="11"/>
        <color theme="1"/>
        <rFont val="Arial"/>
        <family val="2"/>
      </rPr>
      <t xml:space="preserve"> (red asterisk) are mandatory fields and need to be filled up
</t>
    </r>
  </si>
  <si>
    <r>
      <t xml:space="preserve">Pt. IV. Reconciliation of Input Tax Credit (ITC)  
</t>
    </r>
    <r>
      <rPr>
        <b/>
        <i/>
        <sz val="11"/>
        <color theme="1"/>
        <rFont val="Arial"/>
        <family val="2"/>
      </rPr>
      <t xml:space="preserve">Please Note </t>
    </r>
    <r>
      <rPr>
        <i/>
        <sz val="11"/>
        <color theme="1"/>
        <rFont val="Arial"/>
        <family val="2"/>
      </rPr>
      <t xml:space="preserve">: Fields marked with </t>
    </r>
    <r>
      <rPr>
        <i/>
        <sz val="11"/>
        <color rgb="FFFF0000"/>
        <rFont val="Arial"/>
        <family val="2"/>
      </rPr>
      <t>*</t>
    </r>
    <r>
      <rPr>
        <i/>
        <sz val="11"/>
        <color theme="1"/>
        <rFont val="Arial"/>
        <family val="2"/>
      </rPr>
      <t xml:space="preserve"> (red asterisk) are mandatory fields and need to be filled up</t>
    </r>
  </si>
  <si>
    <r>
      <t xml:space="preserve">Pt. IV. Reconciliation of Input Tax Credit (ITC) 
</t>
    </r>
    <r>
      <rPr>
        <b/>
        <i/>
        <sz val="11"/>
        <color indexed="8"/>
        <rFont val="Arial"/>
        <family val="2"/>
      </rPr>
      <t>Please Note</t>
    </r>
    <r>
      <rPr>
        <i/>
        <sz val="11"/>
        <color indexed="8"/>
        <rFont val="Arial"/>
        <family val="2"/>
      </rPr>
      <t xml:space="preserve"> : Fields marked with </t>
    </r>
    <r>
      <rPr>
        <i/>
        <sz val="11"/>
        <color rgb="FFFF0000"/>
        <rFont val="Arial"/>
        <family val="2"/>
      </rPr>
      <t>*</t>
    </r>
    <r>
      <rPr>
        <i/>
        <sz val="11"/>
        <color indexed="8"/>
        <rFont val="Arial"/>
        <family val="2"/>
      </rPr>
      <t xml:space="preserve"> (red asterisk) are mandatory fields and need to be filled up</t>
    </r>
  </si>
  <si>
    <r>
      <t xml:space="preserve">Certification 
II.  Certification in cases where the reconciliation statement (FORM GSTR-9C) is drawn
up by a person other than the person who had conducted the audit of the accounts::
</t>
    </r>
    <r>
      <rPr>
        <b/>
        <i/>
        <sz val="11"/>
        <color indexed="8"/>
        <rFont val="Arial"/>
        <family val="2"/>
      </rPr>
      <t>Please Note</t>
    </r>
    <r>
      <rPr>
        <i/>
        <sz val="11"/>
        <color indexed="8"/>
        <rFont val="Arial"/>
        <family val="2"/>
      </rPr>
      <t xml:space="preserve"> : Fields marked with </t>
    </r>
    <r>
      <rPr>
        <i/>
        <sz val="11"/>
        <color rgb="FFFF0000"/>
        <rFont val="Arial"/>
        <family val="2"/>
      </rPr>
      <t>*</t>
    </r>
    <r>
      <rPr>
        <i/>
        <sz val="11"/>
        <color indexed="8"/>
        <rFont val="Arial"/>
        <family val="2"/>
      </rPr>
      <t xml:space="preserve"> (red asterisk) are mandatory fields and need to be filled up</t>
    </r>
  </si>
  <si>
    <r>
      <t xml:space="preserve">Certification
I. Certification in cases where the reconciliation statement (FORM GSTR-9C) is drawn up by the person who had conducted the audit:
</t>
    </r>
    <r>
      <rPr>
        <b/>
        <i/>
        <sz val="11"/>
        <color indexed="8"/>
        <rFont val="Arial"/>
        <family val="2"/>
      </rPr>
      <t>Please Note</t>
    </r>
    <r>
      <rPr>
        <i/>
        <sz val="11"/>
        <color indexed="8"/>
        <rFont val="Arial"/>
        <family val="2"/>
      </rPr>
      <t xml:space="preserve"> : Fields marked with </t>
    </r>
    <r>
      <rPr>
        <i/>
        <sz val="11"/>
        <color rgb="FFFF0000"/>
        <rFont val="Arial"/>
        <family val="2"/>
      </rPr>
      <t>*</t>
    </r>
    <r>
      <rPr>
        <i/>
        <sz val="11"/>
        <color indexed="8"/>
        <rFont val="Arial"/>
        <family val="2"/>
      </rPr>
      <t xml:space="preserve"> (red asterisk) are mandatory fields and need to be filled up</t>
    </r>
  </si>
  <si>
    <t>DD/MM/YYYY</t>
  </si>
  <si>
    <t xml:space="preserve"> the information and explanations which, to the best of</t>
  </si>
  <si>
    <t>were not provided</t>
  </si>
  <si>
    <t>was not provided</t>
  </si>
  <si>
    <t>were partially provided</t>
  </si>
  <si>
    <t>was partially provided</t>
  </si>
  <si>
    <t>have obtained all</t>
  </si>
  <si>
    <t>purpose of the audit</t>
  </si>
  <si>
    <t>in the said Form No.GSTR-9C are true and fair subject to  observations/qualifications, if any specified below</t>
  </si>
  <si>
    <t>from</t>
  </si>
  <si>
    <r>
      <t>bearing membership number</t>
    </r>
    <r>
      <rPr>
        <sz val="11"/>
        <color rgb="FFFF0000"/>
        <rFont val="Calibri"/>
        <family val="2"/>
        <scheme val="minor"/>
      </rPr>
      <t xml:space="preserve">* </t>
    </r>
  </si>
  <si>
    <r>
      <t>Building No/Flat No</t>
    </r>
    <r>
      <rPr>
        <sz val="11"/>
        <color rgb="FF0070C0"/>
        <rFont val="Calibri"/>
        <family val="2"/>
        <scheme val="minor"/>
      </rPr>
      <t>*</t>
    </r>
  </si>
  <si>
    <r>
      <t>City/Town/Locality/Village</t>
    </r>
    <r>
      <rPr>
        <sz val="11"/>
        <color rgb="FF0070C0"/>
        <rFont val="Calibri"/>
        <family val="2"/>
        <scheme val="minor"/>
      </rPr>
      <t>*</t>
    </r>
  </si>
  <si>
    <r>
      <t>State</t>
    </r>
    <r>
      <rPr>
        <sz val="11"/>
        <color rgb="FF0070C0"/>
        <rFont val="Calibri"/>
        <family val="2"/>
        <scheme val="minor"/>
      </rPr>
      <t>*</t>
    </r>
  </si>
  <si>
    <r>
      <t>Road/Street</t>
    </r>
    <r>
      <rPr>
        <sz val="11"/>
        <color rgb="FF0070C0"/>
        <rFont val="Calibri"/>
        <family val="2"/>
        <scheme val="minor"/>
      </rPr>
      <t>*</t>
    </r>
  </si>
  <si>
    <r>
      <t>District</t>
    </r>
    <r>
      <rPr>
        <sz val="11"/>
        <color rgb="FF0070C0"/>
        <rFont val="Calibri"/>
        <family val="2"/>
        <scheme val="minor"/>
      </rPr>
      <t>*</t>
    </r>
  </si>
  <si>
    <r>
      <t>Pin Code</t>
    </r>
    <r>
      <rPr>
        <sz val="11"/>
        <color rgb="FF0070C0"/>
        <rFont val="Calibri"/>
        <family val="2"/>
        <scheme val="minor"/>
      </rPr>
      <t>*</t>
    </r>
  </si>
  <si>
    <r>
      <t xml:space="preserve"> in pursuance of the provisions of the </t>
    </r>
    <r>
      <rPr>
        <sz val="11"/>
        <color rgb="FFFF0000"/>
        <rFont val="Calibri"/>
        <family val="2"/>
        <scheme val="minor"/>
      </rPr>
      <t>*</t>
    </r>
  </si>
  <si>
    <t>bearing membership number</t>
  </si>
  <si>
    <t xml:space="preserve"> in pursuance of the provisions of the</t>
  </si>
  <si>
    <t>the information and explanations which, to the best of</t>
  </si>
  <si>
    <t xml:space="preserve"> knowledge and belief, were necessary for the purpose of the audit</t>
  </si>
  <si>
    <t xml:space="preserve">the particulars given in the said Form No.GSTR-9C are true and fair </t>
  </si>
  <si>
    <t>Turnover from April 2017 to June 2017</t>
  </si>
  <si>
    <t>ITC booked in earlier Financial Years claimed in current Financial Year</t>
  </si>
  <si>
    <t>ITC booked in current Financial Year to be claimed in subsequent Financial Years</t>
  </si>
  <si>
    <t>2019-20</t>
  </si>
  <si>
    <t>2020-21</t>
  </si>
  <si>
    <t>Others%</t>
  </si>
  <si>
    <t xml:space="preserve">                                     Additional Liability due to non-reconciliation</t>
  </si>
  <si>
    <t>Value</t>
  </si>
  <si>
    <t>Tax payable on un-reconciled difference in ITC (due to reasons specified in 13
and 15 above)</t>
  </si>
  <si>
    <t>Additional amount payable but not paid (due to reasons specified under Table 6,8 and 10 above)</t>
  </si>
  <si>
    <t>audited_data=act_name=,add_liab=audit_addr=bno=6578,building=,city=cnvnb,district=bnvnbn,fno=,pin_code=658787,road=ghfh,state=Assam,date=11/11/2018,mem_no=123456,pan_no=AJIPA1572E,place=htfjh,signatory=gfjfgj,fp=032018,gstin=04GDDPS5160P14R,isauditor=Y,table11=inter=cess=0,cgst=0,igst=0,sgst=0,late_fee=cess=0,cgst=0,igst=0,sgst=0,oth=cess=0,cgst=0,igst=0,sgst=0,pen=cess=0,cgst=0,igst=0,sgst=0,rate=cess=0,cgst=0,desc=5,igst=0,sgst=0,tax_val=0,cess=0,cgst=0,desc=12,igst=0,sgst=0,tax_val=0,cess=0,cgst=0,desc=18,igst=0,sgst=0,tax_val=0,cess=0,cgst=0,desc=28,igst=0,sgst=0,tax_val=0,cess=0,cgst=0,desc=3,igst=0,sgst=0,tax_val=0,cess=0,cgst=0,desc=0.25,igst=0,sgst=0,tax_val=0,cess=0,cgst=0,desc=0.1,igst=0,sgst=0,tax_val=0,table12=itc_avail=657,itc_avail_audited=657,itc_book_curr=0,itc_book_earl=0,itc_claim=76878,unrec_itc=76221,table14=itc_claim=itc_avail=787,tot_elig_itc=itc_avail=0,unrec_itc=itc_avail=787,table16=cess=0,cgst=0,igst=0,inter=0,pen=0,sgst=0,table5=annul_turn_adj=4534,annul_turn_decl=4354,turnovr=4534,turnovr_apr_jun=0,unrec_turnovr=-180,table7=annul_turn_adj=4534,tax_turn_adj=4534,tax_turn_annul=4354,unrec_tax_turn=-180,table9=tot_amt_paid=cess=4534,cgst=35,igst=54353,sgst=454,tot_amt_payable=cess=0,cgst=0,igst=0,sgst=0,unrec_amt=cess=4534,cgst=35,igst=54353,sgst=454,certificate=cert_data=acc_typ=profit and loss account,addr=bno=123456,building=,city=fghfgh,district=jfjh,fno=,pin_code=123456,road=dfhgjf,state=Arunachal Pradesh,audit_addr=bno=686,building=,city=gfjgj,district=fhh,fno=,pin_code=123456,road=fhdhf,state=Andhra Pradesh,bal_sheet_date=11/11/2018,beg_date=11/11/2018,cash_from_date=DD/MM/YYYY,cash_to_date=DD/MM/YYYY,cert_textpartb1=add_addr=bno=,building=,city=,district=,fno=,road=,gstin=04GDDPS5160P14R,info_stat=was partially provided,isagree=in agreement,ishave=have been,principal_addr=bno=465,building=,city=jgjjhj,district=jffjhg,fno=,pin_code=565757,road=fgj,state=Bihar,qualifications=qual_type=2,value=hgjgh,date=11/11/2018,doc_stat=has maintained the books of accounts, records and documents,end_date=11/11/2018,mem_no=123456,place=ghjghj,pronoun=I,signatory=hjgj,taxpayer_name=gffgh,cert_text=cert_text_partb1=qualifications=qual_type=2,value=hgjgh,section1=line0=1. I have examined the-,line1=(a) balance sheet as on 11/11/2018,line2=(b) the profit and loss account for the period beginning from 11/11/2018 to ending on 11/11/2018 and,line3=(c) the cash flow statement for the period beginning from DD/MM/YYYY to ending on DD/MM/YYYY, attached herewith, of M/s gffgh (Name), 123456, , , dfhgjf, fghfgh, jfjh, Arunachal Pradesh, 123456 (Address), 04GDDPS5160P14R (GSTIN).,section2=line0=2. Based on my audit I report that the said registered person-,line1=has maintained the books of accounts, records and documents as required by the IGST/CGST/State/UTGST Act, 2017 and the rules/notifications made/issued thereunder:,section3=sec_3a=line0=3.(a) I report the following observations/ comments / discrepancies /inconsistencies; if any:,sec_3b=line0=3.(b) I further report that, -,line1=(A) I was partially provided the information and explanations which, to the best of my knowledge and belief, were necessary for the purpose of the audit.,line2=(B) In my opinion, proper books of account have been kept by the registered person so far as appears from my examination of the books.,line3=(C) I certify that the balance sheet, the profit and loss account and the cash flow Statement are in agreement with the books of account maintained at the Principal place of business at 465, , , fgj, jgjjhj, jffjhg, Bihar, 565757 and , , , , , , ,  additional place of business within the State.,section4=line0=4. The documents required to be furnished under section 35 (5) of the CGST Act/SGST Act and Reconciliation Statement required to be furnished under section 44(2) of the CGST Act/SGST Act is annexed herewith in Form No. GSTR-9C,section5=line0=5. In my opinion and to the best of my information and according to explanations given to me, the particulars given in the said Form No.GSTR-9C are true and fair subject to following observations/qualifications, if any:,signature=date=11/11/2018,fullAddress=686, , , fhdhf, gfjgj, fhh, Andhra Pradesh, 123456,line0=(Signature and stamp/Seal of the Auditor),membershipNo=123456,nameOfTheSignatory=hjgj,place=ghjghj</t>
  </si>
  <si>
    <t>4cc6772ffef65f38d0e8d480c30a1409b3899fd2ec5df17a71d9f01e2b5e3fdf</t>
  </si>
  <si>
    <t xml:space="preserve"> MIAGCSqGSIb3DQEHAqCAMIACAQExCzAJBgUrDgMCGgUAMIAGCSqGSIb3DQEHAaCAJIAEQDRjYzY3NzJmZmVmNjVmMzhkMGU4ZDQ4MGMzMGExNDA5YjM4OTlmZDJlYzVkZjE3YTcxZDlmMDFlMmI1ZTNmZGYAAAAAAACggDCCBegwggTQoAMCAQICBRdId6xPMA0GCSqGSIb3DQEBCwUAMIGDMQswCQYDVQQGEwJJTjEYMBYGA1UEChMPZU11ZGhyYSBMaW1pdGVkMR0wGwYDVQQLExRDZXJ0aWZ5aW5nIEF1dGhvcml0eTE7MDkGA1UEAxMyZS1NdWRocmEgU3ViIENBIGZvciBDbGFzcyAyIEdvbGQgT3JnYW5pc2F0aW9uIDIwMTQwHhcNMjAwOTE1MDgwNzQzWhcNMjIwOTE1MDgwNzQzWjCBsDEOMAwGA1UEBhMFSW5kaWExEDAOBgNVBAoTB2VNdWRocmExCzAJBgNVBAsTAkNBMQ8wDQYDVQQREwY1NjAxMDMxEjAQBgNVBAgTCUthcm5hdGFrYTFJMEcGA1UEBRNAMzg4NDk4ZmNiZjg1N2VhNzIyODg4MzdmNjE5ZWVmOTkzMWQxYjA0ZjYwMjcxNTlkOWQzZDlkZTJkNjYzOGUwMTEPMA0GA1UEAxMGVGVzdDQ3MIIBIjANBgkqhkiG9w0BAQEFAAOCAQ8AMIIBCgKCAQEA4pGa-muD5Txrv7E5JlSMEkGLvaaiJ3Es2Pc70Md9d-f6U6jOxaJDLGs34ERWS9kUs0Ej6s2IGNLZDuisF4Z49G6Igng97MVpHtyf11szrGXH3BrdsTBHhiz5IssHpXr_QbQ4pl0QSLLDFNX2KdvSzsoIDn9dWGOeKzBiq4l8HQCM1jI1tGJggMKvxm-Xu9ThvhO3jJtIPf7KTmSkALZU1Pa2dcjWMavLPwL_Cop__kHY-7Xot9cRpsW9_Nhl3BVpBFUkH55TvpRfBpQScYyv7wr6Qp29W_X9LjuPp0v_QMi-HVhMkBv-AnZPnEkfXN5JNChdc0BKY4yqrQjLVrUPRQIDAQABo4ICMjCCAi4wEwYDVR0jBAwwCoAIRci492HjoLkwHQYDVR0OBBYEFBSu66WnU5OKRgvlDjvXaT2aJ-pLMAwGA1UdEwEB_wQCMAAwDgYDVR0PAQH_BAQDAgbAMBsGA1UdEQQUMBKBEHRlc3RAZW11ZGhyYS5jb20wQAYDVR0lBDkwNwYIKwYBBQUHAwQGCisGAQQBgjcKAwwGCSqGSIb3LwEBBQYKKwYBBAGCNxQCAgYIKwYBBQUHAwIwgZIGA1UdIASBijCBhzAtBgZggmRkAgIwIzAhBggrBgEFBQcCAjAVGhNDbGFzcyAyIENlcnRpZmljYXRlMFYGB2CCZGQBCAIwSzBJBggrBgEFBQcCARY9aHR0cDovL3VhdHNlcnZlci5lLW11ZGhyYS5jb20vUmVwb3NpdG9yeS9jcHMvZS1NdWRocmFfQ1BTLnBkZjCBlgYIKwYBBQUHAQEEgYkwgYYwNwYIKwYBBQUHMAGGK2h0dHA6Ly91YXRzZXJ2ZXIuZS1tdWRocmEuY29tL09DU1BSZXNwb25kZXIwSwYIKwYBBQUHMAKGP2h0dHA6Ly91YXRzZXJ2ZXIuZS1tdWRocmEuY29tL3JlcG9zaXRvcnkvY2FjZXJ0cy9jbDJvcmcyMDE0LmNydDBNBgNVHR8ERjBEMEKgQKA-hjxodHRwOi8vdWF0c2VydmVyLmUtbXVkaHJhLmNvbS9yZXBvc2l0b3J5L2NybHMvY2wyb3JnMjAxNC5jcmwwDQYJKoZIhvcNAQELBQADggEBADwQTFAhYz4jD2EapISwQmXzQeUSoRUfr8REycW9h1QlYbVBJb07pApDcleznt0J1dKS-AKVgQURyCcN_fzY8nDPH74FPiDNx7bwtNV4lmj3oE4sp5pBPjdioVj_QCe0DSWVehFX5xeAggNRcTAw_UVNeIqKFX_8w2Oqg2C9mJjD9MoyS1VERV_jfTww32IbZhXsLylwVNggEuy-hjMndkAYuo2mh3PZedAmsOO56hU6Ewfu9ivnUgli6UZWCqhVrrVXXNjhf2fKEK-l5TQ_LnB6r3HlZcJLZg75ydzA3yCDQAef0Lr_UnWgfh3v81fwI1Jgiv9zoTiT9Aam47uFCA0AADGCAhQwggIQAgEBMIGNMIGDMQswCQYDVQQGEwJJTjEYMBYGA1UEChMPZU11ZGhyYSBMaW1pdGVkMR0wGwYDVQQLExRDZXJ0aWZ5aW5nIEF1dGhvcml0eTE7MDkGA1UEAxMyZS1NdWRocmEgU3ViIENBIGZvciBDbGFzcyAyIEdvbGQgT3JnYW5pc2F0aW9uIDIwMTQCBRdId6xPMAkGBSsOAwIaBQCgXTAYBgkqhkiG9w0BCQMxCwYJKoZIhvcNAQcBMBwGCSqGSIb3DQEJBTEPFw0yMTA3MDgxMTAxMzRaMCMGCSqGSIb3DQEJBDEWBBSyohyMNWErn2h9IfGWqSFnM3CsWDANBgkqhkiG9w0BAQEFAASCAQA2IkDTaw0gf8X5H-5j64_cHeZ77mAEK2q0hTuqJkeGk_OqHfFRaKzPGPzWmIqQM6gFLHIOqPVM7jJ6Qv7pwTHmvQdsuNVHk5s5Aqz73joMakmkDHcxyUM2cHEFwv5fC3gAo8REiMTHUbwnT6hb9xN9Ecmve_pqsj7B1_6ANoxnHv0J81itzkS1elvMHMJ7p-f-tFdRxequwGJ931K02AlnTKv7uXu9J_noD5RDwsh_YKuVU8XIR40qTNftuVaKXNH8C6IPU4JeudZGmKnwrZHp8yr6tq_irQDX_vS_jp05Yg89AxmBP7N-FgH8OOI9K3exiIsm8Gu7grmJgZP8QBnsAAAAAAAA</t>
  </si>
  <si>
    <t>Part V consists of the additional liability to be discharged by the taxpayer due to non-reconciliation of turnover or non-reconciliation of input tax credit. Any refund which has been erroneously taken and shall be paid back to the Government shall also be declared in this table. Lastly, any other outstanding demands which is  to be settled by the taxpayer shall be declared in this Table</t>
  </si>
  <si>
    <t>Additional Liability due to non-reconciliation</t>
  </si>
  <si>
    <t>Net ITC availed as declared in the Annual Return (GSTR9) shall be declared here. Table 7J of the Annual Return (GSTR9) may be used for filing this Table. Taxpayer can use the 'system generated summary based on GSTR 9' PDF to fill this field.</t>
  </si>
  <si>
    <t>This shall be the difference between table no. 12E and 12D. This field is auto filled and non-editable</t>
  </si>
  <si>
    <t>Net ITC available for utilization as declared in Table 7J of Annual Return (GSTR9) shall be declared here.
Taxpayer can use the 'system generated summary based on GSTR 9' PDF to fill this field.</t>
  </si>
  <si>
    <t>Any ITC which has been booked in the audited Annual Financial Statement of the current financial year but the same has not been credited to the ITC ledger for the said financial year shall be declared here.
Positive or negative values are allowed in this field.
If positive values are entered in this field, then while calculating 12D this shall be considered as negative.
If negative values are entered in this field,then while calculating 12D this shall be considered as positive</t>
  </si>
  <si>
    <t xml:space="preserve">ITC availed (after reversals) as per the audited Annual Financial Statement shall be declared here. There may be cases where multiple GSTINs (State-wise) registrations exist on the same PAN. This is common for persons / entities with presence over multiple States. Such persons / entities, will have to internally derive their ITC for each individual GSTIN and declare the same here. It may be noted that reference to audited Annual Financial Statement includes reference to books of accounts in case of persons / entities having presence over multiple States.
Positive or negative values are allowed in this field.
</t>
  </si>
  <si>
    <t>This shall be the difference between  table no. 9Q and 9P</t>
  </si>
  <si>
    <t>The amount payable as declared in Table 9 of the Annual Return (GSTR9) shall be declared here. It should also contain any differential tax paid on Table 10 or 11 of the Annual Return (GSTR9). Taxpayer can use the 'system generated summary based on GSTR 9' PDF to fill this field.</t>
  </si>
  <si>
    <t>The total amount to be paid as per liability declared in Table 9A to 9O is auto populated here. This field is non-editable. Value of new row 9K1 shall also be considered in the Total amount of 9P. 
Positive or negative values are allowed in 9K1(Others%)</t>
  </si>
  <si>
    <t>9A to 9O tax rates,others rate, interest, penalty, late fee and others</t>
  </si>
  <si>
    <t>Taxable turnover as declared in Table (4N – 4G) + (10-11) of the Annual Return (GSTR9) shall be declared here. 
Taxpayer can use the 'system generated summary based on GSTR 9' PDF to fill this field.</t>
  </si>
  <si>
    <t>Annual turnover as declared in the Annual Return (GSTR 9) shall be declared here. This turnover may be derived from Sr. No. 5N, 10 and 11 of Annual Return (GSTR 9). Taxpayer can use the 'system generated summary based on GSTR 9' PDF to fill this field.</t>
  </si>
  <si>
    <t>This field shall be auto calculated basd on the details filled up in table no. 5A to 5O and the same is non-editable</t>
  </si>
  <si>
    <t>There may be cases where registered persons might have opted out of the composition scheme during the current financial year. Their turnover as per the audited Annual Financial Statement would include turnover both as composition taxpayer as well as normal taxpayer. Therefore, the turnover for which GST was paid under the composition scheme shall be declared here. 
Positive or negative values are allowed in this field.
If positive values are entered in this field, then while calculating 5(P) this shall be considered as negative.
If negative values are entered in this field,then while calculating 5(P) this shall be considered as positive.</t>
  </si>
  <si>
    <t>Aggregate value of all goods supplied by SEZs to DTA units for which the DTA units have filed bill of entry shall be declared here. 
Positive or negative values are allowed in this field.
If positive values are entered in this field, then while calculating 5(P) this shall be considered as negative.
If negative values are entered in this field,then while calculating 5(P) this shall be considered as positive.</t>
  </si>
  <si>
    <t xml:space="preserve">Aggregate value of credit notes which have been accounted for in the audited Annual Financial Statement but were not admissible under Section 34 of the CGST Act shall be declared here.
Positive or negative values are allowed in this field.
</t>
  </si>
  <si>
    <t>Value of all advances for which GST has not been paid but the same has been recognized as revenue in the audited Annual Financial Statement shall be declared here.
Positive or negative values are allowed in this field.
If positive values are entered in this field, then while calculating 5(P) this shall be considered as negative.
If negative values are entered in this field,then while calculating 5(P) this shall be considered as positive.</t>
  </si>
  <si>
    <t>Unbilled revenue which was recorded in the books of accounts on the basis of accrual system of accounting during the current financial year but GST was not payable on such revenue in the same financial year shall be declared here.
Positive or negative values are allowed in this field.
If positive values are entered in this field, then while calculating 5(P) this shall be considered as negative.
If negative values are entered in this field,then while calculating 5(P) this shall be considered as positive..</t>
  </si>
  <si>
    <t xml:space="preserve">Trade discounts which are accounted for in the audited Annual Financial Statement but on which GST was leviable (being not permissible) shall be declared here.
Positive or negative values are allowed in this field. </t>
  </si>
  <si>
    <t>Aggregate value of credit notes which were issued after 31st of March for any supply accounted in the current financial year but such credit notes were reflected in the annual return (GSTR-9) shall be declared here.
Positive or negative values are allowed in this field.
If positive values are entered in this field, then while calculating 5(P) this shall be considered as negative.
If negative values are entered in this field,then while calculating 5(P) this shall be considered as positive.</t>
  </si>
  <si>
    <t xml:space="preserve">Aggregate value of deemed supplies under Schedule I of the CGST Act, 2017 shall be declared here. Any deemed supply which is already part of the turnover in the audited Annual Financial Statement is not required to be included here.
Positive or negative values are allowed in this field. </t>
  </si>
  <si>
    <t xml:space="preserve">Value of all advances for which GST has been paid but the same has not been recognized as revenue in the audited Annual Financial Statement shall be declared here.
Positive or negative values are allowed in this field. </t>
  </si>
  <si>
    <t xml:space="preserve">Unbilled revenue which was recorded in the books of accounts on the basis of accrual system of accounting in the last financial year and was carried forward to the current financial year shall be declared here. In other words, when GST is payable during the financial year on such revenue (which was recognized earlier), the value of such revenue shall be declared here.  (For example, if rupees Ten  Crores of unbilled revenue existed for the financial year 2019-20, and during the current financial year, GST was paid on rupees Four  Crores of such revenue, then value of rupees Four Crores rupees shall be declared here).
Positive or negative values are allowed in this field. </t>
  </si>
  <si>
    <t xml:space="preserve">The turnover as per the audited Annual Financial Statement shall be declared here. There may be cases where multiple GSTINs (State-wise) registrations exist on the same PAN. This is common for persons / entities with presence over multiple States/UTs. Such persons / entities, will have to internally derive their GSTIN wise turnover and declare the same here. This shall include export turnover (if any). It may be noted that reference to audited Annual Financial Statement includes reference to books of accounts in case of persons / entities having presence over multiple States.
Positive or negative values are allowed in this field. </t>
  </si>
  <si>
    <t>5A. Turnover (including exports) as per audited financial statements for the State / UT (For multi-GSTIN units under same PAN. The turnover shall be derived from the audited Annual Financial Statement)</t>
  </si>
  <si>
    <t xml:space="preserve">1. Taxpayer shall generate GSTR 9C JSON file for upload
2. Taxpayer login to GST Portal and select 'Returns Dashboard'
3. Select applicable Financial Year. Click on Prepare Offline 
4. Upload the JSON prepared using offline tool using upload option 
5. The uploaded JSON file would be validated and processed. 
6. In case of validation failure of one or more details in the uploaded JSON; an error file (returns_&lt;Date&gt;_R9C_&lt;GSTIN&gt;error Report. json) would be generated with status of uploaded JSON file as 'Processed with Error' .
7. Taxpayer shall open the error file in offline tool using 'Open GSTR-9C JSON Error file downloaded from GST Portal'. All  records along with errors shall be populated in respective worksheets with errors description in column ‘GST Portal Validation error(s)’ for the records which have error. Post correction of errors, generate the JSON file and upload the same on GST portal.
8. Post successful upload of data on GST portal , taxpayer to preview the form and file GSTR-9C
</t>
  </si>
  <si>
    <r>
      <t xml:space="preserve">3. The Offline tool has following features to help taxpayer in Return Preparation 
a. </t>
    </r>
    <r>
      <rPr>
        <b/>
        <sz val="10"/>
        <color theme="1"/>
        <rFont val="Arial"/>
        <family val="2"/>
      </rPr>
      <t>Open GSTR-9C JSON file downloaded from GST Portal</t>
    </r>
    <r>
      <rPr>
        <sz val="10"/>
        <color theme="1"/>
        <rFont val="Arial"/>
        <family val="2"/>
      </rPr>
      <t xml:space="preserve">: To open Form GSTR-9C details (uploaded earlier) file - downloaded from GST portal into the Offline Tool. Upon successful import of file,the details would be populated to respective tables of Excel workbook.
b. </t>
    </r>
    <r>
      <rPr>
        <b/>
        <sz val="10"/>
        <color theme="1"/>
        <rFont val="Arial"/>
        <family val="2"/>
      </rPr>
      <t>Open GSTR-9C JSON Error File Downloaded from GST Portal:</t>
    </r>
    <r>
      <rPr>
        <sz val="10"/>
        <color theme="1"/>
        <rFont val="Arial"/>
        <family val="2"/>
      </rPr>
      <t xml:space="preserve"> To open file downloaded from GST portal from the ‘Processed with error’ link. Upon successful import of the file details ‘processed with error’ records would be populated to respective tables of Excel workbook. The GST portal errors would be marked as red and can be shown in hover at red marked field.
c. </t>
    </r>
    <r>
      <rPr>
        <b/>
        <sz val="10"/>
        <color theme="1"/>
        <rFont val="Arial"/>
        <family val="2"/>
      </rPr>
      <t>Generate JSON File to Upload GSTR-9C details on GST Portal:</t>
    </r>
    <r>
      <rPr>
        <sz val="10"/>
        <color theme="1"/>
        <rFont val="Arial"/>
        <family val="2"/>
      </rPr>
      <t xml:space="preserve"> To generate JSON file for upload of Form GSTR-9C details prepared offline on GST portal. 
d. </t>
    </r>
    <r>
      <rPr>
        <b/>
        <sz val="10"/>
        <color theme="1"/>
        <rFont val="Arial"/>
        <family val="2"/>
      </rPr>
      <t>Generate Preview PDF file to view Draft GSTR-9C form:</t>
    </r>
    <r>
      <rPr>
        <sz val="10"/>
        <color theme="1"/>
        <rFont val="Arial"/>
        <family val="2"/>
      </rPr>
      <t xml:space="preserve"> To preview in PDF format, Form GSTR-9C details as prepared offline on GST portal. </t>
    </r>
    <r>
      <rPr>
        <b/>
        <sz val="10"/>
        <color theme="1"/>
        <rFont val="Arial"/>
        <family val="2"/>
      </rPr>
      <t xml:space="preserve">
</t>
    </r>
    <r>
      <rPr>
        <sz val="10"/>
        <color theme="1"/>
        <rFont val="Arial"/>
        <family val="2"/>
      </rPr>
      <t xml:space="preserve">e. </t>
    </r>
    <r>
      <rPr>
        <b/>
        <sz val="10"/>
        <color theme="1"/>
        <rFont val="Arial"/>
        <family val="2"/>
      </rPr>
      <t>Validate Sheet:</t>
    </r>
    <r>
      <rPr>
        <sz val="10"/>
        <color theme="1"/>
        <rFont val="Arial"/>
        <family val="2"/>
      </rPr>
      <t xml:space="preserve"> To Validate the data entered in respective worksheet of this offline Tool. Successful validation is notified to Taxpayer via pop-up while on failure of validation the cells that fail validation would be marked in Red.               
    </t>
    </r>
  </si>
  <si>
    <r>
      <t xml:space="preserve">2. Details for following tables of Form GSTR-9C statement can be added by taxpayer using the Offline tool. 
   </t>
    </r>
    <r>
      <rPr>
        <b/>
        <sz val="10"/>
        <color theme="1"/>
        <rFont val="Arial"/>
        <family val="2"/>
      </rPr>
      <t xml:space="preserve">Pt. II- Reconciliation of turnover declared in audited Annual Financial Statement with turnover declared in Annual Return (GSTR9).
</t>
    </r>
    <r>
      <rPr>
        <sz val="10"/>
        <color theme="1"/>
        <rFont val="Arial"/>
        <family val="2"/>
      </rPr>
      <t xml:space="preserve">   Pt. II(5)- Reconciliation of Gross Turnover.
   Pt. II(6)- Reasons for Un - Reconciled difference in Annual Gross Turnover.
   Pt. II(7)- Reconciliation of Taxable Turnover.
   Pt. II(8)- Reasons for Un - Reconciled difference in taxable turnover.
   </t>
    </r>
    <r>
      <rPr>
        <b/>
        <sz val="10"/>
        <color theme="1"/>
        <rFont val="Arial"/>
        <family val="2"/>
      </rPr>
      <t xml:space="preserve">Pt. III- Reconciliation of tax paid
   </t>
    </r>
    <r>
      <rPr>
        <sz val="10"/>
        <color theme="1"/>
        <rFont val="Arial"/>
        <family val="2"/>
      </rPr>
      <t xml:space="preserve">Pt. III(9)- Reconciliation of rate wise liability and amount payable thereon.
   Pt. III(10)- Reasons for un-reconciled payment of amount.
   Pt. III(11)- Additional amount payable but not paid (due to reasons specified under Tables 6,8 and 10 above).
   </t>
    </r>
    <r>
      <rPr>
        <b/>
        <sz val="10"/>
        <color theme="1"/>
        <rFont val="Arial"/>
        <family val="2"/>
      </rPr>
      <t xml:space="preserve">Pt. IV- Reconciliation of Input Tax Credit (ITC)
   </t>
    </r>
    <r>
      <rPr>
        <sz val="10"/>
        <color theme="1"/>
        <rFont val="Arial"/>
        <family val="2"/>
      </rPr>
      <t xml:space="preserve">Pt. IV(12)- Reconciliation of Net Input Tax Credit (ITC).
   Pt. IV(13)- Reasons for un-reconciled difference in ITC.
   Pt. IV(14)- Reconciliation of ITC declared in Annual Return (GSTR9) with ITC availed on expenses as per audited Annual Financial Statement or books of account.
   Pt. IV(15)- Reasons for un - reconciled difference in ITC
   Pt. IV(16)- Tax payable on un-reconciled difference in ITC (due to reasons specified in 13 and 15 above) 
   </t>
    </r>
    <r>
      <rPr>
        <b/>
        <sz val="10"/>
        <color theme="1"/>
        <rFont val="Arial"/>
        <family val="2"/>
      </rPr>
      <t xml:space="preserve">Pt. V- Additional Liability due to non-reconciliation.
   </t>
    </r>
  </si>
  <si>
    <t>1. The Excel based Form GSTR-9C Offline tool is designed to help taxpayer to prepare GSTR-9C statement offline.</t>
  </si>
  <si>
    <t xml:space="preserve">Any ITC which has been booked in the audited Annual Financial Statement of the current financial year but the same has not been credited to the ITC ledger for the said financial year shall be declared here.
Positive or negative values are allowed in this field.
If positive values are entered in this field, then while calculating 12D this shall be considered as negative.
If negative values are entered in this field,then while calculating 12D this shall be considered as positive
</t>
  </si>
  <si>
    <t>There may be cases where registered persons might have opted out of the composition scheme during the current financial year. Their turnover as per the audited Annual Financial Statement would include turnover both as composition taxpayer as well as normal taxpayer. Therefore, the turnover for which GST was paid under the composition scheme shall be declared here. 
Positive or negative values are allowed in this field.
If positive values are entered in this field, then while calculating 5(P) this shall be considered as negative.
If negative values are entered in this field,then while calculating 5(P) this shall be considered as positive</t>
  </si>
  <si>
    <t>Aggregate value of all goods supplied by SEZs to DTA units for which the DTA units have filed bill of entry shall be declared here. 
Positive or negative values are allowed in this field.
If positive values are entered in this field, then while calculating 5(P) this shall be considered as negative.
If negative values are entered in this field,then while calculating 5(P) this shall be considered as positive</t>
  </si>
  <si>
    <t xml:space="preserve">Aggregate value of credit notes which have been accounted for in the audited Annual Financial Statement but were not admissible under Section 34 of the CGST Act shall be declared here.
Positive or negative values are allowed in this field. </t>
  </si>
  <si>
    <t>Value of all advances for which GST has not been paid but the same has been recognized as revenue in the audited Annual Financial Statement shall be declared here.
Positive or negative values are allowed in this field.
If positive values are entered in this field, then while calculating 5(P) this shall be considered as negative.
If negative values are entered in this field,then while calculating 5(P) this shall be considered as positive</t>
  </si>
  <si>
    <t>Unbilled revenue which was recorded in the books of accounts on the basis of accrual system of accounting during the current financial year but GST was not payable on such revenue in the same financial year shall be declared here.
Positive or negative values are allowed in this field.
If positive values are entered in this field, then while calculating 5(P) this shall be considered as negative.
If negative values are entered in this field,then while calculating 5(P) this shall be considered as positive</t>
  </si>
  <si>
    <t xml:space="preserve">Unbilled revenue which was recorded in the books of accounts on the basis of accrual system of accounting in the last financial year and was carried forward to the current financial year shall be declared here. In other words, when GST is payable during the financial year on such revenue (which was recognized earlier), the value of such revenue shall be declared here.  (For example, if rupees Ten  Crores of unbilled revenue existed for the financial year 2016-17, and during the current financial year, GST was paid on rupees Four  Crores of such revenue, then value of rupees Four Crores rupees shall be declared here).
Positive or negative values are allowed in this field. </t>
  </si>
  <si>
    <t xml:space="preserve">The turnover as per the audited Annual Financial Statement shall be declared here. There may be cases where multiple GSTINs (State-wise) registrations exist on the same PAN. This is common for persons / entities with presence over multiple States. Such persons / entities, will have to internally derive their GSTIN wise turnover and declare the same here. This shall include export turnover (if any). It may be noted that reference to audited Annual Financial Statement includes reference to books of accounts in case of persons / entities having presence over multiple States.
Positive or negative values are allowed in this field. </t>
  </si>
  <si>
    <t>For Financial Year 2017-18, 2018-19, 2019-20</t>
  </si>
  <si>
    <t>Pt. I</t>
  </si>
  <si>
    <t>Pt.
II</t>
  </si>
  <si>
    <t>Pt.
III</t>
  </si>
  <si>
    <t>Pt. 
IV</t>
  </si>
  <si>
    <t>Pt. V</t>
  </si>
  <si>
    <t>Financial Year</t>
  </si>
  <si>
    <t>Trade Name (if any)</t>
  </si>
  <si>
    <t>Steps to upload GSTR-9C Statement in GST Portal</t>
  </si>
  <si>
    <t>4. The high level process flow for GSTR-9C statement preparation is as follows
     a. Download PDF from GST Portal by clicking  on “DOWNLOAD GSTR-9C TABLES DERIVED FROM GSTR-9 (PDF)”button to fill the GSTR-9 related figure in GSTR-9C offline tool. 
     b.  Fill the details in  various tables of offline tool and validate the filled details using 'validate' button at the top of every sheet.  
     c. Generate Json using 'Generate JSON File to Upload' option
     d. Upload the generated JSON on GST Portal. Preview the details uploaded and File return on the GST portal
     e. Open saved version (Yes/No):- If you select 'No' option then previously saved data not visible and if you select 'Yes' then saved data will be available in the respective worksheets</t>
  </si>
  <si>
    <r>
      <t xml:space="preserve">1. Please ensure you download the latest version of  GSTR-9C Offline Tool from the GST portal. https://www.gst.gov.in/download/returns
2. Launch the GSTR-9C Excel based Offline Tool and navigate to worksheet named 'Home' 
3. If you want to open the Offline tool with the previous values you entered, Click "Yes" when the dialogue box prompts "Open Saved Version?". Else clicking "No" will clear all values in all the sheets.
4. Enter your/taxpayer's GSTIN in home sheet. Entered GSTIN would be validated only for correct structure 
5. Select the applicable Financial Year from the drop-down. It is a mandatory field
6. Enter details as applicable in various worksheets. It is not Mandatory to fill data in all worksheet. The worksheet for which no details need to be declared can be left blank.You may use GSTR 9C Tables derived from GSTR 9 (PDF) , to fill the GSTR-9 related figures in worksheets.The PDF can be downloaded from GST portal (Services&gt; Annual Return&gt; Initiate Filing)
7. Click Validate Sheet to check the status of validation. In case of validation failure; please check for cells that have failed validation and correct errors as per help text
8.Click on 'Generate JSON File to Upload ' to generate JSON file and sign using DSC (Digital Signature Certificate) 
</t>
    </r>
    <r>
      <rPr>
        <b/>
        <sz val="12"/>
        <rFont val="Arial"/>
        <family val="2"/>
      </rPr>
      <t>NOTE:</t>
    </r>
    <r>
      <rPr>
        <sz val="12"/>
        <rFont val="Arial"/>
        <family val="2"/>
      </rPr>
      <t xml:space="preserve"> Please ensure HTML file name '</t>
    </r>
    <r>
      <rPr>
        <b/>
        <sz val="12"/>
        <rFont val="Arial"/>
        <family val="2"/>
      </rPr>
      <t>wsweb</t>
    </r>
    <r>
      <rPr>
        <sz val="12"/>
        <rFont val="Arial"/>
        <family val="2"/>
      </rPr>
      <t>' and '</t>
    </r>
    <r>
      <rPr>
        <b/>
        <sz val="12"/>
        <rFont val="Arial"/>
        <family val="2"/>
      </rPr>
      <t>GSTR_9C_Offline_Utility</t>
    </r>
    <r>
      <rPr>
        <sz val="12"/>
        <rFont val="Arial"/>
        <family val="2"/>
      </rPr>
      <t>' should be in Same folder to generate the JSON.</t>
    </r>
  </si>
  <si>
    <t>4. The high level process flow for GSTR-9C statement preparation for FY 2020-21 is as follows 
     a. Download PDF from GST Portal by clicking  on “DOWNLOAD GSTR-9C TABLES DERIVED FROM GSTR-9 (PDF)”button to fill the GSTR-9 related figure in GSTR-9C offline tool. 
     b.  Fill the details in  various tables of offline tool and validate the filled details using 'validate' button at the top of every sheet.
     c. Generate Json using 'Generate JSON File to Upload' option
     d. Upload the generated unsigned JSON on GST Portal. Preview the details uploaded and File return on the GST portal
     e. Open saved version (Yes/No):- If you select 'No' option, then previously saved data will not be visible and if you select 'Yes' then saved data will be available in the respective worksheets</t>
  </si>
  <si>
    <t xml:space="preserve">1. Please ensure you download the latest version of  GSTR-9C Offline Tool from the GST portal. https://www.gst.gov.in/download/returns.
2. Launch the GSTR-9C Excel based Offline Tool and navigate to worksheet named 'Home'. 
3. If you want to open the Offline tool with the previous values you entered, Click "Yes" when the dialogue box prompts "Open Saved Version?". Else clicking "No" will clear all values in all the sheets.
4. Enter your/taxpaye's GSTIN in 'Home' sheet. Entered GSTIN would be validated only for correct structure. 
5. Select the applicable Financial Year from the drop-down. It is a mandatory field.
6. Enter details as applicable in various worksheets. It is not Mandatory to fill data in all worksheet. The worksheet in which no details need to be declared can be left blank.You may use GSTR 9C Tables derived from GSTR 9 (PDF) , to fill the GSTR-9 related figures in worksheets.The PDF can be downloaded from GST portal (Services&gt; Annual Return&gt; Initiate Filing)
7. Click Validate Sheet to check the status of validation. In case of validation failure; please check for cells that have failed validation and correct errors as per help text
8.Click on 'Generate JSON File to Upload' to generate JSON file.
</t>
  </si>
  <si>
    <t xml:space="preserve">Any ITC which was booked in the audited Annual Financial Statement of earlier financial year(s) but availed in the ITC ledger in the financial year for which the reconciliation statement is being filed for shall be declared here. This shall include transitional credit which was booked in earlier years but availed during Financial Year 2020-21..
Positive or negative values are allowed in this field.
</t>
  </si>
  <si>
    <t xml:space="preserve">Any ITC which was booked in the audited Annual Financial Statement of earlier financial year(s) but availed in the ITC ledger in the financial year for which the reconciliation statement is being filed for shall be declared here. This shall include transitional credit which was booked in earlier years but availed during Financial Year 2017-18..
Positive or negative values are allowed in this field.
</t>
  </si>
  <si>
    <t>For Financial Year 2020-21 and onwards</t>
  </si>
  <si>
    <t>2021-22</t>
  </si>
  <si>
    <t>6%</t>
  </si>
  <si>
    <t>6</t>
  </si>
  <si>
    <t>B1</t>
  </si>
  <si>
    <t>K1</t>
  </si>
  <si>
    <t>A1</t>
  </si>
  <si>
    <t>G1</t>
  </si>
  <si>
    <t>2022-23</t>
  </si>
  <si>
    <r>
      <t>Total amount of eligible ITC availed (A to Qn)</t>
    </r>
    <r>
      <rPr>
        <sz val="10"/>
        <color rgb="FFFF0000"/>
        <rFont val="Times New Roman"/>
        <family val="1"/>
      </rPr>
      <t>*</t>
    </r>
  </si>
  <si>
    <r>
      <t xml:space="preserve">     </t>
    </r>
    <r>
      <rPr>
        <sz val="10"/>
        <color indexed="8"/>
        <rFont val="Arial"/>
        <family val="2"/>
      </rPr>
      <t xml:space="preserve"> </t>
    </r>
    <r>
      <rPr>
        <b/>
        <i/>
        <u/>
        <sz val="10"/>
        <color indexed="8"/>
        <rFont val="Arial"/>
        <family val="2"/>
      </rPr>
      <t>Please Note :</t>
    </r>
    <r>
      <rPr>
        <i/>
        <sz val="10"/>
        <color indexed="8"/>
        <rFont val="Arial"/>
        <family val="2"/>
      </rPr>
      <t xml:space="preserve">  Qn = Qn represents the last row of other expenses.</t>
    </r>
  </si>
  <si>
    <t>Any other expense 6</t>
  </si>
  <si>
    <t>Any other expense 7</t>
  </si>
  <si>
    <t>Any other expense 8</t>
  </si>
  <si>
    <t>Any other expense 9</t>
  </si>
  <si>
    <t>Any other expense 10</t>
  </si>
  <si>
    <t>ANEXP6</t>
  </si>
  <si>
    <t>ANEXP7</t>
  </si>
  <si>
    <t>ANEXP8</t>
  </si>
  <si>
    <t>ANEXP9</t>
  </si>
  <si>
    <t>ANEXP10</t>
  </si>
  <si>
    <t>14A to 14Qn</t>
  </si>
  <si>
    <t>Total ITC declared in Table 14A to 14Qn above shall be auto populated here and non-editable</t>
  </si>
  <si>
    <t>This table is for reconciliation of ITC declared in the Annual Return (GSTR9) against the expenses booked in the audited Annual Financial Statement or books of account. The various sub-heads specified under this table are general expenses in the audited Annual Financial Statement or books of account on which ITC may or may not be available. Further, this is only an indicative list of heads under which expenses are generally booked. Taxpayers may add or delete any of these heads but all heads of expenses on which GST has been paid / was payable are to be declared here.
Any other expenses which are not specifically covered under table no 14A to 14Qn then you can click on 'Add' button to add new rows to provide the expense details, Maximum 8 new rows can be added in any other expenses details.</t>
  </si>
  <si>
    <t>2023-24</t>
  </si>
  <si>
    <t>2024-25</t>
  </si>
  <si>
    <t>Supplies on which e-commerce operator is required to pay tax as per section 9(5) (including amendments, if any) [E-commerce operator to report]</t>
  </si>
  <si>
    <t>oth_ecom</t>
  </si>
  <si>
    <t xml:space="preserve"> </t>
  </si>
  <si>
    <t>{"gstr9cdata":{"audited_data":{"gstin":"19DBTAX0005B1ZH","fp":"032019","act_name":"","isauditor":"Y","table5":{_x000D_
   "turnovr": 0,_x000D_
   "unbil_rev_beg": 511,_x000D_
   "unadj_adv_end": 5222,_x000D_
   "dmd_sup": 5333,_x000D_
   "crd_nts_issued": 54444,_x000D_
   "trd_dis": 55555,_x000D_
   "turnovr_apr_jun": 0,_x000D_
   "unbil_rev_end": 5666,_x000D_
   "unadj_adv_beg": 57777,_x000D_
   "crd_note_acc": 58888,_x000D_
   "adj_dta": 599999,_x000D_
   "turnovr_comp": 510000,_x000D_
   "adj_turn_sec": 5110000,_x000D_
   "adj_turn_fef": 512000,_x000D_
   "adj_turn_othrsn": 51300000,_x000D_
   "annul_turn_adj": 55819623,_x000D_
   "annul_turn_decl": 2500,_x000D_
   "unrec_turnovr": -55817123_x000D_
}_x000D_
,"table6":{"rsn":[_x000D_
   {_x000D_
      "number": "RSN1",_x000D_
      "desc": "NA"_x000D_
   }_x000D_
]_x000D_
},"table7":{_x000D_
   "annul_turn_adj": 0,_x000D_
   "othr_turnovr": 71,_x000D_
   "zero_sup": 72,_x000D_
   "rev_sup": 0,_x000D_
   "tax_turn_adj": -143,_x000D_
   "tax_turn_annul": 2500,_x000D_
   "unrec_tax_turn": 2643_x000D_
}_x000D_
,"table8":{"rsn":[_x000D_
   {_x000D_
      "number": "RSN1",_x000D_
      "desc": "NA"_x000D_
   }_x000D_
]_x000D_
},"table9":{"rate":[_x000D_
   {_x000D_
      "tax_val": 971,_x000D_
      "cgst": 972,_x000D_
      "sgst": 973,_x000D_
      "igst": 974,_x000D_
      "cess": 975,_x000D_
      "desc": "5"_x000D_
   },_x000D_
   {_x000D_
      "tax_val": 981,_x000D_
      "cgst": 982,_x000D_
      "sgst": 983,_x000D_
      "igst": 984,_x000D_
      "cess": 985,_x000D_
      "desc": "5RC"_x000D_
   },_x000D_
   {_x000D_
      "tax_val": 991,_x000D_
      "cgst": 992,_x000D_
      "sgst": 993,_x000D_
      "igst": 994,_x000D_
      "desc": "6"_x000D_
   },_x000D_
   {_x000D_
      "tax_val": 546,_x000D_
      "cgst": 546,_x000D_
      "igst": 466,_x000D_
      "cess": 5464,_x000D_
      "desc": "12"_x000D_
   },_x000D_
   {_x000D_
      "tax_val": 4,_x000D_
      "cgst": 3,_x000D_
      "sgst": 4564,_x000D_
      "igst": 456546,_x000D_
      "cess": 45654,_x000D_
      "desc": "12RC"_x000D_
   },_x000D_
   {_x000D_
      "tax_val": 4564,_x000D_
      "cgst": 657,_x000D_
      "sgst": 787,_x000D_
      "igst": 6,_x000D_
      "cess": 56,_x000D_
      "desc": "18"_x000D_
   },_x000D_
   {_x000D_
      "tax_val": 45,_x000D_
      "cgst": 345,_x000D_
      "sgst": 435,_x000D_
      "igst": 56,_x000D_
      "cess": 35,_x000D_
      "desc": "18RC"_x000D_
   },_x000D_
   {_x000D_
      "tax_val": 546,_x000D_
      "cgst": 345,_x000D_
      "sgst": 546,_x000D_
      "igst": 54,_x000D_
      "cess": 34534,_x000D_
      "desc": "28"_x000D_
   },_x000D_
   {_x000D_
      "tax_val": 54,_x000D_
      "cgst": 435,_x000D_
      "sgst": 6575,_x000D_
      "igst": 45,_x000D_
      "cess": 545,_x000D_
      "desc": "28RC"_x000D_
   },_x000D_
   {_x000D_
      "tax_val": 56,_x000D_
      "cgst": 44,_x000D_
      "sgst": 4654,_x000D_
      "igst": 45,_x000D_
      "cess": 654,_x000D_
      "desc": "3"_x000D_
   },_x000D_
   {_x000D_
      "tax_val": 546,_x000D_
      "cgst": 654,_x000D_
      "sgst": 456,_x000D_
      "igst": 54656,_x000D_
      "cess": 456,_x000D_
      "desc": "0.25"_x000D_
   },_x000D_
   {_x000D_
      "tax_val": 456,_x000D_
      "cgst": 4564,_x000D_
      "sgst": 334,_x000D_
      "igst": 453,_x000D_
      "cess": 3453,_x000D_
      "desc": "0.10"_x000D_
   }_x000D_
]_x000D_
,"tot_amt_payable":{_x000D_
   "cgst": 10539,_x000D_
   "sgst": 21300,_x000D_
   "igst": 515279,_x000D_
   "cess": 92811_x000D_
}_x000D_
,"tot_amt_paid":{_x000D_
   "cgst": 0,_x000D_
   "sgst": 0,_x000D_
   "igst": 25,_x000D_
   "cess": 0_x000D_
}_x000D_
,"unrec_amt":{_x000D_
   "cgst": -10539,_x000D_
   "sgst": -21300,_x000D_
   "igst": -515254,_x000D_
   "cess": -92811_x000D_
}_x000D_
},"table10":{"rsn":[_x000D_
   {_x000D_
      "number": "RSN1",_x000D_
      "desc": "NA"_x000D_
   }_x000D_
]_x000D_
},"table11":{"rate":[_x000D_
   {_x000D_
      "tax_val": 0,_x000D_
      "cgst": 0,_x000D_
      "sgst": 0,_x000D_
      "igst": 0,_x000D_
      "cess": 0,_x000D_
      "desc": "5"_x000D_
   },_x000D_
   {_x000D_
      "tax_val": 0,_x000D_
      "cgst": 0,_x000D_
      "sgst": 0,_x000D_
      "igst": 0,_x000D_
      "cess": 0,_x000D_
      "desc": "6"_x000D_
   },_x000D_
   {_x000D_
      "tax_val": 0,_x000D_
      "cgst": 0,_x000D_
      "sgst": 0,_x000D_
      "igst": 0,_x000D_
      "cess": 0,_x000D_
      "desc": "12"_x000D_
   },_x000D_
   {_x000D_
      "tax_val": 0,_x000D_
      "cgst": 0,_x000D_
      "sgst": 0,_x000D_
      "igst": 0,_x000D_
      "cess": 0,_x000D_
      "desc": "18"_x000D_
   },_x000D_
   {_x000D_
      "tax_val": 0,_x000D_
      "cgst": 0,_x000D_
      "sgst": 0,_x000D_
      "igst": 0,_x000D_
      "cess": 0,_x000D_
      "desc": "28"_x000D_
   },_x000D_
   {_x000D_
      "tax_val": 0,_x000D_
      "cgst": 0,_x000D_
      "sgst": 0,_x000D_
      "igst": 0,_x000D_
      "cess": 0,_x000D_
      "desc": "3"_x000D_
   },_x000D_
   {_x000D_
      "tax_val": 0,_x000D_
      "cgst": 0,_x000D_
      "sgst": 0,_x000D_
      "igst": 0,_x000D_
      "cess": 0,_x000D_
      "desc": "0.25"_x000D_
   },_x000D_
   {_x000D_
      "tax_val": 0,_x000D_
      "cgst": 0,_x000D_
      "sgst": 0,_x000D_
      "igst": 0,_x000D_
      "cess": 0,_x000D_
      "desc": "0.1"_x000D_
   }_x000D_
]_x000D_
,"inter":{_x000D_
   "cgst": 0,_x000D_
   "sgst": 0,_x000D_
   "igst": 0,_x000D_
   "cess": 0_x000D_
}_x000D_
,"late_fee":{_x000D_
   "cgst": 0,_x000D_
   "sgst": 0,_x000D_
   "igst": 0,_x000D_
   "cess": 0_x000D_
}_x000D_
,"pen":{_x000D_
   "cgst": 0,_x000D_
   "sgst": 0,_x000D_
   "igst": 0,_x000D_
   "cess": 0_x000D_
}_x000D_
},"table12":{_x000D_
   "itc_avail": 0,_x000D_
   "itc_book_earl": 0,_x000D_
   "itc_book_curr": 0,_x000D_
   "itc_avail_audited": 0,_x000D_
   "itc_claim": 0,_x000D_
   "unrec_itc": 0_x000D_
}_x000D_
,"table14":{"tot_elig_itc":{_x000D_
   "itc_avail": 0_x000D_
}_x000D_
,"itc_claim":{_x000D_
   "itc_avail": 0_x000D_
}_x000D_
,"unrec_itc":{_x000D_
   "itc_avail": 0_x000D_
}_x000D_
},"table16":{_x000D_
   "cgst": 0,_x000D_
   "sgst": 0,_x000D_
   "igst": 0,_x000D_
   "cess": 0,_x000D_
   "inter": 0,_x000D_
   "pen": 0_x000D_
}_x000D_
,"add_liab":{"place":"ABC","signatory":"ERFEF","mem_no":"123456","date":"03/03/2022","pan_no":"ASDFG4545T","audit_addr":{_x000D_
   "bno": "3",_x000D_
   "building": "",_x000D_
   "city": "ABC",_x000D_
   "state": "Goa",_x000D_
   "fno": "",_x000D_
   "road": "ABC",_x000D_
   "district": "WWW",_x000D_
   "pin_code": 123456_x000D_
}_x000D_
}},"certificate":{"cert_data":{"pronoun":"I","bal_sheet_date":"03/03/2023","acc_typ":"profit and loss account","beg_date":"02/03/2022","end_date":"03/03/2022","cash_from_date":"DD/MM/YYYY","cash_to_date":"DD/MM/YYYY","taxpayer_name":"ABC","addr":{_x000D_
   "bno": "4",_x000D_
   "building": "",_x000D_
   "city": "ABC",_x000D_
   "state": "Arunachal Pradesh",_x000D_
   "fno": "",_x000D_
   "road": "AANN",_x000D_
   "district": "FVFR",_x000D_
   "pin_code": 123456_x000D_
}_x000D_
,"doc_stat":"has maintained the books of accounts, records and documents","cert_textpartb1":{"principal_addr":{_x000D_
   "bno": "4",_x000D_
   "building": "",_x000D_
   "city": "RFER",_x000D_
   "state": "Gujarat",_x000D_
   "fno": "",_x000D_
   "road": "RGR",_x000D_
   "district": "TGR",_x000D_
   "pin_code": 123456_x000D_
}_x000D_
,"add_addr":{_x000D_
   "bno": "",_x000D_
   "building": "",_x000D_
   "city": "",_x000D_
   "fno": "",_x000D_
   "road": "",_x000D_
   "district": ""_x000D_
}_x000D_
,"ishave":"have been","isagree":"in agreement","info_stat":"were not provided","gstin":"19DBTAX0005B1ZH","qualifications":[_x000D_
   {_x000D_
      "qual_type": "2",_x000D_
      "value": "EFRG"_x000D_
   }_x000D_
]_x000D_
},"place":"FF","signatory":"ERFR","mem_no":"123455","date":"09/03/2022","audit_addr":{_x000D_
   "bno": "22",_x000D_
   "building": "",_x000D_
   "city": "ERFRE",_x000D_
   "state": "Gujarat",_x000D_
   "fno": "",_x000D_
   "road": "FRREF",_x000D_
   "district": "RE3F",_x000D_
   "pin_code": 123456_x000D_
}_x000D_
},"cert_text":{"cert_text_partb1":{"section1":{_x000D_
   "line0": "1. I have examined the-",_x000D_
   "line1": "(a) balance sheet as on 03/03/2023",_x000D_
   "line2": "(b) the profit and loss account for the period beginning from 02/03/2022 to ending on 03/03/2022 and",_x000D_
   "line3": "(c) the cash flow statement for the period beginning from DD/MM/YYYY to ending on DD/MM/YYYY, attached herewith, of M/s ABC (Name), 4, , , AANN, ABC, FVFR, Arunachal Pradesh, 123456 (Address), 19DBTAX0005B1ZH (GSTIN)."_x000D_
}_x000D_
,"section2":{_x000D_
   "line0": "2. Based on my audit I report that the said registered person-",_x000D_
   "line1": "has maintained the books of accounts, records and documents as required by the IGST/CGST/State/UTGST Act, 2017 and the rules/notifications made/issued thereunder:"_x000D_
}_x000D_
,"section3":{"sec_3a":{_x000D_
   "line0": "3.(a) I report the following observations/ comments / discrepancies /inconsistencies; if any:"_x000D_
}_x000D_
,"sec_3b":{_x000D_
   "line0": "3.(b) I further report that, -",_x000D_
   "line1": "(A) I were not provided the information and explanations which, to the best of my knowledge and belief, were necessary for the purpose of the audit.",_x000D_
   "line2": "(B) In my opinion, proper books of account have been kept by the registered person so far as appears from my examination of the books.",_x000D_
   "line3": "(C) I certify that the balance sheet, the profit and loss account and the cash flow Statement are in agreement with the books of account maintained at the Principal place of business at 4, , , RGR, RFER, TGR, Gujarat, 123456 and , , , , , , ,  additional place of business within the State."_x000D_
}_x000D_
},"section4":{_x000D_
   "line0": "4. The documents required to be furnished under section 35 (5) of the CGST Act/SGST Act and Reconciliation Statement required to be furnished under section 44(2) of the CGST Act/SGST Act is annexed herewith in Form No. GSTR-9C"_x000D_
}_x000D_
,"section5":{_x000D_
   "line0": "5. In my opinion and to the best of my information and according to explanations given to me, the particulars given in the said Form No.GSTR-9C are true and fair subject to following observations/qualifications, if any:"_x000D_
}_x000D_
,"qualifications":[_x000D_
   {_x000D_
      "qual_type": "2",_x000D_
      "value": "EFRG"_x000D_
   }_x000D_
]_x000D_
,"signature":{_x000D_
   "line0": "(Signature and stamp/Seal of the Auditor)",_x000D_
   "place": "FF",_x000D_
   "nameOfTheSignatory": "ERFR",_x000D_
   "membershipNo": "123455",_x000D_
   "date": "09/03/2022",_x000D_
   "fullAddress": "22, , , FRREF, ERFRE, RE3F, Gujarat, 123456"_x000D_
}_x000D_
}}}}}</t>
  </si>
  <si>
    <t xml:space="preserve">Late fee will be payable as per section 47(2). </t>
  </si>
  <si>
    <t>Late fee Payable and Paid</t>
  </si>
  <si>
    <t>PT V(17)</t>
  </si>
  <si>
    <t>9Q. Total amount payable as declared in Annual Return (GSTR 9)</t>
  </si>
  <si>
    <t>Taxable turnover as declared in Table (4N – 4G - 4G1 + (10-11) of the Annual Return (GSTR9) shall be declared here. 
Taxpayer can use the 'system generated summary based on GSTR 9' PDF to fill this field.</t>
  </si>
  <si>
    <t>The taxable turnover is derived as the difference between the annual turnover after adjustments declared in Table 7A above and the sum of all supplies (exempted, nonGST, reverse charge, supplies made through 9(5) etc.) declared in Table 7B, 7C, 7D and 7D1 above. This field shall be auto calculated and non-editable</t>
  </si>
  <si>
    <t>7E. Taxable turnover as per adjustments above (A-B-C-D-D1)</t>
  </si>
  <si>
    <t>For Financial Year 2024-25 and onwards</t>
  </si>
  <si>
    <t>D1</t>
  </si>
  <si>
    <t>K-2</t>
  </si>
  <si>
    <t>G2</t>
  </si>
  <si>
    <t>Total amount payable as declared in
Annual Return (GSTR 9)</t>
  </si>
  <si>
    <t>Total amount to be paid as per
tables above</t>
  </si>
  <si>
    <t>Taxable turnover as per adjustments above (A-B-C-D-D1)</t>
  </si>
  <si>
    <t>Supplies on which tax is to be paid by the recipient on reverse
charge basis</t>
  </si>
  <si>
    <t xml:space="preserve">Supplies on which tax is to be paid by ecommerce operators as per section 9(5) [Supplier to report]
</t>
  </si>
  <si>
    <r>
      <t>Total amount to be paid as per tables above (A to O)</t>
    </r>
    <r>
      <rPr>
        <sz val="10"/>
        <color rgb="FFFF0000"/>
        <rFont val="Times New Roman"/>
        <family val="1"/>
      </rPr>
      <t>*</t>
    </r>
  </si>
  <si>
    <r>
      <t xml:space="preserve">Pt. V.  Additional Liability due to non-reconciliation
</t>
    </r>
    <r>
      <rPr>
        <b/>
        <i/>
        <sz val="11"/>
        <color rgb="FF000000"/>
        <rFont val="Arial"/>
        <family val="2"/>
      </rPr>
      <t xml:space="preserve">Please Note : </t>
    </r>
    <r>
      <rPr>
        <i/>
        <sz val="11"/>
        <color rgb="FF000000"/>
        <rFont val="Arial"/>
        <family val="2"/>
      </rPr>
      <t xml:space="preserve">Fields marked with </t>
    </r>
    <r>
      <rPr>
        <i/>
        <sz val="11"/>
        <color rgb="FFFF0000"/>
        <rFont val="Arial"/>
        <family val="2"/>
      </rPr>
      <t>*</t>
    </r>
    <r>
      <rPr>
        <i/>
        <sz val="11"/>
        <color rgb="FF000000"/>
        <rFont val="Arial"/>
        <family val="2"/>
      </rPr>
      <t xml:space="preserve"> (red asterisk) are mandatory fields and need to be filled up</t>
    </r>
  </si>
  <si>
    <t>Paid through Cash/ITC (₹)</t>
  </si>
  <si>
    <t>Supplies on which tax is to be paid by ecommerce operators as per section 9(5) [Supplier to report]</t>
  </si>
  <si>
    <t>7D1. Supplies on which tax is to be paid by ecommerce operators as per section 9(5) [Supplier to report]</t>
  </si>
  <si>
    <t>Taxable turnover as per liability declared in Annual Return (GSTR9)</t>
  </si>
  <si>
    <t>ITC availed as per audited financial statements or books of account</t>
  </si>
  <si>
    <t>State/UT Tax</t>
  </si>
  <si>
    <t>Any other amount paid for supplies not included in Annual Return
(GSTR 9)</t>
  </si>
  <si>
    <t>Total amount of eligible ITC availed (A to Qn)</t>
  </si>
  <si>
    <t>Un-reconciled ITC (S-R)</t>
  </si>
  <si>
    <t>4. The high level process flow for GSTR-9C statement preparation for FY 2024-25 is as follows 
     a. Download PDF from GST Portal by clicking  on “DOWNLOAD GSTR-9C TABLES DERIVED FROM GSTR-9 (PDF)”button to fill the GSTR-9 related figure in GSTR-9C offline tool. 
     b.  Fill the details in  various tables of offline tool and validate the filled details using 'validate' button at the top of every sheet.
     c. Generate Json using 'Generate JSON File to Upload' option
     d. Upload the generated unsigned JSON on GST Portal. Preview the details uploaded and File return on the GST portal
     e. Open saved version (Yes/No):- If you select 'No' option, then previously saved data will not be visible and if you select 'Yes' then saved data will be available in the respective worksheets</t>
  </si>
  <si>
    <t>H1</t>
  </si>
  <si>
    <t>H2</t>
  </si>
  <si>
    <t>40%</t>
  </si>
  <si>
    <t>40%(RC)</t>
  </si>
  <si>
    <t>40RC</t>
  </si>
  <si>
    <t>40</t>
  </si>
  <si>
    <r>
      <t>Taxable turnover as per adjustments above (A-B-C-D-D1)</t>
    </r>
    <r>
      <rPr>
        <sz val="10"/>
        <color rgb="FFFF0000"/>
        <rFont val="Times New Roman"/>
        <family val="1"/>
      </rPr>
      <t>*</t>
    </r>
  </si>
  <si>
    <r>
      <t>Total amount payable as declared in Annual Return (GSTR 9)</t>
    </r>
    <r>
      <rPr>
        <sz val="10"/>
        <color rgb="FFFF0000"/>
        <rFont val="Times New Roman"/>
        <family val="1"/>
      </rPr>
      <t>*</t>
    </r>
  </si>
  <si>
    <t>40% (RC)</t>
  </si>
  <si>
    <t xml:space="preserve"> Goods and Services Tax - GST GSTR-9C Offline Tool (v2.8)</t>
  </si>
  <si>
    <t xml:space="preserve"> Goods and Services Tax - Form GSTR-9C Offline Tool (v2.8)</t>
  </si>
  <si>
    <t/>
  </si>
  <si>
    <t>19WTTAX0005B1ZX</t>
  </si>
  <si>
    <t>24AGQPB5205J1ZK</t>
  </si>
  <si>
    <t>MANOHARLAL LAXMILAL BOHRA</t>
  </si>
  <si>
    <t>ADINATH SILK MILLS</t>
  </si>
  <si>
    <t>INCOME TAX ACT,1961</t>
  </si>
  <si>
    <t>REASON FOR UN-RECONCILED DIFFERENCE IN ANNUAL GROSS TURNOVER OF INR 108000.32 IS DUE THAT RENT INCOME OF INR 108000/- SHOWN SEPARATELY IN CAPITAL ACCOUNT AND INR 0.32 IS ROUNDING OFF.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</si>
</sst>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 #,##0.00"/>
  </numFmts>
  <fonts count="77" x14ac:knownFonts="1">
    <font>
      <sz val="11"/>
      <color theme="1"/>
      <name val="Calibri"/>
      <family val="2"/>
      <scheme val="minor"/>
    </font>
    <font>
      <b/>
      <sz val="11"/>
      <color theme="0"/>
      <name val="Calibri"/>
      <family val="2"/>
      <scheme val="minor"/>
    </font>
    <font>
      <sz val="10"/>
      <color rgb="FF000000"/>
      <name val="Times New Roman"/>
      <family val="1"/>
    </font>
    <font>
      <sz val="10"/>
      <color rgb="FFFF0000"/>
      <name val="Times New Roman"/>
      <family val="1"/>
    </font>
    <font>
      <sz val="10"/>
      <color theme="1"/>
      <name val="Times New Roman"/>
      <family val="1"/>
    </font>
    <font>
      <b/>
      <sz val="10"/>
      <color rgb="FF000000"/>
      <name val="Times New Roman"/>
      <family val="1"/>
    </font>
    <font>
      <sz val="10"/>
      <color rgb="FF000000"/>
      <name val="Calibri"/>
      <family val="2"/>
      <scheme val="minor"/>
    </font>
    <font>
      <b/>
      <sz val="10"/>
      <color theme="1"/>
      <name val="Times New Roman"/>
      <family val="1"/>
    </font>
    <font>
      <b/>
      <sz val="10"/>
      <color theme="0"/>
      <name val="Times New Roman"/>
      <family val="1"/>
    </font>
    <font>
      <b/>
      <sz val="10"/>
      <color rgb="FFFFFFFF"/>
      <name val="Times New Roman"/>
      <family val="1"/>
    </font>
    <font>
      <b/>
      <sz val="8"/>
      <color theme="1"/>
      <name val="Calibri"/>
      <family val="2"/>
      <scheme val="minor"/>
    </font>
    <font>
      <sz val="22"/>
      <color theme="0"/>
      <name val="Arial"/>
      <family val="2"/>
    </font>
    <font>
      <b/>
      <sz val="11"/>
      <color rgb="FFFF0000"/>
      <name val="Calibri"/>
      <family val="2"/>
      <scheme val="minor"/>
    </font>
    <font>
      <sz val="10"/>
      <color theme="1"/>
      <name val="Arial"/>
      <family val="2"/>
    </font>
    <font>
      <sz val="10"/>
      <color indexed="8"/>
      <name val="Arial"/>
      <family val="2"/>
    </font>
    <font>
      <b/>
      <i/>
      <u/>
      <sz val="10"/>
      <color indexed="8"/>
      <name val="Arial"/>
      <family val="2"/>
    </font>
    <font>
      <i/>
      <sz val="10"/>
      <color indexed="8"/>
      <name val="Arial"/>
      <family val="2"/>
    </font>
    <font>
      <b/>
      <i/>
      <sz val="10"/>
      <color indexed="10"/>
      <name val="Arial"/>
      <family val="2"/>
    </font>
    <font>
      <sz val="11"/>
      <color theme="1"/>
      <name val="Arial"/>
      <family val="2"/>
    </font>
    <font>
      <b/>
      <u/>
      <sz val="11"/>
      <color indexed="8"/>
      <name val="Arial"/>
      <family val="2"/>
    </font>
    <font>
      <b/>
      <sz val="10"/>
      <color rgb="FFFF0000"/>
      <name val="Times New Roman"/>
      <family val="1"/>
    </font>
    <font>
      <b/>
      <u/>
      <sz val="11"/>
      <color theme="1"/>
      <name val="Arial"/>
      <family val="2"/>
    </font>
    <font>
      <sz val="10"/>
      <name val="Arial"/>
      <family val="2"/>
    </font>
    <font>
      <b/>
      <sz val="11"/>
      <color theme="1"/>
      <name val="Times New Roman"/>
      <family val="1"/>
    </font>
    <font>
      <b/>
      <sz val="11"/>
      <color rgb="FFFF0000"/>
      <name val="Times New Roman"/>
      <family val="1"/>
    </font>
    <font>
      <b/>
      <sz val="11"/>
      <color rgb="FF000000"/>
      <name val="Times New Roman"/>
      <family val="1"/>
    </font>
    <font>
      <i/>
      <sz val="11"/>
      <color theme="1"/>
      <name val="Arial"/>
      <family val="2"/>
    </font>
    <font>
      <sz val="16"/>
      <color theme="0"/>
      <name val="Calibri"/>
      <family val="2"/>
      <scheme val="minor"/>
    </font>
    <font>
      <sz val="11"/>
      <color rgb="FFFF0000"/>
      <name val="Calibri"/>
      <family val="2"/>
      <scheme val="minor"/>
    </font>
    <font>
      <b/>
      <sz val="18"/>
      <color theme="0"/>
      <name val="Calibri"/>
      <family val="2"/>
      <scheme val="minor"/>
    </font>
    <font>
      <b/>
      <sz val="18"/>
      <color theme="8" tint="-0.249977111117893"/>
      <name val="Calibri"/>
      <family val="2"/>
      <scheme val="minor"/>
    </font>
    <font>
      <sz val="16"/>
      <color theme="8" tint="-0.249977111117893"/>
      <name val="Calibri"/>
      <family val="2"/>
      <scheme val="minor"/>
    </font>
    <font>
      <b/>
      <i/>
      <sz val="11"/>
      <color theme="1"/>
      <name val="Arial"/>
      <family val="2"/>
    </font>
    <font>
      <b/>
      <u/>
      <sz val="11"/>
      <color theme="1"/>
      <name val="Calibri"/>
      <family val="2"/>
      <scheme val="minor"/>
    </font>
    <font>
      <sz val="11"/>
      <color rgb="FFAEAAAA"/>
      <name val="Calibri"/>
      <family val="2"/>
      <scheme val="minor"/>
    </font>
    <font>
      <i/>
      <sz val="11"/>
      <color indexed="8"/>
      <name val="Arial"/>
      <family val="2"/>
    </font>
    <font>
      <b/>
      <i/>
      <sz val="11"/>
      <color indexed="8"/>
      <name val="Arial"/>
      <family val="2"/>
    </font>
    <font>
      <b/>
      <u/>
      <sz val="11"/>
      <color theme="4" tint="-0.249977111117893"/>
      <name val="Calibri"/>
      <family val="2"/>
      <scheme val="minor"/>
    </font>
    <font>
      <b/>
      <sz val="11"/>
      <color theme="1"/>
      <name val="Calibri"/>
      <family val="2"/>
      <scheme val="minor"/>
    </font>
    <font>
      <i/>
      <sz val="11"/>
      <color theme="0" tint="-0.499984740745262"/>
      <name val="Calibri"/>
      <family val="2"/>
      <scheme val="minor"/>
    </font>
    <font>
      <sz val="11"/>
      <color theme="0" tint="-0.499984740745262"/>
      <name val="Calibri"/>
      <family val="2"/>
      <scheme val="minor"/>
    </font>
    <font>
      <sz val="11"/>
      <name val="Calibri"/>
      <family val="2"/>
      <scheme val="minor"/>
    </font>
    <font>
      <sz val="23"/>
      <color theme="0"/>
      <name val="Arial"/>
      <family val="2"/>
    </font>
    <font>
      <i/>
      <sz val="10"/>
      <color theme="3" tint="-0.249977111117893"/>
      <name val="Times New Roman"/>
      <family val="1"/>
    </font>
    <font>
      <sz val="10"/>
      <color rgb="FF000000"/>
      <name val="Times New Roman"/>
      <family val="1"/>
    </font>
    <font>
      <sz val="12"/>
      <name val="Times New Roman"/>
      <family val="1"/>
    </font>
    <font>
      <sz val="12"/>
      <color rgb="FF000000"/>
      <name val="Times New Roman"/>
      <family val="2"/>
    </font>
    <font>
      <b/>
      <sz val="12"/>
      <name val="Times New Roman"/>
      <family val="1"/>
    </font>
    <font>
      <sz val="11"/>
      <color theme="1"/>
      <name val="Calibri"/>
      <family val="2"/>
      <scheme val="minor"/>
    </font>
    <font>
      <sz val="11"/>
      <color rgb="FF000000"/>
      <name val="Calibri"/>
      <family val="2"/>
      <scheme val="minor"/>
    </font>
    <font>
      <sz val="12"/>
      <color rgb="FF000000"/>
      <name val="Times New Roman"/>
      <family val="1"/>
    </font>
    <font>
      <u/>
      <sz val="11"/>
      <color theme="10"/>
      <name val="Calibri"/>
      <family val="2"/>
      <scheme val="minor"/>
    </font>
    <font>
      <b/>
      <sz val="10"/>
      <color theme="0"/>
      <name val="Arial"/>
      <family val="2"/>
    </font>
    <font>
      <b/>
      <sz val="11"/>
      <color theme="0"/>
      <name val="Arial"/>
      <family val="2"/>
    </font>
    <font>
      <b/>
      <sz val="10"/>
      <color theme="1"/>
      <name val="Arial"/>
      <family val="2"/>
    </font>
    <font>
      <sz val="10"/>
      <color rgb="FF000000"/>
      <name val="Courier New"/>
      <family val="3"/>
    </font>
    <font>
      <sz val="11"/>
      <color rgb="FF000000"/>
      <name val="Times New Roman"/>
      <family val="1"/>
    </font>
    <font>
      <sz val="12"/>
      <color theme="1"/>
      <name val="Times New Roman"/>
      <family val="1"/>
    </font>
    <font>
      <b/>
      <sz val="12"/>
      <color rgb="FF000000"/>
      <name val="Times New Roman"/>
      <family val="1"/>
    </font>
    <font>
      <b/>
      <u/>
      <sz val="12"/>
      <color rgb="FF000000"/>
      <name val="Times New Roman"/>
      <family val="1"/>
    </font>
    <font>
      <b/>
      <sz val="12"/>
      <color theme="1"/>
      <name val="Times New Roman"/>
      <family val="1"/>
    </font>
    <font>
      <b/>
      <u/>
      <sz val="12"/>
      <color theme="1"/>
      <name val="Times New Roman"/>
      <family val="1"/>
    </font>
    <font>
      <sz val="11"/>
      <name val="Times New Roman"/>
      <family val="1"/>
    </font>
    <font>
      <i/>
      <sz val="10"/>
      <color rgb="FFFF0000"/>
      <name val="Arial"/>
      <family val="2"/>
    </font>
    <font>
      <i/>
      <sz val="11"/>
      <color rgb="FFFF0000"/>
      <name val="Arial"/>
      <family val="2"/>
    </font>
    <font>
      <sz val="11"/>
      <color rgb="FF0070C0"/>
      <name val="Calibri"/>
      <family val="2"/>
      <scheme val="minor"/>
    </font>
    <font>
      <b/>
      <sz val="11"/>
      <color theme="1"/>
      <name val="Arial"/>
      <family val="2"/>
    </font>
    <font>
      <sz val="9"/>
      <color rgb="FF000000"/>
      <name val="Times New Roman"/>
      <family val="1"/>
    </font>
    <font>
      <sz val="9"/>
      <name val="Times New Roman"/>
      <family val="1"/>
    </font>
    <font>
      <b/>
      <sz val="9"/>
      <name val="Times New Roman"/>
      <family val="1"/>
    </font>
    <font>
      <b/>
      <sz val="12"/>
      <name val="Arial"/>
      <family val="2"/>
    </font>
    <font>
      <sz val="12"/>
      <name val="Arial"/>
      <family val="2"/>
    </font>
    <font>
      <sz val="8"/>
      <name val="Calibri"/>
      <family val="2"/>
      <scheme val="minor"/>
    </font>
    <font>
      <sz val="11"/>
      <color theme="1"/>
      <name val="Segoe UI"/>
      <family val="2"/>
    </font>
    <font>
      <b/>
      <i/>
      <sz val="11"/>
      <color rgb="FF000000"/>
      <name val="Arial"/>
      <family val="2"/>
    </font>
    <font>
      <i/>
      <sz val="11"/>
      <color rgb="FF000000"/>
      <name val="Arial"/>
      <family val="2"/>
    </font>
    <font>
      <b/>
      <u/>
      <sz val="11"/>
      <color rgb="FF000000"/>
      <name val="Arial"/>
      <family val="2"/>
    </font>
  </fonts>
  <fills count="33">
    <fill>
      <patternFill patternType="none"/>
    </fill>
    <fill>
      <patternFill patternType="gray125"/>
    </fill>
    <fill>
      <patternFill patternType="solid">
        <fgColor rgb="FFDDD9C4"/>
        <bgColor indexed="64"/>
      </patternFill>
    </fill>
    <fill>
      <patternFill patternType="solid">
        <fgColor rgb="FF538DD5"/>
        <bgColor indexed="64"/>
      </patternFill>
    </fill>
    <fill>
      <patternFill patternType="solid">
        <fgColor rgb="FFDCE6F1"/>
        <bgColor indexed="64"/>
      </patternFill>
    </fill>
    <fill>
      <patternFill patternType="solid">
        <fgColor rgb="FF92CDDC"/>
        <bgColor indexed="64"/>
      </patternFill>
    </fill>
    <fill>
      <patternFill patternType="solid">
        <fgColor rgb="FFF2DCDB"/>
        <bgColor indexed="64"/>
      </patternFill>
    </fill>
    <fill>
      <patternFill patternType="solid">
        <fgColor rgb="FFE6B8B7"/>
        <bgColor indexed="64"/>
      </patternFill>
    </fill>
    <fill>
      <patternFill patternType="solid">
        <fgColor rgb="FF8DB4E2"/>
        <bgColor indexed="64"/>
      </patternFill>
    </fill>
    <fill>
      <patternFill patternType="solid">
        <fgColor rgb="FF808080"/>
        <bgColor indexed="64"/>
      </patternFill>
    </fill>
    <fill>
      <patternFill patternType="solid">
        <fgColor theme="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0" tint="-0.249977111117893"/>
        <bgColor indexed="64"/>
      </patternFill>
    </fill>
    <fill>
      <patternFill patternType="solid">
        <fgColor rgb="FF002060"/>
        <bgColor indexed="64"/>
      </patternFill>
    </fill>
    <fill>
      <patternFill patternType="solid">
        <fgColor theme="8" tint="-0.499984740745262"/>
        <bgColor indexed="64"/>
      </patternFill>
    </fill>
    <fill>
      <patternFill patternType="solid">
        <fgColor theme="7" tint="0.79998168889431442"/>
        <bgColor indexed="64"/>
      </patternFill>
    </fill>
    <fill>
      <patternFill patternType="solid">
        <fgColor theme="4"/>
        <bgColor indexed="64"/>
      </patternFill>
    </fill>
    <fill>
      <patternFill patternType="solid">
        <fgColor theme="0" tint="-0.34998626667073579"/>
        <bgColor indexed="64"/>
      </patternFill>
    </fill>
    <fill>
      <patternFill patternType="solid">
        <fgColor theme="4" tint="0.59999389629810485"/>
        <bgColor indexed="64"/>
      </patternFill>
    </fill>
    <fill>
      <patternFill patternType="solid">
        <fgColor theme="1" tint="0.499984740745262"/>
        <bgColor indexed="64"/>
      </patternFill>
    </fill>
    <fill>
      <patternFill patternType="solid">
        <fgColor theme="0" tint="-0.499984740745262"/>
        <bgColor indexed="64"/>
      </patternFill>
    </fill>
    <fill>
      <patternFill patternType="solid">
        <fgColor theme="4" tint="-0.499984740745262"/>
        <bgColor indexed="64"/>
      </patternFill>
    </fill>
    <fill>
      <patternFill patternType="solid">
        <fgColor theme="0" tint="-0.14999847407452621"/>
        <bgColor indexed="64"/>
      </patternFill>
    </fill>
    <fill>
      <patternFill patternType="solid">
        <fgColor theme="2" tint="-0.249977111117893"/>
        <bgColor indexed="64"/>
      </patternFill>
    </fill>
    <fill>
      <patternFill patternType="solid">
        <fgColor indexed="10"/>
        <bgColor indexed="64"/>
      </patternFill>
    </fill>
    <fill>
      <patternFill patternType="solid">
        <fgColor indexed="22"/>
        <bgColor indexed="64"/>
      </patternFill>
    </fill>
    <fill>
      <patternFill patternType="solid">
        <fgColor rgb="FFBFBFBF"/>
        <bgColor indexed="64"/>
      </patternFill>
    </fill>
    <fill>
      <patternFill patternType="solid">
        <fgColor theme="6"/>
        <bgColor indexed="64"/>
      </patternFill>
    </fill>
    <fill>
      <patternFill patternType="solid">
        <fgColor rgb="FFD0CECE"/>
        <bgColor indexed="64"/>
      </patternFill>
    </fill>
    <fill>
      <patternFill patternType="solid">
        <fgColor rgb="FFFFFFFF"/>
        <bgColor indexed="64"/>
      </patternFill>
    </fill>
    <fill>
      <patternFill patternType="solid">
        <fgColor rgb="FFC0C0C0"/>
        <bgColor indexed="64"/>
      </patternFill>
    </fill>
  </fills>
  <borders count="75">
    <border>
      <left/>
      <right/>
      <top/>
      <bottom/>
      <diagonal/>
    </border>
    <border>
      <left/>
      <right/>
      <top style="medium">
        <color indexed="64"/>
      </top>
      <bottom style="medium">
        <color indexed="64"/>
      </bottom>
      <diagonal/>
    </border>
    <border>
      <left/>
      <right/>
      <top/>
      <bottom style="medium">
        <color indexed="64"/>
      </bottom>
      <diagonal/>
    </border>
    <border>
      <left/>
      <right style="medium">
        <color indexed="64"/>
      </right>
      <top style="medium">
        <color indexed="64"/>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theme="0"/>
      </left>
      <right/>
      <top style="thin">
        <color theme="0"/>
      </top>
      <bottom style="thin">
        <color theme="0"/>
      </bottom>
      <diagonal/>
    </border>
    <border>
      <left style="thin">
        <color theme="0"/>
      </left>
      <right style="thin">
        <color theme="0"/>
      </right>
      <top style="thin">
        <color theme="0"/>
      </top>
      <bottom style="thin">
        <color theme="0"/>
      </bottom>
      <diagonal/>
    </border>
    <border>
      <left/>
      <right/>
      <top/>
      <bottom style="thin">
        <color theme="0"/>
      </bottom>
      <diagonal/>
    </border>
    <border>
      <left style="thin">
        <color indexed="64"/>
      </left>
      <right/>
      <top style="thin">
        <color indexed="64"/>
      </top>
      <bottom style="medium">
        <color indexed="64"/>
      </bottom>
      <diagonal/>
    </border>
    <border>
      <left/>
      <right style="medium">
        <color indexed="64"/>
      </right>
      <top style="thin">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theme="0"/>
      </left>
      <right/>
      <top style="thin">
        <color indexed="64"/>
      </top>
      <bottom/>
      <diagonal/>
    </border>
    <border>
      <left/>
      <right style="thin">
        <color theme="0"/>
      </right>
      <top style="thin">
        <color indexed="64"/>
      </top>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bottom/>
      <diagonal/>
    </border>
    <border>
      <left/>
      <right style="medium">
        <color indexed="64"/>
      </right>
      <top style="thin">
        <color indexed="64"/>
      </top>
      <bottom style="medium">
        <color indexed="64"/>
      </bottom>
      <diagonal/>
    </border>
    <border>
      <left/>
      <right/>
      <top style="thin">
        <color indexed="64"/>
      </top>
      <bottom style="medium">
        <color indexed="64"/>
      </bottom>
      <diagonal/>
    </border>
    <border>
      <left style="thin">
        <color indexed="64"/>
      </left>
      <right style="thin">
        <color indexed="64"/>
      </right>
      <top style="thin">
        <color auto="1"/>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thin">
        <color auto="1"/>
      </top>
      <bottom style="thin">
        <color indexed="64"/>
      </bottom>
      <diagonal/>
    </border>
    <border>
      <left style="thin">
        <color indexed="64"/>
      </left>
      <right style="thin">
        <color indexed="64"/>
      </right>
      <top style="thin">
        <color auto="1"/>
      </top>
      <bottom style="thin">
        <color indexed="64"/>
      </bottom>
      <diagonal/>
    </border>
    <border>
      <left style="thin">
        <color indexed="64"/>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auto="1"/>
      </right>
      <top style="thin">
        <color indexed="64"/>
      </top>
      <bottom style="thin">
        <color indexed="64"/>
      </bottom>
      <diagonal/>
    </border>
    <border>
      <left style="thin">
        <color indexed="64"/>
      </left>
      <right style="thin">
        <color auto="1"/>
      </right>
      <top style="thin">
        <color indexed="64"/>
      </top>
      <bottom style="thin">
        <color indexed="64"/>
      </bottom>
      <diagonal/>
    </border>
    <border>
      <left style="thin">
        <color auto="1"/>
      </left>
      <right/>
      <top style="thin">
        <color indexed="64"/>
      </top>
      <bottom style="thin">
        <color indexed="64"/>
      </bottom>
      <diagonal/>
    </border>
    <border>
      <left/>
      <right style="thin">
        <color auto="1"/>
      </right>
      <top style="thin">
        <color indexed="64"/>
      </top>
      <bottom style="thin">
        <color indexed="64"/>
      </bottom>
      <diagonal/>
    </border>
    <border>
      <left style="thin">
        <color indexed="64"/>
      </left>
      <right style="thin">
        <color indexed="64"/>
      </right>
      <top style="thin">
        <color auto="1"/>
      </top>
      <bottom style="thin">
        <color indexed="64"/>
      </bottom>
      <diagonal/>
    </border>
    <border>
      <left style="thin">
        <color indexed="64"/>
      </left>
      <right/>
      <top style="thin">
        <color auto="1"/>
      </top>
      <bottom style="thin">
        <color auto="1"/>
      </bottom>
      <diagonal/>
    </border>
    <border>
      <left style="thin">
        <color indexed="64"/>
      </left>
      <right style="thin">
        <color auto="1"/>
      </right>
      <top style="thin">
        <color indexed="64"/>
      </top>
      <bottom style="thin">
        <color indexed="64"/>
      </bottom>
      <diagonal/>
    </border>
    <border>
      <left style="thin">
        <color indexed="64"/>
      </left>
      <right style="thin">
        <color auto="1"/>
      </right>
      <top style="thin">
        <color indexed="64"/>
      </top>
      <bottom style="thin">
        <color indexed="64"/>
      </bottom>
      <diagonal/>
    </border>
    <border>
      <left style="thin">
        <color indexed="64"/>
      </left>
      <right style="thin">
        <color auto="1"/>
      </right>
      <top style="thin">
        <color indexed="64"/>
      </top>
      <bottom style="thin">
        <color indexed="64"/>
      </bottom>
      <diagonal/>
    </border>
    <border>
      <left style="thin">
        <color indexed="64"/>
      </left>
      <right/>
      <top style="thin">
        <color auto="1"/>
      </top>
      <bottom style="thin">
        <color auto="1"/>
      </bottom>
      <diagonal/>
    </border>
    <border>
      <left/>
      <right/>
      <top style="thin">
        <color auto="1"/>
      </top>
      <bottom style="thin">
        <color auto="1"/>
      </bottom>
      <diagonal/>
    </border>
    <border>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style="thin">
        <color indexed="64"/>
      </left>
      <right style="thin">
        <color auto="1"/>
      </right>
      <top style="thin">
        <color indexed="64"/>
      </top>
      <bottom style="thin">
        <color indexed="64"/>
      </bottom>
      <diagonal/>
    </border>
    <border>
      <left style="thin">
        <color indexed="64"/>
      </left>
      <right style="thin">
        <color indexed="64"/>
      </right>
      <top/>
      <bottom style="medium">
        <color indexed="64"/>
      </bottom>
      <diagonal/>
    </border>
    <border>
      <left/>
      <right style="thin">
        <color indexed="64"/>
      </right>
      <top style="medium">
        <color indexed="64"/>
      </top>
      <bottom/>
      <diagonal/>
    </border>
    <border>
      <left style="thin">
        <color indexed="64"/>
      </left>
      <right/>
      <top style="medium">
        <color indexed="64"/>
      </top>
      <bottom/>
      <diagonal/>
    </border>
    <border>
      <left style="thin">
        <color indexed="64"/>
      </left>
      <right style="thin">
        <color indexed="64"/>
      </right>
      <top style="thin">
        <color auto="1"/>
      </top>
      <bottom style="thin">
        <color indexed="64"/>
      </bottom>
      <diagonal/>
    </border>
    <border>
      <left style="thin">
        <color indexed="64"/>
      </left>
      <right style="thin">
        <color indexed="64"/>
      </right>
      <top style="thin">
        <color auto="1"/>
      </top>
      <bottom style="thin">
        <color indexed="64"/>
      </bottom>
      <diagonal/>
    </border>
    <border>
      <left/>
      <right style="thin">
        <color indexed="64"/>
      </right>
      <top/>
      <bottom style="medium">
        <color indexed="64"/>
      </bottom>
      <diagonal/>
    </border>
    <border>
      <left style="thin">
        <color indexed="64"/>
      </left>
      <right/>
      <top/>
      <bottom style="medium">
        <color indexed="64"/>
      </bottom>
      <diagonal/>
    </border>
  </borders>
  <cellStyleXfs count="5">
    <xf numFmtId="0" fontId="0" fillId="0" borderId="0"/>
    <xf numFmtId="0" fontId="44" fillId="0" borderId="0"/>
    <xf numFmtId="0" fontId="2" fillId="0" borderId="0"/>
    <xf numFmtId="0" fontId="48" fillId="0" borderId="0"/>
    <xf numFmtId="0" fontId="51" fillId="0" borderId="0" applyNumberFormat="0" applyFill="0" applyBorder="0" applyAlignment="0" applyProtection="0"/>
  </cellStyleXfs>
  <cellXfs count="700">
    <xf numFmtId="0" fontId="0" fillId="0" borderId="0" xfId="0"/>
    <xf numFmtId="0" fontId="0" fillId="10" borderId="0" xfId="0" applyFill="1"/>
    <xf numFmtId="0" fontId="2" fillId="4" borderId="15" xfId="0" applyFont="1" applyFill="1" applyBorder="1" applyAlignment="1">
      <alignment horizontal="center" vertical="center"/>
    </xf>
    <xf numFmtId="0" fontId="0" fillId="0" borderId="21" xfId="0" applyBorder="1"/>
    <xf numFmtId="0" fontId="0" fillId="0" borderId="22" xfId="0" applyBorder="1"/>
    <xf numFmtId="0" fontId="19" fillId="17" borderId="23" xfId="0" applyFont="1" applyFill="1" applyBorder="1" applyAlignment="1">
      <alignment vertical="center" wrapText="1"/>
    </xf>
    <xf numFmtId="49" fontId="11" fillId="15" borderId="0" xfId="0" applyNumberFormat="1" applyFont="1" applyFill="1" applyAlignment="1">
      <alignment vertical="center" readingOrder="1"/>
    </xf>
    <xf numFmtId="0" fontId="0" fillId="17" borderId="0" xfId="0" applyFill="1"/>
    <xf numFmtId="0" fontId="19" fillId="17" borderId="0" xfId="0" applyFont="1" applyFill="1" applyAlignment="1">
      <alignment vertical="center" wrapText="1"/>
    </xf>
    <xf numFmtId="0" fontId="2" fillId="2" borderId="10" xfId="0" applyFont="1" applyFill="1" applyBorder="1" applyAlignment="1">
      <alignment vertical="center" wrapText="1"/>
    </xf>
    <xf numFmtId="0" fontId="25" fillId="4" borderId="12" xfId="0" applyFont="1" applyFill="1" applyBorder="1" applyAlignment="1">
      <alignment horizontal="center" vertical="center"/>
    </xf>
    <xf numFmtId="0" fontId="1" fillId="10" borderId="0" xfId="0" applyFont="1" applyFill="1" applyAlignment="1">
      <alignment horizontal="left" wrapText="1"/>
    </xf>
    <xf numFmtId="0" fontId="0" fillId="0" borderId="31" xfId="0" applyBorder="1"/>
    <xf numFmtId="0" fontId="0" fillId="0" borderId="32" xfId="0" applyBorder="1"/>
    <xf numFmtId="0" fontId="0" fillId="0" borderId="33" xfId="0" applyBorder="1"/>
    <xf numFmtId="0" fontId="0" fillId="10" borderId="33" xfId="0" applyFill="1" applyBorder="1"/>
    <xf numFmtId="0" fontId="0" fillId="14" borderId="18" xfId="0" applyFill="1" applyBorder="1"/>
    <xf numFmtId="0" fontId="0" fillId="14" borderId="20" xfId="0" applyFill="1" applyBorder="1"/>
    <xf numFmtId="0" fontId="0" fillId="14" borderId="19" xfId="0" applyFill="1" applyBorder="1"/>
    <xf numFmtId="0" fontId="0" fillId="0" borderId="8" xfId="0" applyBorder="1"/>
    <xf numFmtId="0" fontId="0" fillId="0" borderId="9" xfId="0" applyBorder="1"/>
    <xf numFmtId="0" fontId="0" fillId="0" borderId="11" xfId="0" applyBorder="1"/>
    <xf numFmtId="0" fontId="0" fillId="0" borderId="5" xfId="0" applyBorder="1"/>
    <xf numFmtId="0" fontId="0" fillId="0" borderId="2" xfId="0" applyBorder="1"/>
    <xf numFmtId="0" fontId="0" fillId="0" borderId="4" xfId="0" applyBorder="1"/>
    <xf numFmtId="49" fontId="22" fillId="10" borderId="0" xfId="0" applyNumberFormat="1" applyFont="1" applyFill="1" applyAlignment="1" applyProtection="1">
      <alignment horizontal="left" vertical="top"/>
      <protection locked="0"/>
    </xf>
    <xf numFmtId="0" fontId="0" fillId="10" borderId="0" xfId="0" applyFill="1" applyAlignment="1">
      <alignment horizontal="center"/>
    </xf>
    <xf numFmtId="0" fontId="1" fillId="10" borderId="34" xfId="0" applyFont="1" applyFill="1" applyBorder="1" applyAlignment="1">
      <alignment horizontal="left" wrapText="1"/>
    </xf>
    <xf numFmtId="0" fontId="1" fillId="10" borderId="29" xfId="0" applyFont="1" applyFill="1" applyBorder="1" applyAlignment="1">
      <alignment horizontal="left" wrapText="1"/>
    </xf>
    <xf numFmtId="0" fontId="0" fillId="10" borderId="29" xfId="0" applyFill="1" applyBorder="1"/>
    <xf numFmtId="0" fontId="0" fillId="10" borderId="35" xfId="0" applyFill="1" applyBorder="1"/>
    <xf numFmtId="0" fontId="38" fillId="0" borderId="11" xfId="0" applyFont="1" applyBorder="1"/>
    <xf numFmtId="0" fontId="38" fillId="0" borderId="11" xfId="0" applyFont="1" applyBorder="1" applyAlignment="1">
      <alignment horizontal="right"/>
    </xf>
    <xf numFmtId="0" fontId="34" fillId="0" borderId="9" xfId="0" applyFont="1" applyBorder="1" applyAlignment="1">
      <alignment vertical="center"/>
    </xf>
    <xf numFmtId="0" fontId="0" fillId="17" borderId="7" xfId="0" applyFill="1" applyBorder="1"/>
    <xf numFmtId="0" fontId="19" fillId="17" borderId="1" xfId="0" applyFont="1" applyFill="1" applyBorder="1" applyAlignment="1">
      <alignment vertical="center" wrapText="1"/>
    </xf>
    <xf numFmtId="0" fontId="19" fillId="17" borderId="3" xfId="0" applyFont="1" applyFill="1" applyBorder="1" applyAlignment="1">
      <alignment vertical="center" wrapText="1"/>
    </xf>
    <xf numFmtId="0" fontId="38" fillId="19" borderId="11" xfId="0" applyFont="1" applyFill="1" applyBorder="1"/>
    <xf numFmtId="0" fontId="38" fillId="19" borderId="11" xfId="0" applyFont="1" applyFill="1" applyBorder="1" applyAlignment="1">
      <alignment horizontal="right"/>
    </xf>
    <xf numFmtId="10" fontId="2" fillId="2" borderId="10" xfId="0" applyNumberFormat="1" applyFont="1" applyFill="1" applyBorder="1" applyAlignment="1">
      <alignment horizontal="left" vertical="center" wrapText="1"/>
    </xf>
    <xf numFmtId="0" fontId="2" fillId="4" borderId="10" xfId="0" applyFont="1" applyFill="1" applyBorder="1" applyAlignment="1">
      <alignment horizontal="center" vertical="center"/>
    </xf>
    <xf numFmtId="0" fontId="2" fillId="4" borderId="15" xfId="0" applyFont="1" applyFill="1" applyBorder="1" applyAlignment="1">
      <alignment horizontal="center"/>
    </xf>
    <xf numFmtId="0" fontId="2" fillId="4" borderId="16" xfId="0" applyFont="1" applyFill="1" applyBorder="1" applyAlignment="1">
      <alignment horizontal="center"/>
    </xf>
    <xf numFmtId="0" fontId="25" fillId="4" borderId="15" xfId="0" applyFont="1" applyFill="1" applyBorder="1" applyAlignment="1">
      <alignment horizontal="center" vertical="center"/>
    </xf>
    <xf numFmtId="0" fontId="7" fillId="6" borderId="10" xfId="0" applyFont="1" applyFill="1" applyBorder="1" applyAlignment="1">
      <alignment horizontal="center" vertical="center" wrapText="1"/>
    </xf>
    <xf numFmtId="0" fontId="7" fillId="6" borderId="10" xfId="0" applyFont="1" applyFill="1" applyBorder="1" applyAlignment="1">
      <alignment horizontal="center" vertical="center"/>
    </xf>
    <xf numFmtId="0" fontId="2" fillId="4" borderId="15" xfId="0" applyFont="1" applyFill="1" applyBorder="1" applyAlignment="1">
      <alignment horizontal="center" vertical="center" wrapText="1"/>
    </xf>
    <xf numFmtId="0" fontId="2" fillId="4" borderId="16" xfId="0" applyFont="1" applyFill="1" applyBorder="1" applyAlignment="1">
      <alignment horizontal="center" vertical="center"/>
    </xf>
    <xf numFmtId="0" fontId="4" fillId="2" borderId="10" xfId="0" applyFont="1" applyFill="1" applyBorder="1" applyAlignment="1">
      <alignment vertical="center" wrapText="1"/>
    </xf>
    <xf numFmtId="0" fontId="5" fillId="4" borderId="15" xfId="0" applyFont="1" applyFill="1" applyBorder="1" applyAlignment="1">
      <alignment horizontal="center" vertical="center"/>
    </xf>
    <xf numFmtId="0" fontId="5" fillId="0" borderId="10" xfId="0" applyFont="1" applyBorder="1" applyAlignment="1">
      <alignment horizontal="center" vertical="center" wrapText="1"/>
    </xf>
    <xf numFmtId="0" fontId="9" fillId="3" borderId="12" xfId="0" applyFont="1" applyFill="1" applyBorder="1" applyAlignment="1">
      <alignment horizontal="center" vertical="center"/>
    </xf>
    <xf numFmtId="0" fontId="2" fillId="2" borderId="40" xfId="0" applyFont="1" applyFill="1" applyBorder="1" applyAlignment="1">
      <alignment vertical="center" wrapText="1"/>
    </xf>
    <xf numFmtId="0" fontId="5" fillId="4" borderId="12" xfId="0" applyFont="1" applyFill="1" applyBorder="1" applyAlignment="1">
      <alignment horizontal="center" vertical="center"/>
    </xf>
    <xf numFmtId="0" fontId="4" fillId="4" borderId="15" xfId="0" applyFont="1" applyFill="1" applyBorder="1" applyAlignment="1">
      <alignment horizontal="center" vertical="center"/>
    </xf>
    <xf numFmtId="0" fontId="23" fillId="11" borderId="12" xfId="0" applyFont="1" applyFill="1" applyBorder="1" applyAlignment="1">
      <alignment horizontal="center" vertical="center"/>
    </xf>
    <xf numFmtId="0" fontId="23" fillId="11" borderId="15" xfId="0" applyFont="1" applyFill="1" applyBorder="1" applyAlignment="1">
      <alignment horizontal="center" vertical="center"/>
    </xf>
    <xf numFmtId="0" fontId="7" fillId="6" borderId="39" xfId="0" applyFont="1" applyFill="1" applyBorder="1" applyAlignment="1">
      <alignment horizontal="center" vertical="center"/>
    </xf>
    <xf numFmtId="0" fontId="25" fillId="4" borderId="12" xfId="0" applyFont="1" applyFill="1" applyBorder="1" applyAlignment="1">
      <alignment horizontal="center"/>
    </xf>
    <xf numFmtId="0" fontId="45" fillId="0" borderId="0" xfId="2" applyFont="1" applyAlignment="1">
      <alignment horizontal="left" vertical="top"/>
    </xf>
    <xf numFmtId="0" fontId="3" fillId="0" borderId="0" xfId="2" applyFont="1" applyAlignment="1">
      <alignment horizontal="left" vertical="top"/>
    </xf>
    <xf numFmtId="0" fontId="48" fillId="11" borderId="48" xfId="3" applyFill="1" applyBorder="1" applyAlignment="1">
      <alignment vertical="center"/>
    </xf>
    <xf numFmtId="0" fontId="0" fillId="11" borderId="48" xfId="3" applyFont="1" applyFill="1" applyBorder="1" applyAlignment="1">
      <alignment vertical="center"/>
    </xf>
    <xf numFmtId="0" fontId="48" fillId="0" borderId="0" xfId="3" applyAlignment="1">
      <alignment wrapText="1"/>
    </xf>
    <xf numFmtId="0" fontId="2" fillId="0" borderId="0" xfId="2" applyAlignment="1">
      <alignment horizontal="left" vertical="top"/>
    </xf>
    <xf numFmtId="0" fontId="49" fillId="0" borderId="0" xfId="2" applyFont="1" applyAlignment="1">
      <alignment horizontal="left" vertical="top"/>
    </xf>
    <xf numFmtId="0" fontId="45" fillId="0" borderId="0" xfId="2" applyFont="1" applyAlignment="1">
      <alignment vertical="top"/>
    </xf>
    <xf numFmtId="0" fontId="51" fillId="0" borderId="0" xfId="4"/>
    <xf numFmtId="164" fontId="4" fillId="21" borderId="19" xfId="0" applyNumberFormat="1" applyFont="1" applyFill="1" applyBorder="1" applyAlignment="1">
      <alignment horizontal="center" vertical="center" wrapText="1"/>
    </xf>
    <xf numFmtId="0" fontId="4" fillId="22" borderId="18" xfId="0" applyFont="1" applyFill="1" applyBorder="1" applyAlignment="1">
      <alignment horizontal="center" vertical="center" wrapText="1"/>
    </xf>
    <xf numFmtId="0" fontId="4" fillId="4" borderId="54" xfId="0" applyFont="1" applyFill="1" applyBorder="1" applyAlignment="1">
      <alignment horizontal="center" vertical="center"/>
    </xf>
    <xf numFmtId="0" fontId="0" fillId="0" borderId="0" xfId="0" applyAlignment="1">
      <alignment wrapText="1"/>
    </xf>
    <xf numFmtId="49" fontId="0" fillId="0" borderId="0" xfId="0" applyNumberFormat="1"/>
    <xf numFmtId="49" fontId="2" fillId="2" borderId="10" xfId="0" applyNumberFormat="1" applyFont="1" applyFill="1" applyBorder="1" applyAlignment="1">
      <alignment horizontal="left" vertical="center" wrapText="1"/>
    </xf>
    <xf numFmtId="9" fontId="2" fillId="2" borderId="10" xfId="0" quotePrefix="1" applyNumberFormat="1" applyFont="1" applyFill="1" applyBorder="1" applyAlignment="1">
      <alignment horizontal="left" vertical="center" wrapText="1"/>
    </xf>
    <xf numFmtId="10" fontId="2" fillId="2" borderId="10" xfId="0" quotePrefix="1" applyNumberFormat="1" applyFont="1" applyFill="1" applyBorder="1" applyAlignment="1">
      <alignment horizontal="left" vertical="center" wrapText="1"/>
    </xf>
    <xf numFmtId="49" fontId="0" fillId="0" borderId="0" xfId="0" quotePrefix="1" applyNumberFormat="1"/>
    <xf numFmtId="49" fontId="49" fillId="0" borderId="44" xfId="0" quotePrefix="1" applyNumberFormat="1" applyFont="1" applyBorder="1" applyAlignment="1">
      <alignment horizontal="left" vertical="center" wrapText="1"/>
    </xf>
    <xf numFmtId="0" fontId="0" fillId="0" borderId="0" xfId="0" quotePrefix="1"/>
    <xf numFmtId="0" fontId="2" fillId="2" borderId="44" xfId="0" applyFont="1" applyFill="1" applyBorder="1" applyAlignment="1">
      <alignment vertical="center" wrapText="1"/>
    </xf>
    <xf numFmtId="49" fontId="2" fillId="2" borderId="10" xfId="0" quotePrefix="1" applyNumberFormat="1" applyFont="1" applyFill="1" applyBorder="1" applyAlignment="1">
      <alignment horizontal="left" vertical="center" wrapText="1"/>
    </xf>
    <xf numFmtId="0" fontId="4" fillId="2" borderId="58" xfId="0" applyFont="1" applyFill="1" applyBorder="1" applyAlignment="1">
      <alignment vertical="center" wrapText="1"/>
    </xf>
    <xf numFmtId="0" fontId="4" fillId="2" borderId="36" xfId="0" applyFont="1" applyFill="1" applyBorder="1" applyAlignment="1">
      <alignment vertical="center" wrapText="1"/>
    </xf>
    <xf numFmtId="0" fontId="4" fillId="2" borderId="59" xfId="0" applyFont="1" applyFill="1" applyBorder="1" applyAlignment="1">
      <alignment vertical="center" wrapText="1"/>
    </xf>
    <xf numFmtId="0" fontId="2" fillId="2" borderId="59" xfId="0" applyFont="1" applyFill="1" applyBorder="1" applyAlignment="1">
      <alignment vertical="center" wrapText="1"/>
    </xf>
    <xf numFmtId="0" fontId="4" fillId="2" borderId="30" xfId="0" applyFont="1" applyFill="1" applyBorder="1" applyAlignment="1">
      <alignment vertical="center" wrapText="1"/>
    </xf>
    <xf numFmtId="0" fontId="13" fillId="0" borderId="0" xfId="0" applyFont="1"/>
    <xf numFmtId="0" fontId="13" fillId="24" borderId="0" xfId="0" applyFont="1" applyFill="1"/>
    <xf numFmtId="0" fontId="55" fillId="0" borderId="0" xfId="0" applyFont="1"/>
    <xf numFmtId="0" fontId="2" fillId="0" borderId="0" xfId="2" applyAlignment="1">
      <alignment horizontal="center" wrapText="1"/>
    </xf>
    <xf numFmtId="0" fontId="50" fillId="0" borderId="0" xfId="2" applyFont="1" applyAlignment="1">
      <alignment horizontal="left" vertical="top"/>
    </xf>
    <xf numFmtId="0" fontId="50" fillId="0" borderId="0" xfId="2" applyFont="1"/>
    <xf numFmtId="0" fontId="50" fillId="0" borderId="51" xfId="2" applyFont="1" applyBorder="1" applyAlignment="1">
      <alignment horizontal="left" vertical="top"/>
    </xf>
    <xf numFmtId="0" fontId="45" fillId="0" borderId="0" xfId="2" applyFont="1"/>
    <xf numFmtId="0" fontId="50" fillId="0" borderId="0" xfId="2" applyFont="1" applyAlignment="1">
      <alignment horizontal="left" vertical="top" wrapText="1"/>
    </xf>
    <xf numFmtId="0" fontId="50" fillId="0" borderId="0" xfId="2" applyFont="1" applyAlignment="1">
      <alignment horizontal="center" vertical="top"/>
    </xf>
    <xf numFmtId="0" fontId="50" fillId="0" borderId="0" xfId="2" applyFont="1" applyAlignment="1">
      <alignment vertical="center"/>
    </xf>
    <xf numFmtId="0" fontId="50" fillId="0" borderId="0" xfId="2" applyFont="1" applyAlignment="1">
      <alignment horizontal="left"/>
    </xf>
    <xf numFmtId="0" fontId="50" fillId="0" borderId="0" xfId="2" applyFont="1" applyAlignment="1">
      <alignment vertical="top"/>
    </xf>
    <xf numFmtId="0" fontId="59" fillId="0" borderId="0" xfId="2" applyFont="1" applyAlignment="1">
      <alignment horizontal="left" vertical="top"/>
    </xf>
    <xf numFmtId="0" fontId="60" fillId="0" borderId="51" xfId="2" applyFont="1" applyBorder="1"/>
    <xf numFmtId="0" fontId="61" fillId="0" borderId="0" xfId="0" applyFont="1"/>
    <xf numFmtId="0" fontId="59" fillId="0" borderId="0" xfId="2" applyFont="1" applyAlignment="1">
      <alignment horizontal="center" vertical="top" wrapText="1"/>
    </xf>
    <xf numFmtId="0" fontId="45" fillId="0" borderId="0" xfId="2" applyFont="1" applyAlignment="1">
      <alignment horizontal="left"/>
    </xf>
    <xf numFmtId="0" fontId="50" fillId="0" borderId="0" xfId="2" applyFont="1" applyAlignment="1">
      <alignment vertical="center" wrapText="1"/>
    </xf>
    <xf numFmtId="0" fontId="50" fillId="0" borderId="0" xfId="2" applyFont="1" applyAlignment="1">
      <alignment vertical="top" wrapText="1"/>
    </xf>
    <xf numFmtId="0" fontId="41" fillId="0" borderId="10" xfId="0" applyFont="1" applyBorder="1" applyAlignment="1">
      <alignment vertical="top"/>
    </xf>
    <xf numFmtId="0" fontId="45" fillId="0" borderId="62" xfId="2" applyFont="1" applyBorder="1" applyAlignment="1">
      <alignment horizontal="center" vertical="top" wrapText="1"/>
    </xf>
    <xf numFmtId="1" fontId="46" fillId="0" borderId="62" xfId="2" applyNumberFormat="1" applyFont="1" applyBorder="1" applyAlignment="1">
      <alignment horizontal="center" vertical="center" shrinkToFit="1"/>
    </xf>
    <xf numFmtId="1" fontId="46" fillId="0" borderId="62" xfId="2" applyNumberFormat="1" applyFont="1" applyBorder="1" applyAlignment="1">
      <alignment horizontal="center" vertical="top" shrinkToFit="1"/>
    </xf>
    <xf numFmtId="0" fontId="45" fillId="0" borderId="62" xfId="2" applyFont="1" applyBorder="1" applyAlignment="1">
      <alignment horizontal="center" vertical="center" wrapText="1"/>
    </xf>
    <xf numFmtId="0" fontId="47" fillId="0" borderId="62" xfId="2" applyFont="1" applyBorder="1" applyAlignment="1">
      <alignment horizontal="left" vertical="top" wrapText="1" indent="1"/>
    </xf>
    <xf numFmtId="0" fontId="47" fillId="0" borderId="62" xfId="2" applyFont="1" applyBorder="1" applyAlignment="1">
      <alignment horizontal="center" vertical="top" wrapText="1"/>
    </xf>
    <xf numFmtId="0" fontId="50" fillId="0" borderId="62" xfId="2" applyFont="1" applyBorder="1" applyAlignment="1">
      <alignment horizontal="center" vertical="top" wrapText="1"/>
    </xf>
    <xf numFmtId="0" fontId="2" fillId="0" borderId="62" xfId="2" applyBorder="1" applyAlignment="1">
      <alignment horizontal="center" vertical="top" wrapText="1"/>
    </xf>
    <xf numFmtId="0" fontId="56" fillId="0" borderId="62" xfId="2" applyFont="1" applyBorder="1" applyAlignment="1">
      <alignment horizontal="center" vertical="top" wrapText="1"/>
    </xf>
    <xf numFmtId="0" fontId="0" fillId="0" borderId="0" xfId="0" applyAlignment="1">
      <alignment vertical="top"/>
    </xf>
    <xf numFmtId="0" fontId="0" fillId="0" borderId="0" xfId="0" applyAlignment="1">
      <alignment horizontal="left" vertical="top"/>
    </xf>
    <xf numFmtId="0" fontId="49" fillId="0" borderId="49" xfId="0" applyFont="1" applyBorder="1" applyAlignment="1">
      <alignment vertical="top" wrapText="1"/>
    </xf>
    <xf numFmtId="0" fontId="0" fillId="0" borderId="50" xfId="0" applyBorder="1" applyAlignment="1">
      <alignment vertical="top"/>
    </xf>
    <xf numFmtId="0" fontId="49" fillId="0" borderId="49" xfId="0" applyFont="1" applyBorder="1" applyAlignment="1">
      <alignment horizontal="left" vertical="top" wrapText="1"/>
    </xf>
    <xf numFmtId="0" fontId="0" fillId="0" borderId="15" xfId="0" applyBorder="1" applyAlignment="1">
      <alignment vertical="top"/>
    </xf>
    <xf numFmtId="0" fontId="0" fillId="0" borderId="0" xfId="0" applyAlignment="1" applyProtection="1">
      <alignment vertical="top"/>
      <protection locked="0"/>
    </xf>
    <xf numFmtId="0" fontId="0" fillId="0" borderId="53" xfId="0" applyBorder="1" applyAlignment="1">
      <alignment vertical="top"/>
    </xf>
    <xf numFmtId="0" fontId="2" fillId="5" borderId="50" xfId="0" applyFont="1" applyFill="1" applyBorder="1" applyAlignment="1">
      <alignment horizontal="center" vertical="center" wrapText="1"/>
    </xf>
    <xf numFmtId="0" fontId="0" fillId="0" borderId="10" xfId="0" applyBorder="1" applyAlignment="1">
      <alignment horizontal="left" vertical="top"/>
    </xf>
    <xf numFmtId="0" fontId="0" fillId="0" borderId="55" xfId="0" applyBorder="1" applyAlignment="1">
      <alignment horizontal="left" vertical="top"/>
    </xf>
    <xf numFmtId="0" fontId="0" fillId="0" borderId="47" xfId="0" applyBorder="1" applyAlignment="1">
      <alignment horizontal="left" vertical="top"/>
    </xf>
    <xf numFmtId="0" fontId="0" fillId="0" borderId="60" xfId="0" applyBorder="1" applyAlignment="1">
      <alignment horizontal="left" vertical="top"/>
    </xf>
    <xf numFmtId="0" fontId="0" fillId="0" borderId="10" xfId="0" applyBorder="1" applyAlignment="1">
      <alignment horizontal="left" vertical="top" wrapText="1"/>
    </xf>
    <xf numFmtId="0" fontId="37" fillId="0" borderId="55" xfId="0" applyFont="1" applyBorder="1" applyAlignment="1">
      <alignment horizontal="left" vertical="top" wrapText="1"/>
    </xf>
    <xf numFmtId="0" fontId="37" fillId="0" borderId="55" xfId="0" applyFont="1" applyBorder="1" applyAlignment="1">
      <alignment horizontal="left" vertical="top"/>
    </xf>
    <xf numFmtId="0" fontId="0" fillId="0" borderId="54" xfId="0" applyBorder="1" applyAlignment="1">
      <alignment horizontal="left" vertical="top" wrapText="1"/>
    </xf>
    <xf numFmtId="0" fontId="0" fillId="0" borderId="19" xfId="0" applyBorder="1" applyAlignment="1">
      <alignment horizontal="left" vertical="top"/>
    </xf>
    <xf numFmtId="0" fontId="0" fillId="0" borderId="52" xfId="0" applyBorder="1" applyAlignment="1">
      <alignment horizontal="left" vertical="top" wrapText="1"/>
    </xf>
    <xf numFmtId="0" fontId="0" fillId="0" borderId="52" xfId="0" applyBorder="1" applyAlignment="1">
      <alignment horizontal="left" vertical="top"/>
    </xf>
    <xf numFmtId="0" fontId="0" fillId="0" borderId="66" xfId="0" applyBorder="1" applyAlignment="1">
      <alignment horizontal="left" vertical="top"/>
    </xf>
    <xf numFmtId="49" fontId="11" fillId="15" borderId="0" xfId="0" applyNumberFormat="1" applyFont="1" applyFill="1" applyAlignment="1">
      <alignment horizontal="left" vertical="center" readingOrder="1"/>
    </xf>
    <xf numFmtId="49" fontId="11" fillId="15" borderId="2" xfId="0" applyNumberFormat="1" applyFont="1" applyFill="1" applyBorder="1" applyAlignment="1">
      <alignment horizontal="left" vertical="center" readingOrder="1"/>
    </xf>
    <xf numFmtId="0" fontId="25" fillId="4" borderId="66" xfId="0" applyFont="1" applyFill="1" applyBorder="1" applyAlignment="1">
      <alignment horizontal="center" vertical="center"/>
    </xf>
    <xf numFmtId="0" fontId="2" fillId="5" borderId="66" xfId="0" applyFont="1" applyFill="1" applyBorder="1" applyAlignment="1">
      <alignment horizontal="center" vertical="center" wrapText="1"/>
    </xf>
    <xf numFmtId="49" fontId="11" fillId="15" borderId="66" xfId="0" applyNumberFormat="1" applyFont="1" applyFill="1" applyBorder="1" applyAlignment="1">
      <alignment vertical="center" readingOrder="1"/>
    </xf>
    <xf numFmtId="0" fontId="0" fillId="0" borderId="66" xfId="0" applyBorder="1"/>
    <xf numFmtId="49" fontId="11" fillId="15" borderId="63" xfId="0" applyNumberFormat="1" applyFont="1" applyFill="1" applyBorder="1" applyAlignment="1">
      <alignment vertical="center" readingOrder="1"/>
    </xf>
    <xf numFmtId="0" fontId="2" fillId="5" borderId="66" xfId="0" applyFont="1" applyFill="1" applyBorder="1" applyAlignment="1">
      <alignment vertical="center" wrapText="1"/>
    </xf>
    <xf numFmtId="11" fontId="0" fillId="0" borderId="0" xfId="0" applyNumberFormat="1"/>
    <xf numFmtId="0" fontId="43" fillId="2" borderId="10" xfId="0" applyFont="1" applyFill="1" applyBorder="1" applyAlignment="1">
      <alignment vertical="center" wrapText="1"/>
    </xf>
    <xf numFmtId="0" fontId="0" fillId="0" borderId="42" xfId="0" applyBorder="1" applyAlignment="1">
      <alignment horizontal="left" vertical="top" wrapText="1"/>
    </xf>
    <xf numFmtId="0" fontId="13" fillId="0" borderId="33" xfId="0" applyFont="1" applyBorder="1"/>
    <xf numFmtId="0" fontId="13" fillId="0" borderId="17" xfId="0" applyFont="1" applyBorder="1"/>
    <xf numFmtId="0" fontId="13" fillId="0" borderId="68" xfId="0" applyFont="1" applyBorder="1" applyAlignment="1">
      <alignment horizontal="center" vertical="top" wrapText="1"/>
    </xf>
    <xf numFmtId="0" fontId="0" fillId="0" borderId="0" xfId="0" applyAlignment="1">
      <alignment horizontal="left" indent="2"/>
    </xf>
    <xf numFmtId="0" fontId="54" fillId="24" borderId="17" xfId="0" applyFont="1" applyFill="1" applyBorder="1" applyAlignment="1">
      <alignment horizontal="left" vertical="top"/>
    </xf>
    <xf numFmtId="0" fontId="66" fillId="24" borderId="17" xfId="0" applyFont="1" applyFill="1" applyBorder="1" applyAlignment="1">
      <alignment horizontal="left" vertical="top"/>
    </xf>
    <xf numFmtId="0" fontId="53" fillId="23" borderId="8" xfId="0" applyFont="1" applyFill="1" applyBorder="1" applyAlignment="1">
      <alignment horizontal="left" vertical="center"/>
    </xf>
    <xf numFmtId="0" fontId="66" fillId="24" borderId="0" xfId="0" applyFont="1" applyFill="1"/>
    <xf numFmtId="2" fontId="67" fillId="0" borderId="62" xfId="2" applyNumberFormat="1" applyFont="1" applyBorder="1" applyAlignment="1">
      <alignment horizontal="right" vertical="top" wrapText="1"/>
    </xf>
    <xf numFmtId="2" fontId="68" fillId="0" borderId="62" xfId="2" applyNumberFormat="1" applyFont="1" applyBorder="1" applyAlignment="1">
      <alignment horizontal="right" vertical="top" wrapText="1"/>
    </xf>
    <xf numFmtId="0" fontId="2" fillId="4" borderId="72" xfId="0" applyFont="1" applyFill="1" applyBorder="1" applyAlignment="1">
      <alignment horizontal="center" vertical="center"/>
    </xf>
    <xf numFmtId="0" fontId="2" fillId="2" borderId="72" xfId="0" applyFont="1" applyFill="1" applyBorder="1" applyAlignment="1">
      <alignment vertical="center"/>
    </xf>
    <xf numFmtId="0" fontId="0" fillId="0" borderId="72" xfId="0" applyBorder="1" applyAlignment="1">
      <alignment horizontal="left" vertical="top"/>
    </xf>
    <xf numFmtId="0" fontId="41" fillId="0" borderId="72" xfId="0" applyFont="1" applyBorder="1" applyAlignment="1">
      <alignment horizontal="left" vertical="top" wrapText="1"/>
    </xf>
    <xf numFmtId="0" fontId="37" fillId="0" borderId="72" xfId="0" applyFont="1" applyBorder="1" applyAlignment="1">
      <alignment horizontal="left" vertical="top"/>
    </xf>
    <xf numFmtId="0" fontId="49" fillId="0" borderId="72" xfId="0" applyFont="1" applyBorder="1" applyAlignment="1">
      <alignment horizontal="left" vertical="top"/>
    </xf>
    <xf numFmtId="0" fontId="49" fillId="0" borderId="72" xfId="0" applyFont="1" applyBorder="1" applyAlignment="1">
      <alignment horizontal="left" vertical="top" wrapText="1"/>
    </xf>
    <xf numFmtId="0" fontId="0" fillId="0" borderId="72" xfId="0" applyBorder="1" applyAlignment="1">
      <alignment vertical="top"/>
    </xf>
    <xf numFmtId="0" fontId="13" fillId="24" borderId="17" xfId="0" applyFont="1" applyFill="1" applyBorder="1" applyAlignment="1">
      <alignment horizontal="left" vertical="top" wrapText="1"/>
    </xf>
    <xf numFmtId="0" fontId="13" fillId="24" borderId="0" xfId="0" applyFont="1" applyFill="1" applyAlignment="1">
      <alignment horizontal="left" vertical="top" wrapText="1"/>
    </xf>
    <xf numFmtId="0" fontId="13" fillId="24" borderId="33" xfId="0" applyFont="1" applyFill="1" applyBorder="1" applyAlignment="1">
      <alignment horizontal="left" vertical="top" wrapText="1"/>
    </xf>
    <xf numFmtId="0" fontId="13" fillId="24" borderId="0" xfId="0" applyFont="1" applyFill="1" applyAlignment="1">
      <alignment horizontal="left" vertical="top"/>
    </xf>
    <xf numFmtId="0" fontId="13" fillId="24" borderId="33" xfId="0" applyFont="1" applyFill="1" applyBorder="1" applyAlignment="1">
      <alignment horizontal="left" vertical="top"/>
    </xf>
    <xf numFmtId="0" fontId="13" fillId="0" borderId="72" xfId="0" applyFont="1" applyBorder="1" applyAlignment="1">
      <alignment vertical="top" wrapText="1"/>
    </xf>
    <xf numFmtId="0" fontId="13" fillId="0" borderId="72" xfId="0" applyFont="1" applyBorder="1" applyAlignment="1">
      <alignment horizontal="center" vertical="center" wrapText="1"/>
    </xf>
    <xf numFmtId="0" fontId="13" fillId="0" borderId="72" xfId="0" applyFont="1" applyBorder="1" applyAlignment="1">
      <alignment horizontal="center" vertical="center"/>
    </xf>
    <xf numFmtId="0" fontId="13" fillId="0" borderId="72" xfId="0" applyFont="1" applyBorder="1" applyAlignment="1">
      <alignment horizontal="left" vertical="top" wrapText="1"/>
    </xf>
    <xf numFmtId="0" fontId="13" fillId="0" borderId="72" xfId="0" applyFont="1" applyBorder="1" applyAlignment="1">
      <alignment horizontal="left" vertical="top"/>
    </xf>
    <xf numFmtId="0" fontId="13" fillId="0" borderId="72" xfId="0" applyFont="1" applyBorder="1" applyAlignment="1">
      <alignment horizontal="left" vertical="center" wrapText="1"/>
    </xf>
    <xf numFmtId="0" fontId="52" fillId="15" borderId="72" xfId="0" applyFont="1" applyFill="1" applyBorder="1" applyAlignment="1">
      <alignment horizontal="center" vertical="center"/>
    </xf>
    <xf numFmtId="0" fontId="52" fillId="15" borderId="72" xfId="0" applyFont="1" applyFill="1" applyBorder="1" applyAlignment="1">
      <alignment vertical="center"/>
    </xf>
    <xf numFmtId="0" fontId="13" fillId="0" borderId="72" xfId="0" applyFont="1" applyBorder="1" applyAlignment="1">
      <alignment horizontal="center" vertical="top" wrapText="1"/>
    </xf>
    <xf numFmtId="0" fontId="2" fillId="0" borderId="0" xfId="0" applyFont="1" applyAlignment="1">
      <alignment vertical="center" wrapText="1"/>
    </xf>
    <xf numFmtId="0" fontId="2" fillId="2" borderId="72" xfId="0" applyFont="1" applyFill="1" applyBorder="1" applyAlignment="1">
      <alignment vertical="center" wrapText="1"/>
    </xf>
    <xf numFmtId="0" fontId="2" fillId="2" borderId="63" xfId="0" applyFont="1" applyFill="1" applyBorder="1" applyAlignment="1">
      <alignment vertical="center" wrapText="1"/>
    </xf>
    <xf numFmtId="49" fontId="2" fillId="2" borderId="72" xfId="0" applyNumberFormat="1" applyFont="1" applyFill="1" applyBorder="1" applyAlignment="1">
      <alignment horizontal="left" vertical="center" wrapText="1"/>
    </xf>
    <xf numFmtId="49" fontId="2" fillId="2" borderId="72" xfId="0" quotePrefix="1" applyNumberFormat="1" applyFont="1" applyFill="1" applyBorder="1" applyAlignment="1">
      <alignment horizontal="left" vertical="center" wrapText="1"/>
    </xf>
    <xf numFmtId="0" fontId="45" fillId="0" borderId="72" xfId="2" applyFont="1" applyBorder="1" applyAlignment="1">
      <alignment horizontal="center" vertical="top" wrapText="1"/>
    </xf>
    <xf numFmtId="2" fontId="67" fillId="0" borderId="72" xfId="2" applyNumberFormat="1" applyFont="1" applyBorder="1" applyAlignment="1">
      <alignment horizontal="right" vertical="top" wrapText="1"/>
    </xf>
    <xf numFmtId="0" fontId="50" fillId="0" borderId="72" xfId="2" applyFont="1" applyBorder="1" applyAlignment="1">
      <alignment horizontal="center" vertical="top" wrapText="1"/>
    </xf>
    <xf numFmtId="9" fontId="2" fillId="2" borderId="72" xfId="0" quotePrefix="1" applyNumberFormat="1" applyFont="1" applyFill="1" applyBorder="1" applyAlignment="1">
      <alignment horizontal="left" vertical="center" wrapText="1"/>
    </xf>
    <xf numFmtId="49" fontId="49" fillId="0" borderId="0" xfId="0" quotePrefix="1" applyNumberFormat="1" applyFont="1" applyAlignment="1">
      <alignment horizontal="left" vertical="center" wrapText="1"/>
    </xf>
    <xf numFmtId="0" fontId="0" fillId="0" borderId="0" xfId="0" quotePrefix="1" applyAlignment="1">
      <alignment horizontal="left"/>
    </xf>
    <xf numFmtId="0" fontId="4" fillId="0" borderId="0" xfId="0" applyFont="1" applyAlignment="1">
      <alignment vertical="center" wrapText="1"/>
    </xf>
    <xf numFmtId="0" fontId="22" fillId="0" borderId="68" xfId="0" applyFont="1" applyBorder="1" applyAlignment="1">
      <alignment horizontal="center"/>
    </xf>
    <xf numFmtId="0" fontId="22" fillId="10" borderId="72" xfId="0" applyFont="1" applyFill="1" applyBorder="1" applyAlignment="1">
      <alignment horizontal="left" vertical="top" wrapText="1"/>
    </xf>
    <xf numFmtId="0" fontId="2" fillId="0" borderId="72" xfId="2" applyBorder="1" applyAlignment="1">
      <alignment horizontal="center" vertical="top" wrapText="1"/>
    </xf>
    <xf numFmtId="0" fontId="47" fillId="0" borderId="72" xfId="2" applyFont="1" applyBorder="1" applyAlignment="1">
      <alignment horizontal="center" vertical="top" wrapText="1"/>
    </xf>
    <xf numFmtId="1" fontId="46" fillId="0" borderId="72" xfId="2" applyNumberFormat="1" applyFont="1" applyBorder="1" applyAlignment="1">
      <alignment horizontal="center" vertical="center" shrinkToFit="1"/>
    </xf>
    <xf numFmtId="1" fontId="46" fillId="0" borderId="72" xfId="2" applyNumberFormat="1" applyFont="1" applyBorder="1" applyAlignment="1">
      <alignment horizontal="center" vertical="top" shrinkToFit="1"/>
    </xf>
    <xf numFmtId="0" fontId="45" fillId="0" borderId="72" xfId="2" applyFont="1" applyBorder="1" applyAlignment="1">
      <alignment horizontal="center" vertical="center" wrapText="1"/>
    </xf>
    <xf numFmtId="0" fontId="56" fillId="0" borderId="72" xfId="2" applyFont="1" applyBorder="1" applyAlignment="1">
      <alignment horizontal="center" vertical="top" wrapText="1"/>
    </xf>
    <xf numFmtId="0" fontId="47" fillId="0" borderId="72" xfId="2" applyFont="1" applyBorder="1" applyAlignment="1">
      <alignment horizontal="left" vertical="top" wrapText="1" indent="1"/>
    </xf>
    <xf numFmtId="1" fontId="0" fillId="0" borderId="10" xfId="0" applyNumberFormat="1" applyBorder="1" applyAlignment="1" applyProtection="1">
      <alignment horizontal="left" vertical="top" wrapText="1"/>
      <protection locked="0"/>
    </xf>
    <xf numFmtId="0" fontId="0" fillId="0" borderId="0" xfId="0" applyProtection="1">
      <protection locked="0"/>
    </xf>
    <xf numFmtId="0" fontId="13" fillId="0" borderId="65" xfId="0" applyFont="1" applyBorder="1" applyAlignment="1">
      <alignment horizontal="center" vertical="top" wrapText="1"/>
    </xf>
    <xf numFmtId="0" fontId="25" fillId="4" borderId="10" xfId="0" applyFont="1" applyFill="1" applyBorder="1" applyAlignment="1">
      <alignment horizontal="center" vertical="center"/>
    </xf>
    <xf numFmtId="0" fontId="2" fillId="2" borderId="10" xfId="0" applyFont="1" applyFill="1" applyBorder="1" applyAlignment="1">
      <alignment horizontal="left" vertical="center" wrapText="1"/>
    </xf>
    <xf numFmtId="0" fontId="7" fillId="2" borderId="10" xfId="0" applyFont="1" applyFill="1" applyBorder="1" applyAlignment="1">
      <alignment vertical="center" wrapText="1"/>
    </xf>
    <xf numFmtId="4" fontId="2" fillId="31" borderId="10" xfId="0" applyNumberFormat="1" applyFont="1" applyFill="1" applyBorder="1" applyAlignment="1" applyProtection="1">
      <alignment horizontal="right" vertical="center"/>
      <protection locked="0"/>
    </xf>
    <xf numFmtId="49" fontId="0" fillId="0" borderId="10" xfId="0" applyNumberFormat="1" applyBorder="1" applyAlignment="1" applyProtection="1">
      <alignment horizontal="left" vertical="top" wrapText="1"/>
      <protection locked="0"/>
    </xf>
    <xf numFmtId="4" fontId="2" fillId="31" borderId="72" xfId="0" applyNumberFormat="1" applyFont="1" applyFill="1" applyBorder="1" applyAlignment="1" applyProtection="1">
      <alignment horizontal="right" vertical="center"/>
      <protection locked="0"/>
    </xf>
    <xf numFmtId="0" fontId="0" fillId="0" borderId="0" xfId="0" applyAlignment="1">
      <alignment horizontal="left"/>
    </xf>
    <xf numFmtId="0" fontId="2" fillId="0" borderId="15" xfId="0" applyFont="1" applyBorder="1" applyAlignment="1">
      <alignment horizontal="center" vertical="center"/>
    </xf>
    <xf numFmtId="0" fontId="2" fillId="0" borderId="10" xfId="0" applyFont="1" applyBorder="1" applyAlignment="1">
      <alignment vertical="center" wrapText="1"/>
    </xf>
    <xf numFmtId="0" fontId="2" fillId="0" borderId="16" xfId="0" applyFont="1" applyBorder="1" applyAlignment="1">
      <alignment horizontal="center" vertical="center"/>
    </xf>
    <xf numFmtId="0" fontId="2" fillId="0" borderId="40" xfId="0" applyFont="1" applyBorder="1" applyAlignment="1">
      <alignment vertical="center" wrapText="1"/>
    </xf>
    <xf numFmtId="0" fontId="0" fillId="0" borderId="66" xfId="0" applyBorder="1" applyAlignment="1" applyProtection="1">
      <alignment vertical="center"/>
      <protection locked="0"/>
    </xf>
    <xf numFmtId="0" fontId="0" fillId="0" borderId="0" xfId="0" applyAlignment="1">
      <alignment vertical="center"/>
    </xf>
    <xf numFmtId="0" fontId="0" fillId="0" borderId="6" xfId="0" applyBorder="1"/>
    <xf numFmtId="49" fontId="40" fillId="0" borderId="66" xfId="0" applyNumberFormat="1" applyFont="1" applyBorder="1" applyProtection="1">
      <protection locked="0"/>
    </xf>
    <xf numFmtId="0" fontId="40" fillId="0" borderId="0" xfId="0" applyFont="1"/>
    <xf numFmtId="0" fontId="0" fillId="0" borderId="66" xfId="0" applyBorder="1" applyProtection="1">
      <protection locked="0"/>
    </xf>
    <xf numFmtId="0" fontId="34" fillId="0" borderId="0" xfId="0" applyFont="1" applyAlignment="1">
      <alignment vertical="center"/>
    </xf>
    <xf numFmtId="0" fontId="39" fillId="0" borderId="63" xfId="0" applyFont="1" applyBorder="1" applyAlignment="1">
      <alignment horizontal="left" vertical="top"/>
    </xf>
    <xf numFmtId="49" fontId="41" fillId="0" borderId="66" xfId="0" applyNumberFormat="1" applyFont="1" applyBorder="1" applyAlignment="1" applyProtection="1">
      <alignment horizontal="left" vertical="top" wrapText="1"/>
      <protection locked="0"/>
    </xf>
    <xf numFmtId="0" fontId="39" fillId="0" borderId="0" xfId="0" applyFont="1" applyAlignment="1">
      <alignment horizontal="center"/>
    </xf>
    <xf numFmtId="0" fontId="41" fillId="0" borderId="66" xfId="0" applyFont="1" applyBorder="1" applyAlignment="1">
      <alignment vertical="top"/>
    </xf>
    <xf numFmtId="0" fontId="41" fillId="0" borderId="66" xfId="0" applyFont="1" applyBorder="1" applyAlignment="1" applyProtection="1">
      <alignment horizontal="left" vertical="top" wrapText="1"/>
      <protection locked="0"/>
    </xf>
    <xf numFmtId="0" fontId="0" fillId="0" borderId="66" xfId="0" applyBorder="1" applyAlignment="1" applyProtection="1">
      <alignment horizontal="left" vertical="top" wrapText="1"/>
      <protection locked="0"/>
    </xf>
    <xf numFmtId="0" fontId="41" fillId="0" borderId="66" xfId="0" applyFont="1" applyBorder="1" applyAlignment="1">
      <alignment horizontal="left" vertical="top"/>
    </xf>
    <xf numFmtId="1" fontId="0" fillId="0" borderId="66" xfId="0" applyNumberFormat="1" applyBorder="1" applyAlignment="1" applyProtection="1">
      <alignment horizontal="left" vertical="top" wrapText="1"/>
      <protection locked="0"/>
    </xf>
    <xf numFmtId="0" fontId="0" fillId="0" borderId="0" xfId="0" applyAlignment="1">
      <alignment vertical="center" wrapText="1"/>
    </xf>
    <xf numFmtId="0" fontId="0" fillId="0" borderId="36" xfId="0" applyBorder="1"/>
    <xf numFmtId="0" fontId="0" fillId="0" borderId="0" xfId="0" applyAlignment="1">
      <alignment horizontal="center"/>
    </xf>
    <xf numFmtId="0" fontId="0" fillId="0" borderId="66" xfId="0" applyBorder="1" applyAlignment="1">
      <alignment horizontal="left"/>
    </xf>
    <xf numFmtId="0" fontId="0" fillId="0" borderId="67" xfId="0" applyBorder="1" applyProtection="1">
      <protection locked="0"/>
    </xf>
    <xf numFmtId="0" fontId="0" fillId="0" borderId="0" xfId="0" applyAlignment="1" applyProtection="1">
      <alignment wrapText="1"/>
      <protection locked="0"/>
    </xf>
    <xf numFmtId="0" fontId="0" fillId="0" borderId="0" xfId="0" applyAlignment="1">
      <alignment horizontal="left" wrapText="1"/>
    </xf>
    <xf numFmtId="0" fontId="0" fillId="0" borderId="36" xfId="0" applyBorder="1" applyAlignment="1">
      <alignment horizontal="left" wrapText="1"/>
    </xf>
    <xf numFmtId="0" fontId="0" fillId="0" borderId="0" xfId="0" applyAlignment="1">
      <alignment horizontal="center" wrapText="1"/>
    </xf>
    <xf numFmtId="0" fontId="33" fillId="0" borderId="0" xfId="0" applyFont="1"/>
    <xf numFmtId="0" fontId="38" fillId="0" borderId="66" xfId="0" applyFont="1" applyBorder="1"/>
    <xf numFmtId="0" fontId="0" fillId="0" borderId="72" xfId="0" applyBorder="1" applyAlignment="1" applyProtection="1">
      <alignment horizontal="left"/>
      <protection locked="0"/>
    </xf>
    <xf numFmtId="49" fontId="0" fillId="0" borderId="72" xfId="0" applyNumberFormat="1" applyBorder="1" applyAlignment="1" applyProtection="1">
      <alignment horizontal="left" vertical="top" wrapText="1"/>
      <protection locked="0"/>
    </xf>
    <xf numFmtId="0" fontId="37" fillId="0" borderId="0" xfId="0" applyFont="1" applyAlignment="1">
      <alignment horizontal="center"/>
    </xf>
    <xf numFmtId="14" fontId="41" fillId="0" borderId="66" xfId="0" applyNumberFormat="1" applyFont="1" applyBorder="1" applyAlignment="1">
      <alignment horizontal="left" vertical="top"/>
    </xf>
    <xf numFmtId="0" fontId="0" fillId="0" borderId="50" xfId="0" applyBorder="1" applyAlignment="1" applyProtection="1">
      <alignment vertical="center"/>
      <protection locked="0"/>
    </xf>
    <xf numFmtId="0" fontId="39" fillId="0" borderId="18" xfId="0" applyFont="1" applyBorder="1" applyAlignment="1">
      <alignment horizontal="left" vertical="top"/>
    </xf>
    <xf numFmtId="49" fontId="41" fillId="0" borderId="50" xfId="0" applyNumberFormat="1" applyFont="1" applyBorder="1" applyAlignment="1" applyProtection="1">
      <alignment horizontal="left" vertical="top" wrapText="1"/>
      <protection locked="0"/>
    </xf>
    <xf numFmtId="0" fontId="41" fillId="0" borderId="50" xfId="0" applyFont="1" applyBorder="1" applyAlignment="1">
      <alignment vertical="top"/>
    </xf>
    <xf numFmtId="0" fontId="41" fillId="0" borderId="10" xfId="0" applyFont="1" applyBorder="1" applyAlignment="1" applyProtection="1">
      <alignment vertical="top" wrapText="1"/>
      <protection locked="0"/>
    </xf>
    <xf numFmtId="0" fontId="0" fillId="0" borderId="0" xfId="0" applyAlignment="1">
      <alignment horizontal="center" vertical="center"/>
    </xf>
    <xf numFmtId="0" fontId="0" fillId="0" borderId="50" xfId="0" applyBorder="1"/>
    <xf numFmtId="49" fontId="40" fillId="0" borderId="50" xfId="0" applyNumberFormat="1" applyFont="1" applyBorder="1" applyAlignment="1" applyProtection="1">
      <alignment horizontal="left"/>
      <protection locked="0"/>
    </xf>
    <xf numFmtId="0" fontId="0" fillId="0" borderId="50" xfId="0" applyBorder="1" applyProtection="1">
      <protection locked="0"/>
    </xf>
    <xf numFmtId="0" fontId="38" fillId="0" borderId="50" xfId="0" applyFont="1" applyBorder="1"/>
    <xf numFmtId="49" fontId="41" fillId="0" borderId="72" xfId="0" applyNumberFormat="1" applyFont="1" applyBorder="1" applyAlignment="1" applyProtection="1">
      <alignment horizontal="left" vertical="top" wrapText="1"/>
      <protection locked="0"/>
    </xf>
    <xf numFmtId="49" fontId="40" fillId="0" borderId="50" xfId="0" applyNumberFormat="1" applyFont="1" applyBorder="1" applyAlignment="1" applyProtection="1">
      <alignment horizontal="left" vertical="top" wrapText="1"/>
      <protection locked="0"/>
    </xf>
    <xf numFmtId="14" fontId="41" fillId="0" borderId="50" xfId="0" applyNumberFormat="1" applyFont="1" applyBorder="1" applyAlignment="1">
      <alignment vertical="top"/>
    </xf>
    <xf numFmtId="0" fontId="0" fillId="0" borderId="10" xfId="0" applyBorder="1" applyAlignment="1" applyProtection="1">
      <alignment horizontal="left" vertical="top" wrapText="1"/>
      <protection locked="0"/>
    </xf>
    <xf numFmtId="4" fontId="2" fillId="0" borderId="10" xfId="0" applyNumberFormat="1" applyFont="1" applyBorder="1" applyAlignment="1" applyProtection="1">
      <alignment horizontal="right" vertical="center"/>
      <protection locked="0"/>
    </xf>
    <xf numFmtId="4" fontId="5" fillId="27" borderId="10" xfId="0" applyNumberFormat="1" applyFont="1" applyFill="1" applyBorder="1" applyAlignment="1">
      <alignment horizontal="right" vertical="center"/>
    </xf>
    <xf numFmtId="4" fontId="2" fillId="0" borderId="72" xfId="0" applyNumberFormat="1" applyFont="1" applyBorder="1" applyAlignment="1" applyProtection="1">
      <alignment horizontal="right" vertical="center"/>
      <protection locked="0"/>
    </xf>
    <xf numFmtId="0" fontId="0" fillId="0" borderId="72" xfId="0" applyBorder="1" applyAlignment="1" applyProtection="1">
      <alignment vertical="center"/>
      <protection locked="0"/>
    </xf>
    <xf numFmtId="4" fontId="2" fillId="32" borderId="10" xfId="0" applyNumberFormat="1" applyFont="1" applyFill="1" applyBorder="1" applyAlignment="1">
      <alignment horizontal="right" vertical="center"/>
    </xf>
    <xf numFmtId="4" fontId="7" fillId="27" borderId="10" xfId="0" applyNumberFormat="1" applyFont="1" applyFill="1" applyBorder="1" applyAlignment="1">
      <alignment horizontal="right" vertical="center"/>
    </xf>
    <xf numFmtId="0" fontId="73" fillId="0" borderId="62" xfId="0" applyFont="1" applyBorder="1" applyProtection="1">
      <protection locked="0"/>
    </xf>
    <xf numFmtId="49" fontId="73" fillId="0" borderId="62" xfId="0" applyNumberFormat="1" applyFont="1" applyBorder="1" applyAlignment="1" applyProtection="1">
      <alignment horizontal="left" vertical="top" wrapText="1"/>
      <protection locked="0"/>
    </xf>
    <xf numFmtId="49" fontId="0" fillId="0" borderId="62" xfId="0" applyNumberFormat="1" applyBorder="1" applyAlignment="1" applyProtection="1">
      <alignment horizontal="left" vertical="top" wrapText="1"/>
      <protection locked="0"/>
    </xf>
    <xf numFmtId="0" fontId="0" fillId="0" borderId="62" xfId="0" applyBorder="1" applyProtection="1">
      <protection locked="0"/>
    </xf>
    <xf numFmtId="0" fontId="0" fillId="0" borderId="29" xfId="0" applyBorder="1"/>
    <xf numFmtId="0" fontId="13" fillId="24" borderId="0" xfId="0" applyFont="1" applyFill="1" applyAlignment="1">
      <alignment horizontal="left" vertical="top" wrapText="1"/>
    </xf>
    <xf numFmtId="0" fontId="22" fillId="24" borderId="0" xfId="0" applyFont="1" applyFill="1" applyAlignment="1">
      <alignment horizontal="left" vertical="top" wrapText="1"/>
    </xf>
    <xf numFmtId="0" fontId="22" fillId="24" borderId="0" xfId="0" applyFont="1" applyFill="1" applyAlignment="1">
      <alignment horizontal="left" vertical="top"/>
    </xf>
    <xf numFmtId="0" fontId="53" fillId="15" borderId="0" xfId="0" applyFont="1" applyFill="1" applyAlignment="1">
      <alignment horizontal="left" vertical="center"/>
    </xf>
    <xf numFmtId="0" fontId="42" fillId="15" borderId="0" xfId="0" applyFont="1" applyFill="1" applyAlignment="1">
      <alignment horizontal="center" vertical="center" wrapText="1"/>
    </xf>
    <xf numFmtId="0" fontId="53" fillId="23" borderId="0" xfId="0" applyFont="1" applyFill="1" applyAlignment="1">
      <alignment horizontal="left" vertical="center"/>
    </xf>
    <xf numFmtId="0" fontId="13" fillId="24" borderId="0" xfId="0" applyFont="1" applyFill="1" applyAlignment="1">
      <alignment horizontal="left" vertical="top"/>
    </xf>
    <xf numFmtId="0" fontId="13" fillId="24" borderId="0" xfId="0" applyFont="1" applyFill="1" applyAlignment="1">
      <alignment vertical="top" wrapText="1"/>
    </xf>
    <xf numFmtId="0" fontId="53" fillId="15" borderId="72" xfId="0" applyFont="1" applyFill="1" applyBorder="1" applyAlignment="1">
      <alignment horizontal="center" vertical="center"/>
    </xf>
    <xf numFmtId="0" fontId="52" fillId="15" borderId="72" xfId="0" applyFont="1" applyFill="1" applyBorder="1" applyAlignment="1">
      <alignment horizontal="center" vertical="center"/>
    </xf>
    <xf numFmtId="0" fontId="13" fillId="0" borderId="36" xfId="0" applyFont="1" applyBorder="1" applyAlignment="1">
      <alignment horizontal="center" vertical="center"/>
    </xf>
    <xf numFmtId="0" fontId="13" fillId="0" borderId="44" xfId="0" applyFont="1" applyBorder="1" applyAlignment="1">
      <alignment horizontal="center" vertical="center"/>
    </xf>
    <xf numFmtId="0" fontId="13" fillId="0" borderId="42" xfId="0" applyFont="1" applyBorder="1" applyAlignment="1">
      <alignment horizontal="center" vertical="center"/>
    </xf>
    <xf numFmtId="0" fontId="13" fillId="0" borderId="36" xfId="0" applyFont="1" applyBorder="1" applyAlignment="1">
      <alignment horizontal="center" vertical="center" wrapText="1"/>
    </xf>
    <xf numFmtId="0" fontId="13" fillId="0" borderId="44" xfId="0" applyFont="1" applyBorder="1" applyAlignment="1">
      <alignment horizontal="center" vertical="center" wrapText="1"/>
    </xf>
    <xf numFmtId="0" fontId="13" fillId="0" borderId="42" xfId="0" applyFont="1" applyBorder="1" applyAlignment="1">
      <alignment horizontal="center" vertical="center" wrapText="1"/>
    </xf>
    <xf numFmtId="0" fontId="13" fillId="0" borderId="72" xfId="0" applyFont="1" applyBorder="1" applyAlignment="1">
      <alignment horizontal="left" vertical="top" wrapText="1"/>
    </xf>
    <xf numFmtId="0" fontId="13" fillId="0" borderId="72" xfId="0" applyFont="1" applyBorder="1" applyAlignment="1">
      <alignment horizontal="center" vertical="center" wrapText="1"/>
    </xf>
    <xf numFmtId="0" fontId="13" fillId="0" borderId="72" xfId="0" applyFont="1" applyBorder="1" applyAlignment="1">
      <alignment horizontal="left" vertical="top"/>
    </xf>
    <xf numFmtId="0" fontId="13" fillId="0" borderId="63" xfId="0" applyFont="1" applyBorder="1" applyAlignment="1">
      <alignment horizontal="left" vertical="top"/>
    </xf>
    <xf numFmtId="0" fontId="13" fillId="0" borderId="64" xfId="0" applyFont="1" applyBorder="1" applyAlignment="1">
      <alignment horizontal="left" vertical="top"/>
    </xf>
    <xf numFmtId="0" fontId="13" fillId="0" borderId="65" xfId="0" applyFont="1" applyBorder="1" applyAlignment="1">
      <alignment horizontal="left" vertical="top"/>
    </xf>
    <xf numFmtId="0" fontId="13" fillId="0" borderId="63" xfId="0" applyFont="1" applyBorder="1" applyAlignment="1">
      <alignment horizontal="left" vertical="top" wrapText="1"/>
    </xf>
    <xf numFmtId="0" fontId="13" fillId="0" borderId="64" xfId="0" applyFont="1" applyBorder="1" applyAlignment="1">
      <alignment horizontal="left" vertical="top" wrapText="1"/>
    </xf>
    <xf numFmtId="0" fontId="13" fillId="0" borderId="65" xfId="0" applyFont="1" applyBorder="1" applyAlignment="1">
      <alignment horizontal="left" vertical="top" wrapText="1"/>
    </xf>
    <xf numFmtId="0" fontId="22" fillId="24" borderId="17" xfId="0" applyFont="1" applyFill="1" applyBorder="1" applyAlignment="1">
      <alignment horizontal="left" vertical="top" wrapText="1"/>
    </xf>
    <xf numFmtId="0" fontId="22" fillId="24" borderId="33" xfId="0" applyFont="1" applyFill="1" applyBorder="1" applyAlignment="1">
      <alignment horizontal="left" vertical="top" wrapText="1"/>
    </xf>
    <xf numFmtId="0" fontId="53" fillId="15" borderId="17" xfId="0" applyFont="1" applyFill="1" applyBorder="1" applyAlignment="1">
      <alignment horizontal="left" vertical="center"/>
    </xf>
    <xf numFmtId="0" fontId="53" fillId="15" borderId="33" xfId="0" applyFont="1" applyFill="1" applyBorder="1" applyAlignment="1">
      <alignment horizontal="left" vertical="center"/>
    </xf>
    <xf numFmtId="0" fontId="53" fillId="15" borderId="63" xfId="0" applyFont="1" applyFill="1" applyBorder="1" applyAlignment="1">
      <alignment horizontal="center" vertical="center"/>
    </xf>
    <xf numFmtId="0" fontId="53" fillId="15" borderId="64" xfId="0" applyFont="1" applyFill="1" applyBorder="1" applyAlignment="1">
      <alignment horizontal="center" vertical="center"/>
    </xf>
    <xf numFmtId="0" fontId="53" fillId="15" borderId="65" xfId="0" applyFont="1" applyFill="1" applyBorder="1" applyAlignment="1">
      <alignment horizontal="center" vertical="center"/>
    </xf>
    <xf numFmtId="0" fontId="13" fillId="24" borderId="17" xfId="0" applyFont="1" applyFill="1" applyBorder="1" applyAlignment="1">
      <alignment horizontal="left" vertical="top" wrapText="1"/>
    </xf>
    <xf numFmtId="0" fontId="13" fillId="24" borderId="33" xfId="0" applyFont="1" applyFill="1" applyBorder="1" applyAlignment="1">
      <alignment horizontal="left" vertical="top" wrapText="1"/>
    </xf>
    <xf numFmtId="0" fontId="53" fillId="23" borderId="70" xfId="0" applyFont="1" applyFill="1" applyBorder="1" applyAlignment="1">
      <alignment horizontal="left" vertical="center"/>
    </xf>
    <xf numFmtId="0" fontId="53" fillId="23" borderId="9" xfId="0" applyFont="1" applyFill="1" applyBorder="1" applyAlignment="1">
      <alignment horizontal="left" vertical="center"/>
    </xf>
    <xf numFmtId="0" fontId="53" fillId="23" borderId="69" xfId="0" applyFont="1" applyFill="1" applyBorder="1" applyAlignment="1">
      <alignment horizontal="left" vertical="center"/>
    </xf>
    <xf numFmtId="0" fontId="13" fillId="24" borderId="17" xfId="0" applyFont="1" applyFill="1" applyBorder="1" applyAlignment="1">
      <alignment horizontal="left" vertical="top"/>
    </xf>
    <xf numFmtId="0" fontId="13" fillId="24" borderId="33" xfId="0" applyFont="1" applyFill="1" applyBorder="1" applyAlignment="1">
      <alignment horizontal="left" vertical="top"/>
    </xf>
    <xf numFmtId="0" fontId="42" fillId="15" borderId="30" xfId="0" applyFont="1" applyFill="1" applyBorder="1" applyAlignment="1">
      <alignment horizontal="center" vertical="center" wrapText="1"/>
    </xf>
    <xf numFmtId="0" fontId="42" fillId="15" borderId="31" xfId="0" applyFont="1" applyFill="1" applyBorder="1" applyAlignment="1">
      <alignment horizontal="center" vertical="center" wrapText="1"/>
    </xf>
    <xf numFmtId="0" fontId="42" fillId="15" borderId="32" xfId="0" applyFont="1" applyFill="1" applyBorder="1" applyAlignment="1">
      <alignment horizontal="center" vertical="center" wrapText="1"/>
    </xf>
    <xf numFmtId="0" fontId="13" fillId="24" borderId="17" xfId="0" applyFont="1" applyFill="1" applyBorder="1" applyAlignment="1">
      <alignment horizontal="left" vertical="top" wrapText="1" indent="2"/>
    </xf>
    <xf numFmtId="0" fontId="13" fillId="24" borderId="0" xfId="0" applyFont="1" applyFill="1" applyAlignment="1">
      <alignment horizontal="left" vertical="top" wrapText="1" indent="2"/>
    </xf>
    <xf numFmtId="0" fontId="13" fillId="24" borderId="33" xfId="0" applyFont="1" applyFill="1" applyBorder="1" applyAlignment="1">
      <alignment horizontal="left" vertical="top" wrapText="1" indent="2"/>
    </xf>
    <xf numFmtId="0" fontId="13" fillId="10" borderId="72" xfId="0" applyFont="1" applyFill="1" applyBorder="1" applyAlignment="1">
      <alignment horizontal="left" vertical="top" wrapText="1"/>
    </xf>
    <xf numFmtId="0" fontId="13" fillId="0" borderId="68" xfId="0" applyFont="1" applyBorder="1" applyAlignment="1">
      <alignment horizontal="left" vertical="top" wrapText="1"/>
    </xf>
    <xf numFmtId="0" fontId="13" fillId="10" borderId="63" xfId="0" applyFont="1" applyFill="1" applyBorder="1" applyAlignment="1">
      <alignment horizontal="left" vertical="top" wrapText="1"/>
    </xf>
    <xf numFmtId="0" fontId="13" fillId="10" borderId="64" xfId="0" applyFont="1" applyFill="1" applyBorder="1" applyAlignment="1">
      <alignment horizontal="left" vertical="top" wrapText="1"/>
    </xf>
    <xf numFmtId="0" fontId="13" fillId="10" borderId="65" xfId="0" applyFont="1" applyFill="1" applyBorder="1" applyAlignment="1">
      <alignment horizontal="left" vertical="top" wrapText="1"/>
    </xf>
    <xf numFmtId="0" fontId="0" fillId="0" borderId="44" xfId="0" applyBorder="1" applyAlignment="1">
      <alignment horizontal="center" vertical="center"/>
    </xf>
    <xf numFmtId="0" fontId="0" fillId="0" borderId="42" xfId="0" applyBorder="1" applyAlignment="1">
      <alignment horizontal="center" vertical="center"/>
    </xf>
    <xf numFmtId="0" fontId="0" fillId="0" borderId="44" xfId="0" applyBorder="1" applyAlignment="1">
      <alignment horizontal="center" vertical="center" wrapText="1"/>
    </xf>
    <xf numFmtId="0" fontId="0" fillId="0" borderId="42" xfId="0" applyBorder="1" applyAlignment="1">
      <alignment horizontal="center" vertical="center" wrapText="1"/>
    </xf>
    <xf numFmtId="0" fontId="22" fillId="0" borderId="74" xfId="0" applyFont="1" applyBorder="1" applyAlignment="1">
      <alignment horizontal="left"/>
    </xf>
    <xf numFmtId="0" fontId="22" fillId="0" borderId="73" xfId="0" applyFont="1" applyBorder="1" applyAlignment="1">
      <alignment horizontal="left"/>
    </xf>
    <xf numFmtId="0" fontId="22" fillId="0" borderId="68" xfId="0" applyFont="1" applyBorder="1" applyAlignment="1">
      <alignment horizontal="left"/>
    </xf>
    <xf numFmtId="0" fontId="2" fillId="5" borderId="19" xfId="0" applyFont="1" applyFill="1" applyBorder="1" applyAlignment="1">
      <alignment horizontal="center" vertical="center" wrapText="1"/>
    </xf>
    <xf numFmtId="0" fontId="2" fillId="5" borderId="52" xfId="0" applyFont="1" applyFill="1" applyBorder="1" applyAlignment="1">
      <alignment horizontal="center" vertical="center" wrapText="1"/>
    </xf>
    <xf numFmtId="0" fontId="1" fillId="16" borderId="10" xfId="0" applyFont="1" applyFill="1" applyBorder="1" applyAlignment="1">
      <alignment horizontal="left"/>
    </xf>
    <xf numFmtId="0" fontId="1" fillId="16" borderId="10" xfId="0" applyFont="1" applyFill="1" applyBorder="1" applyAlignment="1">
      <alignment horizontal="left" wrapText="1"/>
    </xf>
    <xf numFmtId="0" fontId="18" fillId="17" borderId="30" xfId="0" applyFont="1" applyFill="1" applyBorder="1" applyAlignment="1">
      <alignment horizontal="center" vertical="center" wrapText="1"/>
    </xf>
    <xf numFmtId="0" fontId="18" fillId="17" borderId="31" xfId="0" applyFont="1" applyFill="1" applyBorder="1" applyAlignment="1">
      <alignment horizontal="center" vertical="center" wrapText="1"/>
    </xf>
    <xf numFmtId="0" fontId="18" fillId="17" borderId="32" xfId="0" applyFont="1" applyFill="1" applyBorder="1" applyAlignment="1">
      <alignment horizontal="center" vertical="center" wrapText="1"/>
    </xf>
    <xf numFmtId="0" fontId="18" fillId="17" borderId="17" xfId="0" applyFont="1" applyFill="1" applyBorder="1" applyAlignment="1">
      <alignment horizontal="center" vertical="center" wrapText="1"/>
    </xf>
    <xf numFmtId="0" fontId="18" fillId="17" borderId="0" xfId="0" applyFont="1" applyFill="1" applyAlignment="1">
      <alignment horizontal="center" vertical="center" wrapText="1"/>
    </xf>
    <xf numFmtId="0" fontId="18" fillId="17" borderId="33" xfId="0" applyFont="1" applyFill="1" applyBorder="1" applyAlignment="1">
      <alignment horizontal="center" vertical="center" wrapText="1"/>
    </xf>
    <xf numFmtId="0" fontId="18" fillId="17" borderId="34" xfId="0" applyFont="1" applyFill="1" applyBorder="1" applyAlignment="1">
      <alignment horizontal="center" vertical="center" wrapText="1"/>
    </xf>
    <xf numFmtId="0" fontId="18" fillId="17" borderId="29" xfId="0" applyFont="1" applyFill="1" applyBorder="1" applyAlignment="1">
      <alignment horizontal="center" vertical="center" wrapText="1"/>
    </xf>
    <xf numFmtId="0" fontId="18" fillId="17" borderId="35" xfId="0" applyFont="1" applyFill="1" applyBorder="1" applyAlignment="1">
      <alignment horizontal="center" vertical="center" wrapText="1"/>
    </xf>
    <xf numFmtId="0" fontId="29" fillId="16" borderId="30" xfId="0" applyFont="1" applyFill="1" applyBorder="1" applyAlignment="1">
      <alignment horizontal="center" vertical="center"/>
    </xf>
    <xf numFmtId="0" fontId="30" fillId="16" borderId="31" xfId="0" applyFont="1" applyFill="1" applyBorder="1" applyAlignment="1">
      <alignment horizontal="center" vertical="center"/>
    </xf>
    <xf numFmtId="0" fontId="30" fillId="16" borderId="34" xfId="0" applyFont="1" applyFill="1" applyBorder="1" applyAlignment="1">
      <alignment horizontal="center" vertical="center"/>
    </xf>
    <xf numFmtId="0" fontId="30" fillId="16" borderId="29" xfId="0" applyFont="1" applyFill="1" applyBorder="1" applyAlignment="1">
      <alignment horizontal="center" vertical="center"/>
    </xf>
    <xf numFmtId="0" fontId="28" fillId="14" borderId="37" xfId="0" applyFont="1" applyFill="1" applyBorder="1" applyAlignment="1">
      <alignment horizontal="center"/>
    </xf>
    <xf numFmtId="0" fontId="28" fillId="14" borderId="31" xfId="0" applyFont="1" applyFill="1" applyBorder="1" applyAlignment="1">
      <alignment horizontal="center"/>
    </xf>
    <xf numFmtId="0" fontId="28" fillId="14" borderId="38" xfId="0" applyFont="1" applyFill="1" applyBorder="1" applyAlignment="1">
      <alignment horizontal="center"/>
    </xf>
    <xf numFmtId="0" fontId="27" fillId="10" borderId="31" xfId="0" applyFont="1" applyFill="1" applyBorder="1" applyAlignment="1">
      <alignment horizontal="center" vertical="center"/>
    </xf>
    <xf numFmtId="0" fontId="31" fillId="10" borderId="31" xfId="0" applyFont="1" applyFill="1" applyBorder="1" applyAlignment="1">
      <alignment horizontal="center" vertical="center"/>
    </xf>
    <xf numFmtId="0" fontId="31" fillId="10" borderId="0" xfId="0" applyFont="1" applyFill="1" applyAlignment="1">
      <alignment horizontal="center" vertical="center"/>
    </xf>
    <xf numFmtId="0" fontId="1" fillId="10" borderId="0" xfId="0" applyFont="1" applyFill="1" applyAlignment="1">
      <alignment horizontal="left"/>
    </xf>
    <xf numFmtId="0" fontId="13" fillId="17" borderId="18" xfId="0" applyFont="1" applyFill="1" applyBorder="1" applyAlignment="1">
      <alignment horizontal="center" vertical="center" wrapText="1"/>
    </xf>
    <xf numFmtId="0" fontId="13" fillId="17" borderId="20" xfId="0" applyFont="1" applyFill="1" applyBorder="1" applyAlignment="1">
      <alignment horizontal="center" vertical="center" wrapText="1"/>
    </xf>
    <xf numFmtId="0" fontId="13" fillId="17" borderId="19" xfId="0" applyFont="1" applyFill="1" applyBorder="1" applyAlignment="1">
      <alignment horizontal="center" vertical="center" wrapText="1"/>
    </xf>
    <xf numFmtId="0" fontId="4" fillId="14" borderId="18" xfId="0" applyFont="1" applyFill="1" applyBorder="1" applyAlignment="1">
      <alignment horizontal="left"/>
    </xf>
    <xf numFmtId="0" fontId="4" fillId="14" borderId="20" xfId="0" applyFont="1" applyFill="1" applyBorder="1" applyAlignment="1">
      <alignment horizontal="left"/>
    </xf>
    <xf numFmtId="0" fontId="4" fillId="14" borderId="19" xfId="0" applyFont="1" applyFill="1" applyBorder="1" applyAlignment="1">
      <alignment horizontal="left"/>
    </xf>
    <xf numFmtId="0" fontId="4" fillId="14" borderId="18" xfId="0" applyFont="1" applyFill="1" applyBorder="1" applyAlignment="1">
      <alignment vertical="center" wrapText="1"/>
    </xf>
    <xf numFmtId="0" fontId="4" fillId="14" borderId="20" xfId="0" applyFont="1" applyFill="1" applyBorder="1" applyAlignment="1">
      <alignment vertical="center" wrapText="1"/>
    </xf>
    <xf numFmtId="0" fontId="4" fillId="14" borderId="19" xfId="0" applyFont="1" applyFill="1" applyBorder="1" applyAlignment="1">
      <alignment vertical="center" wrapText="1"/>
    </xf>
    <xf numFmtId="0" fontId="2" fillId="5" borderId="10" xfId="0" applyFont="1" applyFill="1" applyBorder="1" applyAlignment="1">
      <alignment horizontal="center" vertical="center" wrapText="1"/>
    </xf>
    <xf numFmtId="4" fontId="2" fillId="0" borderId="10" xfId="0" applyNumberFormat="1" applyFont="1" applyBorder="1" applyAlignment="1" applyProtection="1">
      <alignment horizontal="right" vertical="center"/>
      <protection locked="0"/>
    </xf>
    <xf numFmtId="4" fontId="2" fillId="0" borderId="18" xfId="0" applyNumberFormat="1" applyFont="1" applyBorder="1" applyAlignment="1" applyProtection="1">
      <alignment horizontal="right" vertical="center"/>
      <protection locked="0"/>
    </xf>
    <xf numFmtId="0" fontId="23" fillId="12" borderId="10" xfId="0" applyFont="1" applyFill="1" applyBorder="1" applyAlignment="1">
      <alignment horizontal="center" vertical="center"/>
    </xf>
    <xf numFmtId="0" fontId="7" fillId="12" borderId="10" xfId="0" applyFont="1" applyFill="1" applyBorder="1" applyAlignment="1">
      <alignment horizontal="center" vertical="center"/>
    </xf>
    <xf numFmtId="0" fontId="7" fillId="12" borderId="18" xfId="0" applyFont="1" applyFill="1" applyBorder="1" applyAlignment="1">
      <alignment horizontal="center" vertical="center"/>
    </xf>
    <xf numFmtId="4" fontId="2" fillId="28" borderId="10" xfId="0" applyNumberFormat="1" applyFont="1" applyFill="1" applyBorder="1" applyAlignment="1">
      <alignment horizontal="right" vertical="center"/>
    </xf>
    <xf numFmtId="4" fontId="2" fillId="28" borderId="18" xfId="0" applyNumberFormat="1" applyFont="1" applyFill="1" applyBorder="1" applyAlignment="1">
      <alignment horizontal="right" vertical="center"/>
    </xf>
    <xf numFmtId="0" fontId="2" fillId="14" borderId="18" xfId="0" applyFont="1" applyFill="1" applyBorder="1" applyAlignment="1">
      <alignment vertical="center" wrapText="1"/>
    </xf>
    <xf numFmtId="0" fontId="2" fillId="14" borderId="20" xfId="0" applyFont="1" applyFill="1" applyBorder="1" applyAlignment="1">
      <alignment vertical="center" wrapText="1"/>
    </xf>
    <xf numFmtId="0" fontId="2" fillId="14" borderId="19" xfId="0" applyFont="1" applyFill="1" applyBorder="1" applyAlignment="1">
      <alignment vertical="center" wrapText="1"/>
    </xf>
    <xf numFmtId="0" fontId="4" fillId="14" borderId="18" xfId="0" applyFont="1" applyFill="1" applyBorder="1" applyAlignment="1">
      <alignment wrapText="1"/>
    </xf>
    <xf numFmtId="0" fontId="4" fillId="14" borderId="20" xfId="0" applyFont="1" applyFill="1" applyBorder="1" applyAlignment="1">
      <alignment wrapText="1"/>
    </xf>
    <xf numFmtId="0" fontId="4" fillId="14" borderId="19" xfId="0" applyFont="1" applyFill="1" applyBorder="1" applyAlignment="1">
      <alignment wrapText="1"/>
    </xf>
    <xf numFmtId="0" fontId="5" fillId="18" borderId="40" xfId="0" applyFont="1" applyFill="1" applyBorder="1" applyAlignment="1">
      <alignment vertical="center" wrapText="1"/>
    </xf>
    <xf numFmtId="4" fontId="5" fillId="27" borderId="40" xfId="0" applyNumberFormat="1" applyFont="1" applyFill="1" applyBorder="1" applyAlignment="1">
      <alignment horizontal="right" vertical="center"/>
    </xf>
    <xf numFmtId="4" fontId="5" fillId="14" borderId="24" xfId="0" applyNumberFormat="1" applyFont="1" applyFill="1" applyBorder="1" applyAlignment="1">
      <alignment horizontal="right" vertical="center"/>
    </xf>
    <xf numFmtId="0" fontId="2" fillId="5" borderId="10" xfId="0" applyFont="1" applyFill="1" applyBorder="1" applyAlignment="1">
      <alignment vertical="center" wrapText="1"/>
    </xf>
    <xf numFmtId="4" fontId="5" fillId="27" borderId="10" xfId="0" applyNumberFormat="1" applyFont="1" applyFill="1" applyBorder="1" applyAlignment="1">
      <alignment horizontal="right" vertical="center"/>
    </xf>
    <xf numFmtId="4" fontId="5" fillId="14" borderId="18" xfId="0" applyNumberFormat="1" applyFont="1" applyFill="1" applyBorder="1" applyAlignment="1">
      <alignment horizontal="right" vertical="center"/>
    </xf>
    <xf numFmtId="49" fontId="11" fillId="15" borderId="0" xfId="0" applyNumberFormat="1" applyFont="1" applyFill="1" applyAlignment="1">
      <alignment horizontal="left" vertical="center" readingOrder="1"/>
    </xf>
    <xf numFmtId="0" fontId="2" fillId="20" borderId="10" xfId="0" applyFont="1" applyFill="1" applyBorder="1" applyAlignment="1">
      <alignment vertical="center" wrapText="1"/>
    </xf>
    <xf numFmtId="0" fontId="19" fillId="17" borderId="0" xfId="0" applyFont="1" applyFill="1" applyAlignment="1">
      <alignment horizontal="center" vertical="center" wrapText="1"/>
    </xf>
    <xf numFmtId="0" fontId="23" fillId="12" borderId="13" xfId="0" applyFont="1" applyFill="1" applyBorder="1" applyAlignment="1">
      <alignment horizontal="center"/>
    </xf>
    <xf numFmtId="0" fontId="7" fillId="12" borderId="13" xfId="0" applyFont="1" applyFill="1" applyBorder="1" applyAlignment="1">
      <alignment horizontal="center"/>
    </xf>
    <xf numFmtId="0" fontId="7" fillId="12" borderId="26" xfId="0" applyFont="1" applyFill="1" applyBorder="1" applyAlignment="1">
      <alignment horizontal="center"/>
    </xf>
    <xf numFmtId="4" fontId="2" fillId="0" borderId="63" xfId="0" applyNumberFormat="1" applyFont="1" applyBorder="1" applyAlignment="1" applyProtection="1">
      <alignment horizontal="right" vertical="center"/>
      <protection locked="0"/>
    </xf>
    <xf numFmtId="4" fontId="2" fillId="0" borderId="65" xfId="0" applyNumberFormat="1" applyFont="1" applyBorder="1" applyAlignment="1" applyProtection="1">
      <alignment horizontal="right" vertical="center"/>
      <protection locked="0"/>
    </xf>
    <xf numFmtId="0" fontId="4" fillId="14" borderId="18" xfId="0" applyFont="1" applyFill="1" applyBorder="1" applyAlignment="1">
      <alignment horizontal="left" wrapText="1"/>
    </xf>
    <xf numFmtId="0" fontId="4" fillId="14" borderId="20" xfId="0" applyFont="1" applyFill="1" applyBorder="1" applyAlignment="1">
      <alignment horizontal="left" wrapText="1"/>
    </xf>
    <xf numFmtId="0" fontId="4" fillId="14" borderId="19" xfId="0" applyFont="1" applyFill="1" applyBorder="1" applyAlignment="1">
      <alignment horizontal="left" wrapText="1"/>
    </xf>
    <xf numFmtId="49" fontId="11" fillId="15" borderId="66" xfId="0" applyNumberFormat="1" applyFont="1" applyFill="1" applyBorder="1" applyAlignment="1">
      <alignment horizontal="left" vertical="center" readingOrder="1"/>
    </xf>
    <xf numFmtId="0" fontId="19" fillId="17" borderId="23" xfId="0" applyFont="1" applyFill="1" applyBorder="1" applyAlignment="1">
      <alignment horizontal="center" vertical="center" wrapText="1"/>
    </xf>
    <xf numFmtId="0" fontId="23" fillId="6" borderId="66" xfId="0" applyFont="1" applyFill="1" applyBorder="1" applyAlignment="1">
      <alignment horizontal="center" vertical="center" wrapText="1"/>
    </xf>
    <xf numFmtId="49" fontId="2" fillId="0" borderId="72" xfId="0" applyNumberFormat="1" applyFont="1" applyBorder="1" applyAlignment="1" applyProtection="1">
      <alignment horizontal="left" vertical="top" wrapText="1"/>
      <protection locked="0"/>
    </xf>
    <xf numFmtId="0" fontId="23" fillId="6" borderId="26" xfId="0" applyFont="1" applyFill="1" applyBorder="1" applyAlignment="1">
      <alignment horizontal="center" vertical="center" wrapText="1"/>
    </xf>
    <xf numFmtId="0" fontId="23" fillId="6" borderId="27" xfId="0" applyFont="1" applyFill="1" applyBorder="1" applyAlignment="1">
      <alignment horizontal="center" vertical="center" wrapText="1"/>
    </xf>
    <xf numFmtId="0" fontId="23" fillId="6" borderId="28" xfId="0" applyFont="1" applyFill="1" applyBorder="1" applyAlignment="1">
      <alignment horizontal="center" vertical="center" wrapText="1"/>
    </xf>
    <xf numFmtId="0" fontId="2" fillId="5" borderId="18" xfId="0" applyFont="1" applyFill="1" applyBorder="1" applyAlignment="1">
      <alignment vertical="center" wrapText="1"/>
    </xf>
    <xf numFmtId="0" fontId="2" fillId="5" borderId="20" xfId="0" applyFont="1" applyFill="1" applyBorder="1" applyAlignment="1">
      <alignment vertical="center" wrapText="1"/>
    </xf>
    <xf numFmtId="0" fontId="2" fillId="5" borderId="19" xfId="0" applyFont="1" applyFill="1" applyBorder="1" applyAlignment="1">
      <alignment vertical="center" wrapText="1"/>
    </xf>
    <xf numFmtId="4" fontId="5" fillId="27" borderId="18" xfId="0" applyNumberFormat="1" applyFont="1" applyFill="1" applyBorder="1" applyAlignment="1">
      <alignment horizontal="right" vertical="center"/>
    </xf>
    <xf numFmtId="4" fontId="5" fillId="14" borderId="25" xfId="0" applyNumberFormat="1" applyFont="1" applyFill="1" applyBorder="1" applyAlignment="1">
      <alignment horizontal="right" vertical="center"/>
    </xf>
    <xf numFmtId="0" fontId="23" fillId="6" borderId="18" xfId="0" applyFont="1" applyFill="1" applyBorder="1" applyAlignment="1">
      <alignment horizontal="center" vertical="center" wrapText="1"/>
    </xf>
    <xf numFmtId="0" fontId="23" fillId="6" borderId="20" xfId="0" applyFont="1" applyFill="1" applyBorder="1" applyAlignment="1">
      <alignment horizontal="center" vertical="center" wrapText="1"/>
    </xf>
    <xf numFmtId="0" fontId="23" fillId="6" borderId="19" xfId="0" applyFont="1" applyFill="1" applyBorder="1" applyAlignment="1">
      <alignment horizontal="center" vertical="center" wrapText="1"/>
    </xf>
    <xf numFmtId="0" fontId="23" fillId="6" borderId="25" xfId="0" applyFont="1" applyFill="1" applyBorder="1" applyAlignment="1">
      <alignment horizontal="center" vertical="center" wrapText="1"/>
    </xf>
    <xf numFmtId="0" fontId="2" fillId="20" borderId="18" xfId="0" applyFont="1" applyFill="1" applyBorder="1" applyAlignment="1">
      <alignment vertical="center" wrapText="1"/>
    </xf>
    <xf numFmtId="0" fontId="2" fillId="20" borderId="20" xfId="0" applyFont="1" applyFill="1" applyBorder="1" applyAlignment="1">
      <alignment vertical="center" wrapText="1"/>
    </xf>
    <xf numFmtId="0" fontId="2" fillId="20" borderId="19" xfId="0" applyFont="1" applyFill="1" applyBorder="1" applyAlignment="1">
      <alignment vertical="center" wrapText="1"/>
    </xf>
    <xf numFmtId="0" fontId="5" fillId="18" borderId="24" xfId="0" applyFont="1" applyFill="1" applyBorder="1" applyAlignment="1">
      <alignment vertical="center" wrapText="1"/>
    </xf>
    <xf numFmtId="0" fontId="5" fillId="18" borderId="46" xfId="0" applyFont="1" applyFill="1" applyBorder="1" applyAlignment="1">
      <alignment vertical="center" wrapText="1"/>
    </xf>
    <xf numFmtId="0" fontId="5" fillId="18" borderId="43" xfId="0" applyFont="1" applyFill="1" applyBorder="1" applyAlignment="1">
      <alignment vertical="center" wrapText="1"/>
    </xf>
    <xf numFmtId="4" fontId="5" fillId="27" borderId="24" xfId="0" applyNumberFormat="1" applyFont="1" applyFill="1" applyBorder="1" applyAlignment="1">
      <alignment horizontal="right" vertical="center"/>
    </xf>
    <xf numFmtId="4" fontId="5" fillId="0" borderId="45" xfId="0" applyNumberFormat="1" applyFont="1" applyBorder="1" applyAlignment="1">
      <alignment horizontal="right" vertical="center"/>
    </xf>
    <xf numFmtId="4" fontId="5" fillId="0" borderId="25" xfId="0" applyNumberFormat="1" applyFont="1" applyBorder="1" applyAlignment="1">
      <alignment horizontal="right" vertical="center"/>
    </xf>
    <xf numFmtId="0" fontId="2" fillId="5" borderId="63" xfId="0" applyFont="1" applyFill="1" applyBorder="1" applyAlignment="1">
      <alignment vertical="center" wrapText="1"/>
    </xf>
    <xf numFmtId="0" fontId="2" fillId="5" borderId="64" xfId="0" applyFont="1" applyFill="1" applyBorder="1" applyAlignment="1">
      <alignment vertical="center" wrapText="1"/>
    </xf>
    <xf numFmtId="0" fontId="2" fillId="5" borderId="65" xfId="0" applyFont="1" applyFill="1" applyBorder="1" applyAlignment="1">
      <alignment vertical="center" wrapText="1"/>
    </xf>
    <xf numFmtId="4" fontId="2" fillId="9" borderId="63" xfId="0" applyNumberFormat="1" applyFont="1" applyFill="1" applyBorder="1" applyAlignment="1">
      <alignment horizontal="right" vertical="center"/>
    </xf>
    <xf numFmtId="4" fontId="2" fillId="9" borderId="65" xfId="0" applyNumberFormat="1" applyFont="1" applyFill="1" applyBorder="1" applyAlignment="1">
      <alignment horizontal="right" vertical="center"/>
    </xf>
    <xf numFmtId="4" fontId="2" fillId="31" borderId="63" xfId="0" applyNumberFormat="1" applyFont="1" applyFill="1" applyBorder="1" applyAlignment="1" applyProtection="1">
      <alignment horizontal="right" vertical="center"/>
      <protection locked="0"/>
    </xf>
    <xf numFmtId="4" fontId="2" fillId="31" borderId="65" xfId="0" applyNumberFormat="1" applyFont="1" applyFill="1" applyBorder="1" applyAlignment="1" applyProtection="1">
      <alignment horizontal="right" vertical="center"/>
      <protection locked="0"/>
    </xf>
    <xf numFmtId="0" fontId="2" fillId="5" borderId="36" xfId="0" applyFont="1" applyFill="1" applyBorder="1" applyAlignment="1">
      <alignment horizontal="center" vertical="center" wrapText="1"/>
    </xf>
    <xf numFmtId="0" fontId="2" fillId="5" borderId="44" xfId="0" applyFont="1" applyFill="1" applyBorder="1" applyAlignment="1">
      <alignment horizontal="center" vertical="center" wrapText="1"/>
    </xf>
    <xf numFmtId="0" fontId="2" fillId="5" borderId="42" xfId="0" applyFont="1" applyFill="1" applyBorder="1" applyAlignment="1">
      <alignment horizontal="center" vertical="center" wrapText="1"/>
    </xf>
    <xf numFmtId="0" fontId="5" fillId="4" borderId="36" xfId="0" applyFont="1" applyFill="1" applyBorder="1" applyAlignment="1">
      <alignment horizontal="center" vertical="center"/>
    </xf>
    <xf numFmtId="0" fontId="5" fillId="4" borderId="42" xfId="0" applyFont="1" applyFill="1" applyBorder="1" applyAlignment="1">
      <alignment horizontal="center" vertical="center"/>
    </xf>
    <xf numFmtId="0" fontId="0" fillId="0" borderId="36" xfId="0" applyBorder="1" applyAlignment="1">
      <alignment horizontal="left" vertical="top" wrapText="1"/>
    </xf>
    <xf numFmtId="0" fontId="0" fillId="0" borderId="44" xfId="0" applyBorder="1" applyAlignment="1">
      <alignment horizontal="left" vertical="top" wrapText="1"/>
    </xf>
    <xf numFmtId="0" fontId="0" fillId="0" borderId="42" xfId="0" applyBorder="1" applyAlignment="1">
      <alignment horizontal="left" vertical="top" wrapText="1"/>
    </xf>
    <xf numFmtId="49" fontId="11" fillId="15" borderId="0" xfId="0" applyNumberFormat="1" applyFont="1" applyFill="1" applyAlignment="1">
      <alignment horizontal="left" vertical="center" wrapText="1" readingOrder="1"/>
    </xf>
    <xf numFmtId="0" fontId="7" fillId="6" borderId="63" xfId="0" applyFont="1" applyFill="1" applyBorder="1" applyAlignment="1">
      <alignment horizontal="center" vertical="center" wrapText="1"/>
    </xf>
    <xf numFmtId="0" fontId="7" fillId="6" borderId="65" xfId="0" applyFont="1" applyFill="1" applyBorder="1" applyAlignment="1">
      <alignment horizontal="center" vertical="center" wrapText="1"/>
    </xf>
    <xf numFmtId="0" fontId="21" fillId="17" borderId="29" xfId="0" applyFont="1" applyFill="1" applyBorder="1" applyAlignment="1">
      <alignment horizontal="center" vertical="center" wrapText="1"/>
    </xf>
    <xf numFmtId="0" fontId="19" fillId="17" borderId="29" xfId="0" applyFont="1" applyFill="1" applyBorder="1" applyAlignment="1">
      <alignment horizontal="center" vertical="center" wrapText="1"/>
    </xf>
    <xf numFmtId="0" fontId="23" fillId="6" borderId="63" xfId="0" applyFont="1" applyFill="1" applyBorder="1" applyAlignment="1">
      <alignment horizontal="center" vertical="center" wrapText="1"/>
    </xf>
    <xf numFmtId="0" fontId="23" fillId="6" borderId="64" xfId="0" applyFont="1" applyFill="1" applyBorder="1" applyAlignment="1">
      <alignment horizontal="center" vertical="center" wrapText="1"/>
    </xf>
    <xf numFmtId="0" fontId="23" fillId="6" borderId="65" xfId="0" applyFont="1" applyFill="1" applyBorder="1" applyAlignment="1">
      <alignment horizontal="center" vertical="center" wrapText="1"/>
    </xf>
    <xf numFmtId="0" fontId="5" fillId="7" borderId="63" xfId="0" applyFont="1" applyFill="1" applyBorder="1" applyAlignment="1">
      <alignment horizontal="center" vertical="center" wrapText="1"/>
    </xf>
    <xf numFmtId="0" fontId="5" fillId="7" borderId="64" xfId="0" applyFont="1" applyFill="1" applyBorder="1" applyAlignment="1">
      <alignment horizontal="center" vertical="center" wrapText="1"/>
    </xf>
    <xf numFmtId="0" fontId="5" fillId="7" borderId="65" xfId="0" applyFont="1" applyFill="1" applyBorder="1" applyAlignment="1">
      <alignment horizontal="center" vertical="center" wrapText="1"/>
    </xf>
    <xf numFmtId="0" fontId="5" fillId="8" borderId="36" xfId="0" applyFont="1" applyFill="1" applyBorder="1" applyAlignment="1">
      <alignment horizontal="center" vertical="center" wrapText="1"/>
    </xf>
    <xf numFmtId="0" fontId="5" fillId="8" borderId="42" xfId="0" applyFont="1" applyFill="1" applyBorder="1" applyAlignment="1">
      <alignment horizontal="center" vertical="center" wrapText="1"/>
    </xf>
    <xf numFmtId="0" fontId="5" fillId="8" borderId="30" xfId="0" applyFont="1" applyFill="1" applyBorder="1" applyAlignment="1">
      <alignment horizontal="center" vertical="center" wrapText="1"/>
    </xf>
    <xf numFmtId="0" fontId="5" fillId="8" borderId="32" xfId="0" applyFont="1" applyFill="1" applyBorder="1" applyAlignment="1">
      <alignment horizontal="center" vertical="center" wrapText="1"/>
    </xf>
    <xf numFmtId="0" fontId="5" fillId="8" borderId="34" xfId="0" applyFont="1" applyFill="1" applyBorder="1" applyAlignment="1">
      <alignment horizontal="center" vertical="center" wrapText="1"/>
    </xf>
    <xf numFmtId="0" fontId="5" fillId="8" borderId="35" xfId="0" applyFont="1" applyFill="1" applyBorder="1" applyAlignment="1">
      <alignment horizontal="center" vertical="center" wrapText="1"/>
    </xf>
    <xf numFmtId="0" fontId="6" fillId="9" borderId="63" xfId="0" applyFont="1" applyFill="1" applyBorder="1" applyAlignment="1">
      <alignment horizontal="center" vertical="center"/>
    </xf>
    <xf numFmtId="0" fontId="6" fillId="9" borderId="65" xfId="0" applyFont="1" applyFill="1" applyBorder="1" applyAlignment="1">
      <alignment horizontal="center" vertical="center"/>
    </xf>
    <xf numFmtId="4" fontId="5" fillId="27" borderId="63" xfId="0" applyNumberFormat="1" applyFont="1" applyFill="1" applyBorder="1" applyAlignment="1">
      <alignment horizontal="right" vertical="center"/>
    </xf>
    <xf numFmtId="4" fontId="5" fillId="27" borderId="65" xfId="0" applyNumberFormat="1" applyFont="1" applyFill="1" applyBorder="1" applyAlignment="1">
      <alignment horizontal="right" vertical="center"/>
    </xf>
    <xf numFmtId="164" fontId="4" fillId="21" borderId="63" xfId="0" applyNumberFormat="1" applyFont="1" applyFill="1" applyBorder="1" applyAlignment="1">
      <alignment horizontal="center" vertical="center"/>
    </xf>
    <xf numFmtId="164" fontId="4" fillId="21" borderId="65" xfId="0" applyNumberFormat="1" applyFont="1" applyFill="1" applyBorder="1" applyAlignment="1">
      <alignment horizontal="center" vertical="center"/>
    </xf>
    <xf numFmtId="164" fontId="7" fillId="21" borderId="63" xfId="0" applyNumberFormat="1" applyFont="1" applyFill="1" applyBorder="1" applyAlignment="1">
      <alignment horizontal="center" vertical="center"/>
    </xf>
    <xf numFmtId="164" fontId="7" fillId="21" borderId="65" xfId="0" applyNumberFormat="1" applyFont="1" applyFill="1" applyBorder="1" applyAlignment="1">
      <alignment horizontal="center" vertical="center"/>
    </xf>
    <xf numFmtId="4" fontId="2" fillId="32" borderId="63" xfId="0" applyNumberFormat="1" applyFont="1" applyFill="1" applyBorder="1" applyAlignment="1">
      <alignment horizontal="right" vertical="center"/>
    </xf>
    <xf numFmtId="4" fontId="2" fillId="32" borderId="65" xfId="0" applyNumberFormat="1" applyFont="1" applyFill="1" applyBorder="1" applyAlignment="1">
      <alignment horizontal="right" vertical="center"/>
    </xf>
    <xf numFmtId="0" fontId="21" fillId="17" borderId="23" xfId="0" applyFont="1" applyFill="1" applyBorder="1" applyAlignment="1">
      <alignment horizontal="center" vertical="center" wrapText="1"/>
    </xf>
    <xf numFmtId="0" fontId="6" fillId="13" borderId="40" xfId="0" applyFont="1" applyFill="1" applyBorder="1" applyAlignment="1">
      <alignment horizontal="center" vertical="center"/>
    </xf>
    <xf numFmtId="0" fontId="5" fillId="4" borderId="15" xfId="0" applyFont="1" applyFill="1" applyBorder="1" applyAlignment="1">
      <alignment horizontal="center" vertical="center"/>
    </xf>
    <xf numFmtId="0" fontId="6" fillId="13" borderId="18" xfId="0" applyFont="1" applyFill="1" applyBorder="1" applyAlignment="1">
      <alignment horizontal="center" vertical="center"/>
    </xf>
    <xf numFmtId="0" fontId="6" fillId="13" borderId="19" xfId="0" applyFont="1" applyFill="1" applyBorder="1" applyAlignment="1">
      <alignment horizontal="center" vertical="center"/>
    </xf>
    <xf numFmtId="0" fontId="5" fillId="8" borderId="10" xfId="0" applyFont="1" applyFill="1" applyBorder="1" applyAlignment="1">
      <alignment horizontal="center" vertical="center" wrapText="1"/>
    </xf>
    <xf numFmtId="4" fontId="2" fillId="30" borderId="72" xfId="0" applyNumberFormat="1" applyFont="1" applyFill="1" applyBorder="1" applyAlignment="1">
      <alignment horizontal="right" vertical="center"/>
    </xf>
    <xf numFmtId="4" fontId="2" fillId="30" borderId="65" xfId="0" applyNumberFormat="1" applyFont="1" applyFill="1" applyBorder="1" applyAlignment="1">
      <alignment horizontal="right" vertical="center"/>
    </xf>
    <xf numFmtId="0" fontId="23" fillId="6" borderId="13" xfId="0" applyFont="1" applyFill="1" applyBorder="1" applyAlignment="1">
      <alignment horizontal="center" vertical="center" wrapText="1"/>
    </xf>
    <xf numFmtId="0" fontId="23" fillId="6" borderId="14" xfId="0" applyFont="1" applyFill="1" applyBorder="1" applyAlignment="1">
      <alignment horizontal="center" vertical="center" wrapText="1"/>
    </xf>
    <xf numFmtId="0" fontId="5" fillId="7" borderId="10" xfId="0" applyFont="1" applyFill="1" applyBorder="1" applyAlignment="1">
      <alignment horizontal="center" vertical="center" wrapText="1"/>
    </xf>
    <xf numFmtId="0" fontId="5" fillId="7" borderId="39" xfId="0" applyFont="1" applyFill="1" applyBorder="1" applyAlignment="1">
      <alignment horizontal="center" vertical="center" wrapText="1"/>
    </xf>
    <xf numFmtId="0" fontId="21" fillId="17" borderId="0" xfId="0" applyFont="1" applyFill="1" applyAlignment="1">
      <alignment horizontal="center" vertical="center" wrapText="1"/>
    </xf>
    <xf numFmtId="0" fontId="7" fillId="8" borderId="10" xfId="0" applyFont="1" applyFill="1" applyBorder="1" applyAlignment="1">
      <alignment horizontal="center" vertical="center" wrapText="1"/>
    </xf>
    <xf numFmtId="0" fontId="7" fillId="0" borderId="10" xfId="0" applyFont="1" applyBorder="1" applyAlignment="1">
      <alignment horizontal="center" vertical="center" wrapText="1"/>
    </xf>
    <xf numFmtId="4" fontId="2" fillId="0" borderId="36" xfId="0" applyNumberFormat="1" applyFont="1" applyBorder="1" applyAlignment="1" applyProtection="1">
      <alignment horizontal="right" vertical="center"/>
      <protection locked="0"/>
    </xf>
    <xf numFmtId="0" fontId="7" fillId="6" borderId="10" xfId="0" applyFont="1" applyFill="1" applyBorder="1" applyAlignment="1">
      <alignment horizontal="center" vertical="center" wrapText="1"/>
    </xf>
    <xf numFmtId="0" fontId="23" fillId="12" borderId="10" xfId="0" applyFont="1" applyFill="1" applyBorder="1" applyAlignment="1">
      <alignment horizontal="center" vertical="center" wrapText="1"/>
    </xf>
    <xf numFmtId="0" fontId="23" fillId="12" borderId="13" xfId="0" applyFont="1" applyFill="1" applyBorder="1" applyAlignment="1">
      <alignment horizontal="center" vertical="center" wrapText="1"/>
    </xf>
    <xf numFmtId="0" fontId="7" fillId="12" borderId="13" xfId="0" applyFont="1" applyFill="1" applyBorder="1" applyAlignment="1">
      <alignment horizontal="center" vertical="center" wrapText="1"/>
    </xf>
    <xf numFmtId="0" fontId="7" fillId="12" borderId="14" xfId="0" applyFont="1" applyFill="1" applyBorder="1" applyAlignment="1">
      <alignment horizontal="center" vertical="center" wrapText="1"/>
    </xf>
    <xf numFmtId="0" fontId="7" fillId="12" borderId="10" xfId="0" applyFont="1" applyFill="1" applyBorder="1" applyAlignment="1">
      <alignment horizontal="center" vertical="center" wrapText="1"/>
    </xf>
    <xf numFmtId="0" fontId="7" fillId="12" borderId="39" xfId="0" applyFont="1" applyFill="1" applyBorder="1" applyAlignment="1">
      <alignment horizontal="center" vertical="center" wrapText="1"/>
    </xf>
    <xf numFmtId="0" fontId="4" fillId="2" borderId="18" xfId="0" applyFont="1" applyFill="1" applyBorder="1" applyAlignment="1">
      <alignment horizontal="left" vertical="center" wrapText="1"/>
    </xf>
    <xf numFmtId="0" fontId="4" fillId="2" borderId="20" xfId="0" applyFont="1" applyFill="1" applyBorder="1" applyAlignment="1">
      <alignment horizontal="left" vertical="center" wrapText="1"/>
    </xf>
    <xf numFmtId="0" fontId="4" fillId="2" borderId="19" xfId="0" applyFont="1" applyFill="1" applyBorder="1" applyAlignment="1">
      <alignment horizontal="left" vertical="center" wrapText="1"/>
    </xf>
    <xf numFmtId="0" fontId="7" fillId="18" borderId="40" xfId="0" applyFont="1" applyFill="1" applyBorder="1" applyAlignment="1">
      <alignment horizontal="left" vertical="center"/>
    </xf>
    <xf numFmtId="4" fontId="7" fillId="27" borderId="40" xfId="0" applyNumberFormat="1" applyFont="1" applyFill="1" applyBorder="1" applyAlignment="1">
      <alignment horizontal="right" vertical="center"/>
    </xf>
    <xf numFmtId="4" fontId="7" fillId="14" borderId="41" xfId="0" applyNumberFormat="1" applyFont="1" applyFill="1" applyBorder="1" applyAlignment="1">
      <alignment horizontal="right" vertical="center"/>
    </xf>
    <xf numFmtId="0" fontId="4" fillId="2" borderId="63" xfId="0" applyFont="1" applyFill="1" applyBorder="1" applyAlignment="1">
      <alignment horizontal="left" vertical="center" wrapText="1"/>
    </xf>
    <xf numFmtId="0" fontId="4" fillId="2" borderId="64" xfId="0" applyFont="1" applyFill="1" applyBorder="1" applyAlignment="1">
      <alignment horizontal="left" vertical="center" wrapText="1"/>
    </xf>
    <xf numFmtId="0" fontId="4" fillId="2" borderId="65" xfId="0" applyFont="1" applyFill="1" applyBorder="1" applyAlignment="1">
      <alignment horizontal="left" vertical="center" wrapText="1"/>
    </xf>
    <xf numFmtId="0" fontId="4" fillId="2" borderId="10" xfId="0" applyFont="1" applyFill="1" applyBorder="1" applyAlignment="1">
      <alignment horizontal="left" vertical="center" wrapText="1"/>
    </xf>
    <xf numFmtId="4" fontId="2" fillId="0" borderId="10" xfId="0" applyNumberFormat="1" applyFont="1" applyBorder="1" applyAlignment="1">
      <alignment horizontal="right" vertical="center"/>
    </xf>
    <xf numFmtId="4" fontId="2" fillId="19" borderId="39" xfId="0" applyNumberFormat="1" applyFont="1" applyFill="1" applyBorder="1" applyAlignment="1">
      <alignment horizontal="right" vertical="center"/>
    </xf>
    <xf numFmtId="0" fontId="4" fillId="20" borderId="10" xfId="0" applyFont="1" applyFill="1" applyBorder="1" applyAlignment="1">
      <alignment horizontal="left" vertical="center" wrapText="1"/>
    </xf>
    <xf numFmtId="4" fontId="2" fillId="0" borderId="72" xfId="0" applyNumberFormat="1" applyFont="1" applyBorder="1" applyAlignment="1" applyProtection="1">
      <alignment horizontal="right" vertical="center"/>
      <protection locked="0"/>
    </xf>
    <xf numFmtId="0" fontId="4" fillId="2" borderId="10" xfId="0" applyFont="1" applyFill="1" applyBorder="1" applyAlignment="1">
      <alignment vertical="center" wrapText="1"/>
    </xf>
    <xf numFmtId="0" fontId="2" fillId="2" borderId="10" xfId="0" applyFont="1" applyFill="1" applyBorder="1" applyAlignment="1">
      <alignment vertical="center" wrapText="1"/>
    </xf>
    <xf numFmtId="0" fontId="5" fillId="0" borderId="10" xfId="0" applyFont="1" applyBorder="1" applyAlignment="1">
      <alignment horizontal="center" vertical="center"/>
    </xf>
    <xf numFmtId="0" fontId="5" fillId="0" borderId="18" xfId="0" applyFont="1" applyBorder="1" applyAlignment="1">
      <alignment horizontal="center" vertical="center"/>
    </xf>
    <xf numFmtId="4" fontId="7" fillId="27" borderId="54" xfId="0" applyNumberFormat="1" applyFont="1" applyFill="1" applyBorder="1" applyAlignment="1">
      <alignment horizontal="right" vertical="center"/>
    </xf>
    <xf numFmtId="4" fontId="7" fillId="14" borderId="54" xfId="0" applyNumberFormat="1" applyFont="1" applyFill="1" applyBorder="1" applyAlignment="1">
      <alignment horizontal="right" vertical="center"/>
    </xf>
    <xf numFmtId="0" fontId="4" fillId="20" borderId="18" xfId="0" applyFont="1" applyFill="1" applyBorder="1" applyAlignment="1">
      <alignment horizontal="left" vertical="center" wrapText="1"/>
    </xf>
    <xf numFmtId="0" fontId="4" fillId="20" borderId="19" xfId="0" applyFont="1" applyFill="1" applyBorder="1" applyAlignment="1">
      <alignment horizontal="left" vertical="center" wrapText="1"/>
    </xf>
    <xf numFmtId="0" fontId="7" fillId="18" borderId="54" xfId="0" applyFont="1" applyFill="1" applyBorder="1" applyAlignment="1">
      <alignment horizontal="left" vertical="center"/>
    </xf>
    <xf numFmtId="164" fontId="7" fillId="21" borderId="18" xfId="0" applyNumberFormat="1" applyFont="1" applyFill="1" applyBorder="1" applyAlignment="1">
      <alignment horizontal="center" vertical="center"/>
    </xf>
    <xf numFmtId="164" fontId="7" fillId="21" borderId="19" xfId="0" applyNumberFormat="1" applyFont="1" applyFill="1" applyBorder="1" applyAlignment="1">
      <alignment horizontal="center" vertical="center"/>
    </xf>
    <xf numFmtId="0" fontId="4" fillId="2" borderId="57" xfId="0" applyFont="1" applyFill="1" applyBorder="1" applyAlignment="1">
      <alignment horizontal="left" vertical="center" wrapText="1"/>
    </xf>
    <xf numFmtId="164" fontId="4" fillId="21" borderId="56" xfId="0" applyNumberFormat="1" applyFont="1" applyFill="1" applyBorder="1" applyAlignment="1">
      <alignment horizontal="center" vertical="center" wrapText="1"/>
    </xf>
    <xf numFmtId="164" fontId="4" fillId="21" borderId="19" xfId="0" applyNumberFormat="1" applyFont="1" applyFill="1" applyBorder="1" applyAlignment="1">
      <alignment horizontal="center" vertical="center" wrapText="1"/>
    </xf>
    <xf numFmtId="164" fontId="4" fillId="21" borderId="18" xfId="0" applyNumberFormat="1" applyFont="1" applyFill="1" applyBorder="1" applyAlignment="1">
      <alignment horizontal="center" vertical="center" wrapText="1"/>
    </xf>
    <xf numFmtId="4" fontId="2" fillId="27" borderId="18" xfId="0" applyNumberFormat="1" applyFont="1" applyFill="1" applyBorder="1" applyAlignment="1">
      <alignment horizontal="right" vertical="center"/>
    </xf>
    <xf numFmtId="4" fontId="2" fillId="14" borderId="19" xfId="0" applyNumberFormat="1" applyFont="1" applyFill="1" applyBorder="1" applyAlignment="1">
      <alignment horizontal="right" vertical="center"/>
    </xf>
    <xf numFmtId="0" fontId="4" fillId="2" borderId="72" xfId="0" applyFont="1" applyFill="1" applyBorder="1" applyAlignment="1">
      <alignment vertical="center" wrapText="1"/>
    </xf>
    <xf numFmtId="0" fontId="19" fillId="17" borderId="2" xfId="0" applyFont="1" applyFill="1" applyBorder="1" applyAlignment="1">
      <alignment horizontal="center" vertical="center" wrapText="1"/>
    </xf>
    <xf numFmtId="4" fontId="2" fillId="0" borderId="39" xfId="0" applyNumberFormat="1" applyFont="1" applyBorder="1" applyAlignment="1" applyProtection="1">
      <alignment horizontal="right" vertical="center"/>
      <protection locked="0"/>
    </xf>
    <xf numFmtId="0" fontId="5" fillId="0" borderId="39" xfId="0" applyFont="1" applyBorder="1" applyAlignment="1">
      <alignment horizontal="center" vertical="center"/>
    </xf>
    <xf numFmtId="0" fontId="0" fillId="0" borderId="0" xfId="0"/>
    <xf numFmtId="49" fontId="41" fillId="0" borderId="10" xfId="0" applyNumberFormat="1" applyFont="1" applyBorder="1" applyAlignment="1" applyProtection="1">
      <alignment horizontal="left" vertical="top" wrapText="1"/>
      <protection locked="0"/>
    </xf>
    <xf numFmtId="4" fontId="4" fillId="0" borderId="63" xfId="0" applyNumberFormat="1" applyFont="1" applyBorder="1" applyProtection="1">
      <protection locked="0"/>
    </xf>
    <xf numFmtId="4" fontId="4" fillId="0" borderId="65" xfId="0" applyNumberFormat="1" applyFont="1" applyBorder="1" applyProtection="1">
      <protection locked="0"/>
    </xf>
    <xf numFmtId="0" fontId="7" fillId="8" borderId="30" xfId="0" applyFont="1" applyFill="1" applyBorder="1" applyAlignment="1">
      <alignment horizontal="center" vertical="center" wrapText="1"/>
    </xf>
    <xf numFmtId="0" fontId="7" fillId="8" borderId="32" xfId="0" applyFont="1" applyFill="1" applyBorder="1" applyAlignment="1">
      <alignment horizontal="center" vertical="center" wrapText="1"/>
    </xf>
    <xf numFmtId="0" fontId="7" fillId="8" borderId="34" xfId="0" applyFont="1" applyFill="1" applyBorder="1" applyAlignment="1">
      <alignment horizontal="center" vertical="center" wrapText="1"/>
    </xf>
    <xf numFmtId="0" fontId="7" fillId="8" borderId="35" xfId="0" applyFont="1" applyFill="1" applyBorder="1" applyAlignment="1">
      <alignment horizontal="center" vertical="center" wrapText="1"/>
    </xf>
    <xf numFmtId="0" fontId="5" fillId="4" borderId="44" xfId="0" applyFont="1" applyFill="1" applyBorder="1" applyAlignment="1">
      <alignment horizontal="center" vertical="center"/>
    </xf>
    <xf numFmtId="0" fontId="76" fillId="17" borderId="0" xfId="0" applyFont="1" applyFill="1" applyAlignment="1">
      <alignment horizontal="center" vertical="center" wrapText="1"/>
    </xf>
    <xf numFmtId="0" fontId="5" fillId="7" borderId="18" xfId="0" applyFont="1" applyFill="1" applyBorder="1" applyAlignment="1">
      <alignment horizontal="center" vertical="center" wrapText="1"/>
    </xf>
    <xf numFmtId="0" fontId="5" fillId="7" borderId="20" xfId="0" applyFont="1" applyFill="1" applyBorder="1" applyAlignment="1">
      <alignment horizontal="center" vertical="center" wrapText="1"/>
    </xf>
    <xf numFmtId="0" fontId="5" fillId="7" borderId="19" xfId="0" applyFont="1" applyFill="1" applyBorder="1" applyAlignment="1">
      <alignment horizontal="center" vertical="center" wrapText="1"/>
    </xf>
    <xf numFmtId="0" fontId="7" fillId="6" borderId="18" xfId="0" applyFont="1" applyFill="1" applyBorder="1" applyAlignment="1">
      <alignment horizontal="center" vertical="center" wrapText="1"/>
    </xf>
    <xf numFmtId="0" fontId="7" fillId="6" borderId="19" xfId="0" applyFont="1" applyFill="1" applyBorder="1" applyAlignment="1">
      <alignment horizontal="center" vertical="center" wrapText="1"/>
    </xf>
    <xf numFmtId="0" fontId="0" fillId="0" borderId="0" xfId="0" applyAlignment="1">
      <alignment horizontal="left"/>
    </xf>
    <xf numFmtId="0" fontId="0" fillId="0" borderId="72" xfId="0" applyBorder="1" applyAlignment="1" applyProtection="1">
      <alignment horizontal="center"/>
      <protection locked="0"/>
    </xf>
    <xf numFmtId="0" fontId="0" fillId="0" borderId="6" xfId="0" applyBorder="1" applyAlignment="1">
      <alignment horizontal="left"/>
    </xf>
    <xf numFmtId="0" fontId="0" fillId="0" borderId="17" xfId="0" applyBorder="1" applyAlignment="1">
      <alignment horizontal="center"/>
    </xf>
    <xf numFmtId="0" fontId="0" fillId="0" borderId="0" xfId="0" applyAlignment="1">
      <alignment horizontal="center"/>
    </xf>
    <xf numFmtId="0" fontId="0" fillId="0" borderId="17" xfId="0" applyBorder="1" applyAlignment="1">
      <alignment horizontal="left"/>
    </xf>
    <xf numFmtId="0" fontId="38" fillId="0" borderId="66" xfId="0" applyFont="1" applyBorder="1" applyAlignment="1">
      <alignment horizontal="center"/>
    </xf>
    <xf numFmtId="0" fontId="0" fillId="0" borderId="66" xfId="0" applyBorder="1" applyAlignment="1" applyProtection="1">
      <alignment horizontal="center" wrapText="1"/>
      <protection locked="0"/>
    </xf>
    <xf numFmtId="0" fontId="0" fillId="0" borderId="39" xfId="0" applyBorder="1" applyAlignment="1" applyProtection="1">
      <alignment horizontal="center" wrapText="1"/>
      <protection locked="0"/>
    </xf>
    <xf numFmtId="0" fontId="39" fillId="0" borderId="66" xfId="0" applyFont="1" applyBorder="1" applyAlignment="1">
      <alignment horizontal="center" wrapText="1"/>
    </xf>
    <xf numFmtId="0" fontId="0" fillId="0" borderId="33" xfId="0" applyBorder="1" applyAlignment="1">
      <alignment horizontal="center"/>
    </xf>
    <xf numFmtId="0" fontId="19" fillId="17" borderId="1" xfId="0" applyFont="1" applyFill="1" applyBorder="1" applyAlignment="1">
      <alignment horizontal="center" vertical="center" wrapText="1"/>
    </xf>
    <xf numFmtId="0" fontId="19" fillId="26" borderId="1" xfId="0" applyFont="1" applyFill="1" applyBorder="1" applyAlignment="1">
      <alignment horizontal="center" vertical="center" wrapText="1"/>
    </xf>
    <xf numFmtId="0" fontId="49" fillId="0" borderId="36" xfId="0" applyFont="1" applyBorder="1" applyAlignment="1">
      <alignment horizontal="center" vertical="center" wrapText="1"/>
    </xf>
    <xf numFmtId="0" fontId="49" fillId="0" borderId="44" xfId="0" applyFont="1" applyBorder="1" applyAlignment="1">
      <alignment horizontal="center" vertical="center" wrapText="1"/>
    </xf>
    <xf numFmtId="0" fontId="49" fillId="0" borderId="42" xfId="0" applyFont="1" applyBorder="1" applyAlignment="1">
      <alignment horizontal="center" vertical="center" wrapText="1"/>
    </xf>
    <xf numFmtId="0" fontId="40" fillId="0" borderId="63" xfId="0" applyFont="1" applyBorder="1" applyAlignment="1">
      <alignment horizontal="left" vertical="top"/>
    </xf>
    <xf numFmtId="0" fontId="40" fillId="0" borderId="64" xfId="0" applyFont="1" applyBorder="1" applyAlignment="1">
      <alignment horizontal="left" vertical="top"/>
    </xf>
    <xf numFmtId="0" fontId="40" fillId="0" borderId="65" xfId="0" applyFont="1" applyBorder="1" applyAlignment="1">
      <alignment horizontal="left" vertical="top"/>
    </xf>
    <xf numFmtId="0" fontId="0" fillId="0" borderId="33" xfId="0" applyBorder="1" applyAlignment="1">
      <alignment horizontal="left"/>
    </xf>
    <xf numFmtId="0" fontId="0" fillId="0" borderId="66" xfId="0" applyBorder="1" applyAlignment="1" applyProtection="1">
      <alignment horizontal="left"/>
      <protection locked="0"/>
    </xf>
    <xf numFmtId="49" fontId="11" fillId="15" borderId="2" xfId="0" applyNumberFormat="1" applyFont="1" applyFill="1" applyBorder="1" applyAlignment="1">
      <alignment horizontal="left" vertical="center" readingOrder="1"/>
    </xf>
    <xf numFmtId="0" fontId="0" fillId="0" borderId="18" xfId="0" applyBorder="1" applyAlignment="1" applyProtection="1">
      <alignment horizontal="center"/>
      <protection locked="0"/>
    </xf>
    <xf numFmtId="0" fontId="0" fillId="0" borderId="19" xfId="0" applyBorder="1" applyAlignment="1" applyProtection="1">
      <alignment horizontal="center"/>
      <protection locked="0"/>
    </xf>
    <xf numFmtId="0" fontId="49" fillId="0" borderId="36" xfId="0" applyFont="1" applyBorder="1" applyAlignment="1">
      <alignment horizontal="center" vertical="top" wrapText="1"/>
    </xf>
    <xf numFmtId="0" fontId="49" fillId="0" borderId="44" xfId="0" applyFont="1" applyBorder="1" applyAlignment="1">
      <alignment horizontal="center" vertical="top" wrapText="1"/>
    </xf>
    <xf numFmtId="0" fontId="49" fillId="0" borderId="42" xfId="0" applyFont="1" applyBorder="1" applyAlignment="1">
      <alignment horizontal="center" vertical="top" wrapText="1"/>
    </xf>
    <xf numFmtId="0" fontId="0" fillId="0" borderId="50" xfId="0" applyBorder="1" applyAlignment="1">
      <alignment horizontal="left"/>
    </xf>
    <xf numFmtId="0" fontId="0" fillId="0" borderId="34" xfId="0" applyBorder="1" applyAlignment="1">
      <alignment horizontal="left"/>
    </xf>
    <xf numFmtId="0" fontId="0" fillId="0" borderId="29" xfId="0" applyBorder="1" applyAlignment="1">
      <alignment horizontal="left"/>
    </xf>
    <xf numFmtId="0" fontId="0" fillId="0" borderId="18" xfId="0" applyBorder="1" applyAlignment="1" applyProtection="1">
      <alignment horizontal="left"/>
      <protection locked="0"/>
    </xf>
    <xf numFmtId="0" fontId="0" fillId="0" borderId="20" xfId="0" applyBorder="1" applyAlignment="1" applyProtection="1">
      <alignment horizontal="left"/>
      <protection locked="0"/>
    </xf>
    <xf numFmtId="0" fontId="0" fillId="0" borderId="19" xfId="0" applyBorder="1" applyAlignment="1" applyProtection="1">
      <alignment horizontal="left"/>
      <protection locked="0"/>
    </xf>
    <xf numFmtId="0" fontId="38" fillId="0" borderId="18" xfId="0" applyFont="1" applyBorder="1" applyAlignment="1">
      <alignment horizontal="center"/>
    </xf>
    <xf numFmtId="0" fontId="38" fillId="0" borderId="20" xfId="0" applyFont="1" applyBorder="1" applyAlignment="1">
      <alignment horizontal="center"/>
    </xf>
    <xf numFmtId="0" fontId="38" fillId="0" borderId="19" xfId="0" applyFont="1" applyBorder="1" applyAlignment="1">
      <alignment horizontal="center"/>
    </xf>
    <xf numFmtId="9" fontId="46" fillId="0" borderId="62" xfId="2" applyNumberFormat="1" applyFont="1" applyBorder="1" applyAlignment="1">
      <alignment horizontal="left" vertical="top" shrinkToFit="1"/>
    </xf>
    <xf numFmtId="2" fontId="67" fillId="0" borderId="62" xfId="2" applyNumberFormat="1" applyFont="1" applyBorder="1" applyAlignment="1">
      <alignment horizontal="right" vertical="top" wrapText="1"/>
    </xf>
    <xf numFmtId="0" fontId="45" fillId="0" borderId="62" xfId="2" applyFont="1" applyBorder="1" applyAlignment="1">
      <alignment horizontal="left" vertical="top" wrapText="1"/>
    </xf>
    <xf numFmtId="9" fontId="45" fillId="0" borderId="62" xfId="2" applyNumberFormat="1" applyFont="1" applyBorder="1" applyAlignment="1">
      <alignment horizontal="left" vertical="top" wrapText="1"/>
    </xf>
    <xf numFmtId="9" fontId="46" fillId="0" borderId="63" xfId="2" applyNumberFormat="1" applyFont="1" applyBorder="1" applyAlignment="1">
      <alignment horizontal="left" vertical="top" shrinkToFit="1"/>
    </xf>
    <xf numFmtId="9" fontId="46" fillId="0" borderId="65" xfId="2" applyNumberFormat="1" applyFont="1" applyBorder="1" applyAlignment="1">
      <alignment horizontal="left" vertical="top" shrinkToFit="1"/>
    </xf>
    <xf numFmtId="2" fontId="67" fillId="0" borderId="63" xfId="2" applyNumberFormat="1" applyFont="1" applyBorder="1" applyAlignment="1">
      <alignment horizontal="right" vertical="top" wrapText="1"/>
    </xf>
    <xf numFmtId="2" fontId="67" fillId="0" borderId="65" xfId="2" applyNumberFormat="1" applyFont="1" applyBorder="1" applyAlignment="1">
      <alignment horizontal="right" vertical="top" wrapText="1"/>
    </xf>
    <xf numFmtId="0" fontId="45" fillId="0" borderId="63" xfId="2" applyFont="1" applyBorder="1" applyAlignment="1">
      <alignment horizontal="left" vertical="center" wrapText="1"/>
    </xf>
    <xf numFmtId="0" fontId="2" fillId="0" borderId="64" xfId="2" applyBorder="1" applyAlignment="1">
      <alignment horizontal="left" vertical="center" wrapText="1"/>
    </xf>
    <xf numFmtId="0" fontId="2" fillId="0" borderId="65" xfId="2" applyBorder="1" applyAlignment="1">
      <alignment horizontal="left" vertical="center" wrapText="1"/>
    </xf>
    <xf numFmtId="0" fontId="45" fillId="0" borderId="64" xfId="2" applyFont="1" applyBorder="1" applyAlignment="1">
      <alignment horizontal="left" vertical="center" wrapText="1"/>
    </xf>
    <xf numFmtId="0" fontId="45" fillId="0" borderId="65" xfId="2" applyFont="1" applyBorder="1" applyAlignment="1">
      <alignment horizontal="left" vertical="center" wrapText="1"/>
    </xf>
    <xf numFmtId="0" fontId="2" fillId="0" borderId="63" xfId="2" applyBorder="1" applyAlignment="1">
      <alignment horizontal="left" vertical="center" wrapText="1"/>
    </xf>
    <xf numFmtId="10" fontId="46" fillId="0" borderId="62" xfId="2" applyNumberFormat="1" applyFont="1" applyBorder="1" applyAlignment="1">
      <alignment horizontal="left" vertical="top" shrinkToFit="1"/>
    </xf>
    <xf numFmtId="0" fontId="2" fillId="0" borderId="62" xfId="2" applyBorder="1" applyAlignment="1">
      <alignment horizontal="left" vertical="top" wrapText="1"/>
    </xf>
    <xf numFmtId="0" fontId="47" fillId="0" borderId="62" xfId="2" applyFont="1" applyBorder="1" applyAlignment="1">
      <alignment horizontal="center" vertical="center" wrapText="1"/>
    </xf>
    <xf numFmtId="0" fontId="45" fillId="0" borderId="62" xfId="2" applyFont="1" applyBorder="1" applyAlignment="1">
      <alignment horizontal="left" vertical="top" wrapText="1" indent="9"/>
    </xf>
    <xf numFmtId="0" fontId="45" fillId="0" borderId="62" xfId="2" applyFont="1" applyBorder="1" applyAlignment="1">
      <alignment horizontal="center" vertical="top" wrapText="1"/>
    </xf>
    <xf numFmtId="0" fontId="45" fillId="0" borderId="18" xfId="2" applyFont="1" applyBorder="1" applyAlignment="1">
      <alignment horizontal="left" vertical="top"/>
    </xf>
    <xf numFmtId="0" fontId="45" fillId="0" borderId="20" xfId="2" applyFont="1" applyBorder="1" applyAlignment="1">
      <alignment horizontal="left" vertical="top"/>
    </xf>
    <xf numFmtId="0" fontId="45" fillId="0" borderId="19" xfId="2" applyFont="1" applyBorder="1" applyAlignment="1">
      <alignment horizontal="left" vertical="top"/>
    </xf>
    <xf numFmtId="0" fontId="50" fillId="0" borderId="51" xfId="2" applyFont="1" applyBorder="1" applyAlignment="1">
      <alignment horizontal="left" vertical="top" wrapText="1"/>
    </xf>
    <xf numFmtId="0" fontId="45" fillId="0" borderId="51" xfId="2" applyFont="1" applyBorder="1" applyAlignment="1">
      <alignment horizontal="left" vertical="top"/>
    </xf>
    <xf numFmtId="0" fontId="45" fillId="0" borderId="51" xfId="2" applyFont="1" applyBorder="1" applyAlignment="1">
      <alignment horizontal="left" vertical="top" wrapText="1"/>
    </xf>
    <xf numFmtId="0" fontId="50" fillId="0" borderId="0" xfId="2" applyFont="1" applyAlignment="1">
      <alignment horizontal="left" vertical="top"/>
    </xf>
    <xf numFmtId="14" fontId="50" fillId="0" borderId="51" xfId="2" applyNumberFormat="1" applyFont="1" applyBorder="1" applyAlignment="1">
      <alignment horizontal="left" vertical="top"/>
    </xf>
    <xf numFmtId="0" fontId="50" fillId="0" borderId="51" xfId="2" applyFont="1" applyBorder="1" applyAlignment="1">
      <alignment horizontal="left" vertical="top"/>
    </xf>
    <xf numFmtId="0" fontId="50" fillId="0" borderId="0" xfId="2" applyFont="1" applyAlignment="1">
      <alignment vertical="center"/>
    </xf>
    <xf numFmtId="14" fontId="50" fillId="0" borderId="0" xfId="2" applyNumberFormat="1" applyFont="1" applyAlignment="1">
      <alignment horizontal="center" vertical="top"/>
    </xf>
    <xf numFmtId="0" fontId="50" fillId="0" borderId="0" xfId="2" applyFont="1" applyAlignment="1">
      <alignment horizontal="center" vertical="top"/>
    </xf>
    <xf numFmtId="0" fontId="50" fillId="0" borderId="0" xfId="2" applyFont="1" applyAlignment="1">
      <alignment horizontal="left"/>
    </xf>
    <xf numFmtId="0" fontId="60" fillId="0" borderId="51" xfId="2" applyFont="1" applyBorder="1" applyAlignment="1">
      <alignment horizontal="center"/>
    </xf>
    <xf numFmtId="0" fontId="60" fillId="0" borderId="51" xfId="2" applyFont="1" applyBorder="1"/>
    <xf numFmtId="0" fontId="50" fillId="0" borderId="0" xfId="2" applyFont="1" applyAlignment="1">
      <alignment horizontal="left" vertical="center"/>
    </xf>
    <xf numFmtId="14" fontId="50" fillId="0" borderId="0" xfId="2" applyNumberFormat="1" applyFont="1" applyAlignment="1">
      <alignment vertical="top"/>
    </xf>
    <xf numFmtId="0" fontId="50" fillId="0" borderId="0" xfId="2" applyFont="1" applyAlignment="1">
      <alignment vertical="top"/>
    </xf>
    <xf numFmtId="49" fontId="50" fillId="0" borderId="51" xfId="2" applyNumberFormat="1" applyFont="1" applyBorder="1" applyAlignment="1">
      <alignment horizontal="left" vertical="top" wrapText="1"/>
    </xf>
    <xf numFmtId="0" fontId="50" fillId="0" borderId="0" xfId="2" applyFont="1" applyAlignment="1">
      <alignment horizontal="left" vertical="top" wrapText="1"/>
    </xf>
    <xf numFmtId="0" fontId="58" fillId="0" borderId="0" xfId="2" applyFont="1" applyAlignment="1">
      <alignment horizontal="center" vertical="top" wrapText="1"/>
    </xf>
    <xf numFmtId="0" fontId="50" fillId="0" borderId="61" xfId="2" applyFont="1" applyBorder="1" applyAlignment="1">
      <alignment horizontal="left" vertical="top"/>
    </xf>
    <xf numFmtId="0" fontId="57" fillId="0" borderId="0" xfId="3" applyFont="1" applyAlignment="1">
      <alignment horizontal="left" wrapText="1"/>
    </xf>
    <xf numFmtId="0" fontId="2" fillId="0" borderId="62" xfId="2" applyBorder="1" applyAlignment="1">
      <alignment horizontal="left" wrapText="1"/>
    </xf>
    <xf numFmtId="0" fontId="2" fillId="0" borderId="62" xfId="2" applyBorder="1" applyAlignment="1">
      <alignment horizontal="center" vertical="top" wrapText="1"/>
    </xf>
    <xf numFmtId="0" fontId="45" fillId="0" borderId="62" xfId="2" applyFont="1" applyBorder="1" applyAlignment="1">
      <alignment vertical="top" wrapText="1"/>
    </xf>
    <xf numFmtId="0" fontId="47" fillId="0" borderId="62" xfId="2" applyFont="1" applyBorder="1" applyAlignment="1">
      <alignment horizontal="left" vertical="top" wrapText="1" indent="13"/>
    </xf>
    <xf numFmtId="0" fontId="68" fillId="25" borderId="62" xfId="2" applyFont="1" applyFill="1" applyBorder="1" applyAlignment="1">
      <alignment horizontal="right" vertical="top" wrapText="1"/>
    </xf>
    <xf numFmtId="2" fontId="68" fillId="0" borderId="62" xfId="2" applyNumberFormat="1" applyFont="1" applyBorder="1" applyAlignment="1">
      <alignment horizontal="right" vertical="top" wrapText="1"/>
    </xf>
    <xf numFmtId="0" fontId="50" fillId="0" borderId="62" xfId="2" applyFont="1" applyBorder="1" applyAlignment="1">
      <alignment vertical="top" wrapText="1"/>
    </xf>
    <xf numFmtId="0" fontId="45" fillId="0" borderId="62" xfId="2" applyFont="1" applyBorder="1" applyAlignment="1">
      <alignment horizontal="left" vertical="top" wrapText="1" indent="2"/>
    </xf>
    <xf numFmtId="0" fontId="45" fillId="0" borderId="62" xfId="2" applyFont="1" applyBorder="1" applyAlignment="1">
      <alignment horizontal="left" vertical="top" wrapText="1" indent="1"/>
    </xf>
    <xf numFmtId="0" fontId="47" fillId="0" borderId="62" xfId="2" applyFont="1" applyBorder="1" applyAlignment="1">
      <alignment horizontal="left" vertical="top" wrapText="1" indent="1"/>
    </xf>
    <xf numFmtId="0" fontId="67" fillId="25" borderId="62" xfId="2" applyFont="1" applyFill="1" applyBorder="1" applyAlignment="1">
      <alignment horizontal="right" vertical="top" wrapText="1"/>
    </xf>
    <xf numFmtId="0" fontId="47" fillId="0" borderId="62" xfId="2" applyFont="1" applyBorder="1" applyAlignment="1">
      <alignment horizontal="center" vertical="top" wrapText="1"/>
    </xf>
    <xf numFmtId="2" fontId="69" fillId="0" borderId="62" xfId="2" applyNumberFormat="1" applyFont="1" applyBorder="1" applyAlignment="1">
      <alignment horizontal="right" vertical="top" wrapText="1"/>
    </xf>
    <xf numFmtId="9" fontId="45" fillId="0" borderId="63" xfId="2" applyNumberFormat="1" applyFont="1" applyBorder="1" applyAlignment="1">
      <alignment horizontal="left" vertical="top" wrapText="1"/>
    </xf>
    <xf numFmtId="0" fontId="45" fillId="0" borderId="65" xfId="2" applyFont="1" applyBorder="1" applyAlignment="1">
      <alignment horizontal="left" vertical="top" wrapText="1"/>
    </xf>
    <xf numFmtId="0" fontId="50" fillId="0" borderId="62" xfId="2" applyFont="1" applyBorder="1" applyAlignment="1">
      <alignment horizontal="center" vertical="top" wrapText="1"/>
    </xf>
    <xf numFmtId="0" fontId="47" fillId="0" borderId="62" xfId="2" applyFont="1" applyBorder="1" applyAlignment="1">
      <alignment horizontal="left" vertical="top" wrapText="1" indent="8"/>
    </xf>
    <xf numFmtId="0" fontId="2" fillId="0" borderId="62" xfId="2" applyBorder="1" applyAlignment="1">
      <alignment vertical="top" wrapText="1"/>
    </xf>
    <xf numFmtId="0" fontId="47" fillId="0" borderId="62" xfId="2" applyFont="1" applyBorder="1" applyAlignment="1">
      <alignment horizontal="left" vertical="top" wrapText="1" indent="6"/>
    </xf>
    <xf numFmtId="0" fontId="45" fillId="0" borderId="62" xfId="2" applyFont="1" applyBorder="1" applyAlignment="1">
      <alignment vertical="center" wrapText="1"/>
    </xf>
    <xf numFmtId="0" fontId="62" fillId="0" borderId="62" xfId="2" applyFont="1" applyBorder="1" applyAlignment="1">
      <alignment vertical="top" wrapText="1"/>
    </xf>
    <xf numFmtId="0" fontId="47" fillId="0" borderId="62" xfId="2" applyFont="1" applyBorder="1" applyAlignment="1">
      <alignment horizontal="left" vertical="top" wrapText="1" indent="16"/>
    </xf>
    <xf numFmtId="0" fontId="50" fillId="0" borderId="0" xfId="2" applyFont="1" applyAlignment="1">
      <alignment horizontal="center" vertical="top" wrapText="1"/>
    </xf>
    <xf numFmtId="0" fontId="2" fillId="0" borderId="0" xfId="2" applyAlignment="1">
      <alignment horizontal="left" wrapText="1"/>
    </xf>
    <xf numFmtId="0" fontId="45" fillId="0" borderId="0" xfId="2" applyFont="1" applyAlignment="1">
      <alignment horizontal="right" vertical="top" wrapText="1" indent="4"/>
    </xf>
    <xf numFmtId="0" fontId="2" fillId="0" borderId="34" xfId="2" applyBorder="1" applyAlignment="1">
      <alignment horizontal="left" vertical="center" wrapText="1"/>
    </xf>
    <xf numFmtId="0" fontId="2" fillId="0" borderId="29" xfId="2" applyBorder="1" applyAlignment="1">
      <alignment horizontal="left" vertical="center" wrapText="1"/>
    </xf>
    <xf numFmtId="0" fontId="2" fillId="0" borderId="35" xfId="2" applyBorder="1" applyAlignment="1">
      <alignment horizontal="left" vertical="center" wrapText="1"/>
    </xf>
    <xf numFmtId="0" fontId="45" fillId="0" borderId="63" xfId="2" applyFont="1" applyBorder="1" applyAlignment="1">
      <alignment horizontal="left" vertical="top" wrapText="1"/>
    </xf>
    <xf numFmtId="0" fontId="45" fillId="0" borderId="64" xfId="2" applyFont="1" applyBorder="1" applyAlignment="1">
      <alignment horizontal="left" vertical="top" wrapText="1"/>
    </xf>
    <xf numFmtId="0" fontId="2" fillId="0" borderId="63" xfId="2" applyBorder="1" applyAlignment="1">
      <alignment horizontal="left" wrapText="1"/>
    </xf>
    <xf numFmtId="0" fontId="2" fillId="0" borderId="64" xfId="2" applyBorder="1" applyAlignment="1">
      <alignment horizontal="left" wrapText="1"/>
    </xf>
    <xf numFmtId="0" fontId="2" fillId="0" borderId="65" xfId="2" applyBorder="1" applyAlignment="1">
      <alignment horizontal="left" wrapText="1"/>
    </xf>
    <xf numFmtId="49" fontId="50" fillId="0" borderId="51" xfId="2" applyNumberFormat="1" applyFont="1" applyBorder="1" applyAlignment="1">
      <alignment horizontal="left" vertical="top"/>
    </xf>
    <xf numFmtId="0" fontId="50" fillId="0" borderId="0" xfId="2" applyFont="1"/>
    <xf numFmtId="0" fontId="45" fillId="0" borderId="18" xfId="2" applyFont="1" applyBorder="1" applyAlignment="1">
      <alignment vertical="top"/>
    </xf>
    <xf numFmtId="0" fontId="45" fillId="0" borderId="20" xfId="2" applyFont="1" applyBorder="1" applyAlignment="1">
      <alignment vertical="top"/>
    </xf>
    <xf numFmtId="0" fontId="45" fillId="0" borderId="19" xfId="2" applyFont="1" applyBorder="1" applyAlignment="1">
      <alignment vertical="top"/>
    </xf>
    <xf numFmtId="0" fontId="45" fillId="0" borderId="51" xfId="2" applyFont="1" applyBorder="1" applyAlignment="1">
      <alignment vertical="top"/>
    </xf>
    <xf numFmtId="0" fontId="50" fillId="0" borderId="33" xfId="2" applyFont="1" applyBorder="1" applyAlignment="1">
      <alignment horizontal="left" vertical="top" wrapText="1"/>
    </xf>
    <xf numFmtId="49" fontId="50" fillId="0" borderId="51" xfId="2" applyNumberFormat="1" applyFont="1" applyBorder="1" applyAlignment="1">
      <alignment vertical="top" wrapText="1"/>
    </xf>
    <xf numFmtId="0" fontId="50" fillId="0" borderId="51" xfId="2" applyFont="1" applyBorder="1" applyAlignment="1">
      <alignment vertical="top" wrapText="1"/>
    </xf>
    <xf numFmtId="0" fontId="50" fillId="0" borderId="18" xfId="2" applyFont="1" applyBorder="1" applyAlignment="1">
      <alignment horizontal="left" vertical="top"/>
    </xf>
    <xf numFmtId="0" fontId="50" fillId="0" borderId="20" xfId="2" applyFont="1" applyBorder="1" applyAlignment="1">
      <alignment horizontal="left" vertical="top"/>
    </xf>
    <xf numFmtId="0" fontId="50" fillId="0" borderId="19" xfId="2" applyFont="1" applyBorder="1" applyAlignment="1">
      <alignment horizontal="left" vertical="top"/>
    </xf>
    <xf numFmtId="49" fontId="50" fillId="0" borderId="0" xfId="2" applyNumberFormat="1" applyFont="1" applyAlignment="1">
      <alignment horizontal="center" vertical="top"/>
    </xf>
    <xf numFmtId="0" fontId="59" fillId="0" borderId="0" xfId="2" applyFont="1" applyAlignment="1">
      <alignment horizontal="center" vertical="top" wrapText="1"/>
    </xf>
    <xf numFmtId="0" fontId="50" fillId="0" borderId="61" xfId="2" applyFont="1" applyBorder="1" applyAlignment="1">
      <alignment horizontal="left" vertical="top" wrapText="1"/>
    </xf>
    <xf numFmtId="0" fontId="47" fillId="0" borderId="62" xfId="2" applyFont="1" applyBorder="1" applyAlignment="1">
      <alignment horizontal="left" vertical="center" wrapText="1" indent="2"/>
    </xf>
    <xf numFmtId="0" fontId="67" fillId="25" borderId="63" xfId="2" applyFont="1" applyFill="1" applyBorder="1" applyAlignment="1">
      <alignment horizontal="center" vertical="top" wrapText="1"/>
    </xf>
    <xf numFmtId="0" fontId="67" fillId="25" borderId="64" xfId="2" applyFont="1" applyFill="1" applyBorder="1" applyAlignment="1">
      <alignment horizontal="center" vertical="top" wrapText="1"/>
    </xf>
    <xf numFmtId="0" fontId="67" fillId="25" borderId="65" xfId="2" applyFont="1" applyFill="1" applyBorder="1" applyAlignment="1">
      <alignment horizontal="center" vertical="top" wrapText="1"/>
    </xf>
    <xf numFmtId="0" fontId="2" fillId="0" borderId="71" xfId="2" applyBorder="1" applyAlignment="1">
      <alignment horizontal="left" vertical="center" wrapText="1"/>
    </xf>
    <xf numFmtId="0" fontId="45" fillId="0" borderId="72" xfId="2" applyFont="1" applyBorder="1" applyAlignment="1">
      <alignment horizontal="left" vertical="top" wrapText="1"/>
    </xf>
    <xf numFmtId="2" fontId="67" fillId="0" borderId="72" xfId="2" applyNumberFormat="1" applyFont="1" applyBorder="1" applyAlignment="1">
      <alignment horizontal="right" vertical="top" wrapText="1"/>
    </xf>
    <xf numFmtId="9" fontId="45" fillId="0" borderId="72" xfId="2" applyNumberFormat="1" applyFont="1" applyBorder="1" applyAlignment="1">
      <alignment horizontal="left" vertical="top" wrapText="1"/>
    </xf>
    <xf numFmtId="9" fontId="46" fillId="0" borderId="72" xfId="2" applyNumberFormat="1" applyFont="1" applyBorder="1" applyAlignment="1">
      <alignment horizontal="left" vertical="top" shrinkToFit="1"/>
    </xf>
    <xf numFmtId="10" fontId="46" fillId="0" borderId="72" xfId="2" applyNumberFormat="1" applyFont="1" applyBorder="1" applyAlignment="1">
      <alignment horizontal="left" vertical="top" shrinkToFit="1"/>
    </xf>
    <xf numFmtId="10" fontId="46" fillId="0" borderId="72" xfId="2" applyNumberFormat="1" applyFont="1" applyBorder="1" applyAlignment="1">
      <alignment horizontal="left" vertical="top" wrapText="1" shrinkToFit="1"/>
    </xf>
    <xf numFmtId="2" fontId="67" fillId="29" borderId="72" xfId="2" applyNumberFormat="1" applyFont="1" applyFill="1" applyBorder="1" applyAlignment="1">
      <alignment horizontal="right" vertical="top" wrapText="1"/>
    </xf>
    <xf numFmtId="0" fontId="45" fillId="0" borderId="72" xfId="2" applyFont="1" applyBorder="1" applyAlignment="1">
      <alignment horizontal="center" vertical="top" wrapText="1"/>
    </xf>
    <xf numFmtId="0" fontId="45" fillId="0" borderId="72" xfId="2" applyFont="1" applyBorder="1" applyAlignment="1">
      <alignment vertical="top" wrapText="1"/>
    </xf>
    <xf numFmtId="0" fontId="2" fillId="0" borderId="72" xfId="2" applyBorder="1" applyAlignment="1">
      <alignment horizontal="left" vertical="center" wrapText="1"/>
    </xf>
    <xf numFmtId="0" fontId="47" fillId="0" borderId="72" xfId="2" applyFont="1" applyBorder="1" applyAlignment="1">
      <alignment horizontal="left" vertical="top" wrapText="1" indent="1"/>
    </xf>
    <xf numFmtId="0" fontId="47" fillId="0" borderId="72" xfId="2" applyFont="1" applyBorder="1" applyAlignment="1">
      <alignment horizontal="center" vertical="top" wrapText="1"/>
    </xf>
    <xf numFmtId="0" fontId="2" fillId="0" borderId="72" xfId="2" applyBorder="1" applyAlignment="1">
      <alignment vertical="top" wrapText="1"/>
    </xf>
    <xf numFmtId="0" fontId="62" fillId="0" borderId="72" xfId="2" applyFont="1" applyBorder="1" applyAlignment="1">
      <alignment vertical="top" wrapText="1"/>
    </xf>
    <xf numFmtId="0" fontId="45" fillId="0" borderId="72" xfId="2" applyFont="1" applyBorder="1" applyAlignment="1">
      <alignment vertical="center" wrapText="1"/>
    </xf>
    <xf numFmtId="0" fontId="47" fillId="0" borderId="72" xfId="2" applyFont="1" applyBorder="1" applyAlignment="1">
      <alignment horizontal="left" vertical="top" wrapText="1" indent="6"/>
    </xf>
    <xf numFmtId="0" fontId="47" fillId="0" borderId="72" xfId="2" applyFont="1" applyBorder="1" applyAlignment="1">
      <alignment horizontal="left" vertical="top" wrapText="1" indent="16"/>
    </xf>
    <xf numFmtId="2" fontId="68" fillId="0" borderId="72" xfId="2" applyNumberFormat="1" applyFont="1" applyBorder="1" applyAlignment="1">
      <alignment horizontal="right" vertical="top" wrapText="1"/>
    </xf>
    <xf numFmtId="0" fontId="45" fillId="0" borderId="63" xfId="2" applyFont="1" applyBorder="1" applyAlignment="1">
      <alignment vertical="top" wrapText="1"/>
    </xf>
    <xf numFmtId="0" fontId="2" fillId="0" borderId="64" xfId="2" applyBorder="1" applyAlignment="1">
      <alignment vertical="top" wrapText="1"/>
    </xf>
    <xf numFmtId="0" fontId="2" fillId="0" borderId="65" xfId="2" applyBorder="1" applyAlignment="1">
      <alignment vertical="top" wrapText="1"/>
    </xf>
    <xf numFmtId="2" fontId="67" fillId="0" borderId="64" xfId="2" applyNumberFormat="1" applyFont="1" applyBorder="1" applyAlignment="1">
      <alignment horizontal="right" vertical="top" wrapText="1"/>
    </xf>
    <xf numFmtId="0" fontId="47" fillId="0" borderId="72" xfId="2" applyFont="1" applyBorder="1" applyAlignment="1">
      <alignment horizontal="left" vertical="top" wrapText="1" indent="8"/>
    </xf>
    <xf numFmtId="0" fontId="47" fillId="0" borderId="72" xfId="2" applyFont="1" applyBorder="1" applyAlignment="1">
      <alignment horizontal="center" vertical="center" wrapText="1"/>
    </xf>
    <xf numFmtId="0" fontId="50" fillId="0" borderId="72" xfId="2" applyFont="1" applyBorder="1" applyAlignment="1">
      <alignment horizontal="center" vertical="top" wrapText="1"/>
    </xf>
    <xf numFmtId="0" fontId="2" fillId="0" borderId="72" xfId="2" applyBorder="1" applyAlignment="1">
      <alignment horizontal="center" vertical="top" wrapText="1"/>
    </xf>
    <xf numFmtId="0" fontId="67" fillId="25" borderId="72" xfId="2" applyFont="1" applyFill="1" applyBorder="1" applyAlignment="1">
      <alignment horizontal="right" vertical="top" wrapText="1"/>
    </xf>
    <xf numFmtId="0" fontId="2" fillId="0" borderId="72" xfId="2" applyBorder="1" applyAlignment="1">
      <alignment horizontal="left" wrapText="1"/>
    </xf>
    <xf numFmtId="0" fontId="45" fillId="0" borderId="72" xfId="2" applyFont="1" applyBorder="1" applyAlignment="1">
      <alignment horizontal="left" vertical="top" wrapText="1" indent="9"/>
    </xf>
    <xf numFmtId="0" fontId="2" fillId="0" borderId="72" xfId="2" applyBorder="1" applyAlignment="1">
      <alignment horizontal="left" vertical="top" wrapText="1"/>
    </xf>
    <xf numFmtId="0" fontId="68" fillId="25" borderId="72" xfId="2" applyFont="1" applyFill="1" applyBorder="1" applyAlignment="1">
      <alignment horizontal="right" vertical="top" wrapText="1"/>
    </xf>
    <xf numFmtId="0" fontId="45" fillId="0" borderId="72" xfId="2" applyFont="1" applyBorder="1" applyAlignment="1">
      <alignment horizontal="left" vertical="top" wrapText="1" indent="2"/>
    </xf>
    <xf numFmtId="0" fontId="45" fillId="0" borderId="72" xfId="2" applyFont="1" applyBorder="1" applyAlignment="1">
      <alignment horizontal="left" vertical="top" wrapText="1" indent="1"/>
    </xf>
    <xf numFmtId="0" fontId="50" fillId="0" borderId="72" xfId="2" applyFont="1" applyBorder="1" applyAlignment="1">
      <alignment vertical="top" wrapText="1"/>
    </xf>
    <xf numFmtId="0" fontId="47" fillId="0" borderId="72" xfId="2" applyFont="1" applyBorder="1" applyAlignment="1">
      <alignment horizontal="left" vertical="top" wrapText="1" indent="13"/>
    </xf>
    <xf numFmtId="0" fontId="47" fillId="0" borderId="72" xfId="2" applyFont="1" applyBorder="1" applyAlignment="1">
      <alignment horizontal="left" vertical="center" wrapText="1" indent="2"/>
    </xf>
    <xf numFmtId="0" fontId="2" fillId="0" borderId="0" xfId="0" applyFont="1" applyAlignment="1">
      <alignment vertical="center" wrapText="1"/>
    </xf>
    <xf numFmtId="0" fontId="4" fillId="0" borderId="0" xfId="0" applyFont="1" applyAlignment="1">
      <alignment vertical="center" wrapText="1"/>
    </xf>
  </cellXfs>
  <cellStyles count="5">
    <cellStyle name="Hyperlink" xfId="4" builtinId="8"/>
    <cellStyle name="Normal" xfId="0" builtinId="0"/>
    <cellStyle name="Normal 2" xfId="1" xr:uid="{00000000-0005-0000-0000-000002000000}"/>
    <cellStyle name="Normal 2 2" xfId="3" xr:uid="{00000000-0005-0000-0000-000003000000}"/>
    <cellStyle name="Normal 3" xfId="2" xr:uid="{00000000-0005-0000-0000-000004000000}"/>
  </cellStyles>
  <dxfs count="0"/>
  <tableStyles count="0" defaultTableStyle="TableStyleMedium2" defaultPivotStyle="PivotStyleLight16"/>
  <colors>
    <mruColors>
      <color rgb="FFFFFFFF"/>
      <color rgb="FFFF292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5.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externalLink" Target="externalLinks/externalLink4.xml"/><Relationship Id="rId37"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externalLink" Target="externalLinks/externalLink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2.xml"/><Relationship Id="rId35" Type="http://schemas.openxmlformats.org/officeDocument/2006/relationships/styles" Target="styles.xml"/><Relationship Id="rId8" Type="http://schemas.openxmlformats.org/officeDocument/2006/relationships/worksheet" Target="worksheets/sheet8.xml"/><Relationship Id="rId3" Type="http://schemas.openxmlformats.org/officeDocument/2006/relationships/worksheet" Target="worksheets/sheet3.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2" Type="http://schemas.openxmlformats.org/officeDocument/2006/relationships/image" Target="../media/image3.gif"/><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1" Type="http://schemas.openxmlformats.org/officeDocument/2006/relationships/image" Target="../media/image2.png"/></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1" Type="http://schemas.openxmlformats.org/officeDocument/2006/relationships/image" Target="../media/image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2.png"/></Relationships>
</file>

<file path=xl/drawings/_rels/drawing12.xml.rels><?xml version="1.0" encoding="UTF-8" standalone="yes"?>
<Relationships xmlns="http://schemas.openxmlformats.org/package/2006/relationships"><Relationship Id="rId1" Type="http://schemas.openxmlformats.org/officeDocument/2006/relationships/image" Target="../media/image2.png"/></Relationships>
</file>

<file path=xl/drawings/_rels/drawing13.xml.rels><?xml version="1.0" encoding="UTF-8" standalone="yes"?>
<Relationships xmlns="http://schemas.openxmlformats.org/package/2006/relationships"><Relationship Id="rId1" Type="http://schemas.openxmlformats.org/officeDocument/2006/relationships/image" Target="../media/image2.png"/></Relationships>
</file>

<file path=xl/drawings/_rels/drawing14.xml.rels><?xml version="1.0" encoding="UTF-8" standalone="yes"?>
<Relationships xmlns="http://schemas.openxmlformats.org/package/2006/relationships"><Relationship Id="rId1" Type="http://schemas.openxmlformats.org/officeDocument/2006/relationships/image" Target="../media/image2.png"/></Relationships>
</file>

<file path=xl/drawings/_rels/drawing15.xml.rels><?xml version="1.0" encoding="UTF-8" standalone="yes"?>
<Relationships xmlns="http://schemas.openxmlformats.org/package/2006/relationships"><Relationship Id="rId1" Type="http://schemas.openxmlformats.org/officeDocument/2006/relationships/image" Target="../media/image2.png"/></Relationships>
</file>

<file path=xl/drawings/_rels/drawing16.xml.rels><?xml version="1.0" encoding="UTF-8" standalone="yes"?>
<Relationships xmlns="http://schemas.openxmlformats.org/package/2006/relationships"><Relationship Id="rId1" Type="http://schemas.openxmlformats.org/officeDocument/2006/relationships/image" Target="../media/image2.png"/></Relationships>
</file>

<file path=xl/drawings/_rels/drawing17.xml.rels><?xml version="1.0" encoding="UTF-8" standalone="yes"?>
<Relationships xmlns="http://schemas.openxmlformats.org/package/2006/relationships"><Relationship Id="rId1" Type="http://schemas.openxmlformats.org/officeDocument/2006/relationships/image" Target="../media/image2.png"/></Relationships>
</file>

<file path=xl/drawings/_rels/drawing18.xml.rels><?xml version="1.0" encoding="UTF-8" standalone="yes"?>
<Relationships xmlns="http://schemas.openxmlformats.org/package/2006/relationships"><Relationship Id="rId1" Type="http://schemas.openxmlformats.org/officeDocument/2006/relationships/image" Target="../media/image2.png"/></Relationships>
</file>

<file path=xl/drawings/_rels/drawing19.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oneCellAnchor>
    <xdr:from>
      <xdr:col>0</xdr:col>
      <xdr:colOff>228600</xdr:colOff>
      <xdr:row>0</xdr:row>
      <xdr:rowOff>95250</xdr:rowOff>
    </xdr:from>
    <xdr:ext cx="282087" cy="523875"/>
    <xdr:pic>
      <xdr:nvPicPr>
        <xdr:cNvPr id="2" name="Picture 1">
          <a:extLst>
            <a:ext uri="{FF2B5EF4-FFF2-40B4-BE49-F238E27FC236}">
              <a16:creationId xmlns:a16="http://schemas.microsoft.com/office/drawing/2014/main" id="{55E629B1-72C8-41B5-B47C-7FD1ED6EDD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28600" y="95250"/>
          <a:ext cx="282087" cy="523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2.xml><?xml version="1.0" encoding="utf-8"?>
<xdr:wsDr xmlns:xdr="http://schemas.openxmlformats.org/drawingml/2006/spreadsheetDrawing" xmlns:a="http://schemas.openxmlformats.org/drawingml/2006/main">
  <xdr:oneCellAnchor>
    <xdr:from>
      <xdr:col>0</xdr:col>
      <xdr:colOff>200025</xdr:colOff>
      <xdr:row>0</xdr:row>
      <xdr:rowOff>66675</xdr:rowOff>
    </xdr:from>
    <xdr:ext cx="282087" cy="523875"/>
    <xdr:pic>
      <xdr:nvPicPr>
        <xdr:cNvPr id="4" name="Picture 3">
          <a:extLst>
            <a:ext uri="{FF2B5EF4-FFF2-40B4-BE49-F238E27FC236}">
              <a16:creationId xmlns:a16="http://schemas.microsoft.com/office/drawing/2014/main" id="{999A80C6-A4C4-4B46-9453-99767CE0183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0025" y="66675"/>
          <a:ext cx="282087" cy="523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3.xml><?xml version="1.0" encoding="utf-8"?>
<xdr:wsDr xmlns:xdr="http://schemas.openxmlformats.org/drawingml/2006/spreadsheetDrawing" xmlns:a="http://schemas.openxmlformats.org/drawingml/2006/main">
  <xdr:oneCellAnchor>
    <xdr:from>
      <xdr:col>0</xdr:col>
      <xdr:colOff>200025</xdr:colOff>
      <xdr:row>0</xdr:row>
      <xdr:rowOff>66675</xdr:rowOff>
    </xdr:from>
    <xdr:ext cx="282087" cy="523875"/>
    <xdr:pic>
      <xdr:nvPicPr>
        <xdr:cNvPr id="2" name="Picture 1">
          <a:extLst>
            <a:ext uri="{FF2B5EF4-FFF2-40B4-BE49-F238E27FC236}">
              <a16:creationId xmlns:a16="http://schemas.microsoft.com/office/drawing/2014/main" id="{7361749F-3600-4EDA-849D-4CF476A376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0025" y="66675"/>
          <a:ext cx="282087" cy="523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4.xml><?xml version="1.0" encoding="utf-8"?>
<xdr:wsDr xmlns:xdr="http://schemas.openxmlformats.org/drawingml/2006/spreadsheetDrawing" xmlns:a="http://schemas.openxmlformats.org/drawingml/2006/main">
  <xdr:twoCellAnchor editAs="oneCell">
    <xdr:from>
      <xdr:col>1</xdr:col>
      <xdr:colOff>228600</xdr:colOff>
      <xdr:row>0</xdr:row>
      <xdr:rowOff>95250</xdr:rowOff>
    </xdr:from>
    <xdr:to>
      <xdr:col>1</xdr:col>
      <xdr:colOff>510687</xdr:colOff>
      <xdr:row>0</xdr:row>
      <xdr:rowOff>619125</xdr:rowOff>
    </xdr:to>
    <xdr:pic>
      <xdr:nvPicPr>
        <xdr:cNvPr id="2" name="Picture 1">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81000" y="95250"/>
          <a:ext cx="282087" cy="523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180975</xdr:colOff>
      <xdr:row>3</xdr:row>
      <xdr:rowOff>104774</xdr:rowOff>
    </xdr:from>
    <xdr:to>
      <xdr:col>4</xdr:col>
      <xdr:colOff>552450</xdr:colOff>
      <xdr:row>4</xdr:row>
      <xdr:rowOff>752475</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3800475" y="1200149"/>
          <a:ext cx="2133600" cy="838201"/>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To</a:t>
          </a:r>
          <a:r>
            <a:rPr lang="en-US" sz="1100" baseline="0"/>
            <a:t> open GSTR-9C JSON (.json) file downloaded from GST portal to edit/add details .</a:t>
          </a:r>
        </a:p>
      </xdr:txBody>
    </xdr:sp>
    <xdr:clientData/>
  </xdr:twoCellAnchor>
  <xdr:twoCellAnchor>
    <xdr:from>
      <xdr:col>7</xdr:col>
      <xdr:colOff>66675</xdr:colOff>
      <xdr:row>2</xdr:row>
      <xdr:rowOff>161925</xdr:rowOff>
    </xdr:from>
    <xdr:to>
      <xdr:col>8</xdr:col>
      <xdr:colOff>371474</xdr:colOff>
      <xdr:row>4</xdr:row>
      <xdr:rowOff>638175</xdr:rowOff>
    </xdr:to>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9582150" y="1066800"/>
          <a:ext cx="2038349" cy="85725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To generate a JSON (.json) file </a:t>
          </a:r>
          <a:r>
            <a:rPr lang="en-US" sz="1100" baseline="0"/>
            <a:t>to </a:t>
          </a:r>
          <a:r>
            <a:rPr lang="en-US" sz="1100"/>
            <a:t>upload GSTR-9C details</a:t>
          </a:r>
          <a:r>
            <a:rPr lang="en-US" sz="1100" baseline="0"/>
            <a:t> added in offine tool </a:t>
          </a:r>
          <a:r>
            <a:rPr lang="en-US" sz="1100"/>
            <a:t>on GST Portal </a:t>
          </a:r>
        </a:p>
      </xdr:txBody>
    </xdr:sp>
    <xdr:clientData/>
  </xdr:twoCellAnchor>
  <xdr:twoCellAnchor>
    <xdr:from>
      <xdr:col>6</xdr:col>
      <xdr:colOff>285750</xdr:colOff>
      <xdr:row>3</xdr:row>
      <xdr:rowOff>161924</xdr:rowOff>
    </xdr:from>
    <xdr:to>
      <xdr:col>7</xdr:col>
      <xdr:colOff>38101</xdr:colOff>
      <xdr:row>4</xdr:row>
      <xdr:rowOff>323849</xdr:rowOff>
    </xdr:to>
    <xdr:sp macro="" textlink="">
      <xdr:nvSpPr>
        <xdr:cNvPr id="5" name="Left Arrow 4">
          <a:extLst>
            <a:ext uri="{FF2B5EF4-FFF2-40B4-BE49-F238E27FC236}">
              <a16:creationId xmlns:a16="http://schemas.microsoft.com/office/drawing/2014/main" id="{00000000-0008-0000-0100-000005000000}"/>
            </a:ext>
          </a:extLst>
        </xdr:cNvPr>
        <xdr:cNvSpPr/>
      </xdr:nvSpPr>
      <xdr:spPr>
        <a:xfrm>
          <a:off x="9029700" y="1257299"/>
          <a:ext cx="523876" cy="352425"/>
        </a:xfrm>
        <a:prstGeom prst="leftArrow">
          <a:avLst/>
        </a:prstGeom>
        <a:solidFill>
          <a:schemeClr val="accent5">
            <a:lumMod val="5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clientData/>
  </xdr:twoCellAnchor>
  <xdr:twoCellAnchor>
    <xdr:from>
      <xdr:col>1</xdr:col>
      <xdr:colOff>57148</xdr:colOff>
      <xdr:row>4</xdr:row>
      <xdr:rowOff>409575</xdr:rowOff>
    </xdr:from>
    <xdr:to>
      <xdr:col>4</xdr:col>
      <xdr:colOff>333375</xdr:colOff>
      <xdr:row>4</xdr:row>
      <xdr:rowOff>676275</xdr:rowOff>
    </xdr:to>
    <xdr:sp macro="" textlink="">
      <xdr:nvSpPr>
        <xdr:cNvPr id="7" name="TextBox 6">
          <a:extLst>
            <a:ext uri="{FF2B5EF4-FFF2-40B4-BE49-F238E27FC236}">
              <a16:creationId xmlns:a16="http://schemas.microsoft.com/office/drawing/2014/main" id="{00000000-0008-0000-0100-000007000000}"/>
            </a:ext>
          </a:extLst>
        </xdr:cNvPr>
        <xdr:cNvSpPr txBox="1"/>
      </xdr:nvSpPr>
      <xdr:spPr>
        <a:xfrm>
          <a:off x="209548" y="3810000"/>
          <a:ext cx="5895977"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u="none">
            <a:solidFill>
              <a:srgbClr val="FF0000"/>
            </a:solidFill>
          </a:endParaRPr>
        </a:p>
      </xdr:txBody>
    </xdr:sp>
    <xdr:clientData/>
  </xdr:twoCellAnchor>
  <xdr:twoCellAnchor>
    <xdr:from>
      <xdr:col>1</xdr:col>
      <xdr:colOff>171450</xdr:colOff>
      <xdr:row>3</xdr:row>
      <xdr:rowOff>38101</xdr:rowOff>
    </xdr:from>
    <xdr:to>
      <xdr:col>2</xdr:col>
      <xdr:colOff>952500</xdr:colOff>
      <xdr:row>4</xdr:row>
      <xdr:rowOff>628651</xdr:rowOff>
    </xdr:to>
    <xdr:sp macro="[0]!Import_JSON" textlink="">
      <xdr:nvSpPr>
        <xdr:cNvPr id="11" name="Rounded Rectangle 10">
          <a:extLst>
            <a:ext uri="{FF2B5EF4-FFF2-40B4-BE49-F238E27FC236}">
              <a16:creationId xmlns:a16="http://schemas.microsoft.com/office/drawing/2014/main" id="{00000000-0008-0000-0100-00000B000000}"/>
            </a:ext>
          </a:extLst>
        </xdr:cNvPr>
        <xdr:cNvSpPr/>
      </xdr:nvSpPr>
      <xdr:spPr>
        <a:xfrm>
          <a:off x="323850" y="1133476"/>
          <a:ext cx="2733675" cy="781050"/>
        </a:xfrm>
        <a:prstGeom prst="roundRect">
          <a:avLst/>
        </a:prstGeom>
        <a:solidFill>
          <a:schemeClr val="bg1">
            <a:lumMod val="65000"/>
          </a:schemeClr>
        </a:solidFill>
        <a:scene3d>
          <a:camera prst="orthographicFront"/>
          <a:lightRig rig="threePt" dir="t"/>
        </a:scene3d>
        <a:sp3d>
          <a:bevelT prst="angle"/>
        </a:sp3d>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l"/>
          <a:r>
            <a:rPr lang="en-US" sz="1100" b="1">
              <a:solidFill>
                <a:schemeClr val="tx2">
                  <a:lumMod val="50000"/>
                </a:schemeClr>
              </a:solidFill>
            </a:rPr>
            <a:t>Open</a:t>
          </a:r>
          <a:r>
            <a:rPr lang="en-US" sz="1100" b="1" baseline="0">
              <a:solidFill>
                <a:schemeClr val="tx2">
                  <a:lumMod val="50000"/>
                </a:schemeClr>
              </a:solidFill>
            </a:rPr>
            <a:t> GSTR-9C JSON File</a:t>
          </a:r>
        </a:p>
        <a:p>
          <a:pPr algn="l"/>
          <a:r>
            <a:rPr lang="en-US" sz="1100" b="1" baseline="0">
              <a:solidFill>
                <a:schemeClr val="tx2">
                  <a:lumMod val="50000"/>
                </a:schemeClr>
              </a:solidFill>
            </a:rPr>
            <a:t>Downloaded from GST Portal</a:t>
          </a:r>
          <a:endParaRPr lang="en-US" sz="1100" b="1">
            <a:solidFill>
              <a:schemeClr val="tx2">
                <a:lumMod val="50000"/>
              </a:schemeClr>
            </a:solidFill>
          </a:endParaRPr>
        </a:p>
      </xdr:txBody>
    </xdr:sp>
    <xdr:clientData/>
  </xdr:twoCellAnchor>
  <xdr:twoCellAnchor>
    <xdr:from>
      <xdr:col>2</xdr:col>
      <xdr:colOff>200024</xdr:colOff>
      <xdr:row>3</xdr:row>
      <xdr:rowOff>123825</xdr:rowOff>
    </xdr:from>
    <xdr:to>
      <xdr:col>2</xdr:col>
      <xdr:colOff>847725</xdr:colOff>
      <xdr:row>4</xdr:row>
      <xdr:rowOff>520701</xdr:rowOff>
    </xdr:to>
    <xdr:grpSp>
      <xdr:nvGrpSpPr>
        <xdr:cNvPr id="13" name="Group 12">
          <a:extLst>
            <a:ext uri="{FF2B5EF4-FFF2-40B4-BE49-F238E27FC236}">
              <a16:creationId xmlns:a16="http://schemas.microsoft.com/office/drawing/2014/main" id="{00000000-0008-0000-0100-00000D000000}"/>
            </a:ext>
          </a:extLst>
        </xdr:cNvPr>
        <xdr:cNvGrpSpPr/>
      </xdr:nvGrpSpPr>
      <xdr:grpSpPr>
        <a:xfrm>
          <a:off x="2371724" y="1198245"/>
          <a:ext cx="647701" cy="587376"/>
          <a:chOff x="4518026" y="3082926"/>
          <a:chExt cx="1162050" cy="977900"/>
        </a:xfrm>
      </xdr:grpSpPr>
      <xdr:sp macro="" textlink="">
        <xdr:nvSpPr>
          <xdr:cNvPr id="15" name="Freeform 14">
            <a:extLst>
              <a:ext uri="{FF2B5EF4-FFF2-40B4-BE49-F238E27FC236}">
                <a16:creationId xmlns:a16="http://schemas.microsoft.com/office/drawing/2014/main" id="{00000000-0008-0000-0100-00000F000000}"/>
              </a:ext>
            </a:extLst>
          </xdr:cNvPr>
          <xdr:cNvSpPr>
            <a:spLocks/>
          </xdr:cNvSpPr>
        </xdr:nvSpPr>
        <xdr:spPr bwMode="auto">
          <a:xfrm>
            <a:off x="4518026" y="3082926"/>
            <a:ext cx="1162050" cy="977900"/>
          </a:xfrm>
          <a:custGeom>
            <a:avLst/>
            <a:gdLst>
              <a:gd name="T0" fmla="*/ 732 w 732"/>
              <a:gd name="T1" fmla="*/ 470 h 616"/>
              <a:gd name="T2" fmla="*/ 378 w 732"/>
              <a:gd name="T3" fmla="*/ 616 h 616"/>
              <a:gd name="T4" fmla="*/ 0 w 732"/>
              <a:gd name="T5" fmla="*/ 470 h 616"/>
              <a:gd name="T6" fmla="*/ 0 w 732"/>
              <a:gd name="T7" fmla="*/ 312 h 616"/>
              <a:gd name="T8" fmla="*/ 256 w 732"/>
              <a:gd name="T9" fmla="*/ 259 h 616"/>
              <a:gd name="T10" fmla="*/ 179 w 732"/>
              <a:gd name="T11" fmla="*/ 155 h 616"/>
              <a:gd name="T12" fmla="*/ 226 w 732"/>
              <a:gd name="T13" fmla="*/ 148 h 616"/>
              <a:gd name="T14" fmla="*/ 281 w 732"/>
              <a:gd name="T15" fmla="*/ 155 h 616"/>
              <a:gd name="T16" fmla="*/ 281 w 732"/>
              <a:gd name="T17" fmla="*/ 4 h 616"/>
              <a:gd name="T18" fmla="*/ 331 w 732"/>
              <a:gd name="T19" fmla="*/ 0 h 616"/>
              <a:gd name="T20" fmla="*/ 482 w 732"/>
              <a:gd name="T21" fmla="*/ 11 h 616"/>
              <a:gd name="T22" fmla="*/ 482 w 732"/>
              <a:gd name="T23" fmla="*/ 182 h 616"/>
              <a:gd name="T24" fmla="*/ 604 w 732"/>
              <a:gd name="T25" fmla="*/ 197 h 616"/>
              <a:gd name="T26" fmla="*/ 502 w 732"/>
              <a:gd name="T27" fmla="*/ 277 h 616"/>
              <a:gd name="T28" fmla="*/ 732 w 732"/>
              <a:gd name="T29" fmla="*/ 312 h 616"/>
              <a:gd name="T30" fmla="*/ 732 w 732"/>
              <a:gd name="T31" fmla="*/ 470 h 61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Lst>
            <a:rect l="0" t="0" r="r" b="b"/>
            <a:pathLst>
              <a:path w="732" h="616">
                <a:moveTo>
                  <a:pt x="732" y="470"/>
                </a:moveTo>
                <a:lnTo>
                  <a:pt x="378" y="616"/>
                </a:lnTo>
                <a:lnTo>
                  <a:pt x="0" y="470"/>
                </a:lnTo>
                <a:lnTo>
                  <a:pt x="0" y="312"/>
                </a:lnTo>
                <a:lnTo>
                  <a:pt x="256" y="259"/>
                </a:lnTo>
                <a:lnTo>
                  <a:pt x="179" y="155"/>
                </a:lnTo>
                <a:lnTo>
                  <a:pt x="226" y="148"/>
                </a:lnTo>
                <a:lnTo>
                  <a:pt x="281" y="155"/>
                </a:lnTo>
                <a:lnTo>
                  <a:pt x="281" y="4"/>
                </a:lnTo>
                <a:lnTo>
                  <a:pt x="331" y="0"/>
                </a:lnTo>
                <a:lnTo>
                  <a:pt x="482" y="11"/>
                </a:lnTo>
                <a:lnTo>
                  <a:pt x="482" y="182"/>
                </a:lnTo>
                <a:lnTo>
                  <a:pt x="604" y="197"/>
                </a:lnTo>
                <a:lnTo>
                  <a:pt x="502" y="277"/>
                </a:lnTo>
                <a:lnTo>
                  <a:pt x="732" y="312"/>
                </a:lnTo>
                <a:lnTo>
                  <a:pt x="732" y="470"/>
                </a:lnTo>
                <a:close/>
              </a:path>
            </a:pathLst>
          </a:custGeom>
          <a:solidFill>
            <a:schemeClr val="accent5">
              <a:lumMod val="50000"/>
            </a:schemeClr>
          </a:solidFill>
          <a:ln w="9525">
            <a:noFill/>
            <a:round/>
            <a:headEnd/>
            <a:tailEnd/>
          </a:ln>
        </xdr:spPr>
        <xdr:txBody>
          <a:bodyPr vert="horz" wrap="square" lIns="91440" tIns="45720" rIns="91440" bIns="45720" numCol="1" anchor="t" anchorCtr="0" compatLnSpc="1">
            <a:prstTxWarp prst="textNoShape">
              <a:avLst/>
            </a:prstTxWarp>
          </a:bodyPr>
          <a:lstStyle>
            <a:defPPr>
              <a:defRPr lang="en-US"/>
            </a:defPPr>
            <a:lvl1pPr marL="0" algn="l" defTabSz="1218987" rtl="0" eaLnBrk="1" latinLnBrk="0" hangingPunct="1">
              <a:defRPr sz="2400" kern="1200">
                <a:solidFill>
                  <a:schemeClr val="tx1"/>
                </a:solidFill>
                <a:latin typeface="+mn-lt"/>
                <a:ea typeface="+mn-ea"/>
                <a:cs typeface="+mn-cs"/>
              </a:defRPr>
            </a:lvl1pPr>
            <a:lvl2pPr marL="609493" algn="l" defTabSz="1218987" rtl="0" eaLnBrk="1" latinLnBrk="0" hangingPunct="1">
              <a:defRPr sz="2400" kern="1200">
                <a:solidFill>
                  <a:schemeClr val="tx1"/>
                </a:solidFill>
                <a:latin typeface="+mn-lt"/>
                <a:ea typeface="+mn-ea"/>
                <a:cs typeface="+mn-cs"/>
              </a:defRPr>
            </a:lvl2pPr>
            <a:lvl3pPr marL="1218987" algn="l" defTabSz="1218987" rtl="0" eaLnBrk="1" latinLnBrk="0" hangingPunct="1">
              <a:defRPr sz="2400" kern="1200">
                <a:solidFill>
                  <a:schemeClr val="tx1"/>
                </a:solidFill>
                <a:latin typeface="+mn-lt"/>
                <a:ea typeface="+mn-ea"/>
                <a:cs typeface="+mn-cs"/>
              </a:defRPr>
            </a:lvl3pPr>
            <a:lvl4pPr marL="1828480" algn="l" defTabSz="1218987" rtl="0" eaLnBrk="1" latinLnBrk="0" hangingPunct="1">
              <a:defRPr sz="2400" kern="1200">
                <a:solidFill>
                  <a:schemeClr val="tx1"/>
                </a:solidFill>
                <a:latin typeface="+mn-lt"/>
                <a:ea typeface="+mn-ea"/>
                <a:cs typeface="+mn-cs"/>
              </a:defRPr>
            </a:lvl4pPr>
            <a:lvl5pPr marL="2437973" algn="l" defTabSz="1218987" rtl="0" eaLnBrk="1" latinLnBrk="0" hangingPunct="1">
              <a:defRPr sz="2400" kern="1200">
                <a:solidFill>
                  <a:schemeClr val="tx1"/>
                </a:solidFill>
                <a:latin typeface="+mn-lt"/>
                <a:ea typeface="+mn-ea"/>
                <a:cs typeface="+mn-cs"/>
              </a:defRPr>
            </a:lvl5pPr>
            <a:lvl6pPr marL="3047467" algn="l" defTabSz="1218987" rtl="0" eaLnBrk="1" latinLnBrk="0" hangingPunct="1">
              <a:defRPr sz="2400" kern="1200">
                <a:solidFill>
                  <a:schemeClr val="tx1"/>
                </a:solidFill>
                <a:latin typeface="+mn-lt"/>
                <a:ea typeface="+mn-ea"/>
                <a:cs typeface="+mn-cs"/>
              </a:defRPr>
            </a:lvl6pPr>
            <a:lvl7pPr marL="3656960" algn="l" defTabSz="1218987" rtl="0" eaLnBrk="1" latinLnBrk="0" hangingPunct="1">
              <a:defRPr sz="2400" kern="1200">
                <a:solidFill>
                  <a:schemeClr val="tx1"/>
                </a:solidFill>
                <a:latin typeface="+mn-lt"/>
                <a:ea typeface="+mn-ea"/>
                <a:cs typeface="+mn-cs"/>
              </a:defRPr>
            </a:lvl7pPr>
            <a:lvl8pPr marL="4266453" algn="l" defTabSz="1218987" rtl="0" eaLnBrk="1" latinLnBrk="0" hangingPunct="1">
              <a:defRPr sz="2400" kern="1200">
                <a:solidFill>
                  <a:schemeClr val="tx1"/>
                </a:solidFill>
                <a:latin typeface="+mn-lt"/>
                <a:ea typeface="+mn-ea"/>
                <a:cs typeface="+mn-cs"/>
              </a:defRPr>
            </a:lvl8pPr>
            <a:lvl9pPr marL="4875947" algn="l" defTabSz="1218987" rtl="0" eaLnBrk="1" latinLnBrk="0" hangingPunct="1">
              <a:defRPr sz="2400" kern="1200">
                <a:solidFill>
                  <a:schemeClr val="tx1"/>
                </a:solidFill>
                <a:latin typeface="+mn-lt"/>
                <a:ea typeface="+mn-ea"/>
                <a:cs typeface="+mn-cs"/>
              </a:defRPr>
            </a:lvl9pPr>
          </a:lstStyle>
          <a:p>
            <a:endParaRPr lang="en-US"/>
          </a:p>
        </xdr:txBody>
      </xdr:sp>
      <xdr:sp macro="" textlink="">
        <xdr:nvSpPr>
          <xdr:cNvPr id="16" name="Freeform 15">
            <a:extLst>
              <a:ext uri="{FF2B5EF4-FFF2-40B4-BE49-F238E27FC236}">
                <a16:creationId xmlns:a16="http://schemas.microsoft.com/office/drawing/2014/main" id="{00000000-0008-0000-0100-000010000000}"/>
              </a:ext>
            </a:extLst>
          </xdr:cNvPr>
          <xdr:cNvSpPr>
            <a:spLocks/>
          </xdr:cNvSpPr>
        </xdr:nvSpPr>
        <xdr:spPr bwMode="auto">
          <a:xfrm>
            <a:off x="4579938" y="3508376"/>
            <a:ext cx="1033463" cy="315913"/>
          </a:xfrm>
          <a:custGeom>
            <a:avLst/>
            <a:gdLst>
              <a:gd name="T0" fmla="*/ 651 w 651"/>
              <a:gd name="T1" fmla="*/ 52 h 199"/>
              <a:gd name="T2" fmla="*/ 449 w 651"/>
              <a:gd name="T3" fmla="*/ 19 h 199"/>
              <a:gd name="T4" fmla="*/ 350 w 651"/>
              <a:gd name="T5" fmla="*/ 94 h 199"/>
              <a:gd name="T6" fmla="*/ 301 w 651"/>
              <a:gd name="T7" fmla="*/ 106 h 199"/>
              <a:gd name="T8" fmla="*/ 223 w 651"/>
              <a:gd name="T9" fmla="*/ 0 h 199"/>
              <a:gd name="T10" fmla="*/ 0 w 651"/>
              <a:gd name="T11" fmla="*/ 48 h 199"/>
              <a:gd name="T12" fmla="*/ 339 w 651"/>
              <a:gd name="T13" fmla="*/ 131 h 199"/>
              <a:gd name="T14" fmla="*/ 402 w 651"/>
              <a:gd name="T15" fmla="*/ 115 h 199"/>
              <a:gd name="T16" fmla="*/ 423 w 651"/>
              <a:gd name="T17" fmla="*/ 121 h 199"/>
              <a:gd name="T18" fmla="*/ 462 w 651"/>
              <a:gd name="T19" fmla="*/ 199 h 199"/>
              <a:gd name="T20" fmla="*/ 588 w 651"/>
              <a:gd name="T21" fmla="*/ 158 h 199"/>
              <a:gd name="T22" fmla="*/ 599 w 651"/>
              <a:gd name="T23" fmla="*/ 65 h 199"/>
              <a:gd name="T24" fmla="*/ 651 w 651"/>
              <a:gd name="T25" fmla="*/ 52 h 199"/>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Lst>
            <a:rect l="0" t="0" r="r" b="b"/>
            <a:pathLst>
              <a:path w="651" h="199">
                <a:moveTo>
                  <a:pt x="651" y="52"/>
                </a:moveTo>
                <a:lnTo>
                  <a:pt x="449" y="19"/>
                </a:lnTo>
                <a:lnTo>
                  <a:pt x="350" y="94"/>
                </a:lnTo>
                <a:lnTo>
                  <a:pt x="301" y="106"/>
                </a:lnTo>
                <a:lnTo>
                  <a:pt x="223" y="0"/>
                </a:lnTo>
                <a:lnTo>
                  <a:pt x="0" y="48"/>
                </a:lnTo>
                <a:lnTo>
                  <a:pt x="339" y="131"/>
                </a:lnTo>
                <a:lnTo>
                  <a:pt x="402" y="115"/>
                </a:lnTo>
                <a:lnTo>
                  <a:pt x="423" y="121"/>
                </a:lnTo>
                <a:lnTo>
                  <a:pt x="462" y="199"/>
                </a:lnTo>
                <a:lnTo>
                  <a:pt x="588" y="158"/>
                </a:lnTo>
                <a:lnTo>
                  <a:pt x="599" y="65"/>
                </a:lnTo>
                <a:lnTo>
                  <a:pt x="651" y="52"/>
                </a:lnTo>
                <a:close/>
              </a:path>
            </a:pathLst>
          </a:custGeom>
          <a:solidFill>
            <a:srgbClr val="FFFFFF"/>
          </a:solidFill>
          <a:ln w="9525">
            <a:solidFill>
              <a:srgbClr val="000000"/>
            </a:solidFill>
            <a:round/>
            <a:headEnd/>
            <a:tailEnd/>
          </a:ln>
        </xdr:spPr>
        <xdr:txBody>
          <a:bodyPr vert="horz" wrap="square" lIns="91440" tIns="45720" rIns="91440" bIns="45720" numCol="1" anchor="t" anchorCtr="0" compatLnSpc="1">
            <a:prstTxWarp prst="textNoShape">
              <a:avLst/>
            </a:prstTxWarp>
          </a:bodyPr>
          <a:lstStyle>
            <a:defPPr>
              <a:defRPr lang="en-US"/>
            </a:defPPr>
            <a:lvl1pPr marL="0" algn="l" defTabSz="1218987" rtl="0" eaLnBrk="1" latinLnBrk="0" hangingPunct="1">
              <a:defRPr sz="2400" kern="1200">
                <a:solidFill>
                  <a:schemeClr val="tx1"/>
                </a:solidFill>
                <a:latin typeface="+mn-lt"/>
                <a:ea typeface="+mn-ea"/>
                <a:cs typeface="+mn-cs"/>
              </a:defRPr>
            </a:lvl1pPr>
            <a:lvl2pPr marL="609493" algn="l" defTabSz="1218987" rtl="0" eaLnBrk="1" latinLnBrk="0" hangingPunct="1">
              <a:defRPr sz="2400" kern="1200">
                <a:solidFill>
                  <a:schemeClr val="tx1"/>
                </a:solidFill>
                <a:latin typeface="+mn-lt"/>
                <a:ea typeface="+mn-ea"/>
                <a:cs typeface="+mn-cs"/>
              </a:defRPr>
            </a:lvl2pPr>
            <a:lvl3pPr marL="1218987" algn="l" defTabSz="1218987" rtl="0" eaLnBrk="1" latinLnBrk="0" hangingPunct="1">
              <a:defRPr sz="2400" kern="1200">
                <a:solidFill>
                  <a:schemeClr val="tx1"/>
                </a:solidFill>
                <a:latin typeface="+mn-lt"/>
                <a:ea typeface="+mn-ea"/>
                <a:cs typeface="+mn-cs"/>
              </a:defRPr>
            </a:lvl3pPr>
            <a:lvl4pPr marL="1828480" algn="l" defTabSz="1218987" rtl="0" eaLnBrk="1" latinLnBrk="0" hangingPunct="1">
              <a:defRPr sz="2400" kern="1200">
                <a:solidFill>
                  <a:schemeClr val="tx1"/>
                </a:solidFill>
                <a:latin typeface="+mn-lt"/>
                <a:ea typeface="+mn-ea"/>
                <a:cs typeface="+mn-cs"/>
              </a:defRPr>
            </a:lvl4pPr>
            <a:lvl5pPr marL="2437973" algn="l" defTabSz="1218987" rtl="0" eaLnBrk="1" latinLnBrk="0" hangingPunct="1">
              <a:defRPr sz="2400" kern="1200">
                <a:solidFill>
                  <a:schemeClr val="tx1"/>
                </a:solidFill>
                <a:latin typeface="+mn-lt"/>
                <a:ea typeface="+mn-ea"/>
                <a:cs typeface="+mn-cs"/>
              </a:defRPr>
            </a:lvl5pPr>
            <a:lvl6pPr marL="3047467" algn="l" defTabSz="1218987" rtl="0" eaLnBrk="1" latinLnBrk="0" hangingPunct="1">
              <a:defRPr sz="2400" kern="1200">
                <a:solidFill>
                  <a:schemeClr val="tx1"/>
                </a:solidFill>
                <a:latin typeface="+mn-lt"/>
                <a:ea typeface="+mn-ea"/>
                <a:cs typeface="+mn-cs"/>
              </a:defRPr>
            </a:lvl6pPr>
            <a:lvl7pPr marL="3656960" algn="l" defTabSz="1218987" rtl="0" eaLnBrk="1" latinLnBrk="0" hangingPunct="1">
              <a:defRPr sz="2400" kern="1200">
                <a:solidFill>
                  <a:schemeClr val="tx1"/>
                </a:solidFill>
                <a:latin typeface="+mn-lt"/>
                <a:ea typeface="+mn-ea"/>
                <a:cs typeface="+mn-cs"/>
              </a:defRPr>
            </a:lvl7pPr>
            <a:lvl8pPr marL="4266453" algn="l" defTabSz="1218987" rtl="0" eaLnBrk="1" latinLnBrk="0" hangingPunct="1">
              <a:defRPr sz="2400" kern="1200">
                <a:solidFill>
                  <a:schemeClr val="tx1"/>
                </a:solidFill>
                <a:latin typeface="+mn-lt"/>
                <a:ea typeface="+mn-ea"/>
                <a:cs typeface="+mn-cs"/>
              </a:defRPr>
            </a:lvl8pPr>
            <a:lvl9pPr marL="4875947" algn="l" defTabSz="1218987" rtl="0" eaLnBrk="1" latinLnBrk="0" hangingPunct="1">
              <a:defRPr sz="2400" kern="1200">
                <a:solidFill>
                  <a:schemeClr val="tx1"/>
                </a:solidFill>
                <a:latin typeface="+mn-lt"/>
                <a:ea typeface="+mn-ea"/>
                <a:cs typeface="+mn-cs"/>
              </a:defRPr>
            </a:lvl9pPr>
          </a:lstStyle>
          <a:p>
            <a:endParaRPr lang="en-US"/>
          </a:p>
        </xdr:txBody>
      </xdr:sp>
      <xdr:sp macro="" textlink="">
        <xdr:nvSpPr>
          <xdr:cNvPr id="17" name="Freeform 16">
            <a:extLst>
              <a:ext uri="{FF2B5EF4-FFF2-40B4-BE49-F238E27FC236}">
                <a16:creationId xmlns:a16="http://schemas.microsoft.com/office/drawing/2014/main" id="{00000000-0008-0000-0100-000011000000}"/>
              </a:ext>
            </a:extLst>
          </xdr:cNvPr>
          <xdr:cNvSpPr>
            <a:spLocks/>
          </xdr:cNvSpPr>
        </xdr:nvSpPr>
        <xdr:spPr bwMode="auto">
          <a:xfrm>
            <a:off x="4832351" y="3325813"/>
            <a:ext cx="131763" cy="28575"/>
          </a:xfrm>
          <a:custGeom>
            <a:avLst/>
            <a:gdLst>
              <a:gd name="T0" fmla="*/ 83 w 83"/>
              <a:gd name="T1" fmla="*/ 18 h 18"/>
              <a:gd name="T2" fmla="*/ 83 w 83"/>
              <a:gd name="T3" fmla="*/ 9 h 18"/>
              <a:gd name="T4" fmla="*/ 29 w 83"/>
              <a:gd name="T5" fmla="*/ 0 h 18"/>
              <a:gd name="T6" fmla="*/ 0 w 83"/>
              <a:gd name="T7" fmla="*/ 6 h 18"/>
              <a:gd name="T8" fmla="*/ 83 w 83"/>
              <a:gd name="T9" fmla="*/ 18 h 18"/>
            </a:gdLst>
            <a:ahLst/>
            <a:cxnLst>
              <a:cxn ang="0">
                <a:pos x="T0" y="T1"/>
              </a:cxn>
              <a:cxn ang="0">
                <a:pos x="T2" y="T3"/>
              </a:cxn>
              <a:cxn ang="0">
                <a:pos x="T4" y="T5"/>
              </a:cxn>
              <a:cxn ang="0">
                <a:pos x="T6" y="T7"/>
              </a:cxn>
              <a:cxn ang="0">
                <a:pos x="T8" y="T9"/>
              </a:cxn>
            </a:cxnLst>
            <a:rect l="0" t="0" r="r" b="b"/>
            <a:pathLst>
              <a:path w="83" h="18">
                <a:moveTo>
                  <a:pt x="83" y="18"/>
                </a:moveTo>
                <a:lnTo>
                  <a:pt x="83" y="9"/>
                </a:lnTo>
                <a:lnTo>
                  <a:pt x="29" y="0"/>
                </a:lnTo>
                <a:lnTo>
                  <a:pt x="0" y="6"/>
                </a:lnTo>
                <a:lnTo>
                  <a:pt x="83" y="18"/>
                </a:lnTo>
                <a:close/>
              </a:path>
            </a:pathLst>
          </a:custGeom>
          <a:solidFill>
            <a:srgbClr val="1E1E1C"/>
          </a:solidFill>
          <a:ln w="9525">
            <a:solidFill>
              <a:srgbClr val="000000"/>
            </a:solidFill>
            <a:round/>
            <a:headEnd/>
            <a:tailEnd/>
          </a:ln>
        </xdr:spPr>
        <xdr:txBody>
          <a:bodyPr vert="horz" wrap="square" lIns="91440" tIns="45720" rIns="91440" bIns="45720" numCol="1" anchor="t" anchorCtr="0" compatLnSpc="1">
            <a:prstTxWarp prst="textNoShape">
              <a:avLst/>
            </a:prstTxWarp>
          </a:bodyPr>
          <a:lstStyle>
            <a:defPPr>
              <a:defRPr lang="en-US"/>
            </a:defPPr>
            <a:lvl1pPr marL="0" algn="l" defTabSz="1218987" rtl="0" eaLnBrk="1" latinLnBrk="0" hangingPunct="1">
              <a:defRPr sz="2400" kern="1200">
                <a:solidFill>
                  <a:schemeClr val="tx1"/>
                </a:solidFill>
                <a:latin typeface="+mn-lt"/>
                <a:ea typeface="+mn-ea"/>
                <a:cs typeface="+mn-cs"/>
              </a:defRPr>
            </a:lvl1pPr>
            <a:lvl2pPr marL="609493" algn="l" defTabSz="1218987" rtl="0" eaLnBrk="1" latinLnBrk="0" hangingPunct="1">
              <a:defRPr sz="2400" kern="1200">
                <a:solidFill>
                  <a:schemeClr val="tx1"/>
                </a:solidFill>
                <a:latin typeface="+mn-lt"/>
                <a:ea typeface="+mn-ea"/>
                <a:cs typeface="+mn-cs"/>
              </a:defRPr>
            </a:lvl2pPr>
            <a:lvl3pPr marL="1218987" algn="l" defTabSz="1218987" rtl="0" eaLnBrk="1" latinLnBrk="0" hangingPunct="1">
              <a:defRPr sz="2400" kern="1200">
                <a:solidFill>
                  <a:schemeClr val="tx1"/>
                </a:solidFill>
                <a:latin typeface="+mn-lt"/>
                <a:ea typeface="+mn-ea"/>
                <a:cs typeface="+mn-cs"/>
              </a:defRPr>
            </a:lvl3pPr>
            <a:lvl4pPr marL="1828480" algn="l" defTabSz="1218987" rtl="0" eaLnBrk="1" latinLnBrk="0" hangingPunct="1">
              <a:defRPr sz="2400" kern="1200">
                <a:solidFill>
                  <a:schemeClr val="tx1"/>
                </a:solidFill>
                <a:latin typeface="+mn-lt"/>
                <a:ea typeface="+mn-ea"/>
                <a:cs typeface="+mn-cs"/>
              </a:defRPr>
            </a:lvl4pPr>
            <a:lvl5pPr marL="2437973" algn="l" defTabSz="1218987" rtl="0" eaLnBrk="1" latinLnBrk="0" hangingPunct="1">
              <a:defRPr sz="2400" kern="1200">
                <a:solidFill>
                  <a:schemeClr val="tx1"/>
                </a:solidFill>
                <a:latin typeface="+mn-lt"/>
                <a:ea typeface="+mn-ea"/>
                <a:cs typeface="+mn-cs"/>
              </a:defRPr>
            </a:lvl5pPr>
            <a:lvl6pPr marL="3047467" algn="l" defTabSz="1218987" rtl="0" eaLnBrk="1" latinLnBrk="0" hangingPunct="1">
              <a:defRPr sz="2400" kern="1200">
                <a:solidFill>
                  <a:schemeClr val="tx1"/>
                </a:solidFill>
                <a:latin typeface="+mn-lt"/>
                <a:ea typeface="+mn-ea"/>
                <a:cs typeface="+mn-cs"/>
              </a:defRPr>
            </a:lvl6pPr>
            <a:lvl7pPr marL="3656960" algn="l" defTabSz="1218987" rtl="0" eaLnBrk="1" latinLnBrk="0" hangingPunct="1">
              <a:defRPr sz="2400" kern="1200">
                <a:solidFill>
                  <a:schemeClr val="tx1"/>
                </a:solidFill>
                <a:latin typeface="+mn-lt"/>
                <a:ea typeface="+mn-ea"/>
                <a:cs typeface="+mn-cs"/>
              </a:defRPr>
            </a:lvl7pPr>
            <a:lvl8pPr marL="4266453" algn="l" defTabSz="1218987" rtl="0" eaLnBrk="1" latinLnBrk="0" hangingPunct="1">
              <a:defRPr sz="2400" kern="1200">
                <a:solidFill>
                  <a:schemeClr val="tx1"/>
                </a:solidFill>
                <a:latin typeface="+mn-lt"/>
                <a:ea typeface="+mn-ea"/>
                <a:cs typeface="+mn-cs"/>
              </a:defRPr>
            </a:lvl8pPr>
            <a:lvl9pPr marL="4875947" algn="l" defTabSz="1218987" rtl="0" eaLnBrk="1" latinLnBrk="0" hangingPunct="1">
              <a:defRPr sz="2400" kern="1200">
                <a:solidFill>
                  <a:schemeClr val="tx1"/>
                </a:solidFill>
                <a:latin typeface="+mn-lt"/>
                <a:ea typeface="+mn-ea"/>
                <a:cs typeface="+mn-cs"/>
              </a:defRPr>
            </a:lvl9pPr>
          </a:lstStyle>
          <a:p>
            <a:endParaRPr lang="en-US"/>
          </a:p>
        </xdr:txBody>
      </xdr:sp>
      <xdr:sp macro="" textlink="">
        <xdr:nvSpPr>
          <xdr:cNvPr id="18" name="Freeform 17">
            <a:extLst>
              <a:ext uri="{FF2B5EF4-FFF2-40B4-BE49-F238E27FC236}">
                <a16:creationId xmlns:a16="http://schemas.microsoft.com/office/drawing/2014/main" id="{00000000-0008-0000-0100-000012000000}"/>
              </a:ext>
            </a:extLst>
          </xdr:cNvPr>
          <xdr:cNvSpPr>
            <a:spLocks/>
          </xdr:cNvSpPr>
        </xdr:nvSpPr>
        <xdr:spPr bwMode="auto">
          <a:xfrm>
            <a:off x="4984751" y="3089276"/>
            <a:ext cx="468313" cy="573088"/>
          </a:xfrm>
          <a:custGeom>
            <a:avLst/>
            <a:gdLst>
              <a:gd name="T0" fmla="*/ 295 w 295"/>
              <a:gd name="T1" fmla="*/ 197 h 361"/>
              <a:gd name="T2" fmla="*/ 178 w 295"/>
              <a:gd name="T3" fmla="*/ 183 h 361"/>
              <a:gd name="T4" fmla="*/ 178 w 295"/>
              <a:gd name="T5" fmla="*/ 12 h 361"/>
              <a:gd name="T6" fmla="*/ 36 w 295"/>
              <a:gd name="T7" fmla="*/ 0 h 361"/>
              <a:gd name="T8" fmla="*/ 0 w 295"/>
              <a:gd name="T9" fmla="*/ 4 h 361"/>
              <a:gd name="T10" fmla="*/ 136 w 295"/>
              <a:gd name="T11" fmla="*/ 14 h 361"/>
              <a:gd name="T12" fmla="*/ 136 w 295"/>
              <a:gd name="T13" fmla="*/ 189 h 361"/>
              <a:gd name="T14" fmla="*/ 250 w 295"/>
              <a:gd name="T15" fmla="*/ 203 h 361"/>
              <a:gd name="T16" fmla="*/ 53 w 295"/>
              <a:gd name="T17" fmla="*/ 361 h 361"/>
              <a:gd name="T18" fmla="*/ 91 w 295"/>
              <a:gd name="T19" fmla="*/ 353 h 361"/>
              <a:gd name="T20" fmla="*/ 295 w 295"/>
              <a:gd name="T21" fmla="*/ 197 h 36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Lst>
            <a:rect l="0" t="0" r="r" b="b"/>
            <a:pathLst>
              <a:path w="295" h="361">
                <a:moveTo>
                  <a:pt x="295" y="197"/>
                </a:moveTo>
                <a:lnTo>
                  <a:pt x="178" y="183"/>
                </a:lnTo>
                <a:lnTo>
                  <a:pt x="178" y="12"/>
                </a:lnTo>
                <a:lnTo>
                  <a:pt x="36" y="0"/>
                </a:lnTo>
                <a:lnTo>
                  <a:pt x="0" y="4"/>
                </a:lnTo>
                <a:lnTo>
                  <a:pt x="136" y="14"/>
                </a:lnTo>
                <a:lnTo>
                  <a:pt x="136" y="189"/>
                </a:lnTo>
                <a:lnTo>
                  <a:pt x="250" y="203"/>
                </a:lnTo>
                <a:lnTo>
                  <a:pt x="53" y="361"/>
                </a:lnTo>
                <a:lnTo>
                  <a:pt x="91" y="353"/>
                </a:lnTo>
                <a:lnTo>
                  <a:pt x="295" y="197"/>
                </a:lnTo>
                <a:close/>
              </a:path>
            </a:pathLst>
          </a:custGeom>
          <a:solidFill>
            <a:srgbClr val="2B9BD7"/>
          </a:solidFill>
          <a:ln w="9525">
            <a:solidFill>
              <a:srgbClr val="000000"/>
            </a:solidFill>
            <a:round/>
            <a:headEnd/>
            <a:tailEnd/>
          </a:ln>
        </xdr:spPr>
        <xdr:txBody>
          <a:bodyPr vert="horz" wrap="square" lIns="91440" tIns="45720" rIns="91440" bIns="45720" numCol="1" anchor="t" anchorCtr="0" compatLnSpc="1">
            <a:prstTxWarp prst="textNoShape">
              <a:avLst/>
            </a:prstTxWarp>
          </a:bodyPr>
          <a:lstStyle>
            <a:defPPr>
              <a:defRPr lang="en-US"/>
            </a:defPPr>
            <a:lvl1pPr marL="0" algn="l" defTabSz="1218987" rtl="0" eaLnBrk="1" latinLnBrk="0" hangingPunct="1">
              <a:defRPr sz="2400" kern="1200">
                <a:solidFill>
                  <a:schemeClr val="tx1"/>
                </a:solidFill>
                <a:latin typeface="+mn-lt"/>
                <a:ea typeface="+mn-ea"/>
                <a:cs typeface="+mn-cs"/>
              </a:defRPr>
            </a:lvl1pPr>
            <a:lvl2pPr marL="609493" algn="l" defTabSz="1218987" rtl="0" eaLnBrk="1" latinLnBrk="0" hangingPunct="1">
              <a:defRPr sz="2400" kern="1200">
                <a:solidFill>
                  <a:schemeClr val="tx1"/>
                </a:solidFill>
                <a:latin typeface="+mn-lt"/>
                <a:ea typeface="+mn-ea"/>
                <a:cs typeface="+mn-cs"/>
              </a:defRPr>
            </a:lvl2pPr>
            <a:lvl3pPr marL="1218987" algn="l" defTabSz="1218987" rtl="0" eaLnBrk="1" latinLnBrk="0" hangingPunct="1">
              <a:defRPr sz="2400" kern="1200">
                <a:solidFill>
                  <a:schemeClr val="tx1"/>
                </a:solidFill>
                <a:latin typeface="+mn-lt"/>
                <a:ea typeface="+mn-ea"/>
                <a:cs typeface="+mn-cs"/>
              </a:defRPr>
            </a:lvl3pPr>
            <a:lvl4pPr marL="1828480" algn="l" defTabSz="1218987" rtl="0" eaLnBrk="1" latinLnBrk="0" hangingPunct="1">
              <a:defRPr sz="2400" kern="1200">
                <a:solidFill>
                  <a:schemeClr val="tx1"/>
                </a:solidFill>
                <a:latin typeface="+mn-lt"/>
                <a:ea typeface="+mn-ea"/>
                <a:cs typeface="+mn-cs"/>
              </a:defRPr>
            </a:lvl4pPr>
            <a:lvl5pPr marL="2437973" algn="l" defTabSz="1218987" rtl="0" eaLnBrk="1" latinLnBrk="0" hangingPunct="1">
              <a:defRPr sz="2400" kern="1200">
                <a:solidFill>
                  <a:schemeClr val="tx1"/>
                </a:solidFill>
                <a:latin typeface="+mn-lt"/>
                <a:ea typeface="+mn-ea"/>
                <a:cs typeface="+mn-cs"/>
              </a:defRPr>
            </a:lvl5pPr>
            <a:lvl6pPr marL="3047467" algn="l" defTabSz="1218987" rtl="0" eaLnBrk="1" latinLnBrk="0" hangingPunct="1">
              <a:defRPr sz="2400" kern="1200">
                <a:solidFill>
                  <a:schemeClr val="tx1"/>
                </a:solidFill>
                <a:latin typeface="+mn-lt"/>
                <a:ea typeface="+mn-ea"/>
                <a:cs typeface="+mn-cs"/>
              </a:defRPr>
            </a:lvl6pPr>
            <a:lvl7pPr marL="3656960" algn="l" defTabSz="1218987" rtl="0" eaLnBrk="1" latinLnBrk="0" hangingPunct="1">
              <a:defRPr sz="2400" kern="1200">
                <a:solidFill>
                  <a:schemeClr val="tx1"/>
                </a:solidFill>
                <a:latin typeface="+mn-lt"/>
                <a:ea typeface="+mn-ea"/>
                <a:cs typeface="+mn-cs"/>
              </a:defRPr>
            </a:lvl7pPr>
            <a:lvl8pPr marL="4266453" algn="l" defTabSz="1218987" rtl="0" eaLnBrk="1" latinLnBrk="0" hangingPunct="1">
              <a:defRPr sz="2400" kern="1200">
                <a:solidFill>
                  <a:schemeClr val="tx1"/>
                </a:solidFill>
                <a:latin typeface="+mn-lt"/>
                <a:ea typeface="+mn-ea"/>
                <a:cs typeface="+mn-cs"/>
              </a:defRPr>
            </a:lvl8pPr>
            <a:lvl9pPr marL="4875947" algn="l" defTabSz="1218987" rtl="0" eaLnBrk="1" latinLnBrk="0" hangingPunct="1">
              <a:defRPr sz="2400" kern="1200">
                <a:solidFill>
                  <a:schemeClr val="tx1"/>
                </a:solidFill>
                <a:latin typeface="+mn-lt"/>
                <a:ea typeface="+mn-ea"/>
                <a:cs typeface="+mn-cs"/>
              </a:defRPr>
            </a:lvl9pPr>
          </a:lstStyle>
          <a:p>
            <a:endParaRPr lang="en-US"/>
          </a:p>
        </xdr:txBody>
      </xdr:sp>
    </xdr:grpSp>
    <xdr:clientData/>
  </xdr:twoCellAnchor>
  <xdr:twoCellAnchor>
    <xdr:from>
      <xdr:col>4</xdr:col>
      <xdr:colOff>819151</xdr:colOff>
      <xdr:row>2</xdr:row>
      <xdr:rowOff>161925</xdr:rowOff>
    </xdr:from>
    <xdr:to>
      <xdr:col>6</xdr:col>
      <xdr:colOff>219076</xdr:colOff>
      <xdr:row>4</xdr:row>
      <xdr:rowOff>561975</xdr:rowOff>
    </xdr:to>
    <xdr:sp macro="[0]!Export_JSON" textlink="">
      <xdr:nvSpPr>
        <xdr:cNvPr id="19" name="Rounded Rectangle 18">
          <a:extLst>
            <a:ext uri="{FF2B5EF4-FFF2-40B4-BE49-F238E27FC236}">
              <a16:creationId xmlns:a16="http://schemas.microsoft.com/office/drawing/2014/main" id="{00000000-0008-0000-0100-000013000000}"/>
            </a:ext>
          </a:extLst>
        </xdr:cNvPr>
        <xdr:cNvSpPr/>
      </xdr:nvSpPr>
      <xdr:spPr>
        <a:xfrm>
          <a:off x="6200776" y="1066800"/>
          <a:ext cx="2762250" cy="781050"/>
        </a:xfrm>
        <a:prstGeom prst="roundRect">
          <a:avLst/>
        </a:prstGeom>
        <a:solidFill>
          <a:schemeClr val="bg1">
            <a:lumMod val="65000"/>
          </a:schemeClr>
        </a:solidFill>
        <a:scene3d>
          <a:camera prst="orthographicFront"/>
          <a:lightRig rig="threePt" dir="t"/>
        </a:scene3d>
        <a:sp3d>
          <a:bevelT prst="angle"/>
        </a:sp3d>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l"/>
          <a:r>
            <a:rPr lang="en-US" sz="1100" b="1">
              <a:solidFill>
                <a:schemeClr val="tx2">
                  <a:lumMod val="50000"/>
                </a:schemeClr>
              </a:solidFill>
            </a:rPr>
            <a:t>Generate JSON</a:t>
          </a:r>
          <a:r>
            <a:rPr lang="en-US" sz="1100" b="1" baseline="0">
              <a:solidFill>
                <a:schemeClr val="tx2">
                  <a:lumMod val="50000"/>
                </a:schemeClr>
              </a:solidFill>
            </a:rPr>
            <a:t> file to </a:t>
          </a:r>
        </a:p>
        <a:p>
          <a:pPr algn="l"/>
          <a:r>
            <a:rPr lang="en-US" sz="1100" b="1" baseline="0">
              <a:solidFill>
                <a:schemeClr val="tx2">
                  <a:lumMod val="50000"/>
                </a:schemeClr>
              </a:solidFill>
            </a:rPr>
            <a:t>upload GSTR-9C details </a:t>
          </a:r>
        </a:p>
        <a:p>
          <a:pPr algn="l"/>
          <a:r>
            <a:rPr lang="en-US" sz="1100" b="1" baseline="0">
              <a:solidFill>
                <a:schemeClr val="tx2">
                  <a:lumMod val="50000"/>
                </a:schemeClr>
              </a:solidFill>
            </a:rPr>
            <a:t>on GST Portal</a:t>
          </a:r>
          <a:endParaRPr lang="en-US" sz="1100" b="1">
            <a:solidFill>
              <a:schemeClr val="tx2">
                <a:lumMod val="50000"/>
              </a:schemeClr>
            </a:solidFill>
          </a:endParaRPr>
        </a:p>
      </xdr:txBody>
    </xdr:sp>
    <xdr:clientData/>
  </xdr:twoCellAnchor>
  <xdr:twoCellAnchor>
    <xdr:from>
      <xdr:col>5</xdr:col>
      <xdr:colOff>885825</xdr:colOff>
      <xdr:row>3</xdr:row>
      <xdr:rowOff>76199</xdr:rowOff>
    </xdr:from>
    <xdr:to>
      <xdr:col>6</xdr:col>
      <xdr:colOff>84138</xdr:colOff>
      <xdr:row>4</xdr:row>
      <xdr:rowOff>427036</xdr:rowOff>
    </xdr:to>
    <xdr:grpSp>
      <xdr:nvGrpSpPr>
        <xdr:cNvPr id="26" name="Group 25">
          <a:extLst>
            <a:ext uri="{FF2B5EF4-FFF2-40B4-BE49-F238E27FC236}">
              <a16:creationId xmlns:a16="http://schemas.microsoft.com/office/drawing/2014/main" id="{00000000-0008-0000-0100-00001A000000}"/>
            </a:ext>
          </a:extLst>
        </xdr:cNvPr>
        <xdr:cNvGrpSpPr/>
      </xdr:nvGrpSpPr>
      <xdr:grpSpPr>
        <a:xfrm>
          <a:off x="9625965" y="1150619"/>
          <a:ext cx="752793" cy="541337"/>
          <a:chOff x="6496050" y="3119438"/>
          <a:chExt cx="1160463" cy="989012"/>
        </a:xfrm>
      </xdr:grpSpPr>
      <xdr:sp macro="" textlink="">
        <xdr:nvSpPr>
          <xdr:cNvPr id="27" name="AutoShape 19">
            <a:extLst>
              <a:ext uri="{FF2B5EF4-FFF2-40B4-BE49-F238E27FC236}">
                <a16:creationId xmlns:a16="http://schemas.microsoft.com/office/drawing/2014/main" id="{00000000-0008-0000-0100-00001B000000}"/>
              </a:ext>
            </a:extLst>
          </xdr:cNvPr>
          <xdr:cNvSpPr>
            <a:spLocks noChangeAspect="1" noChangeArrowheads="1" noTextEdit="1"/>
          </xdr:cNvSpPr>
        </xdr:nvSpPr>
        <xdr:spPr bwMode="auto">
          <a:xfrm>
            <a:off x="6496050" y="3119438"/>
            <a:ext cx="1158875" cy="98901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horz" wrap="square" lIns="91440" tIns="45720" rIns="91440" bIns="45720" numCol="1" anchor="t" anchorCtr="0" compatLnSpc="1">
            <a:prstTxWarp prst="textNoShape">
              <a:avLst/>
            </a:prstTxWarp>
          </a:bodyPr>
          <a:lstStyle>
            <a:defPPr>
              <a:defRPr lang="en-US"/>
            </a:defPPr>
            <a:lvl1pPr marL="0" algn="l" defTabSz="1218987" rtl="0" eaLnBrk="1" latinLnBrk="0" hangingPunct="1">
              <a:defRPr sz="2400" kern="1200">
                <a:solidFill>
                  <a:schemeClr val="tx1"/>
                </a:solidFill>
                <a:latin typeface="+mn-lt"/>
                <a:ea typeface="+mn-ea"/>
                <a:cs typeface="+mn-cs"/>
              </a:defRPr>
            </a:lvl1pPr>
            <a:lvl2pPr marL="609493" algn="l" defTabSz="1218987" rtl="0" eaLnBrk="1" latinLnBrk="0" hangingPunct="1">
              <a:defRPr sz="2400" kern="1200">
                <a:solidFill>
                  <a:schemeClr val="tx1"/>
                </a:solidFill>
                <a:latin typeface="+mn-lt"/>
                <a:ea typeface="+mn-ea"/>
                <a:cs typeface="+mn-cs"/>
              </a:defRPr>
            </a:lvl2pPr>
            <a:lvl3pPr marL="1218987" algn="l" defTabSz="1218987" rtl="0" eaLnBrk="1" latinLnBrk="0" hangingPunct="1">
              <a:defRPr sz="2400" kern="1200">
                <a:solidFill>
                  <a:schemeClr val="tx1"/>
                </a:solidFill>
                <a:latin typeface="+mn-lt"/>
                <a:ea typeface="+mn-ea"/>
                <a:cs typeface="+mn-cs"/>
              </a:defRPr>
            </a:lvl3pPr>
            <a:lvl4pPr marL="1828480" algn="l" defTabSz="1218987" rtl="0" eaLnBrk="1" latinLnBrk="0" hangingPunct="1">
              <a:defRPr sz="2400" kern="1200">
                <a:solidFill>
                  <a:schemeClr val="tx1"/>
                </a:solidFill>
                <a:latin typeface="+mn-lt"/>
                <a:ea typeface="+mn-ea"/>
                <a:cs typeface="+mn-cs"/>
              </a:defRPr>
            </a:lvl4pPr>
            <a:lvl5pPr marL="2437973" algn="l" defTabSz="1218987" rtl="0" eaLnBrk="1" latinLnBrk="0" hangingPunct="1">
              <a:defRPr sz="2400" kern="1200">
                <a:solidFill>
                  <a:schemeClr val="tx1"/>
                </a:solidFill>
                <a:latin typeface="+mn-lt"/>
                <a:ea typeface="+mn-ea"/>
                <a:cs typeface="+mn-cs"/>
              </a:defRPr>
            </a:lvl5pPr>
            <a:lvl6pPr marL="3047467" algn="l" defTabSz="1218987" rtl="0" eaLnBrk="1" latinLnBrk="0" hangingPunct="1">
              <a:defRPr sz="2400" kern="1200">
                <a:solidFill>
                  <a:schemeClr val="tx1"/>
                </a:solidFill>
                <a:latin typeface="+mn-lt"/>
                <a:ea typeface="+mn-ea"/>
                <a:cs typeface="+mn-cs"/>
              </a:defRPr>
            </a:lvl6pPr>
            <a:lvl7pPr marL="3656960" algn="l" defTabSz="1218987" rtl="0" eaLnBrk="1" latinLnBrk="0" hangingPunct="1">
              <a:defRPr sz="2400" kern="1200">
                <a:solidFill>
                  <a:schemeClr val="tx1"/>
                </a:solidFill>
                <a:latin typeface="+mn-lt"/>
                <a:ea typeface="+mn-ea"/>
                <a:cs typeface="+mn-cs"/>
              </a:defRPr>
            </a:lvl7pPr>
            <a:lvl8pPr marL="4266453" algn="l" defTabSz="1218987" rtl="0" eaLnBrk="1" latinLnBrk="0" hangingPunct="1">
              <a:defRPr sz="2400" kern="1200">
                <a:solidFill>
                  <a:schemeClr val="tx1"/>
                </a:solidFill>
                <a:latin typeface="+mn-lt"/>
                <a:ea typeface="+mn-ea"/>
                <a:cs typeface="+mn-cs"/>
              </a:defRPr>
            </a:lvl8pPr>
            <a:lvl9pPr marL="4875947" algn="l" defTabSz="1218987" rtl="0" eaLnBrk="1" latinLnBrk="0" hangingPunct="1">
              <a:defRPr sz="2400" kern="1200">
                <a:solidFill>
                  <a:schemeClr val="tx1"/>
                </a:solidFill>
                <a:latin typeface="+mn-lt"/>
                <a:ea typeface="+mn-ea"/>
                <a:cs typeface="+mn-cs"/>
              </a:defRPr>
            </a:lvl9pPr>
          </a:lstStyle>
          <a:p>
            <a:endParaRPr lang="en-US"/>
          </a:p>
        </xdr:txBody>
      </xdr:sp>
      <xdr:sp macro="" textlink="">
        <xdr:nvSpPr>
          <xdr:cNvPr id="28" name="Freeform 27">
            <a:extLst>
              <a:ext uri="{FF2B5EF4-FFF2-40B4-BE49-F238E27FC236}">
                <a16:creationId xmlns:a16="http://schemas.microsoft.com/office/drawing/2014/main" id="{00000000-0008-0000-0100-00001C000000}"/>
              </a:ext>
            </a:extLst>
          </xdr:cNvPr>
          <xdr:cNvSpPr>
            <a:spLocks/>
          </xdr:cNvSpPr>
        </xdr:nvSpPr>
        <xdr:spPr bwMode="auto">
          <a:xfrm>
            <a:off x="6497638" y="3119438"/>
            <a:ext cx="1158875" cy="989012"/>
          </a:xfrm>
          <a:custGeom>
            <a:avLst/>
            <a:gdLst>
              <a:gd name="T0" fmla="*/ 730 w 730"/>
              <a:gd name="T1" fmla="*/ 479 h 623"/>
              <a:gd name="T2" fmla="*/ 376 w 730"/>
              <a:gd name="T3" fmla="*/ 623 h 623"/>
              <a:gd name="T4" fmla="*/ 0 w 730"/>
              <a:gd name="T5" fmla="*/ 479 h 623"/>
              <a:gd name="T6" fmla="*/ 0 w 730"/>
              <a:gd name="T7" fmla="*/ 322 h 623"/>
              <a:gd name="T8" fmla="*/ 283 w 730"/>
              <a:gd name="T9" fmla="*/ 262 h 623"/>
              <a:gd name="T10" fmla="*/ 283 w 730"/>
              <a:gd name="T11" fmla="*/ 183 h 623"/>
              <a:gd name="T12" fmla="*/ 183 w 730"/>
              <a:gd name="T13" fmla="*/ 169 h 623"/>
              <a:gd name="T14" fmla="*/ 375 w 730"/>
              <a:gd name="T15" fmla="*/ 3 h 623"/>
              <a:gd name="T16" fmla="*/ 429 w 730"/>
              <a:gd name="T17" fmla="*/ 0 h 623"/>
              <a:gd name="T18" fmla="*/ 609 w 730"/>
              <a:gd name="T19" fmla="*/ 209 h 623"/>
              <a:gd name="T20" fmla="*/ 561 w 730"/>
              <a:gd name="T21" fmla="*/ 219 h 623"/>
              <a:gd name="T22" fmla="*/ 483 w 730"/>
              <a:gd name="T23" fmla="*/ 209 h 623"/>
              <a:gd name="T24" fmla="*/ 483 w 730"/>
              <a:gd name="T25" fmla="*/ 284 h 623"/>
              <a:gd name="T26" fmla="*/ 730 w 730"/>
              <a:gd name="T27" fmla="*/ 322 h 623"/>
              <a:gd name="T28" fmla="*/ 730 w 730"/>
              <a:gd name="T29" fmla="*/ 479 h 623"/>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Lst>
            <a:rect l="0" t="0" r="r" b="b"/>
            <a:pathLst>
              <a:path w="730" h="623">
                <a:moveTo>
                  <a:pt x="730" y="479"/>
                </a:moveTo>
                <a:lnTo>
                  <a:pt x="376" y="623"/>
                </a:lnTo>
                <a:lnTo>
                  <a:pt x="0" y="479"/>
                </a:lnTo>
                <a:lnTo>
                  <a:pt x="0" y="322"/>
                </a:lnTo>
                <a:lnTo>
                  <a:pt x="283" y="262"/>
                </a:lnTo>
                <a:lnTo>
                  <a:pt x="283" y="183"/>
                </a:lnTo>
                <a:lnTo>
                  <a:pt x="183" y="169"/>
                </a:lnTo>
                <a:lnTo>
                  <a:pt x="375" y="3"/>
                </a:lnTo>
                <a:lnTo>
                  <a:pt x="429" y="0"/>
                </a:lnTo>
                <a:lnTo>
                  <a:pt x="609" y="209"/>
                </a:lnTo>
                <a:lnTo>
                  <a:pt x="561" y="219"/>
                </a:lnTo>
                <a:lnTo>
                  <a:pt x="483" y="209"/>
                </a:lnTo>
                <a:lnTo>
                  <a:pt x="483" y="284"/>
                </a:lnTo>
                <a:lnTo>
                  <a:pt x="730" y="322"/>
                </a:lnTo>
                <a:lnTo>
                  <a:pt x="730" y="479"/>
                </a:lnTo>
                <a:close/>
              </a:path>
            </a:pathLst>
          </a:custGeom>
          <a:solidFill>
            <a:schemeClr val="accent5">
              <a:lumMod val="50000"/>
            </a:schemeClr>
          </a:solid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en-US"/>
            </a:defPPr>
            <a:lvl1pPr marL="0" algn="l" defTabSz="1218987" rtl="0" eaLnBrk="1" latinLnBrk="0" hangingPunct="1">
              <a:defRPr sz="2400" kern="1200">
                <a:solidFill>
                  <a:schemeClr val="tx1"/>
                </a:solidFill>
                <a:latin typeface="+mn-lt"/>
                <a:ea typeface="+mn-ea"/>
                <a:cs typeface="+mn-cs"/>
              </a:defRPr>
            </a:lvl1pPr>
            <a:lvl2pPr marL="609493" algn="l" defTabSz="1218987" rtl="0" eaLnBrk="1" latinLnBrk="0" hangingPunct="1">
              <a:defRPr sz="2400" kern="1200">
                <a:solidFill>
                  <a:schemeClr val="tx1"/>
                </a:solidFill>
                <a:latin typeface="+mn-lt"/>
                <a:ea typeface="+mn-ea"/>
                <a:cs typeface="+mn-cs"/>
              </a:defRPr>
            </a:lvl2pPr>
            <a:lvl3pPr marL="1218987" algn="l" defTabSz="1218987" rtl="0" eaLnBrk="1" latinLnBrk="0" hangingPunct="1">
              <a:defRPr sz="2400" kern="1200">
                <a:solidFill>
                  <a:schemeClr val="tx1"/>
                </a:solidFill>
                <a:latin typeface="+mn-lt"/>
                <a:ea typeface="+mn-ea"/>
                <a:cs typeface="+mn-cs"/>
              </a:defRPr>
            </a:lvl3pPr>
            <a:lvl4pPr marL="1828480" algn="l" defTabSz="1218987" rtl="0" eaLnBrk="1" latinLnBrk="0" hangingPunct="1">
              <a:defRPr sz="2400" kern="1200">
                <a:solidFill>
                  <a:schemeClr val="tx1"/>
                </a:solidFill>
                <a:latin typeface="+mn-lt"/>
                <a:ea typeface="+mn-ea"/>
                <a:cs typeface="+mn-cs"/>
              </a:defRPr>
            </a:lvl4pPr>
            <a:lvl5pPr marL="2437973" algn="l" defTabSz="1218987" rtl="0" eaLnBrk="1" latinLnBrk="0" hangingPunct="1">
              <a:defRPr sz="2400" kern="1200">
                <a:solidFill>
                  <a:schemeClr val="tx1"/>
                </a:solidFill>
                <a:latin typeface="+mn-lt"/>
                <a:ea typeface="+mn-ea"/>
                <a:cs typeface="+mn-cs"/>
              </a:defRPr>
            </a:lvl5pPr>
            <a:lvl6pPr marL="3047467" algn="l" defTabSz="1218987" rtl="0" eaLnBrk="1" latinLnBrk="0" hangingPunct="1">
              <a:defRPr sz="2400" kern="1200">
                <a:solidFill>
                  <a:schemeClr val="tx1"/>
                </a:solidFill>
                <a:latin typeface="+mn-lt"/>
                <a:ea typeface="+mn-ea"/>
                <a:cs typeface="+mn-cs"/>
              </a:defRPr>
            </a:lvl6pPr>
            <a:lvl7pPr marL="3656960" algn="l" defTabSz="1218987" rtl="0" eaLnBrk="1" latinLnBrk="0" hangingPunct="1">
              <a:defRPr sz="2400" kern="1200">
                <a:solidFill>
                  <a:schemeClr val="tx1"/>
                </a:solidFill>
                <a:latin typeface="+mn-lt"/>
                <a:ea typeface="+mn-ea"/>
                <a:cs typeface="+mn-cs"/>
              </a:defRPr>
            </a:lvl7pPr>
            <a:lvl8pPr marL="4266453" algn="l" defTabSz="1218987" rtl="0" eaLnBrk="1" latinLnBrk="0" hangingPunct="1">
              <a:defRPr sz="2400" kern="1200">
                <a:solidFill>
                  <a:schemeClr val="tx1"/>
                </a:solidFill>
                <a:latin typeface="+mn-lt"/>
                <a:ea typeface="+mn-ea"/>
                <a:cs typeface="+mn-cs"/>
              </a:defRPr>
            </a:lvl8pPr>
            <a:lvl9pPr marL="4875947" algn="l" defTabSz="1218987" rtl="0" eaLnBrk="1" latinLnBrk="0" hangingPunct="1">
              <a:defRPr sz="2400" kern="1200">
                <a:solidFill>
                  <a:schemeClr val="tx1"/>
                </a:solidFill>
                <a:latin typeface="+mn-lt"/>
                <a:ea typeface="+mn-ea"/>
                <a:cs typeface="+mn-cs"/>
              </a:defRPr>
            </a:lvl9pPr>
          </a:lstStyle>
          <a:p>
            <a:endParaRPr lang="en-US"/>
          </a:p>
        </xdr:txBody>
      </xdr:sp>
      <xdr:sp macro="" textlink="">
        <xdr:nvSpPr>
          <xdr:cNvPr id="29" name="Freeform 28">
            <a:extLst>
              <a:ext uri="{FF2B5EF4-FFF2-40B4-BE49-F238E27FC236}">
                <a16:creationId xmlns:a16="http://schemas.microsoft.com/office/drawing/2014/main" id="{00000000-0008-0000-0100-00001D000000}"/>
              </a:ext>
            </a:extLst>
          </xdr:cNvPr>
          <xdr:cNvSpPr>
            <a:spLocks/>
          </xdr:cNvSpPr>
        </xdr:nvSpPr>
        <xdr:spPr bwMode="auto">
          <a:xfrm>
            <a:off x="6562725" y="3552825"/>
            <a:ext cx="1028700" cy="319087"/>
          </a:xfrm>
          <a:custGeom>
            <a:avLst/>
            <a:gdLst>
              <a:gd name="T0" fmla="*/ 648 w 648"/>
              <a:gd name="T1" fmla="*/ 57 h 201"/>
              <a:gd name="T2" fmla="*/ 442 w 648"/>
              <a:gd name="T3" fmla="*/ 23 h 201"/>
              <a:gd name="T4" fmla="*/ 442 w 648"/>
              <a:gd name="T5" fmla="*/ 99 h 201"/>
              <a:gd name="T6" fmla="*/ 391 w 648"/>
              <a:gd name="T7" fmla="*/ 111 h 201"/>
              <a:gd name="T8" fmla="*/ 242 w 648"/>
              <a:gd name="T9" fmla="*/ 79 h 201"/>
              <a:gd name="T10" fmla="*/ 242 w 648"/>
              <a:gd name="T11" fmla="*/ 0 h 201"/>
              <a:gd name="T12" fmla="*/ 0 w 648"/>
              <a:gd name="T13" fmla="*/ 51 h 201"/>
              <a:gd name="T14" fmla="*/ 335 w 648"/>
              <a:gd name="T15" fmla="*/ 134 h 201"/>
              <a:gd name="T16" fmla="*/ 400 w 648"/>
              <a:gd name="T17" fmla="*/ 119 h 201"/>
              <a:gd name="T18" fmla="*/ 419 w 648"/>
              <a:gd name="T19" fmla="*/ 124 h 201"/>
              <a:gd name="T20" fmla="*/ 458 w 648"/>
              <a:gd name="T21" fmla="*/ 201 h 201"/>
              <a:gd name="T22" fmla="*/ 583 w 648"/>
              <a:gd name="T23" fmla="*/ 163 h 201"/>
              <a:gd name="T24" fmla="*/ 596 w 648"/>
              <a:gd name="T25" fmla="*/ 69 h 201"/>
              <a:gd name="T26" fmla="*/ 648 w 648"/>
              <a:gd name="T27" fmla="*/ 57 h 20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Lst>
            <a:rect l="0" t="0" r="r" b="b"/>
            <a:pathLst>
              <a:path w="648" h="201">
                <a:moveTo>
                  <a:pt x="648" y="57"/>
                </a:moveTo>
                <a:lnTo>
                  <a:pt x="442" y="23"/>
                </a:lnTo>
                <a:lnTo>
                  <a:pt x="442" y="99"/>
                </a:lnTo>
                <a:lnTo>
                  <a:pt x="391" y="111"/>
                </a:lnTo>
                <a:lnTo>
                  <a:pt x="242" y="79"/>
                </a:lnTo>
                <a:lnTo>
                  <a:pt x="242" y="0"/>
                </a:lnTo>
                <a:lnTo>
                  <a:pt x="0" y="51"/>
                </a:lnTo>
                <a:lnTo>
                  <a:pt x="335" y="134"/>
                </a:lnTo>
                <a:lnTo>
                  <a:pt x="400" y="119"/>
                </a:lnTo>
                <a:lnTo>
                  <a:pt x="419" y="124"/>
                </a:lnTo>
                <a:lnTo>
                  <a:pt x="458" y="201"/>
                </a:lnTo>
                <a:lnTo>
                  <a:pt x="583" y="163"/>
                </a:lnTo>
                <a:lnTo>
                  <a:pt x="596" y="69"/>
                </a:lnTo>
                <a:lnTo>
                  <a:pt x="648" y="57"/>
                </a:lnTo>
                <a:close/>
              </a:path>
            </a:pathLst>
          </a:custGeom>
          <a:solidFill>
            <a:srgbClr val="FFFFFF"/>
          </a:solid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en-US"/>
            </a:defPPr>
            <a:lvl1pPr marL="0" algn="l" defTabSz="1218987" rtl="0" eaLnBrk="1" latinLnBrk="0" hangingPunct="1">
              <a:defRPr sz="2400" kern="1200">
                <a:solidFill>
                  <a:schemeClr val="tx1"/>
                </a:solidFill>
                <a:latin typeface="+mn-lt"/>
                <a:ea typeface="+mn-ea"/>
                <a:cs typeface="+mn-cs"/>
              </a:defRPr>
            </a:lvl1pPr>
            <a:lvl2pPr marL="609493" algn="l" defTabSz="1218987" rtl="0" eaLnBrk="1" latinLnBrk="0" hangingPunct="1">
              <a:defRPr sz="2400" kern="1200">
                <a:solidFill>
                  <a:schemeClr val="tx1"/>
                </a:solidFill>
                <a:latin typeface="+mn-lt"/>
                <a:ea typeface="+mn-ea"/>
                <a:cs typeface="+mn-cs"/>
              </a:defRPr>
            </a:lvl2pPr>
            <a:lvl3pPr marL="1218987" algn="l" defTabSz="1218987" rtl="0" eaLnBrk="1" latinLnBrk="0" hangingPunct="1">
              <a:defRPr sz="2400" kern="1200">
                <a:solidFill>
                  <a:schemeClr val="tx1"/>
                </a:solidFill>
                <a:latin typeface="+mn-lt"/>
                <a:ea typeface="+mn-ea"/>
                <a:cs typeface="+mn-cs"/>
              </a:defRPr>
            </a:lvl3pPr>
            <a:lvl4pPr marL="1828480" algn="l" defTabSz="1218987" rtl="0" eaLnBrk="1" latinLnBrk="0" hangingPunct="1">
              <a:defRPr sz="2400" kern="1200">
                <a:solidFill>
                  <a:schemeClr val="tx1"/>
                </a:solidFill>
                <a:latin typeface="+mn-lt"/>
                <a:ea typeface="+mn-ea"/>
                <a:cs typeface="+mn-cs"/>
              </a:defRPr>
            </a:lvl4pPr>
            <a:lvl5pPr marL="2437973" algn="l" defTabSz="1218987" rtl="0" eaLnBrk="1" latinLnBrk="0" hangingPunct="1">
              <a:defRPr sz="2400" kern="1200">
                <a:solidFill>
                  <a:schemeClr val="tx1"/>
                </a:solidFill>
                <a:latin typeface="+mn-lt"/>
                <a:ea typeface="+mn-ea"/>
                <a:cs typeface="+mn-cs"/>
              </a:defRPr>
            </a:lvl5pPr>
            <a:lvl6pPr marL="3047467" algn="l" defTabSz="1218987" rtl="0" eaLnBrk="1" latinLnBrk="0" hangingPunct="1">
              <a:defRPr sz="2400" kern="1200">
                <a:solidFill>
                  <a:schemeClr val="tx1"/>
                </a:solidFill>
                <a:latin typeface="+mn-lt"/>
                <a:ea typeface="+mn-ea"/>
                <a:cs typeface="+mn-cs"/>
              </a:defRPr>
            </a:lvl6pPr>
            <a:lvl7pPr marL="3656960" algn="l" defTabSz="1218987" rtl="0" eaLnBrk="1" latinLnBrk="0" hangingPunct="1">
              <a:defRPr sz="2400" kern="1200">
                <a:solidFill>
                  <a:schemeClr val="tx1"/>
                </a:solidFill>
                <a:latin typeface="+mn-lt"/>
                <a:ea typeface="+mn-ea"/>
                <a:cs typeface="+mn-cs"/>
              </a:defRPr>
            </a:lvl7pPr>
            <a:lvl8pPr marL="4266453" algn="l" defTabSz="1218987" rtl="0" eaLnBrk="1" latinLnBrk="0" hangingPunct="1">
              <a:defRPr sz="2400" kern="1200">
                <a:solidFill>
                  <a:schemeClr val="tx1"/>
                </a:solidFill>
                <a:latin typeface="+mn-lt"/>
                <a:ea typeface="+mn-ea"/>
                <a:cs typeface="+mn-cs"/>
              </a:defRPr>
            </a:lvl8pPr>
            <a:lvl9pPr marL="4875947" algn="l" defTabSz="1218987" rtl="0" eaLnBrk="1" latinLnBrk="0" hangingPunct="1">
              <a:defRPr sz="2400" kern="1200">
                <a:solidFill>
                  <a:schemeClr val="tx1"/>
                </a:solidFill>
                <a:latin typeface="+mn-lt"/>
                <a:ea typeface="+mn-ea"/>
                <a:cs typeface="+mn-cs"/>
              </a:defRPr>
            </a:lvl9pPr>
          </a:lstStyle>
          <a:p>
            <a:endParaRPr lang="en-US"/>
          </a:p>
        </xdr:txBody>
      </xdr:sp>
      <xdr:sp macro="" textlink="">
        <xdr:nvSpPr>
          <xdr:cNvPr id="30" name="Freeform 29">
            <a:extLst>
              <a:ext uri="{FF2B5EF4-FFF2-40B4-BE49-F238E27FC236}">
                <a16:creationId xmlns:a16="http://schemas.microsoft.com/office/drawing/2014/main" id="{00000000-0008-0000-0100-00001E000000}"/>
              </a:ext>
            </a:extLst>
          </xdr:cNvPr>
          <xdr:cNvSpPr>
            <a:spLocks/>
          </xdr:cNvSpPr>
        </xdr:nvSpPr>
        <xdr:spPr bwMode="auto">
          <a:xfrm>
            <a:off x="7102475" y="3125788"/>
            <a:ext cx="350838" cy="331787"/>
          </a:xfrm>
          <a:custGeom>
            <a:avLst/>
            <a:gdLst>
              <a:gd name="T0" fmla="*/ 221 w 221"/>
              <a:gd name="T1" fmla="*/ 202 h 209"/>
              <a:gd name="T2" fmla="*/ 46 w 221"/>
              <a:gd name="T3" fmla="*/ 0 h 209"/>
              <a:gd name="T4" fmla="*/ 0 w 221"/>
              <a:gd name="T5" fmla="*/ 5 h 209"/>
              <a:gd name="T6" fmla="*/ 180 w 221"/>
              <a:gd name="T7" fmla="*/ 209 h 209"/>
              <a:gd name="T8" fmla="*/ 221 w 221"/>
              <a:gd name="T9" fmla="*/ 202 h 209"/>
            </a:gdLst>
            <a:ahLst/>
            <a:cxnLst>
              <a:cxn ang="0">
                <a:pos x="T0" y="T1"/>
              </a:cxn>
              <a:cxn ang="0">
                <a:pos x="T2" y="T3"/>
              </a:cxn>
              <a:cxn ang="0">
                <a:pos x="T4" y="T5"/>
              </a:cxn>
              <a:cxn ang="0">
                <a:pos x="T6" y="T7"/>
              </a:cxn>
              <a:cxn ang="0">
                <a:pos x="T8" y="T9"/>
              </a:cxn>
            </a:cxnLst>
            <a:rect l="0" t="0" r="r" b="b"/>
            <a:pathLst>
              <a:path w="221" h="209">
                <a:moveTo>
                  <a:pt x="221" y="202"/>
                </a:moveTo>
                <a:lnTo>
                  <a:pt x="46" y="0"/>
                </a:lnTo>
                <a:lnTo>
                  <a:pt x="0" y="5"/>
                </a:lnTo>
                <a:lnTo>
                  <a:pt x="180" y="209"/>
                </a:lnTo>
                <a:lnTo>
                  <a:pt x="221" y="202"/>
                </a:lnTo>
                <a:close/>
              </a:path>
            </a:pathLst>
          </a:custGeom>
          <a:solidFill>
            <a:srgbClr val="2B9BD7"/>
          </a:solid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en-US"/>
            </a:defPPr>
            <a:lvl1pPr marL="0" algn="l" defTabSz="1218987" rtl="0" eaLnBrk="1" latinLnBrk="0" hangingPunct="1">
              <a:defRPr sz="2400" kern="1200">
                <a:solidFill>
                  <a:schemeClr val="tx1"/>
                </a:solidFill>
                <a:latin typeface="+mn-lt"/>
                <a:ea typeface="+mn-ea"/>
                <a:cs typeface="+mn-cs"/>
              </a:defRPr>
            </a:lvl1pPr>
            <a:lvl2pPr marL="609493" algn="l" defTabSz="1218987" rtl="0" eaLnBrk="1" latinLnBrk="0" hangingPunct="1">
              <a:defRPr sz="2400" kern="1200">
                <a:solidFill>
                  <a:schemeClr val="tx1"/>
                </a:solidFill>
                <a:latin typeface="+mn-lt"/>
                <a:ea typeface="+mn-ea"/>
                <a:cs typeface="+mn-cs"/>
              </a:defRPr>
            </a:lvl2pPr>
            <a:lvl3pPr marL="1218987" algn="l" defTabSz="1218987" rtl="0" eaLnBrk="1" latinLnBrk="0" hangingPunct="1">
              <a:defRPr sz="2400" kern="1200">
                <a:solidFill>
                  <a:schemeClr val="tx1"/>
                </a:solidFill>
                <a:latin typeface="+mn-lt"/>
                <a:ea typeface="+mn-ea"/>
                <a:cs typeface="+mn-cs"/>
              </a:defRPr>
            </a:lvl3pPr>
            <a:lvl4pPr marL="1828480" algn="l" defTabSz="1218987" rtl="0" eaLnBrk="1" latinLnBrk="0" hangingPunct="1">
              <a:defRPr sz="2400" kern="1200">
                <a:solidFill>
                  <a:schemeClr val="tx1"/>
                </a:solidFill>
                <a:latin typeface="+mn-lt"/>
                <a:ea typeface="+mn-ea"/>
                <a:cs typeface="+mn-cs"/>
              </a:defRPr>
            </a:lvl4pPr>
            <a:lvl5pPr marL="2437973" algn="l" defTabSz="1218987" rtl="0" eaLnBrk="1" latinLnBrk="0" hangingPunct="1">
              <a:defRPr sz="2400" kern="1200">
                <a:solidFill>
                  <a:schemeClr val="tx1"/>
                </a:solidFill>
                <a:latin typeface="+mn-lt"/>
                <a:ea typeface="+mn-ea"/>
                <a:cs typeface="+mn-cs"/>
              </a:defRPr>
            </a:lvl5pPr>
            <a:lvl6pPr marL="3047467" algn="l" defTabSz="1218987" rtl="0" eaLnBrk="1" latinLnBrk="0" hangingPunct="1">
              <a:defRPr sz="2400" kern="1200">
                <a:solidFill>
                  <a:schemeClr val="tx1"/>
                </a:solidFill>
                <a:latin typeface="+mn-lt"/>
                <a:ea typeface="+mn-ea"/>
                <a:cs typeface="+mn-cs"/>
              </a:defRPr>
            </a:lvl6pPr>
            <a:lvl7pPr marL="3656960" algn="l" defTabSz="1218987" rtl="0" eaLnBrk="1" latinLnBrk="0" hangingPunct="1">
              <a:defRPr sz="2400" kern="1200">
                <a:solidFill>
                  <a:schemeClr val="tx1"/>
                </a:solidFill>
                <a:latin typeface="+mn-lt"/>
                <a:ea typeface="+mn-ea"/>
                <a:cs typeface="+mn-cs"/>
              </a:defRPr>
            </a:lvl7pPr>
            <a:lvl8pPr marL="4266453" algn="l" defTabSz="1218987" rtl="0" eaLnBrk="1" latinLnBrk="0" hangingPunct="1">
              <a:defRPr sz="2400" kern="1200">
                <a:solidFill>
                  <a:schemeClr val="tx1"/>
                </a:solidFill>
                <a:latin typeface="+mn-lt"/>
                <a:ea typeface="+mn-ea"/>
                <a:cs typeface="+mn-cs"/>
              </a:defRPr>
            </a:lvl8pPr>
            <a:lvl9pPr marL="4875947" algn="l" defTabSz="1218987" rtl="0" eaLnBrk="1" latinLnBrk="0" hangingPunct="1">
              <a:defRPr sz="2400" kern="1200">
                <a:solidFill>
                  <a:schemeClr val="tx1"/>
                </a:solidFill>
                <a:latin typeface="+mn-lt"/>
                <a:ea typeface="+mn-ea"/>
                <a:cs typeface="+mn-cs"/>
              </a:defRPr>
            </a:lvl9pPr>
          </a:lstStyle>
          <a:p>
            <a:endParaRPr lang="en-US"/>
          </a:p>
        </xdr:txBody>
      </xdr:sp>
      <xdr:sp macro="" textlink="">
        <xdr:nvSpPr>
          <xdr:cNvPr id="31" name="Freeform 30">
            <a:extLst>
              <a:ext uri="{FF2B5EF4-FFF2-40B4-BE49-F238E27FC236}">
                <a16:creationId xmlns:a16="http://schemas.microsoft.com/office/drawing/2014/main" id="{00000000-0008-0000-0100-00001F000000}"/>
              </a:ext>
            </a:extLst>
          </xdr:cNvPr>
          <xdr:cNvSpPr>
            <a:spLocks/>
          </xdr:cNvSpPr>
        </xdr:nvSpPr>
        <xdr:spPr bwMode="auto">
          <a:xfrm>
            <a:off x="7186613" y="3441700"/>
            <a:ext cx="69850" cy="277812"/>
          </a:xfrm>
          <a:custGeom>
            <a:avLst/>
            <a:gdLst>
              <a:gd name="T0" fmla="*/ 44 w 44"/>
              <a:gd name="T1" fmla="*/ 165 h 175"/>
              <a:gd name="T2" fmla="*/ 44 w 44"/>
              <a:gd name="T3" fmla="*/ 5 h 175"/>
              <a:gd name="T4" fmla="*/ 0 w 44"/>
              <a:gd name="T5" fmla="*/ 0 h 175"/>
              <a:gd name="T6" fmla="*/ 0 w 44"/>
              <a:gd name="T7" fmla="*/ 175 h 175"/>
              <a:gd name="T8" fmla="*/ 44 w 44"/>
              <a:gd name="T9" fmla="*/ 165 h 175"/>
            </a:gdLst>
            <a:ahLst/>
            <a:cxnLst>
              <a:cxn ang="0">
                <a:pos x="T0" y="T1"/>
              </a:cxn>
              <a:cxn ang="0">
                <a:pos x="T2" y="T3"/>
              </a:cxn>
              <a:cxn ang="0">
                <a:pos x="T4" y="T5"/>
              </a:cxn>
              <a:cxn ang="0">
                <a:pos x="T6" y="T7"/>
              </a:cxn>
              <a:cxn ang="0">
                <a:pos x="T8" y="T9"/>
              </a:cxn>
            </a:cxnLst>
            <a:rect l="0" t="0" r="r" b="b"/>
            <a:pathLst>
              <a:path w="44" h="175">
                <a:moveTo>
                  <a:pt x="44" y="165"/>
                </a:moveTo>
                <a:lnTo>
                  <a:pt x="44" y="5"/>
                </a:lnTo>
                <a:lnTo>
                  <a:pt x="0" y="0"/>
                </a:lnTo>
                <a:lnTo>
                  <a:pt x="0" y="175"/>
                </a:lnTo>
                <a:lnTo>
                  <a:pt x="44" y="165"/>
                </a:lnTo>
                <a:close/>
              </a:path>
            </a:pathLst>
          </a:custGeom>
          <a:solidFill>
            <a:srgbClr val="2B9BD7"/>
          </a:solid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en-US"/>
            </a:defPPr>
            <a:lvl1pPr marL="0" algn="l" defTabSz="1218987" rtl="0" eaLnBrk="1" latinLnBrk="0" hangingPunct="1">
              <a:defRPr sz="2400" kern="1200">
                <a:solidFill>
                  <a:schemeClr val="tx1"/>
                </a:solidFill>
                <a:latin typeface="+mn-lt"/>
                <a:ea typeface="+mn-ea"/>
                <a:cs typeface="+mn-cs"/>
              </a:defRPr>
            </a:lvl1pPr>
            <a:lvl2pPr marL="609493" algn="l" defTabSz="1218987" rtl="0" eaLnBrk="1" latinLnBrk="0" hangingPunct="1">
              <a:defRPr sz="2400" kern="1200">
                <a:solidFill>
                  <a:schemeClr val="tx1"/>
                </a:solidFill>
                <a:latin typeface="+mn-lt"/>
                <a:ea typeface="+mn-ea"/>
                <a:cs typeface="+mn-cs"/>
              </a:defRPr>
            </a:lvl2pPr>
            <a:lvl3pPr marL="1218987" algn="l" defTabSz="1218987" rtl="0" eaLnBrk="1" latinLnBrk="0" hangingPunct="1">
              <a:defRPr sz="2400" kern="1200">
                <a:solidFill>
                  <a:schemeClr val="tx1"/>
                </a:solidFill>
                <a:latin typeface="+mn-lt"/>
                <a:ea typeface="+mn-ea"/>
                <a:cs typeface="+mn-cs"/>
              </a:defRPr>
            </a:lvl3pPr>
            <a:lvl4pPr marL="1828480" algn="l" defTabSz="1218987" rtl="0" eaLnBrk="1" latinLnBrk="0" hangingPunct="1">
              <a:defRPr sz="2400" kern="1200">
                <a:solidFill>
                  <a:schemeClr val="tx1"/>
                </a:solidFill>
                <a:latin typeface="+mn-lt"/>
                <a:ea typeface="+mn-ea"/>
                <a:cs typeface="+mn-cs"/>
              </a:defRPr>
            </a:lvl4pPr>
            <a:lvl5pPr marL="2437973" algn="l" defTabSz="1218987" rtl="0" eaLnBrk="1" latinLnBrk="0" hangingPunct="1">
              <a:defRPr sz="2400" kern="1200">
                <a:solidFill>
                  <a:schemeClr val="tx1"/>
                </a:solidFill>
                <a:latin typeface="+mn-lt"/>
                <a:ea typeface="+mn-ea"/>
                <a:cs typeface="+mn-cs"/>
              </a:defRPr>
            </a:lvl5pPr>
            <a:lvl6pPr marL="3047467" algn="l" defTabSz="1218987" rtl="0" eaLnBrk="1" latinLnBrk="0" hangingPunct="1">
              <a:defRPr sz="2400" kern="1200">
                <a:solidFill>
                  <a:schemeClr val="tx1"/>
                </a:solidFill>
                <a:latin typeface="+mn-lt"/>
                <a:ea typeface="+mn-ea"/>
                <a:cs typeface="+mn-cs"/>
              </a:defRPr>
            </a:lvl6pPr>
            <a:lvl7pPr marL="3656960" algn="l" defTabSz="1218987" rtl="0" eaLnBrk="1" latinLnBrk="0" hangingPunct="1">
              <a:defRPr sz="2400" kern="1200">
                <a:solidFill>
                  <a:schemeClr val="tx1"/>
                </a:solidFill>
                <a:latin typeface="+mn-lt"/>
                <a:ea typeface="+mn-ea"/>
                <a:cs typeface="+mn-cs"/>
              </a:defRPr>
            </a:lvl7pPr>
            <a:lvl8pPr marL="4266453" algn="l" defTabSz="1218987" rtl="0" eaLnBrk="1" latinLnBrk="0" hangingPunct="1">
              <a:defRPr sz="2400" kern="1200">
                <a:solidFill>
                  <a:schemeClr val="tx1"/>
                </a:solidFill>
                <a:latin typeface="+mn-lt"/>
                <a:ea typeface="+mn-ea"/>
                <a:cs typeface="+mn-cs"/>
              </a:defRPr>
            </a:lvl8pPr>
            <a:lvl9pPr marL="4875947" algn="l" defTabSz="1218987" rtl="0" eaLnBrk="1" latinLnBrk="0" hangingPunct="1">
              <a:defRPr sz="2400" kern="1200">
                <a:solidFill>
                  <a:schemeClr val="tx1"/>
                </a:solidFill>
                <a:latin typeface="+mn-lt"/>
                <a:ea typeface="+mn-ea"/>
                <a:cs typeface="+mn-cs"/>
              </a:defRPr>
            </a:lvl9pPr>
          </a:lstStyle>
          <a:p>
            <a:endParaRPr lang="en-US"/>
          </a:p>
        </xdr:txBody>
      </xdr:sp>
    </xdr:grpSp>
    <xdr:clientData/>
  </xdr:twoCellAnchor>
  <xdr:twoCellAnchor>
    <xdr:from>
      <xdr:col>2</xdr:col>
      <xdr:colOff>1133475</xdr:colOff>
      <xdr:row>4</xdr:row>
      <xdr:rowOff>57149</xdr:rowOff>
    </xdr:from>
    <xdr:to>
      <xdr:col>3</xdr:col>
      <xdr:colOff>142876</xdr:colOff>
      <xdr:row>4</xdr:row>
      <xdr:rowOff>409574</xdr:rowOff>
    </xdr:to>
    <xdr:sp macro="" textlink="">
      <xdr:nvSpPr>
        <xdr:cNvPr id="22" name="Left Arrow 21">
          <a:extLst>
            <a:ext uri="{FF2B5EF4-FFF2-40B4-BE49-F238E27FC236}">
              <a16:creationId xmlns:a16="http://schemas.microsoft.com/office/drawing/2014/main" id="{00000000-0008-0000-0100-000016000000}"/>
            </a:ext>
          </a:extLst>
        </xdr:cNvPr>
        <xdr:cNvSpPr/>
      </xdr:nvSpPr>
      <xdr:spPr>
        <a:xfrm>
          <a:off x="3238500" y="1343024"/>
          <a:ext cx="523876" cy="352425"/>
        </a:xfrm>
        <a:prstGeom prst="leftArrow">
          <a:avLst/>
        </a:prstGeom>
        <a:solidFill>
          <a:schemeClr val="accent5">
            <a:lumMod val="5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clientData/>
  </xdr:twoCellAnchor>
  <xdr:twoCellAnchor>
    <xdr:from>
      <xdr:col>4</xdr:col>
      <xdr:colOff>723900</xdr:colOff>
      <xdr:row>10</xdr:row>
      <xdr:rowOff>9526</xdr:rowOff>
    </xdr:from>
    <xdr:to>
      <xdr:col>7</xdr:col>
      <xdr:colOff>990600</xdr:colOff>
      <xdr:row>13</xdr:row>
      <xdr:rowOff>0</xdr:rowOff>
    </xdr:to>
    <xdr:sp macro="[0]!partb" textlink="">
      <xdr:nvSpPr>
        <xdr:cNvPr id="6" name="FormB" hidden="1">
          <a:extLst>
            <a:ext uri="{FF2B5EF4-FFF2-40B4-BE49-F238E27FC236}">
              <a16:creationId xmlns:a16="http://schemas.microsoft.com/office/drawing/2014/main" id="{00000000-0008-0000-0100-000020000000}"/>
            </a:ext>
          </a:extLst>
        </xdr:cNvPr>
        <xdr:cNvSpPr/>
      </xdr:nvSpPr>
      <xdr:spPr>
        <a:xfrm>
          <a:off x="7372350" y="4429126"/>
          <a:ext cx="4400550" cy="676274"/>
        </a:xfrm>
        <a:prstGeom prst="roundRect">
          <a:avLst/>
        </a:prstGeom>
        <a:solidFill>
          <a:schemeClr val="accent5">
            <a:lumMod val="5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solidFill>
                <a:schemeClr val="bg1"/>
              </a:solidFill>
              <a:latin typeface="+mn-lt"/>
              <a:ea typeface="+mn-ea"/>
              <a:cs typeface="+mn-cs"/>
            </a:rPr>
            <a:t>Proceed to fill PART -B</a:t>
          </a:r>
        </a:p>
      </xdr:txBody>
    </xdr:sp>
    <xdr:clientData/>
  </xdr:twoCellAnchor>
  <xdr:twoCellAnchor>
    <xdr:from>
      <xdr:col>4</xdr:col>
      <xdr:colOff>723900</xdr:colOff>
      <xdr:row>6</xdr:row>
      <xdr:rowOff>114300</xdr:rowOff>
    </xdr:from>
    <xdr:to>
      <xdr:col>7</xdr:col>
      <xdr:colOff>981075</xdr:colOff>
      <xdr:row>9</xdr:row>
      <xdr:rowOff>28575</xdr:rowOff>
    </xdr:to>
    <xdr:sp macro="[0]!parta" textlink="">
      <xdr:nvSpPr>
        <xdr:cNvPr id="8" name="FormA">
          <a:extLst>
            <a:ext uri="{FF2B5EF4-FFF2-40B4-BE49-F238E27FC236}">
              <a16:creationId xmlns:a16="http://schemas.microsoft.com/office/drawing/2014/main" id="{00000000-0008-0000-0100-000024000000}"/>
            </a:ext>
          </a:extLst>
        </xdr:cNvPr>
        <xdr:cNvSpPr/>
      </xdr:nvSpPr>
      <xdr:spPr>
        <a:xfrm>
          <a:off x="6105525" y="3590925"/>
          <a:ext cx="4391025" cy="704850"/>
        </a:xfrm>
        <a:prstGeom prst="roundRect">
          <a:avLst/>
        </a:prstGeom>
        <a:solidFill>
          <a:schemeClr val="accent5">
            <a:lumMod val="5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solidFill>
                <a:schemeClr val="bg1"/>
              </a:solidFill>
            </a:rPr>
            <a:t>Proceed to fill details</a:t>
          </a:r>
        </a:p>
      </xdr:txBody>
    </xdr:sp>
    <xdr:clientData/>
  </xdr:twoCellAnchor>
  <xdr:twoCellAnchor>
    <xdr:from>
      <xdr:col>4</xdr:col>
      <xdr:colOff>828676</xdr:colOff>
      <xdr:row>4</xdr:row>
      <xdr:rowOff>1047750</xdr:rowOff>
    </xdr:from>
    <xdr:to>
      <xdr:col>6</xdr:col>
      <xdr:colOff>228601</xdr:colOff>
      <xdr:row>4</xdr:row>
      <xdr:rowOff>1828800</xdr:rowOff>
    </xdr:to>
    <xdr:sp macro="[0]!PDF_View" textlink="">
      <xdr:nvSpPr>
        <xdr:cNvPr id="34" name="Rounded Rectangle 33">
          <a:extLst>
            <a:ext uri="{FF2B5EF4-FFF2-40B4-BE49-F238E27FC236}">
              <a16:creationId xmlns:a16="http://schemas.microsoft.com/office/drawing/2014/main" id="{00000000-0008-0000-0100-000022000000}"/>
            </a:ext>
          </a:extLst>
        </xdr:cNvPr>
        <xdr:cNvSpPr/>
      </xdr:nvSpPr>
      <xdr:spPr>
        <a:xfrm>
          <a:off x="6210301" y="2333625"/>
          <a:ext cx="2762250" cy="781050"/>
        </a:xfrm>
        <a:prstGeom prst="roundRect">
          <a:avLst/>
        </a:prstGeom>
        <a:solidFill>
          <a:schemeClr val="bg1">
            <a:lumMod val="65000"/>
          </a:schemeClr>
        </a:solidFill>
        <a:scene3d>
          <a:camera prst="orthographicFront"/>
          <a:lightRig rig="threePt" dir="t"/>
        </a:scene3d>
        <a:sp3d>
          <a:bevelT prst="angle"/>
        </a:sp3d>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l"/>
          <a:r>
            <a:rPr lang="en-US" sz="1100" b="1">
              <a:solidFill>
                <a:schemeClr val="tx2">
                  <a:lumMod val="50000"/>
                </a:schemeClr>
              </a:solidFill>
            </a:rPr>
            <a:t>Generate Preview</a:t>
          </a:r>
          <a:r>
            <a:rPr lang="en-US" sz="1100" b="1" baseline="0">
              <a:solidFill>
                <a:schemeClr val="tx2">
                  <a:lumMod val="50000"/>
                </a:schemeClr>
              </a:solidFill>
            </a:rPr>
            <a:t> PDF file to view </a:t>
          </a:r>
        </a:p>
        <a:p>
          <a:pPr algn="l"/>
          <a:r>
            <a:rPr lang="en-US" sz="1100" b="1" baseline="0">
              <a:solidFill>
                <a:schemeClr val="tx2">
                  <a:lumMod val="50000"/>
                </a:schemeClr>
              </a:solidFill>
            </a:rPr>
            <a:t>Draft GSTR-9C form  </a:t>
          </a:r>
        </a:p>
      </xdr:txBody>
    </xdr:sp>
    <xdr:clientData/>
  </xdr:twoCellAnchor>
  <xdr:twoCellAnchor>
    <xdr:from>
      <xdr:col>7</xdr:col>
      <xdr:colOff>95250</xdr:colOff>
      <xdr:row>4</xdr:row>
      <xdr:rowOff>1009650</xdr:rowOff>
    </xdr:from>
    <xdr:to>
      <xdr:col>8</xdr:col>
      <xdr:colOff>400049</xdr:colOff>
      <xdr:row>4</xdr:row>
      <xdr:rowOff>1866900</xdr:rowOff>
    </xdr:to>
    <xdr:sp macro="" textlink="">
      <xdr:nvSpPr>
        <xdr:cNvPr id="35" name="TextBox 34">
          <a:extLst>
            <a:ext uri="{FF2B5EF4-FFF2-40B4-BE49-F238E27FC236}">
              <a16:creationId xmlns:a16="http://schemas.microsoft.com/office/drawing/2014/main" id="{00000000-0008-0000-0100-000023000000}"/>
            </a:ext>
          </a:extLst>
        </xdr:cNvPr>
        <xdr:cNvSpPr txBox="1"/>
      </xdr:nvSpPr>
      <xdr:spPr>
        <a:xfrm>
          <a:off x="9610725" y="2295525"/>
          <a:ext cx="2038349" cy="85725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To generate a PDF file </a:t>
          </a:r>
          <a:r>
            <a:rPr lang="en-US" sz="1100" baseline="0"/>
            <a:t>to view </a:t>
          </a:r>
          <a:r>
            <a:rPr lang="en-US" sz="1100"/>
            <a:t>GSTR-9C draft form based on details</a:t>
          </a:r>
          <a:r>
            <a:rPr lang="en-US" sz="1100" baseline="0"/>
            <a:t> added in offine tool </a:t>
          </a:r>
          <a:endParaRPr lang="en-US" sz="1100"/>
        </a:p>
      </xdr:txBody>
    </xdr:sp>
    <xdr:clientData/>
  </xdr:twoCellAnchor>
  <xdr:twoCellAnchor>
    <xdr:from>
      <xdr:col>6</xdr:col>
      <xdr:colOff>314325</xdr:colOff>
      <xdr:row>4</xdr:row>
      <xdr:rowOff>1200149</xdr:rowOff>
    </xdr:from>
    <xdr:to>
      <xdr:col>7</xdr:col>
      <xdr:colOff>66676</xdr:colOff>
      <xdr:row>4</xdr:row>
      <xdr:rowOff>1552574</xdr:rowOff>
    </xdr:to>
    <xdr:sp macro="" textlink="">
      <xdr:nvSpPr>
        <xdr:cNvPr id="37" name="Left Arrow 36">
          <a:extLst>
            <a:ext uri="{FF2B5EF4-FFF2-40B4-BE49-F238E27FC236}">
              <a16:creationId xmlns:a16="http://schemas.microsoft.com/office/drawing/2014/main" id="{00000000-0008-0000-0100-000025000000}"/>
            </a:ext>
          </a:extLst>
        </xdr:cNvPr>
        <xdr:cNvSpPr/>
      </xdr:nvSpPr>
      <xdr:spPr>
        <a:xfrm>
          <a:off x="9058275" y="2486024"/>
          <a:ext cx="523876" cy="352425"/>
        </a:xfrm>
        <a:prstGeom prst="leftArrow">
          <a:avLst/>
        </a:prstGeom>
        <a:solidFill>
          <a:schemeClr val="accent5">
            <a:lumMod val="5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clientData/>
  </xdr:twoCellAnchor>
  <xdr:twoCellAnchor>
    <xdr:from>
      <xdr:col>5</xdr:col>
      <xdr:colOff>1200149</xdr:colOff>
      <xdr:row>4</xdr:row>
      <xdr:rowOff>1190625</xdr:rowOff>
    </xdr:from>
    <xdr:to>
      <xdr:col>6</xdr:col>
      <xdr:colOff>83637</xdr:colOff>
      <xdr:row>4</xdr:row>
      <xdr:rowOff>1685505</xdr:rowOff>
    </xdr:to>
    <xdr:sp macro="" textlink="">
      <xdr:nvSpPr>
        <xdr:cNvPr id="39" name="Freeform 38">
          <a:extLst>
            <a:ext uri="{FF2B5EF4-FFF2-40B4-BE49-F238E27FC236}">
              <a16:creationId xmlns:a16="http://schemas.microsoft.com/office/drawing/2014/main" id="{00000000-0008-0000-0100-000027000000}"/>
            </a:ext>
          </a:extLst>
        </xdr:cNvPr>
        <xdr:cNvSpPr/>
      </xdr:nvSpPr>
      <xdr:spPr>
        <a:xfrm>
          <a:off x="8429624" y="2476500"/>
          <a:ext cx="397963" cy="494880"/>
        </a:xfrm>
        <a:custGeom>
          <a:avLst/>
          <a:gdLst>
            <a:gd name="connsiteX0" fmla="*/ 350280 w 557958"/>
            <a:gd name="connsiteY0" fmla="*/ 0 h 678906"/>
            <a:gd name="connsiteX1" fmla="*/ 557958 w 557958"/>
            <a:gd name="connsiteY1" fmla="*/ 213145 h 678906"/>
            <a:gd name="connsiteX2" fmla="*/ 557958 w 557958"/>
            <a:gd name="connsiteY2" fmla="*/ 215074 h 678906"/>
            <a:gd name="connsiteX3" fmla="*/ 433296 w 557958"/>
            <a:gd name="connsiteY3" fmla="*/ 215074 h 678906"/>
            <a:gd name="connsiteX4" fmla="*/ 350280 w 557958"/>
            <a:gd name="connsiteY4" fmla="*/ 132059 h 678906"/>
            <a:gd name="connsiteX5" fmla="*/ 92739 w 557958"/>
            <a:gd name="connsiteY5" fmla="*/ 0 h 678906"/>
            <a:gd name="connsiteX6" fmla="*/ 323926 w 557958"/>
            <a:gd name="connsiteY6" fmla="*/ 0 h 678906"/>
            <a:gd name="connsiteX7" fmla="*/ 324397 w 557958"/>
            <a:gd name="connsiteY7" fmla="*/ 493 h 678906"/>
            <a:gd name="connsiteX8" fmla="*/ 324397 w 557958"/>
            <a:gd name="connsiteY8" fmla="*/ 147525 h 678906"/>
            <a:gd name="connsiteX9" fmla="*/ 417135 w 557958"/>
            <a:gd name="connsiteY9" fmla="*/ 240263 h 678906"/>
            <a:gd name="connsiteX10" fmla="*/ 553322 w 557958"/>
            <a:gd name="connsiteY10" fmla="*/ 240263 h 678906"/>
            <a:gd name="connsiteX11" fmla="*/ 556420 w 557958"/>
            <a:gd name="connsiteY11" fmla="*/ 243507 h 678906"/>
            <a:gd name="connsiteX12" fmla="*/ 556420 w 557958"/>
            <a:gd name="connsiteY12" fmla="*/ 586169 h 678906"/>
            <a:gd name="connsiteX13" fmla="*/ 463682 w 557958"/>
            <a:gd name="connsiteY13" fmla="*/ 678906 h 678906"/>
            <a:gd name="connsiteX14" fmla="*/ 92739 w 557958"/>
            <a:gd name="connsiteY14" fmla="*/ 678906 h 678906"/>
            <a:gd name="connsiteX15" fmla="*/ 92734 w 557958"/>
            <a:gd name="connsiteY15" fmla="*/ 678905 h 678906"/>
            <a:gd name="connsiteX16" fmla="*/ 59501 w 557958"/>
            <a:gd name="connsiteY16" fmla="*/ 678905 h 678906"/>
            <a:gd name="connsiteX17" fmla="*/ 279110 w 557958"/>
            <a:gd name="connsiteY17" fmla="*/ 401696 h 678906"/>
            <a:gd name="connsiteX18" fmla="*/ 269334 w 557958"/>
            <a:gd name="connsiteY18" fmla="*/ 317378 h 678906"/>
            <a:gd name="connsiteX19" fmla="*/ 269335 w 557958"/>
            <a:gd name="connsiteY19" fmla="*/ 317377 h 678906"/>
            <a:gd name="connsiteX20" fmla="*/ 225152 w 557958"/>
            <a:gd name="connsiteY20" fmla="*/ 304802 h 678906"/>
            <a:gd name="connsiteX21" fmla="*/ 185017 w 557958"/>
            <a:gd name="connsiteY21" fmla="*/ 327153 h 678906"/>
            <a:gd name="connsiteX22" fmla="*/ 836 w 557958"/>
            <a:gd name="connsiteY22" fmla="*/ 559643 h 678906"/>
            <a:gd name="connsiteX23" fmla="*/ 836 w 557958"/>
            <a:gd name="connsiteY23" fmla="*/ 286370 h 678906"/>
            <a:gd name="connsiteX24" fmla="*/ 0 w 557958"/>
            <a:gd name="connsiteY24" fmla="*/ 286201 h 678906"/>
            <a:gd name="connsiteX25" fmla="*/ 0 w 557958"/>
            <a:gd name="connsiteY25" fmla="*/ 92738 h 678906"/>
            <a:gd name="connsiteX26" fmla="*/ 92739 w 557958"/>
            <a:gd name="connsiteY26" fmla="*/ 0 h 67890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Lst>
          <a:rect l="l" t="t" r="r" b="b"/>
          <a:pathLst>
            <a:path w="557958" h="678906">
              <a:moveTo>
                <a:pt x="350280" y="0"/>
              </a:moveTo>
              <a:lnTo>
                <a:pt x="557958" y="213145"/>
              </a:lnTo>
              <a:lnTo>
                <a:pt x="557958" y="215074"/>
              </a:lnTo>
              <a:lnTo>
                <a:pt x="433296" y="215074"/>
              </a:lnTo>
              <a:cubicBezTo>
                <a:pt x="387445" y="215074"/>
                <a:pt x="350280" y="177908"/>
                <a:pt x="350280" y="132059"/>
              </a:cubicBezTo>
              <a:close/>
              <a:moveTo>
                <a:pt x="92739" y="0"/>
              </a:moveTo>
              <a:lnTo>
                <a:pt x="323926" y="0"/>
              </a:lnTo>
              <a:lnTo>
                <a:pt x="324397" y="493"/>
              </a:lnTo>
              <a:lnTo>
                <a:pt x="324397" y="147525"/>
              </a:lnTo>
              <a:cubicBezTo>
                <a:pt x="324397" y="198745"/>
                <a:pt x="365915" y="240263"/>
                <a:pt x="417135" y="240263"/>
              </a:cubicBezTo>
              <a:lnTo>
                <a:pt x="553322" y="240263"/>
              </a:lnTo>
              <a:lnTo>
                <a:pt x="556420" y="243507"/>
              </a:lnTo>
              <a:lnTo>
                <a:pt x="556420" y="586169"/>
              </a:lnTo>
              <a:cubicBezTo>
                <a:pt x="556420" y="637388"/>
                <a:pt x="514902" y="678906"/>
                <a:pt x="463682" y="678906"/>
              </a:cubicBezTo>
              <a:lnTo>
                <a:pt x="92739" y="678906"/>
              </a:lnTo>
              <a:lnTo>
                <a:pt x="92734" y="678905"/>
              </a:lnTo>
              <a:lnTo>
                <a:pt x="59501" y="678905"/>
              </a:lnTo>
              <a:lnTo>
                <a:pt x="279110" y="401696"/>
              </a:lnTo>
              <a:cubicBezTo>
                <a:pt x="299695" y="375712"/>
                <a:pt x="295318" y="337962"/>
                <a:pt x="269334" y="317378"/>
              </a:cubicBezTo>
              <a:lnTo>
                <a:pt x="269335" y="317377"/>
              </a:lnTo>
              <a:cubicBezTo>
                <a:pt x="256344" y="307085"/>
                <a:pt x="240410" y="303033"/>
                <a:pt x="225152" y="304802"/>
              </a:cubicBezTo>
              <a:cubicBezTo>
                <a:pt x="209893" y="306571"/>
                <a:pt x="195309" y="314162"/>
                <a:pt x="185017" y="327153"/>
              </a:cubicBezTo>
              <a:lnTo>
                <a:pt x="836" y="559643"/>
              </a:lnTo>
              <a:lnTo>
                <a:pt x="836" y="286370"/>
              </a:lnTo>
              <a:lnTo>
                <a:pt x="0" y="286201"/>
              </a:lnTo>
              <a:lnTo>
                <a:pt x="0" y="92738"/>
              </a:lnTo>
              <a:cubicBezTo>
                <a:pt x="0" y="41518"/>
                <a:pt x="41519" y="0"/>
                <a:pt x="92739" y="0"/>
              </a:cubicBezTo>
              <a:close/>
            </a:path>
          </a:pathLst>
        </a:custGeom>
        <a:solidFill>
          <a:schemeClr val="accent5">
            <a:lumMod val="50000"/>
          </a:schemeClr>
        </a:solidFill>
        <a:ln>
          <a:solidFill>
            <a:schemeClr val="accent5">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3199"/>
        </a:p>
      </xdr:txBody>
    </xdr:sp>
    <xdr:clientData/>
  </xdr:twoCellAnchor>
  <xdr:twoCellAnchor>
    <xdr:from>
      <xdr:col>5</xdr:col>
      <xdr:colOff>1274750</xdr:colOff>
      <xdr:row>4</xdr:row>
      <xdr:rowOff>1285875</xdr:rowOff>
    </xdr:from>
    <xdr:to>
      <xdr:col>5</xdr:col>
      <xdr:colOff>1363385</xdr:colOff>
      <xdr:row>4</xdr:row>
      <xdr:rowOff>1764886</xdr:rowOff>
    </xdr:to>
    <xdr:sp macro="" textlink="">
      <xdr:nvSpPr>
        <xdr:cNvPr id="42" name="Rounded Rectangle 41">
          <a:extLst>
            <a:ext uri="{FF2B5EF4-FFF2-40B4-BE49-F238E27FC236}">
              <a16:creationId xmlns:a16="http://schemas.microsoft.com/office/drawing/2014/main" id="{00000000-0008-0000-0100-00002A000000}"/>
            </a:ext>
          </a:extLst>
        </xdr:cNvPr>
        <xdr:cNvSpPr/>
      </xdr:nvSpPr>
      <xdr:spPr>
        <a:xfrm rot="18503198">
          <a:off x="8309037" y="2766938"/>
          <a:ext cx="479011" cy="88635"/>
        </a:xfrm>
        <a:prstGeom prst="roundRect">
          <a:avLst>
            <a:gd name="adj" fmla="val 50000"/>
          </a:avLst>
        </a:prstGeom>
        <a:solidFill>
          <a:srgbClr val="2950B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3199"/>
        </a:p>
      </xdr:txBody>
    </xdr:sp>
    <xdr:clientData/>
  </xdr:twoCellAnchor>
  <xdr:twoCellAnchor>
    <xdr:from>
      <xdr:col>5</xdr:col>
      <xdr:colOff>1095374</xdr:colOff>
      <xdr:row>4</xdr:row>
      <xdr:rowOff>1466671</xdr:rowOff>
    </xdr:from>
    <xdr:to>
      <xdr:col>5</xdr:col>
      <xdr:colOff>1184009</xdr:colOff>
      <xdr:row>4</xdr:row>
      <xdr:rowOff>1742469</xdr:rowOff>
    </xdr:to>
    <xdr:sp macro="" textlink="">
      <xdr:nvSpPr>
        <xdr:cNvPr id="43" name="Rounded Rectangle 42">
          <a:extLst>
            <a:ext uri="{FF2B5EF4-FFF2-40B4-BE49-F238E27FC236}">
              <a16:creationId xmlns:a16="http://schemas.microsoft.com/office/drawing/2014/main" id="{00000000-0008-0000-0100-00002B000000}"/>
            </a:ext>
          </a:extLst>
        </xdr:cNvPr>
        <xdr:cNvSpPr/>
      </xdr:nvSpPr>
      <xdr:spPr>
        <a:xfrm rot="13895427">
          <a:off x="8231268" y="2846127"/>
          <a:ext cx="275798" cy="88635"/>
        </a:xfrm>
        <a:prstGeom prst="roundRect">
          <a:avLst>
            <a:gd name="adj" fmla="val 50000"/>
          </a:avLst>
        </a:prstGeom>
        <a:solidFill>
          <a:srgbClr val="2950B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3199"/>
        </a:p>
      </xdr:txBody>
    </xdr:sp>
    <xdr:clientData/>
  </xdr:twoCellAnchor>
  <xdr:twoCellAnchor>
    <xdr:from>
      <xdr:col>3</xdr:col>
      <xdr:colOff>200025</xdr:colOff>
      <xdr:row>4</xdr:row>
      <xdr:rowOff>1009649</xdr:rowOff>
    </xdr:from>
    <xdr:to>
      <xdr:col>4</xdr:col>
      <xdr:colOff>571500</xdr:colOff>
      <xdr:row>4</xdr:row>
      <xdr:rowOff>1847850</xdr:rowOff>
    </xdr:to>
    <xdr:sp macro="" textlink="">
      <xdr:nvSpPr>
        <xdr:cNvPr id="48" name="TextBox 47">
          <a:extLst>
            <a:ext uri="{FF2B5EF4-FFF2-40B4-BE49-F238E27FC236}">
              <a16:creationId xmlns:a16="http://schemas.microsoft.com/office/drawing/2014/main" id="{00000000-0008-0000-0100-000030000000}"/>
            </a:ext>
          </a:extLst>
        </xdr:cNvPr>
        <xdr:cNvSpPr txBox="1"/>
      </xdr:nvSpPr>
      <xdr:spPr>
        <a:xfrm>
          <a:off x="3819525" y="2295524"/>
          <a:ext cx="2133600" cy="838201"/>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To</a:t>
          </a:r>
          <a:r>
            <a:rPr lang="en-US" sz="1100" baseline="0"/>
            <a:t> open GSTR-9C JSON (.json) error file downloaded from GST portal to view/edit/add details .</a:t>
          </a:r>
        </a:p>
      </xdr:txBody>
    </xdr:sp>
    <xdr:clientData/>
  </xdr:twoCellAnchor>
  <xdr:twoCellAnchor>
    <xdr:from>
      <xdr:col>1</xdr:col>
      <xdr:colOff>190500</xdr:colOff>
      <xdr:row>4</xdr:row>
      <xdr:rowOff>942976</xdr:rowOff>
    </xdr:from>
    <xdr:to>
      <xdr:col>2</xdr:col>
      <xdr:colOff>971550</xdr:colOff>
      <xdr:row>4</xdr:row>
      <xdr:rowOff>1724026</xdr:rowOff>
    </xdr:to>
    <xdr:sp macro="[0]!Import_Error_JSON.Import_Error_JSON" textlink="">
      <xdr:nvSpPr>
        <xdr:cNvPr id="49" name="Rounded Rectangle 48">
          <a:extLst>
            <a:ext uri="{FF2B5EF4-FFF2-40B4-BE49-F238E27FC236}">
              <a16:creationId xmlns:a16="http://schemas.microsoft.com/office/drawing/2014/main" id="{00000000-0008-0000-0100-000031000000}"/>
            </a:ext>
          </a:extLst>
        </xdr:cNvPr>
        <xdr:cNvSpPr/>
      </xdr:nvSpPr>
      <xdr:spPr>
        <a:xfrm>
          <a:off x="342900" y="2228851"/>
          <a:ext cx="2733675" cy="781050"/>
        </a:xfrm>
        <a:prstGeom prst="roundRect">
          <a:avLst/>
        </a:prstGeom>
        <a:solidFill>
          <a:schemeClr val="bg1">
            <a:lumMod val="65000"/>
          </a:schemeClr>
        </a:solidFill>
        <a:scene3d>
          <a:camera prst="orthographicFront"/>
          <a:lightRig rig="threePt" dir="t"/>
        </a:scene3d>
        <a:sp3d>
          <a:bevelT prst="angle"/>
        </a:sp3d>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l"/>
          <a:r>
            <a:rPr lang="en-US" sz="1100" b="1">
              <a:solidFill>
                <a:schemeClr val="tx2">
                  <a:lumMod val="50000"/>
                </a:schemeClr>
              </a:solidFill>
            </a:rPr>
            <a:t>Open</a:t>
          </a:r>
          <a:r>
            <a:rPr lang="en-US" sz="1100" b="1" baseline="0">
              <a:solidFill>
                <a:schemeClr val="tx2">
                  <a:lumMod val="50000"/>
                </a:schemeClr>
              </a:solidFill>
            </a:rPr>
            <a:t> GSTR-9C JSON Error File</a:t>
          </a:r>
        </a:p>
        <a:p>
          <a:pPr algn="l"/>
          <a:r>
            <a:rPr lang="en-US" sz="1100" b="1" baseline="0">
              <a:solidFill>
                <a:schemeClr val="tx2">
                  <a:lumMod val="50000"/>
                </a:schemeClr>
              </a:solidFill>
            </a:rPr>
            <a:t>Downloaded from GST Portal</a:t>
          </a:r>
          <a:endParaRPr lang="en-US" sz="1100" b="1">
            <a:solidFill>
              <a:schemeClr val="tx2">
                <a:lumMod val="50000"/>
              </a:schemeClr>
            </a:solidFill>
          </a:endParaRPr>
        </a:p>
      </xdr:txBody>
    </xdr:sp>
    <xdr:clientData/>
  </xdr:twoCellAnchor>
  <xdr:twoCellAnchor>
    <xdr:from>
      <xdr:col>2</xdr:col>
      <xdr:colOff>219074</xdr:colOff>
      <xdr:row>4</xdr:row>
      <xdr:rowOff>1028700</xdr:rowOff>
    </xdr:from>
    <xdr:to>
      <xdr:col>2</xdr:col>
      <xdr:colOff>866775</xdr:colOff>
      <xdr:row>4</xdr:row>
      <xdr:rowOff>1616076</xdr:rowOff>
    </xdr:to>
    <xdr:grpSp>
      <xdr:nvGrpSpPr>
        <xdr:cNvPr id="50" name="Group 49">
          <a:extLst>
            <a:ext uri="{FF2B5EF4-FFF2-40B4-BE49-F238E27FC236}">
              <a16:creationId xmlns:a16="http://schemas.microsoft.com/office/drawing/2014/main" id="{00000000-0008-0000-0100-000032000000}"/>
            </a:ext>
          </a:extLst>
        </xdr:cNvPr>
        <xdr:cNvGrpSpPr/>
      </xdr:nvGrpSpPr>
      <xdr:grpSpPr>
        <a:xfrm>
          <a:off x="2390774" y="2293620"/>
          <a:ext cx="647701" cy="587376"/>
          <a:chOff x="4518026" y="3082926"/>
          <a:chExt cx="1162050" cy="977900"/>
        </a:xfrm>
      </xdr:grpSpPr>
      <xdr:sp macro="" textlink="">
        <xdr:nvSpPr>
          <xdr:cNvPr id="51" name="Freeform 50">
            <a:extLst>
              <a:ext uri="{FF2B5EF4-FFF2-40B4-BE49-F238E27FC236}">
                <a16:creationId xmlns:a16="http://schemas.microsoft.com/office/drawing/2014/main" id="{00000000-0008-0000-0100-000033000000}"/>
              </a:ext>
            </a:extLst>
          </xdr:cNvPr>
          <xdr:cNvSpPr>
            <a:spLocks/>
          </xdr:cNvSpPr>
        </xdr:nvSpPr>
        <xdr:spPr bwMode="auto">
          <a:xfrm>
            <a:off x="4518026" y="3082926"/>
            <a:ext cx="1162050" cy="977900"/>
          </a:xfrm>
          <a:custGeom>
            <a:avLst/>
            <a:gdLst>
              <a:gd name="T0" fmla="*/ 732 w 732"/>
              <a:gd name="T1" fmla="*/ 470 h 616"/>
              <a:gd name="T2" fmla="*/ 378 w 732"/>
              <a:gd name="T3" fmla="*/ 616 h 616"/>
              <a:gd name="T4" fmla="*/ 0 w 732"/>
              <a:gd name="T5" fmla="*/ 470 h 616"/>
              <a:gd name="T6" fmla="*/ 0 w 732"/>
              <a:gd name="T7" fmla="*/ 312 h 616"/>
              <a:gd name="T8" fmla="*/ 256 w 732"/>
              <a:gd name="T9" fmla="*/ 259 h 616"/>
              <a:gd name="T10" fmla="*/ 179 w 732"/>
              <a:gd name="T11" fmla="*/ 155 h 616"/>
              <a:gd name="T12" fmla="*/ 226 w 732"/>
              <a:gd name="T13" fmla="*/ 148 h 616"/>
              <a:gd name="T14" fmla="*/ 281 w 732"/>
              <a:gd name="T15" fmla="*/ 155 h 616"/>
              <a:gd name="T16" fmla="*/ 281 w 732"/>
              <a:gd name="T17" fmla="*/ 4 h 616"/>
              <a:gd name="T18" fmla="*/ 331 w 732"/>
              <a:gd name="T19" fmla="*/ 0 h 616"/>
              <a:gd name="T20" fmla="*/ 482 w 732"/>
              <a:gd name="T21" fmla="*/ 11 h 616"/>
              <a:gd name="T22" fmla="*/ 482 w 732"/>
              <a:gd name="T23" fmla="*/ 182 h 616"/>
              <a:gd name="T24" fmla="*/ 604 w 732"/>
              <a:gd name="T25" fmla="*/ 197 h 616"/>
              <a:gd name="T26" fmla="*/ 502 w 732"/>
              <a:gd name="T27" fmla="*/ 277 h 616"/>
              <a:gd name="T28" fmla="*/ 732 w 732"/>
              <a:gd name="T29" fmla="*/ 312 h 616"/>
              <a:gd name="T30" fmla="*/ 732 w 732"/>
              <a:gd name="T31" fmla="*/ 470 h 61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Lst>
            <a:rect l="0" t="0" r="r" b="b"/>
            <a:pathLst>
              <a:path w="732" h="616">
                <a:moveTo>
                  <a:pt x="732" y="470"/>
                </a:moveTo>
                <a:lnTo>
                  <a:pt x="378" y="616"/>
                </a:lnTo>
                <a:lnTo>
                  <a:pt x="0" y="470"/>
                </a:lnTo>
                <a:lnTo>
                  <a:pt x="0" y="312"/>
                </a:lnTo>
                <a:lnTo>
                  <a:pt x="256" y="259"/>
                </a:lnTo>
                <a:lnTo>
                  <a:pt x="179" y="155"/>
                </a:lnTo>
                <a:lnTo>
                  <a:pt x="226" y="148"/>
                </a:lnTo>
                <a:lnTo>
                  <a:pt x="281" y="155"/>
                </a:lnTo>
                <a:lnTo>
                  <a:pt x="281" y="4"/>
                </a:lnTo>
                <a:lnTo>
                  <a:pt x="331" y="0"/>
                </a:lnTo>
                <a:lnTo>
                  <a:pt x="482" y="11"/>
                </a:lnTo>
                <a:lnTo>
                  <a:pt x="482" y="182"/>
                </a:lnTo>
                <a:lnTo>
                  <a:pt x="604" y="197"/>
                </a:lnTo>
                <a:lnTo>
                  <a:pt x="502" y="277"/>
                </a:lnTo>
                <a:lnTo>
                  <a:pt x="732" y="312"/>
                </a:lnTo>
                <a:lnTo>
                  <a:pt x="732" y="470"/>
                </a:lnTo>
                <a:close/>
              </a:path>
            </a:pathLst>
          </a:custGeom>
          <a:solidFill>
            <a:schemeClr val="accent5">
              <a:lumMod val="50000"/>
            </a:schemeClr>
          </a:solidFill>
          <a:ln w="9525">
            <a:noFill/>
            <a:round/>
            <a:headEnd/>
            <a:tailEnd/>
          </a:ln>
        </xdr:spPr>
        <xdr:txBody>
          <a:bodyPr vert="horz" wrap="square" lIns="91440" tIns="45720" rIns="91440" bIns="45720" numCol="1" anchor="t" anchorCtr="0" compatLnSpc="1">
            <a:prstTxWarp prst="textNoShape">
              <a:avLst/>
            </a:prstTxWarp>
          </a:bodyPr>
          <a:lstStyle>
            <a:defPPr>
              <a:defRPr lang="en-US"/>
            </a:defPPr>
            <a:lvl1pPr marL="0" algn="l" defTabSz="1218987" rtl="0" eaLnBrk="1" latinLnBrk="0" hangingPunct="1">
              <a:defRPr sz="2400" kern="1200">
                <a:solidFill>
                  <a:schemeClr val="tx1"/>
                </a:solidFill>
                <a:latin typeface="+mn-lt"/>
                <a:ea typeface="+mn-ea"/>
                <a:cs typeface="+mn-cs"/>
              </a:defRPr>
            </a:lvl1pPr>
            <a:lvl2pPr marL="609493" algn="l" defTabSz="1218987" rtl="0" eaLnBrk="1" latinLnBrk="0" hangingPunct="1">
              <a:defRPr sz="2400" kern="1200">
                <a:solidFill>
                  <a:schemeClr val="tx1"/>
                </a:solidFill>
                <a:latin typeface="+mn-lt"/>
                <a:ea typeface="+mn-ea"/>
                <a:cs typeface="+mn-cs"/>
              </a:defRPr>
            </a:lvl2pPr>
            <a:lvl3pPr marL="1218987" algn="l" defTabSz="1218987" rtl="0" eaLnBrk="1" latinLnBrk="0" hangingPunct="1">
              <a:defRPr sz="2400" kern="1200">
                <a:solidFill>
                  <a:schemeClr val="tx1"/>
                </a:solidFill>
                <a:latin typeface="+mn-lt"/>
                <a:ea typeface="+mn-ea"/>
                <a:cs typeface="+mn-cs"/>
              </a:defRPr>
            </a:lvl3pPr>
            <a:lvl4pPr marL="1828480" algn="l" defTabSz="1218987" rtl="0" eaLnBrk="1" latinLnBrk="0" hangingPunct="1">
              <a:defRPr sz="2400" kern="1200">
                <a:solidFill>
                  <a:schemeClr val="tx1"/>
                </a:solidFill>
                <a:latin typeface="+mn-lt"/>
                <a:ea typeface="+mn-ea"/>
                <a:cs typeface="+mn-cs"/>
              </a:defRPr>
            </a:lvl4pPr>
            <a:lvl5pPr marL="2437973" algn="l" defTabSz="1218987" rtl="0" eaLnBrk="1" latinLnBrk="0" hangingPunct="1">
              <a:defRPr sz="2400" kern="1200">
                <a:solidFill>
                  <a:schemeClr val="tx1"/>
                </a:solidFill>
                <a:latin typeface="+mn-lt"/>
                <a:ea typeface="+mn-ea"/>
                <a:cs typeface="+mn-cs"/>
              </a:defRPr>
            </a:lvl5pPr>
            <a:lvl6pPr marL="3047467" algn="l" defTabSz="1218987" rtl="0" eaLnBrk="1" latinLnBrk="0" hangingPunct="1">
              <a:defRPr sz="2400" kern="1200">
                <a:solidFill>
                  <a:schemeClr val="tx1"/>
                </a:solidFill>
                <a:latin typeface="+mn-lt"/>
                <a:ea typeface="+mn-ea"/>
                <a:cs typeface="+mn-cs"/>
              </a:defRPr>
            </a:lvl6pPr>
            <a:lvl7pPr marL="3656960" algn="l" defTabSz="1218987" rtl="0" eaLnBrk="1" latinLnBrk="0" hangingPunct="1">
              <a:defRPr sz="2400" kern="1200">
                <a:solidFill>
                  <a:schemeClr val="tx1"/>
                </a:solidFill>
                <a:latin typeface="+mn-lt"/>
                <a:ea typeface="+mn-ea"/>
                <a:cs typeface="+mn-cs"/>
              </a:defRPr>
            </a:lvl7pPr>
            <a:lvl8pPr marL="4266453" algn="l" defTabSz="1218987" rtl="0" eaLnBrk="1" latinLnBrk="0" hangingPunct="1">
              <a:defRPr sz="2400" kern="1200">
                <a:solidFill>
                  <a:schemeClr val="tx1"/>
                </a:solidFill>
                <a:latin typeface="+mn-lt"/>
                <a:ea typeface="+mn-ea"/>
                <a:cs typeface="+mn-cs"/>
              </a:defRPr>
            </a:lvl8pPr>
            <a:lvl9pPr marL="4875947" algn="l" defTabSz="1218987" rtl="0" eaLnBrk="1" latinLnBrk="0" hangingPunct="1">
              <a:defRPr sz="2400" kern="1200">
                <a:solidFill>
                  <a:schemeClr val="tx1"/>
                </a:solidFill>
                <a:latin typeface="+mn-lt"/>
                <a:ea typeface="+mn-ea"/>
                <a:cs typeface="+mn-cs"/>
              </a:defRPr>
            </a:lvl9pPr>
          </a:lstStyle>
          <a:p>
            <a:endParaRPr lang="en-US"/>
          </a:p>
        </xdr:txBody>
      </xdr:sp>
      <xdr:sp macro="" textlink="">
        <xdr:nvSpPr>
          <xdr:cNvPr id="52" name="Freeform 51">
            <a:extLst>
              <a:ext uri="{FF2B5EF4-FFF2-40B4-BE49-F238E27FC236}">
                <a16:creationId xmlns:a16="http://schemas.microsoft.com/office/drawing/2014/main" id="{00000000-0008-0000-0100-000034000000}"/>
              </a:ext>
            </a:extLst>
          </xdr:cNvPr>
          <xdr:cNvSpPr>
            <a:spLocks/>
          </xdr:cNvSpPr>
        </xdr:nvSpPr>
        <xdr:spPr bwMode="auto">
          <a:xfrm>
            <a:off x="4579938" y="3508376"/>
            <a:ext cx="1033463" cy="315913"/>
          </a:xfrm>
          <a:custGeom>
            <a:avLst/>
            <a:gdLst>
              <a:gd name="T0" fmla="*/ 651 w 651"/>
              <a:gd name="T1" fmla="*/ 52 h 199"/>
              <a:gd name="T2" fmla="*/ 449 w 651"/>
              <a:gd name="T3" fmla="*/ 19 h 199"/>
              <a:gd name="T4" fmla="*/ 350 w 651"/>
              <a:gd name="T5" fmla="*/ 94 h 199"/>
              <a:gd name="T6" fmla="*/ 301 w 651"/>
              <a:gd name="T7" fmla="*/ 106 h 199"/>
              <a:gd name="T8" fmla="*/ 223 w 651"/>
              <a:gd name="T9" fmla="*/ 0 h 199"/>
              <a:gd name="T10" fmla="*/ 0 w 651"/>
              <a:gd name="T11" fmla="*/ 48 h 199"/>
              <a:gd name="T12" fmla="*/ 339 w 651"/>
              <a:gd name="T13" fmla="*/ 131 h 199"/>
              <a:gd name="T14" fmla="*/ 402 w 651"/>
              <a:gd name="T15" fmla="*/ 115 h 199"/>
              <a:gd name="T16" fmla="*/ 423 w 651"/>
              <a:gd name="T17" fmla="*/ 121 h 199"/>
              <a:gd name="T18" fmla="*/ 462 w 651"/>
              <a:gd name="T19" fmla="*/ 199 h 199"/>
              <a:gd name="T20" fmla="*/ 588 w 651"/>
              <a:gd name="T21" fmla="*/ 158 h 199"/>
              <a:gd name="T22" fmla="*/ 599 w 651"/>
              <a:gd name="T23" fmla="*/ 65 h 199"/>
              <a:gd name="T24" fmla="*/ 651 w 651"/>
              <a:gd name="T25" fmla="*/ 52 h 199"/>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Lst>
            <a:rect l="0" t="0" r="r" b="b"/>
            <a:pathLst>
              <a:path w="651" h="199">
                <a:moveTo>
                  <a:pt x="651" y="52"/>
                </a:moveTo>
                <a:lnTo>
                  <a:pt x="449" y="19"/>
                </a:lnTo>
                <a:lnTo>
                  <a:pt x="350" y="94"/>
                </a:lnTo>
                <a:lnTo>
                  <a:pt x="301" y="106"/>
                </a:lnTo>
                <a:lnTo>
                  <a:pt x="223" y="0"/>
                </a:lnTo>
                <a:lnTo>
                  <a:pt x="0" y="48"/>
                </a:lnTo>
                <a:lnTo>
                  <a:pt x="339" y="131"/>
                </a:lnTo>
                <a:lnTo>
                  <a:pt x="402" y="115"/>
                </a:lnTo>
                <a:lnTo>
                  <a:pt x="423" y="121"/>
                </a:lnTo>
                <a:lnTo>
                  <a:pt x="462" y="199"/>
                </a:lnTo>
                <a:lnTo>
                  <a:pt x="588" y="158"/>
                </a:lnTo>
                <a:lnTo>
                  <a:pt x="599" y="65"/>
                </a:lnTo>
                <a:lnTo>
                  <a:pt x="651" y="52"/>
                </a:lnTo>
                <a:close/>
              </a:path>
            </a:pathLst>
          </a:custGeom>
          <a:solidFill>
            <a:srgbClr val="FFFFFF"/>
          </a:solidFill>
          <a:ln w="9525">
            <a:solidFill>
              <a:srgbClr val="000000"/>
            </a:solidFill>
            <a:round/>
            <a:headEnd/>
            <a:tailEnd/>
          </a:ln>
        </xdr:spPr>
        <xdr:txBody>
          <a:bodyPr vert="horz" wrap="square" lIns="91440" tIns="45720" rIns="91440" bIns="45720" numCol="1" anchor="t" anchorCtr="0" compatLnSpc="1">
            <a:prstTxWarp prst="textNoShape">
              <a:avLst/>
            </a:prstTxWarp>
          </a:bodyPr>
          <a:lstStyle>
            <a:defPPr>
              <a:defRPr lang="en-US"/>
            </a:defPPr>
            <a:lvl1pPr marL="0" algn="l" defTabSz="1218987" rtl="0" eaLnBrk="1" latinLnBrk="0" hangingPunct="1">
              <a:defRPr sz="2400" kern="1200">
                <a:solidFill>
                  <a:schemeClr val="tx1"/>
                </a:solidFill>
                <a:latin typeface="+mn-lt"/>
                <a:ea typeface="+mn-ea"/>
                <a:cs typeface="+mn-cs"/>
              </a:defRPr>
            </a:lvl1pPr>
            <a:lvl2pPr marL="609493" algn="l" defTabSz="1218987" rtl="0" eaLnBrk="1" latinLnBrk="0" hangingPunct="1">
              <a:defRPr sz="2400" kern="1200">
                <a:solidFill>
                  <a:schemeClr val="tx1"/>
                </a:solidFill>
                <a:latin typeface="+mn-lt"/>
                <a:ea typeface="+mn-ea"/>
                <a:cs typeface="+mn-cs"/>
              </a:defRPr>
            </a:lvl2pPr>
            <a:lvl3pPr marL="1218987" algn="l" defTabSz="1218987" rtl="0" eaLnBrk="1" latinLnBrk="0" hangingPunct="1">
              <a:defRPr sz="2400" kern="1200">
                <a:solidFill>
                  <a:schemeClr val="tx1"/>
                </a:solidFill>
                <a:latin typeface="+mn-lt"/>
                <a:ea typeface="+mn-ea"/>
                <a:cs typeface="+mn-cs"/>
              </a:defRPr>
            </a:lvl3pPr>
            <a:lvl4pPr marL="1828480" algn="l" defTabSz="1218987" rtl="0" eaLnBrk="1" latinLnBrk="0" hangingPunct="1">
              <a:defRPr sz="2400" kern="1200">
                <a:solidFill>
                  <a:schemeClr val="tx1"/>
                </a:solidFill>
                <a:latin typeface="+mn-lt"/>
                <a:ea typeface="+mn-ea"/>
                <a:cs typeface="+mn-cs"/>
              </a:defRPr>
            </a:lvl4pPr>
            <a:lvl5pPr marL="2437973" algn="l" defTabSz="1218987" rtl="0" eaLnBrk="1" latinLnBrk="0" hangingPunct="1">
              <a:defRPr sz="2400" kern="1200">
                <a:solidFill>
                  <a:schemeClr val="tx1"/>
                </a:solidFill>
                <a:latin typeface="+mn-lt"/>
                <a:ea typeface="+mn-ea"/>
                <a:cs typeface="+mn-cs"/>
              </a:defRPr>
            </a:lvl5pPr>
            <a:lvl6pPr marL="3047467" algn="l" defTabSz="1218987" rtl="0" eaLnBrk="1" latinLnBrk="0" hangingPunct="1">
              <a:defRPr sz="2400" kern="1200">
                <a:solidFill>
                  <a:schemeClr val="tx1"/>
                </a:solidFill>
                <a:latin typeface="+mn-lt"/>
                <a:ea typeface="+mn-ea"/>
                <a:cs typeface="+mn-cs"/>
              </a:defRPr>
            </a:lvl6pPr>
            <a:lvl7pPr marL="3656960" algn="l" defTabSz="1218987" rtl="0" eaLnBrk="1" latinLnBrk="0" hangingPunct="1">
              <a:defRPr sz="2400" kern="1200">
                <a:solidFill>
                  <a:schemeClr val="tx1"/>
                </a:solidFill>
                <a:latin typeface="+mn-lt"/>
                <a:ea typeface="+mn-ea"/>
                <a:cs typeface="+mn-cs"/>
              </a:defRPr>
            </a:lvl7pPr>
            <a:lvl8pPr marL="4266453" algn="l" defTabSz="1218987" rtl="0" eaLnBrk="1" latinLnBrk="0" hangingPunct="1">
              <a:defRPr sz="2400" kern="1200">
                <a:solidFill>
                  <a:schemeClr val="tx1"/>
                </a:solidFill>
                <a:latin typeface="+mn-lt"/>
                <a:ea typeface="+mn-ea"/>
                <a:cs typeface="+mn-cs"/>
              </a:defRPr>
            </a:lvl8pPr>
            <a:lvl9pPr marL="4875947" algn="l" defTabSz="1218987" rtl="0" eaLnBrk="1" latinLnBrk="0" hangingPunct="1">
              <a:defRPr sz="2400" kern="1200">
                <a:solidFill>
                  <a:schemeClr val="tx1"/>
                </a:solidFill>
                <a:latin typeface="+mn-lt"/>
                <a:ea typeface="+mn-ea"/>
                <a:cs typeface="+mn-cs"/>
              </a:defRPr>
            </a:lvl9pPr>
          </a:lstStyle>
          <a:p>
            <a:endParaRPr lang="en-US"/>
          </a:p>
        </xdr:txBody>
      </xdr:sp>
      <xdr:sp macro="" textlink="">
        <xdr:nvSpPr>
          <xdr:cNvPr id="53" name="Freeform 52">
            <a:extLst>
              <a:ext uri="{FF2B5EF4-FFF2-40B4-BE49-F238E27FC236}">
                <a16:creationId xmlns:a16="http://schemas.microsoft.com/office/drawing/2014/main" id="{00000000-0008-0000-0100-000035000000}"/>
              </a:ext>
            </a:extLst>
          </xdr:cNvPr>
          <xdr:cNvSpPr>
            <a:spLocks/>
          </xdr:cNvSpPr>
        </xdr:nvSpPr>
        <xdr:spPr bwMode="auto">
          <a:xfrm>
            <a:off x="4832351" y="3325813"/>
            <a:ext cx="131763" cy="28575"/>
          </a:xfrm>
          <a:custGeom>
            <a:avLst/>
            <a:gdLst>
              <a:gd name="T0" fmla="*/ 83 w 83"/>
              <a:gd name="T1" fmla="*/ 18 h 18"/>
              <a:gd name="T2" fmla="*/ 83 w 83"/>
              <a:gd name="T3" fmla="*/ 9 h 18"/>
              <a:gd name="T4" fmla="*/ 29 w 83"/>
              <a:gd name="T5" fmla="*/ 0 h 18"/>
              <a:gd name="T6" fmla="*/ 0 w 83"/>
              <a:gd name="T7" fmla="*/ 6 h 18"/>
              <a:gd name="T8" fmla="*/ 83 w 83"/>
              <a:gd name="T9" fmla="*/ 18 h 18"/>
            </a:gdLst>
            <a:ahLst/>
            <a:cxnLst>
              <a:cxn ang="0">
                <a:pos x="T0" y="T1"/>
              </a:cxn>
              <a:cxn ang="0">
                <a:pos x="T2" y="T3"/>
              </a:cxn>
              <a:cxn ang="0">
                <a:pos x="T4" y="T5"/>
              </a:cxn>
              <a:cxn ang="0">
                <a:pos x="T6" y="T7"/>
              </a:cxn>
              <a:cxn ang="0">
                <a:pos x="T8" y="T9"/>
              </a:cxn>
            </a:cxnLst>
            <a:rect l="0" t="0" r="r" b="b"/>
            <a:pathLst>
              <a:path w="83" h="18">
                <a:moveTo>
                  <a:pt x="83" y="18"/>
                </a:moveTo>
                <a:lnTo>
                  <a:pt x="83" y="9"/>
                </a:lnTo>
                <a:lnTo>
                  <a:pt x="29" y="0"/>
                </a:lnTo>
                <a:lnTo>
                  <a:pt x="0" y="6"/>
                </a:lnTo>
                <a:lnTo>
                  <a:pt x="83" y="18"/>
                </a:lnTo>
                <a:close/>
              </a:path>
            </a:pathLst>
          </a:custGeom>
          <a:solidFill>
            <a:srgbClr val="1E1E1C"/>
          </a:solidFill>
          <a:ln w="9525">
            <a:solidFill>
              <a:srgbClr val="000000"/>
            </a:solidFill>
            <a:round/>
            <a:headEnd/>
            <a:tailEnd/>
          </a:ln>
        </xdr:spPr>
        <xdr:txBody>
          <a:bodyPr vert="horz" wrap="square" lIns="91440" tIns="45720" rIns="91440" bIns="45720" numCol="1" anchor="t" anchorCtr="0" compatLnSpc="1">
            <a:prstTxWarp prst="textNoShape">
              <a:avLst/>
            </a:prstTxWarp>
          </a:bodyPr>
          <a:lstStyle>
            <a:defPPr>
              <a:defRPr lang="en-US"/>
            </a:defPPr>
            <a:lvl1pPr marL="0" algn="l" defTabSz="1218987" rtl="0" eaLnBrk="1" latinLnBrk="0" hangingPunct="1">
              <a:defRPr sz="2400" kern="1200">
                <a:solidFill>
                  <a:schemeClr val="tx1"/>
                </a:solidFill>
                <a:latin typeface="+mn-lt"/>
                <a:ea typeface="+mn-ea"/>
                <a:cs typeface="+mn-cs"/>
              </a:defRPr>
            </a:lvl1pPr>
            <a:lvl2pPr marL="609493" algn="l" defTabSz="1218987" rtl="0" eaLnBrk="1" latinLnBrk="0" hangingPunct="1">
              <a:defRPr sz="2400" kern="1200">
                <a:solidFill>
                  <a:schemeClr val="tx1"/>
                </a:solidFill>
                <a:latin typeface="+mn-lt"/>
                <a:ea typeface="+mn-ea"/>
                <a:cs typeface="+mn-cs"/>
              </a:defRPr>
            </a:lvl2pPr>
            <a:lvl3pPr marL="1218987" algn="l" defTabSz="1218987" rtl="0" eaLnBrk="1" latinLnBrk="0" hangingPunct="1">
              <a:defRPr sz="2400" kern="1200">
                <a:solidFill>
                  <a:schemeClr val="tx1"/>
                </a:solidFill>
                <a:latin typeface="+mn-lt"/>
                <a:ea typeface="+mn-ea"/>
                <a:cs typeface="+mn-cs"/>
              </a:defRPr>
            </a:lvl3pPr>
            <a:lvl4pPr marL="1828480" algn="l" defTabSz="1218987" rtl="0" eaLnBrk="1" latinLnBrk="0" hangingPunct="1">
              <a:defRPr sz="2400" kern="1200">
                <a:solidFill>
                  <a:schemeClr val="tx1"/>
                </a:solidFill>
                <a:latin typeface="+mn-lt"/>
                <a:ea typeface="+mn-ea"/>
                <a:cs typeface="+mn-cs"/>
              </a:defRPr>
            </a:lvl4pPr>
            <a:lvl5pPr marL="2437973" algn="l" defTabSz="1218987" rtl="0" eaLnBrk="1" latinLnBrk="0" hangingPunct="1">
              <a:defRPr sz="2400" kern="1200">
                <a:solidFill>
                  <a:schemeClr val="tx1"/>
                </a:solidFill>
                <a:latin typeface="+mn-lt"/>
                <a:ea typeface="+mn-ea"/>
                <a:cs typeface="+mn-cs"/>
              </a:defRPr>
            </a:lvl5pPr>
            <a:lvl6pPr marL="3047467" algn="l" defTabSz="1218987" rtl="0" eaLnBrk="1" latinLnBrk="0" hangingPunct="1">
              <a:defRPr sz="2400" kern="1200">
                <a:solidFill>
                  <a:schemeClr val="tx1"/>
                </a:solidFill>
                <a:latin typeface="+mn-lt"/>
                <a:ea typeface="+mn-ea"/>
                <a:cs typeface="+mn-cs"/>
              </a:defRPr>
            </a:lvl6pPr>
            <a:lvl7pPr marL="3656960" algn="l" defTabSz="1218987" rtl="0" eaLnBrk="1" latinLnBrk="0" hangingPunct="1">
              <a:defRPr sz="2400" kern="1200">
                <a:solidFill>
                  <a:schemeClr val="tx1"/>
                </a:solidFill>
                <a:latin typeface="+mn-lt"/>
                <a:ea typeface="+mn-ea"/>
                <a:cs typeface="+mn-cs"/>
              </a:defRPr>
            </a:lvl7pPr>
            <a:lvl8pPr marL="4266453" algn="l" defTabSz="1218987" rtl="0" eaLnBrk="1" latinLnBrk="0" hangingPunct="1">
              <a:defRPr sz="2400" kern="1200">
                <a:solidFill>
                  <a:schemeClr val="tx1"/>
                </a:solidFill>
                <a:latin typeface="+mn-lt"/>
                <a:ea typeface="+mn-ea"/>
                <a:cs typeface="+mn-cs"/>
              </a:defRPr>
            </a:lvl8pPr>
            <a:lvl9pPr marL="4875947" algn="l" defTabSz="1218987" rtl="0" eaLnBrk="1" latinLnBrk="0" hangingPunct="1">
              <a:defRPr sz="2400" kern="1200">
                <a:solidFill>
                  <a:schemeClr val="tx1"/>
                </a:solidFill>
                <a:latin typeface="+mn-lt"/>
                <a:ea typeface="+mn-ea"/>
                <a:cs typeface="+mn-cs"/>
              </a:defRPr>
            </a:lvl9pPr>
          </a:lstStyle>
          <a:p>
            <a:endParaRPr lang="en-US"/>
          </a:p>
        </xdr:txBody>
      </xdr:sp>
      <xdr:sp macro="" textlink="">
        <xdr:nvSpPr>
          <xdr:cNvPr id="54" name="Freeform 53">
            <a:extLst>
              <a:ext uri="{FF2B5EF4-FFF2-40B4-BE49-F238E27FC236}">
                <a16:creationId xmlns:a16="http://schemas.microsoft.com/office/drawing/2014/main" id="{00000000-0008-0000-0100-000036000000}"/>
              </a:ext>
            </a:extLst>
          </xdr:cNvPr>
          <xdr:cNvSpPr>
            <a:spLocks/>
          </xdr:cNvSpPr>
        </xdr:nvSpPr>
        <xdr:spPr bwMode="auto">
          <a:xfrm>
            <a:off x="4984751" y="3089276"/>
            <a:ext cx="468313" cy="573088"/>
          </a:xfrm>
          <a:custGeom>
            <a:avLst/>
            <a:gdLst>
              <a:gd name="T0" fmla="*/ 295 w 295"/>
              <a:gd name="T1" fmla="*/ 197 h 361"/>
              <a:gd name="T2" fmla="*/ 178 w 295"/>
              <a:gd name="T3" fmla="*/ 183 h 361"/>
              <a:gd name="T4" fmla="*/ 178 w 295"/>
              <a:gd name="T5" fmla="*/ 12 h 361"/>
              <a:gd name="T6" fmla="*/ 36 w 295"/>
              <a:gd name="T7" fmla="*/ 0 h 361"/>
              <a:gd name="T8" fmla="*/ 0 w 295"/>
              <a:gd name="T9" fmla="*/ 4 h 361"/>
              <a:gd name="T10" fmla="*/ 136 w 295"/>
              <a:gd name="T11" fmla="*/ 14 h 361"/>
              <a:gd name="T12" fmla="*/ 136 w 295"/>
              <a:gd name="T13" fmla="*/ 189 h 361"/>
              <a:gd name="T14" fmla="*/ 250 w 295"/>
              <a:gd name="T15" fmla="*/ 203 h 361"/>
              <a:gd name="T16" fmla="*/ 53 w 295"/>
              <a:gd name="T17" fmla="*/ 361 h 361"/>
              <a:gd name="T18" fmla="*/ 91 w 295"/>
              <a:gd name="T19" fmla="*/ 353 h 361"/>
              <a:gd name="T20" fmla="*/ 295 w 295"/>
              <a:gd name="T21" fmla="*/ 197 h 36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Lst>
            <a:rect l="0" t="0" r="r" b="b"/>
            <a:pathLst>
              <a:path w="295" h="361">
                <a:moveTo>
                  <a:pt x="295" y="197"/>
                </a:moveTo>
                <a:lnTo>
                  <a:pt x="178" y="183"/>
                </a:lnTo>
                <a:lnTo>
                  <a:pt x="178" y="12"/>
                </a:lnTo>
                <a:lnTo>
                  <a:pt x="36" y="0"/>
                </a:lnTo>
                <a:lnTo>
                  <a:pt x="0" y="4"/>
                </a:lnTo>
                <a:lnTo>
                  <a:pt x="136" y="14"/>
                </a:lnTo>
                <a:lnTo>
                  <a:pt x="136" y="189"/>
                </a:lnTo>
                <a:lnTo>
                  <a:pt x="250" y="203"/>
                </a:lnTo>
                <a:lnTo>
                  <a:pt x="53" y="361"/>
                </a:lnTo>
                <a:lnTo>
                  <a:pt x="91" y="353"/>
                </a:lnTo>
                <a:lnTo>
                  <a:pt x="295" y="197"/>
                </a:lnTo>
                <a:close/>
              </a:path>
            </a:pathLst>
          </a:custGeom>
          <a:solidFill>
            <a:srgbClr val="2B9BD7"/>
          </a:solidFill>
          <a:ln w="9525">
            <a:solidFill>
              <a:srgbClr val="000000"/>
            </a:solidFill>
            <a:round/>
            <a:headEnd/>
            <a:tailEnd/>
          </a:ln>
        </xdr:spPr>
        <xdr:txBody>
          <a:bodyPr vert="horz" wrap="square" lIns="91440" tIns="45720" rIns="91440" bIns="45720" numCol="1" anchor="t" anchorCtr="0" compatLnSpc="1">
            <a:prstTxWarp prst="textNoShape">
              <a:avLst/>
            </a:prstTxWarp>
          </a:bodyPr>
          <a:lstStyle>
            <a:defPPr>
              <a:defRPr lang="en-US"/>
            </a:defPPr>
            <a:lvl1pPr marL="0" algn="l" defTabSz="1218987" rtl="0" eaLnBrk="1" latinLnBrk="0" hangingPunct="1">
              <a:defRPr sz="2400" kern="1200">
                <a:solidFill>
                  <a:schemeClr val="tx1"/>
                </a:solidFill>
                <a:latin typeface="+mn-lt"/>
                <a:ea typeface="+mn-ea"/>
                <a:cs typeface="+mn-cs"/>
              </a:defRPr>
            </a:lvl1pPr>
            <a:lvl2pPr marL="609493" algn="l" defTabSz="1218987" rtl="0" eaLnBrk="1" latinLnBrk="0" hangingPunct="1">
              <a:defRPr sz="2400" kern="1200">
                <a:solidFill>
                  <a:schemeClr val="tx1"/>
                </a:solidFill>
                <a:latin typeface="+mn-lt"/>
                <a:ea typeface="+mn-ea"/>
                <a:cs typeface="+mn-cs"/>
              </a:defRPr>
            </a:lvl2pPr>
            <a:lvl3pPr marL="1218987" algn="l" defTabSz="1218987" rtl="0" eaLnBrk="1" latinLnBrk="0" hangingPunct="1">
              <a:defRPr sz="2400" kern="1200">
                <a:solidFill>
                  <a:schemeClr val="tx1"/>
                </a:solidFill>
                <a:latin typeface="+mn-lt"/>
                <a:ea typeface="+mn-ea"/>
                <a:cs typeface="+mn-cs"/>
              </a:defRPr>
            </a:lvl3pPr>
            <a:lvl4pPr marL="1828480" algn="l" defTabSz="1218987" rtl="0" eaLnBrk="1" latinLnBrk="0" hangingPunct="1">
              <a:defRPr sz="2400" kern="1200">
                <a:solidFill>
                  <a:schemeClr val="tx1"/>
                </a:solidFill>
                <a:latin typeface="+mn-lt"/>
                <a:ea typeface="+mn-ea"/>
                <a:cs typeface="+mn-cs"/>
              </a:defRPr>
            </a:lvl4pPr>
            <a:lvl5pPr marL="2437973" algn="l" defTabSz="1218987" rtl="0" eaLnBrk="1" latinLnBrk="0" hangingPunct="1">
              <a:defRPr sz="2400" kern="1200">
                <a:solidFill>
                  <a:schemeClr val="tx1"/>
                </a:solidFill>
                <a:latin typeface="+mn-lt"/>
                <a:ea typeface="+mn-ea"/>
                <a:cs typeface="+mn-cs"/>
              </a:defRPr>
            </a:lvl5pPr>
            <a:lvl6pPr marL="3047467" algn="l" defTabSz="1218987" rtl="0" eaLnBrk="1" latinLnBrk="0" hangingPunct="1">
              <a:defRPr sz="2400" kern="1200">
                <a:solidFill>
                  <a:schemeClr val="tx1"/>
                </a:solidFill>
                <a:latin typeface="+mn-lt"/>
                <a:ea typeface="+mn-ea"/>
                <a:cs typeface="+mn-cs"/>
              </a:defRPr>
            </a:lvl6pPr>
            <a:lvl7pPr marL="3656960" algn="l" defTabSz="1218987" rtl="0" eaLnBrk="1" latinLnBrk="0" hangingPunct="1">
              <a:defRPr sz="2400" kern="1200">
                <a:solidFill>
                  <a:schemeClr val="tx1"/>
                </a:solidFill>
                <a:latin typeface="+mn-lt"/>
                <a:ea typeface="+mn-ea"/>
                <a:cs typeface="+mn-cs"/>
              </a:defRPr>
            </a:lvl7pPr>
            <a:lvl8pPr marL="4266453" algn="l" defTabSz="1218987" rtl="0" eaLnBrk="1" latinLnBrk="0" hangingPunct="1">
              <a:defRPr sz="2400" kern="1200">
                <a:solidFill>
                  <a:schemeClr val="tx1"/>
                </a:solidFill>
                <a:latin typeface="+mn-lt"/>
                <a:ea typeface="+mn-ea"/>
                <a:cs typeface="+mn-cs"/>
              </a:defRPr>
            </a:lvl8pPr>
            <a:lvl9pPr marL="4875947" algn="l" defTabSz="1218987" rtl="0" eaLnBrk="1" latinLnBrk="0" hangingPunct="1">
              <a:defRPr sz="2400" kern="1200">
                <a:solidFill>
                  <a:schemeClr val="tx1"/>
                </a:solidFill>
                <a:latin typeface="+mn-lt"/>
                <a:ea typeface="+mn-ea"/>
                <a:cs typeface="+mn-cs"/>
              </a:defRPr>
            </a:lvl9pPr>
          </a:lstStyle>
          <a:p>
            <a:endParaRPr lang="en-US"/>
          </a:p>
        </xdr:txBody>
      </xdr:sp>
    </xdr:grpSp>
    <xdr:clientData/>
  </xdr:twoCellAnchor>
  <xdr:twoCellAnchor>
    <xdr:from>
      <xdr:col>2</xdr:col>
      <xdr:colOff>1152525</xdr:colOff>
      <xdr:row>4</xdr:row>
      <xdr:rowOff>1152524</xdr:rowOff>
    </xdr:from>
    <xdr:to>
      <xdr:col>3</xdr:col>
      <xdr:colOff>161926</xdr:colOff>
      <xdr:row>4</xdr:row>
      <xdr:rowOff>1504949</xdr:rowOff>
    </xdr:to>
    <xdr:sp macro="" textlink="">
      <xdr:nvSpPr>
        <xdr:cNvPr id="55" name="Left Arrow 54">
          <a:extLst>
            <a:ext uri="{FF2B5EF4-FFF2-40B4-BE49-F238E27FC236}">
              <a16:creationId xmlns:a16="http://schemas.microsoft.com/office/drawing/2014/main" id="{00000000-0008-0000-0100-000037000000}"/>
            </a:ext>
          </a:extLst>
        </xdr:cNvPr>
        <xdr:cNvSpPr/>
      </xdr:nvSpPr>
      <xdr:spPr>
        <a:xfrm>
          <a:off x="3257550" y="2438399"/>
          <a:ext cx="523876" cy="352425"/>
        </a:xfrm>
        <a:prstGeom prst="leftArrow">
          <a:avLst/>
        </a:prstGeom>
        <a:solidFill>
          <a:schemeClr val="accent5">
            <a:lumMod val="5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28576</xdr:colOff>
      <xdr:row>0</xdr:row>
      <xdr:rowOff>19051</xdr:rowOff>
    </xdr:from>
    <xdr:to>
      <xdr:col>0</xdr:col>
      <xdr:colOff>363538</xdr:colOff>
      <xdr:row>1</xdr:row>
      <xdr:rowOff>214313</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28576" y="19051"/>
          <a:ext cx="334962" cy="528637"/>
        </a:xfrm>
        <a:prstGeom prst="rect">
          <a:avLst/>
        </a:prstGeom>
      </xdr:spPr>
    </xdr:pic>
    <xdr:clientData/>
  </xdr:twoCellAnchor>
  <xdr:twoCellAnchor>
    <xdr:from>
      <xdr:col>6</xdr:col>
      <xdr:colOff>419100</xdr:colOff>
      <xdr:row>0</xdr:row>
      <xdr:rowOff>85725</xdr:rowOff>
    </xdr:from>
    <xdr:to>
      <xdr:col>7</xdr:col>
      <xdr:colOff>180975</xdr:colOff>
      <xdr:row>1</xdr:row>
      <xdr:rowOff>200025</xdr:rowOff>
    </xdr:to>
    <xdr:sp macro="[0]!Home" textlink="">
      <xdr:nvSpPr>
        <xdr:cNvPr id="33" name="Rounded Rectangle 32">
          <a:extLst>
            <a:ext uri="{FF2B5EF4-FFF2-40B4-BE49-F238E27FC236}">
              <a16:creationId xmlns:a16="http://schemas.microsoft.com/office/drawing/2014/main" id="{00000000-0008-0000-0200-000021000000}"/>
            </a:ext>
          </a:extLst>
        </xdr:cNvPr>
        <xdr:cNvSpPr/>
      </xdr:nvSpPr>
      <xdr:spPr>
        <a:xfrm>
          <a:off x="8362950" y="85725"/>
          <a:ext cx="1038225" cy="447675"/>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2">
                  <a:lumMod val="50000"/>
                </a:schemeClr>
              </a:solidFill>
            </a:rPr>
            <a:t>     HOME</a:t>
          </a:r>
        </a:p>
      </xdr:txBody>
    </xdr:sp>
    <xdr:clientData/>
  </xdr:twoCellAnchor>
  <xdr:twoCellAnchor>
    <xdr:from>
      <xdr:col>8</xdr:col>
      <xdr:colOff>123825</xdr:colOff>
      <xdr:row>2</xdr:row>
      <xdr:rowOff>66675</xdr:rowOff>
    </xdr:from>
    <xdr:to>
      <xdr:col>8</xdr:col>
      <xdr:colOff>1400175</xdr:colOff>
      <xdr:row>2</xdr:row>
      <xdr:rowOff>638175</xdr:rowOff>
    </xdr:to>
    <xdr:sp macro="[0]!Validate_Table5" textlink="">
      <xdr:nvSpPr>
        <xdr:cNvPr id="46" name="Rounded Rectangle 45">
          <a:extLst>
            <a:ext uri="{FF2B5EF4-FFF2-40B4-BE49-F238E27FC236}">
              <a16:creationId xmlns:a16="http://schemas.microsoft.com/office/drawing/2014/main" id="{00000000-0008-0000-0200-00002E000000}"/>
            </a:ext>
          </a:extLst>
        </xdr:cNvPr>
        <xdr:cNvSpPr/>
      </xdr:nvSpPr>
      <xdr:spPr>
        <a:xfrm>
          <a:off x="10515600" y="609600"/>
          <a:ext cx="1276350" cy="571500"/>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2">
                  <a:lumMod val="50000"/>
                </a:schemeClr>
              </a:solidFill>
            </a:rPr>
            <a:t>Validate </a:t>
          </a:r>
        </a:p>
        <a:p>
          <a:pPr algn="l"/>
          <a:r>
            <a:rPr lang="en-US" sz="1100" b="1">
              <a:solidFill>
                <a:schemeClr val="tx2">
                  <a:lumMod val="50000"/>
                </a:schemeClr>
              </a:solidFill>
            </a:rPr>
            <a:t>Sheet</a:t>
          </a:r>
        </a:p>
      </xdr:txBody>
    </xdr:sp>
    <xdr:clientData/>
  </xdr:twoCellAnchor>
  <xdr:twoCellAnchor>
    <xdr:from>
      <xdr:col>8</xdr:col>
      <xdr:colOff>847725</xdr:colOff>
      <xdr:row>2</xdr:row>
      <xdr:rowOff>104776</xdr:rowOff>
    </xdr:from>
    <xdr:to>
      <xdr:col>8</xdr:col>
      <xdr:colOff>1276350</xdr:colOff>
      <xdr:row>2</xdr:row>
      <xdr:rowOff>542926</xdr:rowOff>
    </xdr:to>
    <xdr:grpSp>
      <xdr:nvGrpSpPr>
        <xdr:cNvPr id="40" name="Group 39">
          <a:extLst>
            <a:ext uri="{FF2B5EF4-FFF2-40B4-BE49-F238E27FC236}">
              <a16:creationId xmlns:a16="http://schemas.microsoft.com/office/drawing/2014/main" id="{00000000-0008-0000-0200-000028000000}"/>
            </a:ext>
          </a:extLst>
        </xdr:cNvPr>
        <xdr:cNvGrpSpPr/>
      </xdr:nvGrpSpPr>
      <xdr:grpSpPr>
        <a:xfrm>
          <a:off x="11252966" y="709121"/>
          <a:ext cx="428625" cy="438150"/>
          <a:chOff x="1982229" y="2092319"/>
          <a:chExt cx="1029931" cy="1029921"/>
        </a:xfrm>
      </xdr:grpSpPr>
      <xdr:sp macro="" textlink="">
        <xdr:nvSpPr>
          <xdr:cNvPr id="41" name="Oval 40">
            <a:extLst>
              <a:ext uri="{FF2B5EF4-FFF2-40B4-BE49-F238E27FC236}">
                <a16:creationId xmlns:a16="http://schemas.microsoft.com/office/drawing/2014/main" id="{00000000-0008-0000-0200-000029000000}"/>
              </a:ext>
            </a:extLst>
          </xdr:cNvPr>
          <xdr:cNvSpPr/>
        </xdr:nvSpPr>
        <xdr:spPr>
          <a:xfrm>
            <a:off x="1982229" y="2092319"/>
            <a:ext cx="1029931" cy="1029921"/>
          </a:xfrm>
          <a:prstGeom prst="ellipse">
            <a:avLst/>
          </a:prstGeom>
          <a:solidFill>
            <a:schemeClr val="bg1"/>
          </a:solidFill>
          <a:ln w="57150">
            <a:solidFill>
              <a:srgbClr val="5B7DDB"/>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2215" b="1">
              <a:solidFill>
                <a:schemeClr val="tx1">
                  <a:lumMod val="60000"/>
                  <a:lumOff val="40000"/>
                </a:schemeClr>
              </a:solidFill>
              <a:latin typeface="Arial" pitchFamily="34" charset="0"/>
              <a:cs typeface="Arial" pitchFamily="34" charset="0"/>
            </a:endParaRPr>
          </a:p>
        </xdr:txBody>
      </xdr:sp>
      <xdr:sp macro="" textlink="">
        <xdr:nvSpPr>
          <xdr:cNvPr id="42" name="Freeform 41">
            <a:extLst>
              <a:ext uri="{FF2B5EF4-FFF2-40B4-BE49-F238E27FC236}">
                <a16:creationId xmlns:a16="http://schemas.microsoft.com/office/drawing/2014/main" id="{00000000-0008-0000-0200-00002A000000}"/>
              </a:ext>
            </a:extLst>
          </xdr:cNvPr>
          <xdr:cNvSpPr/>
        </xdr:nvSpPr>
        <xdr:spPr>
          <a:xfrm>
            <a:off x="2302002" y="2350498"/>
            <a:ext cx="434316" cy="528460"/>
          </a:xfrm>
          <a:custGeom>
            <a:avLst/>
            <a:gdLst>
              <a:gd name="connsiteX0" fmla="*/ 350280 w 557958"/>
              <a:gd name="connsiteY0" fmla="*/ 0 h 678906"/>
              <a:gd name="connsiteX1" fmla="*/ 557958 w 557958"/>
              <a:gd name="connsiteY1" fmla="*/ 213145 h 678906"/>
              <a:gd name="connsiteX2" fmla="*/ 557958 w 557958"/>
              <a:gd name="connsiteY2" fmla="*/ 215074 h 678906"/>
              <a:gd name="connsiteX3" fmla="*/ 433296 w 557958"/>
              <a:gd name="connsiteY3" fmla="*/ 215074 h 678906"/>
              <a:gd name="connsiteX4" fmla="*/ 350280 w 557958"/>
              <a:gd name="connsiteY4" fmla="*/ 132059 h 678906"/>
              <a:gd name="connsiteX5" fmla="*/ 92739 w 557958"/>
              <a:gd name="connsiteY5" fmla="*/ 0 h 678906"/>
              <a:gd name="connsiteX6" fmla="*/ 323926 w 557958"/>
              <a:gd name="connsiteY6" fmla="*/ 0 h 678906"/>
              <a:gd name="connsiteX7" fmla="*/ 324397 w 557958"/>
              <a:gd name="connsiteY7" fmla="*/ 493 h 678906"/>
              <a:gd name="connsiteX8" fmla="*/ 324397 w 557958"/>
              <a:gd name="connsiteY8" fmla="*/ 147525 h 678906"/>
              <a:gd name="connsiteX9" fmla="*/ 417135 w 557958"/>
              <a:gd name="connsiteY9" fmla="*/ 240263 h 678906"/>
              <a:gd name="connsiteX10" fmla="*/ 553322 w 557958"/>
              <a:gd name="connsiteY10" fmla="*/ 240263 h 678906"/>
              <a:gd name="connsiteX11" fmla="*/ 556420 w 557958"/>
              <a:gd name="connsiteY11" fmla="*/ 243507 h 678906"/>
              <a:gd name="connsiteX12" fmla="*/ 556420 w 557958"/>
              <a:gd name="connsiteY12" fmla="*/ 586169 h 678906"/>
              <a:gd name="connsiteX13" fmla="*/ 463682 w 557958"/>
              <a:gd name="connsiteY13" fmla="*/ 678906 h 678906"/>
              <a:gd name="connsiteX14" fmla="*/ 92739 w 557958"/>
              <a:gd name="connsiteY14" fmla="*/ 678906 h 678906"/>
              <a:gd name="connsiteX15" fmla="*/ 92734 w 557958"/>
              <a:gd name="connsiteY15" fmla="*/ 678905 h 678906"/>
              <a:gd name="connsiteX16" fmla="*/ 59501 w 557958"/>
              <a:gd name="connsiteY16" fmla="*/ 678905 h 678906"/>
              <a:gd name="connsiteX17" fmla="*/ 279110 w 557958"/>
              <a:gd name="connsiteY17" fmla="*/ 401696 h 678906"/>
              <a:gd name="connsiteX18" fmla="*/ 269334 w 557958"/>
              <a:gd name="connsiteY18" fmla="*/ 317378 h 678906"/>
              <a:gd name="connsiteX19" fmla="*/ 269335 w 557958"/>
              <a:gd name="connsiteY19" fmla="*/ 317377 h 678906"/>
              <a:gd name="connsiteX20" fmla="*/ 225152 w 557958"/>
              <a:gd name="connsiteY20" fmla="*/ 304802 h 678906"/>
              <a:gd name="connsiteX21" fmla="*/ 185017 w 557958"/>
              <a:gd name="connsiteY21" fmla="*/ 327153 h 678906"/>
              <a:gd name="connsiteX22" fmla="*/ 836 w 557958"/>
              <a:gd name="connsiteY22" fmla="*/ 559643 h 678906"/>
              <a:gd name="connsiteX23" fmla="*/ 836 w 557958"/>
              <a:gd name="connsiteY23" fmla="*/ 286370 h 678906"/>
              <a:gd name="connsiteX24" fmla="*/ 0 w 557958"/>
              <a:gd name="connsiteY24" fmla="*/ 286201 h 678906"/>
              <a:gd name="connsiteX25" fmla="*/ 0 w 557958"/>
              <a:gd name="connsiteY25" fmla="*/ 92738 h 678906"/>
              <a:gd name="connsiteX26" fmla="*/ 92739 w 557958"/>
              <a:gd name="connsiteY26" fmla="*/ 0 h 67890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Lst>
            <a:rect l="l" t="t" r="r" b="b"/>
            <a:pathLst>
              <a:path w="557958" h="678906">
                <a:moveTo>
                  <a:pt x="350280" y="0"/>
                </a:moveTo>
                <a:lnTo>
                  <a:pt x="557958" y="213145"/>
                </a:lnTo>
                <a:lnTo>
                  <a:pt x="557958" y="215074"/>
                </a:lnTo>
                <a:lnTo>
                  <a:pt x="433296" y="215074"/>
                </a:lnTo>
                <a:cubicBezTo>
                  <a:pt x="387445" y="215074"/>
                  <a:pt x="350280" y="177908"/>
                  <a:pt x="350280" y="132059"/>
                </a:cubicBezTo>
                <a:close/>
                <a:moveTo>
                  <a:pt x="92739" y="0"/>
                </a:moveTo>
                <a:lnTo>
                  <a:pt x="323926" y="0"/>
                </a:lnTo>
                <a:lnTo>
                  <a:pt x="324397" y="493"/>
                </a:lnTo>
                <a:lnTo>
                  <a:pt x="324397" y="147525"/>
                </a:lnTo>
                <a:cubicBezTo>
                  <a:pt x="324397" y="198745"/>
                  <a:pt x="365915" y="240263"/>
                  <a:pt x="417135" y="240263"/>
                </a:cubicBezTo>
                <a:lnTo>
                  <a:pt x="553322" y="240263"/>
                </a:lnTo>
                <a:lnTo>
                  <a:pt x="556420" y="243507"/>
                </a:lnTo>
                <a:lnTo>
                  <a:pt x="556420" y="586169"/>
                </a:lnTo>
                <a:cubicBezTo>
                  <a:pt x="556420" y="637388"/>
                  <a:pt x="514902" y="678906"/>
                  <a:pt x="463682" y="678906"/>
                </a:cubicBezTo>
                <a:lnTo>
                  <a:pt x="92739" y="678906"/>
                </a:lnTo>
                <a:lnTo>
                  <a:pt x="92734" y="678905"/>
                </a:lnTo>
                <a:lnTo>
                  <a:pt x="59501" y="678905"/>
                </a:lnTo>
                <a:lnTo>
                  <a:pt x="279110" y="401696"/>
                </a:lnTo>
                <a:cubicBezTo>
                  <a:pt x="299695" y="375712"/>
                  <a:pt x="295318" y="337962"/>
                  <a:pt x="269334" y="317378"/>
                </a:cubicBezTo>
                <a:lnTo>
                  <a:pt x="269335" y="317377"/>
                </a:lnTo>
                <a:cubicBezTo>
                  <a:pt x="256344" y="307085"/>
                  <a:pt x="240410" y="303033"/>
                  <a:pt x="225152" y="304802"/>
                </a:cubicBezTo>
                <a:cubicBezTo>
                  <a:pt x="209893" y="306571"/>
                  <a:pt x="195309" y="314162"/>
                  <a:pt x="185017" y="327153"/>
                </a:cubicBezTo>
                <a:lnTo>
                  <a:pt x="836" y="559643"/>
                </a:lnTo>
                <a:lnTo>
                  <a:pt x="836" y="286370"/>
                </a:lnTo>
                <a:lnTo>
                  <a:pt x="0" y="286201"/>
                </a:lnTo>
                <a:lnTo>
                  <a:pt x="0" y="92738"/>
                </a:lnTo>
                <a:cubicBezTo>
                  <a:pt x="0" y="41518"/>
                  <a:pt x="41519" y="0"/>
                  <a:pt x="92739" y="0"/>
                </a:cubicBezTo>
                <a:close/>
              </a:path>
            </a:pathLst>
          </a:custGeom>
          <a:solidFill>
            <a:srgbClr val="2950B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3199"/>
          </a:p>
        </xdr:txBody>
      </xdr:sp>
      <xdr:grpSp>
        <xdr:nvGrpSpPr>
          <xdr:cNvPr id="43" name="Group 42">
            <a:extLst>
              <a:ext uri="{FF2B5EF4-FFF2-40B4-BE49-F238E27FC236}">
                <a16:creationId xmlns:a16="http://schemas.microsoft.com/office/drawing/2014/main" id="{00000000-0008-0000-0200-00002B000000}"/>
              </a:ext>
            </a:extLst>
          </xdr:cNvPr>
          <xdr:cNvGrpSpPr/>
        </xdr:nvGrpSpPr>
        <xdr:grpSpPr>
          <a:xfrm>
            <a:off x="2227648" y="2566818"/>
            <a:ext cx="201061" cy="359352"/>
            <a:chOff x="6470288" y="1855804"/>
            <a:chExt cx="258298" cy="461654"/>
          </a:xfrm>
          <a:solidFill>
            <a:srgbClr val="2950BD"/>
          </a:solidFill>
        </xdr:grpSpPr>
        <xdr:sp macro="" textlink="">
          <xdr:nvSpPr>
            <xdr:cNvPr id="44" name="Rounded Rectangle 43">
              <a:extLst>
                <a:ext uri="{FF2B5EF4-FFF2-40B4-BE49-F238E27FC236}">
                  <a16:creationId xmlns:a16="http://schemas.microsoft.com/office/drawing/2014/main" id="{00000000-0008-0000-0200-00002C000000}"/>
                </a:ext>
              </a:extLst>
            </xdr:cNvPr>
            <xdr:cNvSpPr/>
          </xdr:nvSpPr>
          <xdr:spPr>
            <a:xfrm rot="18503198">
              <a:off x="6455048" y="2043919"/>
              <a:ext cx="461654" cy="85423"/>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3199"/>
            </a:p>
          </xdr:txBody>
        </xdr:sp>
        <xdr:sp macro="" textlink="">
          <xdr:nvSpPr>
            <xdr:cNvPr id="45" name="Rounded Rectangle 44">
              <a:extLst>
                <a:ext uri="{FF2B5EF4-FFF2-40B4-BE49-F238E27FC236}">
                  <a16:creationId xmlns:a16="http://schemas.microsoft.com/office/drawing/2014/main" id="{00000000-0008-0000-0200-00002D000000}"/>
                </a:ext>
              </a:extLst>
            </xdr:cNvPr>
            <xdr:cNvSpPr/>
          </xdr:nvSpPr>
          <xdr:spPr>
            <a:xfrm rot="13895427">
              <a:off x="6380098" y="2120239"/>
              <a:ext cx="265804" cy="85423"/>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3199"/>
            </a:p>
          </xdr:txBody>
        </xdr:sp>
      </xdr:grpSp>
    </xdr:grpSp>
    <xdr:clientData/>
  </xdr:twoCellAnchor>
  <xdr:twoCellAnchor>
    <xdr:from>
      <xdr:col>7</xdr:col>
      <xdr:colOff>314325</xdr:colOff>
      <xdr:row>0</xdr:row>
      <xdr:rowOff>95250</xdr:rowOff>
    </xdr:from>
    <xdr:to>
      <xdr:col>8</xdr:col>
      <xdr:colOff>180975</xdr:colOff>
      <xdr:row>1</xdr:row>
      <xdr:rowOff>209550</xdr:rowOff>
    </xdr:to>
    <xdr:sp macro="[0]!Previousheet" textlink="">
      <xdr:nvSpPr>
        <xdr:cNvPr id="47" name="Rounded Rectangle 46">
          <a:extLst>
            <a:ext uri="{FF2B5EF4-FFF2-40B4-BE49-F238E27FC236}">
              <a16:creationId xmlns:a16="http://schemas.microsoft.com/office/drawing/2014/main" id="{00000000-0008-0000-0200-00002F000000}"/>
            </a:ext>
          </a:extLst>
        </xdr:cNvPr>
        <xdr:cNvSpPr/>
      </xdr:nvSpPr>
      <xdr:spPr>
        <a:xfrm>
          <a:off x="9534525" y="95250"/>
          <a:ext cx="1038225" cy="447675"/>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2">
                  <a:lumMod val="50000"/>
                </a:schemeClr>
              </a:solidFill>
            </a:rPr>
            <a:t>   PREVIOUS</a:t>
          </a:r>
          <a:r>
            <a:rPr lang="en-US" sz="1100" b="1" baseline="0">
              <a:solidFill>
                <a:schemeClr val="tx2">
                  <a:lumMod val="50000"/>
                </a:schemeClr>
              </a:solidFill>
            </a:rPr>
            <a:t> </a:t>
          </a:r>
          <a:endParaRPr lang="en-US" sz="1100" b="1">
            <a:solidFill>
              <a:schemeClr val="tx2">
                <a:lumMod val="50000"/>
              </a:schemeClr>
            </a:solidFill>
          </a:endParaRPr>
        </a:p>
      </xdr:txBody>
    </xdr:sp>
    <xdr:clientData/>
  </xdr:twoCellAnchor>
  <xdr:twoCellAnchor>
    <xdr:from>
      <xdr:col>8</xdr:col>
      <xdr:colOff>342900</xdr:colOff>
      <xdr:row>0</xdr:row>
      <xdr:rowOff>95250</xdr:rowOff>
    </xdr:from>
    <xdr:to>
      <xdr:col>8</xdr:col>
      <xdr:colOff>1381125</xdr:colOff>
      <xdr:row>1</xdr:row>
      <xdr:rowOff>209550</xdr:rowOff>
    </xdr:to>
    <xdr:sp macro="[0]!Nextsheet" textlink="">
      <xdr:nvSpPr>
        <xdr:cNvPr id="48" name="Rounded Rectangle 47">
          <a:extLst>
            <a:ext uri="{FF2B5EF4-FFF2-40B4-BE49-F238E27FC236}">
              <a16:creationId xmlns:a16="http://schemas.microsoft.com/office/drawing/2014/main" id="{00000000-0008-0000-0200-000030000000}"/>
            </a:ext>
          </a:extLst>
        </xdr:cNvPr>
        <xdr:cNvSpPr/>
      </xdr:nvSpPr>
      <xdr:spPr>
        <a:xfrm>
          <a:off x="10734675" y="95250"/>
          <a:ext cx="1038225" cy="447675"/>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2">
                  <a:lumMod val="50000"/>
                </a:schemeClr>
              </a:solidFill>
            </a:rPr>
            <a:t>       NEXT</a:t>
          </a:r>
        </a:p>
      </xdr:txBody>
    </xdr:sp>
    <xdr:clientData/>
  </xdr:twoCellAnchor>
  <xdr:twoCellAnchor>
    <xdr:from>
      <xdr:col>5</xdr:col>
      <xdr:colOff>692727</xdr:colOff>
      <xdr:row>0</xdr:row>
      <xdr:rowOff>87457</xdr:rowOff>
    </xdr:from>
    <xdr:to>
      <xdr:col>6</xdr:col>
      <xdr:colOff>247650</xdr:colOff>
      <xdr:row>1</xdr:row>
      <xdr:rowOff>181841</xdr:rowOff>
    </xdr:to>
    <xdr:sp macro="[0]!Help" textlink="">
      <xdr:nvSpPr>
        <xdr:cNvPr id="14" name="Rounded Rectangle 13">
          <a:extLst>
            <a:ext uri="{FF2B5EF4-FFF2-40B4-BE49-F238E27FC236}">
              <a16:creationId xmlns:a16="http://schemas.microsoft.com/office/drawing/2014/main" id="{00000000-0008-0000-0200-00000E000000}"/>
            </a:ext>
          </a:extLst>
        </xdr:cNvPr>
        <xdr:cNvSpPr/>
      </xdr:nvSpPr>
      <xdr:spPr>
        <a:xfrm>
          <a:off x="6806045" y="87457"/>
          <a:ext cx="1096241" cy="432089"/>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chemeClr val="tx2">
                  <a:lumMod val="50000"/>
                </a:schemeClr>
              </a:solidFill>
            </a:rPr>
            <a:t>HELP</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28576</xdr:colOff>
      <xdr:row>0</xdr:row>
      <xdr:rowOff>19051</xdr:rowOff>
    </xdr:from>
    <xdr:to>
      <xdr:col>0</xdr:col>
      <xdr:colOff>361950</xdr:colOff>
      <xdr:row>1</xdr:row>
      <xdr:rowOff>276225</xdr:rowOff>
    </xdr:to>
    <xdr:pic>
      <xdr:nvPicPr>
        <xdr:cNvPr id="2" name="Picture 1">
          <a:extLst>
            <a:ext uri="{FF2B5EF4-FFF2-40B4-BE49-F238E27FC236}">
              <a16:creationId xmlns:a16="http://schemas.microsoft.com/office/drawing/2014/main" id="{00000000-0008-0000-0300-00000D000000}"/>
            </a:ext>
          </a:extLst>
        </xdr:cNvPr>
        <xdr:cNvPicPr>
          <a:picLocks noChangeAspect="1"/>
        </xdr:cNvPicPr>
      </xdr:nvPicPr>
      <xdr:blipFill>
        <a:blip xmlns:r="http://schemas.openxmlformats.org/officeDocument/2006/relationships" r:embed="rId1"/>
        <a:stretch>
          <a:fillRect/>
        </a:stretch>
      </xdr:blipFill>
      <xdr:spPr>
        <a:xfrm>
          <a:off x="28576" y="19051"/>
          <a:ext cx="333374" cy="628649"/>
        </a:xfrm>
        <a:prstGeom prst="rect">
          <a:avLst/>
        </a:prstGeom>
      </xdr:spPr>
    </xdr:pic>
    <xdr:clientData/>
  </xdr:twoCellAnchor>
  <xdr:twoCellAnchor>
    <xdr:from>
      <xdr:col>8</xdr:col>
      <xdr:colOff>123825</xdr:colOff>
      <xdr:row>2</xdr:row>
      <xdr:rowOff>66675</xdr:rowOff>
    </xdr:from>
    <xdr:to>
      <xdr:col>8</xdr:col>
      <xdr:colOff>1400175</xdr:colOff>
      <xdr:row>2</xdr:row>
      <xdr:rowOff>638175</xdr:rowOff>
    </xdr:to>
    <xdr:sp macro="[0]!Validate_Reasons" textlink="">
      <xdr:nvSpPr>
        <xdr:cNvPr id="3" name="Rounded Rectangle 2">
          <a:extLst>
            <a:ext uri="{FF2B5EF4-FFF2-40B4-BE49-F238E27FC236}">
              <a16:creationId xmlns:a16="http://schemas.microsoft.com/office/drawing/2014/main" id="{00000000-0008-0000-0300-00000E000000}"/>
            </a:ext>
          </a:extLst>
        </xdr:cNvPr>
        <xdr:cNvSpPr/>
      </xdr:nvSpPr>
      <xdr:spPr>
        <a:xfrm>
          <a:off x="10515600" y="781050"/>
          <a:ext cx="1276350" cy="571500"/>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2">
                  <a:lumMod val="50000"/>
                </a:schemeClr>
              </a:solidFill>
            </a:rPr>
            <a:t>Validate </a:t>
          </a:r>
        </a:p>
        <a:p>
          <a:pPr algn="l"/>
          <a:r>
            <a:rPr lang="en-US" sz="1100" b="1">
              <a:solidFill>
                <a:schemeClr val="tx2">
                  <a:lumMod val="50000"/>
                </a:schemeClr>
              </a:solidFill>
            </a:rPr>
            <a:t>Sheet</a:t>
          </a:r>
        </a:p>
      </xdr:txBody>
    </xdr:sp>
    <xdr:clientData/>
  </xdr:twoCellAnchor>
  <xdr:twoCellAnchor>
    <xdr:from>
      <xdr:col>8</xdr:col>
      <xdr:colOff>847725</xdr:colOff>
      <xdr:row>2</xdr:row>
      <xdr:rowOff>104776</xdr:rowOff>
    </xdr:from>
    <xdr:to>
      <xdr:col>8</xdr:col>
      <xdr:colOff>1276350</xdr:colOff>
      <xdr:row>2</xdr:row>
      <xdr:rowOff>542926</xdr:rowOff>
    </xdr:to>
    <xdr:grpSp>
      <xdr:nvGrpSpPr>
        <xdr:cNvPr id="4" name="Group 3">
          <a:extLst>
            <a:ext uri="{FF2B5EF4-FFF2-40B4-BE49-F238E27FC236}">
              <a16:creationId xmlns:a16="http://schemas.microsoft.com/office/drawing/2014/main" id="{00000000-0008-0000-0300-00000F000000}"/>
            </a:ext>
          </a:extLst>
        </xdr:cNvPr>
        <xdr:cNvGrpSpPr/>
      </xdr:nvGrpSpPr>
      <xdr:grpSpPr>
        <a:xfrm>
          <a:off x="11530965" y="821056"/>
          <a:ext cx="428625" cy="438150"/>
          <a:chOff x="1982229" y="2092319"/>
          <a:chExt cx="1029931" cy="1029921"/>
        </a:xfrm>
      </xdr:grpSpPr>
      <xdr:sp macro="" textlink="">
        <xdr:nvSpPr>
          <xdr:cNvPr id="5" name="Oval 4">
            <a:extLst>
              <a:ext uri="{FF2B5EF4-FFF2-40B4-BE49-F238E27FC236}">
                <a16:creationId xmlns:a16="http://schemas.microsoft.com/office/drawing/2014/main" id="{00000000-0008-0000-0300-000010000000}"/>
              </a:ext>
            </a:extLst>
          </xdr:cNvPr>
          <xdr:cNvSpPr/>
        </xdr:nvSpPr>
        <xdr:spPr>
          <a:xfrm>
            <a:off x="1982229" y="2092319"/>
            <a:ext cx="1029931" cy="1029921"/>
          </a:xfrm>
          <a:prstGeom prst="ellipse">
            <a:avLst/>
          </a:prstGeom>
          <a:solidFill>
            <a:schemeClr val="bg1"/>
          </a:solidFill>
          <a:ln w="57150">
            <a:solidFill>
              <a:srgbClr val="5B7DDB"/>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2215" b="1">
              <a:solidFill>
                <a:schemeClr val="tx1">
                  <a:lumMod val="60000"/>
                  <a:lumOff val="40000"/>
                </a:schemeClr>
              </a:solidFill>
              <a:latin typeface="Arial" pitchFamily="34" charset="0"/>
              <a:cs typeface="Arial" pitchFamily="34" charset="0"/>
            </a:endParaRPr>
          </a:p>
        </xdr:txBody>
      </xdr:sp>
      <xdr:sp macro="" textlink="">
        <xdr:nvSpPr>
          <xdr:cNvPr id="6" name="Freeform 5">
            <a:extLst>
              <a:ext uri="{FF2B5EF4-FFF2-40B4-BE49-F238E27FC236}">
                <a16:creationId xmlns:a16="http://schemas.microsoft.com/office/drawing/2014/main" id="{00000000-0008-0000-0300-000011000000}"/>
              </a:ext>
            </a:extLst>
          </xdr:cNvPr>
          <xdr:cNvSpPr/>
        </xdr:nvSpPr>
        <xdr:spPr>
          <a:xfrm>
            <a:off x="2302002" y="2350498"/>
            <a:ext cx="434316" cy="528460"/>
          </a:xfrm>
          <a:custGeom>
            <a:avLst/>
            <a:gdLst>
              <a:gd name="connsiteX0" fmla="*/ 350280 w 557958"/>
              <a:gd name="connsiteY0" fmla="*/ 0 h 678906"/>
              <a:gd name="connsiteX1" fmla="*/ 557958 w 557958"/>
              <a:gd name="connsiteY1" fmla="*/ 213145 h 678906"/>
              <a:gd name="connsiteX2" fmla="*/ 557958 w 557958"/>
              <a:gd name="connsiteY2" fmla="*/ 215074 h 678906"/>
              <a:gd name="connsiteX3" fmla="*/ 433296 w 557958"/>
              <a:gd name="connsiteY3" fmla="*/ 215074 h 678906"/>
              <a:gd name="connsiteX4" fmla="*/ 350280 w 557958"/>
              <a:gd name="connsiteY4" fmla="*/ 132059 h 678906"/>
              <a:gd name="connsiteX5" fmla="*/ 92739 w 557958"/>
              <a:gd name="connsiteY5" fmla="*/ 0 h 678906"/>
              <a:gd name="connsiteX6" fmla="*/ 323926 w 557958"/>
              <a:gd name="connsiteY6" fmla="*/ 0 h 678906"/>
              <a:gd name="connsiteX7" fmla="*/ 324397 w 557958"/>
              <a:gd name="connsiteY7" fmla="*/ 493 h 678906"/>
              <a:gd name="connsiteX8" fmla="*/ 324397 w 557958"/>
              <a:gd name="connsiteY8" fmla="*/ 147525 h 678906"/>
              <a:gd name="connsiteX9" fmla="*/ 417135 w 557958"/>
              <a:gd name="connsiteY9" fmla="*/ 240263 h 678906"/>
              <a:gd name="connsiteX10" fmla="*/ 553322 w 557958"/>
              <a:gd name="connsiteY10" fmla="*/ 240263 h 678906"/>
              <a:gd name="connsiteX11" fmla="*/ 556420 w 557958"/>
              <a:gd name="connsiteY11" fmla="*/ 243507 h 678906"/>
              <a:gd name="connsiteX12" fmla="*/ 556420 w 557958"/>
              <a:gd name="connsiteY12" fmla="*/ 586169 h 678906"/>
              <a:gd name="connsiteX13" fmla="*/ 463682 w 557958"/>
              <a:gd name="connsiteY13" fmla="*/ 678906 h 678906"/>
              <a:gd name="connsiteX14" fmla="*/ 92739 w 557958"/>
              <a:gd name="connsiteY14" fmla="*/ 678906 h 678906"/>
              <a:gd name="connsiteX15" fmla="*/ 92734 w 557958"/>
              <a:gd name="connsiteY15" fmla="*/ 678905 h 678906"/>
              <a:gd name="connsiteX16" fmla="*/ 59501 w 557958"/>
              <a:gd name="connsiteY16" fmla="*/ 678905 h 678906"/>
              <a:gd name="connsiteX17" fmla="*/ 279110 w 557958"/>
              <a:gd name="connsiteY17" fmla="*/ 401696 h 678906"/>
              <a:gd name="connsiteX18" fmla="*/ 269334 w 557958"/>
              <a:gd name="connsiteY18" fmla="*/ 317378 h 678906"/>
              <a:gd name="connsiteX19" fmla="*/ 269335 w 557958"/>
              <a:gd name="connsiteY19" fmla="*/ 317377 h 678906"/>
              <a:gd name="connsiteX20" fmla="*/ 225152 w 557958"/>
              <a:gd name="connsiteY20" fmla="*/ 304802 h 678906"/>
              <a:gd name="connsiteX21" fmla="*/ 185017 w 557958"/>
              <a:gd name="connsiteY21" fmla="*/ 327153 h 678906"/>
              <a:gd name="connsiteX22" fmla="*/ 836 w 557958"/>
              <a:gd name="connsiteY22" fmla="*/ 559643 h 678906"/>
              <a:gd name="connsiteX23" fmla="*/ 836 w 557958"/>
              <a:gd name="connsiteY23" fmla="*/ 286370 h 678906"/>
              <a:gd name="connsiteX24" fmla="*/ 0 w 557958"/>
              <a:gd name="connsiteY24" fmla="*/ 286201 h 678906"/>
              <a:gd name="connsiteX25" fmla="*/ 0 w 557958"/>
              <a:gd name="connsiteY25" fmla="*/ 92738 h 678906"/>
              <a:gd name="connsiteX26" fmla="*/ 92739 w 557958"/>
              <a:gd name="connsiteY26" fmla="*/ 0 h 67890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Lst>
            <a:rect l="l" t="t" r="r" b="b"/>
            <a:pathLst>
              <a:path w="557958" h="678906">
                <a:moveTo>
                  <a:pt x="350280" y="0"/>
                </a:moveTo>
                <a:lnTo>
                  <a:pt x="557958" y="213145"/>
                </a:lnTo>
                <a:lnTo>
                  <a:pt x="557958" y="215074"/>
                </a:lnTo>
                <a:lnTo>
                  <a:pt x="433296" y="215074"/>
                </a:lnTo>
                <a:cubicBezTo>
                  <a:pt x="387445" y="215074"/>
                  <a:pt x="350280" y="177908"/>
                  <a:pt x="350280" y="132059"/>
                </a:cubicBezTo>
                <a:close/>
                <a:moveTo>
                  <a:pt x="92739" y="0"/>
                </a:moveTo>
                <a:lnTo>
                  <a:pt x="323926" y="0"/>
                </a:lnTo>
                <a:lnTo>
                  <a:pt x="324397" y="493"/>
                </a:lnTo>
                <a:lnTo>
                  <a:pt x="324397" y="147525"/>
                </a:lnTo>
                <a:cubicBezTo>
                  <a:pt x="324397" y="198745"/>
                  <a:pt x="365915" y="240263"/>
                  <a:pt x="417135" y="240263"/>
                </a:cubicBezTo>
                <a:lnTo>
                  <a:pt x="553322" y="240263"/>
                </a:lnTo>
                <a:lnTo>
                  <a:pt x="556420" y="243507"/>
                </a:lnTo>
                <a:lnTo>
                  <a:pt x="556420" y="586169"/>
                </a:lnTo>
                <a:cubicBezTo>
                  <a:pt x="556420" y="637388"/>
                  <a:pt x="514902" y="678906"/>
                  <a:pt x="463682" y="678906"/>
                </a:cubicBezTo>
                <a:lnTo>
                  <a:pt x="92739" y="678906"/>
                </a:lnTo>
                <a:lnTo>
                  <a:pt x="92734" y="678905"/>
                </a:lnTo>
                <a:lnTo>
                  <a:pt x="59501" y="678905"/>
                </a:lnTo>
                <a:lnTo>
                  <a:pt x="279110" y="401696"/>
                </a:lnTo>
                <a:cubicBezTo>
                  <a:pt x="299695" y="375712"/>
                  <a:pt x="295318" y="337962"/>
                  <a:pt x="269334" y="317378"/>
                </a:cubicBezTo>
                <a:lnTo>
                  <a:pt x="269335" y="317377"/>
                </a:lnTo>
                <a:cubicBezTo>
                  <a:pt x="256344" y="307085"/>
                  <a:pt x="240410" y="303033"/>
                  <a:pt x="225152" y="304802"/>
                </a:cubicBezTo>
                <a:cubicBezTo>
                  <a:pt x="209893" y="306571"/>
                  <a:pt x="195309" y="314162"/>
                  <a:pt x="185017" y="327153"/>
                </a:cubicBezTo>
                <a:lnTo>
                  <a:pt x="836" y="559643"/>
                </a:lnTo>
                <a:lnTo>
                  <a:pt x="836" y="286370"/>
                </a:lnTo>
                <a:lnTo>
                  <a:pt x="0" y="286201"/>
                </a:lnTo>
                <a:lnTo>
                  <a:pt x="0" y="92738"/>
                </a:lnTo>
                <a:cubicBezTo>
                  <a:pt x="0" y="41518"/>
                  <a:pt x="41519" y="0"/>
                  <a:pt x="92739" y="0"/>
                </a:cubicBezTo>
                <a:close/>
              </a:path>
            </a:pathLst>
          </a:custGeom>
          <a:solidFill>
            <a:srgbClr val="2950B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3199"/>
          </a:p>
        </xdr:txBody>
      </xdr:sp>
      <xdr:grpSp>
        <xdr:nvGrpSpPr>
          <xdr:cNvPr id="7" name="Group 6">
            <a:extLst>
              <a:ext uri="{FF2B5EF4-FFF2-40B4-BE49-F238E27FC236}">
                <a16:creationId xmlns:a16="http://schemas.microsoft.com/office/drawing/2014/main" id="{00000000-0008-0000-0300-000012000000}"/>
              </a:ext>
            </a:extLst>
          </xdr:cNvPr>
          <xdr:cNvGrpSpPr/>
        </xdr:nvGrpSpPr>
        <xdr:grpSpPr>
          <a:xfrm>
            <a:off x="2227648" y="2566818"/>
            <a:ext cx="201061" cy="359352"/>
            <a:chOff x="6470288" y="1855804"/>
            <a:chExt cx="258298" cy="461654"/>
          </a:xfrm>
          <a:solidFill>
            <a:srgbClr val="2950BD"/>
          </a:solidFill>
        </xdr:grpSpPr>
        <xdr:sp macro="" textlink="">
          <xdr:nvSpPr>
            <xdr:cNvPr id="8" name="Rounded Rectangle 7">
              <a:extLst>
                <a:ext uri="{FF2B5EF4-FFF2-40B4-BE49-F238E27FC236}">
                  <a16:creationId xmlns:a16="http://schemas.microsoft.com/office/drawing/2014/main" id="{00000000-0008-0000-0300-000013000000}"/>
                </a:ext>
              </a:extLst>
            </xdr:cNvPr>
            <xdr:cNvSpPr/>
          </xdr:nvSpPr>
          <xdr:spPr>
            <a:xfrm rot="18503198">
              <a:off x="6455048" y="2043919"/>
              <a:ext cx="461654" cy="85423"/>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3199"/>
            </a:p>
          </xdr:txBody>
        </xdr:sp>
        <xdr:sp macro="" textlink="">
          <xdr:nvSpPr>
            <xdr:cNvPr id="9" name="Rounded Rectangle 8">
              <a:extLst>
                <a:ext uri="{FF2B5EF4-FFF2-40B4-BE49-F238E27FC236}">
                  <a16:creationId xmlns:a16="http://schemas.microsoft.com/office/drawing/2014/main" id="{00000000-0008-0000-0300-000014000000}"/>
                </a:ext>
              </a:extLst>
            </xdr:cNvPr>
            <xdr:cNvSpPr/>
          </xdr:nvSpPr>
          <xdr:spPr>
            <a:xfrm rot="13895427">
              <a:off x="6380098" y="2120239"/>
              <a:ext cx="265804" cy="85423"/>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3199"/>
            </a:p>
          </xdr:txBody>
        </xdr:sp>
      </xdr:grpSp>
    </xdr:grpSp>
    <xdr:clientData/>
  </xdr:twoCellAnchor>
  <xdr:twoCellAnchor>
    <xdr:from>
      <xdr:col>6</xdr:col>
      <xdr:colOff>447675</xdr:colOff>
      <xdr:row>0</xdr:row>
      <xdr:rowOff>66675</xdr:rowOff>
    </xdr:from>
    <xdr:to>
      <xdr:col>7</xdr:col>
      <xdr:colOff>209550</xdr:colOff>
      <xdr:row>1</xdr:row>
      <xdr:rowOff>180975</xdr:rowOff>
    </xdr:to>
    <xdr:sp macro="[0]!Home" textlink="">
      <xdr:nvSpPr>
        <xdr:cNvPr id="10" name="Rounded Rectangle 9">
          <a:extLst>
            <a:ext uri="{FF2B5EF4-FFF2-40B4-BE49-F238E27FC236}">
              <a16:creationId xmlns:a16="http://schemas.microsoft.com/office/drawing/2014/main" id="{00000000-0008-0000-0300-000015000000}"/>
            </a:ext>
          </a:extLst>
        </xdr:cNvPr>
        <xdr:cNvSpPr/>
      </xdr:nvSpPr>
      <xdr:spPr>
        <a:xfrm>
          <a:off x="8391525" y="66675"/>
          <a:ext cx="1038225" cy="485775"/>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2">
                  <a:lumMod val="50000"/>
                </a:schemeClr>
              </a:solidFill>
            </a:rPr>
            <a:t>     HOME</a:t>
          </a:r>
        </a:p>
      </xdr:txBody>
    </xdr:sp>
    <xdr:clientData/>
  </xdr:twoCellAnchor>
  <xdr:twoCellAnchor>
    <xdr:from>
      <xdr:col>7</xdr:col>
      <xdr:colOff>342900</xdr:colOff>
      <xdr:row>0</xdr:row>
      <xdr:rowOff>76200</xdr:rowOff>
    </xdr:from>
    <xdr:to>
      <xdr:col>8</xdr:col>
      <xdr:colOff>209550</xdr:colOff>
      <xdr:row>1</xdr:row>
      <xdr:rowOff>190500</xdr:rowOff>
    </xdr:to>
    <xdr:sp macro="[0]!Previousheet" textlink="">
      <xdr:nvSpPr>
        <xdr:cNvPr id="11" name="Rounded Rectangle 10">
          <a:extLst>
            <a:ext uri="{FF2B5EF4-FFF2-40B4-BE49-F238E27FC236}">
              <a16:creationId xmlns:a16="http://schemas.microsoft.com/office/drawing/2014/main" id="{00000000-0008-0000-0300-000016000000}"/>
            </a:ext>
          </a:extLst>
        </xdr:cNvPr>
        <xdr:cNvSpPr/>
      </xdr:nvSpPr>
      <xdr:spPr>
        <a:xfrm>
          <a:off x="9563100" y="76200"/>
          <a:ext cx="1038225" cy="485775"/>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2">
                  <a:lumMod val="50000"/>
                </a:schemeClr>
              </a:solidFill>
            </a:rPr>
            <a:t>   PREVIOUS</a:t>
          </a:r>
          <a:r>
            <a:rPr lang="en-US" sz="1100" b="1" baseline="0">
              <a:solidFill>
                <a:schemeClr val="tx2">
                  <a:lumMod val="50000"/>
                </a:schemeClr>
              </a:solidFill>
            </a:rPr>
            <a:t> </a:t>
          </a:r>
          <a:endParaRPr lang="en-US" sz="1100" b="1">
            <a:solidFill>
              <a:schemeClr val="tx2">
                <a:lumMod val="50000"/>
              </a:schemeClr>
            </a:solidFill>
          </a:endParaRPr>
        </a:p>
      </xdr:txBody>
    </xdr:sp>
    <xdr:clientData/>
  </xdr:twoCellAnchor>
  <xdr:twoCellAnchor>
    <xdr:from>
      <xdr:col>8</xdr:col>
      <xdr:colOff>371475</xdr:colOff>
      <xdr:row>0</xdr:row>
      <xdr:rowOff>76200</xdr:rowOff>
    </xdr:from>
    <xdr:to>
      <xdr:col>8</xdr:col>
      <xdr:colOff>1409700</xdr:colOff>
      <xdr:row>1</xdr:row>
      <xdr:rowOff>190500</xdr:rowOff>
    </xdr:to>
    <xdr:sp macro="[0]!Nextsheet" textlink="">
      <xdr:nvSpPr>
        <xdr:cNvPr id="12" name="Rounded Rectangle 11">
          <a:extLst>
            <a:ext uri="{FF2B5EF4-FFF2-40B4-BE49-F238E27FC236}">
              <a16:creationId xmlns:a16="http://schemas.microsoft.com/office/drawing/2014/main" id="{00000000-0008-0000-0300-000017000000}"/>
            </a:ext>
          </a:extLst>
        </xdr:cNvPr>
        <xdr:cNvSpPr/>
      </xdr:nvSpPr>
      <xdr:spPr>
        <a:xfrm>
          <a:off x="10763250" y="76200"/>
          <a:ext cx="1038225" cy="485775"/>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2">
                  <a:lumMod val="50000"/>
                </a:schemeClr>
              </a:solidFill>
            </a:rPr>
            <a:t>       NEXT</a:t>
          </a:r>
        </a:p>
      </xdr:txBody>
    </xdr:sp>
    <xdr:clientData/>
  </xdr:twoCellAnchor>
  <xdr:twoCellAnchor>
    <xdr:from>
      <xdr:col>11</xdr:col>
      <xdr:colOff>161925</xdr:colOff>
      <xdr:row>3</xdr:row>
      <xdr:rowOff>419100</xdr:rowOff>
    </xdr:from>
    <xdr:to>
      <xdr:col>12</xdr:col>
      <xdr:colOff>219075</xdr:colOff>
      <xdr:row>4</xdr:row>
      <xdr:rowOff>342900</xdr:rowOff>
    </xdr:to>
    <xdr:sp macro="[0]!Add_reasons_sheet" textlink="">
      <xdr:nvSpPr>
        <xdr:cNvPr id="13" name="Rounded Rectangle 12">
          <a:extLst>
            <a:ext uri="{FF2B5EF4-FFF2-40B4-BE49-F238E27FC236}">
              <a16:creationId xmlns:a16="http://schemas.microsoft.com/office/drawing/2014/main" id="{00000000-0008-0000-0300-000019000000}"/>
            </a:ext>
          </a:extLst>
        </xdr:cNvPr>
        <xdr:cNvSpPr/>
      </xdr:nvSpPr>
      <xdr:spPr>
        <a:xfrm>
          <a:off x="18592800" y="1838325"/>
          <a:ext cx="666750" cy="352425"/>
        </a:xfrm>
        <a:prstGeom prst="roundRect">
          <a:avLst/>
        </a:prstGeom>
        <a:solidFill>
          <a:schemeClr val="accent1">
            <a:lumMod val="50000"/>
          </a:schemeClr>
        </a:solidFill>
        <a:ln>
          <a:solidFill>
            <a:schemeClr val="accent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1"/>
              </a:solidFill>
            </a:rPr>
            <a:t>Add</a:t>
          </a:r>
        </a:p>
      </xdr:txBody>
    </xdr:sp>
    <xdr:clientData/>
  </xdr:twoCellAnchor>
  <xdr:twoCellAnchor editAs="oneCell">
    <xdr:from>
      <xdr:col>5</xdr:col>
      <xdr:colOff>695324</xdr:colOff>
      <xdr:row>0</xdr:row>
      <xdr:rowOff>47624</xdr:rowOff>
    </xdr:from>
    <xdr:to>
      <xdr:col>6</xdr:col>
      <xdr:colOff>314325</xdr:colOff>
      <xdr:row>1</xdr:row>
      <xdr:rowOff>222412</xdr:rowOff>
    </xdr:to>
    <xdr:pic macro="[0]!Help">
      <xdr:nvPicPr>
        <xdr:cNvPr id="14" name="Picture 13">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2"/>
        <a:stretch>
          <a:fillRect/>
        </a:stretch>
      </xdr:blipFill>
      <xdr:spPr>
        <a:xfrm>
          <a:off x="7096124" y="47624"/>
          <a:ext cx="1162051" cy="546263"/>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28576</xdr:colOff>
      <xdr:row>0</xdr:row>
      <xdr:rowOff>19051</xdr:rowOff>
    </xdr:from>
    <xdr:to>
      <xdr:col>0</xdr:col>
      <xdr:colOff>361950</xdr:colOff>
      <xdr:row>1</xdr:row>
      <xdr:rowOff>47625</xdr:rowOff>
    </xdr:to>
    <xdr:pic>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a:stretch>
          <a:fillRect/>
        </a:stretch>
      </xdr:blipFill>
      <xdr:spPr>
        <a:xfrm>
          <a:off x="28576" y="19051"/>
          <a:ext cx="333374" cy="361949"/>
        </a:xfrm>
        <a:prstGeom prst="rect">
          <a:avLst/>
        </a:prstGeom>
      </xdr:spPr>
    </xdr:pic>
    <xdr:clientData/>
  </xdr:twoCellAnchor>
  <xdr:twoCellAnchor>
    <xdr:from>
      <xdr:col>7</xdr:col>
      <xdr:colOff>123825</xdr:colOff>
      <xdr:row>2</xdr:row>
      <xdr:rowOff>66675</xdr:rowOff>
    </xdr:from>
    <xdr:to>
      <xdr:col>7</xdr:col>
      <xdr:colOff>1400175</xdr:colOff>
      <xdr:row>2</xdr:row>
      <xdr:rowOff>638175</xdr:rowOff>
    </xdr:to>
    <xdr:sp macro="[0]!Validate_Table7" textlink="">
      <xdr:nvSpPr>
        <xdr:cNvPr id="28" name="Rounded Rectangle 27">
          <a:extLst>
            <a:ext uri="{FF2B5EF4-FFF2-40B4-BE49-F238E27FC236}">
              <a16:creationId xmlns:a16="http://schemas.microsoft.com/office/drawing/2014/main" id="{00000000-0008-0000-0400-00001C000000}"/>
            </a:ext>
          </a:extLst>
        </xdr:cNvPr>
        <xdr:cNvSpPr/>
      </xdr:nvSpPr>
      <xdr:spPr>
        <a:xfrm>
          <a:off x="10515600" y="609600"/>
          <a:ext cx="1276350" cy="571500"/>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2">
                  <a:lumMod val="50000"/>
                </a:schemeClr>
              </a:solidFill>
            </a:rPr>
            <a:t>Validate </a:t>
          </a:r>
        </a:p>
        <a:p>
          <a:pPr algn="l"/>
          <a:r>
            <a:rPr lang="en-US" sz="1100" b="1">
              <a:solidFill>
                <a:schemeClr val="tx2">
                  <a:lumMod val="50000"/>
                </a:schemeClr>
              </a:solidFill>
            </a:rPr>
            <a:t>Sheet</a:t>
          </a:r>
        </a:p>
      </xdr:txBody>
    </xdr:sp>
    <xdr:clientData/>
  </xdr:twoCellAnchor>
  <xdr:twoCellAnchor>
    <xdr:from>
      <xdr:col>7</xdr:col>
      <xdr:colOff>847725</xdr:colOff>
      <xdr:row>2</xdr:row>
      <xdr:rowOff>104776</xdr:rowOff>
    </xdr:from>
    <xdr:to>
      <xdr:col>7</xdr:col>
      <xdr:colOff>1276350</xdr:colOff>
      <xdr:row>2</xdr:row>
      <xdr:rowOff>542926</xdr:rowOff>
    </xdr:to>
    <xdr:grpSp>
      <xdr:nvGrpSpPr>
        <xdr:cNvPr id="29" name="Group 28">
          <a:extLst>
            <a:ext uri="{FF2B5EF4-FFF2-40B4-BE49-F238E27FC236}">
              <a16:creationId xmlns:a16="http://schemas.microsoft.com/office/drawing/2014/main" id="{00000000-0008-0000-0400-00001D000000}"/>
            </a:ext>
          </a:extLst>
        </xdr:cNvPr>
        <xdr:cNvGrpSpPr/>
      </xdr:nvGrpSpPr>
      <xdr:grpSpPr>
        <a:xfrm>
          <a:off x="8086725" y="965836"/>
          <a:ext cx="428625" cy="438150"/>
          <a:chOff x="1982229" y="2092319"/>
          <a:chExt cx="1029931" cy="1029921"/>
        </a:xfrm>
      </xdr:grpSpPr>
      <xdr:sp macro="" textlink="">
        <xdr:nvSpPr>
          <xdr:cNvPr id="30" name="Oval 29">
            <a:extLst>
              <a:ext uri="{FF2B5EF4-FFF2-40B4-BE49-F238E27FC236}">
                <a16:creationId xmlns:a16="http://schemas.microsoft.com/office/drawing/2014/main" id="{00000000-0008-0000-0400-00001E000000}"/>
              </a:ext>
            </a:extLst>
          </xdr:cNvPr>
          <xdr:cNvSpPr/>
        </xdr:nvSpPr>
        <xdr:spPr>
          <a:xfrm>
            <a:off x="1982229" y="2092319"/>
            <a:ext cx="1029931" cy="1029921"/>
          </a:xfrm>
          <a:prstGeom prst="ellipse">
            <a:avLst/>
          </a:prstGeom>
          <a:solidFill>
            <a:schemeClr val="bg1"/>
          </a:solidFill>
          <a:ln w="57150">
            <a:solidFill>
              <a:srgbClr val="5B7DDB"/>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2215" b="1">
              <a:solidFill>
                <a:schemeClr val="tx1">
                  <a:lumMod val="60000"/>
                  <a:lumOff val="40000"/>
                </a:schemeClr>
              </a:solidFill>
              <a:latin typeface="Arial" pitchFamily="34" charset="0"/>
              <a:cs typeface="Arial" pitchFamily="34" charset="0"/>
            </a:endParaRPr>
          </a:p>
        </xdr:txBody>
      </xdr:sp>
      <xdr:sp macro="" textlink="">
        <xdr:nvSpPr>
          <xdr:cNvPr id="31" name="Freeform 30">
            <a:extLst>
              <a:ext uri="{FF2B5EF4-FFF2-40B4-BE49-F238E27FC236}">
                <a16:creationId xmlns:a16="http://schemas.microsoft.com/office/drawing/2014/main" id="{00000000-0008-0000-0400-00001F000000}"/>
              </a:ext>
            </a:extLst>
          </xdr:cNvPr>
          <xdr:cNvSpPr/>
        </xdr:nvSpPr>
        <xdr:spPr>
          <a:xfrm>
            <a:off x="2302002" y="2350498"/>
            <a:ext cx="434316" cy="528460"/>
          </a:xfrm>
          <a:custGeom>
            <a:avLst/>
            <a:gdLst>
              <a:gd name="connsiteX0" fmla="*/ 350280 w 557958"/>
              <a:gd name="connsiteY0" fmla="*/ 0 h 678906"/>
              <a:gd name="connsiteX1" fmla="*/ 557958 w 557958"/>
              <a:gd name="connsiteY1" fmla="*/ 213145 h 678906"/>
              <a:gd name="connsiteX2" fmla="*/ 557958 w 557958"/>
              <a:gd name="connsiteY2" fmla="*/ 215074 h 678906"/>
              <a:gd name="connsiteX3" fmla="*/ 433296 w 557958"/>
              <a:gd name="connsiteY3" fmla="*/ 215074 h 678906"/>
              <a:gd name="connsiteX4" fmla="*/ 350280 w 557958"/>
              <a:gd name="connsiteY4" fmla="*/ 132059 h 678906"/>
              <a:gd name="connsiteX5" fmla="*/ 92739 w 557958"/>
              <a:gd name="connsiteY5" fmla="*/ 0 h 678906"/>
              <a:gd name="connsiteX6" fmla="*/ 323926 w 557958"/>
              <a:gd name="connsiteY6" fmla="*/ 0 h 678906"/>
              <a:gd name="connsiteX7" fmla="*/ 324397 w 557958"/>
              <a:gd name="connsiteY7" fmla="*/ 493 h 678906"/>
              <a:gd name="connsiteX8" fmla="*/ 324397 w 557958"/>
              <a:gd name="connsiteY8" fmla="*/ 147525 h 678906"/>
              <a:gd name="connsiteX9" fmla="*/ 417135 w 557958"/>
              <a:gd name="connsiteY9" fmla="*/ 240263 h 678906"/>
              <a:gd name="connsiteX10" fmla="*/ 553322 w 557958"/>
              <a:gd name="connsiteY10" fmla="*/ 240263 h 678906"/>
              <a:gd name="connsiteX11" fmla="*/ 556420 w 557958"/>
              <a:gd name="connsiteY11" fmla="*/ 243507 h 678906"/>
              <a:gd name="connsiteX12" fmla="*/ 556420 w 557958"/>
              <a:gd name="connsiteY12" fmla="*/ 586169 h 678906"/>
              <a:gd name="connsiteX13" fmla="*/ 463682 w 557958"/>
              <a:gd name="connsiteY13" fmla="*/ 678906 h 678906"/>
              <a:gd name="connsiteX14" fmla="*/ 92739 w 557958"/>
              <a:gd name="connsiteY14" fmla="*/ 678906 h 678906"/>
              <a:gd name="connsiteX15" fmla="*/ 92734 w 557958"/>
              <a:gd name="connsiteY15" fmla="*/ 678905 h 678906"/>
              <a:gd name="connsiteX16" fmla="*/ 59501 w 557958"/>
              <a:gd name="connsiteY16" fmla="*/ 678905 h 678906"/>
              <a:gd name="connsiteX17" fmla="*/ 279110 w 557958"/>
              <a:gd name="connsiteY17" fmla="*/ 401696 h 678906"/>
              <a:gd name="connsiteX18" fmla="*/ 269334 w 557958"/>
              <a:gd name="connsiteY18" fmla="*/ 317378 h 678906"/>
              <a:gd name="connsiteX19" fmla="*/ 269335 w 557958"/>
              <a:gd name="connsiteY19" fmla="*/ 317377 h 678906"/>
              <a:gd name="connsiteX20" fmla="*/ 225152 w 557958"/>
              <a:gd name="connsiteY20" fmla="*/ 304802 h 678906"/>
              <a:gd name="connsiteX21" fmla="*/ 185017 w 557958"/>
              <a:gd name="connsiteY21" fmla="*/ 327153 h 678906"/>
              <a:gd name="connsiteX22" fmla="*/ 836 w 557958"/>
              <a:gd name="connsiteY22" fmla="*/ 559643 h 678906"/>
              <a:gd name="connsiteX23" fmla="*/ 836 w 557958"/>
              <a:gd name="connsiteY23" fmla="*/ 286370 h 678906"/>
              <a:gd name="connsiteX24" fmla="*/ 0 w 557958"/>
              <a:gd name="connsiteY24" fmla="*/ 286201 h 678906"/>
              <a:gd name="connsiteX25" fmla="*/ 0 w 557958"/>
              <a:gd name="connsiteY25" fmla="*/ 92738 h 678906"/>
              <a:gd name="connsiteX26" fmla="*/ 92739 w 557958"/>
              <a:gd name="connsiteY26" fmla="*/ 0 h 67890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Lst>
            <a:rect l="l" t="t" r="r" b="b"/>
            <a:pathLst>
              <a:path w="557958" h="678906">
                <a:moveTo>
                  <a:pt x="350280" y="0"/>
                </a:moveTo>
                <a:lnTo>
                  <a:pt x="557958" y="213145"/>
                </a:lnTo>
                <a:lnTo>
                  <a:pt x="557958" y="215074"/>
                </a:lnTo>
                <a:lnTo>
                  <a:pt x="433296" y="215074"/>
                </a:lnTo>
                <a:cubicBezTo>
                  <a:pt x="387445" y="215074"/>
                  <a:pt x="350280" y="177908"/>
                  <a:pt x="350280" y="132059"/>
                </a:cubicBezTo>
                <a:close/>
                <a:moveTo>
                  <a:pt x="92739" y="0"/>
                </a:moveTo>
                <a:lnTo>
                  <a:pt x="323926" y="0"/>
                </a:lnTo>
                <a:lnTo>
                  <a:pt x="324397" y="493"/>
                </a:lnTo>
                <a:lnTo>
                  <a:pt x="324397" y="147525"/>
                </a:lnTo>
                <a:cubicBezTo>
                  <a:pt x="324397" y="198745"/>
                  <a:pt x="365915" y="240263"/>
                  <a:pt x="417135" y="240263"/>
                </a:cubicBezTo>
                <a:lnTo>
                  <a:pt x="553322" y="240263"/>
                </a:lnTo>
                <a:lnTo>
                  <a:pt x="556420" y="243507"/>
                </a:lnTo>
                <a:lnTo>
                  <a:pt x="556420" y="586169"/>
                </a:lnTo>
                <a:cubicBezTo>
                  <a:pt x="556420" y="637388"/>
                  <a:pt x="514902" y="678906"/>
                  <a:pt x="463682" y="678906"/>
                </a:cubicBezTo>
                <a:lnTo>
                  <a:pt x="92739" y="678906"/>
                </a:lnTo>
                <a:lnTo>
                  <a:pt x="92734" y="678905"/>
                </a:lnTo>
                <a:lnTo>
                  <a:pt x="59501" y="678905"/>
                </a:lnTo>
                <a:lnTo>
                  <a:pt x="279110" y="401696"/>
                </a:lnTo>
                <a:cubicBezTo>
                  <a:pt x="299695" y="375712"/>
                  <a:pt x="295318" y="337962"/>
                  <a:pt x="269334" y="317378"/>
                </a:cubicBezTo>
                <a:lnTo>
                  <a:pt x="269335" y="317377"/>
                </a:lnTo>
                <a:cubicBezTo>
                  <a:pt x="256344" y="307085"/>
                  <a:pt x="240410" y="303033"/>
                  <a:pt x="225152" y="304802"/>
                </a:cubicBezTo>
                <a:cubicBezTo>
                  <a:pt x="209893" y="306571"/>
                  <a:pt x="195309" y="314162"/>
                  <a:pt x="185017" y="327153"/>
                </a:cubicBezTo>
                <a:lnTo>
                  <a:pt x="836" y="559643"/>
                </a:lnTo>
                <a:lnTo>
                  <a:pt x="836" y="286370"/>
                </a:lnTo>
                <a:lnTo>
                  <a:pt x="0" y="286201"/>
                </a:lnTo>
                <a:lnTo>
                  <a:pt x="0" y="92738"/>
                </a:lnTo>
                <a:cubicBezTo>
                  <a:pt x="0" y="41518"/>
                  <a:pt x="41519" y="0"/>
                  <a:pt x="92739" y="0"/>
                </a:cubicBezTo>
                <a:close/>
              </a:path>
            </a:pathLst>
          </a:custGeom>
          <a:solidFill>
            <a:srgbClr val="2950B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3199"/>
          </a:p>
        </xdr:txBody>
      </xdr:sp>
      <xdr:grpSp>
        <xdr:nvGrpSpPr>
          <xdr:cNvPr id="32" name="Group 31">
            <a:extLst>
              <a:ext uri="{FF2B5EF4-FFF2-40B4-BE49-F238E27FC236}">
                <a16:creationId xmlns:a16="http://schemas.microsoft.com/office/drawing/2014/main" id="{00000000-0008-0000-0400-000020000000}"/>
              </a:ext>
            </a:extLst>
          </xdr:cNvPr>
          <xdr:cNvGrpSpPr/>
        </xdr:nvGrpSpPr>
        <xdr:grpSpPr>
          <a:xfrm>
            <a:off x="2227648" y="2566818"/>
            <a:ext cx="201061" cy="359352"/>
            <a:chOff x="6470288" y="1855804"/>
            <a:chExt cx="258298" cy="461654"/>
          </a:xfrm>
          <a:solidFill>
            <a:srgbClr val="2950BD"/>
          </a:solidFill>
        </xdr:grpSpPr>
        <xdr:sp macro="" textlink="">
          <xdr:nvSpPr>
            <xdr:cNvPr id="33" name="Rounded Rectangle 32">
              <a:extLst>
                <a:ext uri="{FF2B5EF4-FFF2-40B4-BE49-F238E27FC236}">
                  <a16:creationId xmlns:a16="http://schemas.microsoft.com/office/drawing/2014/main" id="{00000000-0008-0000-0400-000021000000}"/>
                </a:ext>
              </a:extLst>
            </xdr:cNvPr>
            <xdr:cNvSpPr/>
          </xdr:nvSpPr>
          <xdr:spPr>
            <a:xfrm rot="18503198">
              <a:off x="6455048" y="2043919"/>
              <a:ext cx="461654" cy="85423"/>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3199"/>
            </a:p>
          </xdr:txBody>
        </xdr:sp>
        <xdr:sp macro="" textlink="">
          <xdr:nvSpPr>
            <xdr:cNvPr id="34" name="Rounded Rectangle 33">
              <a:extLst>
                <a:ext uri="{FF2B5EF4-FFF2-40B4-BE49-F238E27FC236}">
                  <a16:creationId xmlns:a16="http://schemas.microsoft.com/office/drawing/2014/main" id="{00000000-0008-0000-0400-000022000000}"/>
                </a:ext>
              </a:extLst>
            </xdr:cNvPr>
            <xdr:cNvSpPr/>
          </xdr:nvSpPr>
          <xdr:spPr>
            <a:xfrm rot="13895427">
              <a:off x="6380098" y="2120239"/>
              <a:ext cx="265804" cy="85423"/>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3199"/>
            </a:p>
          </xdr:txBody>
        </xdr:sp>
      </xdr:grpSp>
    </xdr:grpSp>
    <xdr:clientData/>
  </xdr:twoCellAnchor>
  <xdr:twoCellAnchor>
    <xdr:from>
      <xdr:col>5</xdr:col>
      <xdr:colOff>390525</xdr:colOff>
      <xdr:row>1</xdr:row>
      <xdr:rowOff>38100</xdr:rowOff>
    </xdr:from>
    <xdr:to>
      <xdr:col>6</xdr:col>
      <xdr:colOff>152400</xdr:colOff>
      <xdr:row>1</xdr:row>
      <xdr:rowOff>485775</xdr:rowOff>
    </xdr:to>
    <xdr:sp macro="[0]!Home" textlink="">
      <xdr:nvSpPr>
        <xdr:cNvPr id="50" name="Rounded Rectangle 49">
          <a:extLst>
            <a:ext uri="{FF2B5EF4-FFF2-40B4-BE49-F238E27FC236}">
              <a16:creationId xmlns:a16="http://schemas.microsoft.com/office/drawing/2014/main" id="{00000000-0008-0000-0400-000032000000}"/>
            </a:ext>
          </a:extLst>
        </xdr:cNvPr>
        <xdr:cNvSpPr/>
      </xdr:nvSpPr>
      <xdr:spPr>
        <a:xfrm>
          <a:off x="6791325" y="371475"/>
          <a:ext cx="1038225" cy="447675"/>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2">
                  <a:lumMod val="50000"/>
                </a:schemeClr>
              </a:solidFill>
            </a:rPr>
            <a:t>     HOME</a:t>
          </a:r>
        </a:p>
      </xdr:txBody>
    </xdr:sp>
    <xdr:clientData/>
  </xdr:twoCellAnchor>
  <xdr:twoCellAnchor>
    <xdr:from>
      <xdr:col>6</xdr:col>
      <xdr:colOff>342900</xdr:colOff>
      <xdr:row>1</xdr:row>
      <xdr:rowOff>19050</xdr:rowOff>
    </xdr:from>
    <xdr:to>
      <xdr:col>7</xdr:col>
      <xdr:colOff>209550</xdr:colOff>
      <xdr:row>1</xdr:row>
      <xdr:rowOff>466725</xdr:rowOff>
    </xdr:to>
    <xdr:sp macro="[0]!Previousheet" textlink="">
      <xdr:nvSpPr>
        <xdr:cNvPr id="51" name="Rounded Rectangle 50">
          <a:extLst>
            <a:ext uri="{FF2B5EF4-FFF2-40B4-BE49-F238E27FC236}">
              <a16:creationId xmlns:a16="http://schemas.microsoft.com/office/drawing/2014/main" id="{00000000-0008-0000-0400-000033000000}"/>
            </a:ext>
          </a:extLst>
        </xdr:cNvPr>
        <xdr:cNvSpPr/>
      </xdr:nvSpPr>
      <xdr:spPr>
        <a:xfrm>
          <a:off x="8020050" y="352425"/>
          <a:ext cx="1038225" cy="447675"/>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2">
                  <a:lumMod val="50000"/>
                </a:schemeClr>
              </a:solidFill>
            </a:rPr>
            <a:t>   PREVIOUS</a:t>
          </a:r>
          <a:r>
            <a:rPr lang="en-US" sz="1100" b="1" baseline="0">
              <a:solidFill>
                <a:schemeClr val="tx2">
                  <a:lumMod val="50000"/>
                </a:schemeClr>
              </a:solidFill>
            </a:rPr>
            <a:t> </a:t>
          </a:r>
          <a:endParaRPr lang="en-US" sz="1100" b="1">
            <a:solidFill>
              <a:schemeClr val="tx2">
                <a:lumMod val="50000"/>
              </a:schemeClr>
            </a:solidFill>
          </a:endParaRPr>
        </a:p>
      </xdr:txBody>
    </xdr:sp>
    <xdr:clientData/>
  </xdr:twoCellAnchor>
  <xdr:twoCellAnchor>
    <xdr:from>
      <xdr:col>7</xdr:col>
      <xdr:colOff>390525</xdr:colOff>
      <xdr:row>1</xdr:row>
      <xdr:rowOff>19050</xdr:rowOff>
    </xdr:from>
    <xdr:to>
      <xdr:col>7</xdr:col>
      <xdr:colOff>1428750</xdr:colOff>
      <xdr:row>1</xdr:row>
      <xdr:rowOff>466725</xdr:rowOff>
    </xdr:to>
    <xdr:sp macro="[0]!Nextsheet" textlink="">
      <xdr:nvSpPr>
        <xdr:cNvPr id="52" name="Rounded Rectangle 51">
          <a:extLst>
            <a:ext uri="{FF2B5EF4-FFF2-40B4-BE49-F238E27FC236}">
              <a16:creationId xmlns:a16="http://schemas.microsoft.com/office/drawing/2014/main" id="{00000000-0008-0000-0400-000034000000}"/>
            </a:ext>
          </a:extLst>
        </xdr:cNvPr>
        <xdr:cNvSpPr/>
      </xdr:nvSpPr>
      <xdr:spPr>
        <a:xfrm>
          <a:off x="9239250" y="352425"/>
          <a:ext cx="1038225" cy="447675"/>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2">
                  <a:lumMod val="50000"/>
                </a:schemeClr>
              </a:solidFill>
            </a:rPr>
            <a:t>       NEXT</a:t>
          </a:r>
        </a:p>
      </xdr:txBody>
    </xdr:sp>
    <xdr:clientData/>
  </xdr:twoCellAnchor>
  <xdr:twoCellAnchor>
    <xdr:from>
      <xdr:col>4</xdr:col>
      <xdr:colOff>733425</xdr:colOff>
      <xdr:row>1</xdr:row>
      <xdr:rowOff>38100</xdr:rowOff>
    </xdr:from>
    <xdr:to>
      <xdr:col>5</xdr:col>
      <xdr:colOff>266699</xdr:colOff>
      <xdr:row>1</xdr:row>
      <xdr:rowOff>476250</xdr:rowOff>
    </xdr:to>
    <xdr:sp macro="[0]!Help" textlink="">
      <xdr:nvSpPr>
        <xdr:cNvPr id="13" name="Rounded Rectangle 12">
          <a:extLst>
            <a:ext uri="{FF2B5EF4-FFF2-40B4-BE49-F238E27FC236}">
              <a16:creationId xmlns:a16="http://schemas.microsoft.com/office/drawing/2014/main" id="{00000000-0008-0000-0400-00000D000000}"/>
            </a:ext>
          </a:extLst>
        </xdr:cNvPr>
        <xdr:cNvSpPr/>
      </xdr:nvSpPr>
      <xdr:spPr>
        <a:xfrm>
          <a:off x="3771900" y="371475"/>
          <a:ext cx="1085849" cy="438150"/>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chemeClr val="tx2">
                  <a:lumMod val="50000"/>
                </a:schemeClr>
              </a:solidFill>
            </a:rPr>
            <a:t>HELP</a:t>
          </a:r>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28576</xdr:colOff>
      <xdr:row>0</xdr:row>
      <xdr:rowOff>19051</xdr:rowOff>
    </xdr:from>
    <xdr:to>
      <xdr:col>0</xdr:col>
      <xdr:colOff>361950</xdr:colOff>
      <xdr:row>1</xdr:row>
      <xdr:rowOff>276225</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stretch>
          <a:fillRect/>
        </a:stretch>
      </xdr:blipFill>
      <xdr:spPr>
        <a:xfrm>
          <a:off x="28576" y="19051"/>
          <a:ext cx="333374" cy="628649"/>
        </a:xfrm>
        <a:prstGeom prst="rect">
          <a:avLst/>
        </a:prstGeom>
      </xdr:spPr>
    </xdr:pic>
    <xdr:clientData/>
  </xdr:twoCellAnchor>
  <xdr:twoCellAnchor>
    <xdr:from>
      <xdr:col>8</xdr:col>
      <xdr:colOff>123825</xdr:colOff>
      <xdr:row>2</xdr:row>
      <xdr:rowOff>66675</xdr:rowOff>
    </xdr:from>
    <xdr:to>
      <xdr:col>8</xdr:col>
      <xdr:colOff>1400175</xdr:colOff>
      <xdr:row>2</xdr:row>
      <xdr:rowOff>638175</xdr:rowOff>
    </xdr:to>
    <xdr:sp macro="[0]!Validate_Reasons" textlink="">
      <xdr:nvSpPr>
        <xdr:cNvPr id="3" name="Rounded Rectangle 2">
          <a:extLst>
            <a:ext uri="{FF2B5EF4-FFF2-40B4-BE49-F238E27FC236}">
              <a16:creationId xmlns:a16="http://schemas.microsoft.com/office/drawing/2014/main" id="{00000000-0008-0000-0500-000003000000}"/>
            </a:ext>
          </a:extLst>
        </xdr:cNvPr>
        <xdr:cNvSpPr/>
      </xdr:nvSpPr>
      <xdr:spPr>
        <a:xfrm>
          <a:off x="10515600" y="781050"/>
          <a:ext cx="1276350" cy="571500"/>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2">
                  <a:lumMod val="50000"/>
                </a:schemeClr>
              </a:solidFill>
            </a:rPr>
            <a:t>Validate </a:t>
          </a:r>
        </a:p>
        <a:p>
          <a:pPr algn="l"/>
          <a:r>
            <a:rPr lang="en-US" sz="1100" b="1">
              <a:solidFill>
                <a:schemeClr val="tx2">
                  <a:lumMod val="50000"/>
                </a:schemeClr>
              </a:solidFill>
            </a:rPr>
            <a:t>Sheet</a:t>
          </a:r>
        </a:p>
      </xdr:txBody>
    </xdr:sp>
    <xdr:clientData/>
  </xdr:twoCellAnchor>
  <xdr:twoCellAnchor>
    <xdr:from>
      <xdr:col>8</xdr:col>
      <xdr:colOff>847725</xdr:colOff>
      <xdr:row>2</xdr:row>
      <xdr:rowOff>104776</xdr:rowOff>
    </xdr:from>
    <xdr:to>
      <xdr:col>8</xdr:col>
      <xdr:colOff>1276350</xdr:colOff>
      <xdr:row>2</xdr:row>
      <xdr:rowOff>542926</xdr:rowOff>
    </xdr:to>
    <xdr:grpSp>
      <xdr:nvGrpSpPr>
        <xdr:cNvPr id="4" name="Group 3">
          <a:extLst>
            <a:ext uri="{FF2B5EF4-FFF2-40B4-BE49-F238E27FC236}">
              <a16:creationId xmlns:a16="http://schemas.microsoft.com/office/drawing/2014/main" id="{00000000-0008-0000-0500-000004000000}"/>
            </a:ext>
          </a:extLst>
        </xdr:cNvPr>
        <xdr:cNvGrpSpPr/>
      </xdr:nvGrpSpPr>
      <xdr:grpSpPr>
        <a:xfrm>
          <a:off x="11530965" y="821056"/>
          <a:ext cx="428625" cy="438150"/>
          <a:chOff x="1982229" y="2092319"/>
          <a:chExt cx="1029931" cy="1029921"/>
        </a:xfrm>
      </xdr:grpSpPr>
      <xdr:sp macro="" textlink="">
        <xdr:nvSpPr>
          <xdr:cNvPr id="5" name="Oval 4">
            <a:extLst>
              <a:ext uri="{FF2B5EF4-FFF2-40B4-BE49-F238E27FC236}">
                <a16:creationId xmlns:a16="http://schemas.microsoft.com/office/drawing/2014/main" id="{00000000-0008-0000-0500-000005000000}"/>
              </a:ext>
            </a:extLst>
          </xdr:cNvPr>
          <xdr:cNvSpPr/>
        </xdr:nvSpPr>
        <xdr:spPr>
          <a:xfrm>
            <a:off x="1982229" y="2092319"/>
            <a:ext cx="1029931" cy="1029921"/>
          </a:xfrm>
          <a:prstGeom prst="ellipse">
            <a:avLst/>
          </a:prstGeom>
          <a:solidFill>
            <a:schemeClr val="bg1"/>
          </a:solidFill>
          <a:ln w="57150">
            <a:solidFill>
              <a:srgbClr val="5B7DDB"/>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2215" b="1">
              <a:solidFill>
                <a:schemeClr val="tx1">
                  <a:lumMod val="60000"/>
                  <a:lumOff val="40000"/>
                </a:schemeClr>
              </a:solidFill>
              <a:latin typeface="Arial" pitchFamily="34" charset="0"/>
              <a:cs typeface="Arial" pitchFamily="34" charset="0"/>
            </a:endParaRPr>
          </a:p>
        </xdr:txBody>
      </xdr:sp>
      <xdr:sp macro="" textlink="">
        <xdr:nvSpPr>
          <xdr:cNvPr id="6" name="Freeform 5">
            <a:extLst>
              <a:ext uri="{FF2B5EF4-FFF2-40B4-BE49-F238E27FC236}">
                <a16:creationId xmlns:a16="http://schemas.microsoft.com/office/drawing/2014/main" id="{00000000-0008-0000-0500-000006000000}"/>
              </a:ext>
            </a:extLst>
          </xdr:cNvPr>
          <xdr:cNvSpPr/>
        </xdr:nvSpPr>
        <xdr:spPr>
          <a:xfrm>
            <a:off x="2302002" y="2350498"/>
            <a:ext cx="434316" cy="528460"/>
          </a:xfrm>
          <a:custGeom>
            <a:avLst/>
            <a:gdLst>
              <a:gd name="connsiteX0" fmla="*/ 350280 w 557958"/>
              <a:gd name="connsiteY0" fmla="*/ 0 h 678906"/>
              <a:gd name="connsiteX1" fmla="*/ 557958 w 557958"/>
              <a:gd name="connsiteY1" fmla="*/ 213145 h 678906"/>
              <a:gd name="connsiteX2" fmla="*/ 557958 w 557958"/>
              <a:gd name="connsiteY2" fmla="*/ 215074 h 678906"/>
              <a:gd name="connsiteX3" fmla="*/ 433296 w 557958"/>
              <a:gd name="connsiteY3" fmla="*/ 215074 h 678906"/>
              <a:gd name="connsiteX4" fmla="*/ 350280 w 557958"/>
              <a:gd name="connsiteY4" fmla="*/ 132059 h 678906"/>
              <a:gd name="connsiteX5" fmla="*/ 92739 w 557958"/>
              <a:gd name="connsiteY5" fmla="*/ 0 h 678906"/>
              <a:gd name="connsiteX6" fmla="*/ 323926 w 557958"/>
              <a:gd name="connsiteY6" fmla="*/ 0 h 678906"/>
              <a:gd name="connsiteX7" fmla="*/ 324397 w 557958"/>
              <a:gd name="connsiteY7" fmla="*/ 493 h 678906"/>
              <a:gd name="connsiteX8" fmla="*/ 324397 w 557958"/>
              <a:gd name="connsiteY8" fmla="*/ 147525 h 678906"/>
              <a:gd name="connsiteX9" fmla="*/ 417135 w 557958"/>
              <a:gd name="connsiteY9" fmla="*/ 240263 h 678906"/>
              <a:gd name="connsiteX10" fmla="*/ 553322 w 557958"/>
              <a:gd name="connsiteY10" fmla="*/ 240263 h 678906"/>
              <a:gd name="connsiteX11" fmla="*/ 556420 w 557958"/>
              <a:gd name="connsiteY11" fmla="*/ 243507 h 678906"/>
              <a:gd name="connsiteX12" fmla="*/ 556420 w 557958"/>
              <a:gd name="connsiteY12" fmla="*/ 586169 h 678906"/>
              <a:gd name="connsiteX13" fmla="*/ 463682 w 557958"/>
              <a:gd name="connsiteY13" fmla="*/ 678906 h 678906"/>
              <a:gd name="connsiteX14" fmla="*/ 92739 w 557958"/>
              <a:gd name="connsiteY14" fmla="*/ 678906 h 678906"/>
              <a:gd name="connsiteX15" fmla="*/ 92734 w 557958"/>
              <a:gd name="connsiteY15" fmla="*/ 678905 h 678906"/>
              <a:gd name="connsiteX16" fmla="*/ 59501 w 557958"/>
              <a:gd name="connsiteY16" fmla="*/ 678905 h 678906"/>
              <a:gd name="connsiteX17" fmla="*/ 279110 w 557958"/>
              <a:gd name="connsiteY17" fmla="*/ 401696 h 678906"/>
              <a:gd name="connsiteX18" fmla="*/ 269334 w 557958"/>
              <a:gd name="connsiteY18" fmla="*/ 317378 h 678906"/>
              <a:gd name="connsiteX19" fmla="*/ 269335 w 557958"/>
              <a:gd name="connsiteY19" fmla="*/ 317377 h 678906"/>
              <a:gd name="connsiteX20" fmla="*/ 225152 w 557958"/>
              <a:gd name="connsiteY20" fmla="*/ 304802 h 678906"/>
              <a:gd name="connsiteX21" fmla="*/ 185017 w 557958"/>
              <a:gd name="connsiteY21" fmla="*/ 327153 h 678906"/>
              <a:gd name="connsiteX22" fmla="*/ 836 w 557958"/>
              <a:gd name="connsiteY22" fmla="*/ 559643 h 678906"/>
              <a:gd name="connsiteX23" fmla="*/ 836 w 557958"/>
              <a:gd name="connsiteY23" fmla="*/ 286370 h 678906"/>
              <a:gd name="connsiteX24" fmla="*/ 0 w 557958"/>
              <a:gd name="connsiteY24" fmla="*/ 286201 h 678906"/>
              <a:gd name="connsiteX25" fmla="*/ 0 w 557958"/>
              <a:gd name="connsiteY25" fmla="*/ 92738 h 678906"/>
              <a:gd name="connsiteX26" fmla="*/ 92739 w 557958"/>
              <a:gd name="connsiteY26" fmla="*/ 0 h 67890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Lst>
            <a:rect l="l" t="t" r="r" b="b"/>
            <a:pathLst>
              <a:path w="557958" h="678906">
                <a:moveTo>
                  <a:pt x="350280" y="0"/>
                </a:moveTo>
                <a:lnTo>
                  <a:pt x="557958" y="213145"/>
                </a:lnTo>
                <a:lnTo>
                  <a:pt x="557958" y="215074"/>
                </a:lnTo>
                <a:lnTo>
                  <a:pt x="433296" y="215074"/>
                </a:lnTo>
                <a:cubicBezTo>
                  <a:pt x="387445" y="215074"/>
                  <a:pt x="350280" y="177908"/>
                  <a:pt x="350280" y="132059"/>
                </a:cubicBezTo>
                <a:close/>
                <a:moveTo>
                  <a:pt x="92739" y="0"/>
                </a:moveTo>
                <a:lnTo>
                  <a:pt x="323926" y="0"/>
                </a:lnTo>
                <a:lnTo>
                  <a:pt x="324397" y="493"/>
                </a:lnTo>
                <a:lnTo>
                  <a:pt x="324397" y="147525"/>
                </a:lnTo>
                <a:cubicBezTo>
                  <a:pt x="324397" y="198745"/>
                  <a:pt x="365915" y="240263"/>
                  <a:pt x="417135" y="240263"/>
                </a:cubicBezTo>
                <a:lnTo>
                  <a:pt x="553322" y="240263"/>
                </a:lnTo>
                <a:lnTo>
                  <a:pt x="556420" y="243507"/>
                </a:lnTo>
                <a:lnTo>
                  <a:pt x="556420" y="586169"/>
                </a:lnTo>
                <a:cubicBezTo>
                  <a:pt x="556420" y="637388"/>
                  <a:pt x="514902" y="678906"/>
                  <a:pt x="463682" y="678906"/>
                </a:cubicBezTo>
                <a:lnTo>
                  <a:pt x="92739" y="678906"/>
                </a:lnTo>
                <a:lnTo>
                  <a:pt x="92734" y="678905"/>
                </a:lnTo>
                <a:lnTo>
                  <a:pt x="59501" y="678905"/>
                </a:lnTo>
                <a:lnTo>
                  <a:pt x="279110" y="401696"/>
                </a:lnTo>
                <a:cubicBezTo>
                  <a:pt x="299695" y="375712"/>
                  <a:pt x="295318" y="337962"/>
                  <a:pt x="269334" y="317378"/>
                </a:cubicBezTo>
                <a:lnTo>
                  <a:pt x="269335" y="317377"/>
                </a:lnTo>
                <a:cubicBezTo>
                  <a:pt x="256344" y="307085"/>
                  <a:pt x="240410" y="303033"/>
                  <a:pt x="225152" y="304802"/>
                </a:cubicBezTo>
                <a:cubicBezTo>
                  <a:pt x="209893" y="306571"/>
                  <a:pt x="195309" y="314162"/>
                  <a:pt x="185017" y="327153"/>
                </a:cubicBezTo>
                <a:lnTo>
                  <a:pt x="836" y="559643"/>
                </a:lnTo>
                <a:lnTo>
                  <a:pt x="836" y="286370"/>
                </a:lnTo>
                <a:lnTo>
                  <a:pt x="0" y="286201"/>
                </a:lnTo>
                <a:lnTo>
                  <a:pt x="0" y="92738"/>
                </a:lnTo>
                <a:cubicBezTo>
                  <a:pt x="0" y="41518"/>
                  <a:pt x="41519" y="0"/>
                  <a:pt x="92739" y="0"/>
                </a:cubicBezTo>
                <a:close/>
              </a:path>
            </a:pathLst>
          </a:custGeom>
          <a:solidFill>
            <a:srgbClr val="2950B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3199"/>
          </a:p>
        </xdr:txBody>
      </xdr:sp>
      <xdr:grpSp>
        <xdr:nvGrpSpPr>
          <xdr:cNvPr id="7" name="Group 6">
            <a:extLst>
              <a:ext uri="{FF2B5EF4-FFF2-40B4-BE49-F238E27FC236}">
                <a16:creationId xmlns:a16="http://schemas.microsoft.com/office/drawing/2014/main" id="{00000000-0008-0000-0500-000007000000}"/>
              </a:ext>
            </a:extLst>
          </xdr:cNvPr>
          <xdr:cNvGrpSpPr/>
        </xdr:nvGrpSpPr>
        <xdr:grpSpPr>
          <a:xfrm>
            <a:off x="2227648" y="2566818"/>
            <a:ext cx="201061" cy="359352"/>
            <a:chOff x="6470288" y="1855804"/>
            <a:chExt cx="258298" cy="461654"/>
          </a:xfrm>
          <a:solidFill>
            <a:srgbClr val="2950BD"/>
          </a:solidFill>
        </xdr:grpSpPr>
        <xdr:sp macro="" textlink="">
          <xdr:nvSpPr>
            <xdr:cNvPr id="8" name="Rounded Rectangle 7">
              <a:extLst>
                <a:ext uri="{FF2B5EF4-FFF2-40B4-BE49-F238E27FC236}">
                  <a16:creationId xmlns:a16="http://schemas.microsoft.com/office/drawing/2014/main" id="{00000000-0008-0000-0500-000008000000}"/>
                </a:ext>
              </a:extLst>
            </xdr:cNvPr>
            <xdr:cNvSpPr/>
          </xdr:nvSpPr>
          <xdr:spPr>
            <a:xfrm rot="18503198">
              <a:off x="6455048" y="2043919"/>
              <a:ext cx="461654" cy="85423"/>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3199"/>
            </a:p>
          </xdr:txBody>
        </xdr:sp>
        <xdr:sp macro="" textlink="">
          <xdr:nvSpPr>
            <xdr:cNvPr id="9" name="Rounded Rectangle 8">
              <a:extLst>
                <a:ext uri="{FF2B5EF4-FFF2-40B4-BE49-F238E27FC236}">
                  <a16:creationId xmlns:a16="http://schemas.microsoft.com/office/drawing/2014/main" id="{00000000-0008-0000-0500-000009000000}"/>
                </a:ext>
              </a:extLst>
            </xdr:cNvPr>
            <xdr:cNvSpPr/>
          </xdr:nvSpPr>
          <xdr:spPr>
            <a:xfrm rot="13895427">
              <a:off x="6380098" y="2120239"/>
              <a:ext cx="265804" cy="85423"/>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3199"/>
            </a:p>
          </xdr:txBody>
        </xdr:sp>
      </xdr:grpSp>
    </xdr:grpSp>
    <xdr:clientData/>
  </xdr:twoCellAnchor>
  <xdr:twoCellAnchor>
    <xdr:from>
      <xdr:col>6</xdr:col>
      <xdr:colOff>476250</xdr:colOff>
      <xdr:row>0</xdr:row>
      <xdr:rowOff>66675</xdr:rowOff>
    </xdr:from>
    <xdr:to>
      <xdr:col>7</xdr:col>
      <xdr:colOff>238125</xdr:colOff>
      <xdr:row>1</xdr:row>
      <xdr:rowOff>180975</xdr:rowOff>
    </xdr:to>
    <xdr:sp macro="[0]!Home" textlink="">
      <xdr:nvSpPr>
        <xdr:cNvPr id="10" name="Rounded Rectangle 9">
          <a:extLst>
            <a:ext uri="{FF2B5EF4-FFF2-40B4-BE49-F238E27FC236}">
              <a16:creationId xmlns:a16="http://schemas.microsoft.com/office/drawing/2014/main" id="{00000000-0008-0000-0500-00000A000000}"/>
            </a:ext>
          </a:extLst>
        </xdr:cNvPr>
        <xdr:cNvSpPr/>
      </xdr:nvSpPr>
      <xdr:spPr>
        <a:xfrm>
          <a:off x="8420100" y="66675"/>
          <a:ext cx="1038225" cy="485775"/>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2">
                  <a:lumMod val="50000"/>
                </a:schemeClr>
              </a:solidFill>
            </a:rPr>
            <a:t>     HOME</a:t>
          </a:r>
        </a:p>
      </xdr:txBody>
    </xdr:sp>
    <xdr:clientData/>
  </xdr:twoCellAnchor>
  <xdr:twoCellAnchor>
    <xdr:from>
      <xdr:col>7</xdr:col>
      <xdr:colOff>342900</xdr:colOff>
      <xdr:row>0</xdr:row>
      <xdr:rowOff>76200</xdr:rowOff>
    </xdr:from>
    <xdr:to>
      <xdr:col>8</xdr:col>
      <xdr:colOff>209550</xdr:colOff>
      <xdr:row>1</xdr:row>
      <xdr:rowOff>190500</xdr:rowOff>
    </xdr:to>
    <xdr:sp macro="[0]!Previousheet" textlink="">
      <xdr:nvSpPr>
        <xdr:cNvPr id="11" name="Rounded Rectangle 10">
          <a:extLst>
            <a:ext uri="{FF2B5EF4-FFF2-40B4-BE49-F238E27FC236}">
              <a16:creationId xmlns:a16="http://schemas.microsoft.com/office/drawing/2014/main" id="{00000000-0008-0000-0500-00000B000000}"/>
            </a:ext>
          </a:extLst>
        </xdr:cNvPr>
        <xdr:cNvSpPr/>
      </xdr:nvSpPr>
      <xdr:spPr>
        <a:xfrm>
          <a:off x="9563100" y="76200"/>
          <a:ext cx="1038225" cy="485775"/>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2">
                  <a:lumMod val="50000"/>
                </a:schemeClr>
              </a:solidFill>
            </a:rPr>
            <a:t>   PREVIOUS</a:t>
          </a:r>
          <a:r>
            <a:rPr lang="en-US" sz="1100" b="1" baseline="0">
              <a:solidFill>
                <a:schemeClr val="tx2">
                  <a:lumMod val="50000"/>
                </a:schemeClr>
              </a:solidFill>
            </a:rPr>
            <a:t> </a:t>
          </a:r>
          <a:endParaRPr lang="en-US" sz="1100" b="1">
            <a:solidFill>
              <a:schemeClr val="tx2">
                <a:lumMod val="50000"/>
              </a:schemeClr>
            </a:solidFill>
          </a:endParaRPr>
        </a:p>
      </xdr:txBody>
    </xdr:sp>
    <xdr:clientData/>
  </xdr:twoCellAnchor>
  <xdr:twoCellAnchor>
    <xdr:from>
      <xdr:col>8</xdr:col>
      <xdr:colOff>371475</xdr:colOff>
      <xdr:row>0</xdr:row>
      <xdr:rowOff>76200</xdr:rowOff>
    </xdr:from>
    <xdr:to>
      <xdr:col>8</xdr:col>
      <xdr:colOff>1409700</xdr:colOff>
      <xdr:row>1</xdr:row>
      <xdr:rowOff>190500</xdr:rowOff>
    </xdr:to>
    <xdr:sp macro="[0]!Nextsheet" textlink="">
      <xdr:nvSpPr>
        <xdr:cNvPr id="12" name="Rounded Rectangle 11">
          <a:extLst>
            <a:ext uri="{FF2B5EF4-FFF2-40B4-BE49-F238E27FC236}">
              <a16:creationId xmlns:a16="http://schemas.microsoft.com/office/drawing/2014/main" id="{00000000-0008-0000-0500-00000C000000}"/>
            </a:ext>
          </a:extLst>
        </xdr:cNvPr>
        <xdr:cNvSpPr/>
      </xdr:nvSpPr>
      <xdr:spPr>
        <a:xfrm>
          <a:off x="10763250" y="76200"/>
          <a:ext cx="1038225" cy="485775"/>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2">
                  <a:lumMod val="50000"/>
                </a:schemeClr>
              </a:solidFill>
            </a:rPr>
            <a:t>       NEXT</a:t>
          </a:r>
        </a:p>
      </xdr:txBody>
    </xdr:sp>
    <xdr:clientData/>
  </xdr:twoCellAnchor>
  <xdr:twoCellAnchor>
    <xdr:from>
      <xdr:col>5</xdr:col>
      <xdr:colOff>733425</xdr:colOff>
      <xdr:row>0</xdr:row>
      <xdr:rowOff>66675</xdr:rowOff>
    </xdr:from>
    <xdr:to>
      <xdr:col>6</xdr:col>
      <xdr:colOff>342900</xdr:colOff>
      <xdr:row>1</xdr:row>
      <xdr:rowOff>190500</xdr:rowOff>
    </xdr:to>
    <xdr:sp macro="[0]!Help" textlink="">
      <xdr:nvSpPr>
        <xdr:cNvPr id="13" name="Rounded Rectangle 12">
          <a:extLst>
            <a:ext uri="{FF2B5EF4-FFF2-40B4-BE49-F238E27FC236}">
              <a16:creationId xmlns:a16="http://schemas.microsoft.com/office/drawing/2014/main" id="{00000000-0008-0000-0500-00000D000000}"/>
            </a:ext>
          </a:extLst>
        </xdr:cNvPr>
        <xdr:cNvSpPr/>
      </xdr:nvSpPr>
      <xdr:spPr>
        <a:xfrm>
          <a:off x="7134225" y="66675"/>
          <a:ext cx="1152525" cy="495300"/>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chemeClr val="tx2">
                  <a:lumMod val="50000"/>
                </a:schemeClr>
              </a:solidFill>
            </a:rPr>
            <a:t>HELP</a:t>
          </a:r>
        </a:p>
      </xdr:txBody>
    </xdr:sp>
    <xdr:clientData/>
  </xdr:twoCellAnchor>
  <xdr:twoCellAnchor>
    <xdr:from>
      <xdr:col>11</xdr:col>
      <xdr:colOff>95250</xdr:colOff>
      <xdr:row>4</xdr:row>
      <xdr:rowOff>190500</xdr:rowOff>
    </xdr:from>
    <xdr:to>
      <xdr:col>12</xdr:col>
      <xdr:colOff>152400</xdr:colOff>
      <xdr:row>4</xdr:row>
      <xdr:rowOff>533400</xdr:rowOff>
    </xdr:to>
    <xdr:sp macro="[0]!Add_reasons_sheet" textlink="">
      <xdr:nvSpPr>
        <xdr:cNvPr id="14" name="Rounded Rectangle 13">
          <a:extLst>
            <a:ext uri="{FF2B5EF4-FFF2-40B4-BE49-F238E27FC236}">
              <a16:creationId xmlns:a16="http://schemas.microsoft.com/office/drawing/2014/main" id="{00000000-0008-0000-0500-00000F000000}"/>
            </a:ext>
          </a:extLst>
        </xdr:cNvPr>
        <xdr:cNvSpPr/>
      </xdr:nvSpPr>
      <xdr:spPr>
        <a:xfrm>
          <a:off x="17916525" y="1895475"/>
          <a:ext cx="666750" cy="342900"/>
        </a:xfrm>
        <a:prstGeom prst="roundRect">
          <a:avLst/>
        </a:prstGeom>
        <a:solidFill>
          <a:schemeClr val="accent1">
            <a:lumMod val="50000"/>
          </a:schemeClr>
        </a:solidFill>
        <a:ln>
          <a:solidFill>
            <a:schemeClr val="accent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1"/>
              </a:solidFill>
            </a:rPr>
            <a:t>Add</a:t>
          </a:r>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28576</xdr:colOff>
      <xdr:row>0</xdr:row>
      <xdr:rowOff>19051</xdr:rowOff>
    </xdr:from>
    <xdr:to>
      <xdr:col>0</xdr:col>
      <xdr:colOff>361950</xdr:colOff>
      <xdr:row>1</xdr:row>
      <xdr:rowOff>200025</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stretch>
          <a:fillRect/>
        </a:stretch>
      </xdr:blipFill>
      <xdr:spPr>
        <a:xfrm>
          <a:off x="28576" y="19051"/>
          <a:ext cx="333374" cy="514349"/>
        </a:xfrm>
        <a:prstGeom prst="rect">
          <a:avLst/>
        </a:prstGeom>
      </xdr:spPr>
    </xdr:pic>
    <xdr:clientData/>
  </xdr:twoCellAnchor>
  <xdr:twoCellAnchor>
    <xdr:from>
      <xdr:col>8</xdr:col>
      <xdr:colOff>123825</xdr:colOff>
      <xdr:row>2</xdr:row>
      <xdr:rowOff>66675</xdr:rowOff>
    </xdr:from>
    <xdr:to>
      <xdr:col>8</xdr:col>
      <xdr:colOff>1400175</xdr:colOff>
      <xdr:row>2</xdr:row>
      <xdr:rowOff>638175</xdr:rowOff>
    </xdr:to>
    <xdr:sp macro="[0]!Validate_Table9" textlink="">
      <xdr:nvSpPr>
        <xdr:cNvPr id="28" name="Rounded Rectangle 27">
          <a:extLst>
            <a:ext uri="{FF2B5EF4-FFF2-40B4-BE49-F238E27FC236}">
              <a16:creationId xmlns:a16="http://schemas.microsoft.com/office/drawing/2014/main" id="{00000000-0008-0000-0600-00001C000000}"/>
            </a:ext>
          </a:extLst>
        </xdr:cNvPr>
        <xdr:cNvSpPr/>
      </xdr:nvSpPr>
      <xdr:spPr>
        <a:xfrm>
          <a:off x="10515600" y="609600"/>
          <a:ext cx="1276350" cy="571500"/>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2">
                  <a:lumMod val="50000"/>
                </a:schemeClr>
              </a:solidFill>
            </a:rPr>
            <a:t>Validate </a:t>
          </a:r>
        </a:p>
        <a:p>
          <a:pPr algn="l"/>
          <a:r>
            <a:rPr lang="en-US" sz="1100" b="1">
              <a:solidFill>
                <a:schemeClr val="tx2">
                  <a:lumMod val="50000"/>
                </a:schemeClr>
              </a:solidFill>
            </a:rPr>
            <a:t>Sheet</a:t>
          </a:r>
        </a:p>
      </xdr:txBody>
    </xdr:sp>
    <xdr:clientData/>
  </xdr:twoCellAnchor>
  <xdr:twoCellAnchor>
    <xdr:from>
      <xdr:col>8</xdr:col>
      <xdr:colOff>847725</xdr:colOff>
      <xdr:row>2</xdr:row>
      <xdr:rowOff>104776</xdr:rowOff>
    </xdr:from>
    <xdr:to>
      <xdr:col>8</xdr:col>
      <xdr:colOff>1276350</xdr:colOff>
      <xdr:row>2</xdr:row>
      <xdr:rowOff>542926</xdr:rowOff>
    </xdr:to>
    <xdr:grpSp>
      <xdr:nvGrpSpPr>
        <xdr:cNvPr id="29" name="Group 28">
          <a:extLst>
            <a:ext uri="{FF2B5EF4-FFF2-40B4-BE49-F238E27FC236}">
              <a16:creationId xmlns:a16="http://schemas.microsoft.com/office/drawing/2014/main" id="{00000000-0008-0000-0600-00001D000000}"/>
            </a:ext>
          </a:extLst>
        </xdr:cNvPr>
        <xdr:cNvGrpSpPr/>
      </xdr:nvGrpSpPr>
      <xdr:grpSpPr>
        <a:xfrm>
          <a:off x="11936830" y="726408"/>
          <a:ext cx="428625" cy="438150"/>
          <a:chOff x="1982229" y="2092319"/>
          <a:chExt cx="1029931" cy="1029921"/>
        </a:xfrm>
      </xdr:grpSpPr>
      <xdr:sp macro="" textlink="">
        <xdr:nvSpPr>
          <xdr:cNvPr id="30" name="Oval 29">
            <a:extLst>
              <a:ext uri="{FF2B5EF4-FFF2-40B4-BE49-F238E27FC236}">
                <a16:creationId xmlns:a16="http://schemas.microsoft.com/office/drawing/2014/main" id="{00000000-0008-0000-0600-00001E000000}"/>
              </a:ext>
            </a:extLst>
          </xdr:cNvPr>
          <xdr:cNvSpPr/>
        </xdr:nvSpPr>
        <xdr:spPr>
          <a:xfrm>
            <a:off x="1982229" y="2092319"/>
            <a:ext cx="1029931" cy="1029921"/>
          </a:xfrm>
          <a:prstGeom prst="ellipse">
            <a:avLst/>
          </a:prstGeom>
          <a:solidFill>
            <a:schemeClr val="bg1"/>
          </a:solidFill>
          <a:ln w="57150">
            <a:solidFill>
              <a:srgbClr val="5B7DDB"/>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2215" b="1">
              <a:solidFill>
                <a:schemeClr val="tx1">
                  <a:lumMod val="60000"/>
                  <a:lumOff val="40000"/>
                </a:schemeClr>
              </a:solidFill>
              <a:latin typeface="Arial" pitchFamily="34" charset="0"/>
              <a:cs typeface="Arial" pitchFamily="34" charset="0"/>
            </a:endParaRPr>
          </a:p>
        </xdr:txBody>
      </xdr:sp>
      <xdr:sp macro="" textlink="">
        <xdr:nvSpPr>
          <xdr:cNvPr id="31" name="Freeform 30">
            <a:extLst>
              <a:ext uri="{FF2B5EF4-FFF2-40B4-BE49-F238E27FC236}">
                <a16:creationId xmlns:a16="http://schemas.microsoft.com/office/drawing/2014/main" id="{00000000-0008-0000-0600-00001F000000}"/>
              </a:ext>
            </a:extLst>
          </xdr:cNvPr>
          <xdr:cNvSpPr/>
        </xdr:nvSpPr>
        <xdr:spPr>
          <a:xfrm>
            <a:off x="2302002" y="2350498"/>
            <a:ext cx="434316" cy="528460"/>
          </a:xfrm>
          <a:custGeom>
            <a:avLst/>
            <a:gdLst>
              <a:gd name="connsiteX0" fmla="*/ 350280 w 557958"/>
              <a:gd name="connsiteY0" fmla="*/ 0 h 678906"/>
              <a:gd name="connsiteX1" fmla="*/ 557958 w 557958"/>
              <a:gd name="connsiteY1" fmla="*/ 213145 h 678906"/>
              <a:gd name="connsiteX2" fmla="*/ 557958 w 557958"/>
              <a:gd name="connsiteY2" fmla="*/ 215074 h 678906"/>
              <a:gd name="connsiteX3" fmla="*/ 433296 w 557958"/>
              <a:gd name="connsiteY3" fmla="*/ 215074 h 678906"/>
              <a:gd name="connsiteX4" fmla="*/ 350280 w 557958"/>
              <a:gd name="connsiteY4" fmla="*/ 132059 h 678906"/>
              <a:gd name="connsiteX5" fmla="*/ 92739 w 557958"/>
              <a:gd name="connsiteY5" fmla="*/ 0 h 678906"/>
              <a:gd name="connsiteX6" fmla="*/ 323926 w 557958"/>
              <a:gd name="connsiteY6" fmla="*/ 0 h 678906"/>
              <a:gd name="connsiteX7" fmla="*/ 324397 w 557958"/>
              <a:gd name="connsiteY7" fmla="*/ 493 h 678906"/>
              <a:gd name="connsiteX8" fmla="*/ 324397 w 557958"/>
              <a:gd name="connsiteY8" fmla="*/ 147525 h 678906"/>
              <a:gd name="connsiteX9" fmla="*/ 417135 w 557958"/>
              <a:gd name="connsiteY9" fmla="*/ 240263 h 678906"/>
              <a:gd name="connsiteX10" fmla="*/ 553322 w 557958"/>
              <a:gd name="connsiteY10" fmla="*/ 240263 h 678906"/>
              <a:gd name="connsiteX11" fmla="*/ 556420 w 557958"/>
              <a:gd name="connsiteY11" fmla="*/ 243507 h 678906"/>
              <a:gd name="connsiteX12" fmla="*/ 556420 w 557958"/>
              <a:gd name="connsiteY12" fmla="*/ 586169 h 678906"/>
              <a:gd name="connsiteX13" fmla="*/ 463682 w 557958"/>
              <a:gd name="connsiteY13" fmla="*/ 678906 h 678906"/>
              <a:gd name="connsiteX14" fmla="*/ 92739 w 557958"/>
              <a:gd name="connsiteY14" fmla="*/ 678906 h 678906"/>
              <a:gd name="connsiteX15" fmla="*/ 92734 w 557958"/>
              <a:gd name="connsiteY15" fmla="*/ 678905 h 678906"/>
              <a:gd name="connsiteX16" fmla="*/ 59501 w 557958"/>
              <a:gd name="connsiteY16" fmla="*/ 678905 h 678906"/>
              <a:gd name="connsiteX17" fmla="*/ 279110 w 557958"/>
              <a:gd name="connsiteY17" fmla="*/ 401696 h 678906"/>
              <a:gd name="connsiteX18" fmla="*/ 269334 w 557958"/>
              <a:gd name="connsiteY18" fmla="*/ 317378 h 678906"/>
              <a:gd name="connsiteX19" fmla="*/ 269335 w 557958"/>
              <a:gd name="connsiteY19" fmla="*/ 317377 h 678906"/>
              <a:gd name="connsiteX20" fmla="*/ 225152 w 557958"/>
              <a:gd name="connsiteY20" fmla="*/ 304802 h 678906"/>
              <a:gd name="connsiteX21" fmla="*/ 185017 w 557958"/>
              <a:gd name="connsiteY21" fmla="*/ 327153 h 678906"/>
              <a:gd name="connsiteX22" fmla="*/ 836 w 557958"/>
              <a:gd name="connsiteY22" fmla="*/ 559643 h 678906"/>
              <a:gd name="connsiteX23" fmla="*/ 836 w 557958"/>
              <a:gd name="connsiteY23" fmla="*/ 286370 h 678906"/>
              <a:gd name="connsiteX24" fmla="*/ 0 w 557958"/>
              <a:gd name="connsiteY24" fmla="*/ 286201 h 678906"/>
              <a:gd name="connsiteX25" fmla="*/ 0 w 557958"/>
              <a:gd name="connsiteY25" fmla="*/ 92738 h 678906"/>
              <a:gd name="connsiteX26" fmla="*/ 92739 w 557958"/>
              <a:gd name="connsiteY26" fmla="*/ 0 h 67890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Lst>
            <a:rect l="l" t="t" r="r" b="b"/>
            <a:pathLst>
              <a:path w="557958" h="678906">
                <a:moveTo>
                  <a:pt x="350280" y="0"/>
                </a:moveTo>
                <a:lnTo>
                  <a:pt x="557958" y="213145"/>
                </a:lnTo>
                <a:lnTo>
                  <a:pt x="557958" y="215074"/>
                </a:lnTo>
                <a:lnTo>
                  <a:pt x="433296" y="215074"/>
                </a:lnTo>
                <a:cubicBezTo>
                  <a:pt x="387445" y="215074"/>
                  <a:pt x="350280" y="177908"/>
                  <a:pt x="350280" y="132059"/>
                </a:cubicBezTo>
                <a:close/>
                <a:moveTo>
                  <a:pt x="92739" y="0"/>
                </a:moveTo>
                <a:lnTo>
                  <a:pt x="323926" y="0"/>
                </a:lnTo>
                <a:lnTo>
                  <a:pt x="324397" y="493"/>
                </a:lnTo>
                <a:lnTo>
                  <a:pt x="324397" y="147525"/>
                </a:lnTo>
                <a:cubicBezTo>
                  <a:pt x="324397" y="198745"/>
                  <a:pt x="365915" y="240263"/>
                  <a:pt x="417135" y="240263"/>
                </a:cubicBezTo>
                <a:lnTo>
                  <a:pt x="553322" y="240263"/>
                </a:lnTo>
                <a:lnTo>
                  <a:pt x="556420" y="243507"/>
                </a:lnTo>
                <a:lnTo>
                  <a:pt x="556420" y="586169"/>
                </a:lnTo>
                <a:cubicBezTo>
                  <a:pt x="556420" y="637388"/>
                  <a:pt x="514902" y="678906"/>
                  <a:pt x="463682" y="678906"/>
                </a:cubicBezTo>
                <a:lnTo>
                  <a:pt x="92739" y="678906"/>
                </a:lnTo>
                <a:lnTo>
                  <a:pt x="92734" y="678905"/>
                </a:lnTo>
                <a:lnTo>
                  <a:pt x="59501" y="678905"/>
                </a:lnTo>
                <a:lnTo>
                  <a:pt x="279110" y="401696"/>
                </a:lnTo>
                <a:cubicBezTo>
                  <a:pt x="299695" y="375712"/>
                  <a:pt x="295318" y="337962"/>
                  <a:pt x="269334" y="317378"/>
                </a:cubicBezTo>
                <a:lnTo>
                  <a:pt x="269335" y="317377"/>
                </a:lnTo>
                <a:cubicBezTo>
                  <a:pt x="256344" y="307085"/>
                  <a:pt x="240410" y="303033"/>
                  <a:pt x="225152" y="304802"/>
                </a:cubicBezTo>
                <a:cubicBezTo>
                  <a:pt x="209893" y="306571"/>
                  <a:pt x="195309" y="314162"/>
                  <a:pt x="185017" y="327153"/>
                </a:cubicBezTo>
                <a:lnTo>
                  <a:pt x="836" y="559643"/>
                </a:lnTo>
                <a:lnTo>
                  <a:pt x="836" y="286370"/>
                </a:lnTo>
                <a:lnTo>
                  <a:pt x="0" y="286201"/>
                </a:lnTo>
                <a:lnTo>
                  <a:pt x="0" y="92738"/>
                </a:lnTo>
                <a:cubicBezTo>
                  <a:pt x="0" y="41518"/>
                  <a:pt x="41519" y="0"/>
                  <a:pt x="92739" y="0"/>
                </a:cubicBezTo>
                <a:close/>
              </a:path>
            </a:pathLst>
          </a:custGeom>
          <a:solidFill>
            <a:srgbClr val="2950B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3199"/>
          </a:p>
        </xdr:txBody>
      </xdr:sp>
      <xdr:grpSp>
        <xdr:nvGrpSpPr>
          <xdr:cNvPr id="32" name="Group 31">
            <a:extLst>
              <a:ext uri="{FF2B5EF4-FFF2-40B4-BE49-F238E27FC236}">
                <a16:creationId xmlns:a16="http://schemas.microsoft.com/office/drawing/2014/main" id="{00000000-0008-0000-0600-000020000000}"/>
              </a:ext>
            </a:extLst>
          </xdr:cNvPr>
          <xdr:cNvGrpSpPr/>
        </xdr:nvGrpSpPr>
        <xdr:grpSpPr>
          <a:xfrm>
            <a:off x="2227648" y="2566818"/>
            <a:ext cx="201061" cy="359352"/>
            <a:chOff x="6470288" y="1855804"/>
            <a:chExt cx="258298" cy="461654"/>
          </a:xfrm>
          <a:solidFill>
            <a:srgbClr val="2950BD"/>
          </a:solidFill>
        </xdr:grpSpPr>
        <xdr:sp macro="" textlink="">
          <xdr:nvSpPr>
            <xdr:cNvPr id="33" name="Rounded Rectangle 32">
              <a:extLst>
                <a:ext uri="{FF2B5EF4-FFF2-40B4-BE49-F238E27FC236}">
                  <a16:creationId xmlns:a16="http://schemas.microsoft.com/office/drawing/2014/main" id="{00000000-0008-0000-0600-000021000000}"/>
                </a:ext>
              </a:extLst>
            </xdr:cNvPr>
            <xdr:cNvSpPr/>
          </xdr:nvSpPr>
          <xdr:spPr>
            <a:xfrm rot="18503198">
              <a:off x="6455048" y="2043919"/>
              <a:ext cx="461654" cy="85423"/>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3199"/>
            </a:p>
          </xdr:txBody>
        </xdr:sp>
        <xdr:sp macro="" textlink="">
          <xdr:nvSpPr>
            <xdr:cNvPr id="34" name="Rounded Rectangle 33">
              <a:extLst>
                <a:ext uri="{FF2B5EF4-FFF2-40B4-BE49-F238E27FC236}">
                  <a16:creationId xmlns:a16="http://schemas.microsoft.com/office/drawing/2014/main" id="{00000000-0008-0000-0600-000022000000}"/>
                </a:ext>
              </a:extLst>
            </xdr:cNvPr>
            <xdr:cNvSpPr/>
          </xdr:nvSpPr>
          <xdr:spPr>
            <a:xfrm rot="13895427">
              <a:off x="6380098" y="2120239"/>
              <a:ext cx="265804" cy="85423"/>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3199"/>
            </a:p>
          </xdr:txBody>
        </xdr:sp>
      </xdr:grpSp>
    </xdr:grpSp>
    <xdr:clientData/>
  </xdr:twoCellAnchor>
  <xdr:twoCellAnchor>
    <xdr:from>
      <xdr:col>6</xdr:col>
      <xdr:colOff>428625</xdr:colOff>
      <xdr:row>0</xdr:row>
      <xdr:rowOff>57150</xdr:rowOff>
    </xdr:from>
    <xdr:to>
      <xdr:col>7</xdr:col>
      <xdr:colOff>190500</xdr:colOff>
      <xdr:row>1</xdr:row>
      <xdr:rowOff>171450</xdr:rowOff>
    </xdr:to>
    <xdr:sp macro="[0]!Home" textlink="">
      <xdr:nvSpPr>
        <xdr:cNvPr id="43" name="Rounded Rectangle 42">
          <a:extLst>
            <a:ext uri="{FF2B5EF4-FFF2-40B4-BE49-F238E27FC236}">
              <a16:creationId xmlns:a16="http://schemas.microsoft.com/office/drawing/2014/main" id="{00000000-0008-0000-0600-00002B000000}"/>
            </a:ext>
          </a:extLst>
        </xdr:cNvPr>
        <xdr:cNvSpPr/>
      </xdr:nvSpPr>
      <xdr:spPr>
        <a:xfrm>
          <a:off x="8372475" y="57150"/>
          <a:ext cx="1038225" cy="447675"/>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2">
                  <a:lumMod val="50000"/>
                </a:schemeClr>
              </a:solidFill>
            </a:rPr>
            <a:t>     HOME</a:t>
          </a:r>
        </a:p>
      </xdr:txBody>
    </xdr:sp>
    <xdr:clientData/>
  </xdr:twoCellAnchor>
  <xdr:twoCellAnchor>
    <xdr:from>
      <xdr:col>7</xdr:col>
      <xdr:colOff>333375</xdr:colOff>
      <xdr:row>0</xdr:row>
      <xdr:rowOff>66675</xdr:rowOff>
    </xdr:from>
    <xdr:to>
      <xdr:col>8</xdr:col>
      <xdr:colOff>200025</xdr:colOff>
      <xdr:row>1</xdr:row>
      <xdr:rowOff>180975</xdr:rowOff>
    </xdr:to>
    <xdr:sp macro="[0]!Previousheet" textlink="">
      <xdr:nvSpPr>
        <xdr:cNvPr id="44" name="Rounded Rectangle 43">
          <a:extLst>
            <a:ext uri="{FF2B5EF4-FFF2-40B4-BE49-F238E27FC236}">
              <a16:creationId xmlns:a16="http://schemas.microsoft.com/office/drawing/2014/main" id="{00000000-0008-0000-0600-00002C000000}"/>
            </a:ext>
          </a:extLst>
        </xdr:cNvPr>
        <xdr:cNvSpPr/>
      </xdr:nvSpPr>
      <xdr:spPr>
        <a:xfrm>
          <a:off x="9553575" y="66675"/>
          <a:ext cx="1038225" cy="447675"/>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2">
                  <a:lumMod val="50000"/>
                </a:schemeClr>
              </a:solidFill>
            </a:rPr>
            <a:t>   PREVIOUS</a:t>
          </a:r>
          <a:r>
            <a:rPr lang="en-US" sz="1100" b="1" baseline="0">
              <a:solidFill>
                <a:schemeClr val="tx2">
                  <a:lumMod val="50000"/>
                </a:schemeClr>
              </a:solidFill>
            </a:rPr>
            <a:t> </a:t>
          </a:r>
          <a:endParaRPr lang="en-US" sz="1100" b="1">
            <a:solidFill>
              <a:schemeClr val="tx2">
                <a:lumMod val="50000"/>
              </a:schemeClr>
            </a:solidFill>
          </a:endParaRPr>
        </a:p>
      </xdr:txBody>
    </xdr:sp>
    <xdr:clientData/>
  </xdr:twoCellAnchor>
  <xdr:twoCellAnchor>
    <xdr:from>
      <xdr:col>8</xdr:col>
      <xdr:colOff>352425</xdr:colOff>
      <xdr:row>0</xdr:row>
      <xdr:rowOff>66675</xdr:rowOff>
    </xdr:from>
    <xdr:to>
      <xdr:col>8</xdr:col>
      <xdr:colOff>1390650</xdr:colOff>
      <xdr:row>1</xdr:row>
      <xdr:rowOff>180975</xdr:rowOff>
    </xdr:to>
    <xdr:sp macro="[0]!Nextsheet" textlink="">
      <xdr:nvSpPr>
        <xdr:cNvPr id="45" name="Rounded Rectangle 44">
          <a:extLst>
            <a:ext uri="{FF2B5EF4-FFF2-40B4-BE49-F238E27FC236}">
              <a16:creationId xmlns:a16="http://schemas.microsoft.com/office/drawing/2014/main" id="{00000000-0008-0000-0600-00002D000000}"/>
            </a:ext>
          </a:extLst>
        </xdr:cNvPr>
        <xdr:cNvSpPr/>
      </xdr:nvSpPr>
      <xdr:spPr>
        <a:xfrm>
          <a:off x="10744200" y="66675"/>
          <a:ext cx="1038225" cy="447675"/>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2">
                  <a:lumMod val="50000"/>
                </a:schemeClr>
              </a:solidFill>
            </a:rPr>
            <a:t>       NEXT</a:t>
          </a:r>
        </a:p>
      </xdr:txBody>
    </xdr:sp>
    <xdr:clientData/>
  </xdr:twoCellAnchor>
  <xdr:twoCellAnchor>
    <xdr:from>
      <xdr:col>5</xdr:col>
      <xdr:colOff>685801</xdr:colOff>
      <xdr:row>0</xdr:row>
      <xdr:rowOff>66675</xdr:rowOff>
    </xdr:from>
    <xdr:to>
      <xdr:col>6</xdr:col>
      <xdr:colOff>228601</xdr:colOff>
      <xdr:row>1</xdr:row>
      <xdr:rowOff>180975</xdr:rowOff>
    </xdr:to>
    <xdr:sp macro="[0]!Help" textlink="">
      <xdr:nvSpPr>
        <xdr:cNvPr id="13" name="Rounded Rectangle 12">
          <a:extLst>
            <a:ext uri="{FF2B5EF4-FFF2-40B4-BE49-F238E27FC236}">
              <a16:creationId xmlns:a16="http://schemas.microsoft.com/office/drawing/2014/main" id="{00000000-0008-0000-0600-00000D000000}"/>
            </a:ext>
          </a:extLst>
        </xdr:cNvPr>
        <xdr:cNvSpPr/>
      </xdr:nvSpPr>
      <xdr:spPr>
        <a:xfrm>
          <a:off x="7467601" y="66675"/>
          <a:ext cx="1085850" cy="447675"/>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chemeClr val="tx2">
                  <a:lumMod val="50000"/>
                </a:schemeClr>
              </a:solidFill>
            </a:rPr>
            <a:t>HELP</a:t>
          </a:r>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28576</xdr:colOff>
      <xdr:row>0</xdr:row>
      <xdr:rowOff>19051</xdr:rowOff>
    </xdr:from>
    <xdr:to>
      <xdr:col>0</xdr:col>
      <xdr:colOff>361950</xdr:colOff>
      <xdr:row>1</xdr:row>
      <xdr:rowOff>228600</xdr:rowOff>
    </xdr:to>
    <xdr:pic>
      <xdr:nvPicPr>
        <xdr:cNvPr id="2" name="Picture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28576" y="19051"/>
          <a:ext cx="333374" cy="581024"/>
        </a:xfrm>
        <a:prstGeom prst="rect">
          <a:avLst/>
        </a:prstGeom>
      </xdr:spPr>
    </xdr:pic>
    <xdr:clientData/>
  </xdr:twoCellAnchor>
  <xdr:twoCellAnchor>
    <xdr:from>
      <xdr:col>8</xdr:col>
      <xdr:colOff>123825</xdr:colOff>
      <xdr:row>2</xdr:row>
      <xdr:rowOff>66675</xdr:rowOff>
    </xdr:from>
    <xdr:to>
      <xdr:col>8</xdr:col>
      <xdr:colOff>1400175</xdr:colOff>
      <xdr:row>2</xdr:row>
      <xdr:rowOff>638175</xdr:rowOff>
    </xdr:to>
    <xdr:sp macro="[0]!Validate_Reasons" textlink="">
      <xdr:nvSpPr>
        <xdr:cNvPr id="3" name="Rounded Rectangle 2">
          <a:extLst>
            <a:ext uri="{FF2B5EF4-FFF2-40B4-BE49-F238E27FC236}">
              <a16:creationId xmlns:a16="http://schemas.microsoft.com/office/drawing/2014/main" id="{00000000-0008-0000-0700-000003000000}"/>
            </a:ext>
          </a:extLst>
        </xdr:cNvPr>
        <xdr:cNvSpPr/>
      </xdr:nvSpPr>
      <xdr:spPr>
        <a:xfrm>
          <a:off x="10515600" y="781050"/>
          <a:ext cx="1276350" cy="571500"/>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2">
                  <a:lumMod val="50000"/>
                </a:schemeClr>
              </a:solidFill>
            </a:rPr>
            <a:t>Validate </a:t>
          </a:r>
        </a:p>
        <a:p>
          <a:pPr algn="l"/>
          <a:r>
            <a:rPr lang="en-US" sz="1100" b="1">
              <a:solidFill>
                <a:schemeClr val="tx2">
                  <a:lumMod val="50000"/>
                </a:schemeClr>
              </a:solidFill>
            </a:rPr>
            <a:t>Sheet</a:t>
          </a:r>
        </a:p>
      </xdr:txBody>
    </xdr:sp>
    <xdr:clientData/>
  </xdr:twoCellAnchor>
  <xdr:twoCellAnchor>
    <xdr:from>
      <xdr:col>8</xdr:col>
      <xdr:colOff>847725</xdr:colOff>
      <xdr:row>2</xdr:row>
      <xdr:rowOff>104776</xdr:rowOff>
    </xdr:from>
    <xdr:to>
      <xdr:col>8</xdr:col>
      <xdr:colOff>1276350</xdr:colOff>
      <xdr:row>2</xdr:row>
      <xdr:rowOff>542926</xdr:rowOff>
    </xdr:to>
    <xdr:grpSp>
      <xdr:nvGrpSpPr>
        <xdr:cNvPr id="4" name="Group 3">
          <a:extLst>
            <a:ext uri="{FF2B5EF4-FFF2-40B4-BE49-F238E27FC236}">
              <a16:creationId xmlns:a16="http://schemas.microsoft.com/office/drawing/2014/main" id="{00000000-0008-0000-0700-000004000000}"/>
            </a:ext>
          </a:extLst>
        </xdr:cNvPr>
        <xdr:cNvGrpSpPr/>
      </xdr:nvGrpSpPr>
      <xdr:grpSpPr>
        <a:xfrm>
          <a:off x="11531767" y="826671"/>
          <a:ext cx="428625" cy="438150"/>
          <a:chOff x="1982229" y="2092319"/>
          <a:chExt cx="1029931" cy="1029921"/>
        </a:xfrm>
      </xdr:grpSpPr>
      <xdr:sp macro="" textlink="">
        <xdr:nvSpPr>
          <xdr:cNvPr id="5" name="Oval 4">
            <a:extLst>
              <a:ext uri="{FF2B5EF4-FFF2-40B4-BE49-F238E27FC236}">
                <a16:creationId xmlns:a16="http://schemas.microsoft.com/office/drawing/2014/main" id="{00000000-0008-0000-0700-000005000000}"/>
              </a:ext>
            </a:extLst>
          </xdr:cNvPr>
          <xdr:cNvSpPr/>
        </xdr:nvSpPr>
        <xdr:spPr>
          <a:xfrm>
            <a:off x="1982229" y="2092319"/>
            <a:ext cx="1029931" cy="1029921"/>
          </a:xfrm>
          <a:prstGeom prst="ellipse">
            <a:avLst/>
          </a:prstGeom>
          <a:solidFill>
            <a:schemeClr val="bg1"/>
          </a:solidFill>
          <a:ln w="57150">
            <a:solidFill>
              <a:srgbClr val="5B7DDB"/>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2215" b="1">
              <a:solidFill>
                <a:schemeClr val="tx1">
                  <a:lumMod val="60000"/>
                  <a:lumOff val="40000"/>
                </a:schemeClr>
              </a:solidFill>
              <a:latin typeface="Arial" pitchFamily="34" charset="0"/>
              <a:cs typeface="Arial" pitchFamily="34" charset="0"/>
            </a:endParaRPr>
          </a:p>
        </xdr:txBody>
      </xdr:sp>
      <xdr:sp macro="" textlink="">
        <xdr:nvSpPr>
          <xdr:cNvPr id="6" name="Freeform 5">
            <a:extLst>
              <a:ext uri="{FF2B5EF4-FFF2-40B4-BE49-F238E27FC236}">
                <a16:creationId xmlns:a16="http://schemas.microsoft.com/office/drawing/2014/main" id="{00000000-0008-0000-0700-000006000000}"/>
              </a:ext>
            </a:extLst>
          </xdr:cNvPr>
          <xdr:cNvSpPr/>
        </xdr:nvSpPr>
        <xdr:spPr>
          <a:xfrm>
            <a:off x="2302002" y="2350498"/>
            <a:ext cx="434316" cy="528460"/>
          </a:xfrm>
          <a:custGeom>
            <a:avLst/>
            <a:gdLst>
              <a:gd name="connsiteX0" fmla="*/ 350280 w 557958"/>
              <a:gd name="connsiteY0" fmla="*/ 0 h 678906"/>
              <a:gd name="connsiteX1" fmla="*/ 557958 w 557958"/>
              <a:gd name="connsiteY1" fmla="*/ 213145 h 678906"/>
              <a:gd name="connsiteX2" fmla="*/ 557958 w 557958"/>
              <a:gd name="connsiteY2" fmla="*/ 215074 h 678906"/>
              <a:gd name="connsiteX3" fmla="*/ 433296 w 557958"/>
              <a:gd name="connsiteY3" fmla="*/ 215074 h 678906"/>
              <a:gd name="connsiteX4" fmla="*/ 350280 w 557958"/>
              <a:gd name="connsiteY4" fmla="*/ 132059 h 678906"/>
              <a:gd name="connsiteX5" fmla="*/ 92739 w 557958"/>
              <a:gd name="connsiteY5" fmla="*/ 0 h 678906"/>
              <a:gd name="connsiteX6" fmla="*/ 323926 w 557958"/>
              <a:gd name="connsiteY6" fmla="*/ 0 h 678906"/>
              <a:gd name="connsiteX7" fmla="*/ 324397 w 557958"/>
              <a:gd name="connsiteY7" fmla="*/ 493 h 678906"/>
              <a:gd name="connsiteX8" fmla="*/ 324397 w 557958"/>
              <a:gd name="connsiteY8" fmla="*/ 147525 h 678906"/>
              <a:gd name="connsiteX9" fmla="*/ 417135 w 557958"/>
              <a:gd name="connsiteY9" fmla="*/ 240263 h 678906"/>
              <a:gd name="connsiteX10" fmla="*/ 553322 w 557958"/>
              <a:gd name="connsiteY10" fmla="*/ 240263 h 678906"/>
              <a:gd name="connsiteX11" fmla="*/ 556420 w 557958"/>
              <a:gd name="connsiteY11" fmla="*/ 243507 h 678906"/>
              <a:gd name="connsiteX12" fmla="*/ 556420 w 557958"/>
              <a:gd name="connsiteY12" fmla="*/ 586169 h 678906"/>
              <a:gd name="connsiteX13" fmla="*/ 463682 w 557958"/>
              <a:gd name="connsiteY13" fmla="*/ 678906 h 678906"/>
              <a:gd name="connsiteX14" fmla="*/ 92739 w 557958"/>
              <a:gd name="connsiteY14" fmla="*/ 678906 h 678906"/>
              <a:gd name="connsiteX15" fmla="*/ 92734 w 557958"/>
              <a:gd name="connsiteY15" fmla="*/ 678905 h 678906"/>
              <a:gd name="connsiteX16" fmla="*/ 59501 w 557958"/>
              <a:gd name="connsiteY16" fmla="*/ 678905 h 678906"/>
              <a:gd name="connsiteX17" fmla="*/ 279110 w 557958"/>
              <a:gd name="connsiteY17" fmla="*/ 401696 h 678906"/>
              <a:gd name="connsiteX18" fmla="*/ 269334 w 557958"/>
              <a:gd name="connsiteY18" fmla="*/ 317378 h 678906"/>
              <a:gd name="connsiteX19" fmla="*/ 269335 w 557958"/>
              <a:gd name="connsiteY19" fmla="*/ 317377 h 678906"/>
              <a:gd name="connsiteX20" fmla="*/ 225152 w 557958"/>
              <a:gd name="connsiteY20" fmla="*/ 304802 h 678906"/>
              <a:gd name="connsiteX21" fmla="*/ 185017 w 557958"/>
              <a:gd name="connsiteY21" fmla="*/ 327153 h 678906"/>
              <a:gd name="connsiteX22" fmla="*/ 836 w 557958"/>
              <a:gd name="connsiteY22" fmla="*/ 559643 h 678906"/>
              <a:gd name="connsiteX23" fmla="*/ 836 w 557958"/>
              <a:gd name="connsiteY23" fmla="*/ 286370 h 678906"/>
              <a:gd name="connsiteX24" fmla="*/ 0 w 557958"/>
              <a:gd name="connsiteY24" fmla="*/ 286201 h 678906"/>
              <a:gd name="connsiteX25" fmla="*/ 0 w 557958"/>
              <a:gd name="connsiteY25" fmla="*/ 92738 h 678906"/>
              <a:gd name="connsiteX26" fmla="*/ 92739 w 557958"/>
              <a:gd name="connsiteY26" fmla="*/ 0 h 67890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Lst>
            <a:rect l="l" t="t" r="r" b="b"/>
            <a:pathLst>
              <a:path w="557958" h="678906">
                <a:moveTo>
                  <a:pt x="350280" y="0"/>
                </a:moveTo>
                <a:lnTo>
                  <a:pt x="557958" y="213145"/>
                </a:lnTo>
                <a:lnTo>
                  <a:pt x="557958" y="215074"/>
                </a:lnTo>
                <a:lnTo>
                  <a:pt x="433296" y="215074"/>
                </a:lnTo>
                <a:cubicBezTo>
                  <a:pt x="387445" y="215074"/>
                  <a:pt x="350280" y="177908"/>
                  <a:pt x="350280" y="132059"/>
                </a:cubicBezTo>
                <a:close/>
                <a:moveTo>
                  <a:pt x="92739" y="0"/>
                </a:moveTo>
                <a:lnTo>
                  <a:pt x="323926" y="0"/>
                </a:lnTo>
                <a:lnTo>
                  <a:pt x="324397" y="493"/>
                </a:lnTo>
                <a:lnTo>
                  <a:pt x="324397" y="147525"/>
                </a:lnTo>
                <a:cubicBezTo>
                  <a:pt x="324397" y="198745"/>
                  <a:pt x="365915" y="240263"/>
                  <a:pt x="417135" y="240263"/>
                </a:cubicBezTo>
                <a:lnTo>
                  <a:pt x="553322" y="240263"/>
                </a:lnTo>
                <a:lnTo>
                  <a:pt x="556420" y="243507"/>
                </a:lnTo>
                <a:lnTo>
                  <a:pt x="556420" y="586169"/>
                </a:lnTo>
                <a:cubicBezTo>
                  <a:pt x="556420" y="637388"/>
                  <a:pt x="514902" y="678906"/>
                  <a:pt x="463682" y="678906"/>
                </a:cubicBezTo>
                <a:lnTo>
                  <a:pt x="92739" y="678906"/>
                </a:lnTo>
                <a:lnTo>
                  <a:pt x="92734" y="678905"/>
                </a:lnTo>
                <a:lnTo>
                  <a:pt x="59501" y="678905"/>
                </a:lnTo>
                <a:lnTo>
                  <a:pt x="279110" y="401696"/>
                </a:lnTo>
                <a:cubicBezTo>
                  <a:pt x="299695" y="375712"/>
                  <a:pt x="295318" y="337962"/>
                  <a:pt x="269334" y="317378"/>
                </a:cubicBezTo>
                <a:lnTo>
                  <a:pt x="269335" y="317377"/>
                </a:lnTo>
                <a:cubicBezTo>
                  <a:pt x="256344" y="307085"/>
                  <a:pt x="240410" y="303033"/>
                  <a:pt x="225152" y="304802"/>
                </a:cubicBezTo>
                <a:cubicBezTo>
                  <a:pt x="209893" y="306571"/>
                  <a:pt x="195309" y="314162"/>
                  <a:pt x="185017" y="327153"/>
                </a:cubicBezTo>
                <a:lnTo>
                  <a:pt x="836" y="559643"/>
                </a:lnTo>
                <a:lnTo>
                  <a:pt x="836" y="286370"/>
                </a:lnTo>
                <a:lnTo>
                  <a:pt x="0" y="286201"/>
                </a:lnTo>
                <a:lnTo>
                  <a:pt x="0" y="92738"/>
                </a:lnTo>
                <a:cubicBezTo>
                  <a:pt x="0" y="41518"/>
                  <a:pt x="41519" y="0"/>
                  <a:pt x="92739" y="0"/>
                </a:cubicBezTo>
                <a:close/>
              </a:path>
            </a:pathLst>
          </a:custGeom>
          <a:solidFill>
            <a:srgbClr val="2950B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3199"/>
          </a:p>
        </xdr:txBody>
      </xdr:sp>
      <xdr:grpSp>
        <xdr:nvGrpSpPr>
          <xdr:cNvPr id="7" name="Group 6">
            <a:extLst>
              <a:ext uri="{FF2B5EF4-FFF2-40B4-BE49-F238E27FC236}">
                <a16:creationId xmlns:a16="http://schemas.microsoft.com/office/drawing/2014/main" id="{00000000-0008-0000-0700-000007000000}"/>
              </a:ext>
            </a:extLst>
          </xdr:cNvPr>
          <xdr:cNvGrpSpPr/>
        </xdr:nvGrpSpPr>
        <xdr:grpSpPr>
          <a:xfrm>
            <a:off x="2227648" y="2566818"/>
            <a:ext cx="201061" cy="359352"/>
            <a:chOff x="6470288" y="1855804"/>
            <a:chExt cx="258298" cy="461654"/>
          </a:xfrm>
          <a:solidFill>
            <a:srgbClr val="2950BD"/>
          </a:solidFill>
        </xdr:grpSpPr>
        <xdr:sp macro="" textlink="">
          <xdr:nvSpPr>
            <xdr:cNvPr id="8" name="Rounded Rectangle 7">
              <a:extLst>
                <a:ext uri="{FF2B5EF4-FFF2-40B4-BE49-F238E27FC236}">
                  <a16:creationId xmlns:a16="http://schemas.microsoft.com/office/drawing/2014/main" id="{00000000-0008-0000-0700-000008000000}"/>
                </a:ext>
              </a:extLst>
            </xdr:cNvPr>
            <xdr:cNvSpPr/>
          </xdr:nvSpPr>
          <xdr:spPr>
            <a:xfrm rot="18503198">
              <a:off x="6455048" y="2043919"/>
              <a:ext cx="461654" cy="85423"/>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3199"/>
            </a:p>
          </xdr:txBody>
        </xdr:sp>
        <xdr:sp macro="" textlink="">
          <xdr:nvSpPr>
            <xdr:cNvPr id="9" name="Rounded Rectangle 8">
              <a:extLst>
                <a:ext uri="{FF2B5EF4-FFF2-40B4-BE49-F238E27FC236}">
                  <a16:creationId xmlns:a16="http://schemas.microsoft.com/office/drawing/2014/main" id="{00000000-0008-0000-0700-000009000000}"/>
                </a:ext>
              </a:extLst>
            </xdr:cNvPr>
            <xdr:cNvSpPr/>
          </xdr:nvSpPr>
          <xdr:spPr>
            <a:xfrm rot="13895427">
              <a:off x="6380098" y="2120239"/>
              <a:ext cx="265804" cy="85423"/>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3199"/>
            </a:p>
          </xdr:txBody>
        </xdr:sp>
      </xdr:grpSp>
    </xdr:grpSp>
    <xdr:clientData/>
  </xdr:twoCellAnchor>
  <xdr:twoCellAnchor>
    <xdr:from>
      <xdr:col>6</xdr:col>
      <xdr:colOff>447675</xdr:colOff>
      <xdr:row>0</xdr:row>
      <xdr:rowOff>66675</xdr:rowOff>
    </xdr:from>
    <xdr:to>
      <xdr:col>7</xdr:col>
      <xdr:colOff>209550</xdr:colOff>
      <xdr:row>1</xdr:row>
      <xdr:rowOff>180975</xdr:rowOff>
    </xdr:to>
    <xdr:sp macro="[0]!Home" textlink="">
      <xdr:nvSpPr>
        <xdr:cNvPr id="10" name="Rounded Rectangle 9">
          <a:extLst>
            <a:ext uri="{FF2B5EF4-FFF2-40B4-BE49-F238E27FC236}">
              <a16:creationId xmlns:a16="http://schemas.microsoft.com/office/drawing/2014/main" id="{00000000-0008-0000-0700-00000A000000}"/>
            </a:ext>
          </a:extLst>
        </xdr:cNvPr>
        <xdr:cNvSpPr/>
      </xdr:nvSpPr>
      <xdr:spPr>
        <a:xfrm>
          <a:off x="8391525" y="66675"/>
          <a:ext cx="1038225" cy="485775"/>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2">
                  <a:lumMod val="50000"/>
                </a:schemeClr>
              </a:solidFill>
            </a:rPr>
            <a:t>     HOME</a:t>
          </a:r>
        </a:p>
      </xdr:txBody>
    </xdr:sp>
    <xdr:clientData/>
  </xdr:twoCellAnchor>
  <xdr:twoCellAnchor>
    <xdr:from>
      <xdr:col>7</xdr:col>
      <xdr:colOff>342900</xdr:colOff>
      <xdr:row>0</xdr:row>
      <xdr:rowOff>76200</xdr:rowOff>
    </xdr:from>
    <xdr:to>
      <xdr:col>8</xdr:col>
      <xdr:colOff>209550</xdr:colOff>
      <xdr:row>1</xdr:row>
      <xdr:rowOff>190500</xdr:rowOff>
    </xdr:to>
    <xdr:sp macro="[0]!Previousheet" textlink="">
      <xdr:nvSpPr>
        <xdr:cNvPr id="11" name="Rounded Rectangle 10">
          <a:extLst>
            <a:ext uri="{FF2B5EF4-FFF2-40B4-BE49-F238E27FC236}">
              <a16:creationId xmlns:a16="http://schemas.microsoft.com/office/drawing/2014/main" id="{00000000-0008-0000-0700-00000B000000}"/>
            </a:ext>
          </a:extLst>
        </xdr:cNvPr>
        <xdr:cNvSpPr/>
      </xdr:nvSpPr>
      <xdr:spPr>
        <a:xfrm>
          <a:off x="9563100" y="76200"/>
          <a:ext cx="1038225" cy="485775"/>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2">
                  <a:lumMod val="50000"/>
                </a:schemeClr>
              </a:solidFill>
            </a:rPr>
            <a:t>   PREVIOUS</a:t>
          </a:r>
          <a:r>
            <a:rPr lang="en-US" sz="1100" b="1" baseline="0">
              <a:solidFill>
                <a:schemeClr val="tx2">
                  <a:lumMod val="50000"/>
                </a:schemeClr>
              </a:solidFill>
            </a:rPr>
            <a:t> </a:t>
          </a:r>
          <a:endParaRPr lang="en-US" sz="1100" b="1">
            <a:solidFill>
              <a:schemeClr val="tx2">
                <a:lumMod val="50000"/>
              </a:schemeClr>
            </a:solidFill>
          </a:endParaRPr>
        </a:p>
      </xdr:txBody>
    </xdr:sp>
    <xdr:clientData/>
  </xdr:twoCellAnchor>
  <xdr:twoCellAnchor>
    <xdr:from>
      <xdr:col>8</xdr:col>
      <xdr:colOff>371475</xdr:colOff>
      <xdr:row>0</xdr:row>
      <xdr:rowOff>76200</xdr:rowOff>
    </xdr:from>
    <xdr:to>
      <xdr:col>8</xdr:col>
      <xdr:colOff>1409700</xdr:colOff>
      <xdr:row>1</xdr:row>
      <xdr:rowOff>190500</xdr:rowOff>
    </xdr:to>
    <xdr:sp macro="[0]!Nextsheet" textlink="">
      <xdr:nvSpPr>
        <xdr:cNvPr id="12" name="Rounded Rectangle 11">
          <a:extLst>
            <a:ext uri="{FF2B5EF4-FFF2-40B4-BE49-F238E27FC236}">
              <a16:creationId xmlns:a16="http://schemas.microsoft.com/office/drawing/2014/main" id="{00000000-0008-0000-0700-00000C000000}"/>
            </a:ext>
          </a:extLst>
        </xdr:cNvPr>
        <xdr:cNvSpPr/>
      </xdr:nvSpPr>
      <xdr:spPr>
        <a:xfrm>
          <a:off x="10763250" y="76200"/>
          <a:ext cx="1038225" cy="485775"/>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2">
                  <a:lumMod val="50000"/>
                </a:schemeClr>
              </a:solidFill>
            </a:rPr>
            <a:t>       NEXT</a:t>
          </a:r>
        </a:p>
      </xdr:txBody>
    </xdr:sp>
    <xdr:clientData/>
  </xdr:twoCellAnchor>
  <xdr:twoCellAnchor>
    <xdr:from>
      <xdr:col>5</xdr:col>
      <xdr:colOff>666750</xdr:colOff>
      <xdr:row>0</xdr:row>
      <xdr:rowOff>66675</xdr:rowOff>
    </xdr:from>
    <xdr:to>
      <xdr:col>6</xdr:col>
      <xdr:colOff>228600</xdr:colOff>
      <xdr:row>1</xdr:row>
      <xdr:rowOff>180975</xdr:rowOff>
    </xdr:to>
    <xdr:sp macro="[0]!Help" textlink="">
      <xdr:nvSpPr>
        <xdr:cNvPr id="13" name="Rounded Rectangle 12">
          <a:extLst>
            <a:ext uri="{FF2B5EF4-FFF2-40B4-BE49-F238E27FC236}">
              <a16:creationId xmlns:a16="http://schemas.microsoft.com/office/drawing/2014/main" id="{00000000-0008-0000-0700-00000D000000}"/>
            </a:ext>
          </a:extLst>
        </xdr:cNvPr>
        <xdr:cNvSpPr/>
      </xdr:nvSpPr>
      <xdr:spPr>
        <a:xfrm>
          <a:off x="7067550" y="66675"/>
          <a:ext cx="1104900" cy="485775"/>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chemeClr val="tx2">
                  <a:lumMod val="50000"/>
                </a:schemeClr>
              </a:solidFill>
            </a:rPr>
            <a:t>HELP</a:t>
          </a:r>
        </a:p>
      </xdr:txBody>
    </xdr:sp>
    <xdr:clientData/>
  </xdr:twoCellAnchor>
  <xdr:twoCellAnchor>
    <xdr:from>
      <xdr:col>11</xdr:col>
      <xdr:colOff>95250</xdr:colOff>
      <xdr:row>4</xdr:row>
      <xdr:rowOff>190500</xdr:rowOff>
    </xdr:from>
    <xdr:to>
      <xdr:col>12</xdr:col>
      <xdr:colOff>152400</xdr:colOff>
      <xdr:row>4</xdr:row>
      <xdr:rowOff>533400</xdr:rowOff>
    </xdr:to>
    <xdr:sp macro="[0]!Add_reasons_sheet" textlink="">
      <xdr:nvSpPr>
        <xdr:cNvPr id="14" name="Rounded Rectangle 13">
          <a:extLst>
            <a:ext uri="{FF2B5EF4-FFF2-40B4-BE49-F238E27FC236}">
              <a16:creationId xmlns:a16="http://schemas.microsoft.com/office/drawing/2014/main" id="{00000000-0008-0000-0700-00000E000000}"/>
            </a:ext>
          </a:extLst>
        </xdr:cNvPr>
        <xdr:cNvSpPr/>
      </xdr:nvSpPr>
      <xdr:spPr>
        <a:xfrm>
          <a:off x="17611725" y="1895475"/>
          <a:ext cx="666750" cy="342900"/>
        </a:xfrm>
        <a:prstGeom prst="roundRect">
          <a:avLst/>
        </a:prstGeom>
        <a:solidFill>
          <a:schemeClr val="accent1">
            <a:lumMod val="50000"/>
          </a:schemeClr>
        </a:solidFill>
        <a:ln>
          <a:solidFill>
            <a:schemeClr val="accent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1"/>
              </a:solidFill>
            </a:rPr>
            <a:t>Add</a:t>
          </a:r>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28576</xdr:colOff>
      <xdr:row>0</xdr:row>
      <xdr:rowOff>19051</xdr:rowOff>
    </xdr:from>
    <xdr:to>
      <xdr:col>0</xdr:col>
      <xdr:colOff>361950</xdr:colOff>
      <xdr:row>1</xdr:row>
      <xdr:rowOff>142875</xdr:rowOff>
    </xdr:to>
    <xdr:pic>
      <xdr:nvPicPr>
        <xdr:cNvPr id="2" name="Picture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stretch>
          <a:fillRect/>
        </a:stretch>
      </xdr:blipFill>
      <xdr:spPr>
        <a:xfrm>
          <a:off x="28576" y="19051"/>
          <a:ext cx="333374" cy="457199"/>
        </a:xfrm>
        <a:prstGeom prst="rect">
          <a:avLst/>
        </a:prstGeom>
      </xdr:spPr>
    </xdr:pic>
    <xdr:clientData/>
  </xdr:twoCellAnchor>
  <xdr:twoCellAnchor>
    <xdr:from>
      <xdr:col>8</xdr:col>
      <xdr:colOff>123825</xdr:colOff>
      <xdr:row>2</xdr:row>
      <xdr:rowOff>66675</xdr:rowOff>
    </xdr:from>
    <xdr:to>
      <xdr:col>8</xdr:col>
      <xdr:colOff>1400175</xdr:colOff>
      <xdr:row>2</xdr:row>
      <xdr:rowOff>638175</xdr:rowOff>
    </xdr:to>
    <xdr:sp macro="[0]!Validate_Table11" textlink="">
      <xdr:nvSpPr>
        <xdr:cNvPr id="28" name="Rounded Rectangle 27">
          <a:extLst>
            <a:ext uri="{FF2B5EF4-FFF2-40B4-BE49-F238E27FC236}">
              <a16:creationId xmlns:a16="http://schemas.microsoft.com/office/drawing/2014/main" id="{00000000-0008-0000-0800-00001C000000}"/>
            </a:ext>
          </a:extLst>
        </xdr:cNvPr>
        <xdr:cNvSpPr/>
      </xdr:nvSpPr>
      <xdr:spPr>
        <a:xfrm>
          <a:off x="10515600" y="609600"/>
          <a:ext cx="1276350" cy="571500"/>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2">
                  <a:lumMod val="50000"/>
                </a:schemeClr>
              </a:solidFill>
            </a:rPr>
            <a:t>Validate </a:t>
          </a:r>
        </a:p>
        <a:p>
          <a:pPr algn="l"/>
          <a:r>
            <a:rPr lang="en-US" sz="1100" b="1">
              <a:solidFill>
                <a:schemeClr val="tx2">
                  <a:lumMod val="50000"/>
                </a:schemeClr>
              </a:solidFill>
            </a:rPr>
            <a:t>Sheet</a:t>
          </a:r>
        </a:p>
      </xdr:txBody>
    </xdr:sp>
    <xdr:clientData/>
  </xdr:twoCellAnchor>
  <xdr:twoCellAnchor>
    <xdr:from>
      <xdr:col>8</xdr:col>
      <xdr:colOff>847725</xdr:colOff>
      <xdr:row>2</xdr:row>
      <xdr:rowOff>104776</xdr:rowOff>
    </xdr:from>
    <xdr:to>
      <xdr:col>8</xdr:col>
      <xdr:colOff>1276350</xdr:colOff>
      <xdr:row>2</xdr:row>
      <xdr:rowOff>542926</xdr:rowOff>
    </xdr:to>
    <xdr:grpSp>
      <xdr:nvGrpSpPr>
        <xdr:cNvPr id="29" name="Group 28">
          <a:extLst>
            <a:ext uri="{FF2B5EF4-FFF2-40B4-BE49-F238E27FC236}">
              <a16:creationId xmlns:a16="http://schemas.microsoft.com/office/drawing/2014/main" id="{00000000-0008-0000-0800-00001D000000}"/>
            </a:ext>
          </a:extLst>
        </xdr:cNvPr>
        <xdr:cNvGrpSpPr/>
      </xdr:nvGrpSpPr>
      <xdr:grpSpPr>
        <a:xfrm>
          <a:off x="11530965" y="638176"/>
          <a:ext cx="428625" cy="438150"/>
          <a:chOff x="1982229" y="2092319"/>
          <a:chExt cx="1029931" cy="1029921"/>
        </a:xfrm>
      </xdr:grpSpPr>
      <xdr:sp macro="" textlink="">
        <xdr:nvSpPr>
          <xdr:cNvPr id="30" name="Oval 29">
            <a:extLst>
              <a:ext uri="{FF2B5EF4-FFF2-40B4-BE49-F238E27FC236}">
                <a16:creationId xmlns:a16="http://schemas.microsoft.com/office/drawing/2014/main" id="{00000000-0008-0000-0800-00001E000000}"/>
              </a:ext>
            </a:extLst>
          </xdr:cNvPr>
          <xdr:cNvSpPr/>
        </xdr:nvSpPr>
        <xdr:spPr>
          <a:xfrm>
            <a:off x="1982229" y="2092319"/>
            <a:ext cx="1029931" cy="1029921"/>
          </a:xfrm>
          <a:prstGeom prst="ellipse">
            <a:avLst/>
          </a:prstGeom>
          <a:solidFill>
            <a:schemeClr val="bg1"/>
          </a:solidFill>
          <a:ln w="57150">
            <a:solidFill>
              <a:srgbClr val="5B7DDB"/>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2215" b="1">
              <a:solidFill>
                <a:schemeClr val="tx1">
                  <a:lumMod val="60000"/>
                  <a:lumOff val="40000"/>
                </a:schemeClr>
              </a:solidFill>
              <a:latin typeface="Arial" pitchFamily="34" charset="0"/>
              <a:cs typeface="Arial" pitchFamily="34" charset="0"/>
            </a:endParaRPr>
          </a:p>
        </xdr:txBody>
      </xdr:sp>
      <xdr:sp macro="" textlink="">
        <xdr:nvSpPr>
          <xdr:cNvPr id="31" name="Freeform 30">
            <a:extLst>
              <a:ext uri="{FF2B5EF4-FFF2-40B4-BE49-F238E27FC236}">
                <a16:creationId xmlns:a16="http://schemas.microsoft.com/office/drawing/2014/main" id="{00000000-0008-0000-0800-00001F000000}"/>
              </a:ext>
            </a:extLst>
          </xdr:cNvPr>
          <xdr:cNvSpPr/>
        </xdr:nvSpPr>
        <xdr:spPr>
          <a:xfrm>
            <a:off x="2302002" y="2350498"/>
            <a:ext cx="434316" cy="528460"/>
          </a:xfrm>
          <a:custGeom>
            <a:avLst/>
            <a:gdLst>
              <a:gd name="connsiteX0" fmla="*/ 350280 w 557958"/>
              <a:gd name="connsiteY0" fmla="*/ 0 h 678906"/>
              <a:gd name="connsiteX1" fmla="*/ 557958 w 557958"/>
              <a:gd name="connsiteY1" fmla="*/ 213145 h 678906"/>
              <a:gd name="connsiteX2" fmla="*/ 557958 w 557958"/>
              <a:gd name="connsiteY2" fmla="*/ 215074 h 678906"/>
              <a:gd name="connsiteX3" fmla="*/ 433296 w 557958"/>
              <a:gd name="connsiteY3" fmla="*/ 215074 h 678906"/>
              <a:gd name="connsiteX4" fmla="*/ 350280 w 557958"/>
              <a:gd name="connsiteY4" fmla="*/ 132059 h 678906"/>
              <a:gd name="connsiteX5" fmla="*/ 92739 w 557958"/>
              <a:gd name="connsiteY5" fmla="*/ 0 h 678906"/>
              <a:gd name="connsiteX6" fmla="*/ 323926 w 557958"/>
              <a:gd name="connsiteY6" fmla="*/ 0 h 678906"/>
              <a:gd name="connsiteX7" fmla="*/ 324397 w 557958"/>
              <a:gd name="connsiteY7" fmla="*/ 493 h 678906"/>
              <a:gd name="connsiteX8" fmla="*/ 324397 w 557958"/>
              <a:gd name="connsiteY8" fmla="*/ 147525 h 678906"/>
              <a:gd name="connsiteX9" fmla="*/ 417135 w 557958"/>
              <a:gd name="connsiteY9" fmla="*/ 240263 h 678906"/>
              <a:gd name="connsiteX10" fmla="*/ 553322 w 557958"/>
              <a:gd name="connsiteY10" fmla="*/ 240263 h 678906"/>
              <a:gd name="connsiteX11" fmla="*/ 556420 w 557958"/>
              <a:gd name="connsiteY11" fmla="*/ 243507 h 678906"/>
              <a:gd name="connsiteX12" fmla="*/ 556420 w 557958"/>
              <a:gd name="connsiteY12" fmla="*/ 586169 h 678906"/>
              <a:gd name="connsiteX13" fmla="*/ 463682 w 557958"/>
              <a:gd name="connsiteY13" fmla="*/ 678906 h 678906"/>
              <a:gd name="connsiteX14" fmla="*/ 92739 w 557958"/>
              <a:gd name="connsiteY14" fmla="*/ 678906 h 678906"/>
              <a:gd name="connsiteX15" fmla="*/ 92734 w 557958"/>
              <a:gd name="connsiteY15" fmla="*/ 678905 h 678906"/>
              <a:gd name="connsiteX16" fmla="*/ 59501 w 557958"/>
              <a:gd name="connsiteY16" fmla="*/ 678905 h 678906"/>
              <a:gd name="connsiteX17" fmla="*/ 279110 w 557958"/>
              <a:gd name="connsiteY17" fmla="*/ 401696 h 678906"/>
              <a:gd name="connsiteX18" fmla="*/ 269334 w 557958"/>
              <a:gd name="connsiteY18" fmla="*/ 317378 h 678906"/>
              <a:gd name="connsiteX19" fmla="*/ 269335 w 557958"/>
              <a:gd name="connsiteY19" fmla="*/ 317377 h 678906"/>
              <a:gd name="connsiteX20" fmla="*/ 225152 w 557958"/>
              <a:gd name="connsiteY20" fmla="*/ 304802 h 678906"/>
              <a:gd name="connsiteX21" fmla="*/ 185017 w 557958"/>
              <a:gd name="connsiteY21" fmla="*/ 327153 h 678906"/>
              <a:gd name="connsiteX22" fmla="*/ 836 w 557958"/>
              <a:gd name="connsiteY22" fmla="*/ 559643 h 678906"/>
              <a:gd name="connsiteX23" fmla="*/ 836 w 557958"/>
              <a:gd name="connsiteY23" fmla="*/ 286370 h 678906"/>
              <a:gd name="connsiteX24" fmla="*/ 0 w 557958"/>
              <a:gd name="connsiteY24" fmla="*/ 286201 h 678906"/>
              <a:gd name="connsiteX25" fmla="*/ 0 w 557958"/>
              <a:gd name="connsiteY25" fmla="*/ 92738 h 678906"/>
              <a:gd name="connsiteX26" fmla="*/ 92739 w 557958"/>
              <a:gd name="connsiteY26" fmla="*/ 0 h 67890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Lst>
            <a:rect l="l" t="t" r="r" b="b"/>
            <a:pathLst>
              <a:path w="557958" h="678906">
                <a:moveTo>
                  <a:pt x="350280" y="0"/>
                </a:moveTo>
                <a:lnTo>
                  <a:pt x="557958" y="213145"/>
                </a:lnTo>
                <a:lnTo>
                  <a:pt x="557958" y="215074"/>
                </a:lnTo>
                <a:lnTo>
                  <a:pt x="433296" y="215074"/>
                </a:lnTo>
                <a:cubicBezTo>
                  <a:pt x="387445" y="215074"/>
                  <a:pt x="350280" y="177908"/>
                  <a:pt x="350280" y="132059"/>
                </a:cubicBezTo>
                <a:close/>
                <a:moveTo>
                  <a:pt x="92739" y="0"/>
                </a:moveTo>
                <a:lnTo>
                  <a:pt x="323926" y="0"/>
                </a:lnTo>
                <a:lnTo>
                  <a:pt x="324397" y="493"/>
                </a:lnTo>
                <a:lnTo>
                  <a:pt x="324397" y="147525"/>
                </a:lnTo>
                <a:cubicBezTo>
                  <a:pt x="324397" y="198745"/>
                  <a:pt x="365915" y="240263"/>
                  <a:pt x="417135" y="240263"/>
                </a:cubicBezTo>
                <a:lnTo>
                  <a:pt x="553322" y="240263"/>
                </a:lnTo>
                <a:lnTo>
                  <a:pt x="556420" y="243507"/>
                </a:lnTo>
                <a:lnTo>
                  <a:pt x="556420" y="586169"/>
                </a:lnTo>
                <a:cubicBezTo>
                  <a:pt x="556420" y="637388"/>
                  <a:pt x="514902" y="678906"/>
                  <a:pt x="463682" y="678906"/>
                </a:cubicBezTo>
                <a:lnTo>
                  <a:pt x="92739" y="678906"/>
                </a:lnTo>
                <a:lnTo>
                  <a:pt x="92734" y="678905"/>
                </a:lnTo>
                <a:lnTo>
                  <a:pt x="59501" y="678905"/>
                </a:lnTo>
                <a:lnTo>
                  <a:pt x="279110" y="401696"/>
                </a:lnTo>
                <a:cubicBezTo>
                  <a:pt x="299695" y="375712"/>
                  <a:pt x="295318" y="337962"/>
                  <a:pt x="269334" y="317378"/>
                </a:cubicBezTo>
                <a:lnTo>
                  <a:pt x="269335" y="317377"/>
                </a:lnTo>
                <a:cubicBezTo>
                  <a:pt x="256344" y="307085"/>
                  <a:pt x="240410" y="303033"/>
                  <a:pt x="225152" y="304802"/>
                </a:cubicBezTo>
                <a:cubicBezTo>
                  <a:pt x="209893" y="306571"/>
                  <a:pt x="195309" y="314162"/>
                  <a:pt x="185017" y="327153"/>
                </a:cubicBezTo>
                <a:lnTo>
                  <a:pt x="836" y="559643"/>
                </a:lnTo>
                <a:lnTo>
                  <a:pt x="836" y="286370"/>
                </a:lnTo>
                <a:lnTo>
                  <a:pt x="0" y="286201"/>
                </a:lnTo>
                <a:lnTo>
                  <a:pt x="0" y="92738"/>
                </a:lnTo>
                <a:cubicBezTo>
                  <a:pt x="0" y="41518"/>
                  <a:pt x="41519" y="0"/>
                  <a:pt x="92739" y="0"/>
                </a:cubicBezTo>
                <a:close/>
              </a:path>
            </a:pathLst>
          </a:custGeom>
          <a:solidFill>
            <a:srgbClr val="2950B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3199"/>
          </a:p>
        </xdr:txBody>
      </xdr:sp>
      <xdr:grpSp>
        <xdr:nvGrpSpPr>
          <xdr:cNvPr id="32" name="Group 31">
            <a:extLst>
              <a:ext uri="{FF2B5EF4-FFF2-40B4-BE49-F238E27FC236}">
                <a16:creationId xmlns:a16="http://schemas.microsoft.com/office/drawing/2014/main" id="{00000000-0008-0000-0800-000020000000}"/>
              </a:ext>
            </a:extLst>
          </xdr:cNvPr>
          <xdr:cNvGrpSpPr/>
        </xdr:nvGrpSpPr>
        <xdr:grpSpPr>
          <a:xfrm>
            <a:off x="2227648" y="2566818"/>
            <a:ext cx="201061" cy="359352"/>
            <a:chOff x="6470288" y="1855804"/>
            <a:chExt cx="258298" cy="461654"/>
          </a:xfrm>
          <a:solidFill>
            <a:srgbClr val="2950BD"/>
          </a:solidFill>
        </xdr:grpSpPr>
        <xdr:sp macro="" textlink="">
          <xdr:nvSpPr>
            <xdr:cNvPr id="33" name="Rounded Rectangle 32">
              <a:extLst>
                <a:ext uri="{FF2B5EF4-FFF2-40B4-BE49-F238E27FC236}">
                  <a16:creationId xmlns:a16="http://schemas.microsoft.com/office/drawing/2014/main" id="{00000000-0008-0000-0800-000021000000}"/>
                </a:ext>
              </a:extLst>
            </xdr:cNvPr>
            <xdr:cNvSpPr/>
          </xdr:nvSpPr>
          <xdr:spPr>
            <a:xfrm rot="18503198">
              <a:off x="6455048" y="2043919"/>
              <a:ext cx="461654" cy="85423"/>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3199"/>
            </a:p>
          </xdr:txBody>
        </xdr:sp>
        <xdr:sp macro="" textlink="">
          <xdr:nvSpPr>
            <xdr:cNvPr id="34" name="Rounded Rectangle 33">
              <a:extLst>
                <a:ext uri="{FF2B5EF4-FFF2-40B4-BE49-F238E27FC236}">
                  <a16:creationId xmlns:a16="http://schemas.microsoft.com/office/drawing/2014/main" id="{00000000-0008-0000-0800-000022000000}"/>
                </a:ext>
              </a:extLst>
            </xdr:cNvPr>
            <xdr:cNvSpPr/>
          </xdr:nvSpPr>
          <xdr:spPr>
            <a:xfrm rot="13895427">
              <a:off x="6380098" y="2120239"/>
              <a:ext cx="265804" cy="85423"/>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3199"/>
            </a:p>
          </xdr:txBody>
        </xdr:sp>
      </xdr:grpSp>
    </xdr:grpSp>
    <xdr:clientData/>
  </xdr:twoCellAnchor>
  <xdr:twoCellAnchor>
    <xdr:from>
      <xdr:col>6</xdr:col>
      <xdr:colOff>447675</xdr:colOff>
      <xdr:row>0</xdr:row>
      <xdr:rowOff>38100</xdr:rowOff>
    </xdr:from>
    <xdr:to>
      <xdr:col>7</xdr:col>
      <xdr:colOff>209550</xdr:colOff>
      <xdr:row>1</xdr:row>
      <xdr:rowOff>152400</xdr:rowOff>
    </xdr:to>
    <xdr:sp macro="[0]!Home" textlink="">
      <xdr:nvSpPr>
        <xdr:cNvPr id="42" name="Rounded Rectangle 41">
          <a:extLst>
            <a:ext uri="{FF2B5EF4-FFF2-40B4-BE49-F238E27FC236}">
              <a16:creationId xmlns:a16="http://schemas.microsoft.com/office/drawing/2014/main" id="{00000000-0008-0000-0800-00002A000000}"/>
            </a:ext>
          </a:extLst>
        </xdr:cNvPr>
        <xdr:cNvSpPr/>
      </xdr:nvSpPr>
      <xdr:spPr>
        <a:xfrm>
          <a:off x="8391525" y="38100"/>
          <a:ext cx="1038225" cy="447675"/>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2">
                  <a:lumMod val="50000"/>
                </a:schemeClr>
              </a:solidFill>
            </a:rPr>
            <a:t>     HOME</a:t>
          </a:r>
        </a:p>
      </xdr:txBody>
    </xdr:sp>
    <xdr:clientData/>
  </xdr:twoCellAnchor>
  <xdr:twoCellAnchor>
    <xdr:from>
      <xdr:col>7</xdr:col>
      <xdr:colOff>342900</xdr:colOff>
      <xdr:row>0</xdr:row>
      <xdr:rowOff>47625</xdr:rowOff>
    </xdr:from>
    <xdr:to>
      <xdr:col>8</xdr:col>
      <xdr:colOff>209550</xdr:colOff>
      <xdr:row>1</xdr:row>
      <xdr:rowOff>161925</xdr:rowOff>
    </xdr:to>
    <xdr:sp macro="[0]!Previousheet" textlink="">
      <xdr:nvSpPr>
        <xdr:cNvPr id="43" name="Rounded Rectangle 42">
          <a:extLst>
            <a:ext uri="{FF2B5EF4-FFF2-40B4-BE49-F238E27FC236}">
              <a16:creationId xmlns:a16="http://schemas.microsoft.com/office/drawing/2014/main" id="{00000000-0008-0000-0800-00002B000000}"/>
            </a:ext>
          </a:extLst>
        </xdr:cNvPr>
        <xdr:cNvSpPr/>
      </xdr:nvSpPr>
      <xdr:spPr>
        <a:xfrm>
          <a:off x="9563100" y="47625"/>
          <a:ext cx="1038225" cy="447675"/>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2">
                  <a:lumMod val="50000"/>
                </a:schemeClr>
              </a:solidFill>
            </a:rPr>
            <a:t>   PREVIOUS</a:t>
          </a:r>
          <a:r>
            <a:rPr lang="en-US" sz="1100" b="1" baseline="0">
              <a:solidFill>
                <a:schemeClr val="tx2">
                  <a:lumMod val="50000"/>
                </a:schemeClr>
              </a:solidFill>
            </a:rPr>
            <a:t> </a:t>
          </a:r>
          <a:endParaRPr lang="en-US" sz="1100" b="1">
            <a:solidFill>
              <a:schemeClr val="tx2">
                <a:lumMod val="50000"/>
              </a:schemeClr>
            </a:solidFill>
          </a:endParaRPr>
        </a:p>
      </xdr:txBody>
    </xdr:sp>
    <xdr:clientData/>
  </xdr:twoCellAnchor>
  <xdr:twoCellAnchor>
    <xdr:from>
      <xdr:col>8</xdr:col>
      <xdr:colOff>371475</xdr:colOff>
      <xdr:row>0</xdr:row>
      <xdr:rowOff>47625</xdr:rowOff>
    </xdr:from>
    <xdr:to>
      <xdr:col>8</xdr:col>
      <xdr:colOff>1409700</xdr:colOff>
      <xdr:row>1</xdr:row>
      <xdr:rowOff>161925</xdr:rowOff>
    </xdr:to>
    <xdr:sp macro="[0]!Nextsheet" textlink="">
      <xdr:nvSpPr>
        <xdr:cNvPr id="44" name="Rounded Rectangle 43">
          <a:extLst>
            <a:ext uri="{FF2B5EF4-FFF2-40B4-BE49-F238E27FC236}">
              <a16:creationId xmlns:a16="http://schemas.microsoft.com/office/drawing/2014/main" id="{00000000-0008-0000-0800-00002C000000}"/>
            </a:ext>
          </a:extLst>
        </xdr:cNvPr>
        <xdr:cNvSpPr/>
      </xdr:nvSpPr>
      <xdr:spPr>
        <a:xfrm>
          <a:off x="10763250" y="47625"/>
          <a:ext cx="1038225" cy="447675"/>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2">
                  <a:lumMod val="50000"/>
                </a:schemeClr>
              </a:solidFill>
            </a:rPr>
            <a:t>       NEXT</a:t>
          </a:r>
        </a:p>
      </xdr:txBody>
    </xdr:sp>
    <xdr:clientData/>
  </xdr:twoCellAnchor>
  <xdr:twoCellAnchor>
    <xdr:from>
      <xdr:col>5</xdr:col>
      <xdr:colOff>666751</xdr:colOff>
      <xdr:row>0</xdr:row>
      <xdr:rowOff>47625</xdr:rowOff>
    </xdr:from>
    <xdr:to>
      <xdr:col>6</xdr:col>
      <xdr:colOff>247651</xdr:colOff>
      <xdr:row>1</xdr:row>
      <xdr:rowOff>142875</xdr:rowOff>
    </xdr:to>
    <xdr:sp macro="[0]!Help" textlink="">
      <xdr:nvSpPr>
        <xdr:cNvPr id="13" name="Rounded Rectangle 12">
          <a:extLst>
            <a:ext uri="{FF2B5EF4-FFF2-40B4-BE49-F238E27FC236}">
              <a16:creationId xmlns:a16="http://schemas.microsoft.com/office/drawing/2014/main" id="{00000000-0008-0000-0800-00000D000000}"/>
            </a:ext>
          </a:extLst>
        </xdr:cNvPr>
        <xdr:cNvSpPr/>
      </xdr:nvSpPr>
      <xdr:spPr>
        <a:xfrm>
          <a:off x="7067551" y="47625"/>
          <a:ext cx="1123950" cy="428625"/>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chemeClr val="tx2">
                  <a:lumMod val="50000"/>
                </a:schemeClr>
              </a:solidFill>
            </a:rPr>
            <a:t>HELP</a:t>
          </a:r>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28576</xdr:colOff>
      <xdr:row>0</xdr:row>
      <xdr:rowOff>19051</xdr:rowOff>
    </xdr:from>
    <xdr:to>
      <xdr:col>0</xdr:col>
      <xdr:colOff>361950</xdr:colOff>
      <xdr:row>1</xdr:row>
      <xdr:rowOff>171450</xdr:rowOff>
    </xdr:to>
    <xdr:pic>
      <xdr:nvPicPr>
        <xdr:cNvPr id="2" name="Picture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a:stretch>
          <a:fillRect/>
        </a:stretch>
      </xdr:blipFill>
      <xdr:spPr>
        <a:xfrm>
          <a:off x="28576" y="19051"/>
          <a:ext cx="333374" cy="485774"/>
        </a:xfrm>
        <a:prstGeom prst="rect">
          <a:avLst/>
        </a:prstGeom>
      </xdr:spPr>
    </xdr:pic>
    <xdr:clientData/>
  </xdr:twoCellAnchor>
  <xdr:twoCellAnchor>
    <xdr:from>
      <xdr:col>8</xdr:col>
      <xdr:colOff>123825</xdr:colOff>
      <xdr:row>2</xdr:row>
      <xdr:rowOff>66675</xdr:rowOff>
    </xdr:from>
    <xdr:to>
      <xdr:col>8</xdr:col>
      <xdr:colOff>1400175</xdr:colOff>
      <xdr:row>2</xdr:row>
      <xdr:rowOff>638175</xdr:rowOff>
    </xdr:to>
    <xdr:sp macro="[0]!Validate_Table12" textlink="">
      <xdr:nvSpPr>
        <xdr:cNvPr id="28" name="Rounded Rectangle 27">
          <a:extLst>
            <a:ext uri="{FF2B5EF4-FFF2-40B4-BE49-F238E27FC236}">
              <a16:creationId xmlns:a16="http://schemas.microsoft.com/office/drawing/2014/main" id="{00000000-0008-0000-0900-00001C000000}"/>
            </a:ext>
          </a:extLst>
        </xdr:cNvPr>
        <xdr:cNvSpPr/>
      </xdr:nvSpPr>
      <xdr:spPr>
        <a:xfrm>
          <a:off x="10515600" y="609600"/>
          <a:ext cx="1276350" cy="571500"/>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2">
                  <a:lumMod val="50000"/>
                </a:schemeClr>
              </a:solidFill>
            </a:rPr>
            <a:t>Validate </a:t>
          </a:r>
        </a:p>
        <a:p>
          <a:pPr algn="l"/>
          <a:r>
            <a:rPr lang="en-US" sz="1100" b="1">
              <a:solidFill>
                <a:schemeClr val="tx2">
                  <a:lumMod val="50000"/>
                </a:schemeClr>
              </a:solidFill>
            </a:rPr>
            <a:t>Sheet</a:t>
          </a:r>
        </a:p>
      </xdr:txBody>
    </xdr:sp>
    <xdr:clientData/>
  </xdr:twoCellAnchor>
  <xdr:twoCellAnchor>
    <xdr:from>
      <xdr:col>8</xdr:col>
      <xdr:colOff>847725</xdr:colOff>
      <xdr:row>2</xdr:row>
      <xdr:rowOff>104776</xdr:rowOff>
    </xdr:from>
    <xdr:to>
      <xdr:col>8</xdr:col>
      <xdr:colOff>1276350</xdr:colOff>
      <xdr:row>2</xdr:row>
      <xdr:rowOff>542926</xdr:rowOff>
    </xdr:to>
    <xdr:grpSp>
      <xdr:nvGrpSpPr>
        <xdr:cNvPr id="29" name="Group 28">
          <a:extLst>
            <a:ext uri="{FF2B5EF4-FFF2-40B4-BE49-F238E27FC236}">
              <a16:creationId xmlns:a16="http://schemas.microsoft.com/office/drawing/2014/main" id="{00000000-0008-0000-0900-00001D000000}"/>
            </a:ext>
          </a:extLst>
        </xdr:cNvPr>
        <xdr:cNvGrpSpPr/>
      </xdr:nvGrpSpPr>
      <xdr:grpSpPr>
        <a:xfrm>
          <a:off x="11530965" y="638176"/>
          <a:ext cx="428625" cy="438150"/>
          <a:chOff x="1982229" y="2092319"/>
          <a:chExt cx="1029931" cy="1029921"/>
        </a:xfrm>
      </xdr:grpSpPr>
      <xdr:sp macro="" textlink="">
        <xdr:nvSpPr>
          <xdr:cNvPr id="30" name="Oval 29">
            <a:extLst>
              <a:ext uri="{FF2B5EF4-FFF2-40B4-BE49-F238E27FC236}">
                <a16:creationId xmlns:a16="http://schemas.microsoft.com/office/drawing/2014/main" id="{00000000-0008-0000-0900-00001E000000}"/>
              </a:ext>
            </a:extLst>
          </xdr:cNvPr>
          <xdr:cNvSpPr/>
        </xdr:nvSpPr>
        <xdr:spPr>
          <a:xfrm>
            <a:off x="1982229" y="2092319"/>
            <a:ext cx="1029931" cy="1029921"/>
          </a:xfrm>
          <a:prstGeom prst="ellipse">
            <a:avLst/>
          </a:prstGeom>
          <a:solidFill>
            <a:schemeClr val="bg1"/>
          </a:solidFill>
          <a:ln w="57150">
            <a:solidFill>
              <a:srgbClr val="5B7DDB"/>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2215" b="1">
              <a:solidFill>
                <a:schemeClr val="tx1">
                  <a:lumMod val="60000"/>
                  <a:lumOff val="40000"/>
                </a:schemeClr>
              </a:solidFill>
              <a:latin typeface="Arial" pitchFamily="34" charset="0"/>
              <a:cs typeface="Arial" pitchFamily="34" charset="0"/>
            </a:endParaRPr>
          </a:p>
        </xdr:txBody>
      </xdr:sp>
      <xdr:sp macro="" textlink="">
        <xdr:nvSpPr>
          <xdr:cNvPr id="31" name="Freeform 30">
            <a:extLst>
              <a:ext uri="{FF2B5EF4-FFF2-40B4-BE49-F238E27FC236}">
                <a16:creationId xmlns:a16="http://schemas.microsoft.com/office/drawing/2014/main" id="{00000000-0008-0000-0900-00001F000000}"/>
              </a:ext>
            </a:extLst>
          </xdr:cNvPr>
          <xdr:cNvSpPr/>
        </xdr:nvSpPr>
        <xdr:spPr>
          <a:xfrm>
            <a:off x="2302002" y="2350498"/>
            <a:ext cx="434316" cy="528460"/>
          </a:xfrm>
          <a:custGeom>
            <a:avLst/>
            <a:gdLst>
              <a:gd name="connsiteX0" fmla="*/ 350280 w 557958"/>
              <a:gd name="connsiteY0" fmla="*/ 0 h 678906"/>
              <a:gd name="connsiteX1" fmla="*/ 557958 w 557958"/>
              <a:gd name="connsiteY1" fmla="*/ 213145 h 678906"/>
              <a:gd name="connsiteX2" fmla="*/ 557958 w 557958"/>
              <a:gd name="connsiteY2" fmla="*/ 215074 h 678906"/>
              <a:gd name="connsiteX3" fmla="*/ 433296 w 557958"/>
              <a:gd name="connsiteY3" fmla="*/ 215074 h 678906"/>
              <a:gd name="connsiteX4" fmla="*/ 350280 w 557958"/>
              <a:gd name="connsiteY4" fmla="*/ 132059 h 678906"/>
              <a:gd name="connsiteX5" fmla="*/ 92739 w 557958"/>
              <a:gd name="connsiteY5" fmla="*/ 0 h 678906"/>
              <a:gd name="connsiteX6" fmla="*/ 323926 w 557958"/>
              <a:gd name="connsiteY6" fmla="*/ 0 h 678906"/>
              <a:gd name="connsiteX7" fmla="*/ 324397 w 557958"/>
              <a:gd name="connsiteY7" fmla="*/ 493 h 678906"/>
              <a:gd name="connsiteX8" fmla="*/ 324397 w 557958"/>
              <a:gd name="connsiteY8" fmla="*/ 147525 h 678906"/>
              <a:gd name="connsiteX9" fmla="*/ 417135 w 557958"/>
              <a:gd name="connsiteY9" fmla="*/ 240263 h 678906"/>
              <a:gd name="connsiteX10" fmla="*/ 553322 w 557958"/>
              <a:gd name="connsiteY10" fmla="*/ 240263 h 678906"/>
              <a:gd name="connsiteX11" fmla="*/ 556420 w 557958"/>
              <a:gd name="connsiteY11" fmla="*/ 243507 h 678906"/>
              <a:gd name="connsiteX12" fmla="*/ 556420 w 557958"/>
              <a:gd name="connsiteY12" fmla="*/ 586169 h 678906"/>
              <a:gd name="connsiteX13" fmla="*/ 463682 w 557958"/>
              <a:gd name="connsiteY13" fmla="*/ 678906 h 678906"/>
              <a:gd name="connsiteX14" fmla="*/ 92739 w 557958"/>
              <a:gd name="connsiteY14" fmla="*/ 678906 h 678906"/>
              <a:gd name="connsiteX15" fmla="*/ 92734 w 557958"/>
              <a:gd name="connsiteY15" fmla="*/ 678905 h 678906"/>
              <a:gd name="connsiteX16" fmla="*/ 59501 w 557958"/>
              <a:gd name="connsiteY16" fmla="*/ 678905 h 678906"/>
              <a:gd name="connsiteX17" fmla="*/ 279110 w 557958"/>
              <a:gd name="connsiteY17" fmla="*/ 401696 h 678906"/>
              <a:gd name="connsiteX18" fmla="*/ 269334 w 557958"/>
              <a:gd name="connsiteY18" fmla="*/ 317378 h 678906"/>
              <a:gd name="connsiteX19" fmla="*/ 269335 w 557958"/>
              <a:gd name="connsiteY19" fmla="*/ 317377 h 678906"/>
              <a:gd name="connsiteX20" fmla="*/ 225152 w 557958"/>
              <a:gd name="connsiteY20" fmla="*/ 304802 h 678906"/>
              <a:gd name="connsiteX21" fmla="*/ 185017 w 557958"/>
              <a:gd name="connsiteY21" fmla="*/ 327153 h 678906"/>
              <a:gd name="connsiteX22" fmla="*/ 836 w 557958"/>
              <a:gd name="connsiteY22" fmla="*/ 559643 h 678906"/>
              <a:gd name="connsiteX23" fmla="*/ 836 w 557958"/>
              <a:gd name="connsiteY23" fmla="*/ 286370 h 678906"/>
              <a:gd name="connsiteX24" fmla="*/ 0 w 557958"/>
              <a:gd name="connsiteY24" fmla="*/ 286201 h 678906"/>
              <a:gd name="connsiteX25" fmla="*/ 0 w 557958"/>
              <a:gd name="connsiteY25" fmla="*/ 92738 h 678906"/>
              <a:gd name="connsiteX26" fmla="*/ 92739 w 557958"/>
              <a:gd name="connsiteY26" fmla="*/ 0 h 67890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Lst>
            <a:rect l="l" t="t" r="r" b="b"/>
            <a:pathLst>
              <a:path w="557958" h="678906">
                <a:moveTo>
                  <a:pt x="350280" y="0"/>
                </a:moveTo>
                <a:lnTo>
                  <a:pt x="557958" y="213145"/>
                </a:lnTo>
                <a:lnTo>
                  <a:pt x="557958" y="215074"/>
                </a:lnTo>
                <a:lnTo>
                  <a:pt x="433296" y="215074"/>
                </a:lnTo>
                <a:cubicBezTo>
                  <a:pt x="387445" y="215074"/>
                  <a:pt x="350280" y="177908"/>
                  <a:pt x="350280" y="132059"/>
                </a:cubicBezTo>
                <a:close/>
                <a:moveTo>
                  <a:pt x="92739" y="0"/>
                </a:moveTo>
                <a:lnTo>
                  <a:pt x="323926" y="0"/>
                </a:lnTo>
                <a:lnTo>
                  <a:pt x="324397" y="493"/>
                </a:lnTo>
                <a:lnTo>
                  <a:pt x="324397" y="147525"/>
                </a:lnTo>
                <a:cubicBezTo>
                  <a:pt x="324397" y="198745"/>
                  <a:pt x="365915" y="240263"/>
                  <a:pt x="417135" y="240263"/>
                </a:cubicBezTo>
                <a:lnTo>
                  <a:pt x="553322" y="240263"/>
                </a:lnTo>
                <a:lnTo>
                  <a:pt x="556420" y="243507"/>
                </a:lnTo>
                <a:lnTo>
                  <a:pt x="556420" y="586169"/>
                </a:lnTo>
                <a:cubicBezTo>
                  <a:pt x="556420" y="637388"/>
                  <a:pt x="514902" y="678906"/>
                  <a:pt x="463682" y="678906"/>
                </a:cubicBezTo>
                <a:lnTo>
                  <a:pt x="92739" y="678906"/>
                </a:lnTo>
                <a:lnTo>
                  <a:pt x="92734" y="678905"/>
                </a:lnTo>
                <a:lnTo>
                  <a:pt x="59501" y="678905"/>
                </a:lnTo>
                <a:lnTo>
                  <a:pt x="279110" y="401696"/>
                </a:lnTo>
                <a:cubicBezTo>
                  <a:pt x="299695" y="375712"/>
                  <a:pt x="295318" y="337962"/>
                  <a:pt x="269334" y="317378"/>
                </a:cubicBezTo>
                <a:lnTo>
                  <a:pt x="269335" y="317377"/>
                </a:lnTo>
                <a:cubicBezTo>
                  <a:pt x="256344" y="307085"/>
                  <a:pt x="240410" y="303033"/>
                  <a:pt x="225152" y="304802"/>
                </a:cubicBezTo>
                <a:cubicBezTo>
                  <a:pt x="209893" y="306571"/>
                  <a:pt x="195309" y="314162"/>
                  <a:pt x="185017" y="327153"/>
                </a:cubicBezTo>
                <a:lnTo>
                  <a:pt x="836" y="559643"/>
                </a:lnTo>
                <a:lnTo>
                  <a:pt x="836" y="286370"/>
                </a:lnTo>
                <a:lnTo>
                  <a:pt x="0" y="286201"/>
                </a:lnTo>
                <a:lnTo>
                  <a:pt x="0" y="92738"/>
                </a:lnTo>
                <a:cubicBezTo>
                  <a:pt x="0" y="41518"/>
                  <a:pt x="41519" y="0"/>
                  <a:pt x="92739" y="0"/>
                </a:cubicBezTo>
                <a:close/>
              </a:path>
            </a:pathLst>
          </a:custGeom>
          <a:solidFill>
            <a:srgbClr val="2950B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3199"/>
          </a:p>
        </xdr:txBody>
      </xdr:sp>
      <xdr:grpSp>
        <xdr:nvGrpSpPr>
          <xdr:cNvPr id="32" name="Group 31">
            <a:extLst>
              <a:ext uri="{FF2B5EF4-FFF2-40B4-BE49-F238E27FC236}">
                <a16:creationId xmlns:a16="http://schemas.microsoft.com/office/drawing/2014/main" id="{00000000-0008-0000-0900-000020000000}"/>
              </a:ext>
            </a:extLst>
          </xdr:cNvPr>
          <xdr:cNvGrpSpPr/>
        </xdr:nvGrpSpPr>
        <xdr:grpSpPr>
          <a:xfrm>
            <a:off x="2227648" y="2566818"/>
            <a:ext cx="201061" cy="359352"/>
            <a:chOff x="6470288" y="1855804"/>
            <a:chExt cx="258298" cy="461654"/>
          </a:xfrm>
          <a:solidFill>
            <a:srgbClr val="2950BD"/>
          </a:solidFill>
        </xdr:grpSpPr>
        <xdr:sp macro="" textlink="">
          <xdr:nvSpPr>
            <xdr:cNvPr id="33" name="Rounded Rectangle 32">
              <a:extLst>
                <a:ext uri="{FF2B5EF4-FFF2-40B4-BE49-F238E27FC236}">
                  <a16:creationId xmlns:a16="http://schemas.microsoft.com/office/drawing/2014/main" id="{00000000-0008-0000-0900-000021000000}"/>
                </a:ext>
              </a:extLst>
            </xdr:cNvPr>
            <xdr:cNvSpPr/>
          </xdr:nvSpPr>
          <xdr:spPr>
            <a:xfrm rot="18503198">
              <a:off x="6455048" y="2043919"/>
              <a:ext cx="461654" cy="85423"/>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3199"/>
            </a:p>
          </xdr:txBody>
        </xdr:sp>
        <xdr:sp macro="" textlink="">
          <xdr:nvSpPr>
            <xdr:cNvPr id="34" name="Rounded Rectangle 33">
              <a:extLst>
                <a:ext uri="{FF2B5EF4-FFF2-40B4-BE49-F238E27FC236}">
                  <a16:creationId xmlns:a16="http://schemas.microsoft.com/office/drawing/2014/main" id="{00000000-0008-0000-0900-000022000000}"/>
                </a:ext>
              </a:extLst>
            </xdr:cNvPr>
            <xdr:cNvSpPr/>
          </xdr:nvSpPr>
          <xdr:spPr>
            <a:xfrm rot="13895427">
              <a:off x="6380098" y="2120239"/>
              <a:ext cx="265804" cy="85423"/>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3199"/>
            </a:p>
          </xdr:txBody>
        </xdr:sp>
      </xdr:grpSp>
    </xdr:grpSp>
    <xdr:clientData/>
  </xdr:twoCellAnchor>
  <xdr:twoCellAnchor>
    <xdr:from>
      <xdr:col>6</xdr:col>
      <xdr:colOff>361950</xdr:colOff>
      <xdr:row>0</xdr:row>
      <xdr:rowOff>38100</xdr:rowOff>
    </xdr:from>
    <xdr:to>
      <xdr:col>7</xdr:col>
      <xdr:colOff>123825</xdr:colOff>
      <xdr:row>1</xdr:row>
      <xdr:rowOff>152400</xdr:rowOff>
    </xdr:to>
    <xdr:sp macro="[0]!Home" textlink="">
      <xdr:nvSpPr>
        <xdr:cNvPr id="17" name="Rounded Rectangle 16">
          <a:extLst>
            <a:ext uri="{FF2B5EF4-FFF2-40B4-BE49-F238E27FC236}">
              <a16:creationId xmlns:a16="http://schemas.microsoft.com/office/drawing/2014/main" id="{00000000-0008-0000-0900-000011000000}"/>
            </a:ext>
          </a:extLst>
        </xdr:cNvPr>
        <xdr:cNvSpPr/>
      </xdr:nvSpPr>
      <xdr:spPr>
        <a:xfrm>
          <a:off x="8305800" y="38100"/>
          <a:ext cx="1038225" cy="447675"/>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2">
                  <a:lumMod val="50000"/>
                </a:schemeClr>
              </a:solidFill>
            </a:rPr>
            <a:t>     HOME</a:t>
          </a:r>
        </a:p>
      </xdr:txBody>
    </xdr:sp>
    <xdr:clientData/>
  </xdr:twoCellAnchor>
  <xdr:twoCellAnchor>
    <xdr:from>
      <xdr:col>7</xdr:col>
      <xdr:colOff>257175</xdr:colOff>
      <xdr:row>0</xdr:row>
      <xdr:rowOff>47625</xdr:rowOff>
    </xdr:from>
    <xdr:to>
      <xdr:col>8</xdr:col>
      <xdr:colOff>123825</xdr:colOff>
      <xdr:row>1</xdr:row>
      <xdr:rowOff>161925</xdr:rowOff>
    </xdr:to>
    <xdr:sp macro="[0]!Previousheet" textlink="">
      <xdr:nvSpPr>
        <xdr:cNvPr id="18" name="Rounded Rectangle 17">
          <a:extLst>
            <a:ext uri="{FF2B5EF4-FFF2-40B4-BE49-F238E27FC236}">
              <a16:creationId xmlns:a16="http://schemas.microsoft.com/office/drawing/2014/main" id="{00000000-0008-0000-0900-000012000000}"/>
            </a:ext>
          </a:extLst>
        </xdr:cNvPr>
        <xdr:cNvSpPr/>
      </xdr:nvSpPr>
      <xdr:spPr>
        <a:xfrm>
          <a:off x="9477375" y="47625"/>
          <a:ext cx="1038225" cy="447675"/>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2">
                  <a:lumMod val="50000"/>
                </a:schemeClr>
              </a:solidFill>
            </a:rPr>
            <a:t>   PREVIOUS</a:t>
          </a:r>
          <a:r>
            <a:rPr lang="en-US" sz="1100" b="1" baseline="0">
              <a:solidFill>
                <a:schemeClr val="tx2">
                  <a:lumMod val="50000"/>
                </a:schemeClr>
              </a:solidFill>
            </a:rPr>
            <a:t> </a:t>
          </a:r>
          <a:endParaRPr lang="en-US" sz="1100" b="1">
            <a:solidFill>
              <a:schemeClr val="tx2">
                <a:lumMod val="50000"/>
              </a:schemeClr>
            </a:solidFill>
          </a:endParaRPr>
        </a:p>
      </xdr:txBody>
    </xdr:sp>
    <xdr:clientData/>
  </xdr:twoCellAnchor>
  <xdr:twoCellAnchor>
    <xdr:from>
      <xdr:col>8</xdr:col>
      <xdr:colOff>285750</xdr:colOff>
      <xdr:row>0</xdr:row>
      <xdr:rowOff>47625</xdr:rowOff>
    </xdr:from>
    <xdr:to>
      <xdr:col>8</xdr:col>
      <xdr:colOff>1323975</xdr:colOff>
      <xdr:row>1</xdr:row>
      <xdr:rowOff>161925</xdr:rowOff>
    </xdr:to>
    <xdr:sp macro="[0]!Nextsheet" textlink="">
      <xdr:nvSpPr>
        <xdr:cNvPr id="19" name="Rounded Rectangle 18">
          <a:extLst>
            <a:ext uri="{FF2B5EF4-FFF2-40B4-BE49-F238E27FC236}">
              <a16:creationId xmlns:a16="http://schemas.microsoft.com/office/drawing/2014/main" id="{00000000-0008-0000-0900-000013000000}"/>
            </a:ext>
          </a:extLst>
        </xdr:cNvPr>
        <xdr:cNvSpPr/>
      </xdr:nvSpPr>
      <xdr:spPr>
        <a:xfrm>
          <a:off x="10677525" y="47625"/>
          <a:ext cx="1038225" cy="447675"/>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2">
                  <a:lumMod val="50000"/>
                </a:schemeClr>
              </a:solidFill>
            </a:rPr>
            <a:t>       NEXT</a:t>
          </a:r>
        </a:p>
      </xdr:txBody>
    </xdr:sp>
    <xdr:clientData/>
  </xdr:twoCellAnchor>
  <xdr:twoCellAnchor>
    <xdr:from>
      <xdr:col>5</xdr:col>
      <xdr:colOff>647701</xdr:colOff>
      <xdr:row>0</xdr:row>
      <xdr:rowOff>47625</xdr:rowOff>
    </xdr:from>
    <xdr:to>
      <xdr:col>6</xdr:col>
      <xdr:colOff>190501</xdr:colOff>
      <xdr:row>1</xdr:row>
      <xdr:rowOff>171450</xdr:rowOff>
    </xdr:to>
    <xdr:sp macro="[0]!Help" textlink="">
      <xdr:nvSpPr>
        <xdr:cNvPr id="20" name="Rounded Rectangle 19">
          <a:extLst>
            <a:ext uri="{FF2B5EF4-FFF2-40B4-BE49-F238E27FC236}">
              <a16:creationId xmlns:a16="http://schemas.microsoft.com/office/drawing/2014/main" id="{00000000-0008-0000-0900-000014000000}"/>
            </a:ext>
          </a:extLst>
        </xdr:cNvPr>
        <xdr:cNvSpPr/>
      </xdr:nvSpPr>
      <xdr:spPr>
        <a:xfrm>
          <a:off x="7048501" y="47625"/>
          <a:ext cx="1085850" cy="457200"/>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chemeClr val="tx2">
                  <a:lumMod val="50000"/>
                </a:schemeClr>
              </a:solidFill>
            </a:rPr>
            <a:t>HELP</a:t>
          </a:r>
        </a:p>
      </xdr:txBody>
    </xdr:sp>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28576</xdr:colOff>
      <xdr:row>0</xdr:row>
      <xdr:rowOff>19051</xdr:rowOff>
    </xdr:from>
    <xdr:to>
      <xdr:col>0</xdr:col>
      <xdr:colOff>361950</xdr:colOff>
      <xdr:row>1</xdr:row>
      <xdr:rowOff>238125</xdr:rowOff>
    </xdr:to>
    <xdr:pic>
      <xdr:nvPicPr>
        <xdr:cNvPr id="2" name="Picture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stretch>
          <a:fillRect/>
        </a:stretch>
      </xdr:blipFill>
      <xdr:spPr>
        <a:xfrm>
          <a:off x="28576" y="19051"/>
          <a:ext cx="333374" cy="590549"/>
        </a:xfrm>
        <a:prstGeom prst="rect">
          <a:avLst/>
        </a:prstGeom>
      </xdr:spPr>
    </xdr:pic>
    <xdr:clientData/>
  </xdr:twoCellAnchor>
  <xdr:twoCellAnchor>
    <xdr:from>
      <xdr:col>8</xdr:col>
      <xdr:colOff>123825</xdr:colOff>
      <xdr:row>2</xdr:row>
      <xdr:rowOff>66675</xdr:rowOff>
    </xdr:from>
    <xdr:to>
      <xdr:col>8</xdr:col>
      <xdr:colOff>1400175</xdr:colOff>
      <xdr:row>2</xdr:row>
      <xdr:rowOff>638175</xdr:rowOff>
    </xdr:to>
    <xdr:sp macro="[0]!Validate_Reasons" textlink="">
      <xdr:nvSpPr>
        <xdr:cNvPr id="3" name="Rounded Rectangle 2">
          <a:extLst>
            <a:ext uri="{FF2B5EF4-FFF2-40B4-BE49-F238E27FC236}">
              <a16:creationId xmlns:a16="http://schemas.microsoft.com/office/drawing/2014/main" id="{00000000-0008-0000-0A00-000003000000}"/>
            </a:ext>
          </a:extLst>
        </xdr:cNvPr>
        <xdr:cNvSpPr/>
      </xdr:nvSpPr>
      <xdr:spPr>
        <a:xfrm>
          <a:off x="10515600" y="781050"/>
          <a:ext cx="1276350" cy="571500"/>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2">
                  <a:lumMod val="50000"/>
                </a:schemeClr>
              </a:solidFill>
            </a:rPr>
            <a:t>Validate </a:t>
          </a:r>
        </a:p>
        <a:p>
          <a:pPr algn="l"/>
          <a:r>
            <a:rPr lang="en-US" sz="1100" b="1">
              <a:solidFill>
                <a:schemeClr val="tx2">
                  <a:lumMod val="50000"/>
                </a:schemeClr>
              </a:solidFill>
            </a:rPr>
            <a:t>Sheet</a:t>
          </a:r>
        </a:p>
      </xdr:txBody>
    </xdr:sp>
    <xdr:clientData/>
  </xdr:twoCellAnchor>
  <xdr:twoCellAnchor>
    <xdr:from>
      <xdr:col>8</xdr:col>
      <xdr:colOff>847725</xdr:colOff>
      <xdr:row>2</xdr:row>
      <xdr:rowOff>104776</xdr:rowOff>
    </xdr:from>
    <xdr:to>
      <xdr:col>8</xdr:col>
      <xdr:colOff>1276350</xdr:colOff>
      <xdr:row>2</xdr:row>
      <xdr:rowOff>542926</xdr:rowOff>
    </xdr:to>
    <xdr:grpSp>
      <xdr:nvGrpSpPr>
        <xdr:cNvPr id="4" name="Group 3">
          <a:extLst>
            <a:ext uri="{FF2B5EF4-FFF2-40B4-BE49-F238E27FC236}">
              <a16:creationId xmlns:a16="http://schemas.microsoft.com/office/drawing/2014/main" id="{00000000-0008-0000-0A00-000004000000}"/>
            </a:ext>
          </a:extLst>
        </xdr:cNvPr>
        <xdr:cNvGrpSpPr/>
      </xdr:nvGrpSpPr>
      <xdr:grpSpPr>
        <a:xfrm>
          <a:off x="11530965" y="821056"/>
          <a:ext cx="428625" cy="438150"/>
          <a:chOff x="1982229" y="2092319"/>
          <a:chExt cx="1029931" cy="1029921"/>
        </a:xfrm>
      </xdr:grpSpPr>
      <xdr:sp macro="" textlink="">
        <xdr:nvSpPr>
          <xdr:cNvPr id="5" name="Oval 4">
            <a:extLst>
              <a:ext uri="{FF2B5EF4-FFF2-40B4-BE49-F238E27FC236}">
                <a16:creationId xmlns:a16="http://schemas.microsoft.com/office/drawing/2014/main" id="{00000000-0008-0000-0A00-000005000000}"/>
              </a:ext>
            </a:extLst>
          </xdr:cNvPr>
          <xdr:cNvSpPr/>
        </xdr:nvSpPr>
        <xdr:spPr>
          <a:xfrm>
            <a:off x="1982229" y="2092319"/>
            <a:ext cx="1029931" cy="1029921"/>
          </a:xfrm>
          <a:prstGeom prst="ellipse">
            <a:avLst/>
          </a:prstGeom>
          <a:solidFill>
            <a:schemeClr val="bg1"/>
          </a:solidFill>
          <a:ln w="57150">
            <a:solidFill>
              <a:srgbClr val="5B7DDB"/>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2215" b="1">
              <a:solidFill>
                <a:schemeClr val="tx1">
                  <a:lumMod val="60000"/>
                  <a:lumOff val="40000"/>
                </a:schemeClr>
              </a:solidFill>
              <a:latin typeface="Arial" pitchFamily="34" charset="0"/>
              <a:cs typeface="Arial" pitchFamily="34" charset="0"/>
            </a:endParaRPr>
          </a:p>
        </xdr:txBody>
      </xdr:sp>
      <xdr:sp macro="" textlink="">
        <xdr:nvSpPr>
          <xdr:cNvPr id="6" name="Freeform 5">
            <a:extLst>
              <a:ext uri="{FF2B5EF4-FFF2-40B4-BE49-F238E27FC236}">
                <a16:creationId xmlns:a16="http://schemas.microsoft.com/office/drawing/2014/main" id="{00000000-0008-0000-0A00-000006000000}"/>
              </a:ext>
            </a:extLst>
          </xdr:cNvPr>
          <xdr:cNvSpPr/>
        </xdr:nvSpPr>
        <xdr:spPr>
          <a:xfrm>
            <a:off x="2302002" y="2350498"/>
            <a:ext cx="434316" cy="528460"/>
          </a:xfrm>
          <a:custGeom>
            <a:avLst/>
            <a:gdLst>
              <a:gd name="connsiteX0" fmla="*/ 350280 w 557958"/>
              <a:gd name="connsiteY0" fmla="*/ 0 h 678906"/>
              <a:gd name="connsiteX1" fmla="*/ 557958 w 557958"/>
              <a:gd name="connsiteY1" fmla="*/ 213145 h 678906"/>
              <a:gd name="connsiteX2" fmla="*/ 557958 w 557958"/>
              <a:gd name="connsiteY2" fmla="*/ 215074 h 678906"/>
              <a:gd name="connsiteX3" fmla="*/ 433296 w 557958"/>
              <a:gd name="connsiteY3" fmla="*/ 215074 h 678906"/>
              <a:gd name="connsiteX4" fmla="*/ 350280 w 557958"/>
              <a:gd name="connsiteY4" fmla="*/ 132059 h 678906"/>
              <a:gd name="connsiteX5" fmla="*/ 92739 w 557958"/>
              <a:gd name="connsiteY5" fmla="*/ 0 h 678906"/>
              <a:gd name="connsiteX6" fmla="*/ 323926 w 557958"/>
              <a:gd name="connsiteY6" fmla="*/ 0 h 678906"/>
              <a:gd name="connsiteX7" fmla="*/ 324397 w 557958"/>
              <a:gd name="connsiteY7" fmla="*/ 493 h 678906"/>
              <a:gd name="connsiteX8" fmla="*/ 324397 w 557958"/>
              <a:gd name="connsiteY8" fmla="*/ 147525 h 678906"/>
              <a:gd name="connsiteX9" fmla="*/ 417135 w 557958"/>
              <a:gd name="connsiteY9" fmla="*/ 240263 h 678906"/>
              <a:gd name="connsiteX10" fmla="*/ 553322 w 557958"/>
              <a:gd name="connsiteY10" fmla="*/ 240263 h 678906"/>
              <a:gd name="connsiteX11" fmla="*/ 556420 w 557958"/>
              <a:gd name="connsiteY11" fmla="*/ 243507 h 678906"/>
              <a:gd name="connsiteX12" fmla="*/ 556420 w 557958"/>
              <a:gd name="connsiteY12" fmla="*/ 586169 h 678906"/>
              <a:gd name="connsiteX13" fmla="*/ 463682 w 557958"/>
              <a:gd name="connsiteY13" fmla="*/ 678906 h 678906"/>
              <a:gd name="connsiteX14" fmla="*/ 92739 w 557958"/>
              <a:gd name="connsiteY14" fmla="*/ 678906 h 678906"/>
              <a:gd name="connsiteX15" fmla="*/ 92734 w 557958"/>
              <a:gd name="connsiteY15" fmla="*/ 678905 h 678906"/>
              <a:gd name="connsiteX16" fmla="*/ 59501 w 557958"/>
              <a:gd name="connsiteY16" fmla="*/ 678905 h 678906"/>
              <a:gd name="connsiteX17" fmla="*/ 279110 w 557958"/>
              <a:gd name="connsiteY17" fmla="*/ 401696 h 678906"/>
              <a:gd name="connsiteX18" fmla="*/ 269334 w 557958"/>
              <a:gd name="connsiteY18" fmla="*/ 317378 h 678906"/>
              <a:gd name="connsiteX19" fmla="*/ 269335 w 557958"/>
              <a:gd name="connsiteY19" fmla="*/ 317377 h 678906"/>
              <a:gd name="connsiteX20" fmla="*/ 225152 w 557958"/>
              <a:gd name="connsiteY20" fmla="*/ 304802 h 678906"/>
              <a:gd name="connsiteX21" fmla="*/ 185017 w 557958"/>
              <a:gd name="connsiteY21" fmla="*/ 327153 h 678906"/>
              <a:gd name="connsiteX22" fmla="*/ 836 w 557958"/>
              <a:gd name="connsiteY22" fmla="*/ 559643 h 678906"/>
              <a:gd name="connsiteX23" fmla="*/ 836 w 557958"/>
              <a:gd name="connsiteY23" fmla="*/ 286370 h 678906"/>
              <a:gd name="connsiteX24" fmla="*/ 0 w 557958"/>
              <a:gd name="connsiteY24" fmla="*/ 286201 h 678906"/>
              <a:gd name="connsiteX25" fmla="*/ 0 w 557958"/>
              <a:gd name="connsiteY25" fmla="*/ 92738 h 678906"/>
              <a:gd name="connsiteX26" fmla="*/ 92739 w 557958"/>
              <a:gd name="connsiteY26" fmla="*/ 0 h 67890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Lst>
            <a:rect l="l" t="t" r="r" b="b"/>
            <a:pathLst>
              <a:path w="557958" h="678906">
                <a:moveTo>
                  <a:pt x="350280" y="0"/>
                </a:moveTo>
                <a:lnTo>
                  <a:pt x="557958" y="213145"/>
                </a:lnTo>
                <a:lnTo>
                  <a:pt x="557958" y="215074"/>
                </a:lnTo>
                <a:lnTo>
                  <a:pt x="433296" y="215074"/>
                </a:lnTo>
                <a:cubicBezTo>
                  <a:pt x="387445" y="215074"/>
                  <a:pt x="350280" y="177908"/>
                  <a:pt x="350280" y="132059"/>
                </a:cubicBezTo>
                <a:close/>
                <a:moveTo>
                  <a:pt x="92739" y="0"/>
                </a:moveTo>
                <a:lnTo>
                  <a:pt x="323926" y="0"/>
                </a:lnTo>
                <a:lnTo>
                  <a:pt x="324397" y="493"/>
                </a:lnTo>
                <a:lnTo>
                  <a:pt x="324397" y="147525"/>
                </a:lnTo>
                <a:cubicBezTo>
                  <a:pt x="324397" y="198745"/>
                  <a:pt x="365915" y="240263"/>
                  <a:pt x="417135" y="240263"/>
                </a:cubicBezTo>
                <a:lnTo>
                  <a:pt x="553322" y="240263"/>
                </a:lnTo>
                <a:lnTo>
                  <a:pt x="556420" y="243507"/>
                </a:lnTo>
                <a:lnTo>
                  <a:pt x="556420" y="586169"/>
                </a:lnTo>
                <a:cubicBezTo>
                  <a:pt x="556420" y="637388"/>
                  <a:pt x="514902" y="678906"/>
                  <a:pt x="463682" y="678906"/>
                </a:cubicBezTo>
                <a:lnTo>
                  <a:pt x="92739" y="678906"/>
                </a:lnTo>
                <a:lnTo>
                  <a:pt x="92734" y="678905"/>
                </a:lnTo>
                <a:lnTo>
                  <a:pt x="59501" y="678905"/>
                </a:lnTo>
                <a:lnTo>
                  <a:pt x="279110" y="401696"/>
                </a:lnTo>
                <a:cubicBezTo>
                  <a:pt x="299695" y="375712"/>
                  <a:pt x="295318" y="337962"/>
                  <a:pt x="269334" y="317378"/>
                </a:cubicBezTo>
                <a:lnTo>
                  <a:pt x="269335" y="317377"/>
                </a:lnTo>
                <a:cubicBezTo>
                  <a:pt x="256344" y="307085"/>
                  <a:pt x="240410" y="303033"/>
                  <a:pt x="225152" y="304802"/>
                </a:cubicBezTo>
                <a:cubicBezTo>
                  <a:pt x="209893" y="306571"/>
                  <a:pt x="195309" y="314162"/>
                  <a:pt x="185017" y="327153"/>
                </a:cubicBezTo>
                <a:lnTo>
                  <a:pt x="836" y="559643"/>
                </a:lnTo>
                <a:lnTo>
                  <a:pt x="836" y="286370"/>
                </a:lnTo>
                <a:lnTo>
                  <a:pt x="0" y="286201"/>
                </a:lnTo>
                <a:lnTo>
                  <a:pt x="0" y="92738"/>
                </a:lnTo>
                <a:cubicBezTo>
                  <a:pt x="0" y="41518"/>
                  <a:pt x="41519" y="0"/>
                  <a:pt x="92739" y="0"/>
                </a:cubicBezTo>
                <a:close/>
              </a:path>
            </a:pathLst>
          </a:custGeom>
          <a:solidFill>
            <a:srgbClr val="2950B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3199"/>
          </a:p>
        </xdr:txBody>
      </xdr:sp>
      <xdr:grpSp>
        <xdr:nvGrpSpPr>
          <xdr:cNvPr id="7" name="Group 6">
            <a:extLst>
              <a:ext uri="{FF2B5EF4-FFF2-40B4-BE49-F238E27FC236}">
                <a16:creationId xmlns:a16="http://schemas.microsoft.com/office/drawing/2014/main" id="{00000000-0008-0000-0A00-000007000000}"/>
              </a:ext>
            </a:extLst>
          </xdr:cNvPr>
          <xdr:cNvGrpSpPr/>
        </xdr:nvGrpSpPr>
        <xdr:grpSpPr>
          <a:xfrm>
            <a:off x="2227648" y="2566818"/>
            <a:ext cx="201061" cy="359352"/>
            <a:chOff x="6470288" y="1855804"/>
            <a:chExt cx="258298" cy="461654"/>
          </a:xfrm>
          <a:solidFill>
            <a:srgbClr val="2950BD"/>
          </a:solidFill>
        </xdr:grpSpPr>
        <xdr:sp macro="" textlink="">
          <xdr:nvSpPr>
            <xdr:cNvPr id="8" name="Rounded Rectangle 7">
              <a:extLst>
                <a:ext uri="{FF2B5EF4-FFF2-40B4-BE49-F238E27FC236}">
                  <a16:creationId xmlns:a16="http://schemas.microsoft.com/office/drawing/2014/main" id="{00000000-0008-0000-0A00-000008000000}"/>
                </a:ext>
              </a:extLst>
            </xdr:cNvPr>
            <xdr:cNvSpPr/>
          </xdr:nvSpPr>
          <xdr:spPr>
            <a:xfrm rot="18503198">
              <a:off x="6455048" y="2043919"/>
              <a:ext cx="461654" cy="85423"/>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3199"/>
            </a:p>
          </xdr:txBody>
        </xdr:sp>
        <xdr:sp macro="" textlink="">
          <xdr:nvSpPr>
            <xdr:cNvPr id="9" name="Rounded Rectangle 8">
              <a:extLst>
                <a:ext uri="{FF2B5EF4-FFF2-40B4-BE49-F238E27FC236}">
                  <a16:creationId xmlns:a16="http://schemas.microsoft.com/office/drawing/2014/main" id="{00000000-0008-0000-0A00-000009000000}"/>
                </a:ext>
              </a:extLst>
            </xdr:cNvPr>
            <xdr:cNvSpPr/>
          </xdr:nvSpPr>
          <xdr:spPr>
            <a:xfrm rot="13895427">
              <a:off x="6380098" y="2120239"/>
              <a:ext cx="265804" cy="85423"/>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3199"/>
            </a:p>
          </xdr:txBody>
        </xdr:sp>
      </xdr:grpSp>
    </xdr:grpSp>
    <xdr:clientData/>
  </xdr:twoCellAnchor>
  <xdr:twoCellAnchor>
    <xdr:from>
      <xdr:col>6</xdr:col>
      <xdr:colOff>447675</xdr:colOff>
      <xdr:row>0</xdr:row>
      <xdr:rowOff>66675</xdr:rowOff>
    </xdr:from>
    <xdr:to>
      <xdr:col>7</xdr:col>
      <xdr:colOff>209550</xdr:colOff>
      <xdr:row>1</xdr:row>
      <xdr:rowOff>180975</xdr:rowOff>
    </xdr:to>
    <xdr:sp macro="[0]!Home" textlink="">
      <xdr:nvSpPr>
        <xdr:cNvPr id="10" name="Rounded Rectangle 9">
          <a:extLst>
            <a:ext uri="{FF2B5EF4-FFF2-40B4-BE49-F238E27FC236}">
              <a16:creationId xmlns:a16="http://schemas.microsoft.com/office/drawing/2014/main" id="{00000000-0008-0000-0A00-00000A000000}"/>
            </a:ext>
          </a:extLst>
        </xdr:cNvPr>
        <xdr:cNvSpPr/>
      </xdr:nvSpPr>
      <xdr:spPr>
        <a:xfrm>
          <a:off x="8391525" y="66675"/>
          <a:ext cx="1038225" cy="485775"/>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2">
                  <a:lumMod val="50000"/>
                </a:schemeClr>
              </a:solidFill>
            </a:rPr>
            <a:t>     HOME</a:t>
          </a:r>
        </a:p>
      </xdr:txBody>
    </xdr:sp>
    <xdr:clientData/>
  </xdr:twoCellAnchor>
  <xdr:twoCellAnchor>
    <xdr:from>
      <xdr:col>7</xdr:col>
      <xdr:colOff>342900</xdr:colOff>
      <xdr:row>0</xdr:row>
      <xdr:rowOff>76200</xdr:rowOff>
    </xdr:from>
    <xdr:to>
      <xdr:col>8</xdr:col>
      <xdr:colOff>209550</xdr:colOff>
      <xdr:row>1</xdr:row>
      <xdr:rowOff>190500</xdr:rowOff>
    </xdr:to>
    <xdr:sp macro="[0]!Previousheet" textlink="">
      <xdr:nvSpPr>
        <xdr:cNvPr id="11" name="Rounded Rectangle 10">
          <a:extLst>
            <a:ext uri="{FF2B5EF4-FFF2-40B4-BE49-F238E27FC236}">
              <a16:creationId xmlns:a16="http://schemas.microsoft.com/office/drawing/2014/main" id="{00000000-0008-0000-0A00-00000B000000}"/>
            </a:ext>
          </a:extLst>
        </xdr:cNvPr>
        <xdr:cNvSpPr/>
      </xdr:nvSpPr>
      <xdr:spPr>
        <a:xfrm>
          <a:off x="9563100" y="76200"/>
          <a:ext cx="1038225" cy="485775"/>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2">
                  <a:lumMod val="50000"/>
                </a:schemeClr>
              </a:solidFill>
            </a:rPr>
            <a:t>   PREVIOUS</a:t>
          </a:r>
          <a:r>
            <a:rPr lang="en-US" sz="1100" b="1" baseline="0">
              <a:solidFill>
                <a:schemeClr val="tx2">
                  <a:lumMod val="50000"/>
                </a:schemeClr>
              </a:solidFill>
            </a:rPr>
            <a:t> </a:t>
          </a:r>
          <a:endParaRPr lang="en-US" sz="1100" b="1">
            <a:solidFill>
              <a:schemeClr val="tx2">
                <a:lumMod val="50000"/>
              </a:schemeClr>
            </a:solidFill>
          </a:endParaRPr>
        </a:p>
      </xdr:txBody>
    </xdr:sp>
    <xdr:clientData/>
  </xdr:twoCellAnchor>
  <xdr:twoCellAnchor>
    <xdr:from>
      <xdr:col>8</xdr:col>
      <xdr:colOff>371475</xdr:colOff>
      <xdr:row>0</xdr:row>
      <xdr:rowOff>76200</xdr:rowOff>
    </xdr:from>
    <xdr:to>
      <xdr:col>8</xdr:col>
      <xdr:colOff>1409700</xdr:colOff>
      <xdr:row>1</xdr:row>
      <xdr:rowOff>190500</xdr:rowOff>
    </xdr:to>
    <xdr:sp macro="[0]!Nextsheet" textlink="">
      <xdr:nvSpPr>
        <xdr:cNvPr id="12" name="Rounded Rectangle 11">
          <a:extLst>
            <a:ext uri="{FF2B5EF4-FFF2-40B4-BE49-F238E27FC236}">
              <a16:creationId xmlns:a16="http://schemas.microsoft.com/office/drawing/2014/main" id="{00000000-0008-0000-0A00-00000C000000}"/>
            </a:ext>
          </a:extLst>
        </xdr:cNvPr>
        <xdr:cNvSpPr/>
      </xdr:nvSpPr>
      <xdr:spPr>
        <a:xfrm>
          <a:off x="10763250" y="76200"/>
          <a:ext cx="1038225" cy="485775"/>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2">
                  <a:lumMod val="50000"/>
                </a:schemeClr>
              </a:solidFill>
            </a:rPr>
            <a:t>       NEXT</a:t>
          </a:r>
        </a:p>
      </xdr:txBody>
    </xdr:sp>
    <xdr:clientData/>
  </xdr:twoCellAnchor>
  <xdr:twoCellAnchor>
    <xdr:from>
      <xdr:col>5</xdr:col>
      <xdr:colOff>647700</xdr:colOff>
      <xdr:row>0</xdr:row>
      <xdr:rowOff>76200</xdr:rowOff>
    </xdr:from>
    <xdr:to>
      <xdr:col>6</xdr:col>
      <xdr:colOff>257175</xdr:colOff>
      <xdr:row>1</xdr:row>
      <xdr:rowOff>190500</xdr:rowOff>
    </xdr:to>
    <xdr:sp macro="[0]!Help" textlink="">
      <xdr:nvSpPr>
        <xdr:cNvPr id="13" name="Rounded Rectangle 12">
          <a:extLst>
            <a:ext uri="{FF2B5EF4-FFF2-40B4-BE49-F238E27FC236}">
              <a16:creationId xmlns:a16="http://schemas.microsoft.com/office/drawing/2014/main" id="{00000000-0008-0000-0A00-00000D000000}"/>
            </a:ext>
          </a:extLst>
        </xdr:cNvPr>
        <xdr:cNvSpPr/>
      </xdr:nvSpPr>
      <xdr:spPr>
        <a:xfrm>
          <a:off x="7048500" y="76200"/>
          <a:ext cx="1152525" cy="485775"/>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chemeClr val="tx2">
                  <a:lumMod val="50000"/>
                </a:schemeClr>
              </a:solidFill>
            </a:rPr>
            <a:t>HELP</a:t>
          </a:r>
        </a:p>
      </xdr:txBody>
    </xdr:sp>
    <xdr:clientData/>
  </xdr:twoCellAnchor>
  <xdr:twoCellAnchor>
    <xdr:from>
      <xdr:col>11</xdr:col>
      <xdr:colOff>95250</xdr:colOff>
      <xdr:row>4</xdr:row>
      <xdr:rowOff>190500</xdr:rowOff>
    </xdr:from>
    <xdr:to>
      <xdr:col>12</xdr:col>
      <xdr:colOff>152400</xdr:colOff>
      <xdr:row>4</xdr:row>
      <xdr:rowOff>533400</xdr:rowOff>
    </xdr:to>
    <xdr:sp macro="[0]!Add_reasons_sheet" textlink="">
      <xdr:nvSpPr>
        <xdr:cNvPr id="14" name="Rounded Rectangle 13">
          <a:extLst>
            <a:ext uri="{FF2B5EF4-FFF2-40B4-BE49-F238E27FC236}">
              <a16:creationId xmlns:a16="http://schemas.microsoft.com/office/drawing/2014/main" id="{00000000-0008-0000-0A00-00000E000000}"/>
            </a:ext>
          </a:extLst>
        </xdr:cNvPr>
        <xdr:cNvSpPr/>
      </xdr:nvSpPr>
      <xdr:spPr>
        <a:xfrm>
          <a:off x="17678400" y="1895475"/>
          <a:ext cx="666750" cy="342900"/>
        </a:xfrm>
        <a:prstGeom prst="roundRect">
          <a:avLst/>
        </a:prstGeom>
        <a:solidFill>
          <a:schemeClr val="accent1">
            <a:lumMod val="50000"/>
          </a:schemeClr>
        </a:solidFill>
        <a:ln>
          <a:solidFill>
            <a:schemeClr val="accent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1"/>
              </a:solidFill>
            </a:rPr>
            <a:t>Add</a:t>
          </a:r>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28576</xdr:colOff>
      <xdr:row>0</xdr:row>
      <xdr:rowOff>19051</xdr:rowOff>
    </xdr:from>
    <xdr:to>
      <xdr:col>0</xdr:col>
      <xdr:colOff>361950</xdr:colOff>
      <xdr:row>1</xdr:row>
      <xdr:rowOff>180975</xdr:rowOff>
    </xdr:to>
    <xdr:pic>
      <xdr:nvPicPr>
        <xdr:cNvPr id="2" name="Picture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stretch>
          <a:fillRect/>
        </a:stretch>
      </xdr:blipFill>
      <xdr:spPr>
        <a:xfrm>
          <a:off x="28576" y="19051"/>
          <a:ext cx="333374" cy="495299"/>
        </a:xfrm>
        <a:prstGeom prst="rect">
          <a:avLst/>
        </a:prstGeom>
      </xdr:spPr>
    </xdr:pic>
    <xdr:clientData/>
  </xdr:twoCellAnchor>
  <xdr:twoCellAnchor>
    <xdr:from>
      <xdr:col>8</xdr:col>
      <xdr:colOff>123825</xdr:colOff>
      <xdr:row>2</xdr:row>
      <xdr:rowOff>66675</xdr:rowOff>
    </xdr:from>
    <xdr:to>
      <xdr:col>8</xdr:col>
      <xdr:colOff>1400175</xdr:colOff>
      <xdr:row>2</xdr:row>
      <xdr:rowOff>638175</xdr:rowOff>
    </xdr:to>
    <xdr:sp macro="[0]!Validate_Table14" textlink="">
      <xdr:nvSpPr>
        <xdr:cNvPr id="28" name="Rounded Rectangle 27">
          <a:extLst>
            <a:ext uri="{FF2B5EF4-FFF2-40B4-BE49-F238E27FC236}">
              <a16:creationId xmlns:a16="http://schemas.microsoft.com/office/drawing/2014/main" id="{00000000-0008-0000-0B00-00001C000000}"/>
            </a:ext>
          </a:extLst>
        </xdr:cNvPr>
        <xdr:cNvSpPr/>
      </xdr:nvSpPr>
      <xdr:spPr>
        <a:xfrm>
          <a:off x="10515600" y="609600"/>
          <a:ext cx="1276350" cy="571500"/>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2">
                  <a:lumMod val="50000"/>
                </a:schemeClr>
              </a:solidFill>
            </a:rPr>
            <a:t>Validate </a:t>
          </a:r>
        </a:p>
        <a:p>
          <a:pPr algn="l"/>
          <a:r>
            <a:rPr lang="en-US" sz="1100" b="1">
              <a:solidFill>
                <a:schemeClr val="tx2">
                  <a:lumMod val="50000"/>
                </a:schemeClr>
              </a:solidFill>
            </a:rPr>
            <a:t>Sheet</a:t>
          </a:r>
        </a:p>
      </xdr:txBody>
    </xdr:sp>
    <xdr:clientData/>
  </xdr:twoCellAnchor>
  <xdr:twoCellAnchor>
    <xdr:from>
      <xdr:col>8</xdr:col>
      <xdr:colOff>847725</xdr:colOff>
      <xdr:row>2</xdr:row>
      <xdr:rowOff>104776</xdr:rowOff>
    </xdr:from>
    <xdr:to>
      <xdr:col>8</xdr:col>
      <xdr:colOff>1276350</xdr:colOff>
      <xdr:row>2</xdr:row>
      <xdr:rowOff>542926</xdr:rowOff>
    </xdr:to>
    <xdr:grpSp>
      <xdr:nvGrpSpPr>
        <xdr:cNvPr id="29" name="Group 28">
          <a:extLst>
            <a:ext uri="{FF2B5EF4-FFF2-40B4-BE49-F238E27FC236}">
              <a16:creationId xmlns:a16="http://schemas.microsoft.com/office/drawing/2014/main" id="{00000000-0008-0000-0B00-00001D000000}"/>
            </a:ext>
          </a:extLst>
        </xdr:cNvPr>
        <xdr:cNvGrpSpPr/>
      </xdr:nvGrpSpPr>
      <xdr:grpSpPr>
        <a:xfrm>
          <a:off x="11530965" y="638176"/>
          <a:ext cx="428625" cy="438150"/>
          <a:chOff x="1982229" y="2092319"/>
          <a:chExt cx="1029931" cy="1029921"/>
        </a:xfrm>
      </xdr:grpSpPr>
      <xdr:sp macro="" textlink="">
        <xdr:nvSpPr>
          <xdr:cNvPr id="30" name="Oval 29">
            <a:extLst>
              <a:ext uri="{FF2B5EF4-FFF2-40B4-BE49-F238E27FC236}">
                <a16:creationId xmlns:a16="http://schemas.microsoft.com/office/drawing/2014/main" id="{00000000-0008-0000-0B00-00001E000000}"/>
              </a:ext>
            </a:extLst>
          </xdr:cNvPr>
          <xdr:cNvSpPr/>
        </xdr:nvSpPr>
        <xdr:spPr>
          <a:xfrm>
            <a:off x="1982229" y="2092319"/>
            <a:ext cx="1029931" cy="1029921"/>
          </a:xfrm>
          <a:prstGeom prst="ellipse">
            <a:avLst/>
          </a:prstGeom>
          <a:solidFill>
            <a:schemeClr val="bg1"/>
          </a:solidFill>
          <a:ln w="57150">
            <a:solidFill>
              <a:srgbClr val="5B7DDB"/>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2215" b="1">
              <a:solidFill>
                <a:schemeClr val="tx1">
                  <a:lumMod val="60000"/>
                  <a:lumOff val="40000"/>
                </a:schemeClr>
              </a:solidFill>
              <a:latin typeface="Arial" pitchFamily="34" charset="0"/>
              <a:cs typeface="Arial" pitchFamily="34" charset="0"/>
            </a:endParaRPr>
          </a:p>
        </xdr:txBody>
      </xdr:sp>
      <xdr:sp macro="" textlink="">
        <xdr:nvSpPr>
          <xdr:cNvPr id="31" name="Freeform 30">
            <a:extLst>
              <a:ext uri="{FF2B5EF4-FFF2-40B4-BE49-F238E27FC236}">
                <a16:creationId xmlns:a16="http://schemas.microsoft.com/office/drawing/2014/main" id="{00000000-0008-0000-0B00-00001F000000}"/>
              </a:ext>
            </a:extLst>
          </xdr:cNvPr>
          <xdr:cNvSpPr/>
        </xdr:nvSpPr>
        <xdr:spPr>
          <a:xfrm>
            <a:off x="2302002" y="2350498"/>
            <a:ext cx="434316" cy="528460"/>
          </a:xfrm>
          <a:custGeom>
            <a:avLst/>
            <a:gdLst>
              <a:gd name="connsiteX0" fmla="*/ 350280 w 557958"/>
              <a:gd name="connsiteY0" fmla="*/ 0 h 678906"/>
              <a:gd name="connsiteX1" fmla="*/ 557958 w 557958"/>
              <a:gd name="connsiteY1" fmla="*/ 213145 h 678906"/>
              <a:gd name="connsiteX2" fmla="*/ 557958 w 557958"/>
              <a:gd name="connsiteY2" fmla="*/ 215074 h 678906"/>
              <a:gd name="connsiteX3" fmla="*/ 433296 w 557958"/>
              <a:gd name="connsiteY3" fmla="*/ 215074 h 678906"/>
              <a:gd name="connsiteX4" fmla="*/ 350280 w 557958"/>
              <a:gd name="connsiteY4" fmla="*/ 132059 h 678906"/>
              <a:gd name="connsiteX5" fmla="*/ 92739 w 557958"/>
              <a:gd name="connsiteY5" fmla="*/ 0 h 678906"/>
              <a:gd name="connsiteX6" fmla="*/ 323926 w 557958"/>
              <a:gd name="connsiteY6" fmla="*/ 0 h 678906"/>
              <a:gd name="connsiteX7" fmla="*/ 324397 w 557958"/>
              <a:gd name="connsiteY7" fmla="*/ 493 h 678906"/>
              <a:gd name="connsiteX8" fmla="*/ 324397 w 557958"/>
              <a:gd name="connsiteY8" fmla="*/ 147525 h 678906"/>
              <a:gd name="connsiteX9" fmla="*/ 417135 w 557958"/>
              <a:gd name="connsiteY9" fmla="*/ 240263 h 678906"/>
              <a:gd name="connsiteX10" fmla="*/ 553322 w 557958"/>
              <a:gd name="connsiteY10" fmla="*/ 240263 h 678906"/>
              <a:gd name="connsiteX11" fmla="*/ 556420 w 557958"/>
              <a:gd name="connsiteY11" fmla="*/ 243507 h 678906"/>
              <a:gd name="connsiteX12" fmla="*/ 556420 w 557958"/>
              <a:gd name="connsiteY12" fmla="*/ 586169 h 678906"/>
              <a:gd name="connsiteX13" fmla="*/ 463682 w 557958"/>
              <a:gd name="connsiteY13" fmla="*/ 678906 h 678906"/>
              <a:gd name="connsiteX14" fmla="*/ 92739 w 557958"/>
              <a:gd name="connsiteY14" fmla="*/ 678906 h 678906"/>
              <a:gd name="connsiteX15" fmla="*/ 92734 w 557958"/>
              <a:gd name="connsiteY15" fmla="*/ 678905 h 678906"/>
              <a:gd name="connsiteX16" fmla="*/ 59501 w 557958"/>
              <a:gd name="connsiteY16" fmla="*/ 678905 h 678906"/>
              <a:gd name="connsiteX17" fmla="*/ 279110 w 557958"/>
              <a:gd name="connsiteY17" fmla="*/ 401696 h 678906"/>
              <a:gd name="connsiteX18" fmla="*/ 269334 w 557958"/>
              <a:gd name="connsiteY18" fmla="*/ 317378 h 678906"/>
              <a:gd name="connsiteX19" fmla="*/ 269335 w 557958"/>
              <a:gd name="connsiteY19" fmla="*/ 317377 h 678906"/>
              <a:gd name="connsiteX20" fmla="*/ 225152 w 557958"/>
              <a:gd name="connsiteY20" fmla="*/ 304802 h 678906"/>
              <a:gd name="connsiteX21" fmla="*/ 185017 w 557958"/>
              <a:gd name="connsiteY21" fmla="*/ 327153 h 678906"/>
              <a:gd name="connsiteX22" fmla="*/ 836 w 557958"/>
              <a:gd name="connsiteY22" fmla="*/ 559643 h 678906"/>
              <a:gd name="connsiteX23" fmla="*/ 836 w 557958"/>
              <a:gd name="connsiteY23" fmla="*/ 286370 h 678906"/>
              <a:gd name="connsiteX24" fmla="*/ 0 w 557958"/>
              <a:gd name="connsiteY24" fmla="*/ 286201 h 678906"/>
              <a:gd name="connsiteX25" fmla="*/ 0 w 557958"/>
              <a:gd name="connsiteY25" fmla="*/ 92738 h 678906"/>
              <a:gd name="connsiteX26" fmla="*/ 92739 w 557958"/>
              <a:gd name="connsiteY26" fmla="*/ 0 h 67890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Lst>
            <a:rect l="l" t="t" r="r" b="b"/>
            <a:pathLst>
              <a:path w="557958" h="678906">
                <a:moveTo>
                  <a:pt x="350280" y="0"/>
                </a:moveTo>
                <a:lnTo>
                  <a:pt x="557958" y="213145"/>
                </a:lnTo>
                <a:lnTo>
                  <a:pt x="557958" y="215074"/>
                </a:lnTo>
                <a:lnTo>
                  <a:pt x="433296" y="215074"/>
                </a:lnTo>
                <a:cubicBezTo>
                  <a:pt x="387445" y="215074"/>
                  <a:pt x="350280" y="177908"/>
                  <a:pt x="350280" y="132059"/>
                </a:cubicBezTo>
                <a:close/>
                <a:moveTo>
                  <a:pt x="92739" y="0"/>
                </a:moveTo>
                <a:lnTo>
                  <a:pt x="323926" y="0"/>
                </a:lnTo>
                <a:lnTo>
                  <a:pt x="324397" y="493"/>
                </a:lnTo>
                <a:lnTo>
                  <a:pt x="324397" y="147525"/>
                </a:lnTo>
                <a:cubicBezTo>
                  <a:pt x="324397" y="198745"/>
                  <a:pt x="365915" y="240263"/>
                  <a:pt x="417135" y="240263"/>
                </a:cubicBezTo>
                <a:lnTo>
                  <a:pt x="553322" y="240263"/>
                </a:lnTo>
                <a:lnTo>
                  <a:pt x="556420" y="243507"/>
                </a:lnTo>
                <a:lnTo>
                  <a:pt x="556420" y="586169"/>
                </a:lnTo>
                <a:cubicBezTo>
                  <a:pt x="556420" y="637388"/>
                  <a:pt x="514902" y="678906"/>
                  <a:pt x="463682" y="678906"/>
                </a:cubicBezTo>
                <a:lnTo>
                  <a:pt x="92739" y="678906"/>
                </a:lnTo>
                <a:lnTo>
                  <a:pt x="92734" y="678905"/>
                </a:lnTo>
                <a:lnTo>
                  <a:pt x="59501" y="678905"/>
                </a:lnTo>
                <a:lnTo>
                  <a:pt x="279110" y="401696"/>
                </a:lnTo>
                <a:cubicBezTo>
                  <a:pt x="299695" y="375712"/>
                  <a:pt x="295318" y="337962"/>
                  <a:pt x="269334" y="317378"/>
                </a:cubicBezTo>
                <a:lnTo>
                  <a:pt x="269335" y="317377"/>
                </a:lnTo>
                <a:cubicBezTo>
                  <a:pt x="256344" y="307085"/>
                  <a:pt x="240410" y="303033"/>
                  <a:pt x="225152" y="304802"/>
                </a:cubicBezTo>
                <a:cubicBezTo>
                  <a:pt x="209893" y="306571"/>
                  <a:pt x="195309" y="314162"/>
                  <a:pt x="185017" y="327153"/>
                </a:cubicBezTo>
                <a:lnTo>
                  <a:pt x="836" y="559643"/>
                </a:lnTo>
                <a:lnTo>
                  <a:pt x="836" y="286370"/>
                </a:lnTo>
                <a:lnTo>
                  <a:pt x="0" y="286201"/>
                </a:lnTo>
                <a:lnTo>
                  <a:pt x="0" y="92738"/>
                </a:lnTo>
                <a:cubicBezTo>
                  <a:pt x="0" y="41518"/>
                  <a:pt x="41519" y="0"/>
                  <a:pt x="92739" y="0"/>
                </a:cubicBezTo>
                <a:close/>
              </a:path>
            </a:pathLst>
          </a:custGeom>
          <a:solidFill>
            <a:srgbClr val="2950B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3199"/>
          </a:p>
        </xdr:txBody>
      </xdr:sp>
      <xdr:grpSp>
        <xdr:nvGrpSpPr>
          <xdr:cNvPr id="32" name="Group 31">
            <a:extLst>
              <a:ext uri="{FF2B5EF4-FFF2-40B4-BE49-F238E27FC236}">
                <a16:creationId xmlns:a16="http://schemas.microsoft.com/office/drawing/2014/main" id="{00000000-0008-0000-0B00-000020000000}"/>
              </a:ext>
            </a:extLst>
          </xdr:cNvPr>
          <xdr:cNvGrpSpPr/>
        </xdr:nvGrpSpPr>
        <xdr:grpSpPr>
          <a:xfrm>
            <a:off x="2227648" y="2566818"/>
            <a:ext cx="201061" cy="359352"/>
            <a:chOff x="6470288" y="1855804"/>
            <a:chExt cx="258298" cy="461654"/>
          </a:xfrm>
          <a:solidFill>
            <a:srgbClr val="2950BD"/>
          </a:solidFill>
        </xdr:grpSpPr>
        <xdr:sp macro="" textlink="">
          <xdr:nvSpPr>
            <xdr:cNvPr id="33" name="Rounded Rectangle 32">
              <a:extLst>
                <a:ext uri="{FF2B5EF4-FFF2-40B4-BE49-F238E27FC236}">
                  <a16:creationId xmlns:a16="http://schemas.microsoft.com/office/drawing/2014/main" id="{00000000-0008-0000-0B00-000021000000}"/>
                </a:ext>
              </a:extLst>
            </xdr:cNvPr>
            <xdr:cNvSpPr/>
          </xdr:nvSpPr>
          <xdr:spPr>
            <a:xfrm rot="18503198">
              <a:off x="6455048" y="2043919"/>
              <a:ext cx="461654" cy="85423"/>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3199"/>
            </a:p>
          </xdr:txBody>
        </xdr:sp>
        <xdr:sp macro="" textlink="">
          <xdr:nvSpPr>
            <xdr:cNvPr id="34" name="Rounded Rectangle 33">
              <a:extLst>
                <a:ext uri="{FF2B5EF4-FFF2-40B4-BE49-F238E27FC236}">
                  <a16:creationId xmlns:a16="http://schemas.microsoft.com/office/drawing/2014/main" id="{00000000-0008-0000-0B00-000022000000}"/>
                </a:ext>
              </a:extLst>
            </xdr:cNvPr>
            <xdr:cNvSpPr/>
          </xdr:nvSpPr>
          <xdr:spPr>
            <a:xfrm rot="13895427">
              <a:off x="6380098" y="2120239"/>
              <a:ext cx="265804" cy="85423"/>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3199"/>
            </a:p>
          </xdr:txBody>
        </xdr:sp>
      </xdr:grpSp>
    </xdr:grpSp>
    <xdr:clientData/>
  </xdr:twoCellAnchor>
  <xdr:twoCellAnchor>
    <xdr:from>
      <xdr:col>6</xdr:col>
      <xdr:colOff>447675</xdr:colOff>
      <xdr:row>0</xdr:row>
      <xdr:rowOff>38100</xdr:rowOff>
    </xdr:from>
    <xdr:to>
      <xdr:col>7</xdr:col>
      <xdr:colOff>209550</xdr:colOff>
      <xdr:row>1</xdr:row>
      <xdr:rowOff>190500</xdr:rowOff>
    </xdr:to>
    <xdr:sp macro="[0]!Home" textlink="">
      <xdr:nvSpPr>
        <xdr:cNvPr id="43" name="Rounded Rectangle 42">
          <a:extLst>
            <a:ext uri="{FF2B5EF4-FFF2-40B4-BE49-F238E27FC236}">
              <a16:creationId xmlns:a16="http://schemas.microsoft.com/office/drawing/2014/main" id="{00000000-0008-0000-0B00-00002B000000}"/>
            </a:ext>
          </a:extLst>
        </xdr:cNvPr>
        <xdr:cNvSpPr/>
      </xdr:nvSpPr>
      <xdr:spPr>
        <a:xfrm>
          <a:off x="8391525" y="38100"/>
          <a:ext cx="1038225" cy="485775"/>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2">
                  <a:lumMod val="50000"/>
                </a:schemeClr>
              </a:solidFill>
            </a:rPr>
            <a:t>     HOME</a:t>
          </a:r>
        </a:p>
      </xdr:txBody>
    </xdr:sp>
    <xdr:clientData/>
  </xdr:twoCellAnchor>
  <xdr:twoCellAnchor>
    <xdr:from>
      <xdr:col>7</xdr:col>
      <xdr:colOff>342900</xdr:colOff>
      <xdr:row>0</xdr:row>
      <xdr:rowOff>47625</xdr:rowOff>
    </xdr:from>
    <xdr:to>
      <xdr:col>8</xdr:col>
      <xdr:colOff>209550</xdr:colOff>
      <xdr:row>1</xdr:row>
      <xdr:rowOff>200025</xdr:rowOff>
    </xdr:to>
    <xdr:sp macro="[0]!Previousheet" textlink="">
      <xdr:nvSpPr>
        <xdr:cNvPr id="44" name="Rounded Rectangle 43">
          <a:extLst>
            <a:ext uri="{FF2B5EF4-FFF2-40B4-BE49-F238E27FC236}">
              <a16:creationId xmlns:a16="http://schemas.microsoft.com/office/drawing/2014/main" id="{00000000-0008-0000-0B00-00002C000000}"/>
            </a:ext>
          </a:extLst>
        </xdr:cNvPr>
        <xdr:cNvSpPr/>
      </xdr:nvSpPr>
      <xdr:spPr>
        <a:xfrm>
          <a:off x="9563100" y="47625"/>
          <a:ext cx="1038225" cy="485775"/>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2">
                  <a:lumMod val="50000"/>
                </a:schemeClr>
              </a:solidFill>
            </a:rPr>
            <a:t>   PREVIOUS</a:t>
          </a:r>
          <a:r>
            <a:rPr lang="en-US" sz="1100" b="1" baseline="0">
              <a:solidFill>
                <a:schemeClr val="tx2">
                  <a:lumMod val="50000"/>
                </a:schemeClr>
              </a:solidFill>
            </a:rPr>
            <a:t> </a:t>
          </a:r>
          <a:endParaRPr lang="en-US" sz="1100" b="1">
            <a:solidFill>
              <a:schemeClr val="tx2">
                <a:lumMod val="50000"/>
              </a:schemeClr>
            </a:solidFill>
          </a:endParaRPr>
        </a:p>
      </xdr:txBody>
    </xdr:sp>
    <xdr:clientData/>
  </xdr:twoCellAnchor>
  <xdr:twoCellAnchor>
    <xdr:from>
      <xdr:col>8</xdr:col>
      <xdr:colOff>371475</xdr:colOff>
      <xdr:row>0</xdr:row>
      <xdr:rowOff>47625</xdr:rowOff>
    </xdr:from>
    <xdr:to>
      <xdr:col>8</xdr:col>
      <xdr:colOff>1409700</xdr:colOff>
      <xdr:row>1</xdr:row>
      <xdr:rowOff>200025</xdr:rowOff>
    </xdr:to>
    <xdr:sp macro="[0]!Nextsheet" textlink="">
      <xdr:nvSpPr>
        <xdr:cNvPr id="45" name="Rounded Rectangle 44">
          <a:extLst>
            <a:ext uri="{FF2B5EF4-FFF2-40B4-BE49-F238E27FC236}">
              <a16:creationId xmlns:a16="http://schemas.microsoft.com/office/drawing/2014/main" id="{00000000-0008-0000-0B00-00002D000000}"/>
            </a:ext>
          </a:extLst>
        </xdr:cNvPr>
        <xdr:cNvSpPr/>
      </xdr:nvSpPr>
      <xdr:spPr>
        <a:xfrm>
          <a:off x="10763250" y="47625"/>
          <a:ext cx="1038225" cy="485775"/>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2">
                  <a:lumMod val="50000"/>
                </a:schemeClr>
              </a:solidFill>
            </a:rPr>
            <a:t>       NEXT</a:t>
          </a:r>
        </a:p>
      </xdr:txBody>
    </xdr:sp>
    <xdr:clientData/>
  </xdr:twoCellAnchor>
  <xdr:twoCellAnchor>
    <xdr:from>
      <xdr:col>5</xdr:col>
      <xdr:colOff>771525</xdr:colOff>
      <xdr:row>0</xdr:row>
      <xdr:rowOff>38100</xdr:rowOff>
    </xdr:from>
    <xdr:to>
      <xdr:col>6</xdr:col>
      <xdr:colOff>361951</xdr:colOff>
      <xdr:row>1</xdr:row>
      <xdr:rowOff>171450</xdr:rowOff>
    </xdr:to>
    <xdr:sp macro="[0]!Help" textlink="">
      <xdr:nvSpPr>
        <xdr:cNvPr id="46" name="Rounded Rectangle 45">
          <a:extLst>
            <a:ext uri="{FF2B5EF4-FFF2-40B4-BE49-F238E27FC236}">
              <a16:creationId xmlns:a16="http://schemas.microsoft.com/office/drawing/2014/main" id="{00000000-0008-0000-0B00-00002E000000}"/>
            </a:ext>
          </a:extLst>
        </xdr:cNvPr>
        <xdr:cNvSpPr/>
      </xdr:nvSpPr>
      <xdr:spPr>
        <a:xfrm>
          <a:off x="7172325" y="38100"/>
          <a:ext cx="1133476" cy="466725"/>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chemeClr val="tx2">
                  <a:lumMod val="50000"/>
                </a:schemeClr>
              </a:solidFill>
            </a:rPr>
            <a:t>HELP</a:t>
          </a:r>
        </a:p>
      </xdr:txBody>
    </xdr:sp>
    <xdr:clientData/>
  </xdr:twoCellAnchor>
  <xdr:twoCellAnchor>
    <xdr:from>
      <xdr:col>11</xdr:col>
      <xdr:colOff>47624</xdr:colOff>
      <xdr:row>20</xdr:row>
      <xdr:rowOff>114300</xdr:rowOff>
    </xdr:from>
    <xdr:to>
      <xdr:col>11</xdr:col>
      <xdr:colOff>923925</xdr:colOff>
      <xdr:row>21</xdr:row>
      <xdr:rowOff>123825</xdr:rowOff>
    </xdr:to>
    <xdr:sp macro="[0]!add_expense" textlink="">
      <xdr:nvSpPr>
        <xdr:cNvPr id="15" name="Rounded Rectangle 14">
          <a:extLst>
            <a:ext uri="{FF2B5EF4-FFF2-40B4-BE49-F238E27FC236}">
              <a16:creationId xmlns:a16="http://schemas.microsoft.com/office/drawing/2014/main" id="{00000000-0008-0000-0B00-00000F000000}"/>
            </a:ext>
          </a:extLst>
        </xdr:cNvPr>
        <xdr:cNvSpPr/>
      </xdr:nvSpPr>
      <xdr:spPr>
        <a:xfrm>
          <a:off x="19888199" y="5267325"/>
          <a:ext cx="876301" cy="200025"/>
        </a:xfrm>
        <a:prstGeom prst="roundRect">
          <a:avLst/>
        </a:prstGeom>
        <a:solidFill>
          <a:schemeClr val="accent1">
            <a:lumMod val="50000"/>
          </a:schemeClr>
        </a:solidFill>
        <a:ln>
          <a:solidFill>
            <a:schemeClr val="accent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1"/>
              </a:solidFill>
            </a:rPr>
            <a:t>Add</a:t>
          </a:r>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28576</xdr:colOff>
      <xdr:row>0</xdr:row>
      <xdr:rowOff>19051</xdr:rowOff>
    </xdr:from>
    <xdr:to>
      <xdr:col>0</xdr:col>
      <xdr:colOff>361950</xdr:colOff>
      <xdr:row>1</xdr:row>
      <xdr:rowOff>333375</xdr:rowOff>
    </xdr:to>
    <xdr:pic>
      <xdr:nvPicPr>
        <xdr:cNvPr id="2" name="Picture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a:stretch>
          <a:fillRect/>
        </a:stretch>
      </xdr:blipFill>
      <xdr:spPr>
        <a:xfrm>
          <a:off x="28576" y="19051"/>
          <a:ext cx="333374" cy="361949"/>
        </a:xfrm>
        <a:prstGeom prst="rect">
          <a:avLst/>
        </a:prstGeom>
      </xdr:spPr>
    </xdr:pic>
    <xdr:clientData/>
  </xdr:twoCellAnchor>
  <xdr:twoCellAnchor>
    <xdr:from>
      <xdr:col>8</xdr:col>
      <xdr:colOff>123825</xdr:colOff>
      <xdr:row>2</xdr:row>
      <xdr:rowOff>66675</xdr:rowOff>
    </xdr:from>
    <xdr:to>
      <xdr:col>8</xdr:col>
      <xdr:colOff>1400175</xdr:colOff>
      <xdr:row>2</xdr:row>
      <xdr:rowOff>638175</xdr:rowOff>
    </xdr:to>
    <xdr:sp macro="[0]!Validate_Reasons" textlink="">
      <xdr:nvSpPr>
        <xdr:cNvPr id="3" name="Rounded Rectangle 2">
          <a:extLst>
            <a:ext uri="{FF2B5EF4-FFF2-40B4-BE49-F238E27FC236}">
              <a16:creationId xmlns:a16="http://schemas.microsoft.com/office/drawing/2014/main" id="{00000000-0008-0000-0C00-000003000000}"/>
            </a:ext>
          </a:extLst>
        </xdr:cNvPr>
        <xdr:cNvSpPr/>
      </xdr:nvSpPr>
      <xdr:spPr>
        <a:xfrm>
          <a:off x="5000625" y="447675"/>
          <a:ext cx="485775" cy="123825"/>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2">
                  <a:lumMod val="50000"/>
                </a:schemeClr>
              </a:solidFill>
            </a:rPr>
            <a:t>Validate </a:t>
          </a:r>
        </a:p>
        <a:p>
          <a:pPr algn="l"/>
          <a:r>
            <a:rPr lang="en-US" sz="1100" b="1">
              <a:solidFill>
                <a:schemeClr val="tx2">
                  <a:lumMod val="50000"/>
                </a:schemeClr>
              </a:solidFill>
            </a:rPr>
            <a:t>Sheet</a:t>
          </a:r>
        </a:p>
      </xdr:txBody>
    </xdr:sp>
    <xdr:clientData/>
  </xdr:twoCellAnchor>
  <xdr:twoCellAnchor>
    <xdr:from>
      <xdr:col>8</xdr:col>
      <xdr:colOff>847725</xdr:colOff>
      <xdr:row>2</xdr:row>
      <xdr:rowOff>104776</xdr:rowOff>
    </xdr:from>
    <xdr:to>
      <xdr:col>8</xdr:col>
      <xdr:colOff>1276350</xdr:colOff>
      <xdr:row>2</xdr:row>
      <xdr:rowOff>542926</xdr:rowOff>
    </xdr:to>
    <xdr:grpSp>
      <xdr:nvGrpSpPr>
        <xdr:cNvPr id="4" name="Group 3">
          <a:extLst>
            <a:ext uri="{FF2B5EF4-FFF2-40B4-BE49-F238E27FC236}">
              <a16:creationId xmlns:a16="http://schemas.microsoft.com/office/drawing/2014/main" id="{00000000-0008-0000-0C00-000004000000}"/>
            </a:ext>
          </a:extLst>
        </xdr:cNvPr>
        <xdr:cNvGrpSpPr/>
      </xdr:nvGrpSpPr>
      <xdr:grpSpPr>
        <a:xfrm>
          <a:off x="11530965" y="821056"/>
          <a:ext cx="428625" cy="438150"/>
          <a:chOff x="1982229" y="2092319"/>
          <a:chExt cx="1029931" cy="1029921"/>
        </a:xfrm>
      </xdr:grpSpPr>
      <xdr:sp macro="" textlink="">
        <xdr:nvSpPr>
          <xdr:cNvPr id="5" name="Oval 4">
            <a:extLst>
              <a:ext uri="{FF2B5EF4-FFF2-40B4-BE49-F238E27FC236}">
                <a16:creationId xmlns:a16="http://schemas.microsoft.com/office/drawing/2014/main" id="{00000000-0008-0000-0C00-000005000000}"/>
              </a:ext>
            </a:extLst>
          </xdr:cNvPr>
          <xdr:cNvSpPr/>
        </xdr:nvSpPr>
        <xdr:spPr>
          <a:xfrm>
            <a:off x="1982229" y="2092319"/>
            <a:ext cx="1029931" cy="1029921"/>
          </a:xfrm>
          <a:prstGeom prst="ellipse">
            <a:avLst/>
          </a:prstGeom>
          <a:solidFill>
            <a:schemeClr val="bg1"/>
          </a:solidFill>
          <a:ln w="57150">
            <a:solidFill>
              <a:srgbClr val="5B7DDB"/>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2215" b="1">
              <a:solidFill>
                <a:schemeClr val="tx1">
                  <a:lumMod val="60000"/>
                  <a:lumOff val="40000"/>
                </a:schemeClr>
              </a:solidFill>
              <a:latin typeface="Arial" pitchFamily="34" charset="0"/>
              <a:cs typeface="Arial" pitchFamily="34" charset="0"/>
            </a:endParaRPr>
          </a:p>
        </xdr:txBody>
      </xdr:sp>
      <xdr:sp macro="" textlink="">
        <xdr:nvSpPr>
          <xdr:cNvPr id="6" name="Freeform 5">
            <a:extLst>
              <a:ext uri="{FF2B5EF4-FFF2-40B4-BE49-F238E27FC236}">
                <a16:creationId xmlns:a16="http://schemas.microsoft.com/office/drawing/2014/main" id="{00000000-0008-0000-0C00-000006000000}"/>
              </a:ext>
            </a:extLst>
          </xdr:cNvPr>
          <xdr:cNvSpPr/>
        </xdr:nvSpPr>
        <xdr:spPr>
          <a:xfrm>
            <a:off x="2302002" y="2350498"/>
            <a:ext cx="434316" cy="528460"/>
          </a:xfrm>
          <a:custGeom>
            <a:avLst/>
            <a:gdLst>
              <a:gd name="connsiteX0" fmla="*/ 350280 w 557958"/>
              <a:gd name="connsiteY0" fmla="*/ 0 h 678906"/>
              <a:gd name="connsiteX1" fmla="*/ 557958 w 557958"/>
              <a:gd name="connsiteY1" fmla="*/ 213145 h 678906"/>
              <a:gd name="connsiteX2" fmla="*/ 557958 w 557958"/>
              <a:gd name="connsiteY2" fmla="*/ 215074 h 678906"/>
              <a:gd name="connsiteX3" fmla="*/ 433296 w 557958"/>
              <a:gd name="connsiteY3" fmla="*/ 215074 h 678906"/>
              <a:gd name="connsiteX4" fmla="*/ 350280 w 557958"/>
              <a:gd name="connsiteY4" fmla="*/ 132059 h 678906"/>
              <a:gd name="connsiteX5" fmla="*/ 92739 w 557958"/>
              <a:gd name="connsiteY5" fmla="*/ 0 h 678906"/>
              <a:gd name="connsiteX6" fmla="*/ 323926 w 557958"/>
              <a:gd name="connsiteY6" fmla="*/ 0 h 678906"/>
              <a:gd name="connsiteX7" fmla="*/ 324397 w 557958"/>
              <a:gd name="connsiteY7" fmla="*/ 493 h 678906"/>
              <a:gd name="connsiteX8" fmla="*/ 324397 w 557958"/>
              <a:gd name="connsiteY8" fmla="*/ 147525 h 678906"/>
              <a:gd name="connsiteX9" fmla="*/ 417135 w 557958"/>
              <a:gd name="connsiteY9" fmla="*/ 240263 h 678906"/>
              <a:gd name="connsiteX10" fmla="*/ 553322 w 557958"/>
              <a:gd name="connsiteY10" fmla="*/ 240263 h 678906"/>
              <a:gd name="connsiteX11" fmla="*/ 556420 w 557958"/>
              <a:gd name="connsiteY11" fmla="*/ 243507 h 678906"/>
              <a:gd name="connsiteX12" fmla="*/ 556420 w 557958"/>
              <a:gd name="connsiteY12" fmla="*/ 586169 h 678906"/>
              <a:gd name="connsiteX13" fmla="*/ 463682 w 557958"/>
              <a:gd name="connsiteY13" fmla="*/ 678906 h 678906"/>
              <a:gd name="connsiteX14" fmla="*/ 92739 w 557958"/>
              <a:gd name="connsiteY14" fmla="*/ 678906 h 678906"/>
              <a:gd name="connsiteX15" fmla="*/ 92734 w 557958"/>
              <a:gd name="connsiteY15" fmla="*/ 678905 h 678906"/>
              <a:gd name="connsiteX16" fmla="*/ 59501 w 557958"/>
              <a:gd name="connsiteY16" fmla="*/ 678905 h 678906"/>
              <a:gd name="connsiteX17" fmla="*/ 279110 w 557958"/>
              <a:gd name="connsiteY17" fmla="*/ 401696 h 678906"/>
              <a:gd name="connsiteX18" fmla="*/ 269334 w 557958"/>
              <a:gd name="connsiteY18" fmla="*/ 317378 h 678906"/>
              <a:gd name="connsiteX19" fmla="*/ 269335 w 557958"/>
              <a:gd name="connsiteY19" fmla="*/ 317377 h 678906"/>
              <a:gd name="connsiteX20" fmla="*/ 225152 w 557958"/>
              <a:gd name="connsiteY20" fmla="*/ 304802 h 678906"/>
              <a:gd name="connsiteX21" fmla="*/ 185017 w 557958"/>
              <a:gd name="connsiteY21" fmla="*/ 327153 h 678906"/>
              <a:gd name="connsiteX22" fmla="*/ 836 w 557958"/>
              <a:gd name="connsiteY22" fmla="*/ 559643 h 678906"/>
              <a:gd name="connsiteX23" fmla="*/ 836 w 557958"/>
              <a:gd name="connsiteY23" fmla="*/ 286370 h 678906"/>
              <a:gd name="connsiteX24" fmla="*/ 0 w 557958"/>
              <a:gd name="connsiteY24" fmla="*/ 286201 h 678906"/>
              <a:gd name="connsiteX25" fmla="*/ 0 w 557958"/>
              <a:gd name="connsiteY25" fmla="*/ 92738 h 678906"/>
              <a:gd name="connsiteX26" fmla="*/ 92739 w 557958"/>
              <a:gd name="connsiteY26" fmla="*/ 0 h 67890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Lst>
            <a:rect l="l" t="t" r="r" b="b"/>
            <a:pathLst>
              <a:path w="557958" h="678906">
                <a:moveTo>
                  <a:pt x="350280" y="0"/>
                </a:moveTo>
                <a:lnTo>
                  <a:pt x="557958" y="213145"/>
                </a:lnTo>
                <a:lnTo>
                  <a:pt x="557958" y="215074"/>
                </a:lnTo>
                <a:lnTo>
                  <a:pt x="433296" y="215074"/>
                </a:lnTo>
                <a:cubicBezTo>
                  <a:pt x="387445" y="215074"/>
                  <a:pt x="350280" y="177908"/>
                  <a:pt x="350280" y="132059"/>
                </a:cubicBezTo>
                <a:close/>
                <a:moveTo>
                  <a:pt x="92739" y="0"/>
                </a:moveTo>
                <a:lnTo>
                  <a:pt x="323926" y="0"/>
                </a:lnTo>
                <a:lnTo>
                  <a:pt x="324397" y="493"/>
                </a:lnTo>
                <a:lnTo>
                  <a:pt x="324397" y="147525"/>
                </a:lnTo>
                <a:cubicBezTo>
                  <a:pt x="324397" y="198745"/>
                  <a:pt x="365915" y="240263"/>
                  <a:pt x="417135" y="240263"/>
                </a:cubicBezTo>
                <a:lnTo>
                  <a:pt x="553322" y="240263"/>
                </a:lnTo>
                <a:lnTo>
                  <a:pt x="556420" y="243507"/>
                </a:lnTo>
                <a:lnTo>
                  <a:pt x="556420" y="586169"/>
                </a:lnTo>
                <a:cubicBezTo>
                  <a:pt x="556420" y="637388"/>
                  <a:pt x="514902" y="678906"/>
                  <a:pt x="463682" y="678906"/>
                </a:cubicBezTo>
                <a:lnTo>
                  <a:pt x="92739" y="678906"/>
                </a:lnTo>
                <a:lnTo>
                  <a:pt x="92734" y="678905"/>
                </a:lnTo>
                <a:lnTo>
                  <a:pt x="59501" y="678905"/>
                </a:lnTo>
                <a:lnTo>
                  <a:pt x="279110" y="401696"/>
                </a:lnTo>
                <a:cubicBezTo>
                  <a:pt x="299695" y="375712"/>
                  <a:pt x="295318" y="337962"/>
                  <a:pt x="269334" y="317378"/>
                </a:cubicBezTo>
                <a:lnTo>
                  <a:pt x="269335" y="317377"/>
                </a:lnTo>
                <a:cubicBezTo>
                  <a:pt x="256344" y="307085"/>
                  <a:pt x="240410" y="303033"/>
                  <a:pt x="225152" y="304802"/>
                </a:cubicBezTo>
                <a:cubicBezTo>
                  <a:pt x="209893" y="306571"/>
                  <a:pt x="195309" y="314162"/>
                  <a:pt x="185017" y="327153"/>
                </a:cubicBezTo>
                <a:lnTo>
                  <a:pt x="836" y="559643"/>
                </a:lnTo>
                <a:lnTo>
                  <a:pt x="836" y="286370"/>
                </a:lnTo>
                <a:lnTo>
                  <a:pt x="0" y="286201"/>
                </a:lnTo>
                <a:lnTo>
                  <a:pt x="0" y="92738"/>
                </a:lnTo>
                <a:cubicBezTo>
                  <a:pt x="0" y="41518"/>
                  <a:pt x="41519" y="0"/>
                  <a:pt x="92739" y="0"/>
                </a:cubicBezTo>
                <a:close/>
              </a:path>
            </a:pathLst>
          </a:custGeom>
          <a:solidFill>
            <a:srgbClr val="2950B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3199"/>
          </a:p>
        </xdr:txBody>
      </xdr:sp>
      <xdr:grpSp>
        <xdr:nvGrpSpPr>
          <xdr:cNvPr id="7" name="Group 6">
            <a:extLst>
              <a:ext uri="{FF2B5EF4-FFF2-40B4-BE49-F238E27FC236}">
                <a16:creationId xmlns:a16="http://schemas.microsoft.com/office/drawing/2014/main" id="{00000000-0008-0000-0C00-000007000000}"/>
              </a:ext>
            </a:extLst>
          </xdr:cNvPr>
          <xdr:cNvGrpSpPr/>
        </xdr:nvGrpSpPr>
        <xdr:grpSpPr>
          <a:xfrm>
            <a:off x="2227648" y="2566818"/>
            <a:ext cx="201061" cy="359352"/>
            <a:chOff x="6470288" y="1855804"/>
            <a:chExt cx="258298" cy="461654"/>
          </a:xfrm>
          <a:solidFill>
            <a:srgbClr val="2950BD"/>
          </a:solidFill>
        </xdr:grpSpPr>
        <xdr:sp macro="" textlink="">
          <xdr:nvSpPr>
            <xdr:cNvPr id="8" name="Rounded Rectangle 7">
              <a:extLst>
                <a:ext uri="{FF2B5EF4-FFF2-40B4-BE49-F238E27FC236}">
                  <a16:creationId xmlns:a16="http://schemas.microsoft.com/office/drawing/2014/main" id="{00000000-0008-0000-0C00-000008000000}"/>
                </a:ext>
              </a:extLst>
            </xdr:cNvPr>
            <xdr:cNvSpPr/>
          </xdr:nvSpPr>
          <xdr:spPr>
            <a:xfrm rot="18503198">
              <a:off x="6455048" y="2043919"/>
              <a:ext cx="461654" cy="85423"/>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3199"/>
            </a:p>
          </xdr:txBody>
        </xdr:sp>
        <xdr:sp macro="" textlink="">
          <xdr:nvSpPr>
            <xdr:cNvPr id="9" name="Rounded Rectangle 8">
              <a:extLst>
                <a:ext uri="{FF2B5EF4-FFF2-40B4-BE49-F238E27FC236}">
                  <a16:creationId xmlns:a16="http://schemas.microsoft.com/office/drawing/2014/main" id="{00000000-0008-0000-0C00-000009000000}"/>
                </a:ext>
              </a:extLst>
            </xdr:cNvPr>
            <xdr:cNvSpPr/>
          </xdr:nvSpPr>
          <xdr:spPr>
            <a:xfrm rot="13895427">
              <a:off x="6380098" y="2120239"/>
              <a:ext cx="265804" cy="85423"/>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3199"/>
            </a:p>
          </xdr:txBody>
        </xdr:sp>
      </xdr:grpSp>
    </xdr:grpSp>
    <xdr:clientData/>
  </xdr:twoCellAnchor>
  <xdr:twoCellAnchor>
    <xdr:from>
      <xdr:col>6</xdr:col>
      <xdr:colOff>447675</xdr:colOff>
      <xdr:row>0</xdr:row>
      <xdr:rowOff>66675</xdr:rowOff>
    </xdr:from>
    <xdr:to>
      <xdr:col>7</xdr:col>
      <xdr:colOff>209550</xdr:colOff>
      <xdr:row>1</xdr:row>
      <xdr:rowOff>180975</xdr:rowOff>
    </xdr:to>
    <xdr:sp macro="[0]!Home" textlink="">
      <xdr:nvSpPr>
        <xdr:cNvPr id="10" name="Rounded Rectangle 9">
          <a:extLst>
            <a:ext uri="{FF2B5EF4-FFF2-40B4-BE49-F238E27FC236}">
              <a16:creationId xmlns:a16="http://schemas.microsoft.com/office/drawing/2014/main" id="{00000000-0008-0000-0C00-00000A000000}"/>
            </a:ext>
          </a:extLst>
        </xdr:cNvPr>
        <xdr:cNvSpPr/>
      </xdr:nvSpPr>
      <xdr:spPr>
        <a:xfrm>
          <a:off x="4105275" y="66675"/>
          <a:ext cx="371475" cy="304800"/>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2">
                  <a:lumMod val="50000"/>
                </a:schemeClr>
              </a:solidFill>
            </a:rPr>
            <a:t>     HOME</a:t>
          </a:r>
        </a:p>
      </xdr:txBody>
    </xdr:sp>
    <xdr:clientData/>
  </xdr:twoCellAnchor>
  <xdr:twoCellAnchor>
    <xdr:from>
      <xdr:col>7</xdr:col>
      <xdr:colOff>342900</xdr:colOff>
      <xdr:row>0</xdr:row>
      <xdr:rowOff>76200</xdr:rowOff>
    </xdr:from>
    <xdr:to>
      <xdr:col>8</xdr:col>
      <xdr:colOff>209550</xdr:colOff>
      <xdr:row>1</xdr:row>
      <xdr:rowOff>190500</xdr:rowOff>
    </xdr:to>
    <xdr:sp macro="[0]!Previousheet" textlink="">
      <xdr:nvSpPr>
        <xdr:cNvPr id="11" name="Rounded Rectangle 10">
          <a:extLst>
            <a:ext uri="{FF2B5EF4-FFF2-40B4-BE49-F238E27FC236}">
              <a16:creationId xmlns:a16="http://schemas.microsoft.com/office/drawing/2014/main" id="{00000000-0008-0000-0C00-00000B000000}"/>
            </a:ext>
          </a:extLst>
        </xdr:cNvPr>
        <xdr:cNvSpPr/>
      </xdr:nvSpPr>
      <xdr:spPr>
        <a:xfrm>
          <a:off x="4610100" y="76200"/>
          <a:ext cx="476250" cy="304800"/>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2">
                  <a:lumMod val="50000"/>
                </a:schemeClr>
              </a:solidFill>
            </a:rPr>
            <a:t>   PREVIOUS</a:t>
          </a:r>
          <a:r>
            <a:rPr lang="en-US" sz="1100" b="1" baseline="0">
              <a:solidFill>
                <a:schemeClr val="tx2">
                  <a:lumMod val="50000"/>
                </a:schemeClr>
              </a:solidFill>
            </a:rPr>
            <a:t> </a:t>
          </a:r>
          <a:endParaRPr lang="en-US" sz="1100" b="1">
            <a:solidFill>
              <a:schemeClr val="tx2">
                <a:lumMod val="50000"/>
              </a:schemeClr>
            </a:solidFill>
          </a:endParaRPr>
        </a:p>
      </xdr:txBody>
    </xdr:sp>
    <xdr:clientData/>
  </xdr:twoCellAnchor>
  <xdr:twoCellAnchor>
    <xdr:from>
      <xdr:col>8</xdr:col>
      <xdr:colOff>371475</xdr:colOff>
      <xdr:row>0</xdr:row>
      <xdr:rowOff>76200</xdr:rowOff>
    </xdr:from>
    <xdr:to>
      <xdr:col>8</xdr:col>
      <xdr:colOff>1409700</xdr:colOff>
      <xdr:row>1</xdr:row>
      <xdr:rowOff>190500</xdr:rowOff>
    </xdr:to>
    <xdr:sp macro="[0]!Nextsheet" textlink="">
      <xdr:nvSpPr>
        <xdr:cNvPr id="12" name="Rounded Rectangle 11">
          <a:extLst>
            <a:ext uri="{FF2B5EF4-FFF2-40B4-BE49-F238E27FC236}">
              <a16:creationId xmlns:a16="http://schemas.microsoft.com/office/drawing/2014/main" id="{00000000-0008-0000-0C00-00000C000000}"/>
            </a:ext>
          </a:extLst>
        </xdr:cNvPr>
        <xdr:cNvSpPr/>
      </xdr:nvSpPr>
      <xdr:spPr>
        <a:xfrm>
          <a:off x="5248275" y="76200"/>
          <a:ext cx="238125" cy="304800"/>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2">
                  <a:lumMod val="50000"/>
                </a:schemeClr>
              </a:solidFill>
            </a:rPr>
            <a:t>       NEXT</a:t>
          </a:r>
        </a:p>
      </xdr:txBody>
    </xdr:sp>
    <xdr:clientData/>
  </xdr:twoCellAnchor>
  <xdr:twoCellAnchor>
    <xdr:from>
      <xdr:col>5</xdr:col>
      <xdr:colOff>752476</xdr:colOff>
      <xdr:row>0</xdr:row>
      <xdr:rowOff>76200</xdr:rowOff>
    </xdr:from>
    <xdr:to>
      <xdr:col>6</xdr:col>
      <xdr:colOff>295276</xdr:colOff>
      <xdr:row>1</xdr:row>
      <xdr:rowOff>180975</xdr:rowOff>
    </xdr:to>
    <xdr:sp macro="[0]!Help" textlink="">
      <xdr:nvSpPr>
        <xdr:cNvPr id="13" name="Rounded Rectangle 12">
          <a:extLst>
            <a:ext uri="{FF2B5EF4-FFF2-40B4-BE49-F238E27FC236}">
              <a16:creationId xmlns:a16="http://schemas.microsoft.com/office/drawing/2014/main" id="{00000000-0008-0000-0C00-00000D000000}"/>
            </a:ext>
          </a:extLst>
        </xdr:cNvPr>
        <xdr:cNvSpPr/>
      </xdr:nvSpPr>
      <xdr:spPr>
        <a:xfrm>
          <a:off x="3657601" y="76200"/>
          <a:ext cx="295275" cy="295275"/>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chemeClr val="tx2">
                  <a:lumMod val="50000"/>
                </a:schemeClr>
              </a:solidFill>
            </a:rPr>
            <a:t>HELP</a:t>
          </a:r>
        </a:p>
      </xdr:txBody>
    </xdr:sp>
    <xdr:clientData/>
  </xdr:twoCellAnchor>
  <xdr:twoCellAnchor>
    <xdr:from>
      <xdr:col>11</xdr:col>
      <xdr:colOff>238125</xdr:colOff>
      <xdr:row>4</xdr:row>
      <xdr:rowOff>161925</xdr:rowOff>
    </xdr:from>
    <xdr:to>
      <xdr:col>12</xdr:col>
      <xdr:colOff>295275</xdr:colOff>
      <xdr:row>4</xdr:row>
      <xdr:rowOff>504825</xdr:rowOff>
    </xdr:to>
    <xdr:sp macro="[0]!Add_reasons_sheet" textlink="">
      <xdr:nvSpPr>
        <xdr:cNvPr id="14" name="Rounded Rectangle 13">
          <a:extLst>
            <a:ext uri="{FF2B5EF4-FFF2-40B4-BE49-F238E27FC236}">
              <a16:creationId xmlns:a16="http://schemas.microsoft.com/office/drawing/2014/main" id="{00000000-0008-0000-0C00-00000E000000}"/>
            </a:ext>
          </a:extLst>
        </xdr:cNvPr>
        <xdr:cNvSpPr/>
      </xdr:nvSpPr>
      <xdr:spPr>
        <a:xfrm>
          <a:off x="6943725" y="923925"/>
          <a:ext cx="666750" cy="28575"/>
        </a:xfrm>
        <a:prstGeom prst="roundRect">
          <a:avLst/>
        </a:prstGeom>
        <a:solidFill>
          <a:schemeClr val="accent1">
            <a:lumMod val="50000"/>
          </a:schemeClr>
        </a:solidFill>
        <a:ln>
          <a:solidFill>
            <a:schemeClr val="accent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1"/>
              </a:solidFill>
            </a:rPr>
            <a:t>Add</a:t>
          </a:r>
        </a:p>
      </xdr:txBody>
    </xdr:sp>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28576</xdr:colOff>
      <xdr:row>0</xdr:row>
      <xdr:rowOff>19051</xdr:rowOff>
    </xdr:from>
    <xdr:to>
      <xdr:col>0</xdr:col>
      <xdr:colOff>361950</xdr:colOff>
      <xdr:row>0</xdr:row>
      <xdr:rowOff>485775</xdr:rowOff>
    </xdr:to>
    <xdr:pic>
      <xdr:nvPicPr>
        <xdr:cNvPr id="2" name="Picture 1">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a:stretch>
          <a:fillRect/>
        </a:stretch>
      </xdr:blipFill>
      <xdr:spPr>
        <a:xfrm>
          <a:off x="28576" y="19051"/>
          <a:ext cx="333374" cy="466724"/>
        </a:xfrm>
        <a:prstGeom prst="rect">
          <a:avLst/>
        </a:prstGeom>
      </xdr:spPr>
    </xdr:pic>
    <xdr:clientData/>
  </xdr:twoCellAnchor>
  <xdr:twoCellAnchor>
    <xdr:from>
      <xdr:col>5</xdr:col>
      <xdr:colOff>1162050</xdr:colOff>
      <xdr:row>2</xdr:row>
      <xdr:rowOff>66675</xdr:rowOff>
    </xdr:from>
    <xdr:to>
      <xdr:col>7</xdr:col>
      <xdr:colOff>0</xdr:colOff>
      <xdr:row>2</xdr:row>
      <xdr:rowOff>638175</xdr:rowOff>
    </xdr:to>
    <xdr:sp macro="[0]!ValidateMod.Validate_Table16" textlink="">
      <xdr:nvSpPr>
        <xdr:cNvPr id="28" name="Rounded Rectangle 27">
          <a:extLst>
            <a:ext uri="{FF2B5EF4-FFF2-40B4-BE49-F238E27FC236}">
              <a16:creationId xmlns:a16="http://schemas.microsoft.com/office/drawing/2014/main" id="{00000000-0008-0000-0D00-00001C000000}"/>
            </a:ext>
          </a:extLst>
        </xdr:cNvPr>
        <xdr:cNvSpPr/>
      </xdr:nvSpPr>
      <xdr:spPr>
        <a:xfrm>
          <a:off x="5734050" y="1047750"/>
          <a:ext cx="1333500" cy="571500"/>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2">
                  <a:lumMod val="50000"/>
                </a:schemeClr>
              </a:solidFill>
            </a:rPr>
            <a:t>Validate </a:t>
          </a:r>
        </a:p>
        <a:p>
          <a:pPr algn="l"/>
          <a:r>
            <a:rPr lang="en-US" sz="1100" b="1">
              <a:solidFill>
                <a:schemeClr val="tx2">
                  <a:lumMod val="50000"/>
                </a:schemeClr>
              </a:solidFill>
            </a:rPr>
            <a:t>Sheet</a:t>
          </a:r>
        </a:p>
      </xdr:txBody>
    </xdr:sp>
    <xdr:clientData/>
  </xdr:twoCellAnchor>
  <xdr:twoCellAnchor>
    <xdr:from>
      <xdr:col>6</xdr:col>
      <xdr:colOff>847725</xdr:colOff>
      <xdr:row>2</xdr:row>
      <xdr:rowOff>104776</xdr:rowOff>
    </xdr:from>
    <xdr:to>
      <xdr:col>6</xdr:col>
      <xdr:colOff>1276350</xdr:colOff>
      <xdr:row>2</xdr:row>
      <xdr:rowOff>542926</xdr:rowOff>
    </xdr:to>
    <xdr:grpSp>
      <xdr:nvGrpSpPr>
        <xdr:cNvPr id="29" name="Group 28">
          <a:extLst>
            <a:ext uri="{FF2B5EF4-FFF2-40B4-BE49-F238E27FC236}">
              <a16:creationId xmlns:a16="http://schemas.microsoft.com/office/drawing/2014/main" id="{00000000-0008-0000-0D00-00001D000000}"/>
            </a:ext>
          </a:extLst>
        </xdr:cNvPr>
        <xdr:cNvGrpSpPr/>
      </xdr:nvGrpSpPr>
      <xdr:grpSpPr>
        <a:xfrm>
          <a:off x="6654165" y="1080136"/>
          <a:ext cx="428625" cy="438150"/>
          <a:chOff x="1982229" y="2092319"/>
          <a:chExt cx="1029931" cy="1029921"/>
        </a:xfrm>
      </xdr:grpSpPr>
      <xdr:sp macro="" textlink="">
        <xdr:nvSpPr>
          <xdr:cNvPr id="30" name="Oval 29">
            <a:extLst>
              <a:ext uri="{FF2B5EF4-FFF2-40B4-BE49-F238E27FC236}">
                <a16:creationId xmlns:a16="http://schemas.microsoft.com/office/drawing/2014/main" id="{00000000-0008-0000-0D00-00001E000000}"/>
              </a:ext>
            </a:extLst>
          </xdr:cNvPr>
          <xdr:cNvSpPr/>
        </xdr:nvSpPr>
        <xdr:spPr>
          <a:xfrm>
            <a:off x="1982229" y="2092319"/>
            <a:ext cx="1029931" cy="1029921"/>
          </a:xfrm>
          <a:prstGeom prst="ellipse">
            <a:avLst/>
          </a:prstGeom>
          <a:solidFill>
            <a:schemeClr val="bg1"/>
          </a:solidFill>
          <a:ln w="57150">
            <a:solidFill>
              <a:srgbClr val="5B7DDB"/>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2215" b="1">
              <a:solidFill>
                <a:schemeClr val="tx1">
                  <a:lumMod val="60000"/>
                  <a:lumOff val="40000"/>
                </a:schemeClr>
              </a:solidFill>
              <a:latin typeface="Arial" pitchFamily="34" charset="0"/>
              <a:cs typeface="Arial" pitchFamily="34" charset="0"/>
            </a:endParaRPr>
          </a:p>
        </xdr:txBody>
      </xdr:sp>
      <xdr:sp macro="" textlink="">
        <xdr:nvSpPr>
          <xdr:cNvPr id="31" name="Freeform 30">
            <a:extLst>
              <a:ext uri="{FF2B5EF4-FFF2-40B4-BE49-F238E27FC236}">
                <a16:creationId xmlns:a16="http://schemas.microsoft.com/office/drawing/2014/main" id="{00000000-0008-0000-0D00-00001F000000}"/>
              </a:ext>
            </a:extLst>
          </xdr:cNvPr>
          <xdr:cNvSpPr/>
        </xdr:nvSpPr>
        <xdr:spPr>
          <a:xfrm>
            <a:off x="2302002" y="2350498"/>
            <a:ext cx="434316" cy="528460"/>
          </a:xfrm>
          <a:custGeom>
            <a:avLst/>
            <a:gdLst>
              <a:gd name="connsiteX0" fmla="*/ 350280 w 557958"/>
              <a:gd name="connsiteY0" fmla="*/ 0 h 678906"/>
              <a:gd name="connsiteX1" fmla="*/ 557958 w 557958"/>
              <a:gd name="connsiteY1" fmla="*/ 213145 h 678906"/>
              <a:gd name="connsiteX2" fmla="*/ 557958 w 557958"/>
              <a:gd name="connsiteY2" fmla="*/ 215074 h 678906"/>
              <a:gd name="connsiteX3" fmla="*/ 433296 w 557958"/>
              <a:gd name="connsiteY3" fmla="*/ 215074 h 678906"/>
              <a:gd name="connsiteX4" fmla="*/ 350280 w 557958"/>
              <a:gd name="connsiteY4" fmla="*/ 132059 h 678906"/>
              <a:gd name="connsiteX5" fmla="*/ 92739 w 557958"/>
              <a:gd name="connsiteY5" fmla="*/ 0 h 678906"/>
              <a:gd name="connsiteX6" fmla="*/ 323926 w 557958"/>
              <a:gd name="connsiteY6" fmla="*/ 0 h 678906"/>
              <a:gd name="connsiteX7" fmla="*/ 324397 w 557958"/>
              <a:gd name="connsiteY7" fmla="*/ 493 h 678906"/>
              <a:gd name="connsiteX8" fmla="*/ 324397 w 557958"/>
              <a:gd name="connsiteY8" fmla="*/ 147525 h 678906"/>
              <a:gd name="connsiteX9" fmla="*/ 417135 w 557958"/>
              <a:gd name="connsiteY9" fmla="*/ 240263 h 678906"/>
              <a:gd name="connsiteX10" fmla="*/ 553322 w 557958"/>
              <a:gd name="connsiteY10" fmla="*/ 240263 h 678906"/>
              <a:gd name="connsiteX11" fmla="*/ 556420 w 557958"/>
              <a:gd name="connsiteY11" fmla="*/ 243507 h 678906"/>
              <a:gd name="connsiteX12" fmla="*/ 556420 w 557958"/>
              <a:gd name="connsiteY12" fmla="*/ 586169 h 678906"/>
              <a:gd name="connsiteX13" fmla="*/ 463682 w 557958"/>
              <a:gd name="connsiteY13" fmla="*/ 678906 h 678906"/>
              <a:gd name="connsiteX14" fmla="*/ 92739 w 557958"/>
              <a:gd name="connsiteY14" fmla="*/ 678906 h 678906"/>
              <a:gd name="connsiteX15" fmla="*/ 92734 w 557958"/>
              <a:gd name="connsiteY15" fmla="*/ 678905 h 678906"/>
              <a:gd name="connsiteX16" fmla="*/ 59501 w 557958"/>
              <a:gd name="connsiteY16" fmla="*/ 678905 h 678906"/>
              <a:gd name="connsiteX17" fmla="*/ 279110 w 557958"/>
              <a:gd name="connsiteY17" fmla="*/ 401696 h 678906"/>
              <a:gd name="connsiteX18" fmla="*/ 269334 w 557958"/>
              <a:gd name="connsiteY18" fmla="*/ 317378 h 678906"/>
              <a:gd name="connsiteX19" fmla="*/ 269335 w 557958"/>
              <a:gd name="connsiteY19" fmla="*/ 317377 h 678906"/>
              <a:gd name="connsiteX20" fmla="*/ 225152 w 557958"/>
              <a:gd name="connsiteY20" fmla="*/ 304802 h 678906"/>
              <a:gd name="connsiteX21" fmla="*/ 185017 w 557958"/>
              <a:gd name="connsiteY21" fmla="*/ 327153 h 678906"/>
              <a:gd name="connsiteX22" fmla="*/ 836 w 557958"/>
              <a:gd name="connsiteY22" fmla="*/ 559643 h 678906"/>
              <a:gd name="connsiteX23" fmla="*/ 836 w 557958"/>
              <a:gd name="connsiteY23" fmla="*/ 286370 h 678906"/>
              <a:gd name="connsiteX24" fmla="*/ 0 w 557958"/>
              <a:gd name="connsiteY24" fmla="*/ 286201 h 678906"/>
              <a:gd name="connsiteX25" fmla="*/ 0 w 557958"/>
              <a:gd name="connsiteY25" fmla="*/ 92738 h 678906"/>
              <a:gd name="connsiteX26" fmla="*/ 92739 w 557958"/>
              <a:gd name="connsiteY26" fmla="*/ 0 h 67890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Lst>
            <a:rect l="l" t="t" r="r" b="b"/>
            <a:pathLst>
              <a:path w="557958" h="678906">
                <a:moveTo>
                  <a:pt x="350280" y="0"/>
                </a:moveTo>
                <a:lnTo>
                  <a:pt x="557958" y="213145"/>
                </a:lnTo>
                <a:lnTo>
                  <a:pt x="557958" y="215074"/>
                </a:lnTo>
                <a:lnTo>
                  <a:pt x="433296" y="215074"/>
                </a:lnTo>
                <a:cubicBezTo>
                  <a:pt x="387445" y="215074"/>
                  <a:pt x="350280" y="177908"/>
                  <a:pt x="350280" y="132059"/>
                </a:cubicBezTo>
                <a:close/>
                <a:moveTo>
                  <a:pt x="92739" y="0"/>
                </a:moveTo>
                <a:lnTo>
                  <a:pt x="323926" y="0"/>
                </a:lnTo>
                <a:lnTo>
                  <a:pt x="324397" y="493"/>
                </a:lnTo>
                <a:lnTo>
                  <a:pt x="324397" y="147525"/>
                </a:lnTo>
                <a:cubicBezTo>
                  <a:pt x="324397" y="198745"/>
                  <a:pt x="365915" y="240263"/>
                  <a:pt x="417135" y="240263"/>
                </a:cubicBezTo>
                <a:lnTo>
                  <a:pt x="553322" y="240263"/>
                </a:lnTo>
                <a:lnTo>
                  <a:pt x="556420" y="243507"/>
                </a:lnTo>
                <a:lnTo>
                  <a:pt x="556420" y="586169"/>
                </a:lnTo>
                <a:cubicBezTo>
                  <a:pt x="556420" y="637388"/>
                  <a:pt x="514902" y="678906"/>
                  <a:pt x="463682" y="678906"/>
                </a:cubicBezTo>
                <a:lnTo>
                  <a:pt x="92739" y="678906"/>
                </a:lnTo>
                <a:lnTo>
                  <a:pt x="92734" y="678905"/>
                </a:lnTo>
                <a:lnTo>
                  <a:pt x="59501" y="678905"/>
                </a:lnTo>
                <a:lnTo>
                  <a:pt x="279110" y="401696"/>
                </a:lnTo>
                <a:cubicBezTo>
                  <a:pt x="299695" y="375712"/>
                  <a:pt x="295318" y="337962"/>
                  <a:pt x="269334" y="317378"/>
                </a:cubicBezTo>
                <a:lnTo>
                  <a:pt x="269335" y="317377"/>
                </a:lnTo>
                <a:cubicBezTo>
                  <a:pt x="256344" y="307085"/>
                  <a:pt x="240410" y="303033"/>
                  <a:pt x="225152" y="304802"/>
                </a:cubicBezTo>
                <a:cubicBezTo>
                  <a:pt x="209893" y="306571"/>
                  <a:pt x="195309" y="314162"/>
                  <a:pt x="185017" y="327153"/>
                </a:cubicBezTo>
                <a:lnTo>
                  <a:pt x="836" y="559643"/>
                </a:lnTo>
                <a:lnTo>
                  <a:pt x="836" y="286370"/>
                </a:lnTo>
                <a:lnTo>
                  <a:pt x="0" y="286201"/>
                </a:lnTo>
                <a:lnTo>
                  <a:pt x="0" y="92738"/>
                </a:lnTo>
                <a:cubicBezTo>
                  <a:pt x="0" y="41518"/>
                  <a:pt x="41519" y="0"/>
                  <a:pt x="92739" y="0"/>
                </a:cubicBezTo>
                <a:close/>
              </a:path>
            </a:pathLst>
          </a:custGeom>
          <a:solidFill>
            <a:srgbClr val="2950B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3199"/>
          </a:p>
        </xdr:txBody>
      </xdr:sp>
      <xdr:grpSp>
        <xdr:nvGrpSpPr>
          <xdr:cNvPr id="32" name="Group 31">
            <a:extLst>
              <a:ext uri="{FF2B5EF4-FFF2-40B4-BE49-F238E27FC236}">
                <a16:creationId xmlns:a16="http://schemas.microsoft.com/office/drawing/2014/main" id="{00000000-0008-0000-0D00-000020000000}"/>
              </a:ext>
            </a:extLst>
          </xdr:cNvPr>
          <xdr:cNvGrpSpPr/>
        </xdr:nvGrpSpPr>
        <xdr:grpSpPr>
          <a:xfrm>
            <a:off x="2227648" y="2566818"/>
            <a:ext cx="201061" cy="359352"/>
            <a:chOff x="6470288" y="1855804"/>
            <a:chExt cx="258298" cy="461654"/>
          </a:xfrm>
          <a:solidFill>
            <a:srgbClr val="2950BD"/>
          </a:solidFill>
        </xdr:grpSpPr>
        <xdr:sp macro="" textlink="">
          <xdr:nvSpPr>
            <xdr:cNvPr id="33" name="Rounded Rectangle 32">
              <a:extLst>
                <a:ext uri="{FF2B5EF4-FFF2-40B4-BE49-F238E27FC236}">
                  <a16:creationId xmlns:a16="http://schemas.microsoft.com/office/drawing/2014/main" id="{00000000-0008-0000-0D00-000021000000}"/>
                </a:ext>
              </a:extLst>
            </xdr:cNvPr>
            <xdr:cNvSpPr/>
          </xdr:nvSpPr>
          <xdr:spPr>
            <a:xfrm rot="18503198">
              <a:off x="6455048" y="2043919"/>
              <a:ext cx="461654" cy="85423"/>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3199"/>
            </a:p>
          </xdr:txBody>
        </xdr:sp>
        <xdr:sp macro="" textlink="">
          <xdr:nvSpPr>
            <xdr:cNvPr id="34" name="Rounded Rectangle 33">
              <a:extLst>
                <a:ext uri="{FF2B5EF4-FFF2-40B4-BE49-F238E27FC236}">
                  <a16:creationId xmlns:a16="http://schemas.microsoft.com/office/drawing/2014/main" id="{00000000-0008-0000-0D00-000022000000}"/>
                </a:ext>
              </a:extLst>
            </xdr:cNvPr>
            <xdr:cNvSpPr/>
          </xdr:nvSpPr>
          <xdr:spPr>
            <a:xfrm rot="13895427">
              <a:off x="6380098" y="2120239"/>
              <a:ext cx="265804" cy="85423"/>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3199"/>
            </a:p>
          </xdr:txBody>
        </xdr:sp>
      </xdr:grpSp>
    </xdr:grpSp>
    <xdr:clientData/>
  </xdr:twoCellAnchor>
  <xdr:twoCellAnchor>
    <xdr:from>
      <xdr:col>4</xdr:col>
      <xdr:colOff>85726</xdr:colOff>
      <xdr:row>0</xdr:row>
      <xdr:rowOff>457199</xdr:rowOff>
    </xdr:from>
    <xdr:to>
      <xdr:col>4</xdr:col>
      <xdr:colOff>1152526</xdr:colOff>
      <xdr:row>1</xdr:row>
      <xdr:rowOff>438150</xdr:rowOff>
    </xdr:to>
    <xdr:sp macro="[0]!Home" textlink="">
      <xdr:nvSpPr>
        <xdr:cNvPr id="42" name="Rounded Rectangle 41">
          <a:extLst>
            <a:ext uri="{FF2B5EF4-FFF2-40B4-BE49-F238E27FC236}">
              <a16:creationId xmlns:a16="http://schemas.microsoft.com/office/drawing/2014/main" id="{00000000-0008-0000-0D00-00002A000000}"/>
            </a:ext>
          </a:extLst>
        </xdr:cNvPr>
        <xdr:cNvSpPr/>
      </xdr:nvSpPr>
      <xdr:spPr>
        <a:xfrm>
          <a:off x="3286126" y="457199"/>
          <a:ext cx="1066800" cy="476251"/>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2">
                  <a:lumMod val="50000"/>
                </a:schemeClr>
              </a:solidFill>
            </a:rPr>
            <a:t>        HOME</a:t>
          </a:r>
        </a:p>
      </xdr:txBody>
    </xdr:sp>
    <xdr:clientData/>
  </xdr:twoCellAnchor>
  <xdr:twoCellAnchor>
    <xdr:from>
      <xdr:col>5</xdr:col>
      <xdr:colOff>0</xdr:colOff>
      <xdr:row>0</xdr:row>
      <xdr:rowOff>447675</xdr:rowOff>
    </xdr:from>
    <xdr:to>
      <xdr:col>5</xdr:col>
      <xdr:colOff>1133475</xdr:colOff>
      <xdr:row>1</xdr:row>
      <xdr:rowOff>438150</xdr:rowOff>
    </xdr:to>
    <xdr:sp macro="[0]!Previousheet" textlink="">
      <xdr:nvSpPr>
        <xdr:cNvPr id="43" name="Rounded Rectangle 42">
          <a:extLst>
            <a:ext uri="{FF2B5EF4-FFF2-40B4-BE49-F238E27FC236}">
              <a16:creationId xmlns:a16="http://schemas.microsoft.com/office/drawing/2014/main" id="{00000000-0008-0000-0D00-00002B000000}"/>
            </a:ext>
          </a:extLst>
        </xdr:cNvPr>
        <xdr:cNvSpPr/>
      </xdr:nvSpPr>
      <xdr:spPr>
        <a:xfrm>
          <a:off x="4476750" y="447675"/>
          <a:ext cx="1133475" cy="485775"/>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2">
                  <a:lumMod val="50000"/>
                </a:schemeClr>
              </a:solidFill>
            </a:rPr>
            <a:t>    PREVIOUS</a:t>
          </a:r>
          <a:r>
            <a:rPr lang="en-US" sz="1100" b="1" baseline="0">
              <a:solidFill>
                <a:schemeClr val="tx2">
                  <a:lumMod val="50000"/>
                </a:schemeClr>
              </a:solidFill>
            </a:rPr>
            <a:t> </a:t>
          </a:r>
          <a:endParaRPr lang="en-US" sz="1100" b="1">
            <a:solidFill>
              <a:schemeClr val="tx2">
                <a:lumMod val="50000"/>
              </a:schemeClr>
            </a:solidFill>
          </a:endParaRPr>
        </a:p>
      </xdr:txBody>
    </xdr:sp>
    <xdr:clientData/>
  </xdr:twoCellAnchor>
  <xdr:twoCellAnchor>
    <xdr:from>
      <xdr:col>6</xdr:col>
      <xdr:colOff>76200</xdr:colOff>
      <xdr:row>0</xdr:row>
      <xdr:rowOff>447675</xdr:rowOff>
    </xdr:from>
    <xdr:to>
      <xdr:col>6</xdr:col>
      <xdr:colOff>1190625</xdr:colOff>
      <xdr:row>1</xdr:row>
      <xdr:rowOff>428625</xdr:rowOff>
    </xdr:to>
    <xdr:sp macro="[0]!Nextsheet" textlink="">
      <xdr:nvSpPr>
        <xdr:cNvPr id="44" name="Rounded Rectangle 43">
          <a:extLst>
            <a:ext uri="{FF2B5EF4-FFF2-40B4-BE49-F238E27FC236}">
              <a16:creationId xmlns:a16="http://schemas.microsoft.com/office/drawing/2014/main" id="{00000000-0008-0000-0D00-00002C000000}"/>
            </a:ext>
          </a:extLst>
        </xdr:cNvPr>
        <xdr:cNvSpPr/>
      </xdr:nvSpPr>
      <xdr:spPr>
        <a:xfrm>
          <a:off x="5724525" y="447675"/>
          <a:ext cx="1114425" cy="476250"/>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2">
                  <a:lumMod val="50000"/>
                </a:schemeClr>
              </a:solidFill>
            </a:rPr>
            <a:t>         NEXT</a:t>
          </a:r>
        </a:p>
      </xdr:txBody>
    </xdr:sp>
    <xdr:clientData/>
  </xdr:twoCellAnchor>
  <xdr:twoCellAnchor>
    <xdr:from>
      <xdr:col>1</xdr:col>
      <xdr:colOff>1314450</xdr:colOff>
      <xdr:row>0</xdr:row>
      <xdr:rowOff>457200</xdr:rowOff>
    </xdr:from>
    <xdr:to>
      <xdr:col>2</xdr:col>
      <xdr:colOff>942976</xdr:colOff>
      <xdr:row>1</xdr:row>
      <xdr:rowOff>428625</xdr:rowOff>
    </xdr:to>
    <xdr:sp macro="[0]!Help" textlink="">
      <xdr:nvSpPr>
        <xdr:cNvPr id="13" name="Rounded Rectangle 12">
          <a:extLst>
            <a:ext uri="{FF2B5EF4-FFF2-40B4-BE49-F238E27FC236}">
              <a16:creationId xmlns:a16="http://schemas.microsoft.com/office/drawing/2014/main" id="{00000000-0008-0000-0D00-00000D000000}"/>
            </a:ext>
          </a:extLst>
        </xdr:cNvPr>
        <xdr:cNvSpPr/>
      </xdr:nvSpPr>
      <xdr:spPr>
        <a:xfrm>
          <a:off x="1990725" y="457200"/>
          <a:ext cx="1181101" cy="466725"/>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chemeClr val="tx2">
                  <a:lumMod val="50000"/>
                </a:schemeClr>
              </a:solidFill>
            </a:rPr>
            <a:t>HELP</a:t>
          </a:r>
        </a:p>
      </xdr:txBody>
    </xdr:sp>
    <xdr:clientData/>
  </xdr:twoCellAnchor>
</xdr:wsDr>
</file>

<file path=xl/drawings/drawing17.xml><?xml version="1.0" encoding="utf-8"?>
<xdr:wsDr xmlns:xdr="http://schemas.openxmlformats.org/drawingml/2006/spreadsheetDrawing" xmlns:a="http://schemas.openxmlformats.org/drawingml/2006/main">
  <xdr:twoCellAnchor editAs="oneCell">
    <xdr:from>
      <xdr:col>1</xdr:col>
      <xdr:colOff>28576</xdr:colOff>
      <xdr:row>0</xdr:row>
      <xdr:rowOff>19051</xdr:rowOff>
    </xdr:from>
    <xdr:to>
      <xdr:col>1</xdr:col>
      <xdr:colOff>361950</xdr:colOff>
      <xdr:row>1</xdr:row>
      <xdr:rowOff>152400</xdr:rowOff>
    </xdr:to>
    <xdr:pic>
      <xdr:nvPicPr>
        <xdr:cNvPr id="2" name="Picture 1">
          <a:extLst>
            <a:ext uri="{FF2B5EF4-FFF2-40B4-BE49-F238E27FC236}">
              <a16:creationId xmlns:a16="http://schemas.microsoft.com/office/drawing/2014/main" id="{00000000-0008-0000-0E00-000002000000}"/>
            </a:ext>
          </a:extLst>
        </xdr:cNvPr>
        <xdr:cNvPicPr>
          <a:picLocks noChangeAspect="1"/>
        </xdr:cNvPicPr>
      </xdr:nvPicPr>
      <xdr:blipFill>
        <a:blip xmlns:r="http://schemas.openxmlformats.org/officeDocument/2006/relationships" r:embed="rId1"/>
        <a:stretch>
          <a:fillRect/>
        </a:stretch>
      </xdr:blipFill>
      <xdr:spPr>
        <a:xfrm>
          <a:off x="152401" y="19051"/>
          <a:ext cx="333374" cy="466724"/>
        </a:xfrm>
        <a:prstGeom prst="rect">
          <a:avLst/>
        </a:prstGeom>
      </xdr:spPr>
    </xdr:pic>
    <xdr:clientData/>
  </xdr:twoCellAnchor>
  <xdr:twoCellAnchor>
    <xdr:from>
      <xdr:col>9</xdr:col>
      <xdr:colOff>123825</xdr:colOff>
      <xdr:row>2</xdr:row>
      <xdr:rowOff>66675</xdr:rowOff>
    </xdr:from>
    <xdr:to>
      <xdr:col>9</xdr:col>
      <xdr:colOff>1400175</xdr:colOff>
      <xdr:row>2</xdr:row>
      <xdr:rowOff>638175</xdr:rowOff>
    </xdr:to>
    <xdr:sp macro="[0]!Validate_TableFive" textlink="">
      <xdr:nvSpPr>
        <xdr:cNvPr id="28" name="Rounded Rectangle 27">
          <a:extLst>
            <a:ext uri="{FF2B5EF4-FFF2-40B4-BE49-F238E27FC236}">
              <a16:creationId xmlns:a16="http://schemas.microsoft.com/office/drawing/2014/main" id="{00000000-0008-0000-0E00-00001C000000}"/>
            </a:ext>
          </a:extLst>
        </xdr:cNvPr>
        <xdr:cNvSpPr/>
      </xdr:nvSpPr>
      <xdr:spPr>
        <a:xfrm>
          <a:off x="10515600" y="609600"/>
          <a:ext cx="1276350" cy="571500"/>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2">
                  <a:lumMod val="50000"/>
                </a:schemeClr>
              </a:solidFill>
            </a:rPr>
            <a:t>Validate </a:t>
          </a:r>
        </a:p>
        <a:p>
          <a:pPr algn="l"/>
          <a:r>
            <a:rPr lang="en-US" sz="1100" b="1">
              <a:solidFill>
                <a:schemeClr val="tx2">
                  <a:lumMod val="50000"/>
                </a:schemeClr>
              </a:solidFill>
            </a:rPr>
            <a:t>Sheet</a:t>
          </a:r>
        </a:p>
      </xdr:txBody>
    </xdr:sp>
    <xdr:clientData/>
  </xdr:twoCellAnchor>
  <xdr:twoCellAnchor>
    <xdr:from>
      <xdr:col>9</xdr:col>
      <xdr:colOff>847725</xdr:colOff>
      <xdr:row>2</xdr:row>
      <xdr:rowOff>104776</xdr:rowOff>
    </xdr:from>
    <xdr:to>
      <xdr:col>9</xdr:col>
      <xdr:colOff>1276350</xdr:colOff>
      <xdr:row>2</xdr:row>
      <xdr:rowOff>542926</xdr:rowOff>
    </xdr:to>
    <xdr:grpSp>
      <xdr:nvGrpSpPr>
        <xdr:cNvPr id="29" name="Group 28">
          <a:extLst>
            <a:ext uri="{FF2B5EF4-FFF2-40B4-BE49-F238E27FC236}">
              <a16:creationId xmlns:a16="http://schemas.microsoft.com/office/drawing/2014/main" id="{00000000-0008-0000-0E00-00001D000000}"/>
            </a:ext>
          </a:extLst>
        </xdr:cNvPr>
        <xdr:cNvGrpSpPr/>
      </xdr:nvGrpSpPr>
      <xdr:grpSpPr>
        <a:xfrm>
          <a:off x="14844001" y="630293"/>
          <a:ext cx="428625" cy="438150"/>
          <a:chOff x="1982229" y="2092319"/>
          <a:chExt cx="1029931" cy="1029921"/>
        </a:xfrm>
      </xdr:grpSpPr>
      <xdr:sp macro="" textlink="">
        <xdr:nvSpPr>
          <xdr:cNvPr id="30" name="Oval 29">
            <a:extLst>
              <a:ext uri="{FF2B5EF4-FFF2-40B4-BE49-F238E27FC236}">
                <a16:creationId xmlns:a16="http://schemas.microsoft.com/office/drawing/2014/main" id="{00000000-0008-0000-0E00-00001E000000}"/>
              </a:ext>
            </a:extLst>
          </xdr:cNvPr>
          <xdr:cNvSpPr/>
        </xdr:nvSpPr>
        <xdr:spPr>
          <a:xfrm>
            <a:off x="1982229" y="2092319"/>
            <a:ext cx="1029931" cy="1029921"/>
          </a:xfrm>
          <a:prstGeom prst="ellipse">
            <a:avLst/>
          </a:prstGeom>
          <a:solidFill>
            <a:schemeClr val="bg1"/>
          </a:solidFill>
          <a:ln w="57150">
            <a:solidFill>
              <a:srgbClr val="5B7DDB"/>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2215" b="1">
              <a:solidFill>
                <a:schemeClr val="tx1">
                  <a:lumMod val="60000"/>
                  <a:lumOff val="40000"/>
                </a:schemeClr>
              </a:solidFill>
              <a:latin typeface="Arial" pitchFamily="34" charset="0"/>
              <a:cs typeface="Arial" pitchFamily="34" charset="0"/>
            </a:endParaRPr>
          </a:p>
        </xdr:txBody>
      </xdr:sp>
      <xdr:sp macro="" textlink="">
        <xdr:nvSpPr>
          <xdr:cNvPr id="31" name="Freeform 30">
            <a:extLst>
              <a:ext uri="{FF2B5EF4-FFF2-40B4-BE49-F238E27FC236}">
                <a16:creationId xmlns:a16="http://schemas.microsoft.com/office/drawing/2014/main" id="{00000000-0008-0000-0E00-00001F000000}"/>
              </a:ext>
            </a:extLst>
          </xdr:cNvPr>
          <xdr:cNvSpPr/>
        </xdr:nvSpPr>
        <xdr:spPr>
          <a:xfrm>
            <a:off x="2302002" y="2350498"/>
            <a:ext cx="434316" cy="528460"/>
          </a:xfrm>
          <a:custGeom>
            <a:avLst/>
            <a:gdLst>
              <a:gd name="connsiteX0" fmla="*/ 350280 w 557958"/>
              <a:gd name="connsiteY0" fmla="*/ 0 h 678906"/>
              <a:gd name="connsiteX1" fmla="*/ 557958 w 557958"/>
              <a:gd name="connsiteY1" fmla="*/ 213145 h 678906"/>
              <a:gd name="connsiteX2" fmla="*/ 557958 w 557958"/>
              <a:gd name="connsiteY2" fmla="*/ 215074 h 678906"/>
              <a:gd name="connsiteX3" fmla="*/ 433296 w 557958"/>
              <a:gd name="connsiteY3" fmla="*/ 215074 h 678906"/>
              <a:gd name="connsiteX4" fmla="*/ 350280 w 557958"/>
              <a:gd name="connsiteY4" fmla="*/ 132059 h 678906"/>
              <a:gd name="connsiteX5" fmla="*/ 92739 w 557958"/>
              <a:gd name="connsiteY5" fmla="*/ 0 h 678906"/>
              <a:gd name="connsiteX6" fmla="*/ 323926 w 557958"/>
              <a:gd name="connsiteY6" fmla="*/ 0 h 678906"/>
              <a:gd name="connsiteX7" fmla="*/ 324397 w 557958"/>
              <a:gd name="connsiteY7" fmla="*/ 493 h 678906"/>
              <a:gd name="connsiteX8" fmla="*/ 324397 w 557958"/>
              <a:gd name="connsiteY8" fmla="*/ 147525 h 678906"/>
              <a:gd name="connsiteX9" fmla="*/ 417135 w 557958"/>
              <a:gd name="connsiteY9" fmla="*/ 240263 h 678906"/>
              <a:gd name="connsiteX10" fmla="*/ 553322 w 557958"/>
              <a:gd name="connsiteY10" fmla="*/ 240263 h 678906"/>
              <a:gd name="connsiteX11" fmla="*/ 556420 w 557958"/>
              <a:gd name="connsiteY11" fmla="*/ 243507 h 678906"/>
              <a:gd name="connsiteX12" fmla="*/ 556420 w 557958"/>
              <a:gd name="connsiteY12" fmla="*/ 586169 h 678906"/>
              <a:gd name="connsiteX13" fmla="*/ 463682 w 557958"/>
              <a:gd name="connsiteY13" fmla="*/ 678906 h 678906"/>
              <a:gd name="connsiteX14" fmla="*/ 92739 w 557958"/>
              <a:gd name="connsiteY14" fmla="*/ 678906 h 678906"/>
              <a:gd name="connsiteX15" fmla="*/ 92734 w 557958"/>
              <a:gd name="connsiteY15" fmla="*/ 678905 h 678906"/>
              <a:gd name="connsiteX16" fmla="*/ 59501 w 557958"/>
              <a:gd name="connsiteY16" fmla="*/ 678905 h 678906"/>
              <a:gd name="connsiteX17" fmla="*/ 279110 w 557958"/>
              <a:gd name="connsiteY17" fmla="*/ 401696 h 678906"/>
              <a:gd name="connsiteX18" fmla="*/ 269334 w 557958"/>
              <a:gd name="connsiteY18" fmla="*/ 317378 h 678906"/>
              <a:gd name="connsiteX19" fmla="*/ 269335 w 557958"/>
              <a:gd name="connsiteY19" fmla="*/ 317377 h 678906"/>
              <a:gd name="connsiteX20" fmla="*/ 225152 w 557958"/>
              <a:gd name="connsiteY20" fmla="*/ 304802 h 678906"/>
              <a:gd name="connsiteX21" fmla="*/ 185017 w 557958"/>
              <a:gd name="connsiteY21" fmla="*/ 327153 h 678906"/>
              <a:gd name="connsiteX22" fmla="*/ 836 w 557958"/>
              <a:gd name="connsiteY22" fmla="*/ 559643 h 678906"/>
              <a:gd name="connsiteX23" fmla="*/ 836 w 557958"/>
              <a:gd name="connsiteY23" fmla="*/ 286370 h 678906"/>
              <a:gd name="connsiteX24" fmla="*/ 0 w 557958"/>
              <a:gd name="connsiteY24" fmla="*/ 286201 h 678906"/>
              <a:gd name="connsiteX25" fmla="*/ 0 w 557958"/>
              <a:gd name="connsiteY25" fmla="*/ 92738 h 678906"/>
              <a:gd name="connsiteX26" fmla="*/ 92739 w 557958"/>
              <a:gd name="connsiteY26" fmla="*/ 0 h 67890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Lst>
            <a:rect l="l" t="t" r="r" b="b"/>
            <a:pathLst>
              <a:path w="557958" h="678906">
                <a:moveTo>
                  <a:pt x="350280" y="0"/>
                </a:moveTo>
                <a:lnTo>
                  <a:pt x="557958" y="213145"/>
                </a:lnTo>
                <a:lnTo>
                  <a:pt x="557958" y="215074"/>
                </a:lnTo>
                <a:lnTo>
                  <a:pt x="433296" y="215074"/>
                </a:lnTo>
                <a:cubicBezTo>
                  <a:pt x="387445" y="215074"/>
                  <a:pt x="350280" y="177908"/>
                  <a:pt x="350280" y="132059"/>
                </a:cubicBezTo>
                <a:close/>
                <a:moveTo>
                  <a:pt x="92739" y="0"/>
                </a:moveTo>
                <a:lnTo>
                  <a:pt x="323926" y="0"/>
                </a:lnTo>
                <a:lnTo>
                  <a:pt x="324397" y="493"/>
                </a:lnTo>
                <a:lnTo>
                  <a:pt x="324397" y="147525"/>
                </a:lnTo>
                <a:cubicBezTo>
                  <a:pt x="324397" y="198745"/>
                  <a:pt x="365915" y="240263"/>
                  <a:pt x="417135" y="240263"/>
                </a:cubicBezTo>
                <a:lnTo>
                  <a:pt x="553322" y="240263"/>
                </a:lnTo>
                <a:lnTo>
                  <a:pt x="556420" y="243507"/>
                </a:lnTo>
                <a:lnTo>
                  <a:pt x="556420" y="586169"/>
                </a:lnTo>
                <a:cubicBezTo>
                  <a:pt x="556420" y="637388"/>
                  <a:pt x="514902" y="678906"/>
                  <a:pt x="463682" y="678906"/>
                </a:cubicBezTo>
                <a:lnTo>
                  <a:pt x="92739" y="678906"/>
                </a:lnTo>
                <a:lnTo>
                  <a:pt x="92734" y="678905"/>
                </a:lnTo>
                <a:lnTo>
                  <a:pt x="59501" y="678905"/>
                </a:lnTo>
                <a:lnTo>
                  <a:pt x="279110" y="401696"/>
                </a:lnTo>
                <a:cubicBezTo>
                  <a:pt x="299695" y="375712"/>
                  <a:pt x="295318" y="337962"/>
                  <a:pt x="269334" y="317378"/>
                </a:cubicBezTo>
                <a:lnTo>
                  <a:pt x="269335" y="317377"/>
                </a:lnTo>
                <a:cubicBezTo>
                  <a:pt x="256344" y="307085"/>
                  <a:pt x="240410" y="303033"/>
                  <a:pt x="225152" y="304802"/>
                </a:cubicBezTo>
                <a:cubicBezTo>
                  <a:pt x="209893" y="306571"/>
                  <a:pt x="195309" y="314162"/>
                  <a:pt x="185017" y="327153"/>
                </a:cubicBezTo>
                <a:lnTo>
                  <a:pt x="836" y="559643"/>
                </a:lnTo>
                <a:lnTo>
                  <a:pt x="836" y="286370"/>
                </a:lnTo>
                <a:lnTo>
                  <a:pt x="0" y="286201"/>
                </a:lnTo>
                <a:lnTo>
                  <a:pt x="0" y="92738"/>
                </a:lnTo>
                <a:cubicBezTo>
                  <a:pt x="0" y="41518"/>
                  <a:pt x="41519" y="0"/>
                  <a:pt x="92739" y="0"/>
                </a:cubicBezTo>
                <a:close/>
              </a:path>
            </a:pathLst>
          </a:custGeom>
          <a:solidFill>
            <a:srgbClr val="2950B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3199"/>
          </a:p>
        </xdr:txBody>
      </xdr:sp>
      <xdr:grpSp>
        <xdr:nvGrpSpPr>
          <xdr:cNvPr id="32" name="Group 31">
            <a:extLst>
              <a:ext uri="{FF2B5EF4-FFF2-40B4-BE49-F238E27FC236}">
                <a16:creationId xmlns:a16="http://schemas.microsoft.com/office/drawing/2014/main" id="{00000000-0008-0000-0E00-000020000000}"/>
              </a:ext>
            </a:extLst>
          </xdr:cNvPr>
          <xdr:cNvGrpSpPr/>
        </xdr:nvGrpSpPr>
        <xdr:grpSpPr>
          <a:xfrm>
            <a:off x="2227648" y="2566818"/>
            <a:ext cx="201061" cy="359352"/>
            <a:chOff x="6470288" y="1855804"/>
            <a:chExt cx="258298" cy="461654"/>
          </a:xfrm>
          <a:solidFill>
            <a:srgbClr val="2950BD"/>
          </a:solidFill>
        </xdr:grpSpPr>
        <xdr:sp macro="" textlink="">
          <xdr:nvSpPr>
            <xdr:cNvPr id="33" name="Rounded Rectangle 32">
              <a:extLst>
                <a:ext uri="{FF2B5EF4-FFF2-40B4-BE49-F238E27FC236}">
                  <a16:creationId xmlns:a16="http://schemas.microsoft.com/office/drawing/2014/main" id="{00000000-0008-0000-0E00-000021000000}"/>
                </a:ext>
              </a:extLst>
            </xdr:cNvPr>
            <xdr:cNvSpPr/>
          </xdr:nvSpPr>
          <xdr:spPr>
            <a:xfrm rot="18503198">
              <a:off x="6455048" y="2043919"/>
              <a:ext cx="461654" cy="85423"/>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3199"/>
            </a:p>
          </xdr:txBody>
        </xdr:sp>
        <xdr:sp macro="" textlink="">
          <xdr:nvSpPr>
            <xdr:cNvPr id="34" name="Rounded Rectangle 33">
              <a:extLst>
                <a:ext uri="{FF2B5EF4-FFF2-40B4-BE49-F238E27FC236}">
                  <a16:creationId xmlns:a16="http://schemas.microsoft.com/office/drawing/2014/main" id="{00000000-0008-0000-0E00-000022000000}"/>
                </a:ext>
              </a:extLst>
            </xdr:cNvPr>
            <xdr:cNvSpPr/>
          </xdr:nvSpPr>
          <xdr:spPr>
            <a:xfrm rot="13895427">
              <a:off x="6380098" y="2120239"/>
              <a:ext cx="265804" cy="85423"/>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3199"/>
            </a:p>
          </xdr:txBody>
        </xdr:sp>
      </xdr:grpSp>
    </xdr:grpSp>
    <xdr:clientData/>
  </xdr:twoCellAnchor>
  <xdr:twoCellAnchor>
    <xdr:from>
      <xdr:col>6</xdr:col>
      <xdr:colOff>1952625</xdr:colOff>
      <xdr:row>0</xdr:row>
      <xdr:rowOff>28575</xdr:rowOff>
    </xdr:from>
    <xdr:to>
      <xdr:col>7</xdr:col>
      <xdr:colOff>266700</xdr:colOff>
      <xdr:row>1</xdr:row>
      <xdr:rowOff>180975</xdr:rowOff>
    </xdr:to>
    <xdr:sp macro="[0]!Home" textlink="">
      <xdr:nvSpPr>
        <xdr:cNvPr id="10" name="Rounded Rectangle 9">
          <a:extLst>
            <a:ext uri="{FF2B5EF4-FFF2-40B4-BE49-F238E27FC236}">
              <a16:creationId xmlns:a16="http://schemas.microsoft.com/office/drawing/2014/main" id="{00000000-0008-0000-0E00-00000A000000}"/>
            </a:ext>
          </a:extLst>
        </xdr:cNvPr>
        <xdr:cNvSpPr/>
      </xdr:nvSpPr>
      <xdr:spPr>
        <a:xfrm>
          <a:off x="10382250" y="28575"/>
          <a:ext cx="1038225" cy="485775"/>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2">
                  <a:lumMod val="50000"/>
                </a:schemeClr>
              </a:solidFill>
            </a:rPr>
            <a:t>     HOME</a:t>
          </a:r>
        </a:p>
      </xdr:txBody>
    </xdr:sp>
    <xdr:clientData/>
  </xdr:twoCellAnchor>
  <xdr:twoCellAnchor>
    <xdr:from>
      <xdr:col>7</xdr:col>
      <xdr:colOff>457200</xdr:colOff>
      <xdr:row>0</xdr:row>
      <xdr:rowOff>28575</xdr:rowOff>
    </xdr:from>
    <xdr:to>
      <xdr:col>8</xdr:col>
      <xdr:colOff>219075</xdr:colOff>
      <xdr:row>1</xdr:row>
      <xdr:rowOff>180975</xdr:rowOff>
    </xdr:to>
    <xdr:sp macro="[0]!Previousheet" textlink="">
      <xdr:nvSpPr>
        <xdr:cNvPr id="11" name="Rounded Rectangle 10">
          <a:extLst>
            <a:ext uri="{FF2B5EF4-FFF2-40B4-BE49-F238E27FC236}">
              <a16:creationId xmlns:a16="http://schemas.microsoft.com/office/drawing/2014/main" id="{00000000-0008-0000-0E00-00000B000000}"/>
            </a:ext>
          </a:extLst>
        </xdr:cNvPr>
        <xdr:cNvSpPr/>
      </xdr:nvSpPr>
      <xdr:spPr>
        <a:xfrm>
          <a:off x="11610975" y="28575"/>
          <a:ext cx="1038225" cy="485775"/>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2">
                  <a:lumMod val="50000"/>
                </a:schemeClr>
              </a:solidFill>
            </a:rPr>
            <a:t>   PREVIOUS</a:t>
          </a:r>
          <a:r>
            <a:rPr lang="en-US" sz="1100" b="1" baseline="0">
              <a:solidFill>
                <a:schemeClr val="tx2">
                  <a:lumMod val="50000"/>
                </a:schemeClr>
              </a:solidFill>
            </a:rPr>
            <a:t> </a:t>
          </a:r>
          <a:endParaRPr lang="en-US" sz="1100" b="1">
            <a:solidFill>
              <a:schemeClr val="tx2">
                <a:lumMod val="50000"/>
              </a:schemeClr>
            </a:solidFill>
          </a:endParaRPr>
        </a:p>
      </xdr:txBody>
    </xdr:sp>
    <xdr:clientData/>
  </xdr:twoCellAnchor>
  <xdr:twoCellAnchor>
    <xdr:from>
      <xdr:col>8</xdr:col>
      <xdr:colOff>457200</xdr:colOff>
      <xdr:row>0</xdr:row>
      <xdr:rowOff>28575</xdr:rowOff>
    </xdr:from>
    <xdr:to>
      <xdr:col>9</xdr:col>
      <xdr:colOff>323850</xdr:colOff>
      <xdr:row>1</xdr:row>
      <xdr:rowOff>180975</xdr:rowOff>
    </xdr:to>
    <xdr:sp macro="[0]!Nextsheet" textlink="">
      <xdr:nvSpPr>
        <xdr:cNvPr id="3" name="PTV" hidden="1">
          <a:extLst>
            <a:ext uri="{FF2B5EF4-FFF2-40B4-BE49-F238E27FC236}">
              <a16:creationId xmlns:a16="http://schemas.microsoft.com/office/drawing/2014/main" id="{00000000-0008-0000-0E00-00000C000000}"/>
            </a:ext>
          </a:extLst>
        </xdr:cNvPr>
        <xdr:cNvSpPr/>
      </xdr:nvSpPr>
      <xdr:spPr>
        <a:xfrm>
          <a:off x="12887325" y="28575"/>
          <a:ext cx="1038225" cy="485775"/>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2">
                  <a:lumMod val="50000"/>
                </a:schemeClr>
              </a:solidFill>
            </a:rPr>
            <a:t>       NEXT</a:t>
          </a:r>
        </a:p>
      </xdr:txBody>
    </xdr:sp>
    <xdr:clientData/>
  </xdr:twoCellAnchor>
  <xdr:twoCellAnchor>
    <xdr:from>
      <xdr:col>6</xdr:col>
      <xdr:colOff>742952</xdr:colOff>
      <xdr:row>0</xdr:row>
      <xdr:rowOff>19050</xdr:rowOff>
    </xdr:from>
    <xdr:to>
      <xdr:col>6</xdr:col>
      <xdr:colOff>1762126</xdr:colOff>
      <xdr:row>1</xdr:row>
      <xdr:rowOff>171450</xdr:rowOff>
    </xdr:to>
    <xdr:sp macro="[0]!Help" textlink="">
      <xdr:nvSpPr>
        <xdr:cNvPr id="13" name="Rounded Rectangle 12">
          <a:extLst>
            <a:ext uri="{FF2B5EF4-FFF2-40B4-BE49-F238E27FC236}">
              <a16:creationId xmlns:a16="http://schemas.microsoft.com/office/drawing/2014/main" id="{00000000-0008-0000-0E00-00000D000000}"/>
            </a:ext>
          </a:extLst>
        </xdr:cNvPr>
        <xdr:cNvSpPr/>
      </xdr:nvSpPr>
      <xdr:spPr>
        <a:xfrm>
          <a:off x="9172577" y="19050"/>
          <a:ext cx="1019174" cy="485775"/>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chemeClr val="tx2">
                  <a:lumMod val="50000"/>
                </a:schemeClr>
              </a:solidFill>
            </a:rPr>
            <a:t>HELP</a:t>
          </a:r>
        </a:p>
      </xdr:txBody>
    </xdr:sp>
    <xdr:clientData/>
  </xdr:twoCellAnchor>
</xdr:wsDr>
</file>

<file path=xl/drawings/drawing18.xml><?xml version="1.0" encoding="utf-8"?>
<xdr:wsDr xmlns:xdr="http://schemas.openxmlformats.org/drawingml/2006/spreadsheetDrawing" xmlns:a="http://schemas.openxmlformats.org/drawingml/2006/main">
  <xdr:twoCellAnchor editAs="oneCell">
    <xdr:from>
      <xdr:col>0</xdr:col>
      <xdr:colOff>28576</xdr:colOff>
      <xdr:row>0</xdr:row>
      <xdr:rowOff>19051</xdr:rowOff>
    </xdr:from>
    <xdr:to>
      <xdr:col>0</xdr:col>
      <xdr:colOff>361950</xdr:colOff>
      <xdr:row>1</xdr:row>
      <xdr:rowOff>142875</xdr:rowOff>
    </xdr:to>
    <xdr:pic>
      <xdr:nvPicPr>
        <xdr:cNvPr id="2" name="Picture 1">
          <a:extLst>
            <a:ext uri="{FF2B5EF4-FFF2-40B4-BE49-F238E27FC236}">
              <a16:creationId xmlns:a16="http://schemas.microsoft.com/office/drawing/2014/main" id="{00000000-0008-0000-0F00-000002000000}"/>
            </a:ext>
          </a:extLst>
        </xdr:cNvPr>
        <xdr:cNvPicPr>
          <a:picLocks noChangeAspect="1"/>
        </xdr:cNvPicPr>
      </xdr:nvPicPr>
      <xdr:blipFill>
        <a:blip xmlns:r="http://schemas.openxmlformats.org/officeDocument/2006/relationships" r:embed="rId1"/>
        <a:stretch>
          <a:fillRect/>
        </a:stretch>
      </xdr:blipFill>
      <xdr:spPr>
        <a:xfrm>
          <a:off x="28576" y="19051"/>
          <a:ext cx="333374" cy="457199"/>
        </a:xfrm>
        <a:prstGeom prst="rect">
          <a:avLst/>
        </a:prstGeom>
      </xdr:spPr>
    </xdr:pic>
    <xdr:clientData/>
  </xdr:twoCellAnchor>
  <xdr:twoCellAnchor>
    <xdr:from>
      <xdr:col>8</xdr:col>
      <xdr:colOff>123825</xdr:colOff>
      <xdr:row>2</xdr:row>
      <xdr:rowOff>66675</xdr:rowOff>
    </xdr:from>
    <xdr:to>
      <xdr:col>8</xdr:col>
      <xdr:colOff>1581150</xdr:colOff>
      <xdr:row>2</xdr:row>
      <xdr:rowOff>638175</xdr:rowOff>
    </xdr:to>
    <xdr:sp macro="[0]!Validate_PB1" textlink="">
      <xdr:nvSpPr>
        <xdr:cNvPr id="3" name="Rounded Rectangle 2">
          <a:extLst>
            <a:ext uri="{FF2B5EF4-FFF2-40B4-BE49-F238E27FC236}">
              <a16:creationId xmlns:a16="http://schemas.microsoft.com/office/drawing/2014/main" id="{00000000-0008-0000-0F00-000003000000}"/>
            </a:ext>
          </a:extLst>
        </xdr:cNvPr>
        <xdr:cNvSpPr/>
      </xdr:nvSpPr>
      <xdr:spPr>
        <a:xfrm>
          <a:off x="14116050" y="609600"/>
          <a:ext cx="1457325" cy="571500"/>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2">
                  <a:lumMod val="50000"/>
                </a:schemeClr>
              </a:solidFill>
            </a:rPr>
            <a:t>Validate </a:t>
          </a:r>
        </a:p>
        <a:p>
          <a:pPr algn="l"/>
          <a:r>
            <a:rPr lang="en-US" sz="1100" b="1">
              <a:solidFill>
                <a:schemeClr val="tx2">
                  <a:lumMod val="50000"/>
                </a:schemeClr>
              </a:solidFill>
            </a:rPr>
            <a:t>Sheet</a:t>
          </a:r>
        </a:p>
      </xdr:txBody>
    </xdr:sp>
    <xdr:clientData/>
  </xdr:twoCellAnchor>
  <xdr:twoCellAnchor>
    <xdr:from>
      <xdr:col>8</xdr:col>
      <xdr:colOff>904875</xdr:colOff>
      <xdr:row>2</xdr:row>
      <xdr:rowOff>104776</xdr:rowOff>
    </xdr:from>
    <xdr:to>
      <xdr:col>8</xdr:col>
      <xdr:colOff>1476375</xdr:colOff>
      <xdr:row>2</xdr:row>
      <xdr:rowOff>542926</xdr:rowOff>
    </xdr:to>
    <xdr:grpSp>
      <xdr:nvGrpSpPr>
        <xdr:cNvPr id="4" name="Group 3">
          <a:extLst>
            <a:ext uri="{FF2B5EF4-FFF2-40B4-BE49-F238E27FC236}">
              <a16:creationId xmlns:a16="http://schemas.microsoft.com/office/drawing/2014/main" id="{00000000-0008-0000-0F00-000004000000}"/>
            </a:ext>
          </a:extLst>
        </xdr:cNvPr>
        <xdr:cNvGrpSpPr/>
      </xdr:nvGrpSpPr>
      <xdr:grpSpPr>
        <a:xfrm>
          <a:off x="15289742" y="638176"/>
          <a:ext cx="571500" cy="438150"/>
          <a:chOff x="1982229" y="2092319"/>
          <a:chExt cx="1029931" cy="1029921"/>
        </a:xfrm>
      </xdr:grpSpPr>
      <xdr:sp macro="" textlink="">
        <xdr:nvSpPr>
          <xdr:cNvPr id="5" name="Oval 4">
            <a:extLst>
              <a:ext uri="{FF2B5EF4-FFF2-40B4-BE49-F238E27FC236}">
                <a16:creationId xmlns:a16="http://schemas.microsoft.com/office/drawing/2014/main" id="{00000000-0008-0000-0F00-000005000000}"/>
              </a:ext>
            </a:extLst>
          </xdr:cNvPr>
          <xdr:cNvSpPr/>
        </xdr:nvSpPr>
        <xdr:spPr>
          <a:xfrm>
            <a:off x="1982229" y="2092319"/>
            <a:ext cx="1029931" cy="1029921"/>
          </a:xfrm>
          <a:prstGeom prst="ellipse">
            <a:avLst/>
          </a:prstGeom>
          <a:solidFill>
            <a:schemeClr val="bg1"/>
          </a:solidFill>
          <a:ln w="57150">
            <a:solidFill>
              <a:srgbClr val="5B7DDB"/>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2215" b="1">
              <a:solidFill>
                <a:schemeClr val="tx1">
                  <a:lumMod val="60000"/>
                  <a:lumOff val="40000"/>
                </a:schemeClr>
              </a:solidFill>
              <a:latin typeface="Arial" pitchFamily="34" charset="0"/>
              <a:cs typeface="Arial" pitchFamily="34" charset="0"/>
            </a:endParaRPr>
          </a:p>
        </xdr:txBody>
      </xdr:sp>
      <xdr:sp macro="" textlink="">
        <xdr:nvSpPr>
          <xdr:cNvPr id="6" name="Freeform 5">
            <a:extLst>
              <a:ext uri="{FF2B5EF4-FFF2-40B4-BE49-F238E27FC236}">
                <a16:creationId xmlns:a16="http://schemas.microsoft.com/office/drawing/2014/main" id="{00000000-0008-0000-0F00-000006000000}"/>
              </a:ext>
            </a:extLst>
          </xdr:cNvPr>
          <xdr:cNvSpPr/>
        </xdr:nvSpPr>
        <xdr:spPr>
          <a:xfrm>
            <a:off x="2302002" y="2350498"/>
            <a:ext cx="434316" cy="528460"/>
          </a:xfrm>
          <a:custGeom>
            <a:avLst/>
            <a:gdLst>
              <a:gd name="connsiteX0" fmla="*/ 350280 w 557958"/>
              <a:gd name="connsiteY0" fmla="*/ 0 h 678906"/>
              <a:gd name="connsiteX1" fmla="*/ 557958 w 557958"/>
              <a:gd name="connsiteY1" fmla="*/ 213145 h 678906"/>
              <a:gd name="connsiteX2" fmla="*/ 557958 w 557958"/>
              <a:gd name="connsiteY2" fmla="*/ 215074 h 678906"/>
              <a:gd name="connsiteX3" fmla="*/ 433296 w 557958"/>
              <a:gd name="connsiteY3" fmla="*/ 215074 h 678906"/>
              <a:gd name="connsiteX4" fmla="*/ 350280 w 557958"/>
              <a:gd name="connsiteY4" fmla="*/ 132059 h 678906"/>
              <a:gd name="connsiteX5" fmla="*/ 92739 w 557958"/>
              <a:gd name="connsiteY5" fmla="*/ 0 h 678906"/>
              <a:gd name="connsiteX6" fmla="*/ 323926 w 557958"/>
              <a:gd name="connsiteY6" fmla="*/ 0 h 678906"/>
              <a:gd name="connsiteX7" fmla="*/ 324397 w 557958"/>
              <a:gd name="connsiteY7" fmla="*/ 493 h 678906"/>
              <a:gd name="connsiteX8" fmla="*/ 324397 w 557958"/>
              <a:gd name="connsiteY8" fmla="*/ 147525 h 678906"/>
              <a:gd name="connsiteX9" fmla="*/ 417135 w 557958"/>
              <a:gd name="connsiteY9" fmla="*/ 240263 h 678906"/>
              <a:gd name="connsiteX10" fmla="*/ 553322 w 557958"/>
              <a:gd name="connsiteY10" fmla="*/ 240263 h 678906"/>
              <a:gd name="connsiteX11" fmla="*/ 556420 w 557958"/>
              <a:gd name="connsiteY11" fmla="*/ 243507 h 678906"/>
              <a:gd name="connsiteX12" fmla="*/ 556420 w 557958"/>
              <a:gd name="connsiteY12" fmla="*/ 586169 h 678906"/>
              <a:gd name="connsiteX13" fmla="*/ 463682 w 557958"/>
              <a:gd name="connsiteY13" fmla="*/ 678906 h 678906"/>
              <a:gd name="connsiteX14" fmla="*/ 92739 w 557958"/>
              <a:gd name="connsiteY14" fmla="*/ 678906 h 678906"/>
              <a:gd name="connsiteX15" fmla="*/ 92734 w 557958"/>
              <a:gd name="connsiteY15" fmla="*/ 678905 h 678906"/>
              <a:gd name="connsiteX16" fmla="*/ 59501 w 557958"/>
              <a:gd name="connsiteY16" fmla="*/ 678905 h 678906"/>
              <a:gd name="connsiteX17" fmla="*/ 279110 w 557958"/>
              <a:gd name="connsiteY17" fmla="*/ 401696 h 678906"/>
              <a:gd name="connsiteX18" fmla="*/ 269334 w 557958"/>
              <a:gd name="connsiteY18" fmla="*/ 317378 h 678906"/>
              <a:gd name="connsiteX19" fmla="*/ 269335 w 557958"/>
              <a:gd name="connsiteY19" fmla="*/ 317377 h 678906"/>
              <a:gd name="connsiteX20" fmla="*/ 225152 w 557958"/>
              <a:gd name="connsiteY20" fmla="*/ 304802 h 678906"/>
              <a:gd name="connsiteX21" fmla="*/ 185017 w 557958"/>
              <a:gd name="connsiteY21" fmla="*/ 327153 h 678906"/>
              <a:gd name="connsiteX22" fmla="*/ 836 w 557958"/>
              <a:gd name="connsiteY22" fmla="*/ 559643 h 678906"/>
              <a:gd name="connsiteX23" fmla="*/ 836 w 557958"/>
              <a:gd name="connsiteY23" fmla="*/ 286370 h 678906"/>
              <a:gd name="connsiteX24" fmla="*/ 0 w 557958"/>
              <a:gd name="connsiteY24" fmla="*/ 286201 h 678906"/>
              <a:gd name="connsiteX25" fmla="*/ 0 w 557958"/>
              <a:gd name="connsiteY25" fmla="*/ 92738 h 678906"/>
              <a:gd name="connsiteX26" fmla="*/ 92739 w 557958"/>
              <a:gd name="connsiteY26" fmla="*/ 0 h 67890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Lst>
            <a:rect l="l" t="t" r="r" b="b"/>
            <a:pathLst>
              <a:path w="557958" h="678906">
                <a:moveTo>
                  <a:pt x="350280" y="0"/>
                </a:moveTo>
                <a:lnTo>
                  <a:pt x="557958" y="213145"/>
                </a:lnTo>
                <a:lnTo>
                  <a:pt x="557958" y="215074"/>
                </a:lnTo>
                <a:lnTo>
                  <a:pt x="433296" y="215074"/>
                </a:lnTo>
                <a:cubicBezTo>
                  <a:pt x="387445" y="215074"/>
                  <a:pt x="350280" y="177908"/>
                  <a:pt x="350280" y="132059"/>
                </a:cubicBezTo>
                <a:close/>
                <a:moveTo>
                  <a:pt x="92739" y="0"/>
                </a:moveTo>
                <a:lnTo>
                  <a:pt x="323926" y="0"/>
                </a:lnTo>
                <a:lnTo>
                  <a:pt x="324397" y="493"/>
                </a:lnTo>
                <a:lnTo>
                  <a:pt x="324397" y="147525"/>
                </a:lnTo>
                <a:cubicBezTo>
                  <a:pt x="324397" y="198745"/>
                  <a:pt x="365915" y="240263"/>
                  <a:pt x="417135" y="240263"/>
                </a:cubicBezTo>
                <a:lnTo>
                  <a:pt x="553322" y="240263"/>
                </a:lnTo>
                <a:lnTo>
                  <a:pt x="556420" y="243507"/>
                </a:lnTo>
                <a:lnTo>
                  <a:pt x="556420" y="586169"/>
                </a:lnTo>
                <a:cubicBezTo>
                  <a:pt x="556420" y="637388"/>
                  <a:pt x="514902" y="678906"/>
                  <a:pt x="463682" y="678906"/>
                </a:cubicBezTo>
                <a:lnTo>
                  <a:pt x="92739" y="678906"/>
                </a:lnTo>
                <a:lnTo>
                  <a:pt x="92734" y="678905"/>
                </a:lnTo>
                <a:lnTo>
                  <a:pt x="59501" y="678905"/>
                </a:lnTo>
                <a:lnTo>
                  <a:pt x="279110" y="401696"/>
                </a:lnTo>
                <a:cubicBezTo>
                  <a:pt x="299695" y="375712"/>
                  <a:pt x="295318" y="337962"/>
                  <a:pt x="269334" y="317378"/>
                </a:cubicBezTo>
                <a:lnTo>
                  <a:pt x="269335" y="317377"/>
                </a:lnTo>
                <a:cubicBezTo>
                  <a:pt x="256344" y="307085"/>
                  <a:pt x="240410" y="303033"/>
                  <a:pt x="225152" y="304802"/>
                </a:cubicBezTo>
                <a:cubicBezTo>
                  <a:pt x="209893" y="306571"/>
                  <a:pt x="195309" y="314162"/>
                  <a:pt x="185017" y="327153"/>
                </a:cubicBezTo>
                <a:lnTo>
                  <a:pt x="836" y="559643"/>
                </a:lnTo>
                <a:lnTo>
                  <a:pt x="836" y="286370"/>
                </a:lnTo>
                <a:lnTo>
                  <a:pt x="0" y="286201"/>
                </a:lnTo>
                <a:lnTo>
                  <a:pt x="0" y="92738"/>
                </a:lnTo>
                <a:cubicBezTo>
                  <a:pt x="0" y="41518"/>
                  <a:pt x="41519" y="0"/>
                  <a:pt x="92739" y="0"/>
                </a:cubicBezTo>
                <a:close/>
              </a:path>
            </a:pathLst>
          </a:custGeom>
          <a:solidFill>
            <a:srgbClr val="2950B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3199"/>
          </a:p>
        </xdr:txBody>
      </xdr:sp>
      <xdr:grpSp>
        <xdr:nvGrpSpPr>
          <xdr:cNvPr id="7" name="Group 6">
            <a:extLst>
              <a:ext uri="{FF2B5EF4-FFF2-40B4-BE49-F238E27FC236}">
                <a16:creationId xmlns:a16="http://schemas.microsoft.com/office/drawing/2014/main" id="{00000000-0008-0000-0F00-000007000000}"/>
              </a:ext>
            </a:extLst>
          </xdr:cNvPr>
          <xdr:cNvGrpSpPr/>
        </xdr:nvGrpSpPr>
        <xdr:grpSpPr>
          <a:xfrm>
            <a:off x="2227648" y="2566818"/>
            <a:ext cx="201061" cy="359352"/>
            <a:chOff x="6470288" y="1855804"/>
            <a:chExt cx="258298" cy="461654"/>
          </a:xfrm>
          <a:solidFill>
            <a:srgbClr val="2950BD"/>
          </a:solidFill>
        </xdr:grpSpPr>
        <xdr:sp macro="" textlink="">
          <xdr:nvSpPr>
            <xdr:cNvPr id="8" name="Rounded Rectangle 7">
              <a:extLst>
                <a:ext uri="{FF2B5EF4-FFF2-40B4-BE49-F238E27FC236}">
                  <a16:creationId xmlns:a16="http://schemas.microsoft.com/office/drawing/2014/main" id="{00000000-0008-0000-0F00-000008000000}"/>
                </a:ext>
              </a:extLst>
            </xdr:cNvPr>
            <xdr:cNvSpPr/>
          </xdr:nvSpPr>
          <xdr:spPr>
            <a:xfrm rot="18503198">
              <a:off x="6455048" y="2043919"/>
              <a:ext cx="461654" cy="85423"/>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3199"/>
            </a:p>
          </xdr:txBody>
        </xdr:sp>
        <xdr:sp macro="" textlink="">
          <xdr:nvSpPr>
            <xdr:cNvPr id="9" name="Rounded Rectangle 8">
              <a:extLst>
                <a:ext uri="{FF2B5EF4-FFF2-40B4-BE49-F238E27FC236}">
                  <a16:creationId xmlns:a16="http://schemas.microsoft.com/office/drawing/2014/main" id="{00000000-0008-0000-0F00-000009000000}"/>
                </a:ext>
              </a:extLst>
            </xdr:cNvPr>
            <xdr:cNvSpPr/>
          </xdr:nvSpPr>
          <xdr:spPr>
            <a:xfrm rot="13895427">
              <a:off x="6380098" y="2120239"/>
              <a:ext cx="265804" cy="85423"/>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3199"/>
            </a:p>
          </xdr:txBody>
        </xdr:sp>
      </xdr:grpSp>
    </xdr:grpSp>
    <xdr:clientData/>
  </xdr:twoCellAnchor>
  <xdr:twoCellAnchor>
    <xdr:from>
      <xdr:col>6</xdr:col>
      <xdr:colOff>266700</xdr:colOff>
      <xdr:row>0</xdr:row>
      <xdr:rowOff>19050</xdr:rowOff>
    </xdr:from>
    <xdr:to>
      <xdr:col>6</xdr:col>
      <xdr:colOff>1362075</xdr:colOff>
      <xdr:row>1</xdr:row>
      <xdr:rowOff>171450</xdr:rowOff>
    </xdr:to>
    <xdr:sp macro="[0]!Home" textlink="">
      <xdr:nvSpPr>
        <xdr:cNvPr id="10" name="Rounded Rectangle 9">
          <a:extLst>
            <a:ext uri="{FF2B5EF4-FFF2-40B4-BE49-F238E27FC236}">
              <a16:creationId xmlns:a16="http://schemas.microsoft.com/office/drawing/2014/main" id="{00000000-0008-0000-0F00-00000A000000}"/>
            </a:ext>
          </a:extLst>
        </xdr:cNvPr>
        <xdr:cNvSpPr/>
      </xdr:nvSpPr>
      <xdr:spPr>
        <a:xfrm>
          <a:off x="9429750" y="19050"/>
          <a:ext cx="1095375" cy="485775"/>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2">
                  <a:lumMod val="50000"/>
                </a:schemeClr>
              </a:solidFill>
            </a:rPr>
            <a:t>       HOME</a:t>
          </a:r>
        </a:p>
      </xdr:txBody>
    </xdr:sp>
    <xdr:clientData/>
  </xdr:twoCellAnchor>
  <xdr:twoCellAnchor>
    <xdr:from>
      <xdr:col>6</xdr:col>
      <xdr:colOff>1514476</xdr:colOff>
      <xdr:row>0</xdr:row>
      <xdr:rowOff>28575</xdr:rowOff>
    </xdr:from>
    <xdr:to>
      <xdr:col>6</xdr:col>
      <xdr:colOff>2638426</xdr:colOff>
      <xdr:row>1</xdr:row>
      <xdr:rowOff>180975</xdr:rowOff>
    </xdr:to>
    <xdr:sp macro="[0]!Previousheet" textlink="">
      <xdr:nvSpPr>
        <xdr:cNvPr id="11" name="Rounded Rectangle 10">
          <a:extLst>
            <a:ext uri="{FF2B5EF4-FFF2-40B4-BE49-F238E27FC236}">
              <a16:creationId xmlns:a16="http://schemas.microsoft.com/office/drawing/2014/main" id="{00000000-0008-0000-0F00-00000B000000}"/>
            </a:ext>
          </a:extLst>
        </xdr:cNvPr>
        <xdr:cNvSpPr/>
      </xdr:nvSpPr>
      <xdr:spPr>
        <a:xfrm>
          <a:off x="10677526" y="28575"/>
          <a:ext cx="1123950" cy="485775"/>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2">
                  <a:lumMod val="50000"/>
                </a:schemeClr>
              </a:solidFill>
            </a:rPr>
            <a:t>   PREVIOUS</a:t>
          </a:r>
          <a:r>
            <a:rPr lang="en-US" sz="1100" b="1" baseline="0">
              <a:solidFill>
                <a:schemeClr val="tx2">
                  <a:lumMod val="50000"/>
                </a:schemeClr>
              </a:solidFill>
            </a:rPr>
            <a:t> </a:t>
          </a:r>
          <a:endParaRPr lang="en-US" sz="1100" b="1">
            <a:solidFill>
              <a:schemeClr val="tx2">
                <a:lumMod val="50000"/>
              </a:schemeClr>
            </a:solidFill>
          </a:endParaRPr>
        </a:p>
      </xdr:txBody>
    </xdr:sp>
    <xdr:clientData/>
  </xdr:twoCellAnchor>
  <xdr:twoCellAnchor>
    <xdr:from>
      <xdr:col>6</xdr:col>
      <xdr:colOff>2800350</xdr:colOff>
      <xdr:row>0</xdr:row>
      <xdr:rowOff>28575</xdr:rowOff>
    </xdr:from>
    <xdr:to>
      <xdr:col>7</xdr:col>
      <xdr:colOff>390525</xdr:colOff>
      <xdr:row>1</xdr:row>
      <xdr:rowOff>180975</xdr:rowOff>
    </xdr:to>
    <xdr:sp macro="" textlink="">
      <xdr:nvSpPr>
        <xdr:cNvPr id="12" name="Rounded Rectangle 11">
          <a:extLst>
            <a:ext uri="{FF2B5EF4-FFF2-40B4-BE49-F238E27FC236}">
              <a16:creationId xmlns:a16="http://schemas.microsoft.com/office/drawing/2014/main" id="{00000000-0008-0000-0F00-00000C000000}"/>
            </a:ext>
          </a:extLst>
        </xdr:cNvPr>
        <xdr:cNvSpPr/>
      </xdr:nvSpPr>
      <xdr:spPr>
        <a:xfrm>
          <a:off x="11963400" y="28575"/>
          <a:ext cx="923925" cy="485775"/>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2">
                  <a:lumMod val="50000"/>
                </a:schemeClr>
              </a:solidFill>
            </a:rPr>
            <a:t>       NEXT</a:t>
          </a:r>
        </a:p>
      </xdr:txBody>
    </xdr:sp>
    <xdr:clientData/>
  </xdr:twoCellAnchor>
  <xdr:twoCellAnchor>
    <xdr:from>
      <xdr:col>5</xdr:col>
      <xdr:colOff>904875</xdr:colOff>
      <xdr:row>0</xdr:row>
      <xdr:rowOff>9525</xdr:rowOff>
    </xdr:from>
    <xdr:to>
      <xdr:col>6</xdr:col>
      <xdr:colOff>66675</xdr:colOff>
      <xdr:row>1</xdr:row>
      <xdr:rowOff>161925</xdr:rowOff>
    </xdr:to>
    <xdr:sp macro="[0]!Help" textlink="">
      <xdr:nvSpPr>
        <xdr:cNvPr id="13" name="Rounded Rectangle 12">
          <a:extLst>
            <a:ext uri="{FF2B5EF4-FFF2-40B4-BE49-F238E27FC236}">
              <a16:creationId xmlns:a16="http://schemas.microsoft.com/office/drawing/2014/main" id="{00000000-0008-0000-0F00-00000D000000}"/>
            </a:ext>
          </a:extLst>
        </xdr:cNvPr>
        <xdr:cNvSpPr/>
      </xdr:nvSpPr>
      <xdr:spPr>
        <a:xfrm>
          <a:off x="8077200" y="9525"/>
          <a:ext cx="1152525" cy="485775"/>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2">
                  <a:lumMod val="50000"/>
                </a:schemeClr>
              </a:solidFill>
            </a:rPr>
            <a:t>         HELP</a:t>
          </a:r>
        </a:p>
      </xdr:txBody>
    </xdr:sp>
    <xdr:clientData/>
  </xdr:twoCellAnchor>
  <xdr:twoCellAnchor>
    <xdr:from>
      <xdr:col>10</xdr:col>
      <xdr:colOff>0</xdr:colOff>
      <xdr:row>2</xdr:row>
      <xdr:rowOff>104776</xdr:rowOff>
    </xdr:from>
    <xdr:to>
      <xdr:col>10</xdr:col>
      <xdr:colOff>0</xdr:colOff>
      <xdr:row>2</xdr:row>
      <xdr:rowOff>542926</xdr:rowOff>
    </xdr:to>
    <xdr:grpSp>
      <xdr:nvGrpSpPr>
        <xdr:cNvPr id="14" name="Group 13">
          <a:extLst>
            <a:ext uri="{FF2B5EF4-FFF2-40B4-BE49-F238E27FC236}">
              <a16:creationId xmlns:a16="http://schemas.microsoft.com/office/drawing/2014/main" id="{00000000-0008-0000-0F00-00000F000000}"/>
            </a:ext>
          </a:extLst>
        </xdr:cNvPr>
        <xdr:cNvGrpSpPr/>
      </xdr:nvGrpSpPr>
      <xdr:grpSpPr>
        <a:xfrm>
          <a:off x="16696267" y="638176"/>
          <a:ext cx="0" cy="438150"/>
          <a:chOff x="1982229" y="2092319"/>
          <a:chExt cx="1029931" cy="1029921"/>
        </a:xfrm>
      </xdr:grpSpPr>
      <xdr:sp macro="" textlink="">
        <xdr:nvSpPr>
          <xdr:cNvPr id="15" name="Oval 14">
            <a:extLst>
              <a:ext uri="{FF2B5EF4-FFF2-40B4-BE49-F238E27FC236}">
                <a16:creationId xmlns:a16="http://schemas.microsoft.com/office/drawing/2014/main" id="{00000000-0008-0000-0F00-000010000000}"/>
              </a:ext>
            </a:extLst>
          </xdr:cNvPr>
          <xdr:cNvSpPr/>
        </xdr:nvSpPr>
        <xdr:spPr>
          <a:xfrm>
            <a:off x="1982229" y="2092319"/>
            <a:ext cx="1029931" cy="1029921"/>
          </a:xfrm>
          <a:prstGeom prst="ellipse">
            <a:avLst/>
          </a:prstGeom>
          <a:solidFill>
            <a:schemeClr val="bg1"/>
          </a:solidFill>
          <a:ln w="57150">
            <a:solidFill>
              <a:srgbClr val="5B7DDB"/>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2215" b="1">
              <a:solidFill>
                <a:schemeClr val="tx1">
                  <a:lumMod val="60000"/>
                  <a:lumOff val="40000"/>
                </a:schemeClr>
              </a:solidFill>
              <a:latin typeface="Arial" pitchFamily="34" charset="0"/>
              <a:cs typeface="Arial" pitchFamily="34" charset="0"/>
            </a:endParaRPr>
          </a:p>
        </xdr:txBody>
      </xdr:sp>
      <xdr:sp macro="" textlink="">
        <xdr:nvSpPr>
          <xdr:cNvPr id="16" name="Freeform 15">
            <a:extLst>
              <a:ext uri="{FF2B5EF4-FFF2-40B4-BE49-F238E27FC236}">
                <a16:creationId xmlns:a16="http://schemas.microsoft.com/office/drawing/2014/main" id="{00000000-0008-0000-0F00-000011000000}"/>
              </a:ext>
            </a:extLst>
          </xdr:cNvPr>
          <xdr:cNvSpPr/>
        </xdr:nvSpPr>
        <xdr:spPr>
          <a:xfrm>
            <a:off x="2302002" y="2350498"/>
            <a:ext cx="434316" cy="528460"/>
          </a:xfrm>
          <a:custGeom>
            <a:avLst/>
            <a:gdLst>
              <a:gd name="connsiteX0" fmla="*/ 350280 w 557958"/>
              <a:gd name="connsiteY0" fmla="*/ 0 h 678906"/>
              <a:gd name="connsiteX1" fmla="*/ 557958 w 557958"/>
              <a:gd name="connsiteY1" fmla="*/ 213145 h 678906"/>
              <a:gd name="connsiteX2" fmla="*/ 557958 w 557958"/>
              <a:gd name="connsiteY2" fmla="*/ 215074 h 678906"/>
              <a:gd name="connsiteX3" fmla="*/ 433296 w 557958"/>
              <a:gd name="connsiteY3" fmla="*/ 215074 h 678906"/>
              <a:gd name="connsiteX4" fmla="*/ 350280 w 557958"/>
              <a:gd name="connsiteY4" fmla="*/ 132059 h 678906"/>
              <a:gd name="connsiteX5" fmla="*/ 92739 w 557958"/>
              <a:gd name="connsiteY5" fmla="*/ 0 h 678906"/>
              <a:gd name="connsiteX6" fmla="*/ 323926 w 557958"/>
              <a:gd name="connsiteY6" fmla="*/ 0 h 678906"/>
              <a:gd name="connsiteX7" fmla="*/ 324397 w 557958"/>
              <a:gd name="connsiteY7" fmla="*/ 493 h 678906"/>
              <a:gd name="connsiteX8" fmla="*/ 324397 w 557958"/>
              <a:gd name="connsiteY8" fmla="*/ 147525 h 678906"/>
              <a:gd name="connsiteX9" fmla="*/ 417135 w 557958"/>
              <a:gd name="connsiteY9" fmla="*/ 240263 h 678906"/>
              <a:gd name="connsiteX10" fmla="*/ 553322 w 557958"/>
              <a:gd name="connsiteY10" fmla="*/ 240263 h 678906"/>
              <a:gd name="connsiteX11" fmla="*/ 556420 w 557958"/>
              <a:gd name="connsiteY11" fmla="*/ 243507 h 678906"/>
              <a:gd name="connsiteX12" fmla="*/ 556420 w 557958"/>
              <a:gd name="connsiteY12" fmla="*/ 586169 h 678906"/>
              <a:gd name="connsiteX13" fmla="*/ 463682 w 557958"/>
              <a:gd name="connsiteY13" fmla="*/ 678906 h 678906"/>
              <a:gd name="connsiteX14" fmla="*/ 92739 w 557958"/>
              <a:gd name="connsiteY14" fmla="*/ 678906 h 678906"/>
              <a:gd name="connsiteX15" fmla="*/ 92734 w 557958"/>
              <a:gd name="connsiteY15" fmla="*/ 678905 h 678906"/>
              <a:gd name="connsiteX16" fmla="*/ 59501 w 557958"/>
              <a:gd name="connsiteY16" fmla="*/ 678905 h 678906"/>
              <a:gd name="connsiteX17" fmla="*/ 279110 w 557958"/>
              <a:gd name="connsiteY17" fmla="*/ 401696 h 678906"/>
              <a:gd name="connsiteX18" fmla="*/ 269334 w 557958"/>
              <a:gd name="connsiteY18" fmla="*/ 317378 h 678906"/>
              <a:gd name="connsiteX19" fmla="*/ 269335 w 557958"/>
              <a:gd name="connsiteY19" fmla="*/ 317377 h 678906"/>
              <a:gd name="connsiteX20" fmla="*/ 225152 w 557958"/>
              <a:gd name="connsiteY20" fmla="*/ 304802 h 678906"/>
              <a:gd name="connsiteX21" fmla="*/ 185017 w 557958"/>
              <a:gd name="connsiteY21" fmla="*/ 327153 h 678906"/>
              <a:gd name="connsiteX22" fmla="*/ 836 w 557958"/>
              <a:gd name="connsiteY22" fmla="*/ 559643 h 678906"/>
              <a:gd name="connsiteX23" fmla="*/ 836 w 557958"/>
              <a:gd name="connsiteY23" fmla="*/ 286370 h 678906"/>
              <a:gd name="connsiteX24" fmla="*/ 0 w 557958"/>
              <a:gd name="connsiteY24" fmla="*/ 286201 h 678906"/>
              <a:gd name="connsiteX25" fmla="*/ 0 w 557958"/>
              <a:gd name="connsiteY25" fmla="*/ 92738 h 678906"/>
              <a:gd name="connsiteX26" fmla="*/ 92739 w 557958"/>
              <a:gd name="connsiteY26" fmla="*/ 0 h 67890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Lst>
            <a:rect l="l" t="t" r="r" b="b"/>
            <a:pathLst>
              <a:path w="557958" h="678906">
                <a:moveTo>
                  <a:pt x="350280" y="0"/>
                </a:moveTo>
                <a:lnTo>
                  <a:pt x="557958" y="213145"/>
                </a:lnTo>
                <a:lnTo>
                  <a:pt x="557958" y="215074"/>
                </a:lnTo>
                <a:lnTo>
                  <a:pt x="433296" y="215074"/>
                </a:lnTo>
                <a:cubicBezTo>
                  <a:pt x="387445" y="215074"/>
                  <a:pt x="350280" y="177908"/>
                  <a:pt x="350280" y="132059"/>
                </a:cubicBezTo>
                <a:close/>
                <a:moveTo>
                  <a:pt x="92739" y="0"/>
                </a:moveTo>
                <a:lnTo>
                  <a:pt x="323926" y="0"/>
                </a:lnTo>
                <a:lnTo>
                  <a:pt x="324397" y="493"/>
                </a:lnTo>
                <a:lnTo>
                  <a:pt x="324397" y="147525"/>
                </a:lnTo>
                <a:cubicBezTo>
                  <a:pt x="324397" y="198745"/>
                  <a:pt x="365915" y="240263"/>
                  <a:pt x="417135" y="240263"/>
                </a:cubicBezTo>
                <a:lnTo>
                  <a:pt x="553322" y="240263"/>
                </a:lnTo>
                <a:lnTo>
                  <a:pt x="556420" y="243507"/>
                </a:lnTo>
                <a:lnTo>
                  <a:pt x="556420" y="586169"/>
                </a:lnTo>
                <a:cubicBezTo>
                  <a:pt x="556420" y="637388"/>
                  <a:pt x="514902" y="678906"/>
                  <a:pt x="463682" y="678906"/>
                </a:cubicBezTo>
                <a:lnTo>
                  <a:pt x="92739" y="678906"/>
                </a:lnTo>
                <a:lnTo>
                  <a:pt x="92734" y="678905"/>
                </a:lnTo>
                <a:lnTo>
                  <a:pt x="59501" y="678905"/>
                </a:lnTo>
                <a:lnTo>
                  <a:pt x="279110" y="401696"/>
                </a:lnTo>
                <a:cubicBezTo>
                  <a:pt x="299695" y="375712"/>
                  <a:pt x="295318" y="337962"/>
                  <a:pt x="269334" y="317378"/>
                </a:cubicBezTo>
                <a:lnTo>
                  <a:pt x="269335" y="317377"/>
                </a:lnTo>
                <a:cubicBezTo>
                  <a:pt x="256344" y="307085"/>
                  <a:pt x="240410" y="303033"/>
                  <a:pt x="225152" y="304802"/>
                </a:cubicBezTo>
                <a:cubicBezTo>
                  <a:pt x="209893" y="306571"/>
                  <a:pt x="195309" y="314162"/>
                  <a:pt x="185017" y="327153"/>
                </a:cubicBezTo>
                <a:lnTo>
                  <a:pt x="836" y="559643"/>
                </a:lnTo>
                <a:lnTo>
                  <a:pt x="836" y="286370"/>
                </a:lnTo>
                <a:lnTo>
                  <a:pt x="0" y="286201"/>
                </a:lnTo>
                <a:lnTo>
                  <a:pt x="0" y="92738"/>
                </a:lnTo>
                <a:cubicBezTo>
                  <a:pt x="0" y="41518"/>
                  <a:pt x="41519" y="0"/>
                  <a:pt x="92739" y="0"/>
                </a:cubicBezTo>
                <a:close/>
              </a:path>
            </a:pathLst>
          </a:custGeom>
          <a:solidFill>
            <a:srgbClr val="2950B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3199"/>
          </a:p>
        </xdr:txBody>
      </xdr:sp>
      <xdr:grpSp>
        <xdr:nvGrpSpPr>
          <xdr:cNvPr id="17" name="Group 16">
            <a:extLst>
              <a:ext uri="{FF2B5EF4-FFF2-40B4-BE49-F238E27FC236}">
                <a16:creationId xmlns:a16="http://schemas.microsoft.com/office/drawing/2014/main" id="{00000000-0008-0000-0F00-000012000000}"/>
              </a:ext>
            </a:extLst>
          </xdr:cNvPr>
          <xdr:cNvGrpSpPr/>
        </xdr:nvGrpSpPr>
        <xdr:grpSpPr>
          <a:xfrm>
            <a:off x="2227648" y="2566818"/>
            <a:ext cx="201061" cy="359352"/>
            <a:chOff x="6470288" y="1855804"/>
            <a:chExt cx="258298" cy="461654"/>
          </a:xfrm>
          <a:solidFill>
            <a:srgbClr val="2950BD"/>
          </a:solidFill>
        </xdr:grpSpPr>
        <xdr:sp macro="" textlink="">
          <xdr:nvSpPr>
            <xdr:cNvPr id="18" name="Rounded Rectangle 17">
              <a:extLst>
                <a:ext uri="{FF2B5EF4-FFF2-40B4-BE49-F238E27FC236}">
                  <a16:creationId xmlns:a16="http://schemas.microsoft.com/office/drawing/2014/main" id="{00000000-0008-0000-0F00-000013000000}"/>
                </a:ext>
              </a:extLst>
            </xdr:cNvPr>
            <xdr:cNvSpPr/>
          </xdr:nvSpPr>
          <xdr:spPr>
            <a:xfrm rot="18503198">
              <a:off x="6455048" y="2043919"/>
              <a:ext cx="461654" cy="85423"/>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3199"/>
            </a:p>
          </xdr:txBody>
        </xdr:sp>
        <xdr:sp macro="" textlink="">
          <xdr:nvSpPr>
            <xdr:cNvPr id="19" name="Rounded Rectangle 18">
              <a:extLst>
                <a:ext uri="{FF2B5EF4-FFF2-40B4-BE49-F238E27FC236}">
                  <a16:creationId xmlns:a16="http://schemas.microsoft.com/office/drawing/2014/main" id="{00000000-0008-0000-0F00-000014000000}"/>
                </a:ext>
              </a:extLst>
            </xdr:cNvPr>
            <xdr:cNvSpPr/>
          </xdr:nvSpPr>
          <xdr:spPr>
            <a:xfrm rot="13895427">
              <a:off x="6380098" y="2120239"/>
              <a:ext cx="265804" cy="85423"/>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3199"/>
            </a:p>
          </xdr:txBody>
        </xdr:sp>
      </xdr:grpSp>
    </xdr:grpSp>
    <xdr:clientData/>
  </xdr:twoCellAnchor>
  <xdr:twoCellAnchor>
    <xdr:from>
      <xdr:col>4</xdr:col>
      <xdr:colOff>1028700</xdr:colOff>
      <xdr:row>23</xdr:row>
      <xdr:rowOff>409575</xdr:rowOff>
    </xdr:from>
    <xdr:to>
      <xdr:col>4</xdr:col>
      <xdr:colOff>1200150</xdr:colOff>
      <xdr:row>23</xdr:row>
      <xdr:rowOff>514350</xdr:rowOff>
    </xdr:to>
    <xdr:sp macro="" textlink="">
      <xdr:nvSpPr>
        <xdr:cNvPr id="20" name="Flowchart: Merge 19">
          <a:extLst>
            <a:ext uri="{FF2B5EF4-FFF2-40B4-BE49-F238E27FC236}">
              <a16:creationId xmlns:a16="http://schemas.microsoft.com/office/drawing/2014/main" id="{00000000-0008-0000-0F00-000016000000}"/>
            </a:ext>
          </a:extLst>
        </xdr:cNvPr>
        <xdr:cNvSpPr/>
      </xdr:nvSpPr>
      <xdr:spPr>
        <a:xfrm flipH="1">
          <a:off x="5762625" y="5400675"/>
          <a:ext cx="171450" cy="0"/>
        </a:xfrm>
        <a:prstGeom prst="flowChartMerge">
          <a:avLst/>
        </a:prstGeom>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lientData/>
  </xdr:twoCellAnchor>
  <xdr:twoCellAnchor>
    <xdr:from>
      <xdr:col>7</xdr:col>
      <xdr:colOff>76200</xdr:colOff>
      <xdr:row>64</xdr:row>
      <xdr:rowOff>85725</xdr:rowOff>
    </xdr:from>
    <xdr:to>
      <xdr:col>7</xdr:col>
      <xdr:colOff>847725</xdr:colOff>
      <xdr:row>65</xdr:row>
      <xdr:rowOff>95250</xdr:rowOff>
    </xdr:to>
    <xdr:sp macro="[0]!add_qual" textlink="">
      <xdr:nvSpPr>
        <xdr:cNvPr id="21" name="Rounded Rectangle 20">
          <a:extLst>
            <a:ext uri="{FF2B5EF4-FFF2-40B4-BE49-F238E27FC236}">
              <a16:creationId xmlns:a16="http://schemas.microsoft.com/office/drawing/2014/main" id="{00000000-0008-0000-0F00-00001F000000}"/>
            </a:ext>
          </a:extLst>
        </xdr:cNvPr>
        <xdr:cNvSpPr/>
      </xdr:nvSpPr>
      <xdr:spPr>
        <a:xfrm>
          <a:off x="12573000" y="13106400"/>
          <a:ext cx="771525" cy="200025"/>
        </a:xfrm>
        <a:prstGeom prst="roundRect">
          <a:avLst/>
        </a:prstGeom>
        <a:solidFill>
          <a:schemeClr val="accent1">
            <a:lumMod val="50000"/>
          </a:schemeClr>
        </a:solidFill>
        <a:ln>
          <a:solidFill>
            <a:schemeClr val="accent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1"/>
              </a:solidFill>
            </a:rPr>
            <a:t>Add</a:t>
          </a:r>
        </a:p>
      </xdr:txBody>
    </xdr:sp>
    <xdr:clientData/>
  </xdr:twoCellAnchor>
</xdr:wsDr>
</file>

<file path=xl/drawings/drawing19.xml><?xml version="1.0" encoding="utf-8"?>
<xdr:wsDr xmlns:xdr="http://schemas.openxmlformats.org/drawingml/2006/spreadsheetDrawing" xmlns:a="http://schemas.openxmlformats.org/drawingml/2006/main">
  <xdr:twoCellAnchor editAs="oneCell">
    <xdr:from>
      <xdr:col>0</xdr:col>
      <xdr:colOff>28576</xdr:colOff>
      <xdr:row>0</xdr:row>
      <xdr:rowOff>19051</xdr:rowOff>
    </xdr:from>
    <xdr:to>
      <xdr:col>0</xdr:col>
      <xdr:colOff>361950</xdr:colOff>
      <xdr:row>1</xdr:row>
      <xdr:rowOff>171450</xdr:rowOff>
    </xdr:to>
    <xdr:pic>
      <xdr:nvPicPr>
        <xdr:cNvPr id="2" name="Picture 1">
          <a:extLst>
            <a:ext uri="{FF2B5EF4-FFF2-40B4-BE49-F238E27FC236}">
              <a16:creationId xmlns:a16="http://schemas.microsoft.com/office/drawing/2014/main" id="{00000000-0008-0000-1000-000002000000}"/>
            </a:ext>
          </a:extLst>
        </xdr:cNvPr>
        <xdr:cNvPicPr>
          <a:picLocks noChangeAspect="1"/>
        </xdr:cNvPicPr>
      </xdr:nvPicPr>
      <xdr:blipFill>
        <a:blip xmlns:r="http://schemas.openxmlformats.org/officeDocument/2006/relationships" r:embed="rId1"/>
        <a:stretch>
          <a:fillRect/>
        </a:stretch>
      </xdr:blipFill>
      <xdr:spPr>
        <a:xfrm>
          <a:off x="28576" y="19051"/>
          <a:ext cx="333374" cy="485774"/>
        </a:xfrm>
        <a:prstGeom prst="rect">
          <a:avLst/>
        </a:prstGeom>
      </xdr:spPr>
    </xdr:pic>
    <xdr:clientData/>
  </xdr:twoCellAnchor>
  <xdr:twoCellAnchor>
    <xdr:from>
      <xdr:col>8</xdr:col>
      <xdr:colOff>123825</xdr:colOff>
      <xdr:row>2</xdr:row>
      <xdr:rowOff>66675</xdr:rowOff>
    </xdr:from>
    <xdr:to>
      <xdr:col>9</xdr:col>
      <xdr:colOff>285750</xdr:colOff>
      <xdr:row>2</xdr:row>
      <xdr:rowOff>638175</xdr:rowOff>
    </xdr:to>
    <xdr:sp macro="[0]!Validate_PB2" textlink="">
      <xdr:nvSpPr>
        <xdr:cNvPr id="3" name="Rounded Rectangle 2">
          <a:extLst>
            <a:ext uri="{FF2B5EF4-FFF2-40B4-BE49-F238E27FC236}">
              <a16:creationId xmlns:a16="http://schemas.microsoft.com/office/drawing/2014/main" id="{00000000-0008-0000-1000-000003000000}"/>
            </a:ext>
          </a:extLst>
        </xdr:cNvPr>
        <xdr:cNvSpPr/>
      </xdr:nvSpPr>
      <xdr:spPr>
        <a:xfrm>
          <a:off x="11515725" y="609600"/>
          <a:ext cx="1238250" cy="571500"/>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2">
                  <a:lumMod val="50000"/>
                </a:schemeClr>
              </a:solidFill>
            </a:rPr>
            <a:t>Validate </a:t>
          </a:r>
        </a:p>
        <a:p>
          <a:pPr algn="l"/>
          <a:r>
            <a:rPr lang="en-US" sz="1100" b="1">
              <a:solidFill>
                <a:schemeClr val="tx2">
                  <a:lumMod val="50000"/>
                </a:schemeClr>
              </a:solidFill>
            </a:rPr>
            <a:t>Sheet</a:t>
          </a:r>
        </a:p>
      </xdr:txBody>
    </xdr:sp>
    <xdr:clientData/>
  </xdr:twoCellAnchor>
  <xdr:twoCellAnchor>
    <xdr:from>
      <xdr:col>8</xdr:col>
      <xdr:colOff>847725</xdr:colOff>
      <xdr:row>2</xdr:row>
      <xdr:rowOff>104776</xdr:rowOff>
    </xdr:from>
    <xdr:to>
      <xdr:col>9</xdr:col>
      <xdr:colOff>228600</xdr:colOff>
      <xdr:row>2</xdr:row>
      <xdr:rowOff>542926</xdr:rowOff>
    </xdr:to>
    <xdr:grpSp>
      <xdr:nvGrpSpPr>
        <xdr:cNvPr id="4" name="Group 3">
          <a:extLst>
            <a:ext uri="{FF2B5EF4-FFF2-40B4-BE49-F238E27FC236}">
              <a16:creationId xmlns:a16="http://schemas.microsoft.com/office/drawing/2014/main" id="{00000000-0008-0000-1000-000004000000}"/>
            </a:ext>
          </a:extLst>
        </xdr:cNvPr>
        <xdr:cNvGrpSpPr/>
      </xdr:nvGrpSpPr>
      <xdr:grpSpPr>
        <a:xfrm>
          <a:off x="20004405" y="638176"/>
          <a:ext cx="485775" cy="438150"/>
          <a:chOff x="1982229" y="2092319"/>
          <a:chExt cx="1029931" cy="1029921"/>
        </a:xfrm>
      </xdr:grpSpPr>
      <xdr:sp macro="" textlink="">
        <xdr:nvSpPr>
          <xdr:cNvPr id="5" name="Oval 4">
            <a:extLst>
              <a:ext uri="{FF2B5EF4-FFF2-40B4-BE49-F238E27FC236}">
                <a16:creationId xmlns:a16="http://schemas.microsoft.com/office/drawing/2014/main" id="{00000000-0008-0000-1000-000005000000}"/>
              </a:ext>
            </a:extLst>
          </xdr:cNvPr>
          <xdr:cNvSpPr/>
        </xdr:nvSpPr>
        <xdr:spPr>
          <a:xfrm>
            <a:off x="1982229" y="2092319"/>
            <a:ext cx="1029931" cy="1029921"/>
          </a:xfrm>
          <a:prstGeom prst="ellipse">
            <a:avLst/>
          </a:prstGeom>
          <a:solidFill>
            <a:schemeClr val="bg1"/>
          </a:solidFill>
          <a:ln w="57150">
            <a:solidFill>
              <a:srgbClr val="5B7DDB"/>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2215" b="1">
              <a:solidFill>
                <a:schemeClr val="tx1">
                  <a:lumMod val="60000"/>
                  <a:lumOff val="40000"/>
                </a:schemeClr>
              </a:solidFill>
              <a:latin typeface="Arial" pitchFamily="34" charset="0"/>
              <a:cs typeface="Arial" pitchFamily="34" charset="0"/>
            </a:endParaRPr>
          </a:p>
        </xdr:txBody>
      </xdr:sp>
      <xdr:sp macro="" textlink="">
        <xdr:nvSpPr>
          <xdr:cNvPr id="6" name="Freeform 5">
            <a:extLst>
              <a:ext uri="{FF2B5EF4-FFF2-40B4-BE49-F238E27FC236}">
                <a16:creationId xmlns:a16="http://schemas.microsoft.com/office/drawing/2014/main" id="{00000000-0008-0000-1000-000006000000}"/>
              </a:ext>
            </a:extLst>
          </xdr:cNvPr>
          <xdr:cNvSpPr/>
        </xdr:nvSpPr>
        <xdr:spPr>
          <a:xfrm>
            <a:off x="2302002" y="2350498"/>
            <a:ext cx="434316" cy="528460"/>
          </a:xfrm>
          <a:custGeom>
            <a:avLst/>
            <a:gdLst>
              <a:gd name="connsiteX0" fmla="*/ 350280 w 557958"/>
              <a:gd name="connsiteY0" fmla="*/ 0 h 678906"/>
              <a:gd name="connsiteX1" fmla="*/ 557958 w 557958"/>
              <a:gd name="connsiteY1" fmla="*/ 213145 h 678906"/>
              <a:gd name="connsiteX2" fmla="*/ 557958 w 557958"/>
              <a:gd name="connsiteY2" fmla="*/ 215074 h 678906"/>
              <a:gd name="connsiteX3" fmla="*/ 433296 w 557958"/>
              <a:gd name="connsiteY3" fmla="*/ 215074 h 678906"/>
              <a:gd name="connsiteX4" fmla="*/ 350280 w 557958"/>
              <a:gd name="connsiteY4" fmla="*/ 132059 h 678906"/>
              <a:gd name="connsiteX5" fmla="*/ 92739 w 557958"/>
              <a:gd name="connsiteY5" fmla="*/ 0 h 678906"/>
              <a:gd name="connsiteX6" fmla="*/ 323926 w 557958"/>
              <a:gd name="connsiteY6" fmla="*/ 0 h 678906"/>
              <a:gd name="connsiteX7" fmla="*/ 324397 w 557958"/>
              <a:gd name="connsiteY7" fmla="*/ 493 h 678906"/>
              <a:gd name="connsiteX8" fmla="*/ 324397 w 557958"/>
              <a:gd name="connsiteY8" fmla="*/ 147525 h 678906"/>
              <a:gd name="connsiteX9" fmla="*/ 417135 w 557958"/>
              <a:gd name="connsiteY9" fmla="*/ 240263 h 678906"/>
              <a:gd name="connsiteX10" fmla="*/ 553322 w 557958"/>
              <a:gd name="connsiteY10" fmla="*/ 240263 h 678906"/>
              <a:gd name="connsiteX11" fmla="*/ 556420 w 557958"/>
              <a:gd name="connsiteY11" fmla="*/ 243507 h 678906"/>
              <a:gd name="connsiteX12" fmla="*/ 556420 w 557958"/>
              <a:gd name="connsiteY12" fmla="*/ 586169 h 678906"/>
              <a:gd name="connsiteX13" fmla="*/ 463682 w 557958"/>
              <a:gd name="connsiteY13" fmla="*/ 678906 h 678906"/>
              <a:gd name="connsiteX14" fmla="*/ 92739 w 557958"/>
              <a:gd name="connsiteY14" fmla="*/ 678906 h 678906"/>
              <a:gd name="connsiteX15" fmla="*/ 92734 w 557958"/>
              <a:gd name="connsiteY15" fmla="*/ 678905 h 678906"/>
              <a:gd name="connsiteX16" fmla="*/ 59501 w 557958"/>
              <a:gd name="connsiteY16" fmla="*/ 678905 h 678906"/>
              <a:gd name="connsiteX17" fmla="*/ 279110 w 557958"/>
              <a:gd name="connsiteY17" fmla="*/ 401696 h 678906"/>
              <a:gd name="connsiteX18" fmla="*/ 269334 w 557958"/>
              <a:gd name="connsiteY18" fmla="*/ 317378 h 678906"/>
              <a:gd name="connsiteX19" fmla="*/ 269335 w 557958"/>
              <a:gd name="connsiteY19" fmla="*/ 317377 h 678906"/>
              <a:gd name="connsiteX20" fmla="*/ 225152 w 557958"/>
              <a:gd name="connsiteY20" fmla="*/ 304802 h 678906"/>
              <a:gd name="connsiteX21" fmla="*/ 185017 w 557958"/>
              <a:gd name="connsiteY21" fmla="*/ 327153 h 678906"/>
              <a:gd name="connsiteX22" fmla="*/ 836 w 557958"/>
              <a:gd name="connsiteY22" fmla="*/ 559643 h 678906"/>
              <a:gd name="connsiteX23" fmla="*/ 836 w 557958"/>
              <a:gd name="connsiteY23" fmla="*/ 286370 h 678906"/>
              <a:gd name="connsiteX24" fmla="*/ 0 w 557958"/>
              <a:gd name="connsiteY24" fmla="*/ 286201 h 678906"/>
              <a:gd name="connsiteX25" fmla="*/ 0 w 557958"/>
              <a:gd name="connsiteY25" fmla="*/ 92738 h 678906"/>
              <a:gd name="connsiteX26" fmla="*/ 92739 w 557958"/>
              <a:gd name="connsiteY26" fmla="*/ 0 h 67890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Lst>
            <a:rect l="l" t="t" r="r" b="b"/>
            <a:pathLst>
              <a:path w="557958" h="678906">
                <a:moveTo>
                  <a:pt x="350280" y="0"/>
                </a:moveTo>
                <a:lnTo>
                  <a:pt x="557958" y="213145"/>
                </a:lnTo>
                <a:lnTo>
                  <a:pt x="557958" y="215074"/>
                </a:lnTo>
                <a:lnTo>
                  <a:pt x="433296" y="215074"/>
                </a:lnTo>
                <a:cubicBezTo>
                  <a:pt x="387445" y="215074"/>
                  <a:pt x="350280" y="177908"/>
                  <a:pt x="350280" y="132059"/>
                </a:cubicBezTo>
                <a:close/>
                <a:moveTo>
                  <a:pt x="92739" y="0"/>
                </a:moveTo>
                <a:lnTo>
                  <a:pt x="323926" y="0"/>
                </a:lnTo>
                <a:lnTo>
                  <a:pt x="324397" y="493"/>
                </a:lnTo>
                <a:lnTo>
                  <a:pt x="324397" y="147525"/>
                </a:lnTo>
                <a:cubicBezTo>
                  <a:pt x="324397" y="198745"/>
                  <a:pt x="365915" y="240263"/>
                  <a:pt x="417135" y="240263"/>
                </a:cubicBezTo>
                <a:lnTo>
                  <a:pt x="553322" y="240263"/>
                </a:lnTo>
                <a:lnTo>
                  <a:pt x="556420" y="243507"/>
                </a:lnTo>
                <a:lnTo>
                  <a:pt x="556420" y="586169"/>
                </a:lnTo>
                <a:cubicBezTo>
                  <a:pt x="556420" y="637388"/>
                  <a:pt x="514902" y="678906"/>
                  <a:pt x="463682" y="678906"/>
                </a:cubicBezTo>
                <a:lnTo>
                  <a:pt x="92739" y="678906"/>
                </a:lnTo>
                <a:lnTo>
                  <a:pt x="92734" y="678905"/>
                </a:lnTo>
                <a:lnTo>
                  <a:pt x="59501" y="678905"/>
                </a:lnTo>
                <a:lnTo>
                  <a:pt x="279110" y="401696"/>
                </a:lnTo>
                <a:cubicBezTo>
                  <a:pt x="299695" y="375712"/>
                  <a:pt x="295318" y="337962"/>
                  <a:pt x="269334" y="317378"/>
                </a:cubicBezTo>
                <a:lnTo>
                  <a:pt x="269335" y="317377"/>
                </a:lnTo>
                <a:cubicBezTo>
                  <a:pt x="256344" y="307085"/>
                  <a:pt x="240410" y="303033"/>
                  <a:pt x="225152" y="304802"/>
                </a:cubicBezTo>
                <a:cubicBezTo>
                  <a:pt x="209893" y="306571"/>
                  <a:pt x="195309" y="314162"/>
                  <a:pt x="185017" y="327153"/>
                </a:cubicBezTo>
                <a:lnTo>
                  <a:pt x="836" y="559643"/>
                </a:lnTo>
                <a:lnTo>
                  <a:pt x="836" y="286370"/>
                </a:lnTo>
                <a:lnTo>
                  <a:pt x="0" y="286201"/>
                </a:lnTo>
                <a:lnTo>
                  <a:pt x="0" y="92738"/>
                </a:lnTo>
                <a:cubicBezTo>
                  <a:pt x="0" y="41518"/>
                  <a:pt x="41519" y="0"/>
                  <a:pt x="92739" y="0"/>
                </a:cubicBezTo>
                <a:close/>
              </a:path>
            </a:pathLst>
          </a:custGeom>
          <a:solidFill>
            <a:srgbClr val="2950B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3199"/>
          </a:p>
        </xdr:txBody>
      </xdr:sp>
      <xdr:grpSp>
        <xdr:nvGrpSpPr>
          <xdr:cNvPr id="7" name="Group 6">
            <a:extLst>
              <a:ext uri="{FF2B5EF4-FFF2-40B4-BE49-F238E27FC236}">
                <a16:creationId xmlns:a16="http://schemas.microsoft.com/office/drawing/2014/main" id="{00000000-0008-0000-1000-000007000000}"/>
              </a:ext>
            </a:extLst>
          </xdr:cNvPr>
          <xdr:cNvGrpSpPr/>
        </xdr:nvGrpSpPr>
        <xdr:grpSpPr>
          <a:xfrm>
            <a:off x="2227648" y="2566818"/>
            <a:ext cx="201061" cy="359352"/>
            <a:chOff x="6470288" y="1855804"/>
            <a:chExt cx="258298" cy="461654"/>
          </a:xfrm>
          <a:solidFill>
            <a:srgbClr val="2950BD"/>
          </a:solidFill>
        </xdr:grpSpPr>
        <xdr:sp macro="" textlink="">
          <xdr:nvSpPr>
            <xdr:cNvPr id="8" name="Rounded Rectangle 7">
              <a:extLst>
                <a:ext uri="{FF2B5EF4-FFF2-40B4-BE49-F238E27FC236}">
                  <a16:creationId xmlns:a16="http://schemas.microsoft.com/office/drawing/2014/main" id="{00000000-0008-0000-1000-000008000000}"/>
                </a:ext>
              </a:extLst>
            </xdr:cNvPr>
            <xdr:cNvSpPr/>
          </xdr:nvSpPr>
          <xdr:spPr>
            <a:xfrm rot="18503198">
              <a:off x="6455048" y="2043919"/>
              <a:ext cx="461654" cy="85423"/>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3199"/>
            </a:p>
          </xdr:txBody>
        </xdr:sp>
        <xdr:sp macro="" textlink="">
          <xdr:nvSpPr>
            <xdr:cNvPr id="9" name="Rounded Rectangle 8">
              <a:extLst>
                <a:ext uri="{FF2B5EF4-FFF2-40B4-BE49-F238E27FC236}">
                  <a16:creationId xmlns:a16="http://schemas.microsoft.com/office/drawing/2014/main" id="{00000000-0008-0000-1000-000009000000}"/>
                </a:ext>
              </a:extLst>
            </xdr:cNvPr>
            <xdr:cNvSpPr/>
          </xdr:nvSpPr>
          <xdr:spPr>
            <a:xfrm rot="13895427">
              <a:off x="6380098" y="2120239"/>
              <a:ext cx="265804" cy="85423"/>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3199"/>
            </a:p>
          </xdr:txBody>
        </xdr:sp>
      </xdr:grpSp>
    </xdr:grpSp>
    <xdr:clientData/>
  </xdr:twoCellAnchor>
  <xdr:twoCellAnchor>
    <xdr:from>
      <xdr:col>5</xdr:col>
      <xdr:colOff>1514474</xdr:colOff>
      <xdr:row>0</xdr:row>
      <xdr:rowOff>28575</xdr:rowOff>
    </xdr:from>
    <xdr:to>
      <xdr:col>5</xdr:col>
      <xdr:colOff>2647949</xdr:colOff>
      <xdr:row>1</xdr:row>
      <xdr:rowOff>180975</xdr:rowOff>
    </xdr:to>
    <xdr:sp macro="[0]!Home" textlink="">
      <xdr:nvSpPr>
        <xdr:cNvPr id="10" name="Rounded Rectangle 9">
          <a:extLst>
            <a:ext uri="{FF2B5EF4-FFF2-40B4-BE49-F238E27FC236}">
              <a16:creationId xmlns:a16="http://schemas.microsoft.com/office/drawing/2014/main" id="{00000000-0008-0000-1000-00000A000000}"/>
            </a:ext>
          </a:extLst>
        </xdr:cNvPr>
        <xdr:cNvSpPr/>
      </xdr:nvSpPr>
      <xdr:spPr>
        <a:xfrm>
          <a:off x="11182349" y="28575"/>
          <a:ext cx="1133475" cy="485775"/>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2">
                  <a:lumMod val="50000"/>
                </a:schemeClr>
              </a:solidFill>
            </a:rPr>
            <a:t>        HOME</a:t>
          </a:r>
        </a:p>
      </xdr:txBody>
    </xdr:sp>
    <xdr:clientData/>
  </xdr:twoCellAnchor>
  <xdr:twoCellAnchor>
    <xdr:from>
      <xdr:col>5</xdr:col>
      <xdr:colOff>2838450</xdr:colOff>
      <xdr:row>0</xdr:row>
      <xdr:rowOff>19050</xdr:rowOff>
    </xdr:from>
    <xdr:to>
      <xdr:col>6</xdr:col>
      <xdr:colOff>685800</xdr:colOff>
      <xdr:row>1</xdr:row>
      <xdr:rowOff>180974</xdr:rowOff>
    </xdr:to>
    <xdr:sp macro="[0]!Previousheet" textlink="">
      <xdr:nvSpPr>
        <xdr:cNvPr id="11" name="Rounded Rectangle 10">
          <a:extLst>
            <a:ext uri="{FF2B5EF4-FFF2-40B4-BE49-F238E27FC236}">
              <a16:creationId xmlns:a16="http://schemas.microsoft.com/office/drawing/2014/main" id="{00000000-0008-0000-1000-00000B000000}"/>
            </a:ext>
          </a:extLst>
        </xdr:cNvPr>
        <xdr:cNvSpPr/>
      </xdr:nvSpPr>
      <xdr:spPr>
        <a:xfrm>
          <a:off x="12506325" y="19050"/>
          <a:ext cx="1152525" cy="495299"/>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2">
                  <a:lumMod val="50000"/>
                </a:schemeClr>
              </a:solidFill>
            </a:rPr>
            <a:t>      PREVIOUS</a:t>
          </a:r>
          <a:r>
            <a:rPr lang="en-US" sz="1100" b="1" baseline="0">
              <a:solidFill>
                <a:schemeClr val="tx2">
                  <a:lumMod val="50000"/>
                </a:schemeClr>
              </a:solidFill>
            </a:rPr>
            <a:t> </a:t>
          </a:r>
          <a:endParaRPr lang="en-US" sz="1100" b="1">
            <a:solidFill>
              <a:schemeClr val="tx2">
                <a:lumMod val="50000"/>
              </a:schemeClr>
            </a:solidFill>
          </a:endParaRPr>
        </a:p>
      </xdr:txBody>
    </xdr:sp>
    <xdr:clientData/>
  </xdr:twoCellAnchor>
  <xdr:twoCellAnchor>
    <xdr:from>
      <xdr:col>6</xdr:col>
      <xdr:colOff>790574</xdr:colOff>
      <xdr:row>0</xdr:row>
      <xdr:rowOff>38100</xdr:rowOff>
    </xdr:from>
    <xdr:to>
      <xdr:col>6</xdr:col>
      <xdr:colOff>1866899</xdr:colOff>
      <xdr:row>1</xdr:row>
      <xdr:rowOff>190500</xdr:rowOff>
    </xdr:to>
    <xdr:sp macro="" textlink="">
      <xdr:nvSpPr>
        <xdr:cNvPr id="12" name="Rounded Rectangle 11">
          <a:extLst>
            <a:ext uri="{FF2B5EF4-FFF2-40B4-BE49-F238E27FC236}">
              <a16:creationId xmlns:a16="http://schemas.microsoft.com/office/drawing/2014/main" id="{00000000-0008-0000-1000-00000C000000}"/>
            </a:ext>
          </a:extLst>
        </xdr:cNvPr>
        <xdr:cNvSpPr/>
      </xdr:nvSpPr>
      <xdr:spPr>
        <a:xfrm>
          <a:off x="13763624" y="38100"/>
          <a:ext cx="1076325" cy="485775"/>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2">
                  <a:lumMod val="50000"/>
                </a:schemeClr>
              </a:solidFill>
            </a:rPr>
            <a:t>        NEXT </a:t>
          </a:r>
        </a:p>
      </xdr:txBody>
    </xdr:sp>
    <xdr:clientData/>
  </xdr:twoCellAnchor>
  <xdr:twoCellAnchor>
    <xdr:from>
      <xdr:col>5</xdr:col>
      <xdr:colOff>219075</xdr:colOff>
      <xdr:row>0</xdr:row>
      <xdr:rowOff>28575</xdr:rowOff>
    </xdr:from>
    <xdr:to>
      <xdr:col>5</xdr:col>
      <xdr:colOff>1362075</xdr:colOff>
      <xdr:row>1</xdr:row>
      <xdr:rowOff>161925</xdr:rowOff>
    </xdr:to>
    <xdr:sp macro="[0]!Help" textlink="">
      <xdr:nvSpPr>
        <xdr:cNvPr id="13" name="Rounded Rectangle 12">
          <a:extLst>
            <a:ext uri="{FF2B5EF4-FFF2-40B4-BE49-F238E27FC236}">
              <a16:creationId xmlns:a16="http://schemas.microsoft.com/office/drawing/2014/main" id="{00000000-0008-0000-1000-00000D000000}"/>
            </a:ext>
          </a:extLst>
        </xdr:cNvPr>
        <xdr:cNvSpPr/>
      </xdr:nvSpPr>
      <xdr:spPr>
        <a:xfrm>
          <a:off x="9886950" y="28575"/>
          <a:ext cx="1143000" cy="466725"/>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chemeClr val="tx2">
                  <a:lumMod val="50000"/>
                </a:schemeClr>
              </a:solidFill>
            </a:rPr>
            <a:t>HELP</a:t>
          </a:r>
        </a:p>
      </xdr:txBody>
    </xdr:sp>
    <xdr:clientData/>
  </xdr:twoCellAnchor>
  <xdr:twoCellAnchor>
    <xdr:from>
      <xdr:col>10</xdr:col>
      <xdr:colOff>0</xdr:colOff>
      <xdr:row>2</xdr:row>
      <xdr:rowOff>104776</xdr:rowOff>
    </xdr:from>
    <xdr:to>
      <xdr:col>10</xdr:col>
      <xdr:colOff>0</xdr:colOff>
      <xdr:row>2</xdr:row>
      <xdr:rowOff>542926</xdr:rowOff>
    </xdr:to>
    <xdr:grpSp>
      <xdr:nvGrpSpPr>
        <xdr:cNvPr id="15" name="Group 14">
          <a:extLst>
            <a:ext uri="{FF2B5EF4-FFF2-40B4-BE49-F238E27FC236}">
              <a16:creationId xmlns:a16="http://schemas.microsoft.com/office/drawing/2014/main" id="{00000000-0008-0000-1000-00000F000000}"/>
            </a:ext>
          </a:extLst>
        </xdr:cNvPr>
        <xdr:cNvGrpSpPr/>
      </xdr:nvGrpSpPr>
      <xdr:grpSpPr>
        <a:xfrm>
          <a:off x="20886420" y="638176"/>
          <a:ext cx="0" cy="438150"/>
          <a:chOff x="1982229" y="2092319"/>
          <a:chExt cx="1029931" cy="1029921"/>
        </a:xfrm>
      </xdr:grpSpPr>
      <xdr:sp macro="" textlink="">
        <xdr:nvSpPr>
          <xdr:cNvPr id="16" name="Oval 15">
            <a:extLst>
              <a:ext uri="{FF2B5EF4-FFF2-40B4-BE49-F238E27FC236}">
                <a16:creationId xmlns:a16="http://schemas.microsoft.com/office/drawing/2014/main" id="{00000000-0008-0000-1000-000010000000}"/>
              </a:ext>
            </a:extLst>
          </xdr:cNvPr>
          <xdr:cNvSpPr/>
        </xdr:nvSpPr>
        <xdr:spPr>
          <a:xfrm>
            <a:off x="1982229" y="2092319"/>
            <a:ext cx="1029931" cy="1029921"/>
          </a:xfrm>
          <a:prstGeom prst="ellipse">
            <a:avLst/>
          </a:prstGeom>
          <a:solidFill>
            <a:schemeClr val="bg1"/>
          </a:solidFill>
          <a:ln w="57150">
            <a:solidFill>
              <a:srgbClr val="5B7DDB"/>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2215" b="1">
              <a:solidFill>
                <a:schemeClr val="tx1">
                  <a:lumMod val="60000"/>
                  <a:lumOff val="40000"/>
                </a:schemeClr>
              </a:solidFill>
              <a:latin typeface="Arial" pitchFamily="34" charset="0"/>
              <a:cs typeface="Arial" pitchFamily="34" charset="0"/>
            </a:endParaRPr>
          </a:p>
        </xdr:txBody>
      </xdr:sp>
      <xdr:sp macro="" textlink="">
        <xdr:nvSpPr>
          <xdr:cNvPr id="17" name="Freeform 16">
            <a:extLst>
              <a:ext uri="{FF2B5EF4-FFF2-40B4-BE49-F238E27FC236}">
                <a16:creationId xmlns:a16="http://schemas.microsoft.com/office/drawing/2014/main" id="{00000000-0008-0000-1000-000011000000}"/>
              </a:ext>
            </a:extLst>
          </xdr:cNvPr>
          <xdr:cNvSpPr/>
        </xdr:nvSpPr>
        <xdr:spPr>
          <a:xfrm>
            <a:off x="2302002" y="2350498"/>
            <a:ext cx="434316" cy="528460"/>
          </a:xfrm>
          <a:custGeom>
            <a:avLst/>
            <a:gdLst>
              <a:gd name="connsiteX0" fmla="*/ 350280 w 557958"/>
              <a:gd name="connsiteY0" fmla="*/ 0 h 678906"/>
              <a:gd name="connsiteX1" fmla="*/ 557958 w 557958"/>
              <a:gd name="connsiteY1" fmla="*/ 213145 h 678906"/>
              <a:gd name="connsiteX2" fmla="*/ 557958 w 557958"/>
              <a:gd name="connsiteY2" fmla="*/ 215074 h 678906"/>
              <a:gd name="connsiteX3" fmla="*/ 433296 w 557958"/>
              <a:gd name="connsiteY3" fmla="*/ 215074 h 678906"/>
              <a:gd name="connsiteX4" fmla="*/ 350280 w 557958"/>
              <a:gd name="connsiteY4" fmla="*/ 132059 h 678906"/>
              <a:gd name="connsiteX5" fmla="*/ 92739 w 557958"/>
              <a:gd name="connsiteY5" fmla="*/ 0 h 678906"/>
              <a:gd name="connsiteX6" fmla="*/ 323926 w 557958"/>
              <a:gd name="connsiteY6" fmla="*/ 0 h 678906"/>
              <a:gd name="connsiteX7" fmla="*/ 324397 w 557958"/>
              <a:gd name="connsiteY7" fmla="*/ 493 h 678906"/>
              <a:gd name="connsiteX8" fmla="*/ 324397 w 557958"/>
              <a:gd name="connsiteY8" fmla="*/ 147525 h 678906"/>
              <a:gd name="connsiteX9" fmla="*/ 417135 w 557958"/>
              <a:gd name="connsiteY9" fmla="*/ 240263 h 678906"/>
              <a:gd name="connsiteX10" fmla="*/ 553322 w 557958"/>
              <a:gd name="connsiteY10" fmla="*/ 240263 h 678906"/>
              <a:gd name="connsiteX11" fmla="*/ 556420 w 557958"/>
              <a:gd name="connsiteY11" fmla="*/ 243507 h 678906"/>
              <a:gd name="connsiteX12" fmla="*/ 556420 w 557958"/>
              <a:gd name="connsiteY12" fmla="*/ 586169 h 678906"/>
              <a:gd name="connsiteX13" fmla="*/ 463682 w 557958"/>
              <a:gd name="connsiteY13" fmla="*/ 678906 h 678906"/>
              <a:gd name="connsiteX14" fmla="*/ 92739 w 557958"/>
              <a:gd name="connsiteY14" fmla="*/ 678906 h 678906"/>
              <a:gd name="connsiteX15" fmla="*/ 92734 w 557958"/>
              <a:gd name="connsiteY15" fmla="*/ 678905 h 678906"/>
              <a:gd name="connsiteX16" fmla="*/ 59501 w 557958"/>
              <a:gd name="connsiteY16" fmla="*/ 678905 h 678906"/>
              <a:gd name="connsiteX17" fmla="*/ 279110 w 557958"/>
              <a:gd name="connsiteY17" fmla="*/ 401696 h 678906"/>
              <a:gd name="connsiteX18" fmla="*/ 269334 w 557958"/>
              <a:gd name="connsiteY18" fmla="*/ 317378 h 678906"/>
              <a:gd name="connsiteX19" fmla="*/ 269335 w 557958"/>
              <a:gd name="connsiteY19" fmla="*/ 317377 h 678906"/>
              <a:gd name="connsiteX20" fmla="*/ 225152 w 557958"/>
              <a:gd name="connsiteY20" fmla="*/ 304802 h 678906"/>
              <a:gd name="connsiteX21" fmla="*/ 185017 w 557958"/>
              <a:gd name="connsiteY21" fmla="*/ 327153 h 678906"/>
              <a:gd name="connsiteX22" fmla="*/ 836 w 557958"/>
              <a:gd name="connsiteY22" fmla="*/ 559643 h 678906"/>
              <a:gd name="connsiteX23" fmla="*/ 836 w 557958"/>
              <a:gd name="connsiteY23" fmla="*/ 286370 h 678906"/>
              <a:gd name="connsiteX24" fmla="*/ 0 w 557958"/>
              <a:gd name="connsiteY24" fmla="*/ 286201 h 678906"/>
              <a:gd name="connsiteX25" fmla="*/ 0 w 557958"/>
              <a:gd name="connsiteY25" fmla="*/ 92738 h 678906"/>
              <a:gd name="connsiteX26" fmla="*/ 92739 w 557958"/>
              <a:gd name="connsiteY26" fmla="*/ 0 h 67890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Lst>
            <a:rect l="l" t="t" r="r" b="b"/>
            <a:pathLst>
              <a:path w="557958" h="678906">
                <a:moveTo>
                  <a:pt x="350280" y="0"/>
                </a:moveTo>
                <a:lnTo>
                  <a:pt x="557958" y="213145"/>
                </a:lnTo>
                <a:lnTo>
                  <a:pt x="557958" y="215074"/>
                </a:lnTo>
                <a:lnTo>
                  <a:pt x="433296" y="215074"/>
                </a:lnTo>
                <a:cubicBezTo>
                  <a:pt x="387445" y="215074"/>
                  <a:pt x="350280" y="177908"/>
                  <a:pt x="350280" y="132059"/>
                </a:cubicBezTo>
                <a:close/>
                <a:moveTo>
                  <a:pt x="92739" y="0"/>
                </a:moveTo>
                <a:lnTo>
                  <a:pt x="323926" y="0"/>
                </a:lnTo>
                <a:lnTo>
                  <a:pt x="324397" y="493"/>
                </a:lnTo>
                <a:lnTo>
                  <a:pt x="324397" y="147525"/>
                </a:lnTo>
                <a:cubicBezTo>
                  <a:pt x="324397" y="198745"/>
                  <a:pt x="365915" y="240263"/>
                  <a:pt x="417135" y="240263"/>
                </a:cubicBezTo>
                <a:lnTo>
                  <a:pt x="553322" y="240263"/>
                </a:lnTo>
                <a:lnTo>
                  <a:pt x="556420" y="243507"/>
                </a:lnTo>
                <a:lnTo>
                  <a:pt x="556420" y="586169"/>
                </a:lnTo>
                <a:cubicBezTo>
                  <a:pt x="556420" y="637388"/>
                  <a:pt x="514902" y="678906"/>
                  <a:pt x="463682" y="678906"/>
                </a:cubicBezTo>
                <a:lnTo>
                  <a:pt x="92739" y="678906"/>
                </a:lnTo>
                <a:lnTo>
                  <a:pt x="92734" y="678905"/>
                </a:lnTo>
                <a:lnTo>
                  <a:pt x="59501" y="678905"/>
                </a:lnTo>
                <a:lnTo>
                  <a:pt x="279110" y="401696"/>
                </a:lnTo>
                <a:cubicBezTo>
                  <a:pt x="299695" y="375712"/>
                  <a:pt x="295318" y="337962"/>
                  <a:pt x="269334" y="317378"/>
                </a:cubicBezTo>
                <a:lnTo>
                  <a:pt x="269335" y="317377"/>
                </a:lnTo>
                <a:cubicBezTo>
                  <a:pt x="256344" y="307085"/>
                  <a:pt x="240410" y="303033"/>
                  <a:pt x="225152" y="304802"/>
                </a:cubicBezTo>
                <a:cubicBezTo>
                  <a:pt x="209893" y="306571"/>
                  <a:pt x="195309" y="314162"/>
                  <a:pt x="185017" y="327153"/>
                </a:cubicBezTo>
                <a:lnTo>
                  <a:pt x="836" y="559643"/>
                </a:lnTo>
                <a:lnTo>
                  <a:pt x="836" y="286370"/>
                </a:lnTo>
                <a:lnTo>
                  <a:pt x="0" y="286201"/>
                </a:lnTo>
                <a:lnTo>
                  <a:pt x="0" y="92738"/>
                </a:lnTo>
                <a:cubicBezTo>
                  <a:pt x="0" y="41518"/>
                  <a:pt x="41519" y="0"/>
                  <a:pt x="92739" y="0"/>
                </a:cubicBezTo>
                <a:close/>
              </a:path>
            </a:pathLst>
          </a:custGeom>
          <a:solidFill>
            <a:srgbClr val="2950B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3199"/>
          </a:p>
        </xdr:txBody>
      </xdr:sp>
      <xdr:grpSp>
        <xdr:nvGrpSpPr>
          <xdr:cNvPr id="18" name="Group 17">
            <a:extLst>
              <a:ext uri="{FF2B5EF4-FFF2-40B4-BE49-F238E27FC236}">
                <a16:creationId xmlns:a16="http://schemas.microsoft.com/office/drawing/2014/main" id="{00000000-0008-0000-1000-000012000000}"/>
              </a:ext>
            </a:extLst>
          </xdr:cNvPr>
          <xdr:cNvGrpSpPr/>
        </xdr:nvGrpSpPr>
        <xdr:grpSpPr>
          <a:xfrm>
            <a:off x="2227648" y="2566818"/>
            <a:ext cx="201061" cy="359352"/>
            <a:chOff x="6470288" y="1855804"/>
            <a:chExt cx="258298" cy="461654"/>
          </a:xfrm>
          <a:solidFill>
            <a:srgbClr val="2950BD"/>
          </a:solidFill>
        </xdr:grpSpPr>
        <xdr:sp macro="" textlink="">
          <xdr:nvSpPr>
            <xdr:cNvPr id="19" name="Rounded Rectangle 18">
              <a:extLst>
                <a:ext uri="{FF2B5EF4-FFF2-40B4-BE49-F238E27FC236}">
                  <a16:creationId xmlns:a16="http://schemas.microsoft.com/office/drawing/2014/main" id="{00000000-0008-0000-1000-000013000000}"/>
                </a:ext>
              </a:extLst>
            </xdr:cNvPr>
            <xdr:cNvSpPr/>
          </xdr:nvSpPr>
          <xdr:spPr>
            <a:xfrm rot="18503198">
              <a:off x="6455048" y="2043919"/>
              <a:ext cx="461654" cy="85423"/>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3199"/>
            </a:p>
          </xdr:txBody>
        </xdr:sp>
        <xdr:sp macro="" textlink="">
          <xdr:nvSpPr>
            <xdr:cNvPr id="20" name="Rounded Rectangle 19">
              <a:extLst>
                <a:ext uri="{FF2B5EF4-FFF2-40B4-BE49-F238E27FC236}">
                  <a16:creationId xmlns:a16="http://schemas.microsoft.com/office/drawing/2014/main" id="{00000000-0008-0000-1000-000014000000}"/>
                </a:ext>
              </a:extLst>
            </xdr:cNvPr>
            <xdr:cNvSpPr/>
          </xdr:nvSpPr>
          <xdr:spPr>
            <a:xfrm rot="13895427">
              <a:off x="6380098" y="2120239"/>
              <a:ext cx="265804" cy="85423"/>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3199"/>
            </a:p>
          </xdr:txBody>
        </xdr:sp>
      </xdr:grpSp>
    </xdr:grpSp>
    <xdr:clientData/>
  </xdr:twoCellAnchor>
  <xdr:twoCellAnchor>
    <xdr:from>
      <xdr:col>7</xdr:col>
      <xdr:colOff>171450</xdr:colOff>
      <xdr:row>52</xdr:row>
      <xdr:rowOff>38101</xdr:rowOff>
    </xdr:from>
    <xdr:to>
      <xdr:col>7</xdr:col>
      <xdr:colOff>942975</xdr:colOff>
      <xdr:row>53</xdr:row>
      <xdr:rowOff>133351</xdr:rowOff>
    </xdr:to>
    <xdr:sp macro="[0]!add_qual" textlink="">
      <xdr:nvSpPr>
        <xdr:cNvPr id="25" name="Rounded Rectangle 24">
          <a:extLst>
            <a:ext uri="{FF2B5EF4-FFF2-40B4-BE49-F238E27FC236}">
              <a16:creationId xmlns:a16="http://schemas.microsoft.com/office/drawing/2014/main" id="{00000000-0008-0000-1000-000019000000}"/>
            </a:ext>
          </a:extLst>
        </xdr:cNvPr>
        <xdr:cNvSpPr/>
      </xdr:nvSpPr>
      <xdr:spPr>
        <a:xfrm>
          <a:off x="16373475" y="11001376"/>
          <a:ext cx="771525" cy="285750"/>
        </a:xfrm>
        <a:prstGeom prst="roundRect">
          <a:avLst/>
        </a:prstGeom>
        <a:solidFill>
          <a:schemeClr val="accent1">
            <a:lumMod val="50000"/>
          </a:schemeClr>
        </a:solidFill>
        <a:ln>
          <a:solidFill>
            <a:schemeClr val="accent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1"/>
              </a:solidFill>
            </a:rPr>
            <a:t>Add</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infosystechnologies-my.sharepoint.com/Users/richi.jain/AppData/Local/Temp/Temp1_GSTR_4_Offline_Utility.zip/GSTR_4_Offline_Utility_v3.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infosystechnologies-my.sharepoint.com/Users/ashutosh.khaitan/Desktop/Worksheet%20in%20SRS_Offline_GSTR10_30052018.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infosystechnologies-my.sharepoint.com/Users/pallav_yadav/Documents/GSTR_4_Offline_Utility_v3.0_new_PY.xls" TargetMode="External"/></Relationships>
</file>

<file path=xl/externalLinks/_rels/externalLink4.xml.rels><?xml version="1.0" encoding="UTF-8" standalone="yes"?>
<Relationships xmlns="http://schemas.openxmlformats.org/package/2006/relationships"><Relationship Id="rId2" Type="http://schemas.openxmlformats.org/officeDocument/2006/relationships/externalLinkPath" Target="file:///C:\Users\sruthi.gundeti\Desktop\UAT\GSTR_9C_Offline_Utility_84\GSTR_9C_Offline_Utility\GSTR_9C_Offline_Utility_2.7\GSTR%209C_Offline_Utility_8.xlsm" TargetMode="External"/><Relationship Id="rId1" Type="http://schemas.openxmlformats.org/officeDocument/2006/relationships/externalLinkPath" Target="https://infosystechnologies-my.sharepoint.com/Users/sruthi.gundeti/Desktop/UAT/GSTR_9C_Offline_Utility_84/GSTR_9C_Offline_Utility/GSTR_9C_Offline_Utility_2.7/GSTR%209C_Offline_Utility_8.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D:\Users\Administrator\Downloads\GSTR%209C_Offline%20utility_071218_v2%20(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adMe"/>
      <sheetName val="Home"/>
      <sheetName val="4-A&amp;B(B2B)"/>
      <sheetName val="5A(B2BA)"/>
      <sheetName val="4C(B2BUR)"/>
      <sheetName val="5A(B2BURA)"/>
      <sheetName val="4D(IMPS)"/>
      <sheetName val="5A(IMPSA)"/>
      <sheetName val="5B(CDNR)"/>
      <sheetName val="5C(CDNRA)"/>
      <sheetName val="5B(CDNUR)"/>
      <sheetName val="5C(CDNURA)"/>
      <sheetName val="6(TXOS)"/>
      <sheetName val="7(TXOSA)"/>
      <sheetName val="8A(AT)"/>
      <sheetName val="8A-II(ATA)"/>
      <sheetName val="8B(ATADJ)"/>
      <sheetName val="8B-II(ATADJA)"/>
      <sheetName val="maste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row r="2">
          <cell r="C2" t="str">
            <v>No</v>
          </cell>
          <cell r="F2" t="str">
            <v>Credit Note</v>
          </cell>
          <cell r="H2" t="str">
            <v>0</v>
          </cell>
          <cell r="K2" t="str">
            <v>01-Jammu &amp; Kashmir</v>
          </cell>
          <cell r="N2" t="str">
            <v>Regular</v>
          </cell>
          <cell r="T2" t="str">
            <v>Inter State</v>
          </cell>
          <cell r="W2" t="str">
            <v>Add</v>
          </cell>
          <cell r="AA2" t="str">
            <v>Apr-June</v>
          </cell>
          <cell r="AD2" t="str">
            <v>2017-18</v>
          </cell>
          <cell r="AF2" t="str">
            <v>B2BUR</v>
          </cell>
        </row>
        <row r="3">
          <cell r="C3" t="str">
            <v>Yes</v>
          </cell>
          <cell r="F3" t="str">
            <v>Debit Note</v>
          </cell>
          <cell r="H3">
            <v>0.25</v>
          </cell>
          <cell r="K3" t="str">
            <v>02-Himachal Pradesh</v>
          </cell>
          <cell r="T3" t="str">
            <v>Intra State</v>
          </cell>
          <cell r="W3" t="str">
            <v>Delete</v>
          </cell>
          <cell r="AA3" t="str">
            <v>July-Sep</v>
          </cell>
          <cell r="AD3" t="str">
            <v>2018-19</v>
          </cell>
          <cell r="AF3" t="str">
            <v>IMPS</v>
          </cell>
        </row>
        <row r="4">
          <cell r="H4" t="str">
            <v>3</v>
          </cell>
          <cell r="K4" t="str">
            <v>03-Punjab</v>
          </cell>
          <cell r="AA4" t="str">
            <v>Oct-Dec</v>
          </cell>
          <cell r="AD4" t="str">
            <v>2019-20</v>
          </cell>
        </row>
        <row r="5">
          <cell r="H5" t="str">
            <v>5</v>
          </cell>
          <cell r="K5" t="str">
            <v>04-Chandigarh</v>
          </cell>
          <cell r="AA5" t="str">
            <v>Jan-Mar</v>
          </cell>
          <cell r="AD5" t="str">
            <v>2020-21</v>
          </cell>
        </row>
        <row r="6">
          <cell r="H6" t="str">
            <v>12</v>
          </cell>
          <cell r="K6" t="str">
            <v>05-Uttarakhand</v>
          </cell>
        </row>
        <row r="7">
          <cell r="H7" t="str">
            <v>18</v>
          </cell>
          <cell r="K7" t="str">
            <v>06-Haryana</v>
          </cell>
        </row>
        <row r="8">
          <cell r="H8" t="str">
            <v>28</v>
          </cell>
          <cell r="K8" t="str">
            <v>07-Delhi</v>
          </cell>
        </row>
        <row r="9">
          <cell r="K9" t="str">
            <v>08-Rajasthan</v>
          </cell>
        </row>
        <row r="10">
          <cell r="K10" t="str">
            <v>09-Uttar Pradesh</v>
          </cell>
        </row>
        <row r="11">
          <cell r="K11" t="str">
            <v>10-Bihar</v>
          </cell>
        </row>
        <row r="12">
          <cell r="K12" t="str">
            <v>11-Sikkim</v>
          </cell>
        </row>
        <row r="13">
          <cell r="K13" t="str">
            <v>12-Arunachal Pradesh</v>
          </cell>
        </row>
        <row r="14">
          <cell r="K14" t="str">
            <v>13-Nagaland</v>
          </cell>
        </row>
        <row r="15">
          <cell r="K15" t="str">
            <v>14-Manipur</v>
          </cell>
        </row>
        <row r="16">
          <cell r="K16" t="str">
            <v>15-Mizoram</v>
          </cell>
        </row>
        <row r="17">
          <cell r="K17" t="str">
            <v>16-Tripura</v>
          </cell>
        </row>
        <row r="18">
          <cell r="K18" t="str">
            <v>17-Meghalaya</v>
          </cell>
        </row>
        <row r="19">
          <cell r="K19" t="str">
            <v>18-Assam</v>
          </cell>
        </row>
        <row r="20">
          <cell r="K20" t="str">
            <v>19-West Bengal</v>
          </cell>
        </row>
        <row r="21">
          <cell r="K21" t="str">
            <v>20-Jharkhand</v>
          </cell>
        </row>
        <row r="22">
          <cell r="K22" t="str">
            <v>21-Odisha</v>
          </cell>
        </row>
        <row r="23">
          <cell r="K23" t="str">
            <v>22-Chhattisgarh</v>
          </cell>
        </row>
        <row r="24">
          <cell r="K24" t="str">
            <v>23-Madhya Pradesh</v>
          </cell>
        </row>
        <row r="25">
          <cell r="K25" t="str">
            <v>24-Gujarat</v>
          </cell>
        </row>
        <row r="26">
          <cell r="K26" t="str">
            <v>25-Daman &amp; Diu</v>
          </cell>
        </row>
        <row r="27">
          <cell r="K27" t="str">
            <v>26-Dadra &amp; Nagar Haveli</v>
          </cell>
        </row>
        <row r="28">
          <cell r="K28" t="str">
            <v>27-Maharashtra</v>
          </cell>
        </row>
        <row r="29">
          <cell r="K29" t="str">
            <v>29-Karnataka</v>
          </cell>
        </row>
        <row r="30">
          <cell r="K30" t="str">
            <v>30-Goa</v>
          </cell>
        </row>
        <row r="31">
          <cell r="K31" t="str">
            <v>31-Lakshdweep</v>
          </cell>
        </row>
        <row r="32">
          <cell r="K32" t="str">
            <v>32-Kerala</v>
          </cell>
        </row>
        <row r="33">
          <cell r="K33" t="str">
            <v>33-Tamil Nadu</v>
          </cell>
        </row>
        <row r="34">
          <cell r="K34" t="str">
            <v>34-Puducherry</v>
          </cell>
        </row>
        <row r="35">
          <cell r="K35" t="str">
            <v>35-Andaman &amp; Nicobar Islands</v>
          </cell>
        </row>
        <row r="36">
          <cell r="K36" t="str">
            <v>36-Telangana</v>
          </cell>
        </row>
        <row r="37">
          <cell r="K37" t="str">
            <v>37-Andhra Pradesh</v>
          </cell>
        </row>
        <row r="38">
          <cell r="K38" t="str">
            <v>97-Other Territory</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ome"/>
      <sheetName val="Invoice_Available"/>
      <sheetName val="Invoice_Not_Available"/>
      <sheetName val="Master Sheet"/>
      <sheetName val="Master_table"/>
    </sheetNames>
    <sheetDataSet>
      <sheetData sheetId="0"/>
      <sheetData sheetId="1"/>
      <sheetData sheetId="2"/>
      <sheetData sheetId="3"/>
      <sheetData sheetId="4">
        <row r="2">
          <cell r="X2" t="str">
            <v>Inputs held in stock</v>
          </cell>
        </row>
        <row r="3">
          <cell r="X3" t="str">
            <v>Inputs contained in semi-finished and finished goods held in stock</v>
          </cell>
        </row>
        <row r="4">
          <cell r="X4" t="str">
            <v>Capital goods held in stock</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adMe"/>
      <sheetName val="Home"/>
      <sheetName val="4-A&amp;B(B2B)"/>
      <sheetName val="5A(B2BA)"/>
      <sheetName val="4C(B2BUR)"/>
      <sheetName val="5A(B2BURA)"/>
      <sheetName val="4D(IMPS)"/>
      <sheetName val="5A(IMPSA)"/>
      <sheetName val="5B(CDNR)"/>
      <sheetName val="5C(CDNRA)"/>
      <sheetName val="5B(CDNUR)"/>
      <sheetName val="5C(CDNURA)"/>
      <sheetName val="6(TXOS)"/>
      <sheetName val="7(TXOSA)"/>
      <sheetName val="8A(AT)"/>
      <sheetName val="8A-II(ATA)"/>
      <sheetName val="8B(ATADJ)"/>
      <sheetName val="8B-II(ATADJA)"/>
      <sheetName val="9(TDS)"/>
      <sheetName val="master"/>
      <sheetName val="GSTR_4_Offline_Utility_v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ow r="2">
          <cell r="AD2" t="str">
            <v>2017-18</v>
          </cell>
        </row>
        <row r="3">
          <cell r="AD3" t="str">
            <v>2018-19</v>
          </cell>
        </row>
        <row r="4">
          <cell r="AD4" t="str">
            <v>2019-20</v>
          </cell>
        </row>
        <row r="5">
          <cell r="AD5" t="str">
            <v>2020-21</v>
          </cell>
        </row>
      </sheetData>
      <sheetData sheetId="20"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ad Me FY 17-18 to 19-20"/>
      <sheetName val="Read Me FY 20-21 to 21-22"/>
      <sheetName val="Read Me FY 24-25 onwards"/>
      <sheetName val="Home"/>
      <sheetName val="PT II (5)"/>
      <sheetName val="PT II (6)"/>
      <sheetName val="PT II (7)"/>
      <sheetName val="PT II (8)"/>
      <sheetName val="PT III (9)"/>
      <sheetName val="PT III (10)"/>
      <sheetName val="PT III (11)"/>
      <sheetName val="PT IV (12)"/>
      <sheetName val="PT IV(13)"/>
      <sheetName val="PT IV (14)"/>
      <sheetName val="PT IV (15)"/>
      <sheetName val="PT IV (16)"/>
      <sheetName val="PT V"/>
      <sheetName val="Part B (i)"/>
      <sheetName val="Part B (ii)"/>
      <sheetName val="Table 3"/>
      <sheetName val="Table 2"/>
      <sheetName val="Table 5"/>
      <sheetName val="Temp_Table_24"/>
      <sheetName val="Temp_Table"/>
      <sheetName val="Table 1"/>
      <sheetName val="Table 4"/>
      <sheetName val="Master"/>
      <sheetName val="State dropdown"/>
    </sheetNames>
    <sheetDataSet>
      <sheetData sheetId="0"/>
      <sheetData sheetId="1"/>
      <sheetData sheetId="2"/>
      <sheetData sheetId="3"/>
      <sheetData sheetId="4"/>
      <sheetData sheetId="5"/>
      <sheetData sheetId="6"/>
      <sheetData sheetId="7"/>
      <sheetData sheetId="8"/>
      <sheetData sheetId="9"/>
      <sheetData sheetId="10">
        <row r="7">
          <cell r="E7">
            <v>0</v>
          </cell>
          <cell r="F7">
            <v>0</v>
          </cell>
          <cell r="G7">
            <v>0</v>
          </cell>
          <cell r="I7">
            <v>0</v>
          </cell>
        </row>
        <row r="8">
          <cell r="E8">
            <v>0</v>
          </cell>
          <cell r="F8">
            <v>0</v>
          </cell>
          <cell r="G8">
            <v>0</v>
          </cell>
          <cell r="I8">
            <v>0</v>
          </cell>
        </row>
        <row r="9">
          <cell r="E9">
            <v>0</v>
          </cell>
          <cell r="F9">
            <v>0</v>
          </cell>
          <cell r="G9">
            <v>0</v>
          </cell>
          <cell r="I9">
            <v>0</v>
          </cell>
        </row>
        <row r="10">
          <cell r="E10">
            <v>0</v>
          </cell>
          <cell r="F10">
            <v>0</v>
          </cell>
          <cell r="G10">
            <v>0</v>
          </cell>
          <cell r="I10">
            <v>0</v>
          </cell>
        </row>
        <row r="11">
          <cell r="E11">
            <v>0</v>
          </cell>
          <cell r="F11">
            <v>0</v>
          </cell>
          <cell r="G11">
            <v>0</v>
          </cell>
          <cell r="I11">
            <v>0</v>
          </cell>
        </row>
        <row r="12">
          <cell r="E12">
            <v>0</v>
          </cell>
          <cell r="F12">
            <v>0</v>
          </cell>
          <cell r="G12">
            <v>0</v>
          </cell>
          <cell r="I12">
            <v>0</v>
          </cell>
        </row>
        <row r="13">
          <cell r="E13">
            <v>0</v>
          </cell>
          <cell r="F13">
            <v>0</v>
          </cell>
          <cell r="G13">
            <v>0</v>
          </cell>
          <cell r="I13">
            <v>0</v>
          </cell>
        </row>
        <row r="14">
          <cell r="E14">
            <v>0</v>
          </cell>
          <cell r="F14">
            <v>0</v>
          </cell>
          <cell r="G14">
            <v>0</v>
          </cell>
          <cell r="I14">
            <v>0</v>
          </cell>
        </row>
        <row r="16">
          <cell r="E16">
            <v>0</v>
          </cell>
          <cell r="F16">
            <v>0</v>
          </cell>
          <cell r="G16">
            <v>0</v>
          </cell>
          <cell r="I16">
            <v>0</v>
          </cell>
        </row>
        <row r="17">
          <cell r="E17">
            <v>0</v>
          </cell>
          <cell r="F17">
            <v>0</v>
          </cell>
          <cell r="G17">
            <v>0</v>
          </cell>
          <cell r="I17">
            <v>0</v>
          </cell>
        </row>
        <row r="18">
          <cell r="E18">
            <v>0</v>
          </cell>
          <cell r="F18">
            <v>0</v>
          </cell>
          <cell r="G18">
            <v>0</v>
          </cell>
          <cell r="I18">
            <v>0</v>
          </cell>
        </row>
        <row r="19">
          <cell r="E19">
            <v>0</v>
          </cell>
          <cell r="F19">
            <v>0</v>
          </cell>
          <cell r="G19">
            <v>0</v>
          </cell>
          <cell r="I19">
            <v>0</v>
          </cell>
        </row>
      </sheetData>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ster"/>
    </sheetNames>
    <sheetDataSet>
      <sheetData sheetId="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chemeClr val="tx2">
            <a:lumMod val="20000"/>
            <a:lumOff val="80000"/>
          </a:schemeClr>
        </a:solidFill>
        <a:scene3d>
          <a:camera prst="orthographicFront"/>
          <a:lightRig rig="threePt" dir="t"/>
        </a:scene3d>
        <a:sp3d>
          <a:bevelT prst="angle"/>
        </a:sp3d>
      </a:spPr>
      <a:bodyPr vertOverflow="clip" horzOverflow="clip" rtlCol="0" anchor="t"/>
      <a:lstStyle>
        <a:defPPr algn="ctr">
          <a:defRPr sz="1100" b="1">
            <a:solidFill>
              <a:schemeClr val="tx2">
                <a:lumMod val="50000"/>
              </a:schemeClr>
            </a:solidFill>
          </a:defRPr>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0"/>
  <dimension ref="A1:H69"/>
  <sheetViews>
    <sheetView zoomScaleNormal="100" workbookViewId="0">
      <selection sqref="A1:H1"/>
    </sheetView>
  </sheetViews>
  <sheetFormatPr defaultColWidth="9.109375" defaultRowHeight="14.4" x14ac:dyDescent="0.3"/>
  <cols>
    <col min="1" max="1" width="42.88671875" style="86" customWidth="1"/>
    <col min="2" max="2" width="23.88671875" style="86" customWidth="1"/>
    <col min="3" max="3" width="30.109375" style="86" customWidth="1"/>
    <col min="4" max="4" width="27.6640625" style="86" customWidth="1"/>
    <col min="5" max="5" width="22.6640625" style="86" customWidth="1"/>
    <col min="6" max="6" width="11.5546875" style="86" customWidth="1"/>
    <col min="7" max="7" width="26" style="86" customWidth="1"/>
    <col min="8" max="8" width="4" style="86" customWidth="1"/>
  </cols>
  <sheetData>
    <row r="1" spans="1:8" ht="52.5" customHeight="1" x14ac:dyDescent="0.3">
      <c r="A1" s="274" t="s">
        <v>753</v>
      </c>
      <c r="B1" s="274"/>
      <c r="C1" s="274"/>
      <c r="D1" s="274"/>
      <c r="E1" s="274"/>
      <c r="F1" s="274"/>
      <c r="G1" s="274"/>
      <c r="H1" s="274"/>
    </row>
    <row r="3" spans="1:8" x14ac:dyDescent="0.3">
      <c r="A3" s="275" t="s">
        <v>278</v>
      </c>
      <c r="B3" s="275"/>
      <c r="C3" s="275"/>
      <c r="D3" s="275"/>
      <c r="E3" s="275"/>
      <c r="F3" s="275"/>
      <c r="G3" s="275"/>
      <c r="H3" s="275"/>
    </row>
    <row r="4" spans="1:8" x14ac:dyDescent="0.3">
      <c r="A4" s="155" t="s">
        <v>671</v>
      </c>
      <c r="B4" s="87"/>
      <c r="C4" s="87"/>
      <c r="D4" s="87"/>
      <c r="E4" s="87"/>
      <c r="F4" s="87"/>
      <c r="G4" s="87"/>
      <c r="H4" s="87"/>
    </row>
    <row r="5" spans="1:8" x14ac:dyDescent="0.3">
      <c r="A5" s="155"/>
      <c r="B5" s="87"/>
      <c r="C5" s="87"/>
      <c r="D5" s="87"/>
      <c r="E5" s="87"/>
      <c r="F5" s="87"/>
      <c r="G5" s="87"/>
      <c r="H5" s="87"/>
    </row>
    <row r="6" spans="1:8" ht="14.25" customHeight="1" x14ac:dyDescent="0.3">
      <c r="A6" s="276" t="s">
        <v>526</v>
      </c>
      <c r="B6" s="276"/>
      <c r="C6" s="276"/>
      <c r="D6" s="276"/>
      <c r="E6" s="276"/>
      <c r="F6" s="276"/>
      <c r="G6" s="276"/>
      <c r="H6" s="276"/>
    </row>
    <row r="7" spans="1:8" x14ac:dyDescent="0.3">
      <c r="A7" s="87"/>
      <c r="B7" s="87"/>
      <c r="C7" s="87"/>
      <c r="D7" s="87"/>
      <c r="E7" s="87"/>
      <c r="F7" s="87"/>
      <c r="G7" s="87"/>
      <c r="H7" s="87"/>
    </row>
    <row r="8" spans="1:8" ht="230.1" customHeight="1" x14ac:dyDescent="0.3">
      <c r="A8" s="277" t="s">
        <v>525</v>
      </c>
      <c r="B8" s="277"/>
      <c r="C8" s="277"/>
      <c r="D8" s="277"/>
      <c r="E8" s="277"/>
      <c r="F8" s="277"/>
      <c r="G8" s="277"/>
      <c r="H8" s="277"/>
    </row>
    <row r="9" spans="1:8" x14ac:dyDescent="0.3">
      <c r="A9" s="87"/>
      <c r="B9" s="87"/>
      <c r="C9" s="87"/>
      <c r="D9" s="87"/>
      <c r="E9" s="87"/>
      <c r="F9" s="87"/>
      <c r="G9" s="87"/>
      <c r="H9" s="87"/>
    </row>
    <row r="10" spans="1:8" ht="129.9" customHeight="1" x14ac:dyDescent="0.3">
      <c r="A10" s="270" t="s">
        <v>524</v>
      </c>
      <c r="B10" s="270"/>
      <c r="C10" s="270"/>
      <c r="D10" s="270"/>
      <c r="E10" s="270"/>
      <c r="F10" s="270"/>
      <c r="G10" s="270"/>
      <c r="H10" s="270"/>
    </row>
    <row r="11" spans="1:8" x14ac:dyDescent="0.3">
      <c r="A11" s="270"/>
      <c r="B11" s="270"/>
      <c r="C11" s="270"/>
      <c r="D11" s="270"/>
      <c r="E11" s="270"/>
      <c r="F11" s="270"/>
      <c r="G11" s="270"/>
      <c r="H11" s="270"/>
    </row>
    <row r="12" spans="1:8" ht="80.099999999999994" customHeight="1" x14ac:dyDescent="0.3">
      <c r="A12" s="271" t="s">
        <v>680</v>
      </c>
      <c r="B12" s="272"/>
      <c r="C12" s="272"/>
      <c r="D12" s="272"/>
      <c r="E12" s="272"/>
      <c r="F12" s="272"/>
      <c r="G12" s="272"/>
      <c r="H12" s="272"/>
    </row>
    <row r="14" spans="1:8" x14ac:dyDescent="0.3">
      <c r="A14" s="273" t="s">
        <v>523</v>
      </c>
      <c r="B14" s="273"/>
      <c r="C14" s="273"/>
      <c r="D14" s="273"/>
      <c r="E14" s="273"/>
      <c r="F14" s="273"/>
      <c r="G14" s="273"/>
      <c r="H14" s="273"/>
    </row>
    <row r="15" spans="1:8" ht="150" customHeight="1" x14ac:dyDescent="0.3">
      <c r="A15" s="271" t="s">
        <v>681</v>
      </c>
      <c r="B15" s="271"/>
      <c r="C15" s="271"/>
      <c r="D15" s="271"/>
      <c r="E15" s="271"/>
      <c r="F15" s="271"/>
      <c r="G15" s="271"/>
      <c r="H15" s="271"/>
    </row>
    <row r="17" spans="1:8" x14ac:dyDescent="0.3">
      <c r="A17" s="273" t="s">
        <v>679</v>
      </c>
      <c r="B17" s="273"/>
      <c r="C17" s="273"/>
      <c r="D17" s="273"/>
      <c r="E17" s="273"/>
      <c r="F17" s="273"/>
      <c r="G17" s="273"/>
      <c r="H17" s="273"/>
    </row>
    <row r="18" spans="1:8" ht="159.9" customHeight="1" x14ac:dyDescent="0.3">
      <c r="A18" s="270" t="s">
        <v>522</v>
      </c>
      <c r="B18" s="270"/>
      <c r="C18" s="270"/>
      <c r="D18" s="270"/>
      <c r="E18" s="270"/>
      <c r="F18" s="270"/>
      <c r="G18" s="270"/>
      <c r="H18" s="270"/>
    </row>
    <row r="20" spans="1:8" x14ac:dyDescent="0.3">
      <c r="A20" s="278" t="s">
        <v>521</v>
      </c>
      <c r="B20" s="278"/>
      <c r="C20" s="278"/>
      <c r="D20" s="278"/>
      <c r="E20" s="278"/>
      <c r="F20" s="278"/>
      <c r="G20" s="278"/>
      <c r="H20" s="278"/>
    </row>
    <row r="21" spans="1:8" x14ac:dyDescent="0.3">
      <c r="A21" s="177" t="s">
        <v>520</v>
      </c>
      <c r="B21" s="178" t="s">
        <v>519</v>
      </c>
      <c r="C21" s="177" t="s">
        <v>518</v>
      </c>
      <c r="D21" s="279" t="s">
        <v>517</v>
      </c>
      <c r="E21" s="279"/>
      <c r="F21" s="279"/>
      <c r="G21" s="279"/>
      <c r="H21" s="279"/>
    </row>
    <row r="22" spans="1:8" ht="79.2" x14ac:dyDescent="0.3">
      <c r="A22" s="280" t="s">
        <v>516</v>
      </c>
      <c r="B22" s="283" t="s">
        <v>515</v>
      </c>
      <c r="C22" s="174" t="s">
        <v>514</v>
      </c>
      <c r="D22" s="286" t="s">
        <v>670</v>
      </c>
      <c r="E22" s="286"/>
      <c r="F22" s="286"/>
      <c r="G22" s="286"/>
      <c r="H22" s="286"/>
    </row>
    <row r="23" spans="1:8" ht="26.4" x14ac:dyDescent="0.3">
      <c r="A23" s="281"/>
      <c r="B23" s="284"/>
      <c r="C23" s="176" t="s">
        <v>513</v>
      </c>
      <c r="D23" s="286" t="s">
        <v>669</v>
      </c>
      <c r="E23" s="286"/>
      <c r="F23" s="286"/>
      <c r="G23" s="286"/>
      <c r="H23" s="286"/>
    </row>
    <row r="24" spans="1:8" ht="26.4" x14ac:dyDescent="0.3">
      <c r="A24" s="281"/>
      <c r="B24" s="284"/>
      <c r="C24" s="171" t="s">
        <v>512</v>
      </c>
      <c r="D24" s="286" t="s">
        <v>655</v>
      </c>
      <c r="E24" s="286"/>
      <c r="F24" s="286"/>
      <c r="G24" s="286"/>
      <c r="H24" s="286"/>
    </row>
    <row r="25" spans="1:8" ht="26.4" x14ac:dyDescent="0.3">
      <c r="A25" s="281"/>
      <c r="B25" s="284"/>
      <c r="C25" s="171" t="s">
        <v>511</v>
      </c>
      <c r="D25" s="286" t="s">
        <v>654</v>
      </c>
      <c r="E25" s="286"/>
      <c r="F25" s="286"/>
      <c r="G25" s="286"/>
      <c r="H25" s="286"/>
    </row>
    <row r="26" spans="1:8" ht="39.6" x14ac:dyDescent="0.3">
      <c r="A26" s="281"/>
      <c r="B26" s="284"/>
      <c r="C26" s="171" t="s">
        <v>510</v>
      </c>
      <c r="D26" s="286" t="s">
        <v>653</v>
      </c>
      <c r="E26" s="286"/>
      <c r="F26" s="286"/>
      <c r="G26" s="286"/>
      <c r="H26" s="286"/>
    </row>
    <row r="27" spans="1:8" ht="52.8" x14ac:dyDescent="0.3">
      <c r="A27" s="281"/>
      <c r="B27" s="284"/>
      <c r="C27" s="171" t="s">
        <v>509</v>
      </c>
      <c r="D27" s="286" t="s">
        <v>652</v>
      </c>
      <c r="E27" s="286"/>
      <c r="F27" s="286"/>
      <c r="G27" s="286"/>
      <c r="H27" s="286"/>
    </row>
    <row r="28" spans="1:8" ht="26.4" x14ac:dyDescent="0.3">
      <c r="A28" s="281"/>
      <c r="B28" s="284"/>
      <c r="C28" s="171" t="s">
        <v>508</v>
      </c>
      <c r="D28" s="286" t="s">
        <v>507</v>
      </c>
      <c r="E28" s="286"/>
      <c r="F28" s="286"/>
      <c r="G28" s="286"/>
      <c r="H28" s="286"/>
    </row>
    <row r="29" spans="1:8" ht="26.4" x14ac:dyDescent="0.3">
      <c r="A29" s="281"/>
      <c r="B29" s="284"/>
      <c r="C29" s="171" t="s">
        <v>506</v>
      </c>
      <c r="D29" s="286" t="s">
        <v>668</v>
      </c>
      <c r="E29" s="286"/>
      <c r="F29" s="286"/>
      <c r="G29" s="286"/>
      <c r="H29" s="286"/>
    </row>
    <row r="30" spans="1:8" ht="26.4" x14ac:dyDescent="0.3">
      <c r="A30" s="281"/>
      <c r="B30" s="284"/>
      <c r="C30" s="171" t="s">
        <v>505</v>
      </c>
      <c r="D30" s="286" t="s">
        <v>667</v>
      </c>
      <c r="E30" s="286"/>
      <c r="F30" s="286"/>
      <c r="G30" s="286"/>
      <c r="H30" s="286"/>
    </row>
    <row r="31" spans="1:8" ht="52.8" x14ac:dyDescent="0.3">
      <c r="A31" s="281"/>
      <c r="B31" s="284"/>
      <c r="C31" s="171" t="s">
        <v>504</v>
      </c>
      <c r="D31" s="286" t="s">
        <v>666</v>
      </c>
      <c r="E31" s="286"/>
      <c r="F31" s="286"/>
      <c r="G31" s="286"/>
      <c r="H31" s="286"/>
    </row>
    <row r="32" spans="1:8" ht="39.6" x14ac:dyDescent="0.3">
      <c r="A32" s="281"/>
      <c r="B32" s="284"/>
      <c r="C32" s="171" t="s">
        <v>503</v>
      </c>
      <c r="D32" s="286" t="s">
        <v>665</v>
      </c>
      <c r="E32" s="286"/>
      <c r="F32" s="286"/>
      <c r="G32" s="286"/>
      <c r="H32" s="286"/>
    </row>
    <row r="33" spans="1:8" ht="26.4" x14ac:dyDescent="0.3">
      <c r="A33" s="281"/>
      <c r="B33" s="284"/>
      <c r="C33" s="171" t="s">
        <v>502</v>
      </c>
      <c r="D33" s="286" t="s">
        <v>664</v>
      </c>
      <c r="E33" s="286"/>
      <c r="F33" s="286"/>
      <c r="G33" s="286"/>
      <c r="H33" s="286"/>
    </row>
    <row r="34" spans="1:8" ht="26.4" x14ac:dyDescent="0.3">
      <c r="A34" s="281"/>
      <c r="B34" s="284"/>
      <c r="C34" s="171" t="s">
        <v>501</v>
      </c>
      <c r="D34" s="286" t="s">
        <v>500</v>
      </c>
      <c r="E34" s="286"/>
      <c r="F34" s="286"/>
      <c r="G34" s="286"/>
      <c r="H34" s="286"/>
    </row>
    <row r="35" spans="1:8" ht="26.4" x14ac:dyDescent="0.3">
      <c r="A35" s="281"/>
      <c r="B35" s="284"/>
      <c r="C35" s="171" t="s">
        <v>499</v>
      </c>
      <c r="D35" s="286" t="s">
        <v>498</v>
      </c>
      <c r="E35" s="286"/>
      <c r="F35" s="286"/>
      <c r="G35" s="286"/>
      <c r="H35" s="286"/>
    </row>
    <row r="36" spans="1:8" ht="26.4" x14ac:dyDescent="0.3">
      <c r="A36" s="281"/>
      <c r="B36" s="284"/>
      <c r="C36" s="171" t="s">
        <v>497</v>
      </c>
      <c r="D36" s="286" t="s">
        <v>496</v>
      </c>
      <c r="E36" s="286"/>
      <c r="F36" s="286"/>
      <c r="G36" s="286"/>
      <c r="H36" s="286"/>
    </row>
    <row r="37" spans="1:8" ht="26.4" x14ac:dyDescent="0.3">
      <c r="A37" s="281"/>
      <c r="B37" s="284"/>
      <c r="C37" s="171" t="s">
        <v>495</v>
      </c>
      <c r="D37" s="286" t="s">
        <v>494</v>
      </c>
      <c r="E37" s="286"/>
      <c r="F37" s="286"/>
      <c r="G37" s="286"/>
      <c r="H37" s="286"/>
    </row>
    <row r="38" spans="1:8" ht="26.4" x14ac:dyDescent="0.3">
      <c r="A38" s="281"/>
      <c r="B38" s="284"/>
      <c r="C38" s="171" t="s">
        <v>493</v>
      </c>
      <c r="D38" s="286" t="s">
        <v>492</v>
      </c>
      <c r="E38" s="286"/>
      <c r="F38" s="286"/>
      <c r="G38" s="286"/>
      <c r="H38" s="286"/>
    </row>
    <row r="39" spans="1:8" x14ac:dyDescent="0.3">
      <c r="A39" s="282"/>
      <c r="B39" s="285"/>
      <c r="C39" s="171" t="s">
        <v>491</v>
      </c>
      <c r="D39" s="286" t="s">
        <v>490</v>
      </c>
      <c r="E39" s="286"/>
      <c r="F39" s="286"/>
      <c r="G39" s="286"/>
      <c r="H39" s="286"/>
    </row>
    <row r="40" spans="1:8" ht="39.6" x14ac:dyDescent="0.3">
      <c r="A40" s="173" t="s">
        <v>489</v>
      </c>
      <c r="B40" s="172" t="s">
        <v>488</v>
      </c>
      <c r="C40" s="175" t="s">
        <v>467</v>
      </c>
      <c r="D40" s="286" t="s">
        <v>487</v>
      </c>
      <c r="E40" s="286"/>
      <c r="F40" s="286"/>
      <c r="G40" s="286"/>
      <c r="H40" s="286"/>
    </row>
    <row r="41" spans="1:8" x14ac:dyDescent="0.3">
      <c r="A41" s="280" t="s">
        <v>486</v>
      </c>
      <c r="B41" s="287" t="s">
        <v>485</v>
      </c>
      <c r="C41" s="288" t="s">
        <v>484</v>
      </c>
      <c r="D41" s="288"/>
      <c r="E41" s="288"/>
      <c r="F41" s="288"/>
      <c r="G41" s="288"/>
      <c r="H41" s="288"/>
    </row>
    <row r="42" spans="1:8" ht="26.4" x14ac:dyDescent="0.3">
      <c r="A42" s="281"/>
      <c r="B42" s="287"/>
      <c r="C42" s="174" t="s">
        <v>483</v>
      </c>
      <c r="D42" s="288" t="s">
        <v>482</v>
      </c>
      <c r="E42" s="288"/>
      <c r="F42" s="288"/>
      <c r="G42" s="288"/>
      <c r="H42" s="288"/>
    </row>
    <row r="43" spans="1:8" ht="39.6" x14ac:dyDescent="0.3">
      <c r="A43" s="281"/>
      <c r="B43" s="287"/>
      <c r="C43" s="174" t="s">
        <v>481</v>
      </c>
      <c r="D43" s="286" t="s">
        <v>480</v>
      </c>
      <c r="E43" s="288"/>
      <c r="F43" s="288"/>
      <c r="G43" s="288"/>
      <c r="H43" s="288"/>
    </row>
    <row r="44" spans="1:8" ht="26.4" x14ac:dyDescent="0.3">
      <c r="A44" s="281"/>
      <c r="B44" s="287"/>
      <c r="C44" s="174" t="s">
        <v>479</v>
      </c>
      <c r="D44" s="286" t="s">
        <v>478</v>
      </c>
      <c r="E44" s="288"/>
      <c r="F44" s="288"/>
      <c r="G44" s="288"/>
      <c r="H44" s="288"/>
    </row>
    <row r="45" spans="1:8" ht="39.6" x14ac:dyDescent="0.3">
      <c r="A45" s="281"/>
      <c r="B45" s="287"/>
      <c r="C45" s="174" t="s">
        <v>477</v>
      </c>
      <c r="D45" s="286" t="s">
        <v>476</v>
      </c>
      <c r="E45" s="288"/>
      <c r="F45" s="288"/>
      <c r="G45" s="288"/>
      <c r="H45" s="288"/>
    </row>
    <row r="46" spans="1:8" ht="26.4" x14ac:dyDescent="0.3">
      <c r="A46" s="281"/>
      <c r="B46" s="287"/>
      <c r="C46" s="174" t="s">
        <v>475</v>
      </c>
      <c r="D46" s="286" t="s">
        <v>474</v>
      </c>
      <c r="E46" s="286"/>
      <c r="F46" s="286"/>
      <c r="G46" s="286"/>
      <c r="H46" s="286"/>
    </row>
    <row r="47" spans="1:8" ht="39.6" x14ac:dyDescent="0.3">
      <c r="A47" s="281"/>
      <c r="B47" s="287"/>
      <c r="C47" s="174" t="s">
        <v>473</v>
      </c>
      <c r="D47" s="286" t="s">
        <v>472</v>
      </c>
      <c r="E47" s="286"/>
      <c r="F47" s="286"/>
      <c r="G47" s="286"/>
      <c r="H47" s="286"/>
    </row>
    <row r="48" spans="1:8" ht="26.4" x14ac:dyDescent="0.3">
      <c r="A48" s="282"/>
      <c r="B48" s="287"/>
      <c r="C48" s="174" t="s">
        <v>471</v>
      </c>
      <c r="D48" s="286" t="s">
        <v>470</v>
      </c>
      <c r="E48" s="286"/>
      <c r="F48" s="286"/>
      <c r="G48" s="286"/>
      <c r="H48" s="286"/>
    </row>
    <row r="49" spans="1:8" ht="39.6" x14ac:dyDescent="0.3">
      <c r="A49" s="173" t="s">
        <v>469</v>
      </c>
      <c r="B49" s="172" t="s">
        <v>468</v>
      </c>
      <c r="C49" s="171" t="s">
        <v>467</v>
      </c>
      <c r="D49" s="289" t="s">
        <v>466</v>
      </c>
      <c r="E49" s="290"/>
      <c r="F49" s="290"/>
      <c r="G49" s="290"/>
      <c r="H49" s="291"/>
    </row>
    <row r="50" spans="1:8" ht="26.4" x14ac:dyDescent="0.3">
      <c r="A50" s="280" t="s">
        <v>465</v>
      </c>
      <c r="B50" s="287" t="s">
        <v>464</v>
      </c>
      <c r="C50" s="171" t="s">
        <v>463</v>
      </c>
      <c r="D50" s="286" t="s">
        <v>462</v>
      </c>
      <c r="E50" s="286"/>
      <c r="F50" s="286"/>
      <c r="G50" s="286"/>
      <c r="H50" s="286"/>
    </row>
    <row r="51" spans="1:8" ht="26.4" x14ac:dyDescent="0.3">
      <c r="A51" s="281"/>
      <c r="B51" s="287"/>
      <c r="C51" s="171" t="s">
        <v>461</v>
      </c>
      <c r="D51" s="288" t="s">
        <v>460</v>
      </c>
      <c r="E51" s="288"/>
      <c r="F51" s="288"/>
      <c r="G51" s="288"/>
      <c r="H51" s="288"/>
    </row>
    <row r="52" spans="1:8" ht="26.4" x14ac:dyDescent="0.3">
      <c r="A52" s="281"/>
      <c r="B52" s="287"/>
      <c r="C52" s="171" t="s">
        <v>459</v>
      </c>
      <c r="D52" s="288" t="s">
        <v>458</v>
      </c>
      <c r="E52" s="288"/>
      <c r="F52" s="288"/>
      <c r="G52" s="288"/>
      <c r="H52" s="288"/>
    </row>
    <row r="53" spans="1:8" ht="26.4" x14ac:dyDescent="0.3">
      <c r="A53" s="282"/>
      <c r="B53" s="287"/>
      <c r="C53" s="171" t="s">
        <v>457</v>
      </c>
      <c r="D53" s="289" t="s">
        <v>456</v>
      </c>
      <c r="E53" s="290"/>
      <c r="F53" s="290"/>
      <c r="G53" s="290"/>
      <c r="H53" s="291"/>
    </row>
    <row r="54" spans="1:8" ht="26.4" x14ac:dyDescent="0.3">
      <c r="A54" s="173" t="s">
        <v>455</v>
      </c>
      <c r="B54" s="172" t="s">
        <v>454</v>
      </c>
      <c r="C54" s="171" t="s">
        <v>429</v>
      </c>
      <c r="D54" s="286" t="s">
        <v>453</v>
      </c>
      <c r="E54" s="286"/>
      <c r="F54" s="286"/>
      <c r="G54" s="286"/>
      <c r="H54" s="286"/>
    </row>
    <row r="55" spans="1:8" ht="52.8" x14ac:dyDescent="0.3">
      <c r="A55" s="173" t="s">
        <v>452</v>
      </c>
      <c r="B55" s="172" t="s">
        <v>451</v>
      </c>
      <c r="C55" s="172" t="s">
        <v>451</v>
      </c>
      <c r="D55" s="289" t="s">
        <v>450</v>
      </c>
      <c r="E55" s="290"/>
      <c r="F55" s="290"/>
      <c r="G55" s="290"/>
      <c r="H55" s="291"/>
    </row>
    <row r="56" spans="1:8" ht="66" x14ac:dyDescent="0.3">
      <c r="A56" s="280" t="s">
        <v>449</v>
      </c>
      <c r="B56" s="283" t="s">
        <v>448</v>
      </c>
      <c r="C56" s="174" t="s">
        <v>447</v>
      </c>
      <c r="D56" s="286" t="s">
        <v>639</v>
      </c>
      <c r="E56" s="286"/>
      <c r="F56" s="286"/>
      <c r="G56" s="286"/>
      <c r="H56" s="286"/>
    </row>
    <row r="57" spans="1:8" ht="67.5" customHeight="1" x14ac:dyDescent="0.3">
      <c r="A57" s="281"/>
      <c r="B57" s="284"/>
      <c r="C57" s="174" t="s">
        <v>446</v>
      </c>
      <c r="D57" s="286" t="s">
        <v>685</v>
      </c>
      <c r="E57" s="286"/>
      <c r="F57" s="286"/>
      <c r="G57" s="286"/>
      <c r="H57" s="286"/>
    </row>
    <row r="58" spans="1:8" ht="39.6" x14ac:dyDescent="0.3">
      <c r="A58" s="281"/>
      <c r="B58" s="284"/>
      <c r="C58" s="174" t="s">
        <v>445</v>
      </c>
      <c r="D58" s="286" t="s">
        <v>663</v>
      </c>
      <c r="E58" s="286"/>
      <c r="F58" s="286"/>
      <c r="G58" s="286"/>
      <c r="H58" s="286"/>
    </row>
    <row r="59" spans="1:8" ht="39.6" x14ac:dyDescent="0.3">
      <c r="A59" s="281"/>
      <c r="B59" s="284"/>
      <c r="C59" s="174" t="s">
        <v>444</v>
      </c>
      <c r="D59" s="286" t="s">
        <v>443</v>
      </c>
      <c r="E59" s="286"/>
      <c r="F59" s="286"/>
      <c r="G59" s="286"/>
      <c r="H59" s="286"/>
    </row>
    <row r="60" spans="1:8" ht="26.4" x14ac:dyDescent="0.3">
      <c r="A60" s="281"/>
      <c r="B60" s="284"/>
      <c r="C60" s="174" t="s">
        <v>442</v>
      </c>
      <c r="D60" s="292" t="s">
        <v>441</v>
      </c>
      <c r="E60" s="293"/>
      <c r="F60" s="293"/>
      <c r="G60" s="293"/>
      <c r="H60" s="294"/>
    </row>
    <row r="61" spans="1:8" x14ac:dyDescent="0.3">
      <c r="A61" s="282"/>
      <c r="B61" s="285"/>
      <c r="C61" s="174" t="s">
        <v>440</v>
      </c>
      <c r="D61" s="292" t="s">
        <v>533</v>
      </c>
      <c r="E61" s="293"/>
      <c r="F61" s="293"/>
      <c r="G61" s="293"/>
      <c r="H61" s="294"/>
    </row>
    <row r="62" spans="1:8" ht="26.4" x14ac:dyDescent="0.3">
      <c r="A62" s="173" t="s">
        <v>439</v>
      </c>
      <c r="B62" s="174" t="s">
        <v>438</v>
      </c>
      <c r="C62" s="171" t="s">
        <v>429</v>
      </c>
      <c r="D62" s="289" t="s">
        <v>437</v>
      </c>
      <c r="E62" s="290"/>
      <c r="F62" s="290"/>
      <c r="G62" s="290"/>
      <c r="H62" s="291"/>
    </row>
    <row r="63" spans="1:8" ht="103.5" customHeight="1" x14ac:dyDescent="0.3">
      <c r="A63" s="280" t="s">
        <v>436</v>
      </c>
      <c r="B63" s="283" t="s">
        <v>435</v>
      </c>
      <c r="C63" s="171" t="s">
        <v>707</v>
      </c>
      <c r="D63" s="286" t="s">
        <v>709</v>
      </c>
      <c r="E63" s="286"/>
      <c r="F63" s="286"/>
      <c r="G63" s="286"/>
      <c r="H63" s="286"/>
    </row>
    <row r="64" spans="1:8" ht="26.4" x14ac:dyDescent="0.3">
      <c r="A64" s="281"/>
      <c r="B64" s="284"/>
      <c r="C64" s="171" t="s">
        <v>434</v>
      </c>
      <c r="D64" s="286" t="s">
        <v>708</v>
      </c>
      <c r="E64" s="286"/>
      <c r="F64" s="286"/>
      <c r="G64" s="286"/>
      <c r="H64" s="286"/>
    </row>
    <row r="65" spans="1:8" ht="26.4" x14ac:dyDescent="0.3">
      <c r="A65" s="281"/>
      <c r="B65" s="284"/>
      <c r="C65" s="171" t="s">
        <v>433</v>
      </c>
      <c r="D65" s="286" t="s">
        <v>432</v>
      </c>
      <c r="E65" s="286"/>
      <c r="F65" s="286"/>
      <c r="G65" s="286"/>
      <c r="H65" s="286"/>
    </row>
    <row r="66" spans="1:8" x14ac:dyDescent="0.3">
      <c r="A66" s="282"/>
      <c r="B66" s="285"/>
      <c r="C66" s="171" t="s">
        <v>532</v>
      </c>
      <c r="D66" s="292" t="s">
        <v>531</v>
      </c>
      <c r="E66" s="293"/>
      <c r="F66" s="293"/>
      <c r="G66" s="293"/>
      <c r="H66" s="294"/>
    </row>
    <row r="67" spans="1:8" ht="26.4" x14ac:dyDescent="0.3">
      <c r="A67" s="173" t="s">
        <v>431</v>
      </c>
      <c r="B67" s="172" t="s">
        <v>430</v>
      </c>
      <c r="C67" s="171" t="s">
        <v>429</v>
      </c>
      <c r="D67" s="286" t="s">
        <v>428</v>
      </c>
      <c r="E67" s="286"/>
      <c r="F67" s="286"/>
      <c r="G67" s="286"/>
      <c r="H67" s="286"/>
    </row>
    <row r="68" spans="1:8" ht="66" x14ac:dyDescent="0.3">
      <c r="A68" s="173" t="s">
        <v>427</v>
      </c>
      <c r="B68" s="172" t="s">
        <v>426</v>
      </c>
      <c r="C68" s="171" t="s">
        <v>425</v>
      </c>
      <c r="D68" s="286" t="s">
        <v>424</v>
      </c>
      <c r="E68" s="286"/>
      <c r="F68" s="286"/>
      <c r="G68" s="286"/>
      <c r="H68" s="286"/>
    </row>
    <row r="69" spans="1:8" ht="75.599999999999994" customHeight="1" x14ac:dyDescent="0.3">
      <c r="A69" s="179" t="s">
        <v>530</v>
      </c>
      <c r="B69" s="286" t="s">
        <v>529</v>
      </c>
      <c r="C69" s="286"/>
      <c r="D69" s="286" t="s">
        <v>528</v>
      </c>
      <c r="E69" s="286"/>
      <c r="F69" s="286"/>
      <c r="G69" s="286"/>
      <c r="H69" s="286"/>
    </row>
  </sheetData>
  <sheetProtection algorithmName="SHA-512" hashValue="EihuZ7QgTJ6Yk0cp8a1uoQn/dm5FzTJpvLI8cCjSSEd2rpwXj0kDDQXCoTOzTXjaPZMKYL+i/nAclZlF/ViXcA==" saltValue="lUuPk0ro5QzYHrb4CY+J4g==" spinCount="100000" sheet="1" objects="1" scenarios="1"/>
  <mergeCells count="72">
    <mergeCell ref="D67:H67"/>
    <mergeCell ref="D68:H68"/>
    <mergeCell ref="B69:C69"/>
    <mergeCell ref="D69:H69"/>
    <mergeCell ref="D62:H62"/>
    <mergeCell ref="D61:H61"/>
    <mergeCell ref="A63:A66"/>
    <mergeCell ref="B63:B66"/>
    <mergeCell ref="D63:H63"/>
    <mergeCell ref="D64:H64"/>
    <mergeCell ref="D65:H65"/>
    <mergeCell ref="D66:H66"/>
    <mergeCell ref="D49:H49"/>
    <mergeCell ref="D53:H53"/>
    <mergeCell ref="D54:H54"/>
    <mergeCell ref="D55:H55"/>
    <mergeCell ref="A56:A61"/>
    <mergeCell ref="B56:B61"/>
    <mergeCell ref="D56:H56"/>
    <mergeCell ref="D57:H57"/>
    <mergeCell ref="D58:H58"/>
    <mergeCell ref="D59:H59"/>
    <mergeCell ref="D60:H60"/>
    <mergeCell ref="A50:A53"/>
    <mergeCell ref="B50:B53"/>
    <mergeCell ref="D50:H50"/>
    <mergeCell ref="D51:H51"/>
    <mergeCell ref="D52:H52"/>
    <mergeCell ref="D36:H36"/>
    <mergeCell ref="D37:H37"/>
    <mergeCell ref="D38:H38"/>
    <mergeCell ref="D40:H40"/>
    <mergeCell ref="A41:A48"/>
    <mergeCell ref="B41:B48"/>
    <mergeCell ref="C41:H41"/>
    <mergeCell ref="D42:H42"/>
    <mergeCell ref="D43:H43"/>
    <mergeCell ref="D44:H44"/>
    <mergeCell ref="D45:H45"/>
    <mergeCell ref="D46:H46"/>
    <mergeCell ref="D47:H47"/>
    <mergeCell ref="D48:H48"/>
    <mergeCell ref="D31:H31"/>
    <mergeCell ref="D32:H32"/>
    <mergeCell ref="D33:H33"/>
    <mergeCell ref="D34:H34"/>
    <mergeCell ref="D35:H35"/>
    <mergeCell ref="A17:H17"/>
    <mergeCell ref="A20:H20"/>
    <mergeCell ref="D21:H21"/>
    <mergeCell ref="A22:A39"/>
    <mergeCell ref="B22:B39"/>
    <mergeCell ref="D22:H22"/>
    <mergeCell ref="D23:H23"/>
    <mergeCell ref="D24:H24"/>
    <mergeCell ref="D25:H25"/>
    <mergeCell ref="D26:H26"/>
    <mergeCell ref="A18:H18"/>
    <mergeCell ref="D27:H27"/>
    <mergeCell ref="D39:H39"/>
    <mergeCell ref="D28:H28"/>
    <mergeCell ref="D29:H29"/>
    <mergeCell ref="D30:H30"/>
    <mergeCell ref="A11:H11"/>
    <mergeCell ref="A12:H12"/>
    <mergeCell ref="A14:H14"/>
    <mergeCell ref="A15:H15"/>
    <mergeCell ref="A1:H1"/>
    <mergeCell ref="A3:H3"/>
    <mergeCell ref="A6:H6"/>
    <mergeCell ref="A8:H8"/>
    <mergeCell ref="A10:H10"/>
  </mergeCells>
  <pageMargins left="0.7" right="0.7" top="0.75" bottom="0.75" header="0.3" footer="0.3"/>
  <pageSetup orientation="portrait" horizontalDpi="90" verticalDpi="9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XEV67"/>
  <sheetViews>
    <sheetView zoomScaleNormal="100" workbookViewId="0">
      <selection sqref="A1:H1"/>
    </sheetView>
  </sheetViews>
  <sheetFormatPr defaultColWidth="9.109375" defaultRowHeight="14.4" x14ac:dyDescent="0.3"/>
  <cols>
    <col min="1" max="1" width="22.33203125" style="149" customWidth="1"/>
    <col min="2" max="2" width="23.88671875" style="86" customWidth="1"/>
    <col min="3" max="3" width="30.109375" style="86" customWidth="1"/>
    <col min="4" max="4" width="27.6640625" style="86" customWidth="1"/>
    <col min="5" max="5" width="22.6640625" style="86" customWidth="1"/>
    <col min="6" max="6" width="11.5546875" style="86" customWidth="1"/>
    <col min="7" max="7" width="19.5546875" style="86" customWidth="1"/>
    <col min="8" max="8" width="30.44140625" style="148" customWidth="1"/>
  </cols>
  <sheetData>
    <row r="1" spans="1:16376" ht="51" customHeight="1" x14ac:dyDescent="0.3">
      <c r="A1" s="309" t="s">
        <v>753</v>
      </c>
      <c r="B1" s="310"/>
      <c r="C1" s="310"/>
      <c r="D1" s="310"/>
      <c r="E1" s="310"/>
      <c r="F1" s="310"/>
      <c r="G1" s="310"/>
      <c r="H1" s="311"/>
    </row>
    <row r="2" spans="1:16376" ht="15" thickBot="1" x14ac:dyDescent="0.35"/>
    <row r="3" spans="1:16376" s="154" customFormat="1" x14ac:dyDescent="0.3">
      <c r="A3" s="304" t="s">
        <v>278</v>
      </c>
      <c r="B3" s="305"/>
      <c r="C3" s="305"/>
      <c r="D3" s="305"/>
      <c r="E3" s="305"/>
      <c r="F3" s="305"/>
      <c r="G3" s="305"/>
      <c r="H3" s="306"/>
      <c r="I3"/>
      <c r="J3"/>
      <c r="K3"/>
      <c r="L3"/>
      <c r="M3"/>
      <c r="N3"/>
      <c r="O3"/>
      <c r="P3"/>
      <c r="Q3"/>
      <c r="R3"/>
      <c r="S3"/>
      <c r="T3"/>
      <c r="U3"/>
      <c r="V3"/>
      <c r="W3"/>
      <c r="X3"/>
      <c r="Y3"/>
      <c r="Z3"/>
      <c r="AA3"/>
      <c r="AB3"/>
      <c r="AC3"/>
      <c r="AD3"/>
      <c r="AE3"/>
      <c r="AF3"/>
      <c r="AG3"/>
      <c r="AH3"/>
      <c r="AI3"/>
      <c r="AJ3"/>
      <c r="AK3"/>
      <c r="AL3"/>
      <c r="AM3"/>
      <c r="AN3"/>
      <c r="AO3"/>
      <c r="AP3"/>
      <c r="AQ3"/>
      <c r="AR3"/>
      <c r="AS3"/>
      <c r="AT3"/>
      <c r="AU3"/>
      <c r="AV3"/>
      <c r="AW3"/>
      <c r="AX3"/>
      <c r="AY3"/>
      <c r="AZ3"/>
      <c r="BA3"/>
      <c r="BB3"/>
      <c r="BC3"/>
      <c r="BD3"/>
      <c r="BE3"/>
      <c r="BF3"/>
      <c r="BG3"/>
      <c r="BH3"/>
      <c r="BI3"/>
      <c r="BJ3"/>
      <c r="BK3"/>
      <c r="BL3"/>
      <c r="BM3"/>
      <c r="BN3"/>
      <c r="BO3"/>
      <c r="BP3"/>
      <c r="BQ3"/>
      <c r="BR3"/>
      <c r="BS3"/>
      <c r="BT3"/>
      <c r="BU3"/>
      <c r="BV3"/>
      <c r="BW3"/>
      <c r="BX3"/>
      <c r="BY3"/>
      <c r="BZ3"/>
      <c r="CA3"/>
      <c r="CB3"/>
      <c r="CC3"/>
      <c r="CD3"/>
      <c r="CE3"/>
      <c r="CF3"/>
      <c r="CG3"/>
      <c r="CH3"/>
      <c r="CI3"/>
      <c r="CJ3"/>
      <c r="CK3"/>
      <c r="CL3"/>
      <c r="CM3"/>
      <c r="CN3"/>
      <c r="CO3"/>
      <c r="CP3"/>
      <c r="CQ3"/>
      <c r="CR3"/>
      <c r="CS3"/>
      <c r="CT3"/>
      <c r="CU3"/>
      <c r="CV3"/>
      <c r="CW3"/>
      <c r="CX3"/>
      <c r="CY3"/>
      <c r="CZ3"/>
      <c r="DA3"/>
      <c r="DB3"/>
      <c r="DC3"/>
      <c r="DD3"/>
      <c r="DE3"/>
      <c r="DF3"/>
      <c r="DG3"/>
      <c r="DH3"/>
      <c r="DI3"/>
      <c r="DJ3"/>
      <c r="DK3"/>
      <c r="DL3"/>
      <c r="DM3"/>
      <c r="DN3"/>
      <c r="DO3"/>
      <c r="DP3"/>
      <c r="DQ3"/>
      <c r="DR3"/>
      <c r="DS3"/>
      <c r="DT3"/>
      <c r="DU3"/>
      <c r="DV3"/>
      <c r="DW3"/>
      <c r="DX3"/>
      <c r="DY3"/>
      <c r="DZ3"/>
      <c r="EA3"/>
      <c r="EB3"/>
      <c r="EC3"/>
      <c r="ED3"/>
      <c r="EE3"/>
      <c r="EF3"/>
      <c r="EG3"/>
      <c r="EH3"/>
      <c r="EI3"/>
      <c r="EJ3"/>
      <c r="EK3"/>
      <c r="EL3"/>
      <c r="EM3"/>
      <c r="EN3"/>
      <c r="EO3"/>
      <c r="EP3"/>
      <c r="EQ3"/>
      <c r="ER3"/>
      <c r="ES3"/>
      <c r="ET3"/>
      <c r="EU3"/>
      <c r="EV3"/>
      <c r="EW3"/>
      <c r="EX3"/>
      <c r="EY3"/>
      <c r="EZ3"/>
      <c r="FA3"/>
      <c r="FB3"/>
      <c r="FC3"/>
      <c r="FD3"/>
      <c r="FE3"/>
      <c r="FF3"/>
      <c r="FG3"/>
      <c r="FH3"/>
      <c r="FI3"/>
      <c r="FJ3"/>
      <c r="FK3"/>
      <c r="FL3"/>
      <c r="FM3"/>
      <c r="FN3"/>
      <c r="FO3"/>
      <c r="FP3"/>
      <c r="FQ3"/>
      <c r="FR3"/>
      <c r="FS3"/>
      <c r="FT3"/>
      <c r="FU3"/>
      <c r="FV3"/>
      <c r="FW3"/>
      <c r="FX3"/>
      <c r="FY3"/>
      <c r="FZ3"/>
      <c r="GA3"/>
      <c r="GB3"/>
      <c r="GC3"/>
      <c r="GD3"/>
      <c r="GE3"/>
      <c r="GF3"/>
      <c r="GG3"/>
      <c r="GH3"/>
      <c r="GI3"/>
      <c r="GJ3"/>
      <c r="GK3"/>
      <c r="GL3"/>
      <c r="GM3"/>
      <c r="GN3"/>
      <c r="GO3"/>
      <c r="GP3"/>
      <c r="GQ3"/>
      <c r="GR3"/>
      <c r="GS3"/>
      <c r="GT3"/>
      <c r="GU3"/>
      <c r="GV3"/>
      <c r="GW3"/>
      <c r="GX3"/>
      <c r="GY3"/>
      <c r="GZ3"/>
      <c r="HA3"/>
      <c r="HB3"/>
      <c r="HC3"/>
      <c r="HD3"/>
      <c r="HE3"/>
      <c r="HF3"/>
      <c r="HG3"/>
      <c r="HH3"/>
      <c r="HI3"/>
      <c r="HJ3"/>
      <c r="HK3"/>
      <c r="HL3"/>
      <c r="HM3"/>
      <c r="HN3"/>
      <c r="HO3"/>
      <c r="HP3"/>
      <c r="HQ3"/>
      <c r="HR3"/>
      <c r="HS3"/>
      <c r="HT3"/>
      <c r="HU3"/>
      <c r="HV3"/>
      <c r="HW3"/>
      <c r="HX3"/>
      <c r="HY3"/>
      <c r="HZ3"/>
      <c r="IA3"/>
      <c r="IB3"/>
      <c r="IC3"/>
      <c r="ID3"/>
      <c r="IE3"/>
      <c r="IF3"/>
      <c r="IG3"/>
      <c r="IH3"/>
      <c r="II3"/>
      <c r="IJ3"/>
      <c r="IK3"/>
      <c r="IL3"/>
      <c r="IM3"/>
      <c r="IN3"/>
      <c r="IO3"/>
      <c r="IP3"/>
      <c r="IQ3"/>
      <c r="IR3"/>
      <c r="IS3"/>
      <c r="IT3"/>
      <c r="IU3"/>
      <c r="IV3"/>
      <c r="IW3"/>
      <c r="IX3"/>
      <c r="IY3"/>
      <c r="IZ3"/>
      <c r="JA3"/>
      <c r="JB3"/>
      <c r="JC3"/>
      <c r="JD3"/>
      <c r="JE3"/>
      <c r="JF3"/>
      <c r="JG3"/>
      <c r="JH3"/>
      <c r="JI3"/>
      <c r="JJ3"/>
      <c r="JK3"/>
      <c r="JL3"/>
      <c r="JM3"/>
      <c r="JN3"/>
      <c r="JO3"/>
      <c r="JP3"/>
      <c r="JQ3"/>
      <c r="JR3"/>
      <c r="JS3"/>
      <c r="JT3"/>
      <c r="JU3"/>
      <c r="JV3"/>
      <c r="JW3"/>
      <c r="JX3"/>
      <c r="JY3"/>
      <c r="JZ3"/>
      <c r="KA3"/>
      <c r="KB3"/>
      <c r="KC3"/>
      <c r="KD3"/>
      <c r="KE3"/>
      <c r="KF3"/>
      <c r="KG3"/>
      <c r="KH3"/>
      <c r="KI3"/>
      <c r="KJ3"/>
      <c r="KK3"/>
      <c r="KL3"/>
      <c r="KM3"/>
      <c r="KN3"/>
      <c r="KO3"/>
      <c r="KP3"/>
      <c r="KQ3"/>
      <c r="KR3"/>
      <c r="KS3"/>
      <c r="KT3"/>
      <c r="KU3"/>
      <c r="KV3"/>
      <c r="KW3"/>
      <c r="KX3"/>
      <c r="KY3"/>
      <c r="KZ3"/>
      <c r="LA3"/>
      <c r="LB3"/>
      <c r="LC3"/>
      <c r="LD3"/>
      <c r="LE3"/>
      <c r="LF3"/>
      <c r="LG3"/>
      <c r="LH3"/>
      <c r="LI3"/>
      <c r="LJ3"/>
      <c r="LK3"/>
      <c r="LL3"/>
      <c r="LM3"/>
      <c r="LN3"/>
      <c r="LO3"/>
      <c r="LP3"/>
      <c r="LQ3"/>
      <c r="LR3"/>
      <c r="LS3"/>
      <c r="LT3"/>
      <c r="LU3"/>
      <c r="LV3"/>
      <c r="LW3"/>
      <c r="LX3"/>
      <c r="LY3"/>
      <c r="LZ3"/>
      <c r="MA3"/>
      <c r="MB3"/>
      <c r="MC3"/>
      <c r="MD3"/>
      <c r="ME3"/>
      <c r="MF3"/>
      <c r="MG3"/>
      <c r="MH3"/>
      <c r="MI3"/>
      <c r="MJ3"/>
      <c r="MK3"/>
      <c r="ML3"/>
      <c r="MM3"/>
      <c r="MN3"/>
      <c r="MO3"/>
      <c r="MP3"/>
      <c r="MQ3"/>
      <c r="MR3"/>
      <c r="MS3"/>
      <c r="MT3"/>
      <c r="MU3"/>
      <c r="MV3"/>
      <c r="MW3"/>
      <c r="MX3"/>
      <c r="MY3"/>
      <c r="MZ3"/>
      <c r="NA3"/>
      <c r="NB3"/>
      <c r="NC3"/>
      <c r="ND3"/>
      <c r="NE3"/>
      <c r="NF3"/>
      <c r="NG3"/>
      <c r="NH3"/>
      <c r="NI3"/>
      <c r="NJ3"/>
      <c r="NK3"/>
      <c r="NL3"/>
      <c r="NM3"/>
      <c r="NN3"/>
      <c r="NO3"/>
      <c r="NP3"/>
      <c r="NQ3"/>
      <c r="NR3"/>
      <c r="NS3"/>
      <c r="NT3"/>
      <c r="NU3"/>
      <c r="NV3"/>
      <c r="NW3"/>
      <c r="NX3"/>
      <c r="NY3"/>
      <c r="NZ3"/>
      <c r="OA3"/>
      <c r="OB3"/>
      <c r="OC3"/>
      <c r="OD3"/>
      <c r="OE3"/>
      <c r="OF3"/>
      <c r="OG3"/>
      <c r="OH3"/>
      <c r="OI3"/>
      <c r="OJ3"/>
      <c r="OK3"/>
      <c r="OL3"/>
      <c r="OM3"/>
      <c r="ON3"/>
      <c r="OO3"/>
      <c r="OP3"/>
      <c r="OQ3"/>
      <c r="OR3"/>
      <c r="OS3"/>
      <c r="OT3"/>
      <c r="OU3"/>
      <c r="OV3"/>
      <c r="OW3"/>
      <c r="OX3"/>
      <c r="OY3"/>
      <c r="OZ3"/>
      <c r="PA3"/>
      <c r="PB3"/>
      <c r="PC3"/>
      <c r="PD3"/>
      <c r="PE3"/>
      <c r="PF3"/>
      <c r="PG3"/>
      <c r="PH3"/>
      <c r="PI3"/>
      <c r="PJ3"/>
      <c r="PK3"/>
      <c r="PL3"/>
      <c r="PM3"/>
      <c r="PN3"/>
      <c r="PO3"/>
      <c r="PP3"/>
      <c r="PQ3"/>
      <c r="PR3"/>
      <c r="PS3"/>
      <c r="PT3"/>
      <c r="PU3"/>
      <c r="PV3"/>
      <c r="PW3"/>
      <c r="PX3"/>
      <c r="PY3"/>
      <c r="PZ3"/>
      <c r="QA3"/>
      <c r="QB3"/>
      <c r="QC3"/>
      <c r="QD3"/>
      <c r="QE3"/>
      <c r="QF3"/>
      <c r="QG3"/>
      <c r="QH3"/>
      <c r="QI3"/>
      <c r="QJ3"/>
      <c r="QK3"/>
      <c r="QL3"/>
      <c r="QM3"/>
      <c r="QN3"/>
      <c r="QO3"/>
      <c r="QP3"/>
      <c r="QQ3"/>
      <c r="QR3"/>
      <c r="QS3"/>
      <c r="QT3"/>
      <c r="QU3"/>
      <c r="QV3"/>
      <c r="QW3"/>
      <c r="QX3"/>
      <c r="QY3"/>
      <c r="QZ3"/>
      <c r="RA3"/>
      <c r="RB3"/>
      <c r="RC3"/>
      <c r="RD3"/>
      <c r="RE3"/>
      <c r="RF3"/>
      <c r="RG3"/>
      <c r="RH3"/>
      <c r="RI3"/>
      <c r="RJ3"/>
      <c r="RK3"/>
      <c r="RL3"/>
      <c r="RM3"/>
      <c r="RN3"/>
      <c r="RO3"/>
      <c r="RP3"/>
      <c r="RQ3"/>
      <c r="RR3"/>
      <c r="RS3"/>
      <c r="RT3"/>
      <c r="RU3"/>
      <c r="RV3"/>
      <c r="RW3"/>
      <c r="RX3"/>
      <c r="RY3"/>
      <c r="RZ3"/>
      <c r="SA3"/>
      <c r="SB3"/>
      <c r="SC3"/>
      <c r="SD3"/>
      <c r="SE3"/>
      <c r="SF3"/>
      <c r="SG3"/>
      <c r="SH3"/>
      <c r="SI3"/>
      <c r="SJ3"/>
      <c r="SK3"/>
      <c r="SL3"/>
      <c r="SM3"/>
      <c r="SN3"/>
      <c r="SO3"/>
      <c r="SP3"/>
      <c r="SQ3"/>
      <c r="SR3"/>
      <c r="SS3"/>
      <c r="ST3"/>
      <c r="SU3"/>
      <c r="SV3"/>
      <c r="SW3"/>
      <c r="SX3"/>
      <c r="SY3"/>
      <c r="SZ3"/>
      <c r="TA3"/>
      <c r="TB3"/>
      <c r="TC3"/>
      <c r="TD3"/>
      <c r="TE3"/>
      <c r="TF3"/>
      <c r="TG3"/>
      <c r="TH3"/>
      <c r="TI3"/>
      <c r="TJ3"/>
      <c r="TK3"/>
      <c r="TL3"/>
      <c r="TM3"/>
      <c r="TN3"/>
      <c r="TO3"/>
      <c r="TP3"/>
      <c r="TQ3"/>
      <c r="TR3"/>
      <c r="TS3"/>
      <c r="TT3"/>
      <c r="TU3"/>
      <c r="TV3"/>
      <c r="TW3"/>
      <c r="TX3"/>
      <c r="TY3"/>
      <c r="TZ3"/>
      <c r="UA3"/>
      <c r="UB3"/>
      <c r="UC3"/>
      <c r="UD3"/>
      <c r="UE3"/>
      <c r="UF3"/>
      <c r="UG3"/>
      <c r="UH3"/>
      <c r="UI3"/>
      <c r="UJ3"/>
      <c r="UK3"/>
      <c r="UL3"/>
      <c r="UM3"/>
      <c r="UN3"/>
      <c r="UO3"/>
      <c r="UP3"/>
      <c r="UQ3"/>
      <c r="UR3"/>
      <c r="US3"/>
      <c r="UT3"/>
      <c r="UU3"/>
      <c r="UV3"/>
      <c r="UW3"/>
      <c r="UX3"/>
      <c r="UY3"/>
      <c r="UZ3"/>
      <c r="VA3"/>
      <c r="VB3"/>
      <c r="VC3"/>
      <c r="VD3"/>
      <c r="VE3"/>
      <c r="VF3"/>
      <c r="VG3"/>
      <c r="VH3"/>
      <c r="VI3"/>
      <c r="VJ3"/>
      <c r="VK3"/>
      <c r="VL3"/>
      <c r="VM3"/>
      <c r="VN3"/>
      <c r="VO3"/>
      <c r="VP3"/>
      <c r="VQ3"/>
      <c r="VR3"/>
      <c r="VS3"/>
      <c r="VT3"/>
      <c r="VU3"/>
      <c r="VV3"/>
      <c r="VW3"/>
      <c r="VX3"/>
      <c r="VY3"/>
      <c r="VZ3"/>
      <c r="WA3"/>
      <c r="WB3"/>
      <c r="WC3"/>
      <c r="WD3"/>
      <c r="WE3"/>
      <c r="WF3"/>
      <c r="WG3"/>
      <c r="WH3"/>
      <c r="WI3"/>
      <c r="WJ3"/>
      <c r="WK3"/>
      <c r="WL3"/>
      <c r="WM3"/>
      <c r="WN3"/>
      <c r="WO3"/>
      <c r="WP3"/>
      <c r="WQ3"/>
      <c r="WR3"/>
      <c r="WS3"/>
      <c r="WT3"/>
      <c r="WU3"/>
      <c r="WV3"/>
      <c r="WW3"/>
      <c r="WX3"/>
      <c r="WY3"/>
      <c r="WZ3"/>
      <c r="XA3"/>
      <c r="XB3"/>
      <c r="XC3"/>
      <c r="XD3"/>
      <c r="XE3"/>
      <c r="XF3"/>
      <c r="XG3"/>
      <c r="XH3"/>
      <c r="XI3"/>
      <c r="XJ3"/>
      <c r="XK3"/>
      <c r="XL3"/>
      <c r="XM3"/>
      <c r="XN3"/>
      <c r="XO3"/>
      <c r="XP3"/>
      <c r="XQ3"/>
      <c r="XR3"/>
      <c r="XS3"/>
      <c r="XT3"/>
      <c r="XU3"/>
      <c r="XV3"/>
      <c r="XW3"/>
      <c r="XX3"/>
      <c r="XY3"/>
      <c r="XZ3"/>
      <c r="YA3"/>
      <c r="YB3"/>
      <c r="YC3"/>
      <c r="YD3"/>
      <c r="YE3"/>
      <c r="YF3"/>
      <c r="YG3"/>
      <c r="YH3"/>
      <c r="YI3"/>
      <c r="YJ3"/>
      <c r="YK3"/>
      <c r="YL3"/>
      <c r="YM3"/>
      <c r="YN3"/>
      <c r="YO3"/>
      <c r="YP3"/>
      <c r="YQ3"/>
      <c r="YR3"/>
      <c r="YS3"/>
      <c r="YT3"/>
      <c r="YU3"/>
      <c r="YV3"/>
      <c r="YW3"/>
      <c r="YX3"/>
      <c r="YY3"/>
      <c r="YZ3"/>
      <c r="ZA3"/>
      <c r="ZB3"/>
      <c r="ZC3"/>
      <c r="ZD3"/>
      <c r="ZE3"/>
      <c r="ZF3"/>
      <c r="ZG3"/>
      <c r="ZH3"/>
      <c r="ZI3"/>
      <c r="ZJ3"/>
      <c r="ZK3"/>
      <c r="ZL3"/>
      <c r="ZM3"/>
      <c r="ZN3"/>
      <c r="ZO3"/>
      <c r="ZP3"/>
      <c r="ZQ3"/>
      <c r="ZR3"/>
      <c r="ZS3"/>
      <c r="ZT3"/>
      <c r="ZU3"/>
      <c r="ZV3"/>
      <c r="ZW3"/>
      <c r="ZX3"/>
      <c r="ZY3"/>
      <c r="ZZ3"/>
      <c r="AAA3"/>
      <c r="AAB3"/>
      <c r="AAC3"/>
      <c r="AAD3"/>
      <c r="AAE3"/>
      <c r="AAF3"/>
      <c r="AAG3"/>
      <c r="AAH3"/>
      <c r="AAI3"/>
      <c r="AAJ3"/>
      <c r="AAK3"/>
      <c r="AAL3"/>
      <c r="AAM3"/>
      <c r="AAN3"/>
      <c r="AAO3"/>
      <c r="AAP3"/>
      <c r="AAQ3"/>
      <c r="AAR3"/>
      <c r="AAS3"/>
      <c r="AAT3"/>
      <c r="AAU3"/>
      <c r="AAV3"/>
      <c r="AAW3"/>
      <c r="AAX3"/>
      <c r="AAY3"/>
      <c r="AAZ3"/>
      <c r="ABA3"/>
      <c r="ABB3"/>
      <c r="ABC3"/>
      <c r="ABD3"/>
      <c r="ABE3"/>
      <c r="ABF3"/>
      <c r="ABG3"/>
      <c r="ABH3"/>
      <c r="ABI3"/>
      <c r="ABJ3"/>
      <c r="ABK3"/>
      <c r="ABL3"/>
      <c r="ABM3"/>
      <c r="ABN3"/>
      <c r="ABO3"/>
      <c r="ABP3"/>
      <c r="ABQ3"/>
      <c r="ABR3"/>
      <c r="ABS3"/>
      <c r="ABT3"/>
      <c r="ABU3"/>
      <c r="ABV3"/>
      <c r="ABW3"/>
      <c r="ABX3"/>
      <c r="ABY3"/>
      <c r="ABZ3"/>
      <c r="ACA3"/>
      <c r="ACB3"/>
      <c r="ACC3"/>
      <c r="ACD3"/>
      <c r="ACE3"/>
      <c r="ACF3"/>
      <c r="ACG3"/>
      <c r="ACH3"/>
      <c r="ACI3"/>
      <c r="ACJ3"/>
      <c r="ACK3"/>
      <c r="ACL3"/>
      <c r="ACM3"/>
      <c r="ACN3"/>
      <c r="ACO3"/>
      <c r="ACP3"/>
      <c r="ACQ3"/>
      <c r="ACR3"/>
      <c r="ACS3"/>
      <c r="ACT3"/>
      <c r="ACU3"/>
      <c r="ACV3"/>
      <c r="ACW3"/>
      <c r="ACX3"/>
      <c r="ACY3"/>
      <c r="ACZ3"/>
      <c r="ADA3"/>
      <c r="ADB3"/>
      <c r="ADC3"/>
      <c r="ADD3"/>
      <c r="ADE3"/>
      <c r="ADF3"/>
      <c r="ADG3"/>
      <c r="ADH3"/>
      <c r="ADI3"/>
      <c r="ADJ3"/>
      <c r="ADK3"/>
      <c r="ADL3"/>
      <c r="ADM3"/>
      <c r="ADN3"/>
      <c r="ADO3"/>
      <c r="ADP3"/>
      <c r="ADQ3"/>
      <c r="ADR3"/>
      <c r="ADS3"/>
      <c r="ADT3"/>
      <c r="ADU3"/>
      <c r="ADV3"/>
      <c r="ADW3"/>
      <c r="ADX3"/>
      <c r="ADY3"/>
      <c r="ADZ3"/>
      <c r="AEA3"/>
      <c r="AEB3"/>
      <c r="AEC3"/>
      <c r="AED3"/>
      <c r="AEE3"/>
      <c r="AEF3"/>
      <c r="AEG3"/>
      <c r="AEH3"/>
      <c r="AEI3"/>
      <c r="AEJ3"/>
      <c r="AEK3"/>
      <c r="AEL3"/>
      <c r="AEM3"/>
      <c r="AEN3"/>
      <c r="AEO3"/>
      <c r="AEP3"/>
      <c r="AEQ3"/>
      <c r="AER3"/>
      <c r="AES3"/>
      <c r="AET3"/>
      <c r="AEU3"/>
      <c r="AEV3"/>
      <c r="AEW3"/>
      <c r="AEX3"/>
      <c r="AEY3"/>
      <c r="AEZ3"/>
      <c r="AFA3"/>
      <c r="AFB3"/>
      <c r="AFC3"/>
      <c r="AFD3"/>
      <c r="AFE3"/>
      <c r="AFF3"/>
      <c r="AFG3"/>
      <c r="AFH3"/>
      <c r="AFI3"/>
      <c r="AFJ3"/>
      <c r="AFK3"/>
      <c r="AFL3"/>
      <c r="AFM3"/>
      <c r="AFN3"/>
      <c r="AFO3"/>
      <c r="AFP3"/>
      <c r="AFQ3"/>
      <c r="AFR3"/>
      <c r="AFS3"/>
      <c r="AFT3"/>
      <c r="AFU3"/>
      <c r="AFV3"/>
      <c r="AFW3"/>
      <c r="AFX3"/>
      <c r="AFY3"/>
      <c r="AFZ3"/>
      <c r="AGA3"/>
      <c r="AGB3"/>
      <c r="AGC3"/>
      <c r="AGD3"/>
      <c r="AGE3"/>
      <c r="AGF3"/>
      <c r="AGG3"/>
      <c r="AGH3"/>
      <c r="AGI3"/>
      <c r="AGJ3"/>
      <c r="AGK3"/>
      <c r="AGL3"/>
      <c r="AGM3"/>
      <c r="AGN3"/>
      <c r="AGO3"/>
      <c r="AGP3"/>
      <c r="AGQ3"/>
      <c r="AGR3"/>
      <c r="AGS3"/>
      <c r="AGT3"/>
      <c r="AGU3"/>
      <c r="AGV3"/>
      <c r="AGW3"/>
      <c r="AGX3"/>
      <c r="AGY3"/>
      <c r="AGZ3"/>
      <c r="AHA3"/>
      <c r="AHB3"/>
      <c r="AHC3"/>
      <c r="AHD3"/>
      <c r="AHE3"/>
      <c r="AHF3"/>
      <c r="AHG3"/>
      <c r="AHH3"/>
      <c r="AHI3"/>
      <c r="AHJ3"/>
      <c r="AHK3"/>
      <c r="AHL3"/>
      <c r="AHM3"/>
      <c r="AHN3"/>
      <c r="AHO3"/>
      <c r="AHP3"/>
      <c r="AHQ3"/>
      <c r="AHR3"/>
      <c r="AHS3"/>
      <c r="AHT3"/>
      <c r="AHU3"/>
      <c r="AHV3"/>
      <c r="AHW3"/>
      <c r="AHX3"/>
      <c r="AHY3"/>
      <c r="AHZ3"/>
      <c r="AIA3"/>
      <c r="AIB3"/>
      <c r="AIC3"/>
      <c r="AID3"/>
      <c r="AIE3"/>
      <c r="AIF3"/>
      <c r="AIG3"/>
      <c r="AIH3"/>
      <c r="AII3"/>
      <c r="AIJ3"/>
      <c r="AIK3"/>
      <c r="AIL3"/>
      <c r="AIM3"/>
      <c r="AIN3"/>
      <c r="AIO3"/>
      <c r="AIP3"/>
      <c r="AIQ3"/>
      <c r="AIR3"/>
      <c r="AIS3"/>
      <c r="AIT3"/>
      <c r="AIU3"/>
      <c r="AIV3"/>
      <c r="AIW3"/>
      <c r="AIX3"/>
      <c r="AIY3"/>
      <c r="AIZ3"/>
      <c r="AJA3"/>
      <c r="AJB3"/>
      <c r="AJC3"/>
      <c r="AJD3"/>
      <c r="AJE3"/>
      <c r="AJF3"/>
      <c r="AJG3"/>
      <c r="AJH3"/>
      <c r="AJI3"/>
      <c r="AJJ3"/>
      <c r="AJK3"/>
      <c r="AJL3"/>
      <c r="AJM3"/>
      <c r="AJN3"/>
      <c r="AJO3"/>
      <c r="AJP3"/>
      <c r="AJQ3"/>
      <c r="AJR3"/>
      <c r="AJS3"/>
      <c r="AJT3"/>
      <c r="AJU3"/>
      <c r="AJV3"/>
      <c r="AJW3"/>
      <c r="AJX3"/>
      <c r="AJY3"/>
      <c r="AJZ3"/>
      <c r="AKA3"/>
      <c r="AKB3"/>
      <c r="AKC3"/>
      <c r="AKD3"/>
      <c r="AKE3"/>
      <c r="AKF3"/>
      <c r="AKG3"/>
      <c r="AKH3"/>
      <c r="AKI3"/>
      <c r="AKJ3"/>
      <c r="AKK3"/>
      <c r="AKL3"/>
      <c r="AKM3"/>
      <c r="AKN3"/>
      <c r="AKO3"/>
      <c r="AKP3"/>
      <c r="AKQ3"/>
      <c r="AKR3"/>
      <c r="AKS3"/>
      <c r="AKT3"/>
      <c r="AKU3"/>
      <c r="AKV3"/>
      <c r="AKW3"/>
      <c r="AKX3"/>
      <c r="AKY3"/>
      <c r="AKZ3"/>
      <c r="ALA3"/>
      <c r="ALB3"/>
      <c r="ALC3"/>
      <c r="ALD3"/>
      <c r="ALE3"/>
      <c r="ALF3"/>
      <c r="ALG3"/>
      <c r="ALH3"/>
      <c r="ALI3"/>
      <c r="ALJ3"/>
      <c r="ALK3"/>
      <c r="ALL3"/>
      <c r="ALM3"/>
      <c r="ALN3"/>
      <c r="ALO3"/>
      <c r="ALP3"/>
      <c r="ALQ3"/>
      <c r="ALR3"/>
      <c r="ALS3"/>
      <c r="ALT3"/>
      <c r="ALU3"/>
      <c r="ALV3"/>
      <c r="ALW3"/>
      <c r="ALX3"/>
      <c r="ALY3"/>
      <c r="ALZ3"/>
      <c r="AMA3"/>
      <c r="AMB3"/>
      <c r="AMC3"/>
      <c r="AMD3"/>
      <c r="AME3"/>
      <c r="AMF3"/>
      <c r="AMG3"/>
      <c r="AMH3"/>
      <c r="AMI3"/>
      <c r="AMJ3"/>
      <c r="AMK3"/>
      <c r="AML3"/>
      <c r="AMM3"/>
      <c r="AMN3"/>
      <c r="AMO3"/>
      <c r="AMP3"/>
      <c r="AMQ3"/>
      <c r="AMR3"/>
      <c r="AMS3"/>
      <c r="AMT3"/>
      <c r="AMU3"/>
      <c r="AMV3"/>
      <c r="AMW3"/>
      <c r="AMX3"/>
      <c r="AMY3"/>
      <c r="AMZ3"/>
      <c r="ANA3"/>
      <c r="ANB3"/>
      <c r="ANC3"/>
      <c r="AND3"/>
      <c r="ANE3"/>
      <c r="ANF3"/>
      <c r="ANG3"/>
      <c r="ANH3"/>
      <c r="ANI3"/>
      <c r="ANJ3"/>
      <c r="ANK3"/>
      <c r="ANL3"/>
      <c r="ANM3"/>
      <c r="ANN3"/>
      <c r="ANO3"/>
      <c r="ANP3"/>
      <c r="ANQ3"/>
      <c r="ANR3"/>
      <c r="ANS3"/>
      <c r="ANT3"/>
      <c r="ANU3"/>
      <c r="ANV3"/>
      <c r="ANW3"/>
      <c r="ANX3"/>
      <c r="ANY3"/>
      <c r="ANZ3"/>
      <c r="AOA3"/>
      <c r="AOB3"/>
      <c r="AOC3"/>
      <c r="AOD3"/>
      <c r="AOE3"/>
      <c r="AOF3"/>
      <c r="AOG3"/>
      <c r="AOH3"/>
      <c r="AOI3"/>
      <c r="AOJ3"/>
      <c r="AOK3"/>
      <c r="AOL3"/>
      <c r="AOM3"/>
      <c r="AON3"/>
      <c r="AOO3"/>
      <c r="AOP3"/>
      <c r="AOQ3"/>
      <c r="AOR3"/>
      <c r="AOS3"/>
      <c r="AOT3"/>
      <c r="AOU3"/>
      <c r="AOV3"/>
      <c r="AOW3"/>
      <c r="AOX3"/>
      <c r="AOY3"/>
      <c r="AOZ3"/>
      <c r="APA3"/>
      <c r="APB3"/>
      <c r="APC3"/>
      <c r="APD3"/>
      <c r="APE3"/>
      <c r="APF3"/>
      <c r="APG3"/>
      <c r="APH3"/>
      <c r="API3"/>
      <c r="APJ3"/>
      <c r="APK3"/>
      <c r="APL3"/>
      <c r="APM3"/>
      <c r="APN3"/>
      <c r="APO3"/>
      <c r="APP3"/>
      <c r="APQ3"/>
      <c r="APR3"/>
      <c r="APS3"/>
      <c r="APT3"/>
      <c r="APU3"/>
      <c r="APV3"/>
      <c r="APW3"/>
      <c r="APX3"/>
      <c r="APY3"/>
      <c r="APZ3"/>
      <c r="AQA3"/>
      <c r="AQB3"/>
      <c r="AQC3"/>
      <c r="AQD3"/>
      <c r="AQE3"/>
      <c r="AQF3"/>
      <c r="AQG3"/>
      <c r="AQH3"/>
      <c r="AQI3"/>
      <c r="AQJ3"/>
      <c r="AQK3"/>
      <c r="AQL3"/>
      <c r="AQM3"/>
      <c r="AQN3"/>
      <c r="AQO3"/>
      <c r="AQP3"/>
      <c r="AQQ3"/>
      <c r="AQR3"/>
      <c r="AQS3"/>
      <c r="AQT3"/>
      <c r="AQU3"/>
      <c r="AQV3"/>
      <c r="AQW3"/>
      <c r="AQX3"/>
      <c r="AQY3"/>
      <c r="AQZ3"/>
      <c r="ARA3"/>
      <c r="ARB3"/>
      <c r="ARC3"/>
      <c r="ARD3"/>
      <c r="ARE3"/>
      <c r="ARF3"/>
      <c r="ARG3"/>
      <c r="ARH3"/>
      <c r="ARI3"/>
      <c r="ARJ3"/>
      <c r="ARK3"/>
      <c r="ARL3"/>
      <c r="ARM3"/>
      <c r="ARN3"/>
      <c r="ARO3"/>
      <c r="ARP3"/>
      <c r="ARQ3"/>
      <c r="ARR3"/>
      <c r="ARS3"/>
      <c r="ART3"/>
      <c r="ARU3"/>
      <c r="ARV3"/>
      <c r="ARW3"/>
      <c r="ARX3"/>
      <c r="ARY3"/>
      <c r="ARZ3"/>
      <c r="ASA3"/>
      <c r="ASB3"/>
      <c r="ASC3"/>
      <c r="ASD3"/>
      <c r="ASE3"/>
      <c r="ASF3"/>
      <c r="ASG3"/>
      <c r="ASH3"/>
      <c r="ASI3"/>
      <c r="ASJ3"/>
      <c r="ASK3"/>
      <c r="ASL3"/>
      <c r="ASM3"/>
      <c r="ASN3"/>
      <c r="ASO3"/>
      <c r="ASP3"/>
      <c r="ASQ3"/>
      <c r="ASR3"/>
      <c r="ASS3"/>
      <c r="AST3"/>
      <c r="ASU3"/>
      <c r="ASV3"/>
      <c r="ASW3"/>
      <c r="ASX3"/>
      <c r="ASY3"/>
      <c r="ASZ3"/>
      <c r="ATA3"/>
      <c r="ATB3"/>
      <c r="ATC3"/>
      <c r="ATD3"/>
      <c r="ATE3"/>
      <c r="ATF3"/>
      <c r="ATG3"/>
      <c r="ATH3"/>
      <c r="ATI3"/>
      <c r="ATJ3"/>
      <c r="ATK3"/>
      <c r="ATL3"/>
      <c r="ATM3"/>
      <c r="ATN3"/>
      <c r="ATO3"/>
      <c r="ATP3"/>
      <c r="ATQ3"/>
      <c r="ATR3"/>
      <c r="ATS3"/>
      <c r="ATT3"/>
      <c r="ATU3"/>
      <c r="ATV3"/>
      <c r="ATW3"/>
      <c r="ATX3"/>
      <c r="ATY3"/>
      <c r="ATZ3"/>
      <c r="AUA3"/>
      <c r="AUB3"/>
      <c r="AUC3"/>
      <c r="AUD3"/>
      <c r="AUE3"/>
      <c r="AUF3"/>
      <c r="AUG3"/>
      <c r="AUH3"/>
      <c r="AUI3"/>
      <c r="AUJ3"/>
      <c r="AUK3"/>
      <c r="AUL3"/>
      <c r="AUM3"/>
      <c r="AUN3"/>
      <c r="AUO3"/>
      <c r="AUP3"/>
      <c r="AUQ3"/>
      <c r="AUR3"/>
      <c r="AUS3"/>
      <c r="AUT3"/>
      <c r="AUU3"/>
      <c r="AUV3"/>
      <c r="AUW3"/>
      <c r="AUX3"/>
      <c r="AUY3"/>
      <c r="AUZ3"/>
      <c r="AVA3"/>
      <c r="AVB3"/>
      <c r="AVC3"/>
      <c r="AVD3"/>
      <c r="AVE3"/>
      <c r="AVF3"/>
      <c r="AVG3"/>
      <c r="AVH3"/>
      <c r="AVI3"/>
      <c r="AVJ3"/>
      <c r="AVK3"/>
      <c r="AVL3"/>
      <c r="AVM3"/>
      <c r="AVN3"/>
      <c r="AVO3"/>
      <c r="AVP3"/>
      <c r="AVQ3"/>
      <c r="AVR3"/>
      <c r="AVS3"/>
      <c r="AVT3"/>
      <c r="AVU3"/>
      <c r="AVV3"/>
      <c r="AVW3"/>
      <c r="AVX3"/>
      <c r="AVY3"/>
      <c r="AVZ3"/>
      <c r="AWA3"/>
      <c r="AWB3"/>
      <c r="AWC3"/>
      <c r="AWD3"/>
      <c r="AWE3"/>
      <c r="AWF3"/>
      <c r="AWG3"/>
      <c r="AWH3"/>
      <c r="AWI3"/>
      <c r="AWJ3"/>
      <c r="AWK3"/>
      <c r="AWL3"/>
      <c r="AWM3"/>
      <c r="AWN3"/>
      <c r="AWO3"/>
      <c r="AWP3"/>
      <c r="AWQ3"/>
      <c r="AWR3"/>
      <c r="AWS3"/>
      <c r="AWT3"/>
      <c r="AWU3"/>
      <c r="AWV3"/>
      <c r="AWW3"/>
      <c r="AWX3"/>
      <c r="AWY3"/>
      <c r="AWZ3"/>
      <c r="AXA3"/>
      <c r="AXB3"/>
      <c r="AXC3"/>
      <c r="AXD3"/>
      <c r="AXE3"/>
      <c r="AXF3"/>
      <c r="AXG3"/>
      <c r="AXH3"/>
      <c r="AXI3"/>
      <c r="AXJ3"/>
      <c r="AXK3"/>
      <c r="AXL3"/>
      <c r="AXM3"/>
      <c r="AXN3"/>
      <c r="AXO3"/>
      <c r="AXP3"/>
      <c r="AXQ3"/>
      <c r="AXR3"/>
      <c r="AXS3"/>
      <c r="AXT3"/>
      <c r="AXU3"/>
      <c r="AXV3"/>
      <c r="AXW3"/>
      <c r="AXX3"/>
      <c r="AXY3"/>
      <c r="AXZ3"/>
      <c r="AYA3"/>
      <c r="AYB3"/>
      <c r="AYC3"/>
      <c r="AYD3"/>
      <c r="AYE3"/>
      <c r="AYF3"/>
      <c r="AYG3"/>
      <c r="AYH3"/>
      <c r="AYI3"/>
      <c r="AYJ3"/>
      <c r="AYK3"/>
      <c r="AYL3"/>
      <c r="AYM3"/>
      <c r="AYN3"/>
      <c r="AYO3"/>
      <c r="AYP3"/>
      <c r="AYQ3"/>
      <c r="AYR3"/>
      <c r="AYS3"/>
      <c r="AYT3"/>
      <c r="AYU3"/>
      <c r="AYV3"/>
      <c r="AYW3"/>
      <c r="AYX3"/>
      <c r="AYY3"/>
      <c r="AYZ3"/>
      <c r="AZA3"/>
      <c r="AZB3"/>
      <c r="AZC3"/>
      <c r="AZD3"/>
      <c r="AZE3"/>
      <c r="AZF3"/>
      <c r="AZG3"/>
      <c r="AZH3"/>
      <c r="AZI3"/>
      <c r="AZJ3"/>
      <c r="AZK3"/>
      <c r="AZL3"/>
      <c r="AZM3"/>
      <c r="AZN3"/>
      <c r="AZO3"/>
      <c r="AZP3"/>
      <c r="AZQ3"/>
      <c r="AZR3"/>
      <c r="AZS3"/>
      <c r="AZT3"/>
      <c r="AZU3"/>
      <c r="AZV3"/>
      <c r="AZW3"/>
      <c r="AZX3"/>
      <c r="AZY3"/>
      <c r="AZZ3"/>
      <c r="BAA3"/>
      <c r="BAB3"/>
      <c r="BAC3"/>
      <c r="BAD3"/>
      <c r="BAE3"/>
      <c r="BAF3"/>
      <c r="BAG3"/>
      <c r="BAH3"/>
      <c r="BAI3"/>
      <c r="BAJ3"/>
      <c r="BAK3"/>
      <c r="BAL3"/>
      <c r="BAM3"/>
      <c r="BAN3"/>
      <c r="BAO3"/>
      <c r="BAP3"/>
      <c r="BAQ3"/>
      <c r="BAR3"/>
      <c r="BAS3"/>
      <c r="BAT3"/>
      <c r="BAU3"/>
      <c r="BAV3"/>
      <c r="BAW3"/>
      <c r="BAX3"/>
      <c r="BAY3"/>
      <c r="BAZ3"/>
      <c r="BBA3"/>
      <c r="BBB3"/>
      <c r="BBC3"/>
      <c r="BBD3"/>
      <c r="BBE3"/>
      <c r="BBF3"/>
      <c r="BBG3"/>
      <c r="BBH3"/>
      <c r="BBI3"/>
      <c r="BBJ3"/>
      <c r="BBK3"/>
      <c r="BBL3"/>
      <c r="BBM3"/>
      <c r="BBN3"/>
      <c r="BBO3"/>
      <c r="BBP3"/>
      <c r="BBQ3"/>
      <c r="BBR3"/>
      <c r="BBS3"/>
      <c r="BBT3"/>
      <c r="BBU3"/>
      <c r="BBV3"/>
      <c r="BBW3"/>
      <c r="BBX3"/>
      <c r="BBY3"/>
      <c r="BBZ3"/>
      <c r="BCA3"/>
      <c r="BCB3"/>
      <c r="BCC3"/>
      <c r="BCD3"/>
      <c r="BCE3"/>
      <c r="BCF3"/>
      <c r="BCG3"/>
      <c r="BCH3"/>
      <c r="BCI3"/>
      <c r="BCJ3"/>
      <c r="BCK3"/>
      <c r="BCL3"/>
      <c r="BCM3"/>
      <c r="BCN3"/>
      <c r="BCO3"/>
      <c r="BCP3"/>
      <c r="BCQ3"/>
      <c r="BCR3"/>
      <c r="BCS3"/>
      <c r="BCT3"/>
      <c r="BCU3"/>
      <c r="BCV3"/>
      <c r="BCW3"/>
      <c r="BCX3"/>
      <c r="BCY3"/>
      <c r="BCZ3"/>
      <c r="BDA3"/>
      <c r="BDB3"/>
      <c r="BDC3"/>
      <c r="BDD3"/>
      <c r="BDE3"/>
      <c r="BDF3"/>
      <c r="BDG3"/>
      <c r="BDH3"/>
      <c r="BDI3"/>
      <c r="BDJ3"/>
      <c r="BDK3"/>
      <c r="BDL3"/>
      <c r="BDM3"/>
      <c r="BDN3"/>
      <c r="BDO3"/>
      <c r="BDP3"/>
      <c r="BDQ3"/>
      <c r="BDR3"/>
      <c r="BDS3"/>
      <c r="BDT3"/>
      <c r="BDU3"/>
      <c r="BDV3"/>
      <c r="BDW3"/>
      <c r="BDX3"/>
      <c r="BDY3"/>
      <c r="BDZ3"/>
      <c r="BEA3"/>
      <c r="BEB3"/>
      <c r="BEC3"/>
      <c r="BED3"/>
      <c r="BEE3"/>
      <c r="BEF3"/>
      <c r="BEG3"/>
      <c r="BEH3"/>
      <c r="BEI3"/>
      <c r="BEJ3"/>
      <c r="BEK3"/>
      <c r="BEL3"/>
      <c r="BEM3"/>
      <c r="BEN3"/>
      <c r="BEO3"/>
      <c r="BEP3"/>
      <c r="BEQ3"/>
      <c r="BER3"/>
      <c r="BES3"/>
      <c r="BET3"/>
      <c r="BEU3"/>
      <c r="BEV3"/>
      <c r="BEW3"/>
      <c r="BEX3"/>
      <c r="BEY3"/>
      <c r="BEZ3"/>
      <c r="BFA3"/>
      <c r="BFB3"/>
      <c r="BFC3"/>
      <c r="BFD3"/>
      <c r="BFE3"/>
      <c r="BFF3"/>
      <c r="BFG3"/>
      <c r="BFH3"/>
      <c r="BFI3"/>
      <c r="BFJ3"/>
      <c r="BFK3"/>
      <c r="BFL3"/>
      <c r="BFM3"/>
      <c r="BFN3"/>
      <c r="BFO3"/>
      <c r="BFP3"/>
      <c r="BFQ3"/>
      <c r="BFR3"/>
      <c r="BFS3"/>
      <c r="BFT3"/>
      <c r="BFU3"/>
      <c r="BFV3"/>
      <c r="BFW3"/>
      <c r="BFX3"/>
      <c r="BFY3"/>
      <c r="BFZ3"/>
      <c r="BGA3"/>
      <c r="BGB3"/>
      <c r="BGC3"/>
      <c r="BGD3"/>
      <c r="BGE3"/>
      <c r="BGF3"/>
      <c r="BGG3"/>
      <c r="BGH3"/>
      <c r="BGI3"/>
      <c r="BGJ3"/>
      <c r="BGK3"/>
      <c r="BGL3"/>
      <c r="BGM3"/>
      <c r="BGN3"/>
      <c r="BGO3"/>
      <c r="BGP3"/>
      <c r="BGQ3"/>
      <c r="BGR3"/>
      <c r="BGS3"/>
      <c r="BGT3"/>
      <c r="BGU3"/>
      <c r="BGV3"/>
      <c r="BGW3"/>
      <c r="BGX3"/>
      <c r="BGY3"/>
      <c r="BGZ3"/>
      <c r="BHA3"/>
      <c r="BHB3"/>
      <c r="BHC3"/>
      <c r="BHD3"/>
      <c r="BHE3"/>
      <c r="BHF3"/>
      <c r="BHG3"/>
      <c r="BHH3"/>
      <c r="BHI3"/>
      <c r="BHJ3"/>
      <c r="BHK3"/>
      <c r="BHL3"/>
      <c r="BHM3"/>
      <c r="BHN3"/>
      <c r="BHO3"/>
      <c r="BHP3"/>
      <c r="BHQ3"/>
      <c r="BHR3"/>
      <c r="BHS3"/>
      <c r="BHT3"/>
      <c r="BHU3"/>
      <c r="BHV3"/>
      <c r="BHW3"/>
      <c r="BHX3"/>
      <c r="BHY3"/>
      <c r="BHZ3"/>
      <c r="BIA3"/>
      <c r="BIB3"/>
      <c r="BIC3"/>
      <c r="BID3"/>
      <c r="BIE3"/>
      <c r="BIF3"/>
      <c r="BIG3"/>
      <c r="BIH3"/>
      <c r="BII3"/>
      <c r="BIJ3"/>
      <c r="BIK3"/>
      <c r="BIL3"/>
      <c r="BIM3"/>
      <c r="BIN3"/>
      <c r="BIO3"/>
      <c r="BIP3"/>
      <c r="BIQ3"/>
      <c r="BIR3"/>
      <c r="BIS3"/>
      <c r="BIT3"/>
      <c r="BIU3"/>
      <c r="BIV3"/>
      <c r="BIW3"/>
      <c r="BIX3"/>
      <c r="BIY3"/>
      <c r="BIZ3"/>
      <c r="BJA3"/>
      <c r="BJB3"/>
      <c r="BJC3"/>
      <c r="BJD3"/>
      <c r="BJE3"/>
      <c r="BJF3"/>
      <c r="BJG3"/>
      <c r="BJH3"/>
      <c r="BJI3"/>
      <c r="BJJ3"/>
      <c r="BJK3"/>
      <c r="BJL3"/>
      <c r="BJM3"/>
      <c r="BJN3"/>
      <c r="BJO3"/>
      <c r="BJP3"/>
      <c r="BJQ3"/>
      <c r="BJR3"/>
      <c r="BJS3"/>
      <c r="BJT3"/>
      <c r="BJU3"/>
      <c r="BJV3"/>
      <c r="BJW3"/>
      <c r="BJX3"/>
      <c r="BJY3"/>
      <c r="BJZ3"/>
      <c r="BKA3"/>
      <c r="BKB3"/>
      <c r="BKC3"/>
      <c r="BKD3"/>
      <c r="BKE3"/>
      <c r="BKF3"/>
      <c r="BKG3"/>
      <c r="BKH3"/>
      <c r="BKI3"/>
      <c r="BKJ3"/>
      <c r="BKK3"/>
      <c r="BKL3"/>
      <c r="BKM3"/>
      <c r="BKN3"/>
      <c r="BKO3"/>
      <c r="BKP3"/>
      <c r="BKQ3"/>
      <c r="BKR3"/>
      <c r="BKS3"/>
      <c r="BKT3"/>
      <c r="BKU3"/>
      <c r="BKV3"/>
      <c r="BKW3"/>
      <c r="BKX3"/>
      <c r="BKY3"/>
      <c r="BKZ3"/>
      <c r="BLA3"/>
      <c r="BLB3"/>
      <c r="BLC3"/>
      <c r="BLD3"/>
      <c r="BLE3"/>
      <c r="BLF3"/>
      <c r="BLG3"/>
      <c r="BLH3"/>
      <c r="BLI3"/>
      <c r="BLJ3"/>
      <c r="BLK3"/>
      <c r="BLL3"/>
      <c r="BLM3"/>
      <c r="BLN3"/>
      <c r="BLO3"/>
      <c r="BLP3"/>
      <c r="BLQ3"/>
      <c r="BLR3"/>
      <c r="BLS3"/>
      <c r="BLT3"/>
      <c r="BLU3"/>
      <c r="BLV3"/>
      <c r="BLW3"/>
      <c r="BLX3"/>
      <c r="BLY3"/>
      <c r="BLZ3"/>
      <c r="BMA3"/>
      <c r="BMB3"/>
      <c r="BMC3"/>
      <c r="BMD3"/>
      <c r="BME3"/>
      <c r="BMF3"/>
      <c r="BMG3"/>
      <c r="BMH3"/>
      <c r="BMI3"/>
      <c r="BMJ3"/>
      <c r="BMK3"/>
      <c r="BML3"/>
      <c r="BMM3"/>
      <c r="BMN3"/>
      <c r="BMO3"/>
      <c r="BMP3"/>
      <c r="BMQ3"/>
      <c r="BMR3"/>
      <c r="BMS3"/>
      <c r="BMT3"/>
      <c r="BMU3"/>
      <c r="BMV3"/>
      <c r="BMW3"/>
      <c r="BMX3"/>
      <c r="BMY3"/>
      <c r="BMZ3"/>
      <c r="BNA3"/>
      <c r="BNB3"/>
      <c r="BNC3"/>
      <c r="BND3"/>
      <c r="BNE3"/>
      <c r="BNF3"/>
      <c r="BNG3"/>
      <c r="BNH3"/>
      <c r="BNI3"/>
      <c r="BNJ3"/>
      <c r="BNK3"/>
      <c r="BNL3"/>
      <c r="BNM3"/>
      <c r="BNN3"/>
      <c r="BNO3"/>
      <c r="BNP3"/>
      <c r="BNQ3"/>
      <c r="BNR3"/>
      <c r="BNS3"/>
      <c r="BNT3"/>
      <c r="BNU3"/>
      <c r="BNV3"/>
      <c r="BNW3"/>
      <c r="BNX3"/>
      <c r="BNY3"/>
      <c r="BNZ3"/>
      <c r="BOA3"/>
      <c r="BOB3"/>
      <c r="BOC3"/>
      <c r="BOD3"/>
      <c r="BOE3"/>
      <c r="BOF3"/>
      <c r="BOG3"/>
      <c r="BOH3"/>
      <c r="BOI3"/>
      <c r="BOJ3"/>
      <c r="BOK3"/>
      <c r="BOL3"/>
      <c r="BOM3"/>
      <c r="BON3"/>
      <c r="BOO3"/>
      <c r="BOP3"/>
      <c r="BOQ3"/>
      <c r="BOR3"/>
      <c r="BOS3"/>
      <c r="BOT3"/>
      <c r="BOU3"/>
      <c r="BOV3"/>
      <c r="BOW3"/>
      <c r="BOX3"/>
      <c r="BOY3"/>
      <c r="BOZ3"/>
      <c r="BPA3"/>
      <c r="BPB3"/>
      <c r="BPC3"/>
      <c r="BPD3"/>
      <c r="BPE3"/>
      <c r="BPF3"/>
      <c r="BPG3"/>
      <c r="BPH3"/>
      <c r="BPI3"/>
      <c r="BPJ3"/>
      <c r="BPK3"/>
      <c r="BPL3"/>
      <c r="BPM3"/>
      <c r="BPN3"/>
      <c r="BPO3"/>
      <c r="BPP3"/>
      <c r="BPQ3"/>
      <c r="BPR3"/>
      <c r="BPS3"/>
      <c r="BPT3"/>
      <c r="BPU3"/>
      <c r="BPV3"/>
      <c r="BPW3"/>
      <c r="BPX3"/>
      <c r="BPY3"/>
      <c r="BPZ3"/>
      <c r="BQA3"/>
      <c r="BQB3"/>
      <c r="BQC3"/>
      <c r="BQD3"/>
      <c r="BQE3"/>
      <c r="BQF3"/>
      <c r="BQG3"/>
      <c r="BQH3"/>
      <c r="BQI3"/>
      <c r="BQJ3"/>
      <c r="BQK3"/>
      <c r="BQL3"/>
      <c r="BQM3"/>
      <c r="BQN3"/>
      <c r="BQO3"/>
      <c r="BQP3"/>
      <c r="BQQ3"/>
      <c r="BQR3"/>
      <c r="BQS3"/>
      <c r="BQT3"/>
      <c r="BQU3"/>
      <c r="BQV3"/>
      <c r="BQW3"/>
      <c r="BQX3"/>
      <c r="BQY3"/>
      <c r="BQZ3"/>
      <c r="BRA3"/>
      <c r="BRB3"/>
      <c r="BRC3"/>
      <c r="BRD3"/>
      <c r="BRE3"/>
      <c r="BRF3"/>
      <c r="BRG3"/>
      <c r="BRH3"/>
      <c r="BRI3"/>
      <c r="BRJ3"/>
      <c r="BRK3"/>
      <c r="BRL3"/>
      <c r="BRM3"/>
      <c r="BRN3"/>
      <c r="BRO3"/>
      <c r="BRP3"/>
      <c r="BRQ3"/>
      <c r="BRR3"/>
      <c r="BRS3"/>
      <c r="BRT3"/>
      <c r="BRU3"/>
      <c r="BRV3"/>
      <c r="BRW3"/>
      <c r="BRX3"/>
      <c r="BRY3"/>
      <c r="BRZ3"/>
      <c r="BSA3"/>
      <c r="BSB3"/>
      <c r="BSC3"/>
      <c r="BSD3"/>
      <c r="BSE3"/>
      <c r="BSF3"/>
      <c r="BSG3"/>
      <c r="BSH3"/>
      <c r="BSI3"/>
      <c r="BSJ3"/>
      <c r="BSK3"/>
      <c r="BSL3"/>
      <c r="BSM3"/>
      <c r="BSN3"/>
      <c r="BSO3"/>
      <c r="BSP3"/>
      <c r="BSQ3"/>
      <c r="BSR3"/>
      <c r="BSS3"/>
      <c r="BST3"/>
      <c r="BSU3"/>
      <c r="BSV3"/>
      <c r="BSW3"/>
      <c r="BSX3"/>
      <c r="BSY3"/>
      <c r="BSZ3"/>
      <c r="BTA3"/>
      <c r="BTB3"/>
      <c r="BTC3"/>
      <c r="BTD3"/>
      <c r="BTE3"/>
      <c r="BTF3"/>
      <c r="BTG3"/>
      <c r="BTH3"/>
      <c r="BTI3"/>
      <c r="BTJ3"/>
      <c r="BTK3"/>
      <c r="BTL3"/>
      <c r="BTM3"/>
      <c r="BTN3"/>
      <c r="BTO3"/>
      <c r="BTP3"/>
      <c r="BTQ3"/>
      <c r="BTR3"/>
      <c r="BTS3"/>
      <c r="BTT3"/>
      <c r="BTU3"/>
      <c r="BTV3"/>
      <c r="BTW3"/>
      <c r="BTX3"/>
      <c r="BTY3"/>
      <c r="BTZ3"/>
      <c r="BUA3"/>
      <c r="BUB3"/>
      <c r="BUC3"/>
      <c r="BUD3"/>
      <c r="BUE3"/>
      <c r="BUF3"/>
      <c r="BUG3"/>
      <c r="BUH3"/>
      <c r="BUI3"/>
      <c r="BUJ3"/>
      <c r="BUK3"/>
      <c r="BUL3"/>
      <c r="BUM3"/>
      <c r="BUN3"/>
      <c r="BUO3"/>
      <c r="BUP3"/>
      <c r="BUQ3"/>
      <c r="BUR3"/>
      <c r="BUS3"/>
      <c r="BUT3"/>
      <c r="BUU3"/>
      <c r="BUV3"/>
      <c r="BUW3"/>
      <c r="BUX3"/>
      <c r="BUY3"/>
      <c r="BUZ3"/>
      <c r="BVA3"/>
      <c r="BVB3"/>
      <c r="BVC3"/>
      <c r="BVD3"/>
      <c r="BVE3"/>
      <c r="BVF3"/>
      <c r="BVG3"/>
      <c r="BVH3"/>
      <c r="BVI3"/>
      <c r="BVJ3"/>
      <c r="BVK3"/>
      <c r="BVL3"/>
      <c r="BVM3"/>
      <c r="BVN3"/>
      <c r="BVO3"/>
      <c r="BVP3"/>
      <c r="BVQ3"/>
      <c r="BVR3"/>
      <c r="BVS3"/>
      <c r="BVT3"/>
      <c r="BVU3"/>
      <c r="BVV3"/>
      <c r="BVW3"/>
      <c r="BVX3"/>
      <c r="BVY3"/>
      <c r="BVZ3"/>
      <c r="BWA3"/>
      <c r="BWB3"/>
      <c r="BWC3"/>
      <c r="BWD3"/>
      <c r="BWE3"/>
      <c r="BWF3"/>
      <c r="BWG3"/>
      <c r="BWH3"/>
      <c r="BWI3"/>
      <c r="BWJ3"/>
      <c r="BWK3"/>
      <c r="BWL3"/>
      <c r="BWM3"/>
      <c r="BWN3"/>
      <c r="BWO3"/>
      <c r="BWP3"/>
      <c r="BWQ3"/>
      <c r="BWR3"/>
      <c r="BWS3"/>
      <c r="BWT3"/>
      <c r="BWU3"/>
      <c r="BWV3"/>
      <c r="BWW3"/>
      <c r="BWX3"/>
      <c r="BWY3"/>
      <c r="BWZ3"/>
      <c r="BXA3"/>
      <c r="BXB3"/>
      <c r="BXC3"/>
      <c r="BXD3"/>
      <c r="BXE3"/>
      <c r="BXF3"/>
      <c r="BXG3"/>
      <c r="BXH3"/>
      <c r="BXI3"/>
      <c r="BXJ3"/>
      <c r="BXK3"/>
      <c r="BXL3"/>
      <c r="BXM3"/>
      <c r="BXN3"/>
      <c r="BXO3"/>
      <c r="BXP3"/>
      <c r="BXQ3"/>
      <c r="BXR3"/>
      <c r="BXS3"/>
      <c r="BXT3"/>
      <c r="BXU3"/>
      <c r="BXV3"/>
      <c r="BXW3"/>
      <c r="BXX3"/>
      <c r="BXY3"/>
      <c r="BXZ3"/>
      <c r="BYA3"/>
      <c r="BYB3"/>
      <c r="BYC3"/>
      <c r="BYD3"/>
      <c r="BYE3"/>
      <c r="BYF3"/>
      <c r="BYG3"/>
      <c r="BYH3"/>
      <c r="BYI3"/>
      <c r="BYJ3"/>
      <c r="BYK3"/>
      <c r="BYL3"/>
      <c r="BYM3"/>
      <c r="BYN3"/>
      <c r="BYO3"/>
      <c r="BYP3"/>
      <c r="BYQ3"/>
      <c r="BYR3"/>
      <c r="BYS3"/>
      <c r="BYT3"/>
      <c r="BYU3"/>
      <c r="BYV3"/>
      <c r="BYW3"/>
      <c r="BYX3"/>
      <c r="BYY3"/>
      <c r="BYZ3"/>
      <c r="BZA3"/>
      <c r="BZB3"/>
      <c r="BZC3"/>
      <c r="BZD3"/>
      <c r="BZE3"/>
      <c r="BZF3"/>
      <c r="BZG3"/>
      <c r="BZH3"/>
      <c r="BZI3"/>
      <c r="BZJ3"/>
      <c r="BZK3"/>
      <c r="BZL3"/>
      <c r="BZM3"/>
      <c r="BZN3"/>
      <c r="BZO3"/>
      <c r="BZP3"/>
      <c r="BZQ3"/>
      <c r="BZR3"/>
      <c r="BZS3"/>
      <c r="BZT3"/>
      <c r="BZU3"/>
      <c r="BZV3"/>
      <c r="BZW3"/>
      <c r="BZX3"/>
      <c r="BZY3"/>
      <c r="BZZ3"/>
      <c r="CAA3"/>
      <c r="CAB3"/>
      <c r="CAC3"/>
      <c r="CAD3"/>
      <c r="CAE3"/>
      <c r="CAF3"/>
      <c r="CAG3"/>
      <c r="CAH3"/>
      <c r="CAI3"/>
      <c r="CAJ3"/>
      <c r="CAK3"/>
      <c r="CAL3"/>
      <c r="CAM3"/>
      <c r="CAN3"/>
      <c r="CAO3"/>
      <c r="CAP3"/>
      <c r="CAQ3"/>
      <c r="CAR3"/>
      <c r="CAS3"/>
      <c r="CAT3"/>
      <c r="CAU3"/>
      <c r="CAV3"/>
      <c r="CAW3"/>
      <c r="CAX3"/>
      <c r="CAY3"/>
      <c r="CAZ3"/>
      <c r="CBA3"/>
      <c r="CBB3"/>
      <c r="CBC3"/>
      <c r="CBD3"/>
      <c r="CBE3"/>
      <c r="CBF3"/>
      <c r="CBG3"/>
      <c r="CBH3"/>
      <c r="CBI3"/>
      <c r="CBJ3"/>
      <c r="CBK3"/>
      <c r="CBL3"/>
      <c r="CBM3"/>
      <c r="CBN3"/>
      <c r="CBO3"/>
      <c r="CBP3"/>
      <c r="CBQ3"/>
      <c r="CBR3"/>
      <c r="CBS3"/>
      <c r="CBT3"/>
      <c r="CBU3"/>
      <c r="CBV3"/>
      <c r="CBW3"/>
      <c r="CBX3"/>
      <c r="CBY3"/>
      <c r="CBZ3"/>
      <c r="CCA3"/>
      <c r="CCB3"/>
      <c r="CCC3"/>
      <c r="CCD3"/>
      <c r="CCE3"/>
      <c r="CCF3"/>
      <c r="CCG3"/>
      <c r="CCH3"/>
      <c r="CCI3"/>
      <c r="CCJ3"/>
      <c r="CCK3"/>
      <c r="CCL3"/>
      <c r="CCM3"/>
      <c r="CCN3"/>
      <c r="CCO3"/>
      <c r="CCP3"/>
      <c r="CCQ3"/>
      <c r="CCR3"/>
      <c r="CCS3"/>
      <c r="CCT3"/>
      <c r="CCU3"/>
      <c r="CCV3"/>
      <c r="CCW3"/>
      <c r="CCX3"/>
      <c r="CCY3"/>
      <c r="CCZ3"/>
      <c r="CDA3"/>
      <c r="CDB3"/>
      <c r="CDC3"/>
      <c r="CDD3"/>
      <c r="CDE3"/>
      <c r="CDF3"/>
      <c r="CDG3"/>
      <c r="CDH3"/>
      <c r="CDI3"/>
      <c r="CDJ3"/>
      <c r="CDK3"/>
      <c r="CDL3"/>
      <c r="CDM3"/>
      <c r="CDN3"/>
      <c r="CDO3"/>
      <c r="CDP3"/>
      <c r="CDQ3"/>
      <c r="CDR3"/>
      <c r="CDS3"/>
      <c r="CDT3"/>
      <c r="CDU3"/>
      <c r="CDV3"/>
      <c r="CDW3"/>
      <c r="CDX3"/>
      <c r="CDY3"/>
      <c r="CDZ3"/>
      <c r="CEA3"/>
      <c r="CEB3"/>
      <c r="CEC3"/>
      <c r="CED3"/>
      <c r="CEE3"/>
      <c r="CEF3"/>
      <c r="CEG3"/>
      <c r="CEH3"/>
      <c r="CEI3"/>
      <c r="CEJ3"/>
      <c r="CEK3"/>
      <c r="CEL3"/>
      <c r="CEM3"/>
      <c r="CEN3"/>
      <c r="CEO3"/>
      <c r="CEP3"/>
      <c r="CEQ3"/>
      <c r="CER3"/>
      <c r="CES3"/>
      <c r="CET3"/>
      <c r="CEU3"/>
      <c r="CEV3"/>
      <c r="CEW3"/>
      <c r="CEX3"/>
      <c r="CEY3"/>
      <c r="CEZ3"/>
      <c r="CFA3"/>
      <c r="CFB3"/>
      <c r="CFC3"/>
      <c r="CFD3"/>
      <c r="CFE3"/>
      <c r="CFF3"/>
      <c r="CFG3"/>
      <c r="CFH3"/>
      <c r="CFI3"/>
      <c r="CFJ3"/>
      <c r="CFK3"/>
      <c r="CFL3"/>
      <c r="CFM3"/>
      <c r="CFN3"/>
      <c r="CFO3"/>
      <c r="CFP3"/>
      <c r="CFQ3"/>
      <c r="CFR3"/>
      <c r="CFS3"/>
      <c r="CFT3"/>
      <c r="CFU3"/>
      <c r="CFV3"/>
      <c r="CFW3"/>
      <c r="CFX3"/>
      <c r="CFY3"/>
      <c r="CFZ3"/>
      <c r="CGA3"/>
      <c r="CGB3"/>
      <c r="CGC3"/>
      <c r="CGD3"/>
      <c r="CGE3"/>
      <c r="CGF3"/>
      <c r="CGG3"/>
      <c r="CGH3"/>
      <c r="CGI3"/>
      <c r="CGJ3"/>
      <c r="CGK3"/>
      <c r="CGL3"/>
      <c r="CGM3"/>
      <c r="CGN3"/>
      <c r="CGO3"/>
      <c r="CGP3"/>
      <c r="CGQ3"/>
      <c r="CGR3"/>
      <c r="CGS3"/>
      <c r="CGT3"/>
      <c r="CGU3"/>
      <c r="CGV3"/>
      <c r="CGW3"/>
      <c r="CGX3"/>
      <c r="CGY3"/>
      <c r="CGZ3"/>
      <c r="CHA3"/>
      <c r="CHB3"/>
      <c r="CHC3"/>
      <c r="CHD3"/>
      <c r="CHE3"/>
      <c r="CHF3"/>
      <c r="CHG3"/>
      <c r="CHH3"/>
      <c r="CHI3"/>
      <c r="CHJ3"/>
      <c r="CHK3"/>
      <c r="CHL3"/>
      <c r="CHM3"/>
      <c r="CHN3"/>
      <c r="CHO3"/>
      <c r="CHP3"/>
      <c r="CHQ3"/>
      <c r="CHR3"/>
      <c r="CHS3"/>
      <c r="CHT3"/>
      <c r="CHU3"/>
      <c r="CHV3"/>
      <c r="CHW3"/>
      <c r="CHX3"/>
      <c r="CHY3"/>
      <c r="CHZ3"/>
      <c r="CIA3"/>
      <c r="CIB3"/>
      <c r="CIC3"/>
      <c r="CID3"/>
      <c r="CIE3"/>
      <c r="CIF3"/>
      <c r="CIG3"/>
      <c r="CIH3"/>
      <c r="CII3"/>
      <c r="CIJ3"/>
      <c r="CIK3"/>
      <c r="CIL3"/>
      <c r="CIM3"/>
      <c r="CIN3"/>
      <c r="CIO3"/>
      <c r="CIP3"/>
      <c r="CIQ3"/>
      <c r="CIR3"/>
      <c r="CIS3"/>
      <c r="CIT3"/>
      <c r="CIU3"/>
      <c r="CIV3"/>
      <c r="CIW3"/>
      <c r="CIX3"/>
      <c r="CIY3"/>
      <c r="CIZ3"/>
      <c r="CJA3"/>
      <c r="CJB3"/>
      <c r="CJC3"/>
      <c r="CJD3"/>
      <c r="CJE3"/>
      <c r="CJF3"/>
      <c r="CJG3"/>
      <c r="CJH3"/>
      <c r="CJI3"/>
      <c r="CJJ3"/>
      <c r="CJK3"/>
      <c r="CJL3"/>
      <c r="CJM3"/>
      <c r="CJN3"/>
      <c r="CJO3"/>
      <c r="CJP3"/>
      <c r="CJQ3"/>
      <c r="CJR3"/>
      <c r="CJS3"/>
      <c r="CJT3"/>
      <c r="CJU3"/>
      <c r="CJV3"/>
      <c r="CJW3"/>
      <c r="CJX3"/>
      <c r="CJY3"/>
      <c r="CJZ3"/>
      <c r="CKA3"/>
      <c r="CKB3"/>
      <c r="CKC3"/>
      <c r="CKD3"/>
      <c r="CKE3"/>
      <c r="CKF3"/>
      <c r="CKG3"/>
      <c r="CKH3"/>
      <c r="CKI3"/>
      <c r="CKJ3"/>
      <c r="CKK3"/>
      <c r="CKL3"/>
      <c r="CKM3"/>
      <c r="CKN3"/>
      <c r="CKO3"/>
      <c r="CKP3"/>
      <c r="CKQ3"/>
      <c r="CKR3"/>
      <c r="CKS3"/>
      <c r="CKT3"/>
      <c r="CKU3"/>
      <c r="CKV3"/>
      <c r="CKW3"/>
      <c r="CKX3"/>
      <c r="CKY3"/>
      <c r="CKZ3"/>
      <c r="CLA3"/>
      <c r="CLB3"/>
      <c r="CLC3"/>
      <c r="CLD3"/>
      <c r="CLE3"/>
      <c r="CLF3"/>
      <c r="CLG3"/>
      <c r="CLH3"/>
      <c r="CLI3"/>
      <c r="CLJ3"/>
      <c r="CLK3"/>
      <c r="CLL3"/>
      <c r="CLM3"/>
      <c r="CLN3"/>
      <c r="CLO3"/>
      <c r="CLP3"/>
      <c r="CLQ3"/>
      <c r="CLR3"/>
      <c r="CLS3"/>
      <c r="CLT3"/>
      <c r="CLU3"/>
      <c r="CLV3"/>
      <c r="CLW3"/>
      <c r="CLX3"/>
      <c r="CLY3"/>
      <c r="CLZ3"/>
      <c r="CMA3"/>
      <c r="CMB3"/>
      <c r="CMC3"/>
      <c r="CMD3"/>
      <c r="CME3"/>
      <c r="CMF3"/>
      <c r="CMG3"/>
      <c r="CMH3"/>
      <c r="CMI3"/>
      <c r="CMJ3"/>
      <c r="CMK3"/>
      <c r="CML3"/>
      <c r="CMM3"/>
      <c r="CMN3"/>
      <c r="CMO3"/>
      <c r="CMP3"/>
      <c r="CMQ3"/>
      <c r="CMR3"/>
      <c r="CMS3"/>
      <c r="CMT3"/>
      <c r="CMU3"/>
      <c r="CMV3"/>
      <c r="CMW3"/>
      <c r="CMX3"/>
      <c r="CMY3"/>
      <c r="CMZ3"/>
      <c r="CNA3"/>
      <c r="CNB3"/>
      <c r="CNC3"/>
      <c r="CND3"/>
      <c r="CNE3"/>
      <c r="CNF3"/>
      <c r="CNG3"/>
      <c r="CNH3"/>
      <c r="CNI3"/>
      <c r="CNJ3"/>
      <c r="CNK3"/>
      <c r="CNL3"/>
      <c r="CNM3"/>
      <c r="CNN3"/>
      <c r="CNO3"/>
      <c r="CNP3"/>
      <c r="CNQ3"/>
      <c r="CNR3"/>
      <c r="CNS3"/>
      <c r="CNT3"/>
      <c r="CNU3"/>
      <c r="CNV3"/>
      <c r="CNW3"/>
      <c r="CNX3"/>
      <c r="CNY3"/>
      <c r="CNZ3"/>
      <c r="COA3"/>
      <c r="COB3"/>
      <c r="COC3"/>
      <c r="COD3"/>
      <c r="COE3"/>
      <c r="COF3"/>
      <c r="COG3"/>
      <c r="COH3"/>
      <c r="COI3"/>
      <c r="COJ3"/>
      <c r="COK3"/>
      <c r="COL3"/>
      <c r="COM3"/>
      <c r="CON3"/>
      <c r="COO3"/>
      <c r="COP3"/>
      <c r="COQ3"/>
      <c r="COR3"/>
      <c r="COS3"/>
      <c r="COT3"/>
      <c r="COU3"/>
      <c r="COV3"/>
      <c r="COW3"/>
      <c r="COX3"/>
      <c r="COY3"/>
      <c r="COZ3"/>
      <c r="CPA3"/>
      <c r="CPB3"/>
      <c r="CPC3"/>
      <c r="CPD3"/>
      <c r="CPE3"/>
      <c r="CPF3"/>
      <c r="CPG3"/>
      <c r="CPH3"/>
      <c r="CPI3"/>
      <c r="CPJ3"/>
      <c r="CPK3"/>
      <c r="CPL3"/>
      <c r="CPM3"/>
      <c r="CPN3"/>
      <c r="CPO3"/>
      <c r="CPP3"/>
      <c r="CPQ3"/>
      <c r="CPR3"/>
      <c r="CPS3"/>
      <c r="CPT3"/>
      <c r="CPU3"/>
      <c r="CPV3"/>
      <c r="CPW3"/>
      <c r="CPX3"/>
      <c r="CPY3"/>
      <c r="CPZ3"/>
      <c r="CQA3"/>
      <c r="CQB3"/>
      <c r="CQC3"/>
      <c r="CQD3"/>
      <c r="CQE3"/>
      <c r="CQF3"/>
      <c r="CQG3"/>
      <c r="CQH3"/>
      <c r="CQI3"/>
      <c r="CQJ3"/>
      <c r="CQK3"/>
      <c r="CQL3"/>
      <c r="CQM3"/>
      <c r="CQN3"/>
      <c r="CQO3"/>
      <c r="CQP3"/>
      <c r="CQQ3"/>
      <c r="CQR3"/>
      <c r="CQS3"/>
      <c r="CQT3"/>
      <c r="CQU3"/>
      <c r="CQV3"/>
      <c r="CQW3"/>
      <c r="CQX3"/>
      <c r="CQY3"/>
      <c r="CQZ3"/>
      <c r="CRA3"/>
      <c r="CRB3"/>
      <c r="CRC3"/>
      <c r="CRD3"/>
      <c r="CRE3"/>
      <c r="CRF3"/>
      <c r="CRG3"/>
      <c r="CRH3"/>
      <c r="CRI3"/>
      <c r="CRJ3"/>
      <c r="CRK3"/>
      <c r="CRL3"/>
      <c r="CRM3"/>
      <c r="CRN3"/>
      <c r="CRO3"/>
      <c r="CRP3"/>
      <c r="CRQ3"/>
      <c r="CRR3"/>
      <c r="CRS3"/>
      <c r="CRT3"/>
      <c r="CRU3"/>
      <c r="CRV3"/>
      <c r="CRW3"/>
      <c r="CRX3"/>
      <c r="CRY3"/>
      <c r="CRZ3"/>
      <c r="CSA3"/>
      <c r="CSB3"/>
      <c r="CSC3"/>
      <c r="CSD3"/>
      <c r="CSE3"/>
      <c r="CSF3"/>
      <c r="CSG3"/>
      <c r="CSH3"/>
      <c r="CSI3"/>
      <c r="CSJ3"/>
      <c r="CSK3"/>
      <c r="CSL3"/>
      <c r="CSM3"/>
      <c r="CSN3"/>
      <c r="CSO3"/>
      <c r="CSP3"/>
      <c r="CSQ3"/>
      <c r="CSR3"/>
      <c r="CSS3"/>
      <c r="CST3"/>
      <c r="CSU3"/>
      <c r="CSV3"/>
      <c r="CSW3"/>
      <c r="CSX3"/>
      <c r="CSY3"/>
      <c r="CSZ3"/>
      <c r="CTA3"/>
      <c r="CTB3"/>
      <c r="CTC3"/>
      <c r="CTD3"/>
      <c r="CTE3"/>
      <c r="CTF3"/>
      <c r="CTG3"/>
      <c r="CTH3"/>
      <c r="CTI3"/>
      <c r="CTJ3"/>
      <c r="CTK3"/>
      <c r="CTL3"/>
      <c r="CTM3"/>
      <c r="CTN3"/>
      <c r="CTO3"/>
      <c r="CTP3"/>
      <c r="CTQ3"/>
      <c r="CTR3"/>
      <c r="CTS3"/>
      <c r="CTT3"/>
      <c r="CTU3"/>
      <c r="CTV3"/>
      <c r="CTW3"/>
      <c r="CTX3"/>
      <c r="CTY3"/>
      <c r="CTZ3"/>
      <c r="CUA3"/>
      <c r="CUB3"/>
      <c r="CUC3"/>
      <c r="CUD3"/>
      <c r="CUE3"/>
      <c r="CUF3"/>
      <c r="CUG3"/>
      <c r="CUH3"/>
      <c r="CUI3"/>
      <c r="CUJ3"/>
      <c r="CUK3"/>
      <c r="CUL3"/>
      <c r="CUM3"/>
      <c r="CUN3"/>
      <c r="CUO3"/>
      <c r="CUP3"/>
      <c r="CUQ3"/>
      <c r="CUR3"/>
      <c r="CUS3"/>
      <c r="CUT3"/>
      <c r="CUU3"/>
      <c r="CUV3"/>
      <c r="CUW3"/>
      <c r="CUX3"/>
      <c r="CUY3"/>
      <c r="CUZ3"/>
      <c r="CVA3"/>
      <c r="CVB3"/>
      <c r="CVC3"/>
      <c r="CVD3"/>
      <c r="CVE3"/>
      <c r="CVF3"/>
      <c r="CVG3"/>
      <c r="CVH3"/>
      <c r="CVI3"/>
      <c r="CVJ3"/>
      <c r="CVK3"/>
      <c r="CVL3"/>
      <c r="CVM3"/>
      <c r="CVN3"/>
      <c r="CVO3"/>
      <c r="CVP3"/>
      <c r="CVQ3"/>
      <c r="CVR3"/>
      <c r="CVS3"/>
      <c r="CVT3"/>
      <c r="CVU3"/>
      <c r="CVV3"/>
      <c r="CVW3"/>
      <c r="CVX3"/>
      <c r="CVY3"/>
      <c r="CVZ3"/>
      <c r="CWA3"/>
      <c r="CWB3"/>
      <c r="CWC3"/>
      <c r="CWD3"/>
      <c r="CWE3"/>
      <c r="CWF3"/>
      <c r="CWG3"/>
      <c r="CWH3"/>
      <c r="CWI3"/>
      <c r="CWJ3"/>
      <c r="CWK3"/>
      <c r="CWL3"/>
      <c r="CWM3"/>
      <c r="CWN3"/>
      <c r="CWO3"/>
      <c r="CWP3"/>
      <c r="CWQ3"/>
      <c r="CWR3"/>
      <c r="CWS3"/>
      <c r="CWT3"/>
      <c r="CWU3"/>
      <c r="CWV3"/>
      <c r="CWW3"/>
      <c r="CWX3"/>
      <c r="CWY3"/>
      <c r="CWZ3"/>
      <c r="CXA3"/>
      <c r="CXB3"/>
      <c r="CXC3"/>
      <c r="CXD3"/>
      <c r="CXE3"/>
      <c r="CXF3"/>
      <c r="CXG3"/>
      <c r="CXH3"/>
      <c r="CXI3"/>
      <c r="CXJ3"/>
      <c r="CXK3"/>
      <c r="CXL3"/>
      <c r="CXM3"/>
      <c r="CXN3"/>
      <c r="CXO3"/>
      <c r="CXP3"/>
      <c r="CXQ3"/>
      <c r="CXR3"/>
      <c r="CXS3"/>
      <c r="CXT3"/>
      <c r="CXU3"/>
      <c r="CXV3"/>
      <c r="CXW3"/>
      <c r="CXX3"/>
      <c r="CXY3"/>
      <c r="CXZ3"/>
      <c r="CYA3"/>
      <c r="CYB3"/>
      <c r="CYC3"/>
      <c r="CYD3"/>
      <c r="CYE3"/>
      <c r="CYF3"/>
      <c r="CYG3"/>
      <c r="CYH3"/>
      <c r="CYI3"/>
      <c r="CYJ3"/>
      <c r="CYK3"/>
      <c r="CYL3"/>
      <c r="CYM3"/>
      <c r="CYN3"/>
      <c r="CYO3"/>
      <c r="CYP3"/>
      <c r="CYQ3"/>
      <c r="CYR3"/>
      <c r="CYS3"/>
      <c r="CYT3"/>
      <c r="CYU3"/>
      <c r="CYV3"/>
      <c r="CYW3"/>
      <c r="CYX3"/>
      <c r="CYY3"/>
      <c r="CYZ3"/>
      <c r="CZA3"/>
      <c r="CZB3"/>
      <c r="CZC3"/>
      <c r="CZD3"/>
      <c r="CZE3"/>
      <c r="CZF3"/>
      <c r="CZG3"/>
      <c r="CZH3"/>
      <c r="CZI3"/>
      <c r="CZJ3"/>
      <c r="CZK3"/>
      <c r="CZL3"/>
      <c r="CZM3"/>
      <c r="CZN3"/>
      <c r="CZO3"/>
      <c r="CZP3"/>
      <c r="CZQ3"/>
      <c r="CZR3"/>
      <c r="CZS3"/>
      <c r="CZT3"/>
      <c r="CZU3"/>
      <c r="CZV3"/>
      <c r="CZW3"/>
      <c r="CZX3"/>
      <c r="CZY3"/>
      <c r="CZZ3"/>
      <c r="DAA3"/>
      <c r="DAB3"/>
      <c r="DAC3"/>
      <c r="DAD3"/>
      <c r="DAE3"/>
      <c r="DAF3"/>
      <c r="DAG3"/>
      <c r="DAH3"/>
      <c r="DAI3"/>
      <c r="DAJ3"/>
      <c r="DAK3"/>
      <c r="DAL3"/>
      <c r="DAM3"/>
      <c r="DAN3"/>
      <c r="DAO3"/>
      <c r="DAP3"/>
      <c r="DAQ3"/>
      <c r="DAR3"/>
      <c r="DAS3"/>
      <c r="DAT3"/>
      <c r="DAU3"/>
      <c r="DAV3"/>
      <c r="DAW3"/>
      <c r="DAX3"/>
      <c r="DAY3"/>
      <c r="DAZ3"/>
      <c r="DBA3"/>
      <c r="DBB3"/>
      <c r="DBC3"/>
      <c r="DBD3"/>
      <c r="DBE3"/>
      <c r="DBF3"/>
      <c r="DBG3"/>
      <c r="DBH3"/>
      <c r="DBI3"/>
      <c r="DBJ3"/>
      <c r="DBK3"/>
      <c r="DBL3"/>
      <c r="DBM3"/>
      <c r="DBN3"/>
      <c r="DBO3"/>
      <c r="DBP3"/>
      <c r="DBQ3"/>
      <c r="DBR3"/>
      <c r="DBS3"/>
      <c r="DBT3"/>
      <c r="DBU3"/>
      <c r="DBV3"/>
      <c r="DBW3"/>
      <c r="DBX3"/>
      <c r="DBY3"/>
      <c r="DBZ3"/>
      <c r="DCA3"/>
      <c r="DCB3"/>
      <c r="DCC3"/>
      <c r="DCD3"/>
      <c r="DCE3"/>
      <c r="DCF3"/>
      <c r="DCG3"/>
      <c r="DCH3"/>
      <c r="DCI3"/>
      <c r="DCJ3"/>
      <c r="DCK3"/>
      <c r="DCL3"/>
      <c r="DCM3"/>
      <c r="DCN3"/>
      <c r="DCO3"/>
      <c r="DCP3"/>
      <c r="DCQ3"/>
      <c r="DCR3"/>
      <c r="DCS3"/>
      <c r="DCT3"/>
      <c r="DCU3"/>
      <c r="DCV3"/>
      <c r="DCW3"/>
      <c r="DCX3"/>
      <c r="DCY3"/>
      <c r="DCZ3"/>
      <c r="DDA3"/>
      <c r="DDB3"/>
      <c r="DDC3"/>
      <c r="DDD3"/>
      <c r="DDE3"/>
      <c r="DDF3"/>
      <c r="DDG3"/>
      <c r="DDH3"/>
      <c r="DDI3"/>
      <c r="DDJ3"/>
      <c r="DDK3"/>
      <c r="DDL3"/>
      <c r="DDM3"/>
      <c r="DDN3"/>
      <c r="DDO3"/>
      <c r="DDP3"/>
      <c r="DDQ3"/>
      <c r="DDR3"/>
      <c r="DDS3"/>
      <c r="DDT3"/>
      <c r="DDU3"/>
      <c r="DDV3"/>
      <c r="DDW3"/>
      <c r="DDX3"/>
      <c r="DDY3"/>
      <c r="DDZ3"/>
      <c r="DEA3"/>
      <c r="DEB3"/>
      <c r="DEC3"/>
      <c r="DED3"/>
      <c r="DEE3"/>
      <c r="DEF3"/>
      <c r="DEG3"/>
      <c r="DEH3"/>
      <c r="DEI3"/>
      <c r="DEJ3"/>
      <c r="DEK3"/>
      <c r="DEL3"/>
      <c r="DEM3"/>
      <c r="DEN3"/>
      <c r="DEO3"/>
      <c r="DEP3"/>
      <c r="DEQ3"/>
      <c r="DER3"/>
      <c r="DES3"/>
      <c r="DET3"/>
      <c r="DEU3"/>
      <c r="DEV3"/>
      <c r="DEW3"/>
      <c r="DEX3"/>
      <c r="DEY3"/>
      <c r="DEZ3"/>
      <c r="DFA3"/>
      <c r="DFB3"/>
      <c r="DFC3"/>
      <c r="DFD3"/>
      <c r="DFE3"/>
      <c r="DFF3"/>
      <c r="DFG3"/>
      <c r="DFH3"/>
      <c r="DFI3"/>
      <c r="DFJ3"/>
      <c r="DFK3"/>
      <c r="DFL3"/>
      <c r="DFM3"/>
      <c r="DFN3"/>
      <c r="DFO3"/>
      <c r="DFP3"/>
      <c r="DFQ3"/>
      <c r="DFR3"/>
      <c r="DFS3"/>
      <c r="DFT3"/>
      <c r="DFU3"/>
      <c r="DFV3"/>
      <c r="DFW3"/>
      <c r="DFX3"/>
      <c r="DFY3"/>
      <c r="DFZ3"/>
      <c r="DGA3"/>
      <c r="DGB3"/>
      <c r="DGC3"/>
      <c r="DGD3"/>
      <c r="DGE3"/>
      <c r="DGF3"/>
      <c r="DGG3"/>
      <c r="DGH3"/>
      <c r="DGI3"/>
      <c r="DGJ3"/>
      <c r="DGK3"/>
      <c r="DGL3"/>
      <c r="DGM3"/>
      <c r="DGN3"/>
      <c r="DGO3"/>
      <c r="DGP3"/>
      <c r="DGQ3"/>
      <c r="DGR3"/>
      <c r="DGS3"/>
      <c r="DGT3"/>
      <c r="DGU3"/>
      <c r="DGV3"/>
      <c r="DGW3"/>
      <c r="DGX3"/>
      <c r="DGY3"/>
      <c r="DGZ3"/>
      <c r="DHA3"/>
      <c r="DHB3"/>
      <c r="DHC3"/>
      <c r="DHD3"/>
      <c r="DHE3"/>
      <c r="DHF3"/>
      <c r="DHG3"/>
      <c r="DHH3"/>
      <c r="DHI3"/>
      <c r="DHJ3"/>
      <c r="DHK3"/>
      <c r="DHL3"/>
      <c r="DHM3"/>
      <c r="DHN3"/>
      <c r="DHO3"/>
      <c r="DHP3"/>
      <c r="DHQ3"/>
      <c r="DHR3"/>
      <c r="DHS3"/>
      <c r="DHT3"/>
      <c r="DHU3"/>
      <c r="DHV3"/>
      <c r="DHW3"/>
      <c r="DHX3"/>
      <c r="DHY3"/>
      <c r="DHZ3"/>
      <c r="DIA3"/>
      <c r="DIB3"/>
      <c r="DIC3"/>
      <c r="DID3"/>
      <c r="DIE3"/>
      <c r="DIF3"/>
      <c r="DIG3"/>
      <c r="DIH3"/>
      <c r="DII3"/>
      <c r="DIJ3"/>
      <c r="DIK3"/>
      <c r="DIL3"/>
      <c r="DIM3"/>
      <c r="DIN3"/>
      <c r="DIO3"/>
      <c r="DIP3"/>
      <c r="DIQ3"/>
      <c r="DIR3"/>
      <c r="DIS3"/>
      <c r="DIT3"/>
      <c r="DIU3"/>
      <c r="DIV3"/>
      <c r="DIW3"/>
      <c r="DIX3"/>
      <c r="DIY3"/>
      <c r="DIZ3"/>
      <c r="DJA3"/>
      <c r="DJB3"/>
      <c r="DJC3"/>
      <c r="DJD3"/>
      <c r="DJE3"/>
      <c r="DJF3"/>
      <c r="DJG3"/>
      <c r="DJH3"/>
      <c r="DJI3"/>
      <c r="DJJ3"/>
      <c r="DJK3"/>
      <c r="DJL3"/>
      <c r="DJM3"/>
      <c r="DJN3"/>
      <c r="DJO3"/>
      <c r="DJP3"/>
      <c r="DJQ3"/>
      <c r="DJR3"/>
      <c r="DJS3"/>
      <c r="DJT3"/>
      <c r="DJU3"/>
      <c r="DJV3"/>
      <c r="DJW3"/>
      <c r="DJX3"/>
      <c r="DJY3"/>
      <c r="DJZ3"/>
      <c r="DKA3"/>
      <c r="DKB3"/>
      <c r="DKC3"/>
      <c r="DKD3"/>
      <c r="DKE3"/>
      <c r="DKF3"/>
      <c r="DKG3"/>
      <c r="DKH3"/>
      <c r="DKI3"/>
      <c r="DKJ3"/>
      <c r="DKK3"/>
      <c r="DKL3"/>
      <c r="DKM3"/>
      <c r="DKN3"/>
      <c r="DKO3"/>
      <c r="DKP3"/>
      <c r="DKQ3"/>
      <c r="DKR3"/>
      <c r="DKS3"/>
      <c r="DKT3"/>
      <c r="DKU3"/>
      <c r="DKV3"/>
      <c r="DKW3"/>
      <c r="DKX3"/>
      <c r="DKY3"/>
      <c r="DKZ3"/>
      <c r="DLA3"/>
      <c r="DLB3"/>
      <c r="DLC3"/>
      <c r="DLD3"/>
      <c r="DLE3"/>
      <c r="DLF3"/>
      <c r="DLG3"/>
      <c r="DLH3"/>
      <c r="DLI3"/>
      <c r="DLJ3"/>
      <c r="DLK3"/>
      <c r="DLL3"/>
      <c r="DLM3"/>
      <c r="DLN3"/>
      <c r="DLO3"/>
      <c r="DLP3"/>
      <c r="DLQ3"/>
      <c r="DLR3"/>
      <c r="DLS3"/>
      <c r="DLT3"/>
      <c r="DLU3"/>
      <c r="DLV3"/>
      <c r="DLW3"/>
      <c r="DLX3"/>
      <c r="DLY3"/>
      <c r="DLZ3"/>
      <c r="DMA3"/>
      <c r="DMB3"/>
      <c r="DMC3"/>
      <c r="DMD3"/>
      <c r="DME3"/>
      <c r="DMF3"/>
      <c r="DMG3"/>
      <c r="DMH3"/>
      <c r="DMI3"/>
      <c r="DMJ3"/>
      <c r="DMK3"/>
      <c r="DML3"/>
      <c r="DMM3"/>
      <c r="DMN3"/>
      <c r="DMO3"/>
      <c r="DMP3"/>
      <c r="DMQ3"/>
      <c r="DMR3"/>
      <c r="DMS3"/>
      <c r="DMT3"/>
      <c r="DMU3"/>
      <c r="DMV3"/>
      <c r="DMW3"/>
      <c r="DMX3"/>
      <c r="DMY3"/>
      <c r="DMZ3"/>
      <c r="DNA3"/>
      <c r="DNB3"/>
      <c r="DNC3"/>
      <c r="DND3"/>
      <c r="DNE3"/>
      <c r="DNF3"/>
      <c r="DNG3"/>
      <c r="DNH3"/>
      <c r="DNI3"/>
      <c r="DNJ3"/>
      <c r="DNK3"/>
      <c r="DNL3"/>
      <c r="DNM3"/>
      <c r="DNN3"/>
      <c r="DNO3"/>
      <c r="DNP3"/>
      <c r="DNQ3"/>
      <c r="DNR3"/>
      <c r="DNS3"/>
      <c r="DNT3"/>
      <c r="DNU3"/>
      <c r="DNV3"/>
      <c r="DNW3"/>
      <c r="DNX3"/>
      <c r="DNY3"/>
      <c r="DNZ3"/>
      <c r="DOA3"/>
      <c r="DOB3"/>
      <c r="DOC3"/>
      <c r="DOD3"/>
      <c r="DOE3"/>
      <c r="DOF3"/>
      <c r="DOG3"/>
      <c r="DOH3"/>
      <c r="DOI3"/>
      <c r="DOJ3"/>
      <c r="DOK3"/>
      <c r="DOL3"/>
      <c r="DOM3"/>
      <c r="DON3"/>
      <c r="DOO3"/>
      <c r="DOP3"/>
      <c r="DOQ3"/>
      <c r="DOR3"/>
      <c r="DOS3"/>
      <c r="DOT3"/>
      <c r="DOU3"/>
      <c r="DOV3"/>
      <c r="DOW3"/>
      <c r="DOX3"/>
      <c r="DOY3"/>
      <c r="DOZ3"/>
      <c r="DPA3"/>
      <c r="DPB3"/>
      <c r="DPC3"/>
      <c r="DPD3"/>
      <c r="DPE3"/>
      <c r="DPF3"/>
      <c r="DPG3"/>
      <c r="DPH3"/>
      <c r="DPI3"/>
      <c r="DPJ3"/>
      <c r="DPK3"/>
      <c r="DPL3"/>
      <c r="DPM3"/>
      <c r="DPN3"/>
      <c r="DPO3"/>
      <c r="DPP3"/>
      <c r="DPQ3"/>
      <c r="DPR3"/>
      <c r="DPS3"/>
      <c r="DPT3"/>
      <c r="DPU3"/>
      <c r="DPV3"/>
      <c r="DPW3"/>
      <c r="DPX3"/>
      <c r="DPY3"/>
      <c r="DPZ3"/>
      <c r="DQA3"/>
      <c r="DQB3"/>
      <c r="DQC3"/>
      <c r="DQD3"/>
      <c r="DQE3"/>
      <c r="DQF3"/>
      <c r="DQG3"/>
      <c r="DQH3"/>
      <c r="DQI3"/>
      <c r="DQJ3"/>
      <c r="DQK3"/>
      <c r="DQL3"/>
      <c r="DQM3"/>
      <c r="DQN3"/>
      <c r="DQO3"/>
      <c r="DQP3"/>
      <c r="DQQ3"/>
      <c r="DQR3"/>
      <c r="DQS3"/>
      <c r="DQT3"/>
      <c r="DQU3"/>
      <c r="DQV3"/>
      <c r="DQW3"/>
      <c r="DQX3"/>
      <c r="DQY3"/>
      <c r="DQZ3"/>
      <c r="DRA3"/>
      <c r="DRB3"/>
      <c r="DRC3"/>
      <c r="DRD3"/>
      <c r="DRE3"/>
      <c r="DRF3"/>
      <c r="DRG3"/>
      <c r="DRH3"/>
      <c r="DRI3"/>
      <c r="DRJ3"/>
      <c r="DRK3"/>
      <c r="DRL3"/>
      <c r="DRM3"/>
      <c r="DRN3"/>
      <c r="DRO3"/>
      <c r="DRP3"/>
      <c r="DRQ3"/>
      <c r="DRR3"/>
      <c r="DRS3"/>
      <c r="DRT3"/>
      <c r="DRU3"/>
      <c r="DRV3"/>
      <c r="DRW3"/>
      <c r="DRX3"/>
      <c r="DRY3"/>
      <c r="DRZ3"/>
      <c r="DSA3"/>
      <c r="DSB3"/>
      <c r="DSC3"/>
      <c r="DSD3"/>
      <c r="DSE3"/>
      <c r="DSF3"/>
      <c r="DSG3"/>
      <c r="DSH3"/>
      <c r="DSI3"/>
      <c r="DSJ3"/>
      <c r="DSK3"/>
      <c r="DSL3"/>
      <c r="DSM3"/>
      <c r="DSN3"/>
      <c r="DSO3"/>
      <c r="DSP3"/>
      <c r="DSQ3"/>
      <c r="DSR3"/>
      <c r="DSS3"/>
      <c r="DST3"/>
      <c r="DSU3"/>
      <c r="DSV3"/>
      <c r="DSW3"/>
      <c r="DSX3"/>
      <c r="DSY3"/>
      <c r="DSZ3"/>
      <c r="DTA3"/>
      <c r="DTB3"/>
      <c r="DTC3"/>
      <c r="DTD3"/>
      <c r="DTE3"/>
      <c r="DTF3"/>
      <c r="DTG3"/>
      <c r="DTH3"/>
      <c r="DTI3"/>
      <c r="DTJ3"/>
      <c r="DTK3"/>
      <c r="DTL3"/>
      <c r="DTM3"/>
      <c r="DTN3"/>
      <c r="DTO3"/>
      <c r="DTP3"/>
      <c r="DTQ3"/>
      <c r="DTR3"/>
      <c r="DTS3"/>
      <c r="DTT3"/>
      <c r="DTU3"/>
      <c r="DTV3"/>
      <c r="DTW3"/>
      <c r="DTX3"/>
      <c r="DTY3"/>
      <c r="DTZ3"/>
      <c r="DUA3"/>
      <c r="DUB3"/>
      <c r="DUC3"/>
      <c r="DUD3"/>
      <c r="DUE3"/>
      <c r="DUF3"/>
      <c r="DUG3"/>
      <c r="DUH3"/>
      <c r="DUI3"/>
      <c r="DUJ3"/>
      <c r="DUK3"/>
      <c r="DUL3"/>
      <c r="DUM3"/>
      <c r="DUN3"/>
      <c r="DUO3"/>
      <c r="DUP3"/>
      <c r="DUQ3"/>
      <c r="DUR3"/>
      <c r="DUS3"/>
      <c r="DUT3"/>
      <c r="DUU3"/>
      <c r="DUV3"/>
      <c r="DUW3"/>
      <c r="DUX3"/>
      <c r="DUY3"/>
      <c r="DUZ3"/>
      <c r="DVA3"/>
      <c r="DVB3"/>
      <c r="DVC3"/>
      <c r="DVD3"/>
      <c r="DVE3"/>
      <c r="DVF3"/>
      <c r="DVG3"/>
      <c r="DVH3"/>
      <c r="DVI3"/>
      <c r="DVJ3"/>
      <c r="DVK3"/>
      <c r="DVL3"/>
      <c r="DVM3"/>
      <c r="DVN3"/>
      <c r="DVO3"/>
      <c r="DVP3"/>
      <c r="DVQ3"/>
      <c r="DVR3"/>
      <c r="DVS3"/>
      <c r="DVT3"/>
      <c r="DVU3"/>
      <c r="DVV3"/>
      <c r="DVW3"/>
      <c r="DVX3"/>
      <c r="DVY3"/>
      <c r="DVZ3"/>
      <c r="DWA3"/>
      <c r="DWB3"/>
      <c r="DWC3"/>
      <c r="DWD3"/>
      <c r="DWE3"/>
      <c r="DWF3"/>
      <c r="DWG3"/>
      <c r="DWH3"/>
      <c r="DWI3"/>
      <c r="DWJ3"/>
      <c r="DWK3"/>
      <c r="DWL3"/>
      <c r="DWM3"/>
      <c r="DWN3"/>
      <c r="DWO3"/>
      <c r="DWP3"/>
      <c r="DWQ3"/>
      <c r="DWR3"/>
      <c r="DWS3"/>
      <c r="DWT3"/>
      <c r="DWU3"/>
      <c r="DWV3"/>
      <c r="DWW3"/>
      <c r="DWX3"/>
      <c r="DWY3"/>
      <c r="DWZ3"/>
      <c r="DXA3"/>
      <c r="DXB3"/>
      <c r="DXC3"/>
      <c r="DXD3"/>
      <c r="DXE3"/>
      <c r="DXF3"/>
      <c r="DXG3"/>
      <c r="DXH3"/>
      <c r="DXI3"/>
      <c r="DXJ3"/>
      <c r="DXK3"/>
      <c r="DXL3"/>
      <c r="DXM3"/>
      <c r="DXN3"/>
      <c r="DXO3"/>
      <c r="DXP3"/>
      <c r="DXQ3"/>
      <c r="DXR3"/>
      <c r="DXS3"/>
      <c r="DXT3"/>
      <c r="DXU3"/>
      <c r="DXV3"/>
      <c r="DXW3"/>
      <c r="DXX3"/>
      <c r="DXY3"/>
      <c r="DXZ3"/>
      <c r="DYA3"/>
      <c r="DYB3"/>
      <c r="DYC3"/>
      <c r="DYD3"/>
      <c r="DYE3"/>
      <c r="DYF3"/>
      <c r="DYG3"/>
      <c r="DYH3"/>
      <c r="DYI3"/>
      <c r="DYJ3"/>
      <c r="DYK3"/>
      <c r="DYL3"/>
      <c r="DYM3"/>
      <c r="DYN3"/>
      <c r="DYO3"/>
      <c r="DYP3"/>
      <c r="DYQ3"/>
      <c r="DYR3"/>
      <c r="DYS3"/>
      <c r="DYT3"/>
      <c r="DYU3"/>
      <c r="DYV3"/>
      <c r="DYW3"/>
      <c r="DYX3"/>
      <c r="DYY3"/>
      <c r="DYZ3"/>
      <c r="DZA3"/>
      <c r="DZB3"/>
      <c r="DZC3"/>
      <c r="DZD3"/>
      <c r="DZE3"/>
      <c r="DZF3"/>
      <c r="DZG3"/>
      <c r="DZH3"/>
      <c r="DZI3"/>
      <c r="DZJ3"/>
      <c r="DZK3"/>
      <c r="DZL3"/>
      <c r="DZM3"/>
      <c r="DZN3"/>
      <c r="DZO3"/>
      <c r="DZP3"/>
      <c r="DZQ3"/>
      <c r="DZR3"/>
      <c r="DZS3"/>
      <c r="DZT3"/>
      <c r="DZU3"/>
      <c r="DZV3"/>
      <c r="DZW3"/>
      <c r="DZX3"/>
      <c r="DZY3"/>
      <c r="DZZ3"/>
      <c r="EAA3"/>
      <c r="EAB3"/>
      <c r="EAC3"/>
      <c r="EAD3"/>
      <c r="EAE3"/>
      <c r="EAF3"/>
      <c r="EAG3"/>
      <c r="EAH3"/>
      <c r="EAI3"/>
      <c r="EAJ3"/>
      <c r="EAK3"/>
      <c r="EAL3"/>
      <c r="EAM3"/>
      <c r="EAN3"/>
      <c r="EAO3"/>
      <c r="EAP3"/>
      <c r="EAQ3"/>
      <c r="EAR3"/>
      <c r="EAS3"/>
      <c r="EAT3"/>
      <c r="EAU3"/>
      <c r="EAV3"/>
      <c r="EAW3"/>
      <c r="EAX3"/>
      <c r="EAY3"/>
      <c r="EAZ3"/>
      <c r="EBA3"/>
      <c r="EBB3"/>
      <c r="EBC3"/>
      <c r="EBD3"/>
      <c r="EBE3"/>
      <c r="EBF3"/>
      <c r="EBG3"/>
      <c r="EBH3"/>
      <c r="EBI3"/>
      <c r="EBJ3"/>
      <c r="EBK3"/>
      <c r="EBL3"/>
      <c r="EBM3"/>
      <c r="EBN3"/>
      <c r="EBO3"/>
      <c r="EBP3"/>
      <c r="EBQ3"/>
      <c r="EBR3"/>
      <c r="EBS3"/>
      <c r="EBT3"/>
      <c r="EBU3"/>
      <c r="EBV3"/>
      <c r="EBW3"/>
      <c r="EBX3"/>
      <c r="EBY3"/>
      <c r="EBZ3"/>
      <c r="ECA3"/>
      <c r="ECB3"/>
      <c r="ECC3"/>
      <c r="ECD3"/>
      <c r="ECE3"/>
      <c r="ECF3"/>
      <c r="ECG3"/>
      <c r="ECH3"/>
      <c r="ECI3"/>
      <c r="ECJ3"/>
      <c r="ECK3"/>
      <c r="ECL3"/>
      <c r="ECM3"/>
      <c r="ECN3"/>
      <c r="ECO3"/>
      <c r="ECP3"/>
      <c r="ECQ3"/>
      <c r="ECR3"/>
      <c r="ECS3"/>
      <c r="ECT3"/>
      <c r="ECU3"/>
      <c r="ECV3"/>
      <c r="ECW3"/>
      <c r="ECX3"/>
      <c r="ECY3"/>
      <c r="ECZ3"/>
      <c r="EDA3"/>
      <c r="EDB3"/>
      <c r="EDC3"/>
      <c r="EDD3"/>
      <c r="EDE3"/>
      <c r="EDF3"/>
      <c r="EDG3"/>
      <c r="EDH3"/>
      <c r="EDI3"/>
      <c r="EDJ3"/>
      <c r="EDK3"/>
      <c r="EDL3"/>
      <c r="EDM3"/>
      <c r="EDN3"/>
      <c r="EDO3"/>
      <c r="EDP3"/>
      <c r="EDQ3"/>
      <c r="EDR3"/>
      <c r="EDS3"/>
      <c r="EDT3"/>
      <c r="EDU3"/>
      <c r="EDV3"/>
      <c r="EDW3"/>
      <c r="EDX3"/>
      <c r="EDY3"/>
      <c r="EDZ3"/>
      <c r="EEA3"/>
      <c r="EEB3"/>
      <c r="EEC3"/>
      <c r="EED3"/>
      <c r="EEE3"/>
      <c r="EEF3"/>
      <c r="EEG3"/>
      <c r="EEH3"/>
      <c r="EEI3"/>
      <c r="EEJ3"/>
      <c r="EEK3"/>
      <c r="EEL3"/>
      <c r="EEM3"/>
      <c r="EEN3"/>
      <c r="EEO3"/>
      <c r="EEP3"/>
      <c r="EEQ3"/>
      <c r="EER3"/>
      <c r="EES3"/>
      <c r="EET3"/>
      <c r="EEU3"/>
      <c r="EEV3"/>
      <c r="EEW3"/>
      <c r="EEX3"/>
      <c r="EEY3"/>
      <c r="EEZ3"/>
      <c r="EFA3"/>
      <c r="EFB3"/>
      <c r="EFC3"/>
      <c r="EFD3"/>
      <c r="EFE3"/>
      <c r="EFF3"/>
      <c r="EFG3"/>
      <c r="EFH3"/>
      <c r="EFI3"/>
      <c r="EFJ3"/>
      <c r="EFK3"/>
      <c r="EFL3"/>
      <c r="EFM3"/>
      <c r="EFN3"/>
      <c r="EFO3"/>
      <c r="EFP3"/>
      <c r="EFQ3"/>
      <c r="EFR3"/>
      <c r="EFS3"/>
      <c r="EFT3"/>
      <c r="EFU3"/>
      <c r="EFV3"/>
      <c r="EFW3"/>
      <c r="EFX3"/>
      <c r="EFY3"/>
      <c r="EFZ3"/>
      <c r="EGA3"/>
      <c r="EGB3"/>
      <c r="EGC3"/>
      <c r="EGD3"/>
      <c r="EGE3"/>
      <c r="EGF3"/>
      <c r="EGG3"/>
      <c r="EGH3"/>
      <c r="EGI3"/>
      <c r="EGJ3"/>
      <c r="EGK3"/>
      <c r="EGL3"/>
      <c r="EGM3"/>
      <c r="EGN3"/>
      <c r="EGO3"/>
      <c r="EGP3"/>
      <c r="EGQ3"/>
      <c r="EGR3"/>
      <c r="EGS3"/>
      <c r="EGT3"/>
      <c r="EGU3"/>
      <c r="EGV3"/>
      <c r="EGW3"/>
      <c r="EGX3"/>
      <c r="EGY3"/>
      <c r="EGZ3"/>
      <c r="EHA3"/>
      <c r="EHB3"/>
      <c r="EHC3"/>
      <c r="EHD3"/>
      <c r="EHE3"/>
      <c r="EHF3"/>
      <c r="EHG3"/>
      <c r="EHH3"/>
      <c r="EHI3"/>
      <c r="EHJ3"/>
      <c r="EHK3"/>
      <c r="EHL3"/>
      <c r="EHM3"/>
      <c r="EHN3"/>
      <c r="EHO3"/>
      <c r="EHP3"/>
      <c r="EHQ3"/>
      <c r="EHR3"/>
      <c r="EHS3"/>
      <c r="EHT3"/>
      <c r="EHU3"/>
      <c r="EHV3"/>
      <c r="EHW3"/>
      <c r="EHX3"/>
      <c r="EHY3"/>
      <c r="EHZ3"/>
      <c r="EIA3"/>
      <c r="EIB3"/>
      <c r="EIC3"/>
      <c r="EID3"/>
      <c r="EIE3"/>
      <c r="EIF3"/>
      <c r="EIG3"/>
      <c r="EIH3"/>
      <c r="EII3"/>
      <c r="EIJ3"/>
      <c r="EIK3"/>
      <c r="EIL3"/>
      <c r="EIM3"/>
      <c r="EIN3"/>
      <c r="EIO3"/>
      <c r="EIP3"/>
      <c r="EIQ3"/>
      <c r="EIR3"/>
      <c r="EIS3"/>
      <c r="EIT3"/>
      <c r="EIU3"/>
      <c r="EIV3"/>
      <c r="EIW3"/>
      <c r="EIX3"/>
      <c r="EIY3"/>
      <c r="EIZ3"/>
      <c r="EJA3"/>
      <c r="EJB3"/>
      <c r="EJC3"/>
      <c r="EJD3"/>
      <c r="EJE3"/>
      <c r="EJF3"/>
      <c r="EJG3"/>
      <c r="EJH3"/>
      <c r="EJI3"/>
      <c r="EJJ3"/>
      <c r="EJK3"/>
      <c r="EJL3"/>
      <c r="EJM3"/>
      <c r="EJN3"/>
      <c r="EJO3"/>
      <c r="EJP3"/>
      <c r="EJQ3"/>
      <c r="EJR3"/>
      <c r="EJS3"/>
      <c r="EJT3"/>
      <c r="EJU3"/>
      <c r="EJV3"/>
      <c r="EJW3"/>
      <c r="EJX3"/>
      <c r="EJY3"/>
      <c r="EJZ3"/>
      <c r="EKA3"/>
      <c r="EKB3"/>
      <c r="EKC3"/>
      <c r="EKD3"/>
      <c r="EKE3"/>
      <c r="EKF3"/>
      <c r="EKG3"/>
      <c r="EKH3"/>
      <c r="EKI3"/>
      <c r="EKJ3"/>
      <c r="EKK3"/>
      <c r="EKL3"/>
      <c r="EKM3"/>
      <c r="EKN3"/>
      <c r="EKO3"/>
      <c r="EKP3"/>
      <c r="EKQ3"/>
      <c r="EKR3"/>
      <c r="EKS3"/>
      <c r="EKT3"/>
      <c r="EKU3"/>
      <c r="EKV3"/>
      <c r="EKW3"/>
      <c r="EKX3"/>
      <c r="EKY3"/>
      <c r="EKZ3"/>
      <c r="ELA3"/>
      <c r="ELB3"/>
      <c r="ELC3"/>
      <c r="ELD3"/>
      <c r="ELE3"/>
      <c r="ELF3"/>
      <c r="ELG3"/>
      <c r="ELH3"/>
      <c r="ELI3"/>
      <c r="ELJ3"/>
      <c r="ELK3"/>
      <c r="ELL3"/>
      <c r="ELM3"/>
      <c r="ELN3"/>
      <c r="ELO3"/>
      <c r="ELP3"/>
      <c r="ELQ3"/>
      <c r="ELR3"/>
      <c r="ELS3"/>
      <c r="ELT3"/>
      <c r="ELU3"/>
      <c r="ELV3"/>
      <c r="ELW3"/>
      <c r="ELX3"/>
      <c r="ELY3"/>
      <c r="ELZ3"/>
      <c r="EMA3"/>
      <c r="EMB3"/>
      <c r="EMC3"/>
      <c r="EMD3"/>
      <c r="EME3"/>
      <c r="EMF3"/>
      <c r="EMG3"/>
      <c r="EMH3"/>
      <c r="EMI3"/>
      <c r="EMJ3"/>
      <c r="EMK3"/>
      <c r="EML3"/>
      <c r="EMM3"/>
      <c r="EMN3"/>
      <c r="EMO3"/>
      <c r="EMP3"/>
      <c r="EMQ3"/>
      <c r="EMR3"/>
      <c r="EMS3"/>
      <c r="EMT3"/>
      <c r="EMU3"/>
      <c r="EMV3"/>
      <c r="EMW3"/>
      <c r="EMX3"/>
      <c r="EMY3"/>
      <c r="EMZ3"/>
      <c r="ENA3"/>
      <c r="ENB3"/>
      <c r="ENC3"/>
      <c r="END3"/>
      <c r="ENE3"/>
      <c r="ENF3"/>
      <c r="ENG3"/>
      <c r="ENH3"/>
      <c r="ENI3"/>
      <c r="ENJ3"/>
      <c r="ENK3"/>
      <c r="ENL3"/>
      <c r="ENM3"/>
      <c r="ENN3"/>
      <c r="ENO3"/>
      <c r="ENP3"/>
      <c r="ENQ3"/>
      <c r="ENR3"/>
      <c r="ENS3"/>
      <c r="ENT3"/>
      <c r="ENU3"/>
      <c r="ENV3"/>
      <c r="ENW3"/>
      <c r="ENX3"/>
      <c r="ENY3"/>
      <c r="ENZ3"/>
      <c r="EOA3"/>
      <c r="EOB3"/>
      <c r="EOC3"/>
      <c r="EOD3"/>
      <c r="EOE3"/>
      <c r="EOF3"/>
      <c r="EOG3"/>
      <c r="EOH3"/>
      <c r="EOI3"/>
      <c r="EOJ3"/>
      <c r="EOK3"/>
      <c r="EOL3"/>
      <c r="EOM3"/>
      <c r="EON3"/>
      <c r="EOO3"/>
      <c r="EOP3"/>
      <c r="EOQ3"/>
      <c r="EOR3"/>
      <c r="EOS3"/>
      <c r="EOT3"/>
      <c r="EOU3"/>
      <c r="EOV3"/>
      <c r="EOW3"/>
      <c r="EOX3"/>
      <c r="EOY3"/>
      <c r="EOZ3"/>
      <c r="EPA3"/>
      <c r="EPB3"/>
      <c r="EPC3"/>
      <c r="EPD3"/>
      <c r="EPE3"/>
      <c r="EPF3"/>
      <c r="EPG3"/>
      <c r="EPH3"/>
      <c r="EPI3"/>
      <c r="EPJ3"/>
      <c r="EPK3"/>
      <c r="EPL3"/>
      <c r="EPM3"/>
      <c r="EPN3"/>
      <c r="EPO3"/>
      <c r="EPP3"/>
      <c r="EPQ3"/>
      <c r="EPR3"/>
      <c r="EPS3"/>
      <c r="EPT3"/>
      <c r="EPU3"/>
      <c r="EPV3"/>
      <c r="EPW3"/>
      <c r="EPX3"/>
      <c r="EPY3"/>
      <c r="EPZ3"/>
      <c r="EQA3"/>
      <c r="EQB3"/>
      <c r="EQC3"/>
      <c r="EQD3"/>
      <c r="EQE3"/>
      <c r="EQF3"/>
      <c r="EQG3"/>
      <c r="EQH3"/>
      <c r="EQI3"/>
      <c r="EQJ3"/>
      <c r="EQK3"/>
      <c r="EQL3"/>
      <c r="EQM3"/>
      <c r="EQN3"/>
      <c r="EQO3"/>
      <c r="EQP3"/>
      <c r="EQQ3"/>
      <c r="EQR3"/>
      <c r="EQS3"/>
      <c r="EQT3"/>
      <c r="EQU3"/>
      <c r="EQV3"/>
      <c r="EQW3"/>
      <c r="EQX3"/>
      <c r="EQY3"/>
      <c r="EQZ3"/>
      <c r="ERA3"/>
      <c r="ERB3"/>
      <c r="ERC3"/>
      <c r="ERD3"/>
      <c r="ERE3"/>
      <c r="ERF3"/>
      <c r="ERG3"/>
      <c r="ERH3"/>
      <c r="ERI3"/>
      <c r="ERJ3"/>
      <c r="ERK3"/>
      <c r="ERL3"/>
      <c r="ERM3"/>
      <c r="ERN3"/>
      <c r="ERO3"/>
      <c r="ERP3"/>
      <c r="ERQ3"/>
      <c r="ERR3"/>
      <c r="ERS3"/>
      <c r="ERT3"/>
      <c r="ERU3"/>
      <c r="ERV3"/>
      <c r="ERW3"/>
      <c r="ERX3"/>
      <c r="ERY3"/>
      <c r="ERZ3"/>
      <c r="ESA3"/>
      <c r="ESB3"/>
      <c r="ESC3"/>
      <c r="ESD3"/>
      <c r="ESE3"/>
      <c r="ESF3"/>
      <c r="ESG3"/>
      <c r="ESH3"/>
      <c r="ESI3"/>
      <c r="ESJ3"/>
      <c r="ESK3"/>
      <c r="ESL3"/>
      <c r="ESM3"/>
      <c r="ESN3"/>
      <c r="ESO3"/>
      <c r="ESP3"/>
      <c r="ESQ3"/>
      <c r="ESR3"/>
      <c r="ESS3"/>
      <c r="EST3"/>
      <c r="ESU3"/>
      <c r="ESV3"/>
      <c r="ESW3"/>
      <c r="ESX3"/>
      <c r="ESY3"/>
      <c r="ESZ3"/>
      <c r="ETA3"/>
      <c r="ETB3"/>
      <c r="ETC3"/>
      <c r="ETD3"/>
      <c r="ETE3"/>
      <c r="ETF3"/>
      <c r="ETG3"/>
      <c r="ETH3"/>
      <c r="ETI3"/>
      <c r="ETJ3"/>
      <c r="ETK3"/>
      <c r="ETL3"/>
      <c r="ETM3"/>
      <c r="ETN3"/>
      <c r="ETO3"/>
      <c r="ETP3"/>
      <c r="ETQ3"/>
      <c r="ETR3"/>
      <c r="ETS3"/>
      <c r="ETT3"/>
      <c r="ETU3"/>
      <c r="ETV3"/>
      <c r="ETW3"/>
      <c r="ETX3"/>
      <c r="ETY3"/>
      <c r="ETZ3"/>
      <c r="EUA3"/>
      <c r="EUB3"/>
      <c r="EUC3"/>
      <c r="EUD3"/>
      <c r="EUE3"/>
      <c r="EUF3"/>
      <c r="EUG3"/>
      <c r="EUH3"/>
      <c r="EUI3"/>
      <c r="EUJ3"/>
      <c r="EUK3"/>
      <c r="EUL3"/>
      <c r="EUM3"/>
      <c r="EUN3"/>
      <c r="EUO3"/>
      <c r="EUP3"/>
      <c r="EUQ3"/>
      <c r="EUR3"/>
      <c r="EUS3"/>
      <c r="EUT3"/>
      <c r="EUU3"/>
      <c r="EUV3"/>
      <c r="EUW3"/>
      <c r="EUX3"/>
      <c r="EUY3"/>
      <c r="EUZ3"/>
      <c r="EVA3"/>
      <c r="EVB3"/>
      <c r="EVC3"/>
      <c r="EVD3"/>
      <c r="EVE3"/>
      <c r="EVF3"/>
      <c r="EVG3"/>
      <c r="EVH3"/>
      <c r="EVI3"/>
      <c r="EVJ3"/>
      <c r="EVK3"/>
      <c r="EVL3"/>
      <c r="EVM3"/>
      <c r="EVN3"/>
      <c r="EVO3"/>
      <c r="EVP3"/>
      <c r="EVQ3"/>
      <c r="EVR3"/>
      <c r="EVS3"/>
      <c r="EVT3"/>
      <c r="EVU3"/>
      <c r="EVV3"/>
      <c r="EVW3"/>
      <c r="EVX3"/>
      <c r="EVY3"/>
      <c r="EVZ3"/>
      <c r="EWA3"/>
      <c r="EWB3"/>
      <c r="EWC3"/>
      <c r="EWD3"/>
      <c r="EWE3"/>
      <c r="EWF3"/>
      <c r="EWG3"/>
      <c r="EWH3"/>
      <c r="EWI3"/>
      <c r="EWJ3"/>
      <c r="EWK3"/>
      <c r="EWL3"/>
      <c r="EWM3"/>
      <c r="EWN3"/>
      <c r="EWO3"/>
      <c r="EWP3"/>
      <c r="EWQ3"/>
      <c r="EWR3"/>
      <c r="EWS3"/>
      <c r="EWT3"/>
      <c r="EWU3"/>
      <c r="EWV3"/>
      <c r="EWW3"/>
      <c r="EWX3"/>
      <c r="EWY3"/>
      <c r="EWZ3"/>
      <c r="EXA3"/>
      <c r="EXB3"/>
      <c r="EXC3"/>
      <c r="EXD3"/>
      <c r="EXE3"/>
      <c r="EXF3"/>
      <c r="EXG3"/>
      <c r="EXH3"/>
      <c r="EXI3"/>
      <c r="EXJ3"/>
      <c r="EXK3"/>
      <c r="EXL3"/>
      <c r="EXM3"/>
      <c r="EXN3"/>
      <c r="EXO3"/>
      <c r="EXP3"/>
      <c r="EXQ3"/>
      <c r="EXR3"/>
      <c r="EXS3"/>
      <c r="EXT3"/>
      <c r="EXU3"/>
      <c r="EXV3"/>
      <c r="EXW3"/>
      <c r="EXX3"/>
      <c r="EXY3"/>
      <c r="EXZ3"/>
      <c r="EYA3"/>
      <c r="EYB3"/>
      <c r="EYC3"/>
      <c r="EYD3"/>
      <c r="EYE3"/>
      <c r="EYF3"/>
      <c r="EYG3"/>
      <c r="EYH3"/>
      <c r="EYI3"/>
      <c r="EYJ3"/>
      <c r="EYK3"/>
      <c r="EYL3"/>
      <c r="EYM3"/>
      <c r="EYN3"/>
      <c r="EYO3"/>
      <c r="EYP3"/>
      <c r="EYQ3"/>
      <c r="EYR3"/>
      <c r="EYS3"/>
      <c r="EYT3"/>
      <c r="EYU3"/>
      <c r="EYV3"/>
      <c r="EYW3"/>
      <c r="EYX3"/>
      <c r="EYY3"/>
      <c r="EYZ3"/>
      <c r="EZA3"/>
      <c r="EZB3"/>
      <c r="EZC3"/>
      <c r="EZD3"/>
      <c r="EZE3"/>
      <c r="EZF3"/>
      <c r="EZG3"/>
      <c r="EZH3"/>
      <c r="EZI3"/>
      <c r="EZJ3"/>
      <c r="EZK3"/>
      <c r="EZL3"/>
      <c r="EZM3"/>
      <c r="EZN3"/>
      <c r="EZO3"/>
      <c r="EZP3"/>
      <c r="EZQ3"/>
      <c r="EZR3"/>
      <c r="EZS3"/>
      <c r="EZT3"/>
      <c r="EZU3"/>
      <c r="EZV3"/>
      <c r="EZW3"/>
      <c r="EZX3"/>
      <c r="EZY3"/>
      <c r="EZZ3"/>
      <c r="FAA3"/>
      <c r="FAB3"/>
      <c r="FAC3"/>
      <c r="FAD3"/>
      <c r="FAE3"/>
      <c r="FAF3"/>
      <c r="FAG3"/>
      <c r="FAH3"/>
      <c r="FAI3"/>
      <c r="FAJ3"/>
      <c r="FAK3"/>
      <c r="FAL3"/>
      <c r="FAM3"/>
      <c r="FAN3"/>
      <c r="FAO3"/>
      <c r="FAP3"/>
      <c r="FAQ3"/>
      <c r="FAR3"/>
      <c r="FAS3"/>
      <c r="FAT3"/>
      <c r="FAU3"/>
      <c r="FAV3"/>
      <c r="FAW3"/>
      <c r="FAX3"/>
      <c r="FAY3"/>
      <c r="FAZ3"/>
      <c r="FBA3"/>
      <c r="FBB3"/>
      <c r="FBC3"/>
      <c r="FBD3"/>
      <c r="FBE3"/>
      <c r="FBF3"/>
      <c r="FBG3"/>
      <c r="FBH3"/>
      <c r="FBI3"/>
      <c r="FBJ3"/>
      <c r="FBK3"/>
      <c r="FBL3"/>
      <c r="FBM3"/>
      <c r="FBN3"/>
      <c r="FBO3"/>
      <c r="FBP3"/>
      <c r="FBQ3"/>
      <c r="FBR3"/>
      <c r="FBS3"/>
      <c r="FBT3"/>
      <c r="FBU3"/>
      <c r="FBV3"/>
      <c r="FBW3"/>
      <c r="FBX3"/>
      <c r="FBY3"/>
      <c r="FBZ3"/>
      <c r="FCA3"/>
      <c r="FCB3"/>
      <c r="FCC3"/>
      <c r="FCD3"/>
      <c r="FCE3"/>
      <c r="FCF3"/>
      <c r="FCG3"/>
      <c r="FCH3"/>
      <c r="FCI3"/>
      <c r="FCJ3"/>
      <c r="FCK3"/>
      <c r="FCL3"/>
      <c r="FCM3"/>
      <c r="FCN3"/>
      <c r="FCO3"/>
      <c r="FCP3"/>
      <c r="FCQ3"/>
      <c r="FCR3"/>
      <c r="FCS3"/>
      <c r="FCT3"/>
      <c r="FCU3"/>
      <c r="FCV3"/>
      <c r="FCW3"/>
      <c r="FCX3"/>
      <c r="FCY3"/>
      <c r="FCZ3"/>
      <c r="FDA3"/>
      <c r="FDB3"/>
      <c r="FDC3"/>
      <c r="FDD3"/>
      <c r="FDE3"/>
      <c r="FDF3"/>
      <c r="FDG3"/>
      <c r="FDH3"/>
      <c r="FDI3"/>
      <c r="FDJ3"/>
      <c r="FDK3"/>
      <c r="FDL3"/>
      <c r="FDM3"/>
      <c r="FDN3"/>
      <c r="FDO3"/>
      <c r="FDP3"/>
      <c r="FDQ3"/>
      <c r="FDR3"/>
      <c r="FDS3"/>
      <c r="FDT3"/>
      <c r="FDU3"/>
      <c r="FDV3"/>
      <c r="FDW3"/>
      <c r="FDX3"/>
      <c r="FDY3"/>
      <c r="FDZ3"/>
      <c r="FEA3"/>
      <c r="FEB3"/>
      <c r="FEC3"/>
      <c r="FED3"/>
      <c r="FEE3"/>
      <c r="FEF3"/>
      <c r="FEG3"/>
      <c r="FEH3"/>
      <c r="FEI3"/>
      <c r="FEJ3"/>
      <c r="FEK3"/>
      <c r="FEL3"/>
      <c r="FEM3"/>
      <c r="FEN3"/>
      <c r="FEO3"/>
      <c r="FEP3"/>
      <c r="FEQ3"/>
      <c r="FER3"/>
      <c r="FES3"/>
      <c r="FET3"/>
      <c r="FEU3"/>
      <c r="FEV3"/>
      <c r="FEW3"/>
      <c r="FEX3"/>
      <c r="FEY3"/>
      <c r="FEZ3"/>
      <c r="FFA3"/>
      <c r="FFB3"/>
      <c r="FFC3"/>
      <c r="FFD3"/>
      <c r="FFE3"/>
      <c r="FFF3"/>
      <c r="FFG3"/>
      <c r="FFH3"/>
      <c r="FFI3"/>
      <c r="FFJ3"/>
      <c r="FFK3"/>
      <c r="FFL3"/>
      <c r="FFM3"/>
      <c r="FFN3"/>
      <c r="FFO3"/>
      <c r="FFP3"/>
      <c r="FFQ3"/>
      <c r="FFR3"/>
      <c r="FFS3"/>
      <c r="FFT3"/>
      <c r="FFU3"/>
      <c r="FFV3"/>
      <c r="FFW3"/>
      <c r="FFX3"/>
      <c r="FFY3"/>
      <c r="FFZ3"/>
      <c r="FGA3"/>
      <c r="FGB3"/>
      <c r="FGC3"/>
      <c r="FGD3"/>
      <c r="FGE3"/>
      <c r="FGF3"/>
      <c r="FGG3"/>
      <c r="FGH3"/>
      <c r="FGI3"/>
      <c r="FGJ3"/>
      <c r="FGK3"/>
      <c r="FGL3"/>
      <c r="FGM3"/>
      <c r="FGN3"/>
      <c r="FGO3"/>
      <c r="FGP3"/>
      <c r="FGQ3"/>
      <c r="FGR3"/>
      <c r="FGS3"/>
      <c r="FGT3"/>
      <c r="FGU3"/>
      <c r="FGV3"/>
      <c r="FGW3"/>
      <c r="FGX3"/>
      <c r="FGY3"/>
      <c r="FGZ3"/>
      <c r="FHA3"/>
      <c r="FHB3"/>
      <c r="FHC3"/>
      <c r="FHD3"/>
      <c r="FHE3"/>
      <c r="FHF3"/>
      <c r="FHG3"/>
      <c r="FHH3"/>
      <c r="FHI3"/>
      <c r="FHJ3"/>
      <c r="FHK3"/>
      <c r="FHL3"/>
      <c r="FHM3"/>
      <c r="FHN3"/>
      <c r="FHO3"/>
      <c r="FHP3"/>
      <c r="FHQ3"/>
      <c r="FHR3"/>
      <c r="FHS3"/>
      <c r="FHT3"/>
      <c r="FHU3"/>
      <c r="FHV3"/>
      <c r="FHW3"/>
      <c r="FHX3"/>
      <c r="FHY3"/>
      <c r="FHZ3"/>
      <c r="FIA3"/>
      <c r="FIB3"/>
      <c r="FIC3"/>
      <c r="FID3"/>
      <c r="FIE3"/>
      <c r="FIF3"/>
      <c r="FIG3"/>
      <c r="FIH3"/>
      <c r="FII3"/>
      <c r="FIJ3"/>
      <c r="FIK3"/>
      <c r="FIL3"/>
      <c r="FIM3"/>
      <c r="FIN3"/>
      <c r="FIO3"/>
      <c r="FIP3"/>
      <c r="FIQ3"/>
      <c r="FIR3"/>
      <c r="FIS3"/>
      <c r="FIT3"/>
      <c r="FIU3"/>
      <c r="FIV3"/>
      <c r="FIW3"/>
      <c r="FIX3"/>
      <c r="FIY3"/>
      <c r="FIZ3"/>
      <c r="FJA3"/>
      <c r="FJB3"/>
      <c r="FJC3"/>
      <c r="FJD3"/>
      <c r="FJE3"/>
      <c r="FJF3"/>
      <c r="FJG3"/>
      <c r="FJH3"/>
      <c r="FJI3"/>
      <c r="FJJ3"/>
      <c r="FJK3"/>
      <c r="FJL3"/>
      <c r="FJM3"/>
      <c r="FJN3"/>
      <c r="FJO3"/>
      <c r="FJP3"/>
      <c r="FJQ3"/>
      <c r="FJR3"/>
      <c r="FJS3"/>
      <c r="FJT3"/>
      <c r="FJU3"/>
      <c r="FJV3"/>
      <c r="FJW3"/>
      <c r="FJX3"/>
      <c r="FJY3"/>
      <c r="FJZ3"/>
      <c r="FKA3"/>
      <c r="FKB3"/>
      <c r="FKC3"/>
      <c r="FKD3"/>
      <c r="FKE3"/>
      <c r="FKF3"/>
      <c r="FKG3"/>
      <c r="FKH3"/>
      <c r="FKI3"/>
      <c r="FKJ3"/>
      <c r="FKK3"/>
      <c r="FKL3"/>
      <c r="FKM3"/>
      <c r="FKN3"/>
      <c r="FKO3"/>
      <c r="FKP3"/>
      <c r="FKQ3"/>
      <c r="FKR3"/>
      <c r="FKS3"/>
      <c r="FKT3"/>
      <c r="FKU3"/>
      <c r="FKV3"/>
      <c r="FKW3"/>
      <c r="FKX3"/>
      <c r="FKY3"/>
      <c r="FKZ3"/>
      <c r="FLA3"/>
      <c r="FLB3"/>
      <c r="FLC3"/>
      <c r="FLD3"/>
      <c r="FLE3"/>
      <c r="FLF3"/>
      <c r="FLG3"/>
      <c r="FLH3"/>
      <c r="FLI3"/>
      <c r="FLJ3"/>
      <c r="FLK3"/>
      <c r="FLL3"/>
      <c r="FLM3"/>
      <c r="FLN3"/>
      <c r="FLO3"/>
      <c r="FLP3"/>
      <c r="FLQ3"/>
      <c r="FLR3"/>
      <c r="FLS3"/>
      <c r="FLT3"/>
      <c r="FLU3"/>
      <c r="FLV3"/>
      <c r="FLW3"/>
      <c r="FLX3"/>
      <c r="FLY3"/>
      <c r="FLZ3"/>
      <c r="FMA3"/>
      <c r="FMB3"/>
      <c r="FMC3"/>
      <c r="FMD3"/>
      <c r="FME3"/>
      <c r="FMF3"/>
      <c r="FMG3"/>
      <c r="FMH3"/>
      <c r="FMI3"/>
      <c r="FMJ3"/>
      <c r="FMK3"/>
      <c r="FML3"/>
      <c r="FMM3"/>
      <c r="FMN3"/>
      <c r="FMO3"/>
      <c r="FMP3"/>
      <c r="FMQ3"/>
      <c r="FMR3"/>
      <c r="FMS3"/>
      <c r="FMT3"/>
      <c r="FMU3"/>
      <c r="FMV3"/>
      <c r="FMW3"/>
      <c r="FMX3"/>
      <c r="FMY3"/>
      <c r="FMZ3"/>
      <c r="FNA3"/>
      <c r="FNB3"/>
      <c r="FNC3"/>
      <c r="FND3"/>
      <c r="FNE3"/>
      <c r="FNF3"/>
      <c r="FNG3"/>
      <c r="FNH3"/>
      <c r="FNI3"/>
      <c r="FNJ3"/>
      <c r="FNK3"/>
      <c r="FNL3"/>
      <c r="FNM3"/>
      <c r="FNN3"/>
      <c r="FNO3"/>
      <c r="FNP3"/>
      <c r="FNQ3"/>
      <c r="FNR3"/>
      <c r="FNS3"/>
      <c r="FNT3"/>
      <c r="FNU3"/>
      <c r="FNV3"/>
      <c r="FNW3"/>
      <c r="FNX3"/>
      <c r="FNY3"/>
      <c r="FNZ3"/>
      <c r="FOA3"/>
      <c r="FOB3"/>
      <c r="FOC3"/>
      <c r="FOD3"/>
      <c r="FOE3"/>
      <c r="FOF3"/>
      <c r="FOG3"/>
      <c r="FOH3"/>
      <c r="FOI3"/>
      <c r="FOJ3"/>
      <c r="FOK3"/>
      <c r="FOL3"/>
      <c r="FOM3"/>
      <c r="FON3"/>
      <c r="FOO3"/>
      <c r="FOP3"/>
      <c r="FOQ3"/>
      <c r="FOR3"/>
      <c r="FOS3"/>
      <c r="FOT3"/>
      <c r="FOU3"/>
      <c r="FOV3"/>
      <c r="FOW3"/>
      <c r="FOX3"/>
      <c r="FOY3"/>
      <c r="FOZ3"/>
      <c r="FPA3"/>
      <c r="FPB3"/>
      <c r="FPC3"/>
      <c r="FPD3"/>
      <c r="FPE3"/>
      <c r="FPF3"/>
      <c r="FPG3"/>
      <c r="FPH3"/>
      <c r="FPI3"/>
      <c r="FPJ3"/>
      <c r="FPK3"/>
      <c r="FPL3"/>
      <c r="FPM3"/>
      <c r="FPN3"/>
      <c r="FPO3"/>
      <c r="FPP3"/>
      <c r="FPQ3"/>
      <c r="FPR3"/>
      <c r="FPS3"/>
      <c r="FPT3"/>
      <c r="FPU3"/>
      <c r="FPV3"/>
      <c r="FPW3"/>
      <c r="FPX3"/>
      <c r="FPY3"/>
      <c r="FPZ3"/>
      <c r="FQA3"/>
      <c r="FQB3"/>
      <c r="FQC3"/>
      <c r="FQD3"/>
      <c r="FQE3"/>
      <c r="FQF3"/>
      <c r="FQG3"/>
      <c r="FQH3"/>
      <c r="FQI3"/>
      <c r="FQJ3"/>
      <c r="FQK3"/>
      <c r="FQL3"/>
      <c r="FQM3"/>
      <c r="FQN3"/>
      <c r="FQO3"/>
      <c r="FQP3"/>
      <c r="FQQ3"/>
      <c r="FQR3"/>
      <c r="FQS3"/>
      <c r="FQT3"/>
      <c r="FQU3"/>
      <c r="FQV3"/>
      <c r="FQW3"/>
      <c r="FQX3"/>
      <c r="FQY3"/>
      <c r="FQZ3"/>
      <c r="FRA3"/>
      <c r="FRB3"/>
      <c r="FRC3"/>
      <c r="FRD3"/>
      <c r="FRE3"/>
      <c r="FRF3"/>
      <c r="FRG3"/>
      <c r="FRH3"/>
      <c r="FRI3"/>
      <c r="FRJ3"/>
      <c r="FRK3"/>
      <c r="FRL3"/>
      <c r="FRM3"/>
      <c r="FRN3"/>
      <c r="FRO3"/>
      <c r="FRP3"/>
      <c r="FRQ3"/>
      <c r="FRR3"/>
      <c r="FRS3"/>
      <c r="FRT3"/>
      <c r="FRU3"/>
      <c r="FRV3"/>
      <c r="FRW3"/>
      <c r="FRX3"/>
      <c r="FRY3"/>
      <c r="FRZ3"/>
      <c r="FSA3"/>
      <c r="FSB3"/>
      <c r="FSC3"/>
      <c r="FSD3"/>
      <c r="FSE3"/>
      <c r="FSF3"/>
      <c r="FSG3"/>
      <c r="FSH3"/>
      <c r="FSI3"/>
      <c r="FSJ3"/>
      <c r="FSK3"/>
      <c r="FSL3"/>
      <c r="FSM3"/>
      <c r="FSN3"/>
      <c r="FSO3"/>
      <c r="FSP3"/>
      <c r="FSQ3"/>
      <c r="FSR3"/>
      <c r="FSS3"/>
      <c r="FST3"/>
      <c r="FSU3"/>
      <c r="FSV3"/>
      <c r="FSW3"/>
      <c r="FSX3"/>
      <c r="FSY3"/>
      <c r="FSZ3"/>
      <c r="FTA3"/>
      <c r="FTB3"/>
      <c r="FTC3"/>
      <c r="FTD3"/>
      <c r="FTE3"/>
      <c r="FTF3"/>
      <c r="FTG3"/>
      <c r="FTH3"/>
      <c r="FTI3"/>
      <c r="FTJ3"/>
      <c r="FTK3"/>
      <c r="FTL3"/>
      <c r="FTM3"/>
      <c r="FTN3"/>
      <c r="FTO3"/>
      <c r="FTP3"/>
      <c r="FTQ3"/>
      <c r="FTR3"/>
      <c r="FTS3"/>
      <c r="FTT3"/>
      <c r="FTU3"/>
      <c r="FTV3"/>
      <c r="FTW3"/>
      <c r="FTX3"/>
      <c r="FTY3"/>
      <c r="FTZ3"/>
      <c r="FUA3"/>
      <c r="FUB3"/>
      <c r="FUC3"/>
      <c r="FUD3"/>
      <c r="FUE3"/>
      <c r="FUF3"/>
      <c r="FUG3"/>
      <c r="FUH3"/>
      <c r="FUI3"/>
      <c r="FUJ3"/>
      <c r="FUK3"/>
      <c r="FUL3"/>
      <c r="FUM3"/>
      <c r="FUN3"/>
      <c r="FUO3"/>
      <c r="FUP3"/>
      <c r="FUQ3"/>
      <c r="FUR3"/>
      <c r="FUS3"/>
      <c r="FUT3"/>
      <c r="FUU3"/>
      <c r="FUV3"/>
      <c r="FUW3"/>
      <c r="FUX3"/>
      <c r="FUY3"/>
      <c r="FUZ3"/>
      <c r="FVA3"/>
      <c r="FVB3"/>
      <c r="FVC3"/>
      <c r="FVD3"/>
      <c r="FVE3"/>
      <c r="FVF3"/>
      <c r="FVG3"/>
      <c r="FVH3"/>
      <c r="FVI3"/>
      <c r="FVJ3"/>
      <c r="FVK3"/>
      <c r="FVL3"/>
      <c r="FVM3"/>
      <c r="FVN3"/>
      <c r="FVO3"/>
      <c r="FVP3"/>
      <c r="FVQ3"/>
      <c r="FVR3"/>
      <c r="FVS3"/>
      <c r="FVT3"/>
      <c r="FVU3"/>
      <c r="FVV3"/>
      <c r="FVW3"/>
      <c r="FVX3"/>
      <c r="FVY3"/>
      <c r="FVZ3"/>
      <c r="FWA3"/>
      <c r="FWB3"/>
      <c r="FWC3"/>
      <c r="FWD3"/>
      <c r="FWE3"/>
      <c r="FWF3"/>
      <c r="FWG3"/>
      <c r="FWH3"/>
      <c r="FWI3"/>
      <c r="FWJ3"/>
      <c r="FWK3"/>
      <c r="FWL3"/>
      <c r="FWM3"/>
      <c r="FWN3"/>
      <c r="FWO3"/>
      <c r="FWP3"/>
      <c r="FWQ3"/>
      <c r="FWR3"/>
      <c r="FWS3"/>
      <c r="FWT3"/>
      <c r="FWU3"/>
      <c r="FWV3"/>
      <c r="FWW3"/>
      <c r="FWX3"/>
      <c r="FWY3"/>
      <c r="FWZ3"/>
      <c r="FXA3"/>
      <c r="FXB3"/>
      <c r="FXC3"/>
      <c r="FXD3"/>
      <c r="FXE3"/>
      <c r="FXF3"/>
      <c r="FXG3"/>
      <c r="FXH3"/>
      <c r="FXI3"/>
      <c r="FXJ3"/>
      <c r="FXK3"/>
      <c r="FXL3"/>
      <c r="FXM3"/>
      <c r="FXN3"/>
      <c r="FXO3"/>
      <c r="FXP3"/>
      <c r="FXQ3"/>
      <c r="FXR3"/>
      <c r="FXS3"/>
      <c r="FXT3"/>
      <c r="FXU3"/>
      <c r="FXV3"/>
      <c r="FXW3"/>
      <c r="FXX3"/>
      <c r="FXY3"/>
      <c r="FXZ3"/>
      <c r="FYA3"/>
      <c r="FYB3"/>
      <c r="FYC3"/>
      <c r="FYD3"/>
      <c r="FYE3"/>
      <c r="FYF3"/>
      <c r="FYG3"/>
      <c r="FYH3"/>
      <c r="FYI3"/>
      <c r="FYJ3"/>
      <c r="FYK3"/>
      <c r="FYL3"/>
      <c r="FYM3"/>
      <c r="FYN3"/>
      <c r="FYO3"/>
      <c r="FYP3"/>
      <c r="FYQ3"/>
      <c r="FYR3"/>
      <c r="FYS3"/>
      <c r="FYT3"/>
      <c r="FYU3"/>
      <c r="FYV3"/>
      <c r="FYW3"/>
      <c r="FYX3"/>
      <c r="FYY3"/>
      <c r="FYZ3"/>
      <c r="FZA3"/>
      <c r="FZB3"/>
      <c r="FZC3"/>
      <c r="FZD3"/>
      <c r="FZE3"/>
      <c r="FZF3"/>
      <c r="FZG3"/>
      <c r="FZH3"/>
      <c r="FZI3"/>
      <c r="FZJ3"/>
      <c r="FZK3"/>
      <c r="FZL3"/>
      <c r="FZM3"/>
      <c r="FZN3"/>
      <c r="FZO3"/>
      <c r="FZP3"/>
      <c r="FZQ3"/>
      <c r="FZR3"/>
      <c r="FZS3"/>
      <c r="FZT3"/>
      <c r="FZU3"/>
      <c r="FZV3"/>
      <c r="FZW3"/>
      <c r="FZX3"/>
      <c r="FZY3"/>
      <c r="FZZ3"/>
      <c r="GAA3"/>
      <c r="GAB3"/>
      <c r="GAC3"/>
      <c r="GAD3"/>
      <c r="GAE3"/>
      <c r="GAF3"/>
      <c r="GAG3"/>
      <c r="GAH3"/>
      <c r="GAI3"/>
      <c r="GAJ3"/>
      <c r="GAK3"/>
      <c r="GAL3"/>
      <c r="GAM3"/>
      <c r="GAN3"/>
      <c r="GAO3"/>
      <c r="GAP3"/>
      <c r="GAQ3"/>
      <c r="GAR3"/>
      <c r="GAS3"/>
      <c r="GAT3"/>
      <c r="GAU3"/>
      <c r="GAV3"/>
      <c r="GAW3"/>
      <c r="GAX3"/>
      <c r="GAY3"/>
      <c r="GAZ3"/>
      <c r="GBA3"/>
      <c r="GBB3"/>
      <c r="GBC3"/>
      <c r="GBD3"/>
      <c r="GBE3"/>
      <c r="GBF3"/>
      <c r="GBG3"/>
      <c r="GBH3"/>
      <c r="GBI3"/>
      <c r="GBJ3"/>
      <c r="GBK3"/>
      <c r="GBL3"/>
      <c r="GBM3"/>
      <c r="GBN3"/>
      <c r="GBO3"/>
      <c r="GBP3"/>
      <c r="GBQ3"/>
      <c r="GBR3"/>
      <c r="GBS3"/>
      <c r="GBT3"/>
      <c r="GBU3"/>
      <c r="GBV3"/>
      <c r="GBW3"/>
      <c r="GBX3"/>
      <c r="GBY3"/>
      <c r="GBZ3"/>
      <c r="GCA3"/>
      <c r="GCB3"/>
      <c r="GCC3"/>
      <c r="GCD3"/>
      <c r="GCE3"/>
      <c r="GCF3"/>
      <c r="GCG3"/>
      <c r="GCH3"/>
      <c r="GCI3"/>
      <c r="GCJ3"/>
      <c r="GCK3"/>
      <c r="GCL3"/>
      <c r="GCM3"/>
      <c r="GCN3"/>
      <c r="GCO3"/>
      <c r="GCP3"/>
      <c r="GCQ3"/>
      <c r="GCR3"/>
      <c r="GCS3"/>
      <c r="GCT3"/>
      <c r="GCU3"/>
      <c r="GCV3"/>
      <c r="GCW3"/>
      <c r="GCX3"/>
      <c r="GCY3"/>
      <c r="GCZ3"/>
      <c r="GDA3"/>
      <c r="GDB3"/>
      <c r="GDC3"/>
      <c r="GDD3"/>
      <c r="GDE3"/>
      <c r="GDF3"/>
      <c r="GDG3"/>
      <c r="GDH3"/>
      <c r="GDI3"/>
      <c r="GDJ3"/>
      <c r="GDK3"/>
      <c r="GDL3"/>
      <c r="GDM3"/>
      <c r="GDN3"/>
      <c r="GDO3"/>
      <c r="GDP3"/>
      <c r="GDQ3"/>
      <c r="GDR3"/>
      <c r="GDS3"/>
      <c r="GDT3"/>
      <c r="GDU3"/>
      <c r="GDV3"/>
      <c r="GDW3"/>
      <c r="GDX3"/>
      <c r="GDY3"/>
      <c r="GDZ3"/>
      <c r="GEA3"/>
      <c r="GEB3"/>
      <c r="GEC3"/>
      <c r="GED3"/>
      <c r="GEE3"/>
      <c r="GEF3"/>
      <c r="GEG3"/>
      <c r="GEH3"/>
      <c r="GEI3"/>
      <c r="GEJ3"/>
      <c r="GEK3"/>
      <c r="GEL3"/>
      <c r="GEM3"/>
      <c r="GEN3"/>
      <c r="GEO3"/>
      <c r="GEP3"/>
      <c r="GEQ3"/>
      <c r="GER3"/>
      <c r="GES3"/>
      <c r="GET3"/>
      <c r="GEU3"/>
      <c r="GEV3"/>
      <c r="GEW3"/>
      <c r="GEX3"/>
      <c r="GEY3"/>
      <c r="GEZ3"/>
      <c r="GFA3"/>
      <c r="GFB3"/>
      <c r="GFC3"/>
      <c r="GFD3"/>
      <c r="GFE3"/>
      <c r="GFF3"/>
      <c r="GFG3"/>
      <c r="GFH3"/>
      <c r="GFI3"/>
      <c r="GFJ3"/>
      <c r="GFK3"/>
      <c r="GFL3"/>
      <c r="GFM3"/>
      <c r="GFN3"/>
      <c r="GFO3"/>
      <c r="GFP3"/>
      <c r="GFQ3"/>
      <c r="GFR3"/>
      <c r="GFS3"/>
      <c r="GFT3"/>
      <c r="GFU3"/>
      <c r="GFV3"/>
      <c r="GFW3"/>
      <c r="GFX3"/>
      <c r="GFY3"/>
      <c r="GFZ3"/>
      <c r="GGA3"/>
      <c r="GGB3"/>
      <c r="GGC3"/>
      <c r="GGD3"/>
      <c r="GGE3"/>
      <c r="GGF3"/>
      <c r="GGG3"/>
      <c r="GGH3"/>
      <c r="GGI3"/>
      <c r="GGJ3"/>
      <c r="GGK3"/>
      <c r="GGL3"/>
      <c r="GGM3"/>
      <c r="GGN3"/>
      <c r="GGO3"/>
      <c r="GGP3"/>
      <c r="GGQ3"/>
      <c r="GGR3"/>
      <c r="GGS3"/>
      <c r="GGT3"/>
      <c r="GGU3"/>
      <c r="GGV3"/>
      <c r="GGW3"/>
      <c r="GGX3"/>
      <c r="GGY3"/>
      <c r="GGZ3"/>
      <c r="GHA3"/>
      <c r="GHB3"/>
      <c r="GHC3"/>
      <c r="GHD3"/>
      <c r="GHE3"/>
      <c r="GHF3"/>
      <c r="GHG3"/>
      <c r="GHH3"/>
      <c r="GHI3"/>
      <c r="GHJ3"/>
      <c r="GHK3"/>
      <c r="GHL3"/>
      <c r="GHM3"/>
      <c r="GHN3"/>
      <c r="GHO3"/>
      <c r="GHP3"/>
      <c r="GHQ3"/>
      <c r="GHR3"/>
      <c r="GHS3"/>
      <c r="GHT3"/>
      <c r="GHU3"/>
      <c r="GHV3"/>
      <c r="GHW3"/>
      <c r="GHX3"/>
      <c r="GHY3"/>
      <c r="GHZ3"/>
      <c r="GIA3"/>
      <c r="GIB3"/>
      <c r="GIC3"/>
      <c r="GID3"/>
      <c r="GIE3"/>
      <c r="GIF3"/>
      <c r="GIG3"/>
      <c r="GIH3"/>
      <c r="GII3"/>
      <c r="GIJ3"/>
      <c r="GIK3"/>
      <c r="GIL3"/>
      <c r="GIM3"/>
      <c r="GIN3"/>
      <c r="GIO3"/>
      <c r="GIP3"/>
      <c r="GIQ3"/>
      <c r="GIR3"/>
      <c r="GIS3"/>
      <c r="GIT3"/>
      <c r="GIU3"/>
      <c r="GIV3"/>
      <c r="GIW3"/>
      <c r="GIX3"/>
      <c r="GIY3"/>
      <c r="GIZ3"/>
      <c r="GJA3"/>
      <c r="GJB3"/>
      <c r="GJC3"/>
      <c r="GJD3"/>
      <c r="GJE3"/>
      <c r="GJF3"/>
      <c r="GJG3"/>
      <c r="GJH3"/>
      <c r="GJI3"/>
      <c r="GJJ3"/>
      <c r="GJK3"/>
      <c r="GJL3"/>
      <c r="GJM3"/>
      <c r="GJN3"/>
      <c r="GJO3"/>
      <c r="GJP3"/>
      <c r="GJQ3"/>
      <c r="GJR3"/>
      <c r="GJS3"/>
      <c r="GJT3"/>
      <c r="GJU3"/>
      <c r="GJV3"/>
      <c r="GJW3"/>
      <c r="GJX3"/>
      <c r="GJY3"/>
      <c r="GJZ3"/>
      <c r="GKA3"/>
      <c r="GKB3"/>
      <c r="GKC3"/>
      <c r="GKD3"/>
      <c r="GKE3"/>
      <c r="GKF3"/>
      <c r="GKG3"/>
      <c r="GKH3"/>
      <c r="GKI3"/>
      <c r="GKJ3"/>
      <c r="GKK3"/>
      <c r="GKL3"/>
      <c r="GKM3"/>
      <c r="GKN3"/>
      <c r="GKO3"/>
      <c r="GKP3"/>
      <c r="GKQ3"/>
      <c r="GKR3"/>
      <c r="GKS3"/>
      <c r="GKT3"/>
      <c r="GKU3"/>
      <c r="GKV3"/>
      <c r="GKW3"/>
      <c r="GKX3"/>
      <c r="GKY3"/>
      <c r="GKZ3"/>
      <c r="GLA3"/>
      <c r="GLB3"/>
      <c r="GLC3"/>
      <c r="GLD3"/>
      <c r="GLE3"/>
      <c r="GLF3"/>
      <c r="GLG3"/>
      <c r="GLH3"/>
      <c r="GLI3"/>
      <c r="GLJ3"/>
      <c r="GLK3"/>
      <c r="GLL3"/>
      <c r="GLM3"/>
      <c r="GLN3"/>
      <c r="GLO3"/>
      <c r="GLP3"/>
      <c r="GLQ3"/>
      <c r="GLR3"/>
      <c r="GLS3"/>
      <c r="GLT3"/>
      <c r="GLU3"/>
      <c r="GLV3"/>
      <c r="GLW3"/>
      <c r="GLX3"/>
      <c r="GLY3"/>
      <c r="GLZ3"/>
      <c r="GMA3"/>
      <c r="GMB3"/>
      <c r="GMC3"/>
      <c r="GMD3"/>
      <c r="GME3"/>
      <c r="GMF3"/>
      <c r="GMG3"/>
      <c r="GMH3"/>
      <c r="GMI3"/>
      <c r="GMJ3"/>
      <c r="GMK3"/>
      <c r="GML3"/>
      <c r="GMM3"/>
      <c r="GMN3"/>
      <c r="GMO3"/>
      <c r="GMP3"/>
      <c r="GMQ3"/>
      <c r="GMR3"/>
      <c r="GMS3"/>
      <c r="GMT3"/>
      <c r="GMU3"/>
      <c r="GMV3"/>
      <c r="GMW3"/>
      <c r="GMX3"/>
      <c r="GMY3"/>
      <c r="GMZ3"/>
      <c r="GNA3"/>
      <c r="GNB3"/>
      <c r="GNC3"/>
      <c r="GND3"/>
      <c r="GNE3"/>
      <c r="GNF3"/>
      <c r="GNG3"/>
      <c r="GNH3"/>
      <c r="GNI3"/>
      <c r="GNJ3"/>
      <c r="GNK3"/>
      <c r="GNL3"/>
      <c r="GNM3"/>
      <c r="GNN3"/>
      <c r="GNO3"/>
      <c r="GNP3"/>
      <c r="GNQ3"/>
      <c r="GNR3"/>
      <c r="GNS3"/>
      <c r="GNT3"/>
      <c r="GNU3"/>
      <c r="GNV3"/>
      <c r="GNW3"/>
      <c r="GNX3"/>
      <c r="GNY3"/>
      <c r="GNZ3"/>
      <c r="GOA3"/>
      <c r="GOB3"/>
      <c r="GOC3"/>
      <c r="GOD3"/>
      <c r="GOE3"/>
      <c r="GOF3"/>
      <c r="GOG3"/>
      <c r="GOH3"/>
      <c r="GOI3"/>
      <c r="GOJ3"/>
      <c r="GOK3"/>
      <c r="GOL3"/>
      <c r="GOM3"/>
      <c r="GON3"/>
      <c r="GOO3"/>
      <c r="GOP3"/>
      <c r="GOQ3"/>
      <c r="GOR3"/>
      <c r="GOS3"/>
      <c r="GOT3"/>
      <c r="GOU3"/>
      <c r="GOV3"/>
      <c r="GOW3"/>
      <c r="GOX3"/>
      <c r="GOY3"/>
      <c r="GOZ3"/>
      <c r="GPA3"/>
      <c r="GPB3"/>
      <c r="GPC3"/>
      <c r="GPD3"/>
      <c r="GPE3"/>
      <c r="GPF3"/>
      <c r="GPG3"/>
      <c r="GPH3"/>
      <c r="GPI3"/>
      <c r="GPJ3"/>
      <c r="GPK3"/>
      <c r="GPL3"/>
      <c r="GPM3"/>
      <c r="GPN3"/>
      <c r="GPO3"/>
      <c r="GPP3"/>
      <c r="GPQ3"/>
      <c r="GPR3"/>
      <c r="GPS3"/>
      <c r="GPT3"/>
      <c r="GPU3"/>
      <c r="GPV3"/>
      <c r="GPW3"/>
      <c r="GPX3"/>
      <c r="GPY3"/>
      <c r="GPZ3"/>
      <c r="GQA3"/>
      <c r="GQB3"/>
      <c r="GQC3"/>
      <c r="GQD3"/>
      <c r="GQE3"/>
      <c r="GQF3"/>
      <c r="GQG3"/>
      <c r="GQH3"/>
      <c r="GQI3"/>
      <c r="GQJ3"/>
      <c r="GQK3"/>
      <c r="GQL3"/>
      <c r="GQM3"/>
      <c r="GQN3"/>
      <c r="GQO3"/>
      <c r="GQP3"/>
      <c r="GQQ3"/>
      <c r="GQR3"/>
      <c r="GQS3"/>
      <c r="GQT3"/>
      <c r="GQU3"/>
      <c r="GQV3"/>
      <c r="GQW3"/>
      <c r="GQX3"/>
      <c r="GQY3"/>
      <c r="GQZ3"/>
      <c r="GRA3"/>
      <c r="GRB3"/>
      <c r="GRC3"/>
      <c r="GRD3"/>
      <c r="GRE3"/>
      <c r="GRF3"/>
      <c r="GRG3"/>
      <c r="GRH3"/>
      <c r="GRI3"/>
      <c r="GRJ3"/>
      <c r="GRK3"/>
      <c r="GRL3"/>
      <c r="GRM3"/>
      <c r="GRN3"/>
      <c r="GRO3"/>
      <c r="GRP3"/>
      <c r="GRQ3"/>
      <c r="GRR3"/>
      <c r="GRS3"/>
      <c r="GRT3"/>
      <c r="GRU3"/>
      <c r="GRV3"/>
      <c r="GRW3"/>
      <c r="GRX3"/>
      <c r="GRY3"/>
      <c r="GRZ3"/>
      <c r="GSA3"/>
      <c r="GSB3"/>
      <c r="GSC3"/>
      <c r="GSD3"/>
      <c r="GSE3"/>
      <c r="GSF3"/>
      <c r="GSG3"/>
      <c r="GSH3"/>
      <c r="GSI3"/>
      <c r="GSJ3"/>
      <c r="GSK3"/>
      <c r="GSL3"/>
      <c r="GSM3"/>
      <c r="GSN3"/>
      <c r="GSO3"/>
      <c r="GSP3"/>
      <c r="GSQ3"/>
      <c r="GSR3"/>
      <c r="GSS3"/>
      <c r="GST3"/>
      <c r="GSU3"/>
      <c r="GSV3"/>
      <c r="GSW3"/>
      <c r="GSX3"/>
      <c r="GSY3"/>
      <c r="GSZ3"/>
      <c r="GTA3"/>
      <c r="GTB3"/>
      <c r="GTC3"/>
      <c r="GTD3"/>
      <c r="GTE3"/>
      <c r="GTF3"/>
      <c r="GTG3"/>
      <c r="GTH3"/>
      <c r="GTI3"/>
      <c r="GTJ3"/>
      <c r="GTK3"/>
      <c r="GTL3"/>
      <c r="GTM3"/>
      <c r="GTN3"/>
      <c r="GTO3"/>
      <c r="GTP3"/>
      <c r="GTQ3"/>
      <c r="GTR3"/>
      <c r="GTS3"/>
      <c r="GTT3"/>
      <c r="GTU3"/>
      <c r="GTV3"/>
      <c r="GTW3"/>
      <c r="GTX3"/>
      <c r="GTY3"/>
      <c r="GTZ3"/>
      <c r="GUA3"/>
      <c r="GUB3"/>
      <c r="GUC3"/>
      <c r="GUD3"/>
      <c r="GUE3"/>
      <c r="GUF3"/>
      <c r="GUG3"/>
      <c r="GUH3"/>
      <c r="GUI3"/>
      <c r="GUJ3"/>
      <c r="GUK3"/>
      <c r="GUL3"/>
      <c r="GUM3"/>
      <c r="GUN3"/>
      <c r="GUO3"/>
      <c r="GUP3"/>
      <c r="GUQ3"/>
      <c r="GUR3"/>
      <c r="GUS3"/>
      <c r="GUT3"/>
      <c r="GUU3"/>
      <c r="GUV3"/>
      <c r="GUW3"/>
      <c r="GUX3"/>
      <c r="GUY3"/>
      <c r="GUZ3"/>
      <c r="GVA3"/>
      <c r="GVB3"/>
      <c r="GVC3"/>
      <c r="GVD3"/>
      <c r="GVE3"/>
      <c r="GVF3"/>
      <c r="GVG3"/>
      <c r="GVH3"/>
      <c r="GVI3"/>
      <c r="GVJ3"/>
      <c r="GVK3"/>
      <c r="GVL3"/>
      <c r="GVM3"/>
      <c r="GVN3"/>
      <c r="GVO3"/>
      <c r="GVP3"/>
      <c r="GVQ3"/>
      <c r="GVR3"/>
      <c r="GVS3"/>
      <c r="GVT3"/>
      <c r="GVU3"/>
      <c r="GVV3"/>
      <c r="GVW3"/>
      <c r="GVX3"/>
      <c r="GVY3"/>
      <c r="GVZ3"/>
      <c r="GWA3"/>
      <c r="GWB3"/>
      <c r="GWC3"/>
      <c r="GWD3"/>
      <c r="GWE3"/>
      <c r="GWF3"/>
      <c r="GWG3"/>
      <c r="GWH3"/>
      <c r="GWI3"/>
      <c r="GWJ3"/>
      <c r="GWK3"/>
      <c r="GWL3"/>
      <c r="GWM3"/>
      <c r="GWN3"/>
      <c r="GWO3"/>
      <c r="GWP3"/>
      <c r="GWQ3"/>
      <c r="GWR3"/>
      <c r="GWS3"/>
      <c r="GWT3"/>
      <c r="GWU3"/>
      <c r="GWV3"/>
      <c r="GWW3"/>
      <c r="GWX3"/>
      <c r="GWY3"/>
      <c r="GWZ3"/>
      <c r="GXA3"/>
      <c r="GXB3"/>
      <c r="GXC3"/>
      <c r="GXD3"/>
      <c r="GXE3"/>
      <c r="GXF3"/>
      <c r="GXG3"/>
      <c r="GXH3"/>
      <c r="GXI3"/>
      <c r="GXJ3"/>
      <c r="GXK3"/>
      <c r="GXL3"/>
      <c r="GXM3"/>
      <c r="GXN3"/>
      <c r="GXO3"/>
      <c r="GXP3"/>
      <c r="GXQ3"/>
      <c r="GXR3"/>
      <c r="GXS3"/>
      <c r="GXT3"/>
      <c r="GXU3"/>
      <c r="GXV3"/>
      <c r="GXW3"/>
      <c r="GXX3"/>
      <c r="GXY3"/>
      <c r="GXZ3"/>
      <c r="GYA3"/>
      <c r="GYB3"/>
      <c r="GYC3"/>
      <c r="GYD3"/>
      <c r="GYE3"/>
      <c r="GYF3"/>
      <c r="GYG3"/>
      <c r="GYH3"/>
      <c r="GYI3"/>
      <c r="GYJ3"/>
      <c r="GYK3"/>
      <c r="GYL3"/>
      <c r="GYM3"/>
      <c r="GYN3"/>
      <c r="GYO3"/>
      <c r="GYP3"/>
      <c r="GYQ3"/>
      <c r="GYR3"/>
      <c r="GYS3"/>
      <c r="GYT3"/>
      <c r="GYU3"/>
      <c r="GYV3"/>
      <c r="GYW3"/>
      <c r="GYX3"/>
      <c r="GYY3"/>
      <c r="GYZ3"/>
      <c r="GZA3"/>
      <c r="GZB3"/>
      <c r="GZC3"/>
      <c r="GZD3"/>
      <c r="GZE3"/>
      <c r="GZF3"/>
      <c r="GZG3"/>
      <c r="GZH3"/>
      <c r="GZI3"/>
      <c r="GZJ3"/>
      <c r="GZK3"/>
      <c r="GZL3"/>
      <c r="GZM3"/>
      <c r="GZN3"/>
      <c r="GZO3"/>
      <c r="GZP3"/>
      <c r="GZQ3"/>
      <c r="GZR3"/>
      <c r="GZS3"/>
      <c r="GZT3"/>
      <c r="GZU3"/>
      <c r="GZV3"/>
      <c r="GZW3"/>
      <c r="GZX3"/>
      <c r="GZY3"/>
      <c r="GZZ3"/>
      <c r="HAA3"/>
      <c r="HAB3"/>
      <c r="HAC3"/>
      <c r="HAD3"/>
      <c r="HAE3"/>
      <c r="HAF3"/>
      <c r="HAG3"/>
      <c r="HAH3"/>
      <c r="HAI3"/>
      <c r="HAJ3"/>
      <c r="HAK3"/>
      <c r="HAL3"/>
      <c r="HAM3"/>
      <c r="HAN3"/>
      <c r="HAO3"/>
      <c r="HAP3"/>
      <c r="HAQ3"/>
      <c r="HAR3"/>
      <c r="HAS3"/>
      <c r="HAT3"/>
      <c r="HAU3"/>
      <c r="HAV3"/>
      <c r="HAW3"/>
      <c r="HAX3"/>
      <c r="HAY3"/>
      <c r="HAZ3"/>
      <c r="HBA3"/>
      <c r="HBB3"/>
      <c r="HBC3"/>
      <c r="HBD3"/>
      <c r="HBE3"/>
      <c r="HBF3"/>
      <c r="HBG3"/>
      <c r="HBH3"/>
      <c r="HBI3"/>
      <c r="HBJ3"/>
      <c r="HBK3"/>
      <c r="HBL3"/>
      <c r="HBM3"/>
      <c r="HBN3"/>
      <c r="HBO3"/>
      <c r="HBP3"/>
      <c r="HBQ3"/>
      <c r="HBR3"/>
      <c r="HBS3"/>
      <c r="HBT3"/>
      <c r="HBU3"/>
      <c r="HBV3"/>
      <c r="HBW3"/>
      <c r="HBX3"/>
      <c r="HBY3"/>
      <c r="HBZ3"/>
      <c r="HCA3"/>
      <c r="HCB3"/>
      <c r="HCC3"/>
      <c r="HCD3"/>
      <c r="HCE3"/>
      <c r="HCF3"/>
      <c r="HCG3"/>
      <c r="HCH3"/>
      <c r="HCI3"/>
      <c r="HCJ3"/>
      <c r="HCK3"/>
      <c r="HCL3"/>
      <c r="HCM3"/>
      <c r="HCN3"/>
      <c r="HCO3"/>
      <c r="HCP3"/>
      <c r="HCQ3"/>
      <c r="HCR3"/>
      <c r="HCS3"/>
      <c r="HCT3"/>
      <c r="HCU3"/>
      <c r="HCV3"/>
      <c r="HCW3"/>
      <c r="HCX3"/>
      <c r="HCY3"/>
      <c r="HCZ3"/>
      <c r="HDA3"/>
      <c r="HDB3"/>
      <c r="HDC3"/>
      <c r="HDD3"/>
      <c r="HDE3"/>
      <c r="HDF3"/>
      <c r="HDG3"/>
      <c r="HDH3"/>
      <c r="HDI3"/>
      <c r="HDJ3"/>
      <c r="HDK3"/>
      <c r="HDL3"/>
      <c r="HDM3"/>
      <c r="HDN3"/>
      <c r="HDO3"/>
      <c r="HDP3"/>
      <c r="HDQ3"/>
      <c r="HDR3"/>
      <c r="HDS3"/>
      <c r="HDT3"/>
      <c r="HDU3"/>
      <c r="HDV3"/>
      <c r="HDW3"/>
      <c r="HDX3"/>
      <c r="HDY3"/>
      <c r="HDZ3"/>
      <c r="HEA3"/>
      <c r="HEB3"/>
      <c r="HEC3"/>
      <c r="HED3"/>
      <c r="HEE3"/>
      <c r="HEF3"/>
      <c r="HEG3"/>
      <c r="HEH3"/>
      <c r="HEI3"/>
      <c r="HEJ3"/>
      <c r="HEK3"/>
      <c r="HEL3"/>
      <c r="HEM3"/>
      <c r="HEN3"/>
      <c r="HEO3"/>
      <c r="HEP3"/>
      <c r="HEQ3"/>
      <c r="HER3"/>
      <c r="HES3"/>
      <c r="HET3"/>
      <c r="HEU3"/>
      <c r="HEV3"/>
      <c r="HEW3"/>
      <c r="HEX3"/>
      <c r="HEY3"/>
      <c r="HEZ3"/>
      <c r="HFA3"/>
      <c r="HFB3"/>
      <c r="HFC3"/>
      <c r="HFD3"/>
      <c r="HFE3"/>
      <c r="HFF3"/>
      <c r="HFG3"/>
      <c r="HFH3"/>
      <c r="HFI3"/>
      <c r="HFJ3"/>
      <c r="HFK3"/>
      <c r="HFL3"/>
      <c r="HFM3"/>
      <c r="HFN3"/>
      <c r="HFO3"/>
      <c r="HFP3"/>
      <c r="HFQ3"/>
      <c r="HFR3"/>
      <c r="HFS3"/>
      <c r="HFT3"/>
      <c r="HFU3"/>
      <c r="HFV3"/>
      <c r="HFW3"/>
      <c r="HFX3"/>
      <c r="HFY3"/>
      <c r="HFZ3"/>
      <c r="HGA3"/>
      <c r="HGB3"/>
      <c r="HGC3"/>
      <c r="HGD3"/>
      <c r="HGE3"/>
      <c r="HGF3"/>
      <c r="HGG3"/>
      <c r="HGH3"/>
      <c r="HGI3"/>
      <c r="HGJ3"/>
      <c r="HGK3"/>
      <c r="HGL3"/>
      <c r="HGM3"/>
      <c r="HGN3"/>
      <c r="HGO3"/>
      <c r="HGP3"/>
      <c r="HGQ3"/>
      <c r="HGR3"/>
      <c r="HGS3"/>
      <c r="HGT3"/>
      <c r="HGU3"/>
      <c r="HGV3"/>
      <c r="HGW3"/>
      <c r="HGX3"/>
      <c r="HGY3"/>
      <c r="HGZ3"/>
      <c r="HHA3"/>
      <c r="HHB3"/>
      <c r="HHC3"/>
      <c r="HHD3"/>
      <c r="HHE3"/>
      <c r="HHF3"/>
      <c r="HHG3"/>
      <c r="HHH3"/>
      <c r="HHI3"/>
      <c r="HHJ3"/>
      <c r="HHK3"/>
      <c r="HHL3"/>
      <c r="HHM3"/>
      <c r="HHN3"/>
      <c r="HHO3"/>
      <c r="HHP3"/>
      <c r="HHQ3"/>
      <c r="HHR3"/>
      <c r="HHS3"/>
      <c r="HHT3"/>
      <c r="HHU3"/>
      <c r="HHV3"/>
      <c r="HHW3"/>
      <c r="HHX3"/>
      <c r="HHY3"/>
      <c r="HHZ3"/>
      <c r="HIA3"/>
      <c r="HIB3"/>
      <c r="HIC3"/>
      <c r="HID3"/>
      <c r="HIE3"/>
      <c r="HIF3"/>
      <c r="HIG3"/>
      <c r="HIH3"/>
      <c r="HII3"/>
      <c r="HIJ3"/>
      <c r="HIK3"/>
      <c r="HIL3"/>
      <c r="HIM3"/>
      <c r="HIN3"/>
      <c r="HIO3"/>
      <c r="HIP3"/>
      <c r="HIQ3"/>
      <c r="HIR3"/>
      <c r="HIS3"/>
      <c r="HIT3"/>
      <c r="HIU3"/>
      <c r="HIV3"/>
      <c r="HIW3"/>
      <c r="HIX3"/>
      <c r="HIY3"/>
      <c r="HIZ3"/>
      <c r="HJA3"/>
      <c r="HJB3"/>
      <c r="HJC3"/>
      <c r="HJD3"/>
      <c r="HJE3"/>
      <c r="HJF3"/>
      <c r="HJG3"/>
      <c r="HJH3"/>
      <c r="HJI3"/>
      <c r="HJJ3"/>
      <c r="HJK3"/>
      <c r="HJL3"/>
      <c r="HJM3"/>
      <c r="HJN3"/>
      <c r="HJO3"/>
      <c r="HJP3"/>
      <c r="HJQ3"/>
      <c r="HJR3"/>
      <c r="HJS3"/>
      <c r="HJT3"/>
      <c r="HJU3"/>
      <c r="HJV3"/>
      <c r="HJW3"/>
      <c r="HJX3"/>
      <c r="HJY3"/>
      <c r="HJZ3"/>
      <c r="HKA3"/>
      <c r="HKB3"/>
      <c r="HKC3"/>
      <c r="HKD3"/>
      <c r="HKE3"/>
      <c r="HKF3"/>
      <c r="HKG3"/>
      <c r="HKH3"/>
      <c r="HKI3"/>
      <c r="HKJ3"/>
      <c r="HKK3"/>
      <c r="HKL3"/>
      <c r="HKM3"/>
      <c r="HKN3"/>
      <c r="HKO3"/>
      <c r="HKP3"/>
      <c r="HKQ3"/>
      <c r="HKR3"/>
      <c r="HKS3"/>
      <c r="HKT3"/>
      <c r="HKU3"/>
      <c r="HKV3"/>
      <c r="HKW3"/>
      <c r="HKX3"/>
      <c r="HKY3"/>
      <c r="HKZ3"/>
      <c r="HLA3"/>
      <c r="HLB3"/>
      <c r="HLC3"/>
      <c r="HLD3"/>
      <c r="HLE3"/>
      <c r="HLF3"/>
      <c r="HLG3"/>
      <c r="HLH3"/>
      <c r="HLI3"/>
      <c r="HLJ3"/>
      <c r="HLK3"/>
      <c r="HLL3"/>
      <c r="HLM3"/>
      <c r="HLN3"/>
      <c r="HLO3"/>
      <c r="HLP3"/>
      <c r="HLQ3"/>
      <c r="HLR3"/>
      <c r="HLS3"/>
      <c r="HLT3"/>
      <c r="HLU3"/>
      <c r="HLV3"/>
      <c r="HLW3"/>
      <c r="HLX3"/>
      <c r="HLY3"/>
      <c r="HLZ3"/>
      <c r="HMA3"/>
      <c r="HMB3"/>
      <c r="HMC3"/>
      <c r="HMD3"/>
      <c r="HME3"/>
      <c r="HMF3"/>
      <c r="HMG3"/>
      <c r="HMH3"/>
      <c r="HMI3"/>
      <c r="HMJ3"/>
      <c r="HMK3"/>
      <c r="HML3"/>
      <c r="HMM3"/>
      <c r="HMN3"/>
      <c r="HMO3"/>
      <c r="HMP3"/>
      <c r="HMQ3"/>
      <c r="HMR3"/>
      <c r="HMS3"/>
      <c r="HMT3"/>
      <c r="HMU3"/>
      <c r="HMV3"/>
      <c r="HMW3"/>
      <c r="HMX3"/>
      <c r="HMY3"/>
      <c r="HMZ3"/>
      <c r="HNA3"/>
      <c r="HNB3"/>
      <c r="HNC3"/>
      <c r="HND3"/>
      <c r="HNE3"/>
      <c r="HNF3"/>
      <c r="HNG3"/>
      <c r="HNH3"/>
      <c r="HNI3"/>
      <c r="HNJ3"/>
      <c r="HNK3"/>
      <c r="HNL3"/>
      <c r="HNM3"/>
      <c r="HNN3"/>
      <c r="HNO3"/>
      <c r="HNP3"/>
      <c r="HNQ3"/>
      <c r="HNR3"/>
      <c r="HNS3"/>
      <c r="HNT3"/>
      <c r="HNU3"/>
      <c r="HNV3"/>
      <c r="HNW3"/>
      <c r="HNX3"/>
      <c r="HNY3"/>
      <c r="HNZ3"/>
      <c r="HOA3"/>
      <c r="HOB3"/>
      <c r="HOC3"/>
      <c r="HOD3"/>
      <c r="HOE3"/>
      <c r="HOF3"/>
      <c r="HOG3"/>
      <c r="HOH3"/>
      <c r="HOI3"/>
      <c r="HOJ3"/>
      <c r="HOK3"/>
      <c r="HOL3"/>
      <c r="HOM3"/>
      <c r="HON3"/>
      <c r="HOO3"/>
      <c r="HOP3"/>
      <c r="HOQ3"/>
      <c r="HOR3"/>
      <c r="HOS3"/>
      <c r="HOT3"/>
      <c r="HOU3"/>
      <c r="HOV3"/>
      <c r="HOW3"/>
      <c r="HOX3"/>
      <c r="HOY3"/>
      <c r="HOZ3"/>
      <c r="HPA3"/>
      <c r="HPB3"/>
      <c r="HPC3"/>
      <c r="HPD3"/>
      <c r="HPE3"/>
      <c r="HPF3"/>
      <c r="HPG3"/>
      <c r="HPH3"/>
      <c r="HPI3"/>
      <c r="HPJ3"/>
      <c r="HPK3"/>
      <c r="HPL3"/>
      <c r="HPM3"/>
      <c r="HPN3"/>
      <c r="HPO3"/>
      <c r="HPP3"/>
      <c r="HPQ3"/>
      <c r="HPR3"/>
      <c r="HPS3"/>
      <c r="HPT3"/>
      <c r="HPU3"/>
      <c r="HPV3"/>
      <c r="HPW3"/>
      <c r="HPX3"/>
      <c r="HPY3"/>
      <c r="HPZ3"/>
      <c r="HQA3"/>
      <c r="HQB3"/>
      <c r="HQC3"/>
      <c r="HQD3"/>
      <c r="HQE3"/>
      <c r="HQF3"/>
      <c r="HQG3"/>
      <c r="HQH3"/>
      <c r="HQI3"/>
      <c r="HQJ3"/>
      <c r="HQK3"/>
      <c r="HQL3"/>
      <c r="HQM3"/>
      <c r="HQN3"/>
      <c r="HQO3"/>
      <c r="HQP3"/>
      <c r="HQQ3"/>
      <c r="HQR3"/>
      <c r="HQS3"/>
      <c r="HQT3"/>
      <c r="HQU3"/>
      <c r="HQV3"/>
      <c r="HQW3"/>
      <c r="HQX3"/>
      <c r="HQY3"/>
      <c r="HQZ3"/>
      <c r="HRA3"/>
      <c r="HRB3"/>
      <c r="HRC3"/>
      <c r="HRD3"/>
      <c r="HRE3"/>
      <c r="HRF3"/>
      <c r="HRG3"/>
      <c r="HRH3"/>
      <c r="HRI3"/>
      <c r="HRJ3"/>
      <c r="HRK3"/>
      <c r="HRL3"/>
      <c r="HRM3"/>
      <c r="HRN3"/>
      <c r="HRO3"/>
      <c r="HRP3"/>
      <c r="HRQ3"/>
      <c r="HRR3"/>
      <c r="HRS3"/>
      <c r="HRT3"/>
      <c r="HRU3"/>
      <c r="HRV3"/>
      <c r="HRW3"/>
      <c r="HRX3"/>
      <c r="HRY3"/>
      <c r="HRZ3"/>
      <c r="HSA3"/>
      <c r="HSB3"/>
      <c r="HSC3"/>
      <c r="HSD3"/>
      <c r="HSE3"/>
      <c r="HSF3"/>
      <c r="HSG3"/>
      <c r="HSH3"/>
      <c r="HSI3"/>
      <c r="HSJ3"/>
      <c r="HSK3"/>
      <c r="HSL3"/>
      <c r="HSM3"/>
      <c r="HSN3"/>
      <c r="HSO3"/>
      <c r="HSP3"/>
      <c r="HSQ3"/>
      <c r="HSR3"/>
      <c r="HSS3"/>
      <c r="HST3"/>
      <c r="HSU3"/>
      <c r="HSV3"/>
      <c r="HSW3"/>
      <c r="HSX3"/>
      <c r="HSY3"/>
      <c r="HSZ3"/>
      <c r="HTA3"/>
      <c r="HTB3"/>
      <c r="HTC3"/>
      <c r="HTD3"/>
      <c r="HTE3"/>
      <c r="HTF3"/>
      <c r="HTG3"/>
      <c r="HTH3"/>
      <c r="HTI3"/>
      <c r="HTJ3"/>
      <c r="HTK3"/>
      <c r="HTL3"/>
      <c r="HTM3"/>
      <c r="HTN3"/>
      <c r="HTO3"/>
      <c r="HTP3"/>
      <c r="HTQ3"/>
      <c r="HTR3"/>
      <c r="HTS3"/>
      <c r="HTT3"/>
      <c r="HTU3"/>
      <c r="HTV3"/>
      <c r="HTW3"/>
      <c r="HTX3"/>
      <c r="HTY3"/>
      <c r="HTZ3"/>
      <c r="HUA3"/>
      <c r="HUB3"/>
      <c r="HUC3"/>
      <c r="HUD3"/>
      <c r="HUE3"/>
      <c r="HUF3"/>
      <c r="HUG3"/>
      <c r="HUH3"/>
      <c r="HUI3"/>
      <c r="HUJ3"/>
      <c r="HUK3"/>
      <c r="HUL3"/>
      <c r="HUM3"/>
      <c r="HUN3"/>
      <c r="HUO3"/>
      <c r="HUP3"/>
      <c r="HUQ3"/>
      <c r="HUR3"/>
      <c r="HUS3"/>
      <c r="HUT3"/>
      <c r="HUU3"/>
      <c r="HUV3"/>
      <c r="HUW3"/>
      <c r="HUX3"/>
      <c r="HUY3"/>
      <c r="HUZ3"/>
      <c r="HVA3"/>
      <c r="HVB3"/>
      <c r="HVC3"/>
      <c r="HVD3"/>
      <c r="HVE3"/>
      <c r="HVF3"/>
      <c r="HVG3"/>
      <c r="HVH3"/>
      <c r="HVI3"/>
      <c r="HVJ3"/>
      <c r="HVK3"/>
      <c r="HVL3"/>
      <c r="HVM3"/>
      <c r="HVN3"/>
      <c r="HVO3"/>
      <c r="HVP3"/>
      <c r="HVQ3"/>
      <c r="HVR3"/>
      <c r="HVS3"/>
      <c r="HVT3"/>
      <c r="HVU3"/>
      <c r="HVV3"/>
      <c r="HVW3"/>
      <c r="HVX3"/>
      <c r="HVY3"/>
      <c r="HVZ3"/>
      <c r="HWA3"/>
      <c r="HWB3"/>
      <c r="HWC3"/>
      <c r="HWD3"/>
      <c r="HWE3"/>
      <c r="HWF3"/>
      <c r="HWG3"/>
      <c r="HWH3"/>
      <c r="HWI3"/>
      <c r="HWJ3"/>
      <c r="HWK3"/>
      <c r="HWL3"/>
      <c r="HWM3"/>
      <c r="HWN3"/>
      <c r="HWO3"/>
      <c r="HWP3"/>
      <c r="HWQ3"/>
      <c r="HWR3"/>
      <c r="HWS3"/>
      <c r="HWT3"/>
      <c r="HWU3"/>
      <c r="HWV3"/>
      <c r="HWW3"/>
      <c r="HWX3"/>
      <c r="HWY3"/>
      <c r="HWZ3"/>
      <c r="HXA3"/>
      <c r="HXB3"/>
      <c r="HXC3"/>
      <c r="HXD3"/>
      <c r="HXE3"/>
      <c r="HXF3"/>
      <c r="HXG3"/>
      <c r="HXH3"/>
      <c r="HXI3"/>
      <c r="HXJ3"/>
      <c r="HXK3"/>
      <c r="HXL3"/>
      <c r="HXM3"/>
      <c r="HXN3"/>
      <c r="HXO3"/>
      <c r="HXP3"/>
      <c r="HXQ3"/>
      <c r="HXR3"/>
      <c r="HXS3"/>
      <c r="HXT3"/>
      <c r="HXU3"/>
      <c r="HXV3"/>
      <c r="HXW3"/>
      <c r="HXX3"/>
      <c r="HXY3"/>
      <c r="HXZ3"/>
      <c r="HYA3"/>
      <c r="HYB3"/>
      <c r="HYC3"/>
      <c r="HYD3"/>
      <c r="HYE3"/>
      <c r="HYF3"/>
      <c r="HYG3"/>
      <c r="HYH3"/>
      <c r="HYI3"/>
      <c r="HYJ3"/>
      <c r="HYK3"/>
      <c r="HYL3"/>
      <c r="HYM3"/>
      <c r="HYN3"/>
      <c r="HYO3"/>
      <c r="HYP3"/>
      <c r="HYQ3"/>
      <c r="HYR3"/>
      <c r="HYS3"/>
      <c r="HYT3"/>
      <c r="HYU3"/>
      <c r="HYV3"/>
      <c r="HYW3"/>
      <c r="HYX3"/>
      <c r="HYY3"/>
      <c r="HYZ3"/>
      <c r="HZA3"/>
      <c r="HZB3"/>
      <c r="HZC3"/>
      <c r="HZD3"/>
      <c r="HZE3"/>
      <c r="HZF3"/>
      <c r="HZG3"/>
      <c r="HZH3"/>
      <c r="HZI3"/>
      <c r="HZJ3"/>
      <c r="HZK3"/>
      <c r="HZL3"/>
      <c r="HZM3"/>
      <c r="HZN3"/>
      <c r="HZO3"/>
      <c r="HZP3"/>
      <c r="HZQ3"/>
      <c r="HZR3"/>
      <c r="HZS3"/>
      <c r="HZT3"/>
      <c r="HZU3"/>
      <c r="HZV3"/>
      <c r="HZW3"/>
      <c r="HZX3"/>
      <c r="HZY3"/>
      <c r="HZZ3"/>
      <c r="IAA3"/>
      <c r="IAB3"/>
      <c r="IAC3"/>
      <c r="IAD3"/>
      <c r="IAE3"/>
      <c r="IAF3"/>
      <c r="IAG3"/>
      <c r="IAH3"/>
      <c r="IAI3"/>
      <c r="IAJ3"/>
      <c r="IAK3"/>
      <c r="IAL3"/>
      <c r="IAM3"/>
      <c r="IAN3"/>
      <c r="IAO3"/>
      <c r="IAP3"/>
      <c r="IAQ3"/>
      <c r="IAR3"/>
      <c r="IAS3"/>
      <c r="IAT3"/>
      <c r="IAU3"/>
      <c r="IAV3"/>
      <c r="IAW3"/>
      <c r="IAX3"/>
      <c r="IAY3"/>
      <c r="IAZ3"/>
      <c r="IBA3"/>
      <c r="IBB3"/>
      <c r="IBC3"/>
      <c r="IBD3"/>
      <c r="IBE3"/>
      <c r="IBF3"/>
      <c r="IBG3"/>
      <c r="IBH3"/>
      <c r="IBI3"/>
      <c r="IBJ3"/>
      <c r="IBK3"/>
      <c r="IBL3"/>
      <c r="IBM3"/>
      <c r="IBN3"/>
      <c r="IBO3"/>
      <c r="IBP3"/>
      <c r="IBQ3"/>
      <c r="IBR3"/>
      <c r="IBS3"/>
      <c r="IBT3"/>
      <c r="IBU3"/>
      <c r="IBV3"/>
      <c r="IBW3"/>
      <c r="IBX3"/>
      <c r="IBY3"/>
      <c r="IBZ3"/>
      <c r="ICA3"/>
      <c r="ICB3"/>
      <c r="ICC3"/>
      <c r="ICD3"/>
      <c r="ICE3"/>
      <c r="ICF3"/>
      <c r="ICG3"/>
      <c r="ICH3"/>
      <c r="ICI3"/>
      <c r="ICJ3"/>
      <c r="ICK3"/>
      <c r="ICL3"/>
      <c r="ICM3"/>
      <c r="ICN3"/>
      <c r="ICO3"/>
      <c r="ICP3"/>
      <c r="ICQ3"/>
      <c r="ICR3"/>
      <c r="ICS3"/>
      <c r="ICT3"/>
      <c r="ICU3"/>
      <c r="ICV3"/>
      <c r="ICW3"/>
      <c r="ICX3"/>
      <c r="ICY3"/>
      <c r="ICZ3"/>
      <c r="IDA3"/>
      <c r="IDB3"/>
      <c r="IDC3"/>
      <c r="IDD3"/>
      <c r="IDE3"/>
      <c r="IDF3"/>
      <c r="IDG3"/>
      <c r="IDH3"/>
      <c r="IDI3"/>
      <c r="IDJ3"/>
      <c r="IDK3"/>
      <c r="IDL3"/>
      <c r="IDM3"/>
      <c r="IDN3"/>
      <c r="IDO3"/>
      <c r="IDP3"/>
      <c r="IDQ3"/>
      <c r="IDR3"/>
      <c r="IDS3"/>
      <c r="IDT3"/>
      <c r="IDU3"/>
      <c r="IDV3"/>
      <c r="IDW3"/>
      <c r="IDX3"/>
      <c r="IDY3"/>
      <c r="IDZ3"/>
      <c r="IEA3"/>
      <c r="IEB3"/>
      <c r="IEC3"/>
      <c r="IED3"/>
      <c r="IEE3"/>
      <c r="IEF3"/>
      <c r="IEG3"/>
      <c r="IEH3"/>
      <c r="IEI3"/>
      <c r="IEJ3"/>
      <c r="IEK3"/>
      <c r="IEL3"/>
      <c r="IEM3"/>
      <c r="IEN3"/>
      <c r="IEO3"/>
      <c r="IEP3"/>
      <c r="IEQ3"/>
      <c r="IER3"/>
      <c r="IES3"/>
      <c r="IET3"/>
      <c r="IEU3"/>
      <c r="IEV3"/>
      <c r="IEW3"/>
      <c r="IEX3"/>
      <c r="IEY3"/>
      <c r="IEZ3"/>
      <c r="IFA3"/>
      <c r="IFB3"/>
      <c r="IFC3"/>
      <c r="IFD3"/>
      <c r="IFE3"/>
      <c r="IFF3"/>
      <c r="IFG3"/>
      <c r="IFH3"/>
      <c r="IFI3"/>
      <c r="IFJ3"/>
      <c r="IFK3"/>
      <c r="IFL3"/>
      <c r="IFM3"/>
      <c r="IFN3"/>
      <c r="IFO3"/>
      <c r="IFP3"/>
      <c r="IFQ3"/>
      <c r="IFR3"/>
      <c r="IFS3"/>
      <c r="IFT3"/>
      <c r="IFU3"/>
      <c r="IFV3"/>
      <c r="IFW3"/>
      <c r="IFX3"/>
      <c r="IFY3"/>
      <c r="IFZ3"/>
      <c r="IGA3"/>
      <c r="IGB3"/>
      <c r="IGC3"/>
      <c r="IGD3"/>
      <c r="IGE3"/>
      <c r="IGF3"/>
      <c r="IGG3"/>
      <c r="IGH3"/>
      <c r="IGI3"/>
      <c r="IGJ3"/>
      <c r="IGK3"/>
      <c r="IGL3"/>
      <c r="IGM3"/>
      <c r="IGN3"/>
      <c r="IGO3"/>
      <c r="IGP3"/>
      <c r="IGQ3"/>
      <c r="IGR3"/>
      <c r="IGS3"/>
      <c r="IGT3"/>
      <c r="IGU3"/>
      <c r="IGV3"/>
      <c r="IGW3"/>
      <c r="IGX3"/>
      <c r="IGY3"/>
      <c r="IGZ3"/>
      <c r="IHA3"/>
      <c r="IHB3"/>
      <c r="IHC3"/>
      <c r="IHD3"/>
      <c r="IHE3"/>
      <c r="IHF3"/>
      <c r="IHG3"/>
      <c r="IHH3"/>
      <c r="IHI3"/>
      <c r="IHJ3"/>
      <c r="IHK3"/>
      <c r="IHL3"/>
      <c r="IHM3"/>
      <c r="IHN3"/>
      <c r="IHO3"/>
      <c r="IHP3"/>
      <c r="IHQ3"/>
      <c r="IHR3"/>
      <c r="IHS3"/>
      <c r="IHT3"/>
      <c r="IHU3"/>
      <c r="IHV3"/>
      <c r="IHW3"/>
      <c r="IHX3"/>
      <c r="IHY3"/>
      <c r="IHZ3"/>
      <c r="IIA3"/>
      <c r="IIB3"/>
      <c r="IIC3"/>
      <c r="IID3"/>
      <c r="IIE3"/>
      <c r="IIF3"/>
      <c r="IIG3"/>
      <c r="IIH3"/>
      <c r="III3"/>
      <c r="IIJ3"/>
      <c r="IIK3"/>
      <c r="IIL3"/>
      <c r="IIM3"/>
      <c r="IIN3"/>
      <c r="IIO3"/>
      <c r="IIP3"/>
      <c r="IIQ3"/>
      <c r="IIR3"/>
      <c r="IIS3"/>
      <c r="IIT3"/>
      <c r="IIU3"/>
      <c r="IIV3"/>
      <c r="IIW3"/>
      <c r="IIX3"/>
      <c r="IIY3"/>
      <c r="IIZ3"/>
      <c r="IJA3"/>
      <c r="IJB3"/>
      <c r="IJC3"/>
      <c r="IJD3"/>
      <c r="IJE3"/>
      <c r="IJF3"/>
      <c r="IJG3"/>
      <c r="IJH3"/>
      <c r="IJI3"/>
      <c r="IJJ3"/>
      <c r="IJK3"/>
      <c r="IJL3"/>
      <c r="IJM3"/>
      <c r="IJN3"/>
      <c r="IJO3"/>
      <c r="IJP3"/>
      <c r="IJQ3"/>
      <c r="IJR3"/>
      <c r="IJS3"/>
      <c r="IJT3"/>
      <c r="IJU3"/>
      <c r="IJV3"/>
      <c r="IJW3"/>
      <c r="IJX3"/>
      <c r="IJY3"/>
      <c r="IJZ3"/>
      <c r="IKA3"/>
      <c r="IKB3"/>
      <c r="IKC3"/>
      <c r="IKD3"/>
      <c r="IKE3"/>
      <c r="IKF3"/>
      <c r="IKG3"/>
      <c r="IKH3"/>
      <c r="IKI3"/>
      <c r="IKJ3"/>
      <c r="IKK3"/>
      <c r="IKL3"/>
      <c r="IKM3"/>
      <c r="IKN3"/>
      <c r="IKO3"/>
      <c r="IKP3"/>
      <c r="IKQ3"/>
      <c r="IKR3"/>
      <c r="IKS3"/>
      <c r="IKT3"/>
      <c r="IKU3"/>
      <c r="IKV3"/>
      <c r="IKW3"/>
      <c r="IKX3"/>
      <c r="IKY3"/>
      <c r="IKZ3"/>
      <c r="ILA3"/>
      <c r="ILB3"/>
      <c r="ILC3"/>
      <c r="ILD3"/>
      <c r="ILE3"/>
      <c r="ILF3"/>
      <c r="ILG3"/>
      <c r="ILH3"/>
      <c r="ILI3"/>
      <c r="ILJ3"/>
      <c r="ILK3"/>
      <c r="ILL3"/>
      <c r="ILM3"/>
      <c r="ILN3"/>
      <c r="ILO3"/>
      <c r="ILP3"/>
      <c r="ILQ3"/>
      <c r="ILR3"/>
      <c r="ILS3"/>
      <c r="ILT3"/>
      <c r="ILU3"/>
      <c r="ILV3"/>
      <c r="ILW3"/>
      <c r="ILX3"/>
      <c r="ILY3"/>
      <c r="ILZ3"/>
      <c r="IMA3"/>
      <c r="IMB3"/>
      <c r="IMC3"/>
      <c r="IMD3"/>
      <c r="IME3"/>
      <c r="IMF3"/>
      <c r="IMG3"/>
      <c r="IMH3"/>
      <c r="IMI3"/>
      <c r="IMJ3"/>
      <c r="IMK3"/>
      <c r="IML3"/>
      <c r="IMM3"/>
      <c r="IMN3"/>
      <c r="IMO3"/>
      <c r="IMP3"/>
      <c r="IMQ3"/>
      <c r="IMR3"/>
      <c r="IMS3"/>
      <c r="IMT3"/>
      <c r="IMU3"/>
      <c r="IMV3"/>
      <c r="IMW3"/>
      <c r="IMX3"/>
      <c r="IMY3"/>
      <c r="IMZ3"/>
      <c r="INA3"/>
      <c r="INB3"/>
      <c r="INC3"/>
      <c r="IND3"/>
      <c r="INE3"/>
      <c r="INF3"/>
      <c r="ING3"/>
      <c r="INH3"/>
      <c r="INI3"/>
      <c r="INJ3"/>
      <c r="INK3"/>
      <c r="INL3"/>
      <c r="INM3"/>
      <c r="INN3"/>
      <c r="INO3"/>
      <c r="INP3"/>
      <c r="INQ3"/>
      <c r="INR3"/>
      <c r="INS3"/>
      <c r="INT3"/>
      <c r="INU3"/>
      <c r="INV3"/>
      <c r="INW3"/>
      <c r="INX3"/>
      <c r="INY3"/>
      <c r="INZ3"/>
      <c r="IOA3"/>
      <c r="IOB3"/>
      <c r="IOC3"/>
      <c r="IOD3"/>
      <c r="IOE3"/>
      <c r="IOF3"/>
      <c r="IOG3"/>
      <c r="IOH3"/>
      <c r="IOI3"/>
      <c r="IOJ3"/>
      <c r="IOK3"/>
      <c r="IOL3"/>
      <c r="IOM3"/>
      <c r="ION3"/>
      <c r="IOO3"/>
      <c r="IOP3"/>
      <c r="IOQ3"/>
      <c r="IOR3"/>
      <c r="IOS3"/>
      <c r="IOT3"/>
      <c r="IOU3"/>
      <c r="IOV3"/>
      <c r="IOW3"/>
      <c r="IOX3"/>
      <c r="IOY3"/>
      <c r="IOZ3"/>
      <c r="IPA3"/>
      <c r="IPB3"/>
      <c r="IPC3"/>
      <c r="IPD3"/>
      <c r="IPE3"/>
      <c r="IPF3"/>
      <c r="IPG3"/>
      <c r="IPH3"/>
      <c r="IPI3"/>
      <c r="IPJ3"/>
      <c r="IPK3"/>
      <c r="IPL3"/>
      <c r="IPM3"/>
      <c r="IPN3"/>
      <c r="IPO3"/>
      <c r="IPP3"/>
      <c r="IPQ3"/>
      <c r="IPR3"/>
      <c r="IPS3"/>
      <c r="IPT3"/>
      <c r="IPU3"/>
      <c r="IPV3"/>
      <c r="IPW3"/>
      <c r="IPX3"/>
      <c r="IPY3"/>
      <c r="IPZ3"/>
      <c r="IQA3"/>
      <c r="IQB3"/>
      <c r="IQC3"/>
      <c r="IQD3"/>
      <c r="IQE3"/>
      <c r="IQF3"/>
      <c r="IQG3"/>
      <c r="IQH3"/>
      <c r="IQI3"/>
      <c r="IQJ3"/>
      <c r="IQK3"/>
      <c r="IQL3"/>
      <c r="IQM3"/>
      <c r="IQN3"/>
      <c r="IQO3"/>
      <c r="IQP3"/>
      <c r="IQQ3"/>
      <c r="IQR3"/>
      <c r="IQS3"/>
      <c r="IQT3"/>
      <c r="IQU3"/>
      <c r="IQV3"/>
      <c r="IQW3"/>
      <c r="IQX3"/>
      <c r="IQY3"/>
      <c r="IQZ3"/>
      <c r="IRA3"/>
      <c r="IRB3"/>
      <c r="IRC3"/>
      <c r="IRD3"/>
      <c r="IRE3"/>
      <c r="IRF3"/>
      <c r="IRG3"/>
      <c r="IRH3"/>
      <c r="IRI3"/>
      <c r="IRJ3"/>
      <c r="IRK3"/>
      <c r="IRL3"/>
      <c r="IRM3"/>
      <c r="IRN3"/>
      <c r="IRO3"/>
      <c r="IRP3"/>
      <c r="IRQ3"/>
      <c r="IRR3"/>
      <c r="IRS3"/>
      <c r="IRT3"/>
      <c r="IRU3"/>
      <c r="IRV3"/>
      <c r="IRW3"/>
      <c r="IRX3"/>
      <c r="IRY3"/>
      <c r="IRZ3"/>
      <c r="ISA3"/>
      <c r="ISB3"/>
      <c r="ISC3"/>
      <c r="ISD3"/>
      <c r="ISE3"/>
      <c r="ISF3"/>
      <c r="ISG3"/>
      <c r="ISH3"/>
      <c r="ISI3"/>
      <c r="ISJ3"/>
      <c r="ISK3"/>
      <c r="ISL3"/>
      <c r="ISM3"/>
      <c r="ISN3"/>
      <c r="ISO3"/>
      <c r="ISP3"/>
      <c r="ISQ3"/>
      <c r="ISR3"/>
      <c r="ISS3"/>
      <c r="IST3"/>
      <c r="ISU3"/>
      <c r="ISV3"/>
      <c r="ISW3"/>
      <c r="ISX3"/>
      <c r="ISY3"/>
      <c r="ISZ3"/>
      <c r="ITA3"/>
      <c r="ITB3"/>
      <c r="ITC3"/>
      <c r="ITD3"/>
      <c r="ITE3"/>
      <c r="ITF3"/>
      <c r="ITG3"/>
      <c r="ITH3"/>
      <c r="ITI3"/>
      <c r="ITJ3"/>
      <c r="ITK3"/>
      <c r="ITL3"/>
      <c r="ITM3"/>
      <c r="ITN3"/>
      <c r="ITO3"/>
      <c r="ITP3"/>
      <c r="ITQ3"/>
      <c r="ITR3"/>
      <c r="ITS3"/>
      <c r="ITT3"/>
      <c r="ITU3"/>
      <c r="ITV3"/>
      <c r="ITW3"/>
      <c r="ITX3"/>
      <c r="ITY3"/>
      <c r="ITZ3"/>
      <c r="IUA3"/>
      <c r="IUB3"/>
      <c r="IUC3"/>
      <c r="IUD3"/>
      <c r="IUE3"/>
      <c r="IUF3"/>
      <c r="IUG3"/>
      <c r="IUH3"/>
      <c r="IUI3"/>
      <c r="IUJ3"/>
      <c r="IUK3"/>
      <c r="IUL3"/>
      <c r="IUM3"/>
      <c r="IUN3"/>
      <c r="IUO3"/>
      <c r="IUP3"/>
      <c r="IUQ3"/>
      <c r="IUR3"/>
      <c r="IUS3"/>
      <c r="IUT3"/>
      <c r="IUU3"/>
      <c r="IUV3"/>
      <c r="IUW3"/>
      <c r="IUX3"/>
      <c r="IUY3"/>
      <c r="IUZ3"/>
      <c r="IVA3"/>
      <c r="IVB3"/>
      <c r="IVC3"/>
      <c r="IVD3"/>
      <c r="IVE3"/>
      <c r="IVF3"/>
      <c r="IVG3"/>
      <c r="IVH3"/>
      <c r="IVI3"/>
      <c r="IVJ3"/>
      <c r="IVK3"/>
      <c r="IVL3"/>
      <c r="IVM3"/>
      <c r="IVN3"/>
      <c r="IVO3"/>
      <c r="IVP3"/>
      <c r="IVQ3"/>
      <c r="IVR3"/>
      <c r="IVS3"/>
      <c r="IVT3"/>
      <c r="IVU3"/>
      <c r="IVV3"/>
      <c r="IVW3"/>
      <c r="IVX3"/>
      <c r="IVY3"/>
      <c r="IVZ3"/>
      <c r="IWA3"/>
      <c r="IWB3"/>
      <c r="IWC3"/>
      <c r="IWD3"/>
      <c r="IWE3"/>
      <c r="IWF3"/>
      <c r="IWG3"/>
      <c r="IWH3"/>
      <c r="IWI3"/>
      <c r="IWJ3"/>
      <c r="IWK3"/>
      <c r="IWL3"/>
      <c r="IWM3"/>
      <c r="IWN3"/>
      <c r="IWO3"/>
      <c r="IWP3"/>
      <c r="IWQ3"/>
      <c r="IWR3"/>
      <c r="IWS3"/>
      <c r="IWT3"/>
      <c r="IWU3"/>
      <c r="IWV3"/>
      <c r="IWW3"/>
      <c r="IWX3"/>
      <c r="IWY3"/>
      <c r="IWZ3"/>
      <c r="IXA3"/>
      <c r="IXB3"/>
      <c r="IXC3"/>
      <c r="IXD3"/>
      <c r="IXE3"/>
      <c r="IXF3"/>
      <c r="IXG3"/>
      <c r="IXH3"/>
      <c r="IXI3"/>
      <c r="IXJ3"/>
      <c r="IXK3"/>
      <c r="IXL3"/>
      <c r="IXM3"/>
      <c r="IXN3"/>
      <c r="IXO3"/>
      <c r="IXP3"/>
      <c r="IXQ3"/>
      <c r="IXR3"/>
      <c r="IXS3"/>
      <c r="IXT3"/>
      <c r="IXU3"/>
      <c r="IXV3"/>
      <c r="IXW3"/>
      <c r="IXX3"/>
      <c r="IXY3"/>
      <c r="IXZ3"/>
      <c r="IYA3"/>
      <c r="IYB3"/>
      <c r="IYC3"/>
      <c r="IYD3"/>
      <c r="IYE3"/>
      <c r="IYF3"/>
      <c r="IYG3"/>
      <c r="IYH3"/>
      <c r="IYI3"/>
      <c r="IYJ3"/>
      <c r="IYK3"/>
      <c r="IYL3"/>
      <c r="IYM3"/>
      <c r="IYN3"/>
      <c r="IYO3"/>
      <c r="IYP3"/>
      <c r="IYQ3"/>
      <c r="IYR3"/>
      <c r="IYS3"/>
      <c r="IYT3"/>
      <c r="IYU3"/>
      <c r="IYV3"/>
      <c r="IYW3"/>
      <c r="IYX3"/>
      <c r="IYY3"/>
      <c r="IYZ3"/>
      <c r="IZA3"/>
      <c r="IZB3"/>
      <c r="IZC3"/>
      <c r="IZD3"/>
      <c r="IZE3"/>
      <c r="IZF3"/>
      <c r="IZG3"/>
      <c r="IZH3"/>
      <c r="IZI3"/>
      <c r="IZJ3"/>
      <c r="IZK3"/>
      <c r="IZL3"/>
      <c r="IZM3"/>
      <c r="IZN3"/>
      <c r="IZO3"/>
      <c r="IZP3"/>
      <c r="IZQ3"/>
      <c r="IZR3"/>
      <c r="IZS3"/>
      <c r="IZT3"/>
      <c r="IZU3"/>
      <c r="IZV3"/>
      <c r="IZW3"/>
      <c r="IZX3"/>
      <c r="IZY3"/>
      <c r="IZZ3"/>
      <c r="JAA3"/>
      <c r="JAB3"/>
      <c r="JAC3"/>
      <c r="JAD3"/>
      <c r="JAE3"/>
      <c r="JAF3"/>
      <c r="JAG3"/>
      <c r="JAH3"/>
      <c r="JAI3"/>
      <c r="JAJ3"/>
      <c r="JAK3"/>
      <c r="JAL3"/>
      <c r="JAM3"/>
      <c r="JAN3"/>
      <c r="JAO3"/>
      <c r="JAP3"/>
      <c r="JAQ3"/>
      <c r="JAR3"/>
      <c r="JAS3"/>
      <c r="JAT3"/>
      <c r="JAU3"/>
      <c r="JAV3"/>
      <c r="JAW3"/>
      <c r="JAX3"/>
      <c r="JAY3"/>
      <c r="JAZ3"/>
      <c r="JBA3"/>
      <c r="JBB3"/>
      <c r="JBC3"/>
      <c r="JBD3"/>
      <c r="JBE3"/>
      <c r="JBF3"/>
      <c r="JBG3"/>
      <c r="JBH3"/>
      <c r="JBI3"/>
      <c r="JBJ3"/>
      <c r="JBK3"/>
      <c r="JBL3"/>
      <c r="JBM3"/>
      <c r="JBN3"/>
      <c r="JBO3"/>
      <c r="JBP3"/>
      <c r="JBQ3"/>
      <c r="JBR3"/>
      <c r="JBS3"/>
      <c r="JBT3"/>
      <c r="JBU3"/>
      <c r="JBV3"/>
      <c r="JBW3"/>
      <c r="JBX3"/>
      <c r="JBY3"/>
      <c r="JBZ3"/>
      <c r="JCA3"/>
      <c r="JCB3"/>
      <c r="JCC3"/>
      <c r="JCD3"/>
      <c r="JCE3"/>
      <c r="JCF3"/>
      <c r="JCG3"/>
      <c r="JCH3"/>
      <c r="JCI3"/>
      <c r="JCJ3"/>
      <c r="JCK3"/>
      <c r="JCL3"/>
      <c r="JCM3"/>
      <c r="JCN3"/>
      <c r="JCO3"/>
      <c r="JCP3"/>
      <c r="JCQ3"/>
      <c r="JCR3"/>
      <c r="JCS3"/>
      <c r="JCT3"/>
      <c r="JCU3"/>
      <c r="JCV3"/>
      <c r="JCW3"/>
      <c r="JCX3"/>
      <c r="JCY3"/>
      <c r="JCZ3"/>
      <c r="JDA3"/>
      <c r="JDB3"/>
      <c r="JDC3"/>
      <c r="JDD3"/>
      <c r="JDE3"/>
      <c r="JDF3"/>
      <c r="JDG3"/>
      <c r="JDH3"/>
      <c r="JDI3"/>
      <c r="JDJ3"/>
      <c r="JDK3"/>
      <c r="JDL3"/>
      <c r="JDM3"/>
      <c r="JDN3"/>
      <c r="JDO3"/>
      <c r="JDP3"/>
      <c r="JDQ3"/>
      <c r="JDR3"/>
      <c r="JDS3"/>
      <c r="JDT3"/>
      <c r="JDU3"/>
      <c r="JDV3"/>
      <c r="JDW3"/>
      <c r="JDX3"/>
      <c r="JDY3"/>
      <c r="JDZ3"/>
      <c r="JEA3"/>
      <c r="JEB3"/>
      <c r="JEC3"/>
      <c r="JED3"/>
      <c r="JEE3"/>
      <c r="JEF3"/>
      <c r="JEG3"/>
      <c r="JEH3"/>
      <c r="JEI3"/>
      <c r="JEJ3"/>
      <c r="JEK3"/>
      <c r="JEL3"/>
      <c r="JEM3"/>
      <c r="JEN3"/>
      <c r="JEO3"/>
      <c r="JEP3"/>
      <c r="JEQ3"/>
      <c r="JER3"/>
      <c r="JES3"/>
      <c r="JET3"/>
      <c r="JEU3"/>
      <c r="JEV3"/>
      <c r="JEW3"/>
      <c r="JEX3"/>
      <c r="JEY3"/>
      <c r="JEZ3"/>
      <c r="JFA3"/>
      <c r="JFB3"/>
      <c r="JFC3"/>
      <c r="JFD3"/>
      <c r="JFE3"/>
      <c r="JFF3"/>
      <c r="JFG3"/>
      <c r="JFH3"/>
      <c r="JFI3"/>
      <c r="JFJ3"/>
      <c r="JFK3"/>
      <c r="JFL3"/>
      <c r="JFM3"/>
      <c r="JFN3"/>
      <c r="JFO3"/>
      <c r="JFP3"/>
      <c r="JFQ3"/>
      <c r="JFR3"/>
      <c r="JFS3"/>
      <c r="JFT3"/>
      <c r="JFU3"/>
      <c r="JFV3"/>
      <c r="JFW3"/>
      <c r="JFX3"/>
      <c r="JFY3"/>
      <c r="JFZ3"/>
      <c r="JGA3"/>
      <c r="JGB3"/>
      <c r="JGC3"/>
      <c r="JGD3"/>
      <c r="JGE3"/>
      <c r="JGF3"/>
      <c r="JGG3"/>
      <c r="JGH3"/>
      <c r="JGI3"/>
      <c r="JGJ3"/>
      <c r="JGK3"/>
      <c r="JGL3"/>
      <c r="JGM3"/>
      <c r="JGN3"/>
      <c r="JGO3"/>
      <c r="JGP3"/>
      <c r="JGQ3"/>
      <c r="JGR3"/>
      <c r="JGS3"/>
      <c r="JGT3"/>
      <c r="JGU3"/>
      <c r="JGV3"/>
      <c r="JGW3"/>
      <c r="JGX3"/>
      <c r="JGY3"/>
      <c r="JGZ3"/>
      <c r="JHA3"/>
      <c r="JHB3"/>
      <c r="JHC3"/>
      <c r="JHD3"/>
      <c r="JHE3"/>
      <c r="JHF3"/>
      <c r="JHG3"/>
      <c r="JHH3"/>
      <c r="JHI3"/>
      <c r="JHJ3"/>
      <c r="JHK3"/>
      <c r="JHL3"/>
      <c r="JHM3"/>
      <c r="JHN3"/>
      <c r="JHO3"/>
      <c r="JHP3"/>
      <c r="JHQ3"/>
      <c r="JHR3"/>
      <c r="JHS3"/>
      <c r="JHT3"/>
      <c r="JHU3"/>
      <c r="JHV3"/>
      <c r="JHW3"/>
      <c r="JHX3"/>
      <c r="JHY3"/>
      <c r="JHZ3"/>
      <c r="JIA3"/>
      <c r="JIB3"/>
      <c r="JIC3"/>
      <c r="JID3"/>
      <c r="JIE3"/>
      <c r="JIF3"/>
      <c r="JIG3"/>
      <c r="JIH3"/>
      <c r="JII3"/>
      <c r="JIJ3"/>
      <c r="JIK3"/>
      <c r="JIL3"/>
      <c r="JIM3"/>
      <c r="JIN3"/>
      <c r="JIO3"/>
      <c r="JIP3"/>
      <c r="JIQ3"/>
      <c r="JIR3"/>
      <c r="JIS3"/>
      <c r="JIT3"/>
      <c r="JIU3"/>
      <c r="JIV3"/>
      <c r="JIW3"/>
      <c r="JIX3"/>
      <c r="JIY3"/>
      <c r="JIZ3"/>
      <c r="JJA3"/>
      <c r="JJB3"/>
      <c r="JJC3"/>
      <c r="JJD3"/>
      <c r="JJE3"/>
      <c r="JJF3"/>
      <c r="JJG3"/>
      <c r="JJH3"/>
      <c r="JJI3"/>
      <c r="JJJ3"/>
      <c r="JJK3"/>
      <c r="JJL3"/>
      <c r="JJM3"/>
      <c r="JJN3"/>
      <c r="JJO3"/>
      <c r="JJP3"/>
      <c r="JJQ3"/>
      <c r="JJR3"/>
      <c r="JJS3"/>
      <c r="JJT3"/>
      <c r="JJU3"/>
      <c r="JJV3"/>
      <c r="JJW3"/>
      <c r="JJX3"/>
      <c r="JJY3"/>
      <c r="JJZ3"/>
      <c r="JKA3"/>
      <c r="JKB3"/>
      <c r="JKC3"/>
      <c r="JKD3"/>
      <c r="JKE3"/>
      <c r="JKF3"/>
      <c r="JKG3"/>
      <c r="JKH3"/>
      <c r="JKI3"/>
      <c r="JKJ3"/>
      <c r="JKK3"/>
      <c r="JKL3"/>
      <c r="JKM3"/>
      <c r="JKN3"/>
      <c r="JKO3"/>
      <c r="JKP3"/>
      <c r="JKQ3"/>
      <c r="JKR3"/>
      <c r="JKS3"/>
      <c r="JKT3"/>
      <c r="JKU3"/>
      <c r="JKV3"/>
      <c r="JKW3"/>
      <c r="JKX3"/>
      <c r="JKY3"/>
      <c r="JKZ3"/>
      <c r="JLA3"/>
      <c r="JLB3"/>
      <c r="JLC3"/>
      <c r="JLD3"/>
      <c r="JLE3"/>
      <c r="JLF3"/>
      <c r="JLG3"/>
      <c r="JLH3"/>
      <c r="JLI3"/>
      <c r="JLJ3"/>
      <c r="JLK3"/>
      <c r="JLL3"/>
      <c r="JLM3"/>
      <c r="JLN3"/>
      <c r="JLO3"/>
      <c r="JLP3"/>
      <c r="JLQ3"/>
      <c r="JLR3"/>
      <c r="JLS3"/>
      <c r="JLT3"/>
      <c r="JLU3"/>
      <c r="JLV3"/>
      <c r="JLW3"/>
      <c r="JLX3"/>
      <c r="JLY3"/>
      <c r="JLZ3"/>
      <c r="JMA3"/>
      <c r="JMB3"/>
      <c r="JMC3"/>
      <c r="JMD3"/>
      <c r="JME3"/>
      <c r="JMF3"/>
      <c r="JMG3"/>
      <c r="JMH3"/>
      <c r="JMI3"/>
      <c r="JMJ3"/>
      <c r="JMK3"/>
      <c r="JML3"/>
      <c r="JMM3"/>
      <c r="JMN3"/>
      <c r="JMO3"/>
      <c r="JMP3"/>
      <c r="JMQ3"/>
      <c r="JMR3"/>
      <c r="JMS3"/>
      <c r="JMT3"/>
      <c r="JMU3"/>
      <c r="JMV3"/>
      <c r="JMW3"/>
      <c r="JMX3"/>
      <c r="JMY3"/>
      <c r="JMZ3"/>
      <c r="JNA3"/>
      <c r="JNB3"/>
      <c r="JNC3"/>
      <c r="JND3"/>
      <c r="JNE3"/>
      <c r="JNF3"/>
      <c r="JNG3"/>
      <c r="JNH3"/>
      <c r="JNI3"/>
      <c r="JNJ3"/>
      <c r="JNK3"/>
      <c r="JNL3"/>
      <c r="JNM3"/>
      <c r="JNN3"/>
      <c r="JNO3"/>
      <c r="JNP3"/>
      <c r="JNQ3"/>
      <c r="JNR3"/>
      <c r="JNS3"/>
      <c r="JNT3"/>
      <c r="JNU3"/>
      <c r="JNV3"/>
      <c r="JNW3"/>
      <c r="JNX3"/>
      <c r="JNY3"/>
      <c r="JNZ3"/>
      <c r="JOA3"/>
      <c r="JOB3"/>
      <c r="JOC3"/>
      <c r="JOD3"/>
      <c r="JOE3"/>
      <c r="JOF3"/>
      <c r="JOG3"/>
      <c r="JOH3"/>
      <c r="JOI3"/>
      <c r="JOJ3"/>
      <c r="JOK3"/>
      <c r="JOL3"/>
      <c r="JOM3"/>
      <c r="JON3"/>
      <c r="JOO3"/>
      <c r="JOP3"/>
      <c r="JOQ3"/>
      <c r="JOR3"/>
      <c r="JOS3"/>
      <c r="JOT3"/>
      <c r="JOU3"/>
      <c r="JOV3"/>
      <c r="JOW3"/>
      <c r="JOX3"/>
      <c r="JOY3"/>
      <c r="JOZ3"/>
      <c r="JPA3"/>
      <c r="JPB3"/>
      <c r="JPC3"/>
      <c r="JPD3"/>
      <c r="JPE3"/>
      <c r="JPF3"/>
      <c r="JPG3"/>
      <c r="JPH3"/>
      <c r="JPI3"/>
      <c r="JPJ3"/>
      <c r="JPK3"/>
      <c r="JPL3"/>
      <c r="JPM3"/>
      <c r="JPN3"/>
      <c r="JPO3"/>
      <c r="JPP3"/>
      <c r="JPQ3"/>
      <c r="JPR3"/>
      <c r="JPS3"/>
      <c r="JPT3"/>
      <c r="JPU3"/>
      <c r="JPV3"/>
      <c r="JPW3"/>
      <c r="JPX3"/>
      <c r="JPY3"/>
      <c r="JPZ3"/>
      <c r="JQA3"/>
      <c r="JQB3"/>
      <c r="JQC3"/>
      <c r="JQD3"/>
      <c r="JQE3"/>
      <c r="JQF3"/>
      <c r="JQG3"/>
      <c r="JQH3"/>
      <c r="JQI3"/>
      <c r="JQJ3"/>
      <c r="JQK3"/>
      <c r="JQL3"/>
      <c r="JQM3"/>
      <c r="JQN3"/>
      <c r="JQO3"/>
      <c r="JQP3"/>
      <c r="JQQ3"/>
      <c r="JQR3"/>
      <c r="JQS3"/>
      <c r="JQT3"/>
      <c r="JQU3"/>
      <c r="JQV3"/>
      <c r="JQW3"/>
      <c r="JQX3"/>
      <c r="JQY3"/>
      <c r="JQZ3"/>
      <c r="JRA3"/>
      <c r="JRB3"/>
      <c r="JRC3"/>
      <c r="JRD3"/>
      <c r="JRE3"/>
      <c r="JRF3"/>
      <c r="JRG3"/>
      <c r="JRH3"/>
      <c r="JRI3"/>
      <c r="JRJ3"/>
      <c r="JRK3"/>
      <c r="JRL3"/>
      <c r="JRM3"/>
      <c r="JRN3"/>
      <c r="JRO3"/>
      <c r="JRP3"/>
      <c r="JRQ3"/>
      <c r="JRR3"/>
      <c r="JRS3"/>
      <c r="JRT3"/>
      <c r="JRU3"/>
      <c r="JRV3"/>
      <c r="JRW3"/>
      <c r="JRX3"/>
      <c r="JRY3"/>
      <c r="JRZ3"/>
      <c r="JSA3"/>
      <c r="JSB3"/>
      <c r="JSC3"/>
      <c r="JSD3"/>
      <c r="JSE3"/>
      <c r="JSF3"/>
      <c r="JSG3"/>
      <c r="JSH3"/>
      <c r="JSI3"/>
      <c r="JSJ3"/>
      <c r="JSK3"/>
      <c r="JSL3"/>
      <c r="JSM3"/>
      <c r="JSN3"/>
      <c r="JSO3"/>
      <c r="JSP3"/>
      <c r="JSQ3"/>
      <c r="JSR3"/>
      <c r="JSS3"/>
      <c r="JST3"/>
      <c r="JSU3"/>
      <c r="JSV3"/>
      <c r="JSW3"/>
      <c r="JSX3"/>
      <c r="JSY3"/>
      <c r="JSZ3"/>
      <c r="JTA3"/>
      <c r="JTB3"/>
      <c r="JTC3"/>
      <c r="JTD3"/>
      <c r="JTE3"/>
      <c r="JTF3"/>
      <c r="JTG3"/>
      <c r="JTH3"/>
      <c r="JTI3"/>
      <c r="JTJ3"/>
      <c r="JTK3"/>
      <c r="JTL3"/>
      <c r="JTM3"/>
      <c r="JTN3"/>
      <c r="JTO3"/>
      <c r="JTP3"/>
      <c r="JTQ3"/>
      <c r="JTR3"/>
      <c r="JTS3"/>
      <c r="JTT3"/>
      <c r="JTU3"/>
      <c r="JTV3"/>
      <c r="JTW3"/>
      <c r="JTX3"/>
      <c r="JTY3"/>
      <c r="JTZ3"/>
      <c r="JUA3"/>
      <c r="JUB3"/>
      <c r="JUC3"/>
      <c r="JUD3"/>
      <c r="JUE3"/>
      <c r="JUF3"/>
      <c r="JUG3"/>
      <c r="JUH3"/>
      <c r="JUI3"/>
      <c r="JUJ3"/>
      <c r="JUK3"/>
      <c r="JUL3"/>
      <c r="JUM3"/>
      <c r="JUN3"/>
      <c r="JUO3"/>
      <c r="JUP3"/>
      <c r="JUQ3"/>
      <c r="JUR3"/>
      <c r="JUS3"/>
      <c r="JUT3"/>
      <c r="JUU3"/>
      <c r="JUV3"/>
      <c r="JUW3"/>
      <c r="JUX3"/>
      <c r="JUY3"/>
      <c r="JUZ3"/>
      <c r="JVA3"/>
      <c r="JVB3"/>
      <c r="JVC3"/>
      <c r="JVD3"/>
      <c r="JVE3"/>
      <c r="JVF3"/>
      <c r="JVG3"/>
      <c r="JVH3"/>
      <c r="JVI3"/>
      <c r="JVJ3"/>
      <c r="JVK3"/>
      <c r="JVL3"/>
      <c r="JVM3"/>
      <c r="JVN3"/>
      <c r="JVO3"/>
      <c r="JVP3"/>
      <c r="JVQ3"/>
      <c r="JVR3"/>
      <c r="JVS3"/>
      <c r="JVT3"/>
      <c r="JVU3"/>
      <c r="JVV3"/>
      <c r="JVW3"/>
      <c r="JVX3"/>
      <c r="JVY3"/>
      <c r="JVZ3"/>
      <c r="JWA3"/>
      <c r="JWB3"/>
      <c r="JWC3"/>
      <c r="JWD3"/>
      <c r="JWE3"/>
      <c r="JWF3"/>
      <c r="JWG3"/>
      <c r="JWH3"/>
      <c r="JWI3"/>
      <c r="JWJ3"/>
      <c r="JWK3"/>
      <c r="JWL3"/>
      <c r="JWM3"/>
      <c r="JWN3"/>
      <c r="JWO3"/>
      <c r="JWP3"/>
      <c r="JWQ3"/>
      <c r="JWR3"/>
      <c r="JWS3"/>
      <c r="JWT3"/>
      <c r="JWU3"/>
      <c r="JWV3"/>
      <c r="JWW3"/>
      <c r="JWX3"/>
      <c r="JWY3"/>
      <c r="JWZ3"/>
      <c r="JXA3"/>
      <c r="JXB3"/>
      <c r="JXC3"/>
      <c r="JXD3"/>
      <c r="JXE3"/>
      <c r="JXF3"/>
      <c r="JXG3"/>
      <c r="JXH3"/>
      <c r="JXI3"/>
      <c r="JXJ3"/>
      <c r="JXK3"/>
      <c r="JXL3"/>
      <c r="JXM3"/>
      <c r="JXN3"/>
      <c r="JXO3"/>
      <c r="JXP3"/>
      <c r="JXQ3"/>
      <c r="JXR3"/>
      <c r="JXS3"/>
      <c r="JXT3"/>
      <c r="JXU3"/>
      <c r="JXV3"/>
      <c r="JXW3"/>
      <c r="JXX3"/>
      <c r="JXY3"/>
      <c r="JXZ3"/>
      <c r="JYA3"/>
      <c r="JYB3"/>
      <c r="JYC3"/>
      <c r="JYD3"/>
      <c r="JYE3"/>
      <c r="JYF3"/>
      <c r="JYG3"/>
      <c r="JYH3"/>
      <c r="JYI3"/>
      <c r="JYJ3"/>
      <c r="JYK3"/>
      <c r="JYL3"/>
      <c r="JYM3"/>
      <c r="JYN3"/>
      <c r="JYO3"/>
      <c r="JYP3"/>
      <c r="JYQ3"/>
      <c r="JYR3"/>
      <c r="JYS3"/>
      <c r="JYT3"/>
      <c r="JYU3"/>
      <c r="JYV3"/>
      <c r="JYW3"/>
      <c r="JYX3"/>
      <c r="JYY3"/>
      <c r="JYZ3"/>
      <c r="JZA3"/>
      <c r="JZB3"/>
      <c r="JZC3"/>
      <c r="JZD3"/>
      <c r="JZE3"/>
      <c r="JZF3"/>
      <c r="JZG3"/>
      <c r="JZH3"/>
      <c r="JZI3"/>
      <c r="JZJ3"/>
      <c r="JZK3"/>
      <c r="JZL3"/>
      <c r="JZM3"/>
      <c r="JZN3"/>
      <c r="JZO3"/>
      <c r="JZP3"/>
      <c r="JZQ3"/>
      <c r="JZR3"/>
      <c r="JZS3"/>
      <c r="JZT3"/>
      <c r="JZU3"/>
      <c r="JZV3"/>
      <c r="JZW3"/>
      <c r="JZX3"/>
      <c r="JZY3"/>
      <c r="JZZ3"/>
      <c r="KAA3"/>
      <c r="KAB3"/>
      <c r="KAC3"/>
      <c r="KAD3"/>
      <c r="KAE3"/>
      <c r="KAF3"/>
      <c r="KAG3"/>
      <c r="KAH3"/>
      <c r="KAI3"/>
      <c r="KAJ3"/>
      <c r="KAK3"/>
      <c r="KAL3"/>
      <c r="KAM3"/>
      <c r="KAN3"/>
      <c r="KAO3"/>
      <c r="KAP3"/>
      <c r="KAQ3"/>
      <c r="KAR3"/>
      <c r="KAS3"/>
      <c r="KAT3"/>
      <c r="KAU3"/>
      <c r="KAV3"/>
      <c r="KAW3"/>
      <c r="KAX3"/>
      <c r="KAY3"/>
      <c r="KAZ3"/>
      <c r="KBA3"/>
      <c r="KBB3"/>
      <c r="KBC3"/>
      <c r="KBD3"/>
      <c r="KBE3"/>
      <c r="KBF3"/>
      <c r="KBG3"/>
      <c r="KBH3"/>
      <c r="KBI3"/>
      <c r="KBJ3"/>
      <c r="KBK3"/>
      <c r="KBL3"/>
      <c r="KBM3"/>
      <c r="KBN3"/>
      <c r="KBO3"/>
      <c r="KBP3"/>
      <c r="KBQ3"/>
      <c r="KBR3"/>
      <c r="KBS3"/>
      <c r="KBT3"/>
      <c r="KBU3"/>
      <c r="KBV3"/>
      <c r="KBW3"/>
      <c r="KBX3"/>
      <c r="KBY3"/>
      <c r="KBZ3"/>
      <c r="KCA3"/>
      <c r="KCB3"/>
      <c r="KCC3"/>
      <c r="KCD3"/>
      <c r="KCE3"/>
      <c r="KCF3"/>
      <c r="KCG3"/>
      <c r="KCH3"/>
      <c r="KCI3"/>
      <c r="KCJ3"/>
      <c r="KCK3"/>
      <c r="KCL3"/>
      <c r="KCM3"/>
      <c r="KCN3"/>
      <c r="KCO3"/>
      <c r="KCP3"/>
      <c r="KCQ3"/>
      <c r="KCR3"/>
      <c r="KCS3"/>
      <c r="KCT3"/>
      <c r="KCU3"/>
      <c r="KCV3"/>
      <c r="KCW3"/>
      <c r="KCX3"/>
      <c r="KCY3"/>
      <c r="KCZ3"/>
      <c r="KDA3"/>
      <c r="KDB3"/>
      <c r="KDC3"/>
      <c r="KDD3"/>
      <c r="KDE3"/>
      <c r="KDF3"/>
      <c r="KDG3"/>
      <c r="KDH3"/>
      <c r="KDI3"/>
      <c r="KDJ3"/>
      <c r="KDK3"/>
      <c r="KDL3"/>
      <c r="KDM3"/>
      <c r="KDN3"/>
      <c r="KDO3"/>
      <c r="KDP3"/>
      <c r="KDQ3"/>
      <c r="KDR3"/>
      <c r="KDS3"/>
      <c r="KDT3"/>
      <c r="KDU3"/>
      <c r="KDV3"/>
      <c r="KDW3"/>
      <c r="KDX3"/>
      <c r="KDY3"/>
      <c r="KDZ3"/>
      <c r="KEA3"/>
      <c r="KEB3"/>
      <c r="KEC3"/>
      <c r="KED3"/>
      <c r="KEE3"/>
      <c r="KEF3"/>
      <c r="KEG3"/>
      <c r="KEH3"/>
      <c r="KEI3"/>
      <c r="KEJ3"/>
      <c r="KEK3"/>
      <c r="KEL3"/>
      <c r="KEM3"/>
      <c r="KEN3"/>
      <c r="KEO3"/>
      <c r="KEP3"/>
      <c r="KEQ3"/>
      <c r="KER3"/>
      <c r="KES3"/>
      <c r="KET3"/>
      <c r="KEU3"/>
      <c r="KEV3"/>
      <c r="KEW3"/>
      <c r="KEX3"/>
      <c r="KEY3"/>
      <c r="KEZ3"/>
      <c r="KFA3"/>
      <c r="KFB3"/>
      <c r="KFC3"/>
      <c r="KFD3"/>
      <c r="KFE3"/>
      <c r="KFF3"/>
      <c r="KFG3"/>
      <c r="KFH3"/>
      <c r="KFI3"/>
      <c r="KFJ3"/>
      <c r="KFK3"/>
      <c r="KFL3"/>
      <c r="KFM3"/>
      <c r="KFN3"/>
      <c r="KFO3"/>
      <c r="KFP3"/>
      <c r="KFQ3"/>
      <c r="KFR3"/>
      <c r="KFS3"/>
      <c r="KFT3"/>
      <c r="KFU3"/>
      <c r="KFV3"/>
      <c r="KFW3"/>
      <c r="KFX3"/>
      <c r="KFY3"/>
      <c r="KFZ3"/>
      <c r="KGA3"/>
      <c r="KGB3"/>
      <c r="KGC3"/>
      <c r="KGD3"/>
      <c r="KGE3"/>
      <c r="KGF3"/>
      <c r="KGG3"/>
      <c r="KGH3"/>
      <c r="KGI3"/>
      <c r="KGJ3"/>
      <c r="KGK3"/>
      <c r="KGL3"/>
      <c r="KGM3"/>
      <c r="KGN3"/>
      <c r="KGO3"/>
      <c r="KGP3"/>
      <c r="KGQ3"/>
      <c r="KGR3"/>
      <c r="KGS3"/>
      <c r="KGT3"/>
      <c r="KGU3"/>
      <c r="KGV3"/>
      <c r="KGW3"/>
      <c r="KGX3"/>
      <c r="KGY3"/>
      <c r="KGZ3"/>
      <c r="KHA3"/>
      <c r="KHB3"/>
      <c r="KHC3"/>
      <c r="KHD3"/>
      <c r="KHE3"/>
      <c r="KHF3"/>
      <c r="KHG3"/>
      <c r="KHH3"/>
      <c r="KHI3"/>
      <c r="KHJ3"/>
      <c r="KHK3"/>
      <c r="KHL3"/>
      <c r="KHM3"/>
      <c r="KHN3"/>
      <c r="KHO3"/>
      <c r="KHP3"/>
      <c r="KHQ3"/>
      <c r="KHR3"/>
      <c r="KHS3"/>
      <c r="KHT3"/>
      <c r="KHU3"/>
      <c r="KHV3"/>
      <c r="KHW3"/>
      <c r="KHX3"/>
      <c r="KHY3"/>
      <c r="KHZ3"/>
      <c r="KIA3"/>
      <c r="KIB3"/>
      <c r="KIC3"/>
      <c r="KID3"/>
      <c r="KIE3"/>
      <c r="KIF3"/>
      <c r="KIG3"/>
      <c r="KIH3"/>
      <c r="KII3"/>
      <c r="KIJ3"/>
      <c r="KIK3"/>
      <c r="KIL3"/>
      <c r="KIM3"/>
      <c r="KIN3"/>
      <c r="KIO3"/>
      <c r="KIP3"/>
      <c r="KIQ3"/>
      <c r="KIR3"/>
      <c r="KIS3"/>
      <c r="KIT3"/>
      <c r="KIU3"/>
      <c r="KIV3"/>
      <c r="KIW3"/>
      <c r="KIX3"/>
      <c r="KIY3"/>
      <c r="KIZ3"/>
      <c r="KJA3"/>
      <c r="KJB3"/>
      <c r="KJC3"/>
      <c r="KJD3"/>
      <c r="KJE3"/>
      <c r="KJF3"/>
      <c r="KJG3"/>
      <c r="KJH3"/>
      <c r="KJI3"/>
      <c r="KJJ3"/>
      <c r="KJK3"/>
      <c r="KJL3"/>
      <c r="KJM3"/>
      <c r="KJN3"/>
      <c r="KJO3"/>
      <c r="KJP3"/>
      <c r="KJQ3"/>
      <c r="KJR3"/>
      <c r="KJS3"/>
      <c r="KJT3"/>
      <c r="KJU3"/>
      <c r="KJV3"/>
      <c r="KJW3"/>
      <c r="KJX3"/>
      <c r="KJY3"/>
      <c r="KJZ3"/>
      <c r="KKA3"/>
      <c r="KKB3"/>
      <c r="KKC3"/>
      <c r="KKD3"/>
      <c r="KKE3"/>
      <c r="KKF3"/>
      <c r="KKG3"/>
      <c r="KKH3"/>
      <c r="KKI3"/>
      <c r="KKJ3"/>
      <c r="KKK3"/>
      <c r="KKL3"/>
      <c r="KKM3"/>
      <c r="KKN3"/>
      <c r="KKO3"/>
      <c r="KKP3"/>
      <c r="KKQ3"/>
      <c r="KKR3"/>
      <c r="KKS3"/>
      <c r="KKT3"/>
      <c r="KKU3"/>
      <c r="KKV3"/>
      <c r="KKW3"/>
      <c r="KKX3"/>
      <c r="KKY3"/>
      <c r="KKZ3"/>
      <c r="KLA3"/>
      <c r="KLB3"/>
      <c r="KLC3"/>
      <c r="KLD3"/>
      <c r="KLE3"/>
      <c r="KLF3"/>
      <c r="KLG3"/>
      <c r="KLH3"/>
      <c r="KLI3"/>
      <c r="KLJ3"/>
      <c r="KLK3"/>
      <c r="KLL3"/>
      <c r="KLM3"/>
      <c r="KLN3"/>
      <c r="KLO3"/>
      <c r="KLP3"/>
      <c r="KLQ3"/>
      <c r="KLR3"/>
      <c r="KLS3"/>
      <c r="KLT3"/>
      <c r="KLU3"/>
      <c r="KLV3"/>
      <c r="KLW3"/>
      <c r="KLX3"/>
      <c r="KLY3"/>
      <c r="KLZ3"/>
      <c r="KMA3"/>
      <c r="KMB3"/>
      <c r="KMC3"/>
      <c r="KMD3"/>
      <c r="KME3"/>
      <c r="KMF3"/>
      <c r="KMG3"/>
      <c r="KMH3"/>
      <c r="KMI3"/>
      <c r="KMJ3"/>
      <c r="KMK3"/>
      <c r="KML3"/>
      <c r="KMM3"/>
      <c r="KMN3"/>
      <c r="KMO3"/>
      <c r="KMP3"/>
      <c r="KMQ3"/>
      <c r="KMR3"/>
      <c r="KMS3"/>
      <c r="KMT3"/>
      <c r="KMU3"/>
      <c r="KMV3"/>
      <c r="KMW3"/>
      <c r="KMX3"/>
      <c r="KMY3"/>
      <c r="KMZ3"/>
      <c r="KNA3"/>
      <c r="KNB3"/>
      <c r="KNC3"/>
      <c r="KND3"/>
      <c r="KNE3"/>
      <c r="KNF3"/>
      <c r="KNG3"/>
      <c r="KNH3"/>
      <c r="KNI3"/>
      <c r="KNJ3"/>
      <c r="KNK3"/>
      <c r="KNL3"/>
      <c r="KNM3"/>
      <c r="KNN3"/>
      <c r="KNO3"/>
      <c r="KNP3"/>
      <c r="KNQ3"/>
      <c r="KNR3"/>
      <c r="KNS3"/>
      <c r="KNT3"/>
      <c r="KNU3"/>
      <c r="KNV3"/>
      <c r="KNW3"/>
      <c r="KNX3"/>
      <c r="KNY3"/>
      <c r="KNZ3"/>
      <c r="KOA3"/>
      <c r="KOB3"/>
      <c r="KOC3"/>
      <c r="KOD3"/>
      <c r="KOE3"/>
      <c r="KOF3"/>
      <c r="KOG3"/>
      <c r="KOH3"/>
      <c r="KOI3"/>
      <c r="KOJ3"/>
      <c r="KOK3"/>
      <c r="KOL3"/>
      <c r="KOM3"/>
      <c r="KON3"/>
      <c r="KOO3"/>
      <c r="KOP3"/>
      <c r="KOQ3"/>
      <c r="KOR3"/>
      <c r="KOS3"/>
      <c r="KOT3"/>
      <c r="KOU3"/>
      <c r="KOV3"/>
      <c r="KOW3"/>
      <c r="KOX3"/>
      <c r="KOY3"/>
      <c r="KOZ3"/>
      <c r="KPA3"/>
      <c r="KPB3"/>
      <c r="KPC3"/>
      <c r="KPD3"/>
      <c r="KPE3"/>
      <c r="KPF3"/>
      <c r="KPG3"/>
      <c r="KPH3"/>
      <c r="KPI3"/>
      <c r="KPJ3"/>
      <c r="KPK3"/>
      <c r="KPL3"/>
      <c r="KPM3"/>
      <c r="KPN3"/>
      <c r="KPO3"/>
      <c r="KPP3"/>
      <c r="KPQ3"/>
      <c r="KPR3"/>
      <c r="KPS3"/>
      <c r="KPT3"/>
      <c r="KPU3"/>
      <c r="KPV3"/>
      <c r="KPW3"/>
      <c r="KPX3"/>
      <c r="KPY3"/>
      <c r="KPZ3"/>
      <c r="KQA3"/>
      <c r="KQB3"/>
      <c r="KQC3"/>
      <c r="KQD3"/>
      <c r="KQE3"/>
      <c r="KQF3"/>
      <c r="KQG3"/>
      <c r="KQH3"/>
      <c r="KQI3"/>
      <c r="KQJ3"/>
      <c r="KQK3"/>
      <c r="KQL3"/>
      <c r="KQM3"/>
      <c r="KQN3"/>
      <c r="KQO3"/>
      <c r="KQP3"/>
      <c r="KQQ3"/>
      <c r="KQR3"/>
      <c r="KQS3"/>
      <c r="KQT3"/>
      <c r="KQU3"/>
      <c r="KQV3"/>
      <c r="KQW3"/>
      <c r="KQX3"/>
      <c r="KQY3"/>
      <c r="KQZ3"/>
      <c r="KRA3"/>
      <c r="KRB3"/>
      <c r="KRC3"/>
      <c r="KRD3"/>
      <c r="KRE3"/>
      <c r="KRF3"/>
      <c r="KRG3"/>
      <c r="KRH3"/>
      <c r="KRI3"/>
      <c r="KRJ3"/>
      <c r="KRK3"/>
      <c r="KRL3"/>
      <c r="KRM3"/>
      <c r="KRN3"/>
      <c r="KRO3"/>
      <c r="KRP3"/>
      <c r="KRQ3"/>
      <c r="KRR3"/>
      <c r="KRS3"/>
      <c r="KRT3"/>
      <c r="KRU3"/>
      <c r="KRV3"/>
      <c r="KRW3"/>
      <c r="KRX3"/>
      <c r="KRY3"/>
      <c r="KRZ3"/>
      <c r="KSA3"/>
      <c r="KSB3"/>
      <c r="KSC3"/>
      <c r="KSD3"/>
      <c r="KSE3"/>
      <c r="KSF3"/>
      <c r="KSG3"/>
      <c r="KSH3"/>
      <c r="KSI3"/>
      <c r="KSJ3"/>
      <c r="KSK3"/>
      <c r="KSL3"/>
      <c r="KSM3"/>
      <c r="KSN3"/>
      <c r="KSO3"/>
      <c r="KSP3"/>
      <c r="KSQ3"/>
      <c r="KSR3"/>
      <c r="KSS3"/>
      <c r="KST3"/>
      <c r="KSU3"/>
      <c r="KSV3"/>
      <c r="KSW3"/>
      <c r="KSX3"/>
      <c r="KSY3"/>
      <c r="KSZ3"/>
      <c r="KTA3"/>
      <c r="KTB3"/>
      <c r="KTC3"/>
      <c r="KTD3"/>
      <c r="KTE3"/>
      <c r="KTF3"/>
      <c r="KTG3"/>
      <c r="KTH3"/>
      <c r="KTI3"/>
      <c r="KTJ3"/>
      <c r="KTK3"/>
      <c r="KTL3"/>
      <c r="KTM3"/>
      <c r="KTN3"/>
      <c r="KTO3"/>
      <c r="KTP3"/>
      <c r="KTQ3"/>
      <c r="KTR3"/>
      <c r="KTS3"/>
      <c r="KTT3"/>
      <c r="KTU3"/>
      <c r="KTV3"/>
      <c r="KTW3"/>
      <c r="KTX3"/>
      <c r="KTY3"/>
      <c r="KTZ3"/>
      <c r="KUA3"/>
      <c r="KUB3"/>
      <c r="KUC3"/>
      <c r="KUD3"/>
      <c r="KUE3"/>
      <c r="KUF3"/>
      <c r="KUG3"/>
      <c r="KUH3"/>
      <c r="KUI3"/>
      <c r="KUJ3"/>
      <c r="KUK3"/>
      <c r="KUL3"/>
      <c r="KUM3"/>
      <c r="KUN3"/>
      <c r="KUO3"/>
      <c r="KUP3"/>
      <c r="KUQ3"/>
      <c r="KUR3"/>
      <c r="KUS3"/>
      <c r="KUT3"/>
      <c r="KUU3"/>
      <c r="KUV3"/>
      <c r="KUW3"/>
      <c r="KUX3"/>
      <c r="KUY3"/>
      <c r="KUZ3"/>
      <c r="KVA3"/>
      <c r="KVB3"/>
      <c r="KVC3"/>
      <c r="KVD3"/>
      <c r="KVE3"/>
      <c r="KVF3"/>
      <c r="KVG3"/>
      <c r="KVH3"/>
      <c r="KVI3"/>
      <c r="KVJ3"/>
      <c r="KVK3"/>
      <c r="KVL3"/>
      <c r="KVM3"/>
      <c r="KVN3"/>
      <c r="KVO3"/>
      <c r="KVP3"/>
      <c r="KVQ3"/>
      <c r="KVR3"/>
      <c r="KVS3"/>
      <c r="KVT3"/>
      <c r="KVU3"/>
      <c r="KVV3"/>
      <c r="KVW3"/>
      <c r="KVX3"/>
      <c r="KVY3"/>
      <c r="KVZ3"/>
      <c r="KWA3"/>
      <c r="KWB3"/>
      <c r="KWC3"/>
      <c r="KWD3"/>
      <c r="KWE3"/>
      <c r="KWF3"/>
      <c r="KWG3"/>
      <c r="KWH3"/>
      <c r="KWI3"/>
      <c r="KWJ3"/>
      <c r="KWK3"/>
      <c r="KWL3"/>
      <c r="KWM3"/>
      <c r="KWN3"/>
      <c r="KWO3"/>
      <c r="KWP3"/>
      <c r="KWQ3"/>
      <c r="KWR3"/>
      <c r="KWS3"/>
      <c r="KWT3"/>
      <c r="KWU3"/>
      <c r="KWV3"/>
      <c r="KWW3"/>
      <c r="KWX3"/>
      <c r="KWY3"/>
      <c r="KWZ3"/>
      <c r="KXA3"/>
      <c r="KXB3"/>
      <c r="KXC3"/>
      <c r="KXD3"/>
      <c r="KXE3"/>
      <c r="KXF3"/>
      <c r="KXG3"/>
      <c r="KXH3"/>
      <c r="KXI3"/>
      <c r="KXJ3"/>
      <c r="KXK3"/>
      <c r="KXL3"/>
      <c r="KXM3"/>
      <c r="KXN3"/>
      <c r="KXO3"/>
      <c r="KXP3"/>
      <c r="KXQ3"/>
      <c r="KXR3"/>
      <c r="KXS3"/>
      <c r="KXT3"/>
      <c r="KXU3"/>
      <c r="KXV3"/>
      <c r="KXW3"/>
      <c r="KXX3"/>
      <c r="KXY3"/>
      <c r="KXZ3"/>
      <c r="KYA3"/>
      <c r="KYB3"/>
      <c r="KYC3"/>
      <c r="KYD3"/>
      <c r="KYE3"/>
      <c r="KYF3"/>
      <c r="KYG3"/>
      <c r="KYH3"/>
      <c r="KYI3"/>
      <c r="KYJ3"/>
      <c r="KYK3"/>
      <c r="KYL3"/>
      <c r="KYM3"/>
      <c r="KYN3"/>
      <c r="KYO3"/>
      <c r="KYP3"/>
      <c r="KYQ3"/>
      <c r="KYR3"/>
      <c r="KYS3"/>
      <c r="KYT3"/>
      <c r="KYU3"/>
      <c r="KYV3"/>
      <c r="KYW3"/>
      <c r="KYX3"/>
      <c r="KYY3"/>
      <c r="KYZ3"/>
      <c r="KZA3"/>
      <c r="KZB3"/>
      <c r="KZC3"/>
      <c r="KZD3"/>
      <c r="KZE3"/>
      <c r="KZF3"/>
      <c r="KZG3"/>
      <c r="KZH3"/>
      <c r="KZI3"/>
      <c r="KZJ3"/>
      <c r="KZK3"/>
      <c r="KZL3"/>
      <c r="KZM3"/>
      <c r="KZN3"/>
      <c r="KZO3"/>
      <c r="KZP3"/>
      <c r="KZQ3"/>
      <c r="KZR3"/>
      <c r="KZS3"/>
      <c r="KZT3"/>
      <c r="KZU3"/>
      <c r="KZV3"/>
      <c r="KZW3"/>
      <c r="KZX3"/>
      <c r="KZY3"/>
      <c r="KZZ3"/>
      <c r="LAA3"/>
      <c r="LAB3"/>
      <c r="LAC3"/>
      <c r="LAD3"/>
      <c r="LAE3"/>
      <c r="LAF3"/>
      <c r="LAG3"/>
      <c r="LAH3"/>
      <c r="LAI3"/>
      <c r="LAJ3"/>
      <c r="LAK3"/>
      <c r="LAL3"/>
      <c r="LAM3"/>
      <c r="LAN3"/>
      <c r="LAO3"/>
      <c r="LAP3"/>
      <c r="LAQ3"/>
      <c r="LAR3"/>
      <c r="LAS3"/>
      <c r="LAT3"/>
      <c r="LAU3"/>
      <c r="LAV3"/>
      <c r="LAW3"/>
      <c r="LAX3"/>
      <c r="LAY3"/>
      <c r="LAZ3"/>
      <c r="LBA3"/>
      <c r="LBB3"/>
      <c r="LBC3"/>
      <c r="LBD3"/>
      <c r="LBE3"/>
      <c r="LBF3"/>
      <c r="LBG3"/>
      <c r="LBH3"/>
      <c r="LBI3"/>
      <c r="LBJ3"/>
      <c r="LBK3"/>
      <c r="LBL3"/>
      <c r="LBM3"/>
      <c r="LBN3"/>
      <c r="LBO3"/>
      <c r="LBP3"/>
      <c r="LBQ3"/>
      <c r="LBR3"/>
      <c r="LBS3"/>
      <c r="LBT3"/>
      <c r="LBU3"/>
      <c r="LBV3"/>
      <c r="LBW3"/>
      <c r="LBX3"/>
      <c r="LBY3"/>
      <c r="LBZ3"/>
      <c r="LCA3"/>
      <c r="LCB3"/>
      <c r="LCC3"/>
      <c r="LCD3"/>
      <c r="LCE3"/>
      <c r="LCF3"/>
      <c r="LCG3"/>
      <c r="LCH3"/>
      <c r="LCI3"/>
      <c r="LCJ3"/>
      <c r="LCK3"/>
      <c r="LCL3"/>
      <c r="LCM3"/>
      <c r="LCN3"/>
      <c r="LCO3"/>
      <c r="LCP3"/>
      <c r="LCQ3"/>
      <c r="LCR3"/>
      <c r="LCS3"/>
      <c r="LCT3"/>
      <c r="LCU3"/>
      <c r="LCV3"/>
      <c r="LCW3"/>
      <c r="LCX3"/>
      <c r="LCY3"/>
      <c r="LCZ3"/>
      <c r="LDA3"/>
      <c r="LDB3"/>
      <c r="LDC3"/>
      <c r="LDD3"/>
      <c r="LDE3"/>
      <c r="LDF3"/>
      <c r="LDG3"/>
      <c r="LDH3"/>
      <c r="LDI3"/>
      <c r="LDJ3"/>
      <c r="LDK3"/>
      <c r="LDL3"/>
      <c r="LDM3"/>
      <c r="LDN3"/>
      <c r="LDO3"/>
      <c r="LDP3"/>
      <c r="LDQ3"/>
      <c r="LDR3"/>
      <c r="LDS3"/>
      <c r="LDT3"/>
      <c r="LDU3"/>
      <c r="LDV3"/>
      <c r="LDW3"/>
      <c r="LDX3"/>
      <c r="LDY3"/>
      <c r="LDZ3"/>
      <c r="LEA3"/>
      <c r="LEB3"/>
      <c r="LEC3"/>
      <c r="LED3"/>
      <c r="LEE3"/>
      <c r="LEF3"/>
      <c r="LEG3"/>
      <c r="LEH3"/>
      <c r="LEI3"/>
      <c r="LEJ3"/>
      <c r="LEK3"/>
      <c r="LEL3"/>
      <c r="LEM3"/>
      <c r="LEN3"/>
      <c r="LEO3"/>
      <c r="LEP3"/>
      <c r="LEQ3"/>
      <c r="LER3"/>
      <c r="LES3"/>
      <c r="LET3"/>
      <c r="LEU3"/>
      <c r="LEV3"/>
      <c r="LEW3"/>
      <c r="LEX3"/>
      <c r="LEY3"/>
      <c r="LEZ3"/>
      <c r="LFA3"/>
      <c r="LFB3"/>
      <c r="LFC3"/>
      <c r="LFD3"/>
      <c r="LFE3"/>
      <c r="LFF3"/>
      <c r="LFG3"/>
      <c r="LFH3"/>
      <c r="LFI3"/>
      <c r="LFJ3"/>
      <c r="LFK3"/>
      <c r="LFL3"/>
      <c r="LFM3"/>
      <c r="LFN3"/>
      <c r="LFO3"/>
      <c r="LFP3"/>
      <c r="LFQ3"/>
      <c r="LFR3"/>
      <c r="LFS3"/>
      <c r="LFT3"/>
      <c r="LFU3"/>
      <c r="LFV3"/>
      <c r="LFW3"/>
      <c r="LFX3"/>
      <c r="LFY3"/>
      <c r="LFZ3"/>
      <c r="LGA3"/>
      <c r="LGB3"/>
      <c r="LGC3"/>
      <c r="LGD3"/>
      <c r="LGE3"/>
      <c r="LGF3"/>
      <c r="LGG3"/>
      <c r="LGH3"/>
      <c r="LGI3"/>
      <c r="LGJ3"/>
      <c r="LGK3"/>
      <c r="LGL3"/>
      <c r="LGM3"/>
      <c r="LGN3"/>
      <c r="LGO3"/>
      <c r="LGP3"/>
      <c r="LGQ3"/>
      <c r="LGR3"/>
      <c r="LGS3"/>
      <c r="LGT3"/>
      <c r="LGU3"/>
      <c r="LGV3"/>
      <c r="LGW3"/>
      <c r="LGX3"/>
      <c r="LGY3"/>
      <c r="LGZ3"/>
      <c r="LHA3"/>
      <c r="LHB3"/>
      <c r="LHC3"/>
      <c r="LHD3"/>
      <c r="LHE3"/>
      <c r="LHF3"/>
      <c r="LHG3"/>
      <c r="LHH3"/>
      <c r="LHI3"/>
      <c r="LHJ3"/>
      <c r="LHK3"/>
      <c r="LHL3"/>
      <c r="LHM3"/>
      <c r="LHN3"/>
      <c r="LHO3"/>
      <c r="LHP3"/>
      <c r="LHQ3"/>
      <c r="LHR3"/>
      <c r="LHS3"/>
      <c r="LHT3"/>
      <c r="LHU3"/>
      <c r="LHV3"/>
      <c r="LHW3"/>
      <c r="LHX3"/>
      <c r="LHY3"/>
      <c r="LHZ3"/>
      <c r="LIA3"/>
      <c r="LIB3"/>
      <c r="LIC3"/>
      <c r="LID3"/>
      <c r="LIE3"/>
      <c r="LIF3"/>
      <c r="LIG3"/>
      <c r="LIH3"/>
      <c r="LII3"/>
      <c r="LIJ3"/>
      <c r="LIK3"/>
      <c r="LIL3"/>
      <c r="LIM3"/>
      <c r="LIN3"/>
      <c r="LIO3"/>
      <c r="LIP3"/>
      <c r="LIQ3"/>
      <c r="LIR3"/>
      <c r="LIS3"/>
      <c r="LIT3"/>
      <c r="LIU3"/>
      <c r="LIV3"/>
      <c r="LIW3"/>
      <c r="LIX3"/>
      <c r="LIY3"/>
      <c r="LIZ3"/>
      <c r="LJA3"/>
      <c r="LJB3"/>
      <c r="LJC3"/>
      <c r="LJD3"/>
      <c r="LJE3"/>
      <c r="LJF3"/>
      <c r="LJG3"/>
      <c r="LJH3"/>
      <c r="LJI3"/>
      <c r="LJJ3"/>
      <c r="LJK3"/>
      <c r="LJL3"/>
      <c r="LJM3"/>
      <c r="LJN3"/>
      <c r="LJO3"/>
      <c r="LJP3"/>
      <c r="LJQ3"/>
      <c r="LJR3"/>
      <c r="LJS3"/>
      <c r="LJT3"/>
      <c r="LJU3"/>
      <c r="LJV3"/>
      <c r="LJW3"/>
      <c r="LJX3"/>
      <c r="LJY3"/>
      <c r="LJZ3"/>
      <c r="LKA3"/>
      <c r="LKB3"/>
      <c r="LKC3"/>
      <c r="LKD3"/>
      <c r="LKE3"/>
      <c r="LKF3"/>
      <c r="LKG3"/>
      <c r="LKH3"/>
      <c r="LKI3"/>
      <c r="LKJ3"/>
      <c r="LKK3"/>
      <c r="LKL3"/>
      <c r="LKM3"/>
      <c r="LKN3"/>
      <c r="LKO3"/>
      <c r="LKP3"/>
      <c r="LKQ3"/>
      <c r="LKR3"/>
      <c r="LKS3"/>
      <c r="LKT3"/>
      <c r="LKU3"/>
      <c r="LKV3"/>
      <c r="LKW3"/>
      <c r="LKX3"/>
      <c r="LKY3"/>
      <c r="LKZ3"/>
      <c r="LLA3"/>
      <c r="LLB3"/>
      <c r="LLC3"/>
      <c r="LLD3"/>
      <c r="LLE3"/>
      <c r="LLF3"/>
      <c r="LLG3"/>
      <c r="LLH3"/>
      <c r="LLI3"/>
      <c r="LLJ3"/>
      <c r="LLK3"/>
      <c r="LLL3"/>
      <c r="LLM3"/>
      <c r="LLN3"/>
      <c r="LLO3"/>
      <c r="LLP3"/>
      <c r="LLQ3"/>
      <c r="LLR3"/>
      <c r="LLS3"/>
      <c r="LLT3"/>
      <c r="LLU3"/>
      <c r="LLV3"/>
      <c r="LLW3"/>
      <c r="LLX3"/>
      <c r="LLY3"/>
      <c r="LLZ3"/>
      <c r="LMA3"/>
      <c r="LMB3"/>
      <c r="LMC3"/>
      <c r="LMD3"/>
      <c r="LME3"/>
      <c r="LMF3"/>
      <c r="LMG3"/>
      <c r="LMH3"/>
      <c r="LMI3"/>
      <c r="LMJ3"/>
      <c r="LMK3"/>
      <c r="LML3"/>
      <c r="LMM3"/>
      <c r="LMN3"/>
      <c r="LMO3"/>
      <c r="LMP3"/>
      <c r="LMQ3"/>
      <c r="LMR3"/>
      <c r="LMS3"/>
      <c r="LMT3"/>
      <c r="LMU3"/>
      <c r="LMV3"/>
      <c r="LMW3"/>
      <c r="LMX3"/>
      <c r="LMY3"/>
      <c r="LMZ3"/>
      <c r="LNA3"/>
      <c r="LNB3"/>
      <c r="LNC3"/>
      <c r="LND3"/>
      <c r="LNE3"/>
      <c r="LNF3"/>
      <c r="LNG3"/>
      <c r="LNH3"/>
      <c r="LNI3"/>
      <c r="LNJ3"/>
      <c r="LNK3"/>
      <c r="LNL3"/>
      <c r="LNM3"/>
      <c r="LNN3"/>
      <c r="LNO3"/>
      <c r="LNP3"/>
      <c r="LNQ3"/>
      <c r="LNR3"/>
      <c r="LNS3"/>
      <c r="LNT3"/>
      <c r="LNU3"/>
      <c r="LNV3"/>
      <c r="LNW3"/>
      <c r="LNX3"/>
      <c r="LNY3"/>
      <c r="LNZ3"/>
      <c r="LOA3"/>
      <c r="LOB3"/>
      <c r="LOC3"/>
      <c r="LOD3"/>
      <c r="LOE3"/>
      <c r="LOF3"/>
      <c r="LOG3"/>
      <c r="LOH3"/>
      <c r="LOI3"/>
      <c r="LOJ3"/>
      <c r="LOK3"/>
      <c r="LOL3"/>
      <c r="LOM3"/>
      <c r="LON3"/>
      <c r="LOO3"/>
      <c r="LOP3"/>
      <c r="LOQ3"/>
      <c r="LOR3"/>
      <c r="LOS3"/>
      <c r="LOT3"/>
      <c r="LOU3"/>
      <c r="LOV3"/>
      <c r="LOW3"/>
      <c r="LOX3"/>
      <c r="LOY3"/>
      <c r="LOZ3"/>
      <c r="LPA3"/>
      <c r="LPB3"/>
      <c r="LPC3"/>
      <c r="LPD3"/>
      <c r="LPE3"/>
      <c r="LPF3"/>
      <c r="LPG3"/>
      <c r="LPH3"/>
      <c r="LPI3"/>
      <c r="LPJ3"/>
      <c r="LPK3"/>
      <c r="LPL3"/>
      <c r="LPM3"/>
      <c r="LPN3"/>
      <c r="LPO3"/>
      <c r="LPP3"/>
      <c r="LPQ3"/>
      <c r="LPR3"/>
      <c r="LPS3"/>
      <c r="LPT3"/>
      <c r="LPU3"/>
      <c r="LPV3"/>
      <c r="LPW3"/>
      <c r="LPX3"/>
      <c r="LPY3"/>
      <c r="LPZ3"/>
      <c r="LQA3"/>
      <c r="LQB3"/>
      <c r="LQC3"/>
      <c r="LQD3"/>
      <c r="LQE3"/>
      <c r="LQF3"/>
      <c r="LQG3"/>
      <c r="LQH3"/>
      <c r="LQI3"/>
      <c r="LQJ3"/>
      <c r="LQK3"/>
      <c r="LQL3"/>
      <c r="LQM3"/>
      <c r="LQN3"/>
      <c r="LQO3"/>
      <c r="LQP3"/>
      <c r="LQQ3"/>
      <c r="LQR3"/>
      <c r="LQS3"/>
      <c r="LQT3"/>
      <c r="LQU3"/>
      <c r="LQV3"/>
      <c r="LQW3"/>
      <c r="LQX3"/>
      <c r="LQY3"/>
      <c r="LQZ3"/>
      <c r="LRA3"/>
      <c r="LRB3"/>
      <c r="LRC3"/>
      <c r="LRD3"/>
      <c r="LRE3"/>
      <c r="LRF3"/>
      <c r="LRG3"/>
      <c r="LRH3"/>
      <c r="LRI3"/>
      <c r="LRJ3"/>
      <c r="LRK3"/>
      <c r="LRL3"/>
      <c r="LRM3"/>
      <c r="LRN3"/>
      <c r="LRO3"/>
      <c r="LRP3"/>
      <c r="LRQ3"/>
      <c r="LRR3"/>
      <c r="LRS3"/>
      <c r="LRT3"/>
      <c r="LRU3"/>
      <c r="LRV3"/>
      <c r="LRW3"/>
      <c r="LRX3"/>
      <c r="LRY3"/>
      <c r="LRZ3"/>
      <c r="LSA3"/>
      <c r="LSB3"/>
      <c r="LSC3"/>
      <c r="LSD3"/>
      <c r="LSE3"/>
      <c r="LSF3"/>
      <c r="LSG3"/>
      <c r="LSH3"/>
      <c r="LSI3"/>
      <c r="LSJ3"/>
      <c r="LSK3"/>
      <c r="LSL3"/>
      <c r="LSM3"/>
      <c r="LSN3"/>
      <c r="LSO3"/>
      <c r="LSP3"/>
      <c r="LSQ3"/>
      <c r="LSR3"/>
      <c r="LSS3"/>
      <c r="LST3"/>
      <c r="LSU3"/>
      <c r="LSV3"/>
      <c r="LSW3"/>
      <c r="LSX3"/>
      <c r="LSY3"/>
      <c r="LSZ3"/>
      <c r="LTA3"/>
      <c r="LTB3"/>
      <c r="LTC3"/>
      <c r="LTD3"/>
      <c r="LTE3"/>
      <c r="LTF3"/>
      <c r="LTG3"/>
      <c r="LTH3"/>
      <c r="LTI3"/>
      <c r="LTJ3"/>
      <c r="LTK3"/>
      <c r="LTL3"/>
      <c r="LTM3"/>
      <c r="LTN3"/>
      <c r="LTO3"/>
      <c r="LTP3"/>
      <c r="LTQ3"/>
      <c r="LTR3"/>
      <c r="LTS3"/>
      <c r="LTT3"/>
      <c r="LTU3"/>
      <c r="LTV3"/>
      <c r="LTW3"/>
      <c r="LTX3"/>
      <c r="LTY3"/>
      <c r="LTZ3"/>
      <c r="LUA3"/>
      <c r="LUB3"/>
      <c r="LUC3"/>
      <c r="LUD3"/>
      <c r="LUE3"/>
      <c r="LUF3"/>
      <c r="LUG3"/>
      <c r="LUH3"/>
      <c r="LUI3"/>
      <c r="LUJ3"/>
      <c r="LUK3"/>
      <c r="LUL3"/>
      <c r="LUM3"/>
      <c r="LUN3"/>
      <c r="LUO3"/>
      <c r="LUP3"/>
      <c r="LUQ3"/>
      <c r="LUR3"/>
      <c r="LUS3"/>
      <c r="LUT3"/>
      <c r="LUU3"/>
      <c r="LUV3"/>
      <c r="LUW3"/>
      <c r="LUX3"/>
      <c r="LUY3"/>
      <c r="LUZ3"/>
      <c r="LVA3"/>
      <c r="LVB3"/>
      <c r="LVC3"/>
      <c r="LVD3"/>
      <c r="LVE3"/>
      <c r="LVF3"/>
      <c r="LVG3"/>
      <c r="LVH3"/>
      <c r="LVI3"/>
      <c r="LVJ3"/>
      <c r="LVK3"/>
      <c r="LVL3"/>
      <c r="LVM3"/>
      <c r="LVN3"/>
      <c r="LVO3"/>
      <c r="LVP3"/>
      <c r="LVQ3"/>
      <c r="LVR3"/>
      <c r="LVS3"/>
      <c r="LVT3"/>
      <c r="LVU3"/>
      <c r="LVV3"/>
      <c r="LVW3"/>
      <c r="LVX3"/>
      <c r="LVY3"/>
      <c r="LVZ3"/>
      <c r="LWA3"/>
      <c r="LWB3"/>
      <c r="LWC3"/>
      <c r="LWD3"/>
      <c r="LWE3"/>
      <c r="LWF3"/>
      <c r="LWG3"/>
      <c r="LWH3"/>
      <c r="LWI3"/>
      <c r="LWJ3"/>
      <c r="LWK3"/>
      <c r="LWL3"/>
      <c r="LWM3"/>
      <c r="LWN3"/>
      <c r="LWO3"/>
      <c r="LWP3"/>
      <c r="LWQ3"/>
      <c r="LWR3"/>
      <c r="LWS3"/>
      <c r="LWT3"/>
      <c r="LWU3"/>
      <c r="LWV3"/>
      <c r="LWW3"/>
      <c r="LWX3"/>
      <c r="LWY3"/>
      <c r="LWZ3"/>
      <c r="LXA3"/>
      <c r="LXB3"/>
      <c r="LXC3"/>
      <c r="LXD3"/>
      <c r="LXE3"/>
      <c r="LXF3"/>
      <c r="LXG3"/>
      <c r="LXH3"/>
      <c r="LXI3"/>
      <c r="LXJ3"/>
      <c r="LXK3"/>
      <c r="LXL3"/>
      <c r="LXM3"/>
      <c r="LXN3"/>
      <c r="LXO3"/>
      <c r="LXP3"/>
      <c r="LXQ3"/>
      <c r="LXR3"/>
      <c r="LXS3"/>
      <c r="LXT3"/>
      <c r="LXU3"/>
      <c r="LXV3"/>
      <c r="LXW3"/>
      <c r="LXX3"/>
      <c r="LXY3"/>
      <c r="LXZ3"/>
      <c r="LYA3"/>
      <c r="LYB3"/>
      <c r="LYC3"/>
      <c r="LYD3"/>
      <c r="LYE3"/>
      <c r="LYF3"/>
      <c r="LYG3"/>
      <c r="LYH3"/>
      <c r="LYI3"/>
      <c r="LYJ3"/>
      <c r="LYK3"/>
      <c r="LYL3"/>
      <c r="LYM3"/>
      <c r="LYN3"/>
      <c r="LYO3"/>
      <c r="LYP3"/>
      <c r="LYQ3"/>
      <c r="LYR3"/>
      <c r="LYS3"/>
      <c r="LYT3"/>
      <c r="LYU3"/>
      <c r="LYV3"/>
      <c r="LYW3"/>
      <c r="LYX3"/>
      <c r="LYY3"/>
      <c r="LYZ3"/>
      <c r="LZA3"/>
      <c r="LZB3"/>
      <c r="LZC3"/>
      <c r="LZD3"/>
      <c r="LZE3"/>
      <c r="LZF3"/>
      <c r="LZG3"/>
      <c r="LZH3"/>
      <c r="LZI3"/>
      <c r="LZJ3"/>
      <c r="LZK3"/>
      <c r="LZL3"/>
      <c r="LZM3"/>
      <c r="LZN3"/>
      <c r="LZO3"/>
      <c r="LZP3"/>
      <c r="LZQ3"/>
      <c r="LZR3"/>
      <c r="LZS3"/>
      <c r="LZT3"/>
      <c r="LZU3"/>
      <c r="LZV3"/>
      <c r="LZW3"/>
      <c r="LZX3"/>
      <c r="LZY3"/>
      <c r="LZZ3"/>
      <c r="MAA3"/>
      <c r="MAB3"/>
      <c r="MAC3"/>
      <c r="MAD3"/>
      <c r="MAE3"/>
      <c r="MAF3"/>
      <c r="MAG3"/>
      <c r="MAH3"/>
      <c r="MAI3"/>
      <c r="MAJ3"/>
      <c r="MAK3"/>
      <c r="MAL3"/>
      <c r="MAM3"/>
      <c r="MAN3"/>
      <c r="MAO3"/>
      <c r="MAP3"/>
      <c r="MAQ3"/>
      <c r="MAR3"/>
      <c r="MAS3"/>
      <c r="MAT3"/>
      <c r="MAU3"/>
      <c r="MAV3"/>
      <c r="MAW3"/>
      <c r="MAX3"/>
      <c r="MAY3"/>
      <c r="MAZ3"/>
      <c r="MBA3"/>
      <c r="MBB3"/>
      <c r="MBC3"/>
      <c r="MBD3"/>
      <c r="MBE3"/>
      <c r="MBF3"/>
      <c r="MBG3"/>
      <c r="MBH3"/>
      <c r="MBI3"/>
      <c r="MBJ3"/>
      <c r="MBK3"/>
      <c r="MBL3"/>
      <c r="MBM3"/>
      <c r="MBN3"/>
      <c r="MBO3"/>
      <c r="MBP3"/>
      <c r="MBQ3"/>
      <c r="MBR3"/>
      <c r="MBS3"/>
      <c r="MBT3"/>
      <c r="MBU3"/>
      <c r="MBV3"/>
      <c r="MBW3"/>
      <c r="MBX3"/>
      <c r="MBY3"/>
      <c r="MBZ3"/>
      <c r="MCA3"/>
      <c r="MCB3"/>
      <c r="MCC3"/>
      <c r="MCD3"/>
      <c r="MCE3"/>
      <c r="MCF3"/>
      <c r="MCG3"/>
      <c r="MCH3"/>
      <c r="MCI3"/>
      <c r="MCJ3"/>
      <c r="MCK3"/>
      <c r="MCL3"/>
      <c r="MCM3"/>
      <c r="MCN3"/>
      <c r="MCO3"/>
      <c r="MCP3"/>
      <c r="MCQ3"/>
      <c r="MCR3"/>
      <c r="MCS3"/>
      <c r="MCT3"/>
      <c r="MCU3"/>
      <c r="MCV3"/>
      <c r="MCW3"/>
      <c r="MCX3"/>
      <c r="MCY3"/>
      <c r="MCZ3"/>
      <c r="MDA3"/>
      <c r="MDB3"/>
      <c r="MDC3"/>
      <c r="MDD3"/>
      <c r="MDE3"/>
      <c r="MDF3"/>
      <c r="MDG3"/>
      <c r="MDH3"/>
      <c r="MDI3"/>
      <c r="MDJ3"/>
      <c r="MDK3"/>
      <c r="MDL3"/>
      <c r="MDM3"/>
      <c r="MDN3"/>
      <c r="MDO3"/>
      <c r="MDP3"/>
      <c r="MDQ3"/>
      <c r="MDR3"/>
      <c r="MDS3"/>
      <c r="MDT3"/>
      <c r="MDU3"/>
      <c r="MDV3"/>
      <c r="MDW3"/>
      <c r="MDX3"/>
      <c r="MDY3"/>
      <c r="MDZ3"/>
      <c r="MEA3"/>
      <c r="MEB3"/>
      <c r="MEC3"/>
      <c r="MED3"/>
      <c r="MEE3"/>
      <c r="MEF3"/>
      <c r="MEG3"/>
      <c r="MEH3"/>
      <c r="MEI3"/>
      <c r="MEJ3"/>
      <c r="MEK3"/>
      <c r="MEL3"/>
      <c r="MEM3"/>
      <c r="MEN3"/>
      <c r="MEO3"/>
      <c r="MEP3"/>
      <c r="MEQ3"/>
      <c r="MER3"/>
      <c r="MES3"/>
      <c r="MET3"/>
      <c r="MEU3"/>
      <c r="MEV3"/>
      <c r="MEW3"/>
      <c r="MEX3"/>
      <c r="MEY3"/>
      <c r="MEZ3"/>
      <c r="MFA3"/>
      <c r="MFB3"/>
      <c r="MFC3"/>
      <c r="MFD3"/>
      <c r="MFE3"/>
      <c r="MFF3"/>
      <c r="MFG3"/>
      <c r="MFH3"/>
      <c r="MFI3"/>
      <c r="MFJ3"/>
      <c r="MFK3"/>
      <c r="MFL3"/>
      <c r="MFM3"/>
      <c r="MFN3"/>
      <c r="MFO3"/>
      <c r="MFP3"/>
      <c r="MFQ3"/>
      <c r="MFR3"/>
      <c r="MFS3"/>
      <c r="MFT3"/>
      <c r="MFU3"/>
      <c r="MFV3"/>
      <c r="MFW3"/>
      <c r="MFX3"/>
      <c r="MFY3"/>
      <c r="MFZ3"/>
      <c r="MGA3"/>
      <c r="MGB3"/>
      <c r="MGC3"/>
      <c r="MGD3"/>
      <c r="MGE3"/>
      <c r="MGF3"/>
      <c r="MGG3"/>
      <c r="MGH3"/>
      <c r="MGI3"/>
      <c r="MGJ3"/>
      <c r="MGK3"/>
      <c r="MGL3"/>
      <c r="MGM3"/>
      <c r="MGN3"/>
      <c r="MGO3"/>
      <c r="MGP3"/>
      <c r="MGQ3"/>
      <c r="MGR3"/>
      <c r="MGS3"/>
      <c r="MGT3"/>
      <c r="MGU3"/>
      <c r="MGV3"/>
      <c r="MGW3"/>
      <c r="MGX3"/>
      <c r="MGY3"/>
      <c r="MGZ3"/>
      <c r="MHA3"/>
      <c r="MHB3"/>
      <c r="MHC3"/>
      <c r="MHD3"/>
      <c r="MHE3"/>
      <c r="MHF3"/>
      <c r="MHG3"/>
      <c r="MHH3"/>
      <c r="MHI3"/>
      <c r="MHJ3"/>
      <c r="MHK3"/>
      <c r="MHL3"/>
      <c r="MHM3"/>
      <c r="MHN3"/>
      <c r="MHO3"/>
      <c r="MHP3"/>
      <c r="MHQ3"/>
      <c r="MHR3"/>
      <c r="MHS3"/>
      <c r="MHT3"/>
      <c r="MHU3"/>
      <c r="MHV3"/>
      <c r="MHW3"/>
      <c r="MHX3"/>
      <c r="MHY3"/>
      <c r="MHZ3"/>
      <c r="MIA3"/>
      <c r="MIB3"/>
      <c r="MIC3"/>
      <c r="MID3"/>
      <c r="MIE3"/>
      <c r="MIF3"/>
      <c r="MIG3"/>
      <c r="MIH3"/>
      <c r="MII3"/>
      <c r="MIJ3"/>
      <c r="MIK3"/>
      <c r="MIL3"/>
      <c r="MIM3"/>
      <c r="MIN3"/>
      <c r="MIO3"/>
      <c r="MIP3"/>
      <c r="MIQ3"/>
      <c r="MIR3"/>
      <c r="MIS3"/>
      <c r="MIT3"/>
      <c r="MIU3"/>
      <c r="MIV3"/>
      <c r="MIW3"/>
      <c r="MIX3"/>
      <c r="MIY3"/>
      <c r="MIZ3"/>
      <c r="MJA3"/>
      <c r="MJB3"/>
      <c r="MJC3"/>
      <c r="MJD3"/>
      <c r="MJE3"/>
      <c r="MJF3"/>
      <c r="MJG3"/>
      <c r="MJH3"/>
      <c r="MJI3"/>
      <c r="MJJ3"/>
      <c r="MJK3"/>
      <c r="MJL3"/>
      <c r="MJM3"/>
      <c r="MJN3"/>
      <c r="MJO3"/>
      <c r="MJP3"/>
      <c r="MJQ3"/>
      <c r="MJR3"/>
      <c r="MJS3"/>
      <c r="MJT3"/>
      <c r="MJU3"/>
      <c r="MJV3"/>
      <c r="MJW3"/>
      <c r="MJX3"/>
      <c r="MJY3"/>
      <c r="MJZ3"/>
      <c r="MKA3"/>
      <c r="MKB3"/>
      <c r="MKC3"/>
      <c r="MKD3"/>
      <c r="MKE3"/>
      <c r="MKF3"/>
      <c r="MKG3"/>
      <c r="MKH3"/>
      <c r="MKI3"/>
      <c r="MKJ3"/>
      <c r="MKK3"/>
      <c r="MKL3"/>
      <c r="MKM3"/>
      <c r="MKN3"/>
      <c r="MKO3"/>
      <c r="MKP3"/>
      <c r="MKQ3"/>
      <c r="MKR3"/>
      <c r="MKS3"/>
      <c r="MKT3"/>
      <c r="MKU3"/>
      <c r="MKV3"/>
      <c r="MKW3"/>
      <c r="MKX3"/>
      <c r="MKY3"/>
      <c r="MKZ3"/>
      <c r="MLA3"/>
      <c r="MLB3"/>
      <c r="MLC3"/>
      <c r="MLD3"/>
      <c r="MLE3"/>
      <c r="MLF3"/>
      <c r="MLG3"/>
      <c r="MLH3"/>
      <c r="MLI3"/>
      <c r="MLJ3"/>
      <c r="MLK3"/>
      <c r="MLL3"/>
      <c r="MLM3"/>
      <c r="MLN3"/>
      <c r="MLO3"/>
      <c r="MLP3"/>
      <c r="MLQ3"/>
      <c r="MLR3"/>
      <c r="MLS3"/>
      <c r="MLT3"/>
      <c r="MLU3"/>
      <c r="MLV3"/>
      <c r="MLW3"/>
      <c r="MLX3"/>
      <c r="MLY3"/>
      <c r="MLZ3"/>
      <c r="MMA3"/>
      <c r="MMB3"/>
      <c r="MMC3"/>
      <c r="MMD3"/>
      <c r="MME3"/>
      <c r="MMF3"/>
      <c r="MMG3"/>
      <c r="MMH3"/>
      <c r="MMI3"/>
      <c r="MMJ3"/>
      <c r="MMK3"/>
      <c r="MML3"/>
      <c r="MMM3"/>
      <c r="MMN3"/>
      <c r="MMO3"/>
      <c r="MMP3"/>
      <c r="MMQ3"/>
      <c r="MMR3"/>
      <c r="MMS3"/>
      <c r="MMT3"/>
      <c r="MMU3"/>
      <c r="MMV3"/>
      <c r="MMW3"/>
      <c r="MMX3"/>
      <c r="MMY3"/>
      <c r="MMZ3"/>
      <c r="MNA3"/>
      <c r="MNB3"/>
      <c r="MNC3"/>
      <c r="MND3"/>
      <c r="MNE3"/>
      <c r="MNF3"/>
      <c r="MNG3"/>
      <c r="MNH3"/>
      <c r="MNI3"/>
      <c r="MNJ3"/>
      <c r="MNK3"/>
      <c r="MNL3"/>
      <c r="MNM3"/>
      <c r="MNN3"/>
      <c r="MNO3"/>
      <c r="MNP3"/>
      <c r="MNQ3"/>
      <c r="MNR3"/>
      <c r="MNS3"/>
      <c r="MNT3"/>
      <c r="MNU3"/>
      <c r="MNV3"/>
      <c r="MNW3"/>
      <c r="MNX3"/>
      <c r="MNY3"/>
      <c r="MNZ3"/>
      <c r="MOA3"/>
      <c r="MOB3"/>
      <c r="MOC3"/>
      <c r="MOD3"/>
      <c r="MOE3"/>
      <c r="MOF3"/>
      <c r="MOG3"/>
      <c r="MOH3"/>
      <c r="MOI3"/>
      <c r="MOJ3"/>
      <c r="MOK3"/>
      <c r="MOL3"/>
      <c r="MOM3"/>
      <c r="MON3"/>
      <c r="MOO3"/>
      <c r="MOP3"/>
      <c r="MOQ3"/>
      <c r="MOR3"/>
      <c r="MOS3"/>
      <c r="MOT3"/>
      <c r="MOU3"/>
      <c r="MOV3"/>
      <c r="MOW3"/>
      <c r="MOX3"/>
      <c r="MOY3"/>
      <c r="MOZ3"/>
      <c r="MPA3"/>
      <c r="MPB3"/>
      <c r="MPC3"/>
      <c r="MPD3"/>
      <c r="MPE3"/>
      <c r="MPF3"/>
      <c r="MPG3"/>
      <c r="MPH3"/>
      <c r="MPI3"/>
      <c r="MPJ3"/>
      <c r="MPK3"/>
      <c r="MPL3"/>
      <c r="MPM3"/>
      <c r="MPN3"/>
      <c r="MPO3"/>
      <c r="MPP3"/>
      <c r="MPQ3"/>
      <c r="MPR3"/>
      <c r="MPS3"/>
      <c r="MPT3"/>
      <c r="MPU3"/>
      <c r="MPV3"/>
      <c r="MPW3"/>
      <c r="MPX3"/>
      <c r="MPY3"/>
      <c r="MPZ3"/>
      <c r="MQA3"/>
      <c r="MQB3"/>
      <c r="MQC3"/>
      <c r="MQD3"/>
      <c r="MQE3"/>
      <c r="MQF3"/>
      <c r="MQG3"/>
      <c r="MQH3"/>
      <c r="MQI3"/>
      <c r="MQJ3"/>
      <c r="MQK3"/>
      <c r="MQL3"/>
      <c r="MQM3"/>
      <c r="MQN3"/>
      <c r="MQO3"/>
      <c r="MQP3"/>
      <c r="MQQ3"/>
      <c r="MQR3"/>
      <c r="MQS3"/>
      <c r="MQT3"/>
      <c r="MQU3"/>
      <c r="MQV3"/>
      <c r="MQW3"/>
      <c r="MQX3"/>
      <c r="MQY3"/>
      <c r="MQZ3"/>
      <c r="MRA3"/>
      <c r="MRB3"/>
      <c r="MRC3"/>
      <c r="MRD3"/>
      <c r="MRE3"/>
      <c r="MRF3"/>
      <c r="MRG3"/>
      <c r="MRH3"/>
      <c r="MRI3"/>
      <c r="MRJ3"/>
      <c r="MRK3"/>
      <c r="MRL3"/>
      <c r="MRM3"/>
      <c r="MRN3"/>
      <c r="MRO3"/>
      <c r="MRP3"/>
      <c r="MRQ3"/>
      <c r="MRR3"/>
      <c r="MRS3"/>
      <c r="MRT3"/>
      <c r="MRU3"/>
      <c r="MRV3"/>
      <c r="MRW3"/>
      <c r="MRX3"/>
      <c r="MRY3"/>
      <c r="MRZ3"/>
      <c r="MSA3"/>
      <c r="MSB3"/>
      <c r="MSC3"/>
      <c r="MSD3"/>
      <c r="MSE3"/>
      <c r="MSF3"/>
      <c r="MSG3"/>
      <c r="MSH3"/>
      <c r="MSI3"/>
      <c r="MSJ3"/>
      <c r="MSK3"/>
      <c r="MSL3"/>
      <c r="MSM3"/>
      <c r="MSN3"/>
      <c r="MSO3"/>
      <c r="MSP3"/>
      <c r="MSQ3"/>
      <c r="MSR3"/>
      <c r="MSS3"/>
      <c r="MST3"/>
      <c r="MSU3"/>
      <c r="MSV3"/>
      <c r="MSW3"/>
      <c r="MSX3"/>
      <c r="MSY3"/>
      <c r="MSZ3"/>
      <c r="MTA3"/>
      <c r="MTB3"/>
      <c r="MTC3"/>
      <c r="MTD3"/>
      <c r="MTE3"/>
      <c r="MTF3"/>
      <c r="MTG3"/>
      <c r="MTH3"/>
      <c r="MTI3"/>
      <c r="MTJ3"/>
      <c r="MTK3"/>
      <c r="MTL3"/>
      <c r="MTM3"/>
      <c r="MTN3"/>
      <c r="MTO3"/>
      <c r="MTP3"/>
      <c r="MTQ3"/>
      <c r="MTR3"/>
      <c r="MTS3"/>
      <c r="MTT3"/>
      <c r="MTU3"/>
      <c r="MTV3"/>
      <c r="MTW3"/>
      <c r="MTX3"/>
      <c r="MTY3"/>
      <c r="MTZ3"/>
      <c r="MUA3"/>
      <c r="MUB3"/>
      <c r="MUC3"/>
      <c r="MUD3"/>
      <c r="MUE3"/>
      <c r="MUF3"/>
      <c r="MUG3"/>
      <c r="MUH3"/>
      <c r="MUI3"/>
      <c r="MUJ3"/>
      <c r="MUK3"/>
      <c r="MUL3"/>
      <c r="MUM3"/>
      <c r="MUN3"/>
      <c r="MUO3"/>
      <c r="MUP3"/>
      <c r="MUQ3"/>
      <c r="MUR3"/>
      <c r="MUS3"/>
      <c r="MUT3"/>
      <c r="MUU3"/>
      <c r="MUV3"/>
      <c r="MUW3"/>
      <c r="MUX3"/>
      <c r="MUY3"/>
      <c r="MUZ3"/>
      <c r="MVA3"/>
      <c r="MVB3"/>
      <c r="MVC3"/>
      <c r="MVD3"/>
      <c r="MVE3"/>
      <c r="MVF3"/>
      <c r="MVG3"/>
      <c r="MVH3"/>
      <c r="MVI3"/>
      <c r="MVJ3"/>
      <c r="MVK3"/>
      <c r="MVL3"/>
      <c r="MVM3"/>
      <c r="MVN3"/>
      <c r="MVO3"/>
      <c r="MVP3"/>
      <c r="MVQ3"/>
      <c r="MVR3"/>
      <c r="MVS3"/>
      <c r="MVT3"/>
      <c r="MVU3"/>
      <c r="MVV3"/>
      <c r="MVW3"/>
      <c r="MVX3"/>
      <c r="MVY3"/>
      <c r="MVZ3"/>
      <c r="MWA3"/>
      <c r="MWB3"/>
      <c r="MWC3"/>
      <c r="MWD3"/>
      <c r="MWE3"/>
      <c r="MWF3"/>
      <c r="MWG3"/>
      <c r="MWH3"/>
      <c r="MWI3"/>
      <c r="MWJ3"/>
      <c r="MWK3"/>
      <c r="MWL3"/>
      <c r="MWM3"/>
      <c r="MWN3"/>
      <c r="MWO3"/>
      <c r="MWP3"/>
      <c r="MWQ3"/>
      <c r="MWR3"/>
      <c r="MWS3"/>
      <c r="MWT3"/>
      <c r="MWU3"/>
      <c r="MWV3"/>
      <c r="MWW3"/>
      <c r="MWX3"/>
      <c r="MWY3"/>
      <c r="MWZ3"/>
      <c r="MXA3"/>
      <c r="MXB3"/>
      <c r="MXC3"/>
      <c r="MXD3"/>
      <c r="MXE3"/>
      <c r="MXF3"/>
      <c r="MXG3"/>
      <c r="MXH3"/>
      <c r="MXI3"/>
      <c r="MXJ3"/>
      <c r="MXK3"/>
      <c r="MXL3"/>
      <c r="MXM3"/>
      <c r="MXN3"/>
      <c r="MXO3"/>
      <c r="MXP3"/>
      <c r="MXQ3"/>
      <c r="MXR3"/>
      <c r="MXS3"/>
      <c r="MXT3"/>
      <c r="MXU3"/>
      <c r="MXV3"/>
      <c r="MXW3"/>
      <c r="MXX3"/>
      <c r="MXY3"/>
      <c r="MXZ3"/>
      <c r="MYA3"/>
      <c r="MYB3"/>
      <c r="MYC3"/>
      <c r="MYD3"/>
      <c r="MYE3"/>
      <c r="MYF3"/>
      <c r="MYG3"/>
      <c r="MYH3"/>
      <c r="MYI3"/>
      <c r="MYJ3"/>
      <c r="MYK3"/>
      <c r="MYL3"/>
      <c r="MYM3"/>
      <c r="MYN3"/>
      <c r="MYO3"/>
      <c r="MYP3"/>
      <c r="MYQ3"/>
      <c r="MYR3"/>
      <c r="MYS3"/>
      <c r="MYT3"/>
      <c r="MYU3"/>
      <c r="MYV3"/>
      <c r="MYW3"/>
      <c r="MYX3"/>
      <c r="MYY3"/>
      <c r="MYZ3"/>
      <c r="MZA3"/>
      <c r="MZB3"/>
      <c r="MZC3"/>
      <c r="MZD3"/>
      <c r="MZE3"/>
      <c r="MZF3"/>
      <c r="MZG3"/>
      <c r="MZH3"/>
      <c r="MZI3"/>
      <c r="MZJ3"/>
      <c r="MZK3"/>
      <c r="MZL3"/>
      <c r="MZM3"/>
      <c r="MZN3"/>
      <c r="MZO3"/>
      <c r="MZP3"/>
      <c r="MZQ3"/>
      <c r="MZR3"/>
      <c r="MZS3"/>
      <c r="MZT3"/>
      <c r="MZU3"/>
      <c r="MZV3"/>
      <c r="MZW3"/>
      <c r="MZX3"/>
      <c r="MZY3"/>
      <c r="MZZ3"/>
      <c r="NAA3"/>
      <c r="NAB3"/>
      <c r="NAC3"/>
      <c r="NAD3"/>
      <c r="NAE3"/>
      <c r="NAF3"/>
      <c r="NAG3"/>
      <c r="NAH3"/>
      <c r="NAI3"/>
      <c r="NAJ3"/>
      <c r="NAK3"/>
      <c r="NAL3"/>
      <c r="NAM3"/>
      <c r="NAN3"/>
      <c r="NAO3"/>
      <c r="NAP3"/>
      <c r="NAQ3"/>
      <c r="NAR3"/>
      <c r="NAS3"/>
      <c r="NAT3"/>
      <c r="NAU3"/>
      <c r="NAV3"/>
      <c r="NAW3"/>
      <c r="NAX3"/>
      <c r="NAY3"/>
      <c r="NAZ3"/>
      <c r="NBA3"/>
      <c r="NBB3"/>
      <c r="NBC3"/>
      <c r="NBD3"/>
      <c r="NBE3"/>
      <c r="NBF3"/>
      <c r="NBG3"/>
      <c r="NBH3"/>
      <c r="NBI3"/>
      <c r="NBJ3"/>
      <c r="NBK3"/>
      <c r="NBL3"/>
      <c r="NBM3"/>
      <c r="NBN3"/>
      <c r="NBO3"/>
      <c r="NBP3"/>
      <c r="NBQ3"/>
      <c r="NBR3"/>
      <c r="NBS3"/>
      <c r="NBT3"/>
      <c r="NBU3"/>
      <c r="NBV3"/>
      <c r="NBW3"/>
      <c r="NBX3"/>
      <c r="NBY3"/>
      <c r="NBZ3"/>
      <c r="NCA3"/>
      <c r="NCB3"/>
      <c r="NCC3"/>
      <c r="NCD3"/>
      <c r="NCE3"/>
      <c r="NCF3"/>
      <c r="NCG3"/>
      <c r="NCH3"/>
      <c r="NCI3"/>
      <c r="NCJ3"/>
      <c r="NCK3"/>
      <c r="NCL3"/>
      <c r="NCM3"/>
      <c r="NCN3"/>
      <c r="NCO3"/>
      <c r="NCP3"/>
      <c r="NCQ3"/>
      <c r="NCR3"/>
      <c r="NCS3"/>
      <c r="NCT3"/>
      <c r="NCU3"/>
      <c r="NCV3"/>
      <c r="NCW3"/>
      <c r="NCX3"/>
      <c r="NCY3"/>
      <c r="NCZ3"/>
      <c r="NDA3"/>
      <c r="NDB3"/>
      <c r="NDC3"/>
      <c r="NDD3"/>
      <c r="NDE3"/>
      <c r="NDF3"/>
      <c r="NDG3"/>
      <c r="NDH3"/>
      <c r="NDI3"/>
      <c r="NDJ3"/>
      <c r="NDK3"/>
      <c r="NDL3"/>
      <c r="NDM3"/>
      <c r="NDN3"/>
      <c r="NDO3"/>
      <c r="NDP3"/>
      <c r="NDQ3"/>
      <c r="NDR3"/>
      <c r="NDS3"/>
      <c r="NDT3"/>
      <c r="NDU3"/>
      <c r="NDV3"/>
      <c r="NDW3"/>
      <c r="NDX3"/>
      <c r="NDY3"/>
      <c r="NDZ3"/>
      <c r="NEA3"/>
      <c r="NEB3"/>
      <c r="NEC3"/>
      <c r="NED3"/>
      <c r="NEE3"/>
      <c r="NEF3"/>
      <c r="NEG3"/>
      <c r="NEH3"/>
      <c r="NEI3"/>
      <c r="NEJ3"/>
      <c r="NEK3"/>
      <c r="NEL3"/>
      <c r="NEM3"/>
      <c r="NEN3"/>
      <c r="NEO3"/>
      <c r="NEP3"/>
      <c r="NEQ3"/>
      <c r="NER3"/>
      <c r="NES3"/>
      <c r="NET3"/>
      <c r="NEU3"/>
      <c r="NEV3"/>
      <c r="NEW3"/>
      <c r="NEX3"/>
      <c r="NEY3"/>
      <c r="NEZ3"/>
      <c r="NFA3"/>
      <c r="NFB3"/>
      <c r="NFC3"/>
      <c r="NFD3"/>
      <c r="NFE3"/>
      <c r="NFF3"/>
      <c r="NFG3"/>
      <c r="NFH3"/>
      <c r="NFI3"/>
      <c r="NFJ3"/>
      <c r="NFK3"/>
      <c r="NFL3"/>
      <c r="NFM3"/>
      <c r="NFN3"/>
      <c r="NFO3"/>
      <c r="NFP3"/>
      <c r="NFQ3"/>
      <c r="NFR3"/>
      <c r="NFS3"/>
      <c r="NFT3"/>
      <c r="NFU3"/>
      <c r="NFV3"/>
      <c r="NFW3"/>
      <c r="NFX3"/>
      <c r="NFY3"/>
      <c r="NFZ3"/>
      <c r="NGA3"/>
      <c r="NGB3"/>
      <c r="NGC3"/>
      <c r="NGD3"/>
      <c r="NGE3"/>
      <c r="NGF3"/>
      <c r="NGG3"/>
      <c r="NGH3"/>
      <c r="NGI3"/>
      <c r="NGJ3"/>
      <c r="NGK3"/>
      <c r="NGL3"/>
      <c r="NGM3"/>
      <c r="NGN3"/>
      <c r="NGO3"/>
      <c r="NGP3"/>
      <c r="NGQ3"/>
      <c r="NGR3"/>
      <c r="NGS3"/>
      <c r="NGT3"/>
      <c r="NGU3"/>
      <c r="NGV3"/>
      <c r="NGW3"/>
      <c r="NGX3"/>
      <c r="NGY3"/>
      <c r="NGZ3"/>
      <c r="NHA3"/>
      <c r="NHB3"/>
      <c r="NHC3"/>
      <c r="NHD3"/>
      <c r="NHE3"/>
      <c r="NHF3"/>
      <c r="NHG3"/>
      <c r="NHH3"/>
      <c r="NHI3"/>
      <c r="NHJ3"/>
      <c r="NHK3"/>
      <c r="NHL3"/>
      <c r="NHM3"/>
      <c r="NHN3"/>
      <c r="NHO3"/>
      <c r="NHP3"/>
      <c r="NHQ3"/>
      <c r="NHR3"/>
      <c r="NHS3"/>
      <c r="NHT3"/>
      <c r="NHU3"/>
      <c r="NHV3"/>
      <c r="NHW3"/>
      <c r="NHX3"/>
      <c r="NHY3"/>
      <c r="NHZ3"/>
      <c r="NIA3"/>
      <c r="NIB3"/>
      <c r="NIC3"/>
      <c r="NID3"/>
      <c r="NIE3"/>
      <c r="NIF3"/>
      <c r="NIG3"/>
      <c r="NIH3"/>
      <c r="NII3"/>
      <c r="NIJ3"/>
      <c r="NIK3"/>
      <c r="NIL3"/>
      <c r="NIM3"/>
      <c r="NIN3"/>
      <c r="NIO3"/>
      <c r="NIP3"/>
      <c r="NIQ3"/>
      <c r="NIR3"/>
      <c r="NIS3"/>
      <c r="NIT3"/>
      <c r="NIU3"/>
      <c r="NIV3"/>
      <c r="NIW3"/>
      <c r="NIX3"/>
      <c r="NIY3"/>
      <c r="NIZ3"/>
      <c r="NJA3"/>
      <c r="NJB3"/>
      <c r="NJC3"/>
      <c r="NJD3"/>
      <c r="NJE3"/>
      <c r="NJF3"/>
      <c r="NJG3"/>
      <c r="NJH3"/>
      <c r="NJI3"/>
      <c r="NJJ3"/>
      <c r="NJK3"/>
      <c r="NJL3"/>
      <c r="NJM3"/>
      <c r="NJN3"/>
      <c r="NJO3"/>
      <c r="NJP3"/>
      <c r="NJQ3"/>
      <c r="NJR3"/>
      <c r="NJS3"/>
      <c r="NJT3"/>
      <c r="NJU3"/>
      <c r="NJV3"/>
      <c r="NJW3"/>
      <c r="NJX3"/>
      <c r="NJY3"/>
      <c r="NJZ3"/>
      <c r="NKA3"/>
      <c r="NKB3"/>
      <c r="NKC3"/>
      <c r="NKD3"/>
      <c r="NKE3"/>
      <c r="NKF3"/>
      <c r="NKG3"/>
      <c r="NKH3"/>
      <c r="NKI3"/>
      <c r="NKJ3"/>
      <c r="NKK3"/>
      <c r="NKL3"/>
      <c r="NKM3"/>
      <c r="NKN3"/>
      <c r="NKO3"/>
      <c r="NKP3"/>
      <c r="NKQ3"/>
      <c r="NKR3"/>
      <c r="NKS3"/>
      <c r="NKT3"/>
      <c r="NKU3"/>
      <c r="NKV3"/>
      <c r="NKW3"/>
      <c r="NKX3"/>
      <c r="NKY3"/>
      <c r="NKZ3"/>
      <c r="NLA3"/>
      <c r="NLB3"/>
      <c r="NLC3"/>
      <c r="NLD3"/>
      <c r="NLE3"/>
      <c r="NLF3"/>
      <c r="NLG3"/>
      <c r="NLH3"/>
      <c r="NLI3"/>
      <c r="NLJ3"/>
      <c r="NLK3"/>
      <c r="NLL3"/>
      <c r="NLM3"/>
      <c r="NLN3"/>
      <c r="NLO3"/>
      <c r="NLP3"/>
      <c r="NLQ3"/>
      <c r="NLR3"/>
      <c r="NLS3"/>
      <c r="NLT3"/>
      <c r="NLU3"/>
      <c r="NLV3"/>
      <c r="NLW3"/>
      <c r="NLX3"/>
      <c r="NLY3"/>
      <c r="NLZ3"/>
      <c r="NMA3"/>
      <c r="NMB3"/>
      <c r="NMC3"/>
      <c r="NMD3"/>
      <c r="NME3"/>
      <c r="NMF3"/>
      <c r="NMG3"/>
      <c r="NMH3"/>
      <c r="NMI3"/>
      <c r="NMJ3"/>
      <c r="NMK3"/>
      <c r="NML3"/>
      <c r="NMM3"/>
      <c r="NMN3"/>
      <c r="NMO3"/>
      <c r="NMP3"/>
      <c r="NMQ3"/>
      <c r="NMR3"/>
      <c r="NMS3"/>
      <c r="NMT3"/>
      <c r="NMU3"/>
      <c r="NMV3"/>
      <c r="NMW3"/>
      <c r="NMX3"/>
      <c r="NMY3"/>
      <c r="NMZ3"/>
      <c r="NNA3"/>
      <c r="NNB3"/>
      <c r="NNC3"/>
      <c r="NND3"/>
      <c r="NNE3"/>
      <c r="NNF3"/>
      <c r="NNG3"/>
      <c r="NNH3"/>
      <c r="NNI3"/>
      <c r="NNJ3"/>
      <c r="NNK3"/>
      <c r="NNL3"/>
      <c r="NNM3"/>
      <c r="NNN3"/>
      <c r="NNO3"/>
      <c r="NNP3"/>
      <c r="NNQ3"/>
      <c r="NNR3"/>
      <c r="NNS3"/>
      <c r="NNT3"/>
      <c r="NNU3"/>
      <c r="NNV3"/>
      <c r="NNW3"/>
      <c r="NNX3"/>
      <c r="NNY3"/>
      <c r="NNZ3"/>
      <c r="NOA3"/>
      <c r="NOB3"/>
      <c r="NOC3"/>
      <c r="NOD3"/>
      <c r="NOE3"/>
      <c r="NOF3"/>
      <c r="NOG3"/>
      <c r="NOH3"/>
      <c r="NOI3"/>
      <c r="NOJ3"/>
      <c r="NOK3"/>
      <c r="NOL3"/>
      <c r="NOM3"/>
      <c r="NON3"/>
      <c r="NOO3"/>
      <c r="NOP3"/>
      <c r="NOQ3"/>
      <c r="NOR3"/>
      <c r="NOS3"/>
      <c r="NOT3"/>
      <c r="NOU3"/>
      <c r="NOV3"/>
      <c r="NOW3"/>
      <c r="NOX3"/>
      <c r="NOY3"/>
      <c r="NOZ3"/>
      <c r="NPA3"/>
      <c r="NPB3"/>
      <c r="NPC3"/>
      <c r="NPD3"/>
      <c r="NPE3"/>
      <c r="NPF3"/>
      <c r="NPG3"/>
      <c r="NPH3"/>
      <c r="NPI3"/>
      <c r="NPJ3"/>
      <c r="NPK3"/>
      <c r="NPL3"/>
      <c r="NPM3"/>
      <c r="NPN3"/>
      <c r="NPO3"/>
      <c r="NPP3"/>
      <c r="NPQ3"/>
      <c r="NPR3"/>
      <c r="NPS3"/>
      <c r="NPT3"/>
      <c r="NPU3"/>
      <c r="NPV3"/>
      <c r="NPW3"/>
      <c r="NPX3"/>
      <c r="NPY3"/>
      <c r="NPZ3"/>
      <c r="NQA3"/>
      <c r="NQB3"/>
      <c r="NQC3"/>
      <c r="NQD3"/>
      <c r="NQE3"/>
      <c r="NQF3"/>
      <c r="NQG3"/>
      <c r="NQH3"/>
      <c r="NQI3"/>
      <c r="NQJ3"/>
      <c r="NQK3"/>
      <c r="NQL3"/>
      <c r="NQM3"/>
      <c r="NQN3"/>
      <c r="NQO3"/>
      <c r="NQP3"/>
      <c r="NQQ3"/>
      <c r="NQR3"/>
      <c r="NQS3"/>
      <c r="NQT3"/>
      <c r="NQU3"/>
      <c r="NQV3"/>
      <c r="NQW3"/>
      <c r="NQX3"/>
      <c r="NQY3"/>
      <c r="NQZ3"/>
      <c r="NRA3"/>
      <c r="NRB3"/>
      <c r="NRC3"/>
      <c r="NRD3"/>
      <c r="NRE3"/>
      <c r="NRF3"/>
      <c r="NRG3"/>
      <c r="NRH3"/>
      <c r="NRI3"/>
      <c r="NRJ3"/>
      <c r="NRK3"/>
      <c r="NRL3"/>
      <c r="NRM3"/>
      <c r="NRN3"/>
      <c r="NRO3"/>
      <c r="NRP3"/>
      <c r="NRQ3"/>
      <c r="NRR3"/>
      <c r="NRS3"/>
      <c r="NRT3"/>
      <c r="NRU3"/>
      <c r="NRV3"/>
      <c r="NRW3"/>
      <c r="NRX3"/>
      <c r="NRY3"/>
      <c r="NRZ3"/>
      <c r="NSA3"/>
      <c r="NSB3"/>
      <c r="NSC3"/>
      <c r="NSD3"/>
      <c r="NSE3"/>
      <c r="NSF3"/>
      <c r="NSG3"/>
      <c r="NSH3"/>
      <c r="NSI3"/>
      <c r="NSJ3"/>
      <c r="NSK3"/>
      <c r="NSL3"/>
      <c r="NSM3"/>
      <c r="NSN3"/>
      <c r="NSO3"/>
      <c r="NSP3"/>
      <c r="NSQ3"/>
      <c r="NSR3"/>
      <c r="NSS3"/>
      <c r="NST3"/>
      <c r="NSU3"/>
      <c r="NSV3"/>
      <c r="NSW3"/>
      <c r="NSX3"/>
      <c r="NSY3"/>
      <c r="NSZ3"/>
      <c r="NTA3"/>
      <c r="NTB3"/>
      <c r="NTC3"/>
      <c r="NTD3"/>
      <c r="NTE3"/>
      <c r="NTF3"/>
      <c r="NTG3"/>
      <c r="NTH3"/>
      <c r="NTI3"/>
      <c r="NTJ3"/>
      <c r="NTK3"/>
      <c r="NTL3"/>
      <c r="NTM3"/>
      <c r="NTN3"/>
      <c r="NTO3"/>
      <c r="NTP3"/>
      <c r="NTQ3"/>
      <c r="NTR3"/>
      <c r="NTS3"/>
      <c r="NTT3"/>
      <c r="NTU3"/>
      <c r="NTV3"/>
      <c r="NTW3"/>
      <c r="NTX3"/>
      <c r="NTY3"/>
      <c r="NTZ3"/>
      <c r="NUA3"/>
      <c r="NUB3"/>
      <c r="NUC3"/>
      <c r="NUD3"/>
      <c r="NUE3"/>
      <c r="NUF3"/>
      <c r="NUG3"/>
      <c r="NUH3"/>
      <c r="NUI3"/>
      <c r="NUJ3"/>
      <c r="NUK3"/>
      <c r="NUL3"/>
      <c r="NUM3"/>
      <c r="NUN3"/>
      <c r="NUO3"/>
      <c r="NUP3"/>
      <c r="NUQ3"/>
      <c r="NUR3"/>
      <c r="NUS3"/>
      <c r="NUT3"/>
      <c r="NUU3"/>
      <c r="NUV3"/>
      <c r="NUW3"/>
      <c r="NUX3"/>
      <c r="NUY3"/>
      <c r="NUZ3"/>
      <c r="NVA3"/>
      <c r="NVB3"/>
      <c r="NVC3"/>
      <c r="NVD3"/>
      <c r="NVE3"/>
      <c r="NVF3"/>
      <c r="NVG3"/>
      <c r="NVH3"/>
      <c r="NVI3"/>
      <c r="NVJ3"/>
      <c r="NVK3"/>
      <c r="NVL3"/>
      <c r="NVM3"/>
      <c r="NVN3"/>
      <c r="NVO3"/>
      <c r="NVP3"/>
      <c r="NVQ3"/>
      <c r="NVR3"/>
      <c r="NVS3"/>
      <c r="NVT3"/>
      <c r="NVU3"/>
      <c r="NVV3"/>
      <c r="NVW3"/>
      <c r="NVX3"/>
      <c r="NVY3"/>
      <c r="NVZ3"/>
      <c r="NWA3"/>
      <c r="NWB3"/>
      <c r="NWC3"/>
      <c r="NWD3"/>
      <c r="NWE3"/>
      <c r="NWF3"/>
      <c r="NWG3"/>
      <c r="NWH3"/>
      <c r="NWI3"/>
      <c r="NWJ3"/>
      <c r="NWK3"/>
      <c r="NWL3"/>
      <c r="NWM3"/>
      <c r="NWN3"/>
      <c r="NWO3"/>
      <c r="NWP3"/>
      <c r="NWQ3"/>
      <c r="NWR3"/>
      <c r="NWS3"/>
      <c r="NWT3"/>
      <c r="NWU3"/>
      <c r="NWV3"/>
      <c r="NWW3"/>
      <c r="NWX3"/>
      <c r="NWY3"/>
      <c r="NWZ3"/>
      <c r="NXA3"/>
      <c r="NXB3"/>
      <c r="NXC3"/>
      <c r="NXD3"/>
      <c r="NXE3"/>
      <c r="NXF3"/>
      <c r="NXG3"/>
      <c r="NXH3"/>
      <c r="NXI3"/>
      <c r="NXJ3"/>
      <c r="NXK3"/>
      <c r="NXL3"/>
      <c r="NXM3"/>
      <c r="NXN3"/>
      <c r="NXO3"/>
      <c r="NXP3"/>
      <c r="NXQ3"/>
      <c r="NXR3"/>
      <c r="NXS3"/>
      <c r="NXT3"/>
      <c r="NXU3"/>
      <c r="NXV3"/>
      <c r="NXW3"/>
      <c r="NXX3"/>
      <c r="NXY3"/>
      <c r="NXZ3"/>
      <c r="NYA3"/>
      <c r="NYB3"/>
      <c r="NYC3"/>
      <c r="NYD3"/>
      <c r="NYE3"/>
      <c r="NYF3"/>
      <c r="NYG3"/>
      <c r="NYH3"/>
      <c r="NYI3"/>
      <c r="NYJ3"/>
      <c r="NYK3"/>
      <c r="NYL3"/>
      <c r="NYM3"/>
      <c r="NYN3"/>
      <c r="NYO3"/>
      <c r="NYP3"/>
      <c r="NYQ3"/>
      <c r="NYR3"/>
      <c r="NYS3"/>
      <c r="NYT3"/>
      <c r="NYU3"/>
      <c r="NYV3"/>
      <c r="NYW3"/>
      <c r="NYX3"/>
      <c r="NYY3"/>
      <c r="NYZ3"/>
      <c r="NZA3"/>
      <c r="NZB3"/>
      <c r="NZC3"/>
      <c r="NZD3"/>
      <c r="NZE3"/>
      <c r="NZF3"/>
      <c r="NZG3"/>
      <c r="NZH3"/>
      <c r="NZI3"/>
      <c r="NZJ3"/>
      <c r="NZK3"/>
      <c r="NZL3"/>
      <c r="NZM3"/>
      <c r="NZN3"/>
      <c r="NZO3"/>
      <c r="NZP3"/>
      <c r="NZQ3"/>
      <c r="NZR3"/>
      <c r="NZS3"/>
      <c r="NZT3"/>
      <c r="NZU3"/>
      <c r="NZV3"/>
      <c r="NZW3"/>
      <c r="NZX3"/>
      <c r="NZY3"/>
      <c r="NZZ3"/>
      <c r="OAA3"/>
      <c r="OAB3"/>
      <c r="OAC3"/>
      <c r="OAD3"/>
      <c r="OAE3"/>
      <c r="OAF3"/>
      <c r="OAG3"/>
      <c r="OAH3"/>
      <c r="OAI3"/>
      <c r="OAJ3"/>
      <c r="OAK3"/>
      <c r="OAL3"/>
      <c r="OAM3"/>
      <c r="OAN3"/>
      <c r="OAO3"/>
      <c r="OAP3"/>
      <c r="OAQ3"/>
      <c r="OAR3"/>
      <c r="OAS3"/>
      <c r="OAT3"/>
      <c r="OAU3"/>
      <c r="OAV3"/>
      <c r="OAW3"/>
      <c r="OAX3"/>
      <c r="OAY3"/>
      <c r="OAZ3"/>
      <c r="OBA3"/>
      <c r="OBB3"/>
      <c r="OBC3"/>
      <c r="OBD3"/>
      <c r="OBE3"/>
      <c r="OBF3"/>
      <c r="OBG3"/>
      <c r="OBH3"/>
      <c r="OBI3"/>
      <c r="OBJ3"/>
      <c r="OBK3"/>
      <c r="OBL3"/>
      <c r="OBM3"/>
      <c r="OBN3"/>
      <c r="OBO3"/>
      <c r="OBP3"/>
      <c r="OBQ3"/>
      <c r="OBR3"/>
      <c r="OBS3"/>
      <c r="OBT3"/>
      <c r="OBU3"/>
      <c r="OBV3"/>
      <c r="OBW3"/>
      <c r="OBX3"/>
      <c r="OBY3"/>
      <c r="OBZ3"/>
      <c r="OCA3"/>
      <c r="OCB3"/>
      <c r="OCC3"/>
      <c r="OCD3"/>
      <c r="OCE3"/>
      <c r="OCF3"/>
      <c r="OCG3"/>
      <c r="OCH3"/>
      <c r="OCI3"/>
      <c r="OCJ3"/>
      <c r="OCK3"/>
      <c r="OCL3"/>
      <c r="OCM3"/>
      <c r="OCN3"/>
      <c r="OCO3"/>
      <c r="OCP3"/>
      <c r="OCQ3"/>
      <c r="OCR3"/>
      <c r="OCS3"/>
      <c r="OCT3"/>
      <c r="OCU3"/>
      <c r="OCV3"/>
      <c r="OCW3"/>
      <c r="OCX3"/>
      <c r="OCY3"/>
      <c r="OCZ3"/>
      <c r="ODA3"/>
      <c r="ODB3"/>
      <c r="ODC3"/>
      <c r="ODD3"/>
      <c r="ODE3"/>
      <c r="ODF3"/>
      <c r="ODG3"/>
      <c r="ODH3"/>
      <c r="ODI3"/>
      <c r="ODJ3"/>
      <c r="ODK3"/>
      <c r="ODL3"/>
      <c r="ODM3"/>
      <c r="ODN3"/>
      <c r="ODO3"/>
      <c r="ODP3"/>
      <c r="ODQ3"/>
      <c r="ODR3"/>
      <c r="ODS3"/>
      <c r="ODT3"/>
      <c r="ODU3"/>
      <c r="ODV3"/>
      <c r="ODW3"/>
      <c r="ODX3"/>
      <c r="ODY3"/>
      <c r="ODZ3"/>
      <c r="OEA3"/>
      <c r="OEB3"/>
      <c r="OEC3"/>
      <c r="OED3"/>
      <c r="OEE3"/>
      <c r="OEF3"/>
      <c r="OEG3"/>
      <c r="OEH3"/>
      <c r="OEI3"/>
      <c r="OEJ3"/>
      <c r="OEK3"/>
      <c r="OEL3"/>
      <c r="OEM3"/>
      <c r="OEN3"/>
      <c r="OEO3"/>
      <c r="OEP3"/>
      <c r="OEQ3"/>
      <c r="OER3"/>
      <c r="OES3"/>
      <c r="OET3"/>
      <c r="OEU3"/>
      <c r="OEV3"/>
      <c r="OEW3"/>
      <c r="OEX3"/>
      <c r="OEY3"/>
      <c r="OEZ3"/>
      <c r="OFA3"/>
      <c r="OFB3"/>
      <c r="OFC3"/>
      <c r="OFD3"/>
      <c r="OFE3"/>
      <c r="OFF3"/>
      <c r="OFG3"/>
      <c r="OFH3"/>
      <c r="OFI3"/>
      <c r="OFJ3"/>
      <c r="OFK3"/>
      <c r="OFL3"/>
      <c r="OFM3"/>
      <c r="OFN3"/>
      <c r="OFO3"/>
      <c r="OFP3"/>
      <c r="OFQ3"/>
      <c r="OFR3"/>
      <c r="OFS3"/>
      <c r="OFT3"/>
      <c r="OFU3"/>
      <c r="OFV3"/>
      <c r="OFW3"/>
      <c r="OFX3"/>
      <c r="OFY3"/>
      <c r="OFZ3"/>
      <c r="OGA3"/>
      <c r="OGB3"/>
      <c r="OGC3"/>
      <c r="OGD3"/>
      <c r="OGE3"/>
      <c r="OGF3"/>
      <c r="OGG3"/>
      <c r="OGH3"/>
      <c r="OGI3"/>
      <c r="OGJ3"/>
      <c r="OGK3"/>
      <c r="OGL3"/>
      <c r="OGM3"/>
      <c r="OGN3"/>
      <c r="OGO3"/>
      <c r="OGP3"/>
      <c r="OGQ3"/>
      <c r="OGR3"/>
      <c r="OGS3"/>
      <c r="OGT3"/>
      <c r="OGU3"/>
      <c r="OGV3"/>
      <c r="OGW3"/>
      <c r="OGX3"/>
      <c r="OGY3"/>
      <c r="OGZ3"/>
      <c r="OHA3"/>
      <c r="OHB3"/>
      <c r="OHC3"/>
      <c r="OHD3"/>
      <c r="OHE3"/>
      <c r="OHF3"/>
      <c r="OHG3"/>
      <c r="OHH3"/>
      <c r="OHI3"/>
      <c r="OHJ3"/>
      <c r="OHK3"/>
      <c r="OHL3"/>
      <c r="OHM3"/>
      <c r="OHN3"/>
      <c r="OHO3"/>
      <c r="OHP3"/>
      <c r="OHQ3"/>
      <c r="OHR3"/>
      <c r="OHS3"/>
      <c r="OHT3"/>
      <c r="OHU3"/>
      <c r="OHV3"/>
      <c r="OHW3"/>
      <c r="OHX3"/>
      <c r="OHY3"/>
      <c r="OHZ3"/>
      <c r="OIA3"/>
      <c r="OIB3"/>
      <c r="OIC3"/>
      <c r="OID3"/>
      <c r="OIE3"/>
      <c r="OIF3"/>
      <c r="OIG3"/>
      <c r="OIH3"/>
      <c r="OII3"/>
      <c r="OIJ3"/>
      <c r="OIK3"/>
      <c r="OIL3"/>
      <c r="OIM3"/>
      <c r="OIN3"/>
      <c r="OIO3"/>
      <c r="OIP3"/>
      <c r="OIQ3"/>
      <c r="OIR3"/>
      <c r="OIS3"/>
      <c r="OIT3"/>
      <c r="OIU3"/>
      <c r="OIV3"/>
      <c r="OIW3"/>
      <c r="OIX3"/>
      <c r="OIY3"/>
      <c r="OIZ3"/>
      <c r="OJA3"/>
      <c r="OJB3"/>
      <c r="OJC3"/>
      <c r="OJD3"/>
      <c r="OJE3"/>
      <c r="OJF3"/>
      <c r="OJG3"/>
      <c r="OJH3"/>
      <c r="OJI3"/>
      <c r="OJJ3"/>
      <c r="OJK3"/>
      <c r="OJL3"/>
      <c r="OJM3"/>
      <c r="OJN3"/>
      <c r="OJO3"/>
      <c r="OJP3"/>
      <c r="OJQ3"/>
      <c r="OJR3"/>
      <c r="OJS3"/>
      <c r="OJT3"/>
      <c r="OJU3"/>
      <c r="OJV3"/>
      <c r="OJW3"/>
      <c r="OJX3"/>
      <c r="OJY3"/>
      <c r="OJZ3"/>
      <c r="OKA3"/>
      <c r="OKB3"/>
      <c r="OKC3"/>
      <c r="OKD3"/>
      <c r="OKE3"/>
      <c r="OKF3"/>
      <c r="OKG3"/>
      <c r="OKH3"/>
      <c r="OKI3"/>
      <c r="OKJ3"/>
      <c r="OKK3"/>
      <c r="OKL3"/>
      <c r="OKM3"/>
      <c r="OKN3"/>
      <c r="OKO3"/>
      <c r="OKP3"/>
      <c r="OKQ3"/>
      <c r="OKR3"/>
      <c r="OKS3"/>
      <c r="OKT3"/>
      <c r="OKU3"/>
      <c r="OKV3"/>
      <c r="OKW3"/>
      <c r="OKX3"/>
      <c r="OKY3"/>
      <c r="OKZ3"/>
      <c r="OLA3"/>
      <c r="OLB3"/>
      <c r="OLC3"/>
      <c r="OLD3"/>
      <c r="OLE3"/>
      <c r="OLF3"/>
      <c r="OLG3"/>
      <c r="OLH3"/>
      <c r="OLI3"/>
      <c r="OLJ3"/>
      <c r="OLK3"/>
      <c r="OLL3"/>
      <c r="OLM3"/>
      <c r="OLN3"/>
      <c r="OLO3"/>
      <c r="OLP3"/>
      <c r="OLQ3"/>
      <c r="OLR3"/>
      <c r="OLS3"/>
      <c r="OLT3"/>
      <c r="OLU3"/>
      <c r="OLV3"/>
      <c r="OLW3"/>
      <c r="OLX3"/>
      <c r="OLY3"/>
      <c r="OLZ3"/>
      <c r="OMA3"/>
      <c r="OMB3"/>
      <c r="OMC3"/>
      <c r="OMD3"/>
      <c r="OME3"/>
      <c r="OMF3"/>
      <c r="OMG3"/>
      <c r="OMH3"/>
      <c r="OMI3"/>
      <c r="OMJ3"/>
      <c r="OMK3"/>
      <c r="OML3"/>
      <c r="OMM3"/>
      <c r="OMN3"/>
      <c r="OMO3"/>
      <c r="OMP3"/>
      <c r="OMQ3"/>
      <c r="OMR3"/>
      <c r="OMS3"/>
      <c r="OMT3"/>
      <c r="OMU3"/>
      <c r="OMV3"/>
      <c r="OMW3"/>
      <c r="OMX3"/>
      <c r="OMY3"/>
      <c r="OMZ3"/>
      <c r="ONA3"/>
      <c r="ONB3"/>
      <c r="ONC3"/>
      <c r="OND3"/>
      <c r="ONE3"/>
      <c r="ONF3"/>
      <c r="ONG3"/>
      <c r="ONH3"/>
      <c r="ONI3"/>
      <c r="ONJ3"/>
      <c r="ONK3"/>
      <c r="ONL3"/>
      <c r="ONM3"/>
      <c r="ONN3"/>
      <c r="ONO3"/>
      <c r="ONP3"/>
      <c r="ONQ3"/>
      <c r="ONR3"/>
      <c r="ONS3"/>
      <c r="ONT3"/>
      <c r="ONU3"/>
      <c r="ONV3"/>
      <c r="ONW3"/>
      <c r="ONX3"/>
      <c r="ONY3"/>
      <c r="ONZ3"/>
      <c r="OOA3"/>
      <c r="OOB3"/>
      <c r="OOC3"/>
      <c r="OOD3"/>
      <c r="OOE3"/>
      <c r="OOF3"/>
      <c r="OOG3"/>
      <c r="OOH3"/>
      <c r="OOI3"/>
      <c r="OOJ3"/>
      <c r="OOK3"/>
      <c r="OOL3"/>
      <c r="OOM3"/>
      <c r="OON3"/>
      <c r="OOO3"/>
      <c r="OOP3"/>
      <c r="OOQ3"/>
      <c r="OOR3"/>
      <c r="OOS3"/>
      <c r="OOT3"/>
      <c r="OOU3"/>
      <c r="OOV3"/>
      <c r="OOW3"/>
      <c r="OOX3"/>
      <c r="OOY3"/>
      <c r="OOZ3"/>
      <c r="OPA3"/>
      <c r="OPB3"/>
      <c r="OPC3"/>
      <c r="OPD3"/>
      <c r="OPE3"/>
      <c r="OPF3"/>
      <c r="OPG3"/>
      <c r="OPH3"/>
      <c r="OPI3"/>
      <c r="OPJ3"/>
      <c r="OPK3"/>
      <c r="OPL3"/>
      <c r="OPM3"/>
      <c r="OPN3"/>
      <c r="OPO3"/>
      <c r="OPP3"/>
      <c r="OPQ3"/>
      <c r="OPR3"/>
      <c r="OPS3"/>
      <c r="OPT3"/>
      <c r="OPU3"/>
      <c r="OPV3"/>
      <c r="OPW3"/>
      <c r="OPX3"/>
      <c r="OPY3"/>
      <c r="OPZ3"/>
      <c r="OQA3"/>
      <c r="OQB3"/>
      <c r="OQC3"/>
      <c r="OQD3"/>
      <c r="OQE3"/>
      <c r="OQF3"/>
      <c r="OQG3"/>
      <c r="OQH3"/>
      <c r="OQI3"/>
      <c r="OQJ3"/>
      <c r="OQK3"/>
      <c r="OQL3"/>
      <c r="OQM3"/>
      <c r="OQN3"/>
      <c r="OQO3"/>
      <c r="OQP3"/>
      <c r="OQQ3"/>
      <c r="OQR3"/>
      <c r="OQS3"/>
      <c r="OQT3"/>
      <c r="OQU3"/>
      <c r="OQV3"/>
      <c r="OQW3"/>
      <c r="OQX3"/>
      <c r="OQY3"/>
      <c r="OQZ3"/>
      <c r="ORA3"/>
      <c r="ORB3"/>
      <c r="ORC3"/>
      <c r="ORD3"/>
      <c r="ORE3"/>
      <c r="ORF3"/>
      <c r="ORG3"/>
      <c r="ORH3"/>
      <c r="ORI3"/>
      <c r="ORJ3"/>
      <c r="ORK3"/>
      <c r="ORL3"/>
      <c r="ORM3"/>
      <c r="ORN3"/>
      <c r="ORO3"/>
      <c r="ORP3"/>
      <c r="ORQ3"/>
      <c r="ORR3"/>
      <c r="ORS3"/>
      <c r="ORT3"/>
      <c r="ORU3"/>
      <c r="ORV3"/>
      <c r="ORW3"/>
      <c r="ORX3"/>
      <c r="ORY3"/>
      <c r="ORZ3"/>
      <c r="OSA3"/>
      <c r="OSB3"/>
      <c r="OSC3"/>
      <c r="OSD3"/>
      <c r="OSE3"/>
      <c r="OSF3"/>
      <c r="OSG3"/>
      <c r="OSH3"/>
      <c r="OSI3"/>
      <c r="OSJ3"/>
      <c r="OSK3"/>
      <c r="OSL3"/>
      <c r="OSM3"/>
      <c r="OSN3"/>
      <c r="OSO3"/>
      <c r="OSP3"/>
      <c r="OSQ3"/>
      <c r="OSR3"/>
      <c r="OSS3"/>
      <c r="OST3"/>
      <c r="OSU3"/>
      <c r="OSV3"/>
      <c r="OSW3"/>
      <c r="OSX3"/>
      <c r="OSY3"/>
      <c r="OSZ3"/>
      <c r="OTA3"/>
      <c r="OTB3"/>
      <c r="OTC3"/>
      <c r="OTD3"/>
      <c r="OTE3"/>
      <c r="OTF3"/>
      <c r="OTG3"/>
      <c r="OTH3"/>
      <c r="OTI3"/>
      <c r="OTJ3"/>
      <c r="OTK3"/>
      <c r="OTL3"/>
      <c r="OTM3"/>
      <c r="OTN3"/>
      <c r="OTO3"/>
      <c r="OTP3"/>
      <c r="OTQ3"/>
      <c r="OTR3"/>
      <c r="OTS3"/>
      <c r="OTT3"/>
      <c r="OTU3"/>
      <c r="OTV3"/>
      <c r="OTW3"/>
      <c r="OTX3"/>
      <c r="OTY3"/>
      <c r="OTZ3"/>
      <c r="OUA3"/>
      <c r="OUB3"/>
      <c r="OUC3"/>
      <c r="OUD3"/>
      <c r="OUE3"/>
      <c r="OUF3"/>
      <c r="OUG3"/>
      <c r="OUH3"/>
      <c r="OUI3"/>
      <c r="OUJ3"/>
      <c r="OUK3"/>
      <c r="OUL3"/>
      <c r="OUM3"/>
      <c r="OUN3"/>
      <c r="OUO3"/>
      <c r="OUP3"/>
      <c r="OUQ3"/>
      <c r="OUR3"/>
      <c r="OUS3"/>
      <c r="OUT3"/>
      <c r="OUU3"/>
      <c r="OUV3"/>
      <c r="OUW3"/>
      <c r="OUX3"/>
      <c r="OUY3"/>
      <c r="OUZ3"/>
      <c r="OVA3"/>
      <c r="OVB3"/>
      <c r="OVC3"/>
      <c r="OVD3"/>
      <c r="OVE3"/>
      <c r="OVF3"/>
      <c r="OVG3"/>
      <c r="OVH3"/>
      <c r="OVI3"/>
      <c r="OVJ3"/>
      <c r="OVK3"/>
      <c r="OVL3"/>
      <c r="OVM3"/>
      <c r="OVN3"/>
      <c r="OVO3"/>
      <c r="OVP3"/>
      <c r="OVQ3"/>
      <c r="OVR3"/>
      <c r="OVS3"/>
      <c r="OVT3"/>
      <c r="OVU3"/>
      <c r="OVV3"/>
      <c r="OVW3"/>
      <c r="OVX3"/>
      <c r="OVY3"/>
      <c r="OVZ3"/>
      <c r="OWA3"/>
      <c r="OWB3"/>
      <c r="OWC3"/>
      <c r="OWD3"/>
      <c r="OWE3"/>
      <c r="OWF3"/>
      <c r="OWG3"/>
      <c r="OWH3"/>
      <c r="OWI3"/>
      <c r="OWJ3"/>
      <c r="OWK3"/>
      <c r="OWL3"/>
      <c r="OWM3"/>
      <c r="OWN3"/>
      <c r="OWO3"/>
      <c r="OWP3"/>
      <c r="OWQ3"/>
      <c r="OWR3"/>
      <c r="OWS3"/>
      <c r="OWT3"/>
      <c r="OWU3"/>
      <c r="OWV3"/>
      <c r="OWW3"/>
      <c r="OWX3"/>
      <c r="OWY3"/>
      <c r="OWZ3"/>
      <c r="OXA3"/>
      <c r="OXB3"/>
      <c r="OXC3"/>
      <c r="OXD3"/>
      <c r="OXE3"/>
      <c r="OXF3"/>
      <c r="OXG3"/>
      <c r="OXH3"/>
      <c r="OXI3"/>
      <c r="OXJ3"/>
      <c r="OXK3"/>
      <c r="OXL3"/>
      <c r="OXM3"/>
      <c r="OXN3"/>
      <c r="OXO3"/>
      <c r="OXP3"/>
      <c r="OXQ3"/>
      <c r="OXR3"/>
      <c r="OXS3"/>
      <c r="OXT3"/>
      <c r="OXU3"/>
      <c r="OXV3"/>
      <c r="OXW3"/>
      <c r="OXX3"/>
      <c r="OXY3"/>
      <c r="OXZ3"/>
      <c r="OYA3"/>
      <c r="OYB3"/>
      <c r="OYC3"/>
      <c r="OYD3"/>
      <c r="OYE3"/>
      <c r="OYF3"/>
      <c r="OYG3"/>
      <c r="OYH3"/>
      <c r="OYI3"/>
      <c r="OYJ3"/>
      <c r="OYK3"/>
      <c r="OYL3"/>
      <c r="OYM3"/>
      <c r="OYN3"/>
      <c r="OYO3"/>
      <c r="OYP3"/>
      <c r="OYQ3"/>
      <c r="OYR3"/>
      <c r="OYS3"/>
      <c r="OYT3"/>
      <c r="OYU3"/>
      <c r="OYV3"/>
      <c r="OYW3"/>
      <c r="OYX3"/>
      <c r="OYY3"/>
      <c r="OYZ3"/>
      <c r="OZA3"/>
      <c r="OZB3"/>
      <c r="OZC3"/>
      <c r="OZD3"/>
      <c r="OZE3"/>
      <c r="OZF3"/>
      <c r="OZG3"/>
      <c r="OZH3"/>
      <c r="OZI3"/>
      <c r="OZJ3"/>
      <c r="OZK3"/>
      <c r="OZL3"/>
      <c r="OZM3"/>
      <c r="OZN3"/>
      <c r="OZO3"/>
      <c r="OZP3"/>
      <c r="OZQ3"/>
      <c r="OZR3"/>
      <c r="OZS3"/>
      <c r="OZT3"/>
      <c r="OZU3"/>
      <c r="OZV3"/>
      <c r="OZW3"/>
      <c r="OZX3"/>
      <c r="OZY3"/>
      <c r="OZZ3"/>
      <c r="PAA3"/>
      <c r="PAB3"/>
      <c r="PAC3"/>
      <c r="PAD3"/>
      <c r="PAE3"/>
      <c r="PAF3"/>
      <c r="PAG3"/>
      <c r="PAH3"/>
      <c r="PAI3"/>
      <c r="PAJ3"/>
      <c r="PAK3"/>
      <c r="PAL3"/>
      <c r="PAM3"/>
      <c r="PAN3"/>
      <c r="PAO3"/>
      <c r="PAP3"/>
      <c r="PAQ3"/>
      <c r="PAR3"/>
      <c r="PAS3"/>
      <c r="PAT3"/>
      <c r="PAU3"/>
      <c r="PAV3"/>
      <c r="PAW3"/>
      <c r="PAX3"/>
      <c r="PAY3"/>
      <c r="PAZ3"/>
      <c r="PBA3"/>
      <c r="PBB3"/>
      <c r="PBC3"/>
      <c r="PBD3"/>
      <c r="PBE3"/>
      <c r="PBF3"/>
      <c r="PBG3"/>
      <c r="PBH3"/>
      <c r="PBI3"/>
      <c r="PBJ3"/>
      <c r="PBK3"/>
      <c r="PBL3"/>
      <c r="PBM3"/>
      <c r="PBN3"/>
      <c r="PBO3"/>
      <c r="PBP3"/>
      <c r="PBQ3"/>
      <c r="PBR3"/>
      <c r="PBS3"/>
      <c r="PBT3"/>
      <c r="PBU3"/>
      <c r="PBV3"/>
      <c r="PBW3"/>
      <c r="PBX3"/>
      <c r="PBY3"/>
      <c r="PBZ3"/>
      <c r="PCA3"/>
      <c r="PCB3"/>
      <c r="PCC3"/>
      <c r="PCD3"/>
      <c r="PCE3"/>
      <c r="PCF3"/>
      <c r="PCG3"/>
      <c r="PCH3"/>
      <c r="PCI3"/>
      <c r="PCJ3"/>
      <c r="PCK3"/>
      <c r="PCL3"/>
      <c r="PCM3"/>
      <c r="PCN3"/>
      <c r="PCO3"/>
      <c r="PCP3"/>
      <c r="PCQ3"/>
      <c r="PCR3"/>
      <c r="PCS3"/>
      <c r="PCT3"/>
      <c r="PCU3"/>
      <c r="PCV3"/>
      <c r="PCW3"/>
      <c r="PCX3"/>
      <c r="PCY3"/>
      <c r="PCZ3"/>
      <c r="PDA3"/>
      <c r="PDB3"/>
      <c r="PDC3"/>
      <c r="PDD3"/>
      <c r="PDE3"/>
      <c r="PDF3"/>
      <c r="PDG3"/>
      <c r="PDH3"/>
      <c r="PDI3"/>
      <c r="PDJ3"/>
      <c r="PDK3"/>
      <c r="PDL3"/>
      <c r="PDM3"/>
      <c r="PDN3"/>
      <c r="PDO3"/>
      <c r="PDP3"/>
      <c r="PDQ3"/>
      <c r="PDR3"/>
      <c r="PDS3"/>
      <c r="PDT3"/>
      <c r="PDU3"/>
      <c r="PDV3"/>
      <c r="PDW3"/>
      <c r="PDX3"/>
      <c r="PDY3"/>
      <c r="PDZ3"/>
      <c r="PEA3"/>
      <c r="PEB3"/>
      <c r="PEC3"/>
      <c r="PED3"/>
      <c r="PEE3"/>
      <c r="PEF3"/>
      <c r="PEG3"/>
      <c r="PEH3"/>
      <c r="PEI3"/>
      <c r="PEJ3"/>
      <c r="PEK3"/>
      <c r="PEL3"/>
      <c r="PEM3"/>
      <c r="PEN3"/>
      <c r="PEO3"/>
      <c r="PEP3"/>
      <c r="PEQ3"/>
      <c r="PER3"/>
      <c r="PES3"/>
      <c r="PET3"/>
      <c r="PEU3"/>
      <c r="PEV3"/>
      <c r="PEW3"/>
      <c r="PEX3"/>
      <c r="PEY3"/>
      <c r="PEZ3"/>
      <c r="PFA3"/>
      <c r="PFB3"/>
      <c r="PFC3"/>
      <c r="PFD3"/>
      <c r="PFE3"/>
      <c r="PFF3"/>
      <c r="PFG3"/>
      <c r="PFH3"/>
      <c r="PFI3"/>
      <c r="PFJ3"/>
      <c r="PFK3"/>
      <c r="PFL3"/>
      <c r="PFM3"/>
      <c r="PFN3"/>
      <c r="PFO3"/>
      <c r="PFP3"/>
      <c r="PFQ3"/>
      <c r="PFR3"/>
      <c r="PFS3"/>
      <c r="PFT3"/>
      <c r="PFU3"/>
      <c r="PFV3"/>
      <c r="PFW3"/>
      <c r="PFX3"/>
      <c r="PFY3"/>
      <c r="PFZ3"/>
      <c r="PGA3"/>
      <c r="PGB3"/>
      <c r="PGC3"/>
      <c r="PGD3"/>
      <c r="PGE3"/>
      <c r="PGF3"/>
      <c r="PGG3"/>
      <c r="PGH3"/>
      <c r="PGI3"/>
      <c r="PGJ3"/>
      <c r="PGK3"/>
      <c r="PGL3"/>
      <c r="PGM3"/>
      <c r="PGN3"/>
      <c r="PGO3"/>
      <c r="PGP3"/>
      <c r="PGQ3"/>
      <c r="PGR3"/>
      <c r="PGS3"/>
      <c r="PGT3"/>
      <c r="PGU3"/>
      <c r="PGV3"/>
      <c r="PGW3"/>
      <c r="PGX3"/>
      <c r="PGY3"/>
      <c r="PGZ3"/>
      <c r="PHA3"/>
      <c r="PHB3"/>
      <c r="PHC3"/>
      <c r="PHD3"/>
      <c r="PHE3"/>
      <c r="PHF3"/>
      <c r="PHG3"/>
      <c r="PHH3"/>
      <c r="PHI3"/>
      <c r="PHJ3"/>
      <c r="PHK3"/>
      <c r="PHL3"/>
      <c r="PHM3"/>
      <c r="PHN3"/>
      <c r="PHO3"/>
      <c r="PHP3"/>
      <c r="PHQ3"/>
      <c r="PHR3"/>
      <c r="PHS3"/>
      <c r="PHT3"/>
      <c r="PHU3"/>
      <c r="PHV3"/>
      <c r="PHW3"/>
      <c r="PHX3"/>
      <c r="PHY3"/>
      <c r="PHZ3"/>
      <c r="PIA3"/>
      <c r="PIB3"/>
      <c r="PIC3"/>
      <c r="PID3"/>
      <c r="PIE3"/>
      <c r="PIF3"/>
      <c r="PIG3"/>
      <c r="PIH3"/>
      <c r="PII3"/>
      <c r="PIJ3"/>
      <c r="PIK3"/>
      <c r="PIL3"/>
      <c r="PIM3"/>
      <c r="PIN3"/>
      <c r="PIO3"/>
      <c r="PIP3"/>
      <c r="PIQ3"/>
      <c r="PIR3"/>
      <c r="PIS3"/>
      <c r="PIT3"/>
      <c r="PIU3"/>
      <c r="PIV3"/>
      <c r="PIW3"/>
      <c r="PIX3"/>
      <c r="PIY3"/>
      <c r="PIZ3"/>
      <c r="PJA3"/>
      <c r="PJB3"/>
      <c r="PJC3"/>
      <c r="PJD3"/>
      <c r="PJE3"/>
      <c r="PJF3"/>
      <c r="PJG3"/>
      <c r="PJH3"/>
      <c r="PJI3"/>
      <c r="PJJ3"/>
      <c r="PJK3"/>
      <c r="PJL3"/>
      <c r="PJM3"/>
      <c r="PJN3"/>
      <c r="PJO3"/>
      <c r="PJP3"/>
      <c r="PJQ3"/>
      <c r="PJR3"/>
      <c r="PJS3"/>
      <c r="PJT3"/>
      <c r="PJU3"/>
      <c r="PJV3"/>
      <c r="PJW3"/>
      <c r="PJX3"/>
      <c r="PJY3"/>
      <c r="PJZ3"/>
      <c r="PKA3"/>
      <c r="PKB3"/>
      <c r="PKC3"/>
      <c r="PKD3"/>
      <c r="PKE3"/>
      <c r="PKF3"/>
      <c r="PKG3"/>
      <c r="PKH3"/>
      <c r="PKI3"/>
      <c r="PKJ3"/>
      <c r="PKK3"/>
      <c r="PKL3"/>
      <c r="PKM3"/>
      <c r="PKN3"/>
      <c r="PKO3"/>
      <c r="PKP3"/>
      <c r="PKQ3"/>
      <c r="PKR3"/>
      <c r="PKS3"/>
      <c r="PKT3"/>
      <c r="PKU3"/>
      <c r="PKV3"/>
      <c r="PKW3"/>
      <c r="PKX3"/>
      <c r="PKY3"/>
      <c r="PKZ3"/>
      <c r="PLA3"/>
      <c r="PLB3"/>
      <c r="PLC3"/>
      <c r="PLD3"/>
      <c r="PLE3"/>
      <c r="PLF3"/>
      <c r="PLG3"/>
      <c r="PLH3"/>
      <c r="PLI3"/>
      <c r="PLJ3"/>
      <c r="PLK3"/>
      <c r="PLL3"/>
      <c r="PLM3"/>
      <c r="PLN3"/>
      <c r="PLO3"/>
      <c r="PLP3"/>
      <c r="PLQ3"/>
      <c r="PLR3"/>
      <c r="PLS3"/>
      <c r="PLT3"/>
      <c r="PLU3"/>
      <c r="PLV3"/>
      <c r="PLW3"/>
      <c r="PLX3"/>
      <c r="PLY3"/>
      <c r="PLZ3"/>
      <c r="PMA3"/>
      <c r="PMB3"/>
      <c r="PMC3"/>
      <c r="PMD3"/>
      <c r="PME3"/>
      <c r="PMF3"/>
      <c r="PMG3"/>
      <c r="PMH3"/>
      <c r="PMI3"/>
      <c r="PMJ3"/>
      <c r="PMK3"/>
      <c r="PML3"/>
      <c r="PMM3"/>
      <c r="PMN3"/>
      <c r="PMO3"/>
      <c r="PMP3"/>
      <c r="PMQ3"/>
      <c r="PMR3"/>
      <c r="PMS3"/>
      <c r="PMT3"/>
      <c r="PMU3"/>
      <c r="PMV3"/>
      <c r="PMW3"/>
      <c r="PMX3"/>
      <c r="PMY3"/>
      <c r="PMZ3"/>
      <c r="PNA3"/>
      <c r="PNB3"/>
      <c r="PNC3"/>
      <c r="PND3"/>
      <c r="PNE3"/>
      <c r="PNF3"/>
      <c r="PNG3"/>
      <c r="PNH3"/>
      <c r="PNI3"/>
      <c r="PNJ3"/>
      <c r="PNK3"/>
      <c r="PNL3"/>
      <c r="PNM3"/>
      <c r="PNN3"/>
      <c r="PNO3"/>
      <c r="PNP3"/>
      <c r="PNQ3"/>
      <c r="PNR3"/>
      <c r="PNS3"/>
      <c r="PNT3"/>
      <c r="PNU3"/>
      <c r="PNV3"/>
      <c r="PNW3"/>
      <c r="PNX3"/>
      <c r="PNY3"/>
      <c r="PNZ3"/>
      <c r="POA3"/>
      <c r="POB3"/>
      <c r="POC3"/>
      <c r="POD3"/>
      <c r="POE3"/>
      <c r="POF3"/>
      <c r="POG3"/>
      <c r="POH3"/>
      <c r="POI3"/>
      <c r="POJ3"/>
      <c r="POK3"/>
      <c r="POL3"/>
      <c r="POM3"/>
      <c r="PON3"/>
      <c r="POO3"/>
      <c r="POP3"/>
      <c r="POQ3"/>
      <c r="POR3"/>
      <c r="POS3"/>
      <c r="POT3"/>
      <c r="POU3"/>
      <c r="POV3"/>
      <c r="POW3"/>
      <c r="POX3"/>
      <c r="POY3"/>
      <c r="POZ3"/>
      <c r="PPA3"/>
      <c r="PPB3"/>
      <c r="PPC3"/>
      <c r="PPD3"/>
      <c r="PPE3"/>
      <c r="PPF3"/>
      <c r="PPG3"/>
      <c r="PPH3"/>
      <c r="PPI3"/>
      <c r="PPJ3"/>
      <c r="PPK3"/>
      <c r="PPL3"/>
      <c r="PPM3"/>
      <c r="PPN3"/>
      <c r="PPO3"/>
      <c r="PPP3"/>
      <c r="PPQ3"/>
      <c r="PPR3"/>
      <c r="PPS3"/>
      <c r="PPT3"/>
      <c r="PPU3"/>
      <c r="PPV3"/>
      <c r="PPW3"/>
      <c r="PPX3"/>
      <c r="PPY3"/>
      <c r="PPZ3"/>
      <c r="PQA3"/>
      <c r="PQB3"/>
      <c r="PQC3"/>
      <c r="PQD3"/>
      <c r="PQE3"/>
      <c r="PQF3"/>
      <c r="PQG3"/>
      <c r="PQH3"/>
      <c r="PQI3"/>
      <c r="PQJ3"/>
      <c r="PQK3"/>
      <c r="PQL3"/>
      <c r="PQM3"/>
      <c r="PQN3"/>
      <c r="PQO3"/>
      <c r="PQP3"/>
      <c r="PQQ3"/>
      <c r="PQR3"/>
      <c r="PQS3"/>
      <c r="PQT3"/>
      <c r="PQU3"/>
      <c r="PQV3"/>
      <c r="PQW3"/>
      <c r="PQX3"/>
      <c r="PQY3"/>
      <c r="PQZ3"/>
      <c r="PRA3"/>
      <c r="PRB3"/>
      <c r="PRC3"/>
      <c r="PRD3"/>
      <c r="PRE3"/>
      <c r="PRF3"/>
      <c r="PRG3"/>
      <c r="PRH3"/>
      <c r="PRI3"/>
      <c r="PRJ3"/>
      <c r="PRK3"/>
      <c r="PRL3"/>
      <c r="PRM3"/>
      <c r="PRN3"/>
      <c r="PRO3"/>
      <c r="PRP3"/>
      <c r="PRQ3"/>
      <c r="PRR3"/>
      <c r="PRS3"/>
      <c r="PRT3"/>
      <c r="PRU3"/>
      <c r="PRV3"/>
      <c r="PRW3"/>
      <c r="PRX3"/>
      <c r="PRY3"/>
      <c r="PRZ3"/>
      <c r="PSA3"/>
      <c r="PSB3"/>
      <c r="PSC3"/>
      <c r="PSD3"/>
      <c r="PSE3"/>
      <c r="PSF3"/>
      <c r="PSG3"/>
      <c r="PSH3"/>
      <c r="PSI3"/>
      <c r="PSJ3"/>
      <c r="PSK3"/>
      <c r="PSL3"/>
      <c r="PSM3"/>
      <c r="PSN3"/>
      <c r="PSO3"/>
      <c r="PSP3"/>
      <c r="PSQ3"/>
      <c r="PSR3"/>
      <c r="PSS3"/>
      <c r="PST3"/>
      <c r="PSU3"/>
      <c r="PSV3"/>
      <c r="PSW3"/>
      <c r="PSX3"/>
      <c r="PSY3"/>
      <c r="PSZ3"/>
      <c r="PTA3"/>
      <c r="PTB3"/>
      <c r="PTC3"/>
      <c r="PTD3"/>
      <c r="PTE3"/>
      <c r="PTF3"/>
      <c r="PTG3"/>
      <c r="PTH3"/>
      <c r="PTI3"/>
      <c r="PTJ3"/>
      <c r="PTK3"/>
      <c r="PTL3"/>
      <c r="PTM3"/>
      <c r="PTN3"/>
      <c r="PTO3"/>
      <c r="PTP3"/>
      <c r="PTQ3"/>
      <c r="PTR3"/>
      <c r="PTS3"/>
      <c r="PTT3"/>
      <c r="PTU3"/>
      <c r="PTV3"/>
      <c r="PTW3"/>
      <c r="PTX3"/>
      <c r="PTY3"/>
      <c r="PTZ3"/>
      <c r="PUA3"/>
      <c r="PUB3"/>
      <c r="PUC3"/>
      <c r="PUD3"/>
      <c r="PUE3"/>
      <c r="PUF3"/>
      <c r="PUG3"/>
      <c r="PUH3"/>
      <c r="PUI3"/>
      <c r="PUJ3"/>
      <c r="PUK3"/>
      <c r="PUL3"/>
      <c r="PUM3"/>
      <c r="PUN3"/>
      <c r="PUO3"/>
      <c r="PUP3"/>
      <c r="PUQ3"/>
      <c r="PUR3"/>
      <c r="PUS3"/>
      <c r="PUT3"/>
      <c r="PUU3"/>
      <c r="PUV3"/>
      <c r="PUW3"/>
      <c r="PUX3"/>
      <c r="PUY3"/>
      <c r="PUZ3"/>
      <c r="PVA3"/>
      <c r="PVB3"/>
      <c r="PVC3"/>
      <c r="PVD3"/>
      <c r="PVE3"/>
      <c r="PVF3"/>
      <c r="PVG3"/>
      <c r="PVH3"/>
      <c r="PVI3"/>
      <c r="PVJ3"/>
      <c r="PVK3"/>
      <c r="PVL3"/>
      <c r="PVM3"/>
      <c r="PVN3"/>
      <c r="PVO3"/>
      <c r="PVP3"/>
      <c r="PVQ3"/>
      <c r="PVR3"/>
      <c r="PVS3"/>
      <c r="PVT3"/>
      <c r="PVU3"/>
      <c r="PVV3"/>
      <c r="PVW3"/>
      <c r="PVX3"/>
      <c r="PVY3"/>
      <c r="PVZ3"/>
      <c r="PWA3"/>
      <c r="PWB3"/>
      <c r="PWC3"/>
      <c r="PWD3"/>
      <c r="PWE3"/>
      <c r="PWF3"/>
      <c r="PWG3"/>
      <c r="PWH3"/>
      <c r="PWI3"/>
      <c r="PWJ3"/>
      <c r="PWK3"/>
      <c r="PWL3"/>
      <c r="PWM3"/>
      <c r="PWN3"/>
      <c r="PWO3"/>
      <c r="PWP3"/>
      <c r="PWQ3"/>
      <c r="PWR3"/>
      <c r="PWS3"/>
      <c r="PWT3"/>
      <c r="PWU3"/>
      <c r="PWV3"/>
      <c r="PWW3"/>
      <c r="PWX3"/>
      <c r="PWY3"/>
      <c r="PWZ3"/>
      <c r="PXA3"/>
      <c r="PXB3"/>
      <c r="PXC3"/>
      <c r="PXD3"/>
      <c r="PXE3"/>
      <c r="PXF3"/>
      <c r="PXG3"/>
      <c r="PXH3"/>
      <c r="PXI3"/>
      <c r="PXJ3"/>
      <c r="PXK3"/>
      <c r="PXL3"/>
      <c r="PXM3"/>
      <c r="PXN3"/>
      <c r="PXO3"/>
      <c r="PXP3"/>
      <c r="PXQ3"/>
      <c r="PXR3"/>
      <c r="PXS3"/>
      <c r="PXT3"/>
      <c r="PXU3"/>
      <c r="PXV3"/>
      <c r="PXW3"/>
      <c r="PXX3"/>
      <c r="PXY3"/>
      <c r="PXZ3"/>
      <c r="PYA3"/>
      <c r="PYB3"/>
      <c r="PYC3"/>
      <c r="PYD3"/>
      <c r="PYE3"/>
      <c r="PYF3"/>
      <c r="PYG3"/>
      <c r="PYH3"/>
      <c r="PYI3"/>
      <c r="PYJ3"/>
      <c r="PYK3"/>
      <c r="PYL3"/>
      <c r="PYM3"/>
      <c r="PYN3"/>
      <c r="PYO3"/>
      <c r="PYP3"/>
      <c r="PYQ3"/>
      <c r="PYR3"/>
      <c r="PYS3"/>
      <c r="PYT3"/>
      <c r="PYU3"/>
      <c r="PYV3"/>
      <c r="PYW3"/>
      <c r="PYX3"/>
      <c r="PYY3"/>
      <c r="PYZ3"/>
      <c r="PZA3"/>
      <c r="PZB3"/>
      <c r="PZC3"/>
      <c r="PZD3"/>
      <c r="PZE3"/>
      <c r="PZF3"/>
      <c r="PZG3"/>
      <c r="PZH3"/>
      <c r="PZI3"/>
      <c r="PZJ3"/>
      <c r="PZK3"/>
      <c r="PZL3"/>
      <c r="PZM3"/>
      <c r="PZN3"/>
      <c r="PZO3"/>
      <c r="PZP3"/>
      <c r="PZQ3"/>
      <c r="PZR3"/>
      <c r="PZS3"/>
      <c r="PZT3"/>
      <c r="PZU3"/>
      <c r="PZV3"/>
      <c r="PZW3"/>
      <c r="PZX3"/>
      <c r="PZY3"/>
      <c r="PZZ3"/>
      <c r="QAA3"/>
      <c r="QAB3"/>
      <c r="QAC3"/>
      <c r="QAD3"/>
      <c r="QAE3"/>
      <c r="QAF3"/>
      <c r="QAG3"/>
      <c r="QAH3"/>
      <c r="QAI3"/>
      <c r="QAJ3"/>
      <c r="QAK3"/>
      <c r="QAL3"/>
      <c r="QAM3"/>
      <c r="QAN3"/>
      <c r="QAO3"/>
      <c r="QAP3"/>
      <c r="QAQ3"/>
      <c r="QAR3"/>
      <c r="QAS3"/>
      <c r="QAT3"/>
      <c r="QAU3"/>
      <c r="QAV3"/>
      <c r="QAW3"/>
      <c r="QAX3"/>
      <c r="QAY3"/>
      <c r="QAZ3"/>
      <c r="QBA3"/>
      <c r="QBB3"/>
      <c r="QBC3"/>
      <c r="QBD3"/>
      <c r="QBE3"/>
      <c r="QBF3"/>
      <c r="QBG3"/>
      <c r="QBH3"/>
      <c r="QBI3"/>
      <c r="QBJ3"/>
      <c r="QBK3"/>
      <c r="QBL3"/>
      <c r="QBM3"/>
      <c r="QBN3"/>
      <c r="QBO3"/>
      <c r="QBP3"/>
      <c r="QBQ3"/>
      <c r="QBR3"/>
      <c r="QBS3"/>
      <c r="QBT3"/>
      <c r="QBU3"/>
      <c r="QBV3"/>
      <c r="QBW3"/>
      <c r="QBX3"/>
      <c r="QBY3"/>
      <c r="QBZ3"/>
      <c r="QCA3"/>
      <c r="QCB3"/>
      <c r="QCC3"/>
      <c r="QCD3"/>
      <c r="QCE3"/>
      <c r="QCF3"/>
      <c r="QCG3"/>
      <c r="QCH3"/>
      <c r="QCI3"/>
      <c r="QCJ3"/>
      <c r="QCK3"/>
      <c r="QCL3"/>
      <c r="QCM3"/>
      <c r="QCN3"/>
      <c r="QCO3"/>
      <c r="QCP3"/>
      <c r="QCQ3"/>
      <c r="QCR3"/>
      <c r="QCS3"/>
      <c r="QCT3"/>
      <c r="QCU3"/>
      <c r="QCV3"/>
      <c r="QCW3"/>
      <c r="QCX3"/>
      <c r="QCY3"/>
      <c r="QCZ3"/>
      <c r="QDA3"/>
      <c r="QDB3"/>
      <c r="QDC3"/>
      <c r="QDD3"/>
      <c r="QDE3"/>
      <c r="QDF3"/>
      <c r="QDG3"/>
      <c r="QDH3"/>
      <c r="QDI3"/>
      <c r="QDJ3"/>
      <c r="QDK3"/>
      <c r="QDL3"/>
      <c r="QDM3"/>
      <c r="QDN3"/>
      <c r="QDO3"/>
      <c r="QDP3"/>
      <c r="QDQ3"/>
      <c r="QDR3"/>
      <c r="QDS3"/>
      <c r="QDT3"/>
      <c r="QDU3"/>
      <c r="QDV3"/>
      <c r="QDW3"/>
      <c r="QDX3"/>
      <c r="QDY3"/>
      <c r="QDZ3"/>
      <c r="QEA3"/>
      <c r="QEB3"/>
      <c r="QEC3"/>
      <c r="QED3"/>
      <c r="QEE3"/>
      <c r="QEF3"/>
      <c r="QEG3"/>
      <c r="QEH3"/>
      <c r="QEI3"/>
      <c r="QEJ3"/>
      <c r="QEK3"/>
      <c r="QEL3"/>
      <c r="QEM3"/>
      <c r="QEN3"/>
      <c r="QEO3"/>
      <c r="QEP3"/>
      <c r="QEQ3"/>
      <c r="QER3"/>
      <c r="QES3"/>
      <c r="QET3"/>
      <c r="QEU3"/>
      <c r="QEV3"/>
      <c r="QEW3"/>
      <c r="QEX3"/>
      <c r="QEY3"/>
      <c r="QEZ3"/>
      <c r="QFA3"/>
      <c r="QFB3"/>
      <c r="QFC3"/>
      <c r="QFD3"/>
      <c r="QFE3"/>
      <c r="QFF3"/>
      <c r="QFG3"/>
      <c r="QFH3"/>
      <c r="QFI3"/>
      <c r="QFJ3"/>
      <c r="QFK3"/>
      <c r="QFL3"/>
      <c r="QFM3"/>
      <c r="QFN3"/>
      <c r="QFO3"/>
      <c r="QFP3"/>
      <c r="QFQ3"/>
      <c r="QFR3"/>
      <c r="QFS3"/>
      <c r="QFT3"/>
      <c r="QFU3"/>
      <c r="QFV3"/>
      <c r="QFW3"/>
      <c r="QFX3"/>
      <c r="QFY3"/>
      <c r="QFZ3"/>
      <c r="QGA3"/>
      <c r="QGB3"/>
      <c r="QGC3"/>
      <c r="QGD3"/>
      <c r="QGE3"/>
      <c r="QGF3"/>
      <c r="QGG3"/>
      <c r="QGH3"/>
      <c r="QGI3"/>
      <c r="QGJ3"/>
      <c r="QGK3"/>
      <c r="QGL3"/>
      <c r="QGM3"/>
      <c r="QGN3"/>
      <c r="QGO3"/>
      <c r="QGP3"/>
      <c r="QGQ3"/>
      <c r="QGR3"/>
      <c r="QGS3"/>
      <c r="QGT3"/>
      <c r="QGU3"/>
      <c r="QGV3"/>
      <c r="QGW3"/>
      <c r="QGX3"/>
      <c r="QGY3"/>
      <c r="QGZ3"/>
      <c r="QHA3"/>
      <c r="QHB3"/>
      <c r="QHC3"/>
      <c r="QHD3"/>
      <c r="QHE3"/>
      <c r="QHF3"/>
      <c r="QHG3"/>
      <c r="QHH3"/>
      <c r="QHI3"/>
      <c r="QHJ3"/>
      <c r="QHK3"/>
      <c r="QHL3"/>
      <c r="QHM3"/>
      <c r="QHN3"/>
      <c r="QHO3"/>
      <c r="QHP3"/>
      <c r="QHQ3"/>
      <c r="QHR3"/>
      <c r="QHS3"/>
      <c r="QHT3"/>
      <c r="QHU3"/>
      <c r="QHV3"/>
      <c r="QHW3"/>
      <c r="QHX3"/>
      <c r="QHY3"/>
      <c r="QHZ3"/>
      <c r="QIA3"/>
      <c r="QIB3"/>
      <c r="QIC3"/>
      <c r="QID3"/>
      <c r="QIE3"/>
      <c r="QIF3"/>
      <c r="QIG3"/>
      <c r="QIH3"/>
      <c r="QII3"/>
      <c r="QIJ3"/>
      <c r="QIK3"/>
      <c r="QIL3"/>
      <c r="QIM3"/>
      <c r="QIN3"/>
      <c r="QIO3"/>
      <c r="QIP3"/>
      <c r="QIQ3"/>
      <c r="QIR3"/>
      <c r="QIS3"/>
      <c r="QIT3"/>
      <c r="QIU3"/>
      <c r="QIV3"/>
      <c r="QIW3"/>
      <c r="QIX3"/>
      <c r="QIY3"/>
      <c r="QIZ3"/>
      <c r="QJA3"/>
      <c r="QJB3"/>
      <c r="QJC3"/>
      <c r="QJD3"/>
      <c r="QJE3"/>
      <c r="QJF3"/>
      <c r="QJG3"/>
      <c r="QJH3"/>
      <c r="QJI3"/>
      <c r="QJJ3"/>
      <c r="QJK3"/>
      <c r="QJL3"/>
      <c r="QJM3"/>
      <c r="QJN3"/>
      <c r="QJO3"/>
      <c r="QJP3"/>
      <c r="QJQ3"/>
      <c r="QJR3"/>
      <c r="QJS3"/>
      <c r="QJT3"/>
      <c r="QJU3"/>
      <c r="QJV3"/>
      <c r="QJW3"/>
      <c r="QJX3"/>
      <c r="QJY3"/>
      <c r="QJZ3"/>
      <c r="QKA3"/>
      <c r="QKB3"/>
      <c r="QKC3"/>
      <c r="QKD3"/>
      <c r="QKE3"/>
      <c r="QKF3"/>
      <c r="QKG3"/>
      <c r="QKH3"/>
      <c r="QKI3"/>
      <c r="QKJ3"/>
      <c r="QKK3"/>
      <c r="QKL3"/>
      <c r="QKM3"/>
      <c r="QKN3"/>
      <c r="QKO3"/>
      <c r="QKP3"/>
      <c r="QKQ3"/>
      <c r="QKR3"/>
      <c r="QKS3"/>
      <c r="QKT3"/>
      <c r="QKU3"/>
      <c r="QKV3"/>
      <c r="QKW3"/>
      <c r="QKX3"/>
      <c r="QKY3"/>
      <c r="QKZ3"/>
      <c r="QLA3"/>
      <c r="QLB3"/>
      <c r="QLC3"/>
      <c r="QLD3"/>
      <c r="QLE3"/>
      <c r="QLF3"/>
      <c r="QLG3"/>
      <c r="QLH3"/>
      <c r="QLI3"/>
      <c r="QLJ3"/>
      <c r="QLK3"/>
      <c r="QLL3"/>
      <c r="QLM3"/>
      <c r="QLN3"/>
      <c r="QLO3"/>
      <c r="QLP3"/>
      <c r="QLQ3"/>
      <c r="QLR3"/>
      <c r="QLS3"/>
      <c r="QLT3"/>
      <c r="QLU3"/>
      <c r="QLV3"/>
      <c r="QLW3"/>
      <c r="QLX3"/>
      <c r="QLY3"/>
      <c r="QLZ3"/>
      <c r="QMA3"/>
      <c r="QMB3"/>
      <c r="QMC3"/>
      <c r="QMD3"/>
      <c r="QME3"/>
      <c r="QMF3"/>
      <c r="QMG3"/>
      <c r="QMH3"/>
      <c r="QMI3"/>
      <c r="QMJ3"/>
      <c r="QMK3"/>
      <c r="QML3"/>
      <c r="QMM3"/>
      <c r="QMN3"/>
      <c r="QMO3"/>
      <c r="QMP3"/>
      <c r="QMQ3"/>
      <c r="QMR3"/>
      <c r="QMS3"/>
      <c r="QMT3"/>
      <c r="QMU3"/>
      <c r="QMV3"/>
      <c r="QMW3"/>
      <c r="QMX3"/>
      <c r="QMY3"/>
      <c r="QMZ3"/>
      <c r="QNA3"/>
      <c r="QNB3"/>
      <c r="QNC3"/>
      <c r="QND3"/>
      <c r="QNE3"/>
      <c r="QNF3"/>
      <c r="QNG3"/>
      <c r="QNH3"/>
      <c r="QNI3"/>
      <c r="QNJ3"/>
      <c r="QNK3"/>
      <c r="QNL3"/>
      <c r="QNM3"/>
      <c r="QNN3"/>
      <c r="QNO3"/>
      <c r="QNP3"/>
      <c r="QNQ3"/>
      <c r="QNR3"/>
      <c r="QNS3"/>
      <c r="QNT3"/>
      <c r="QNU3"/>
      <c r="QNV3"/>
      <c r="QNW3"/>
      <c r="QNX3"/>
      <c r="QNY3"/>
      <c r="QNZ3"/>
      <c r="QOA3"/>
      <c r="QOB3"/>
      <c r="QOC3"/>
      <c r="QOD3"/>
      <c r="QOE3"/>
      <c r="QOF3"/>
      <c r="QOG3"/>
      <c r="QOH3"/>
      <c r="QOI3"/>
      <c r="QOJ3"/>
      <c r="QOK3"/>
      <c r="QOL3"/>
      <c r="QOM3"/>
      <c r="QON3"/>
      <c r="QOO3"/>
      <c r="QOP3"/>
      <c r="QOQ3"/>
      <c r="QOR3"/>
      <c r="QOS3"/>
      <c r="QOT3"/>
      <c r="QOU3"/>
      <c r="QOV3"/>
      <c r="QOW3"/>
      <c r="QOX3"/>
      <c r="QOY3"/>
      <c r="QOZ3"/>
      <c r="QPA3"/>
      <c r="QPB3"/>
      <c r="QPC3"/>
      <c r="QPD3"/>
      <c r="QPE3"/>
      <c r="QPF3"/>
      <c r="QPG3"/>
      <c r="QPH3"/>
      <c r="QPI3"/>
      <c r="QPJ3"/>
      <c r="QPK3"/>
      <c r="QPL3"/>
      <c r="QPM3"/>
      <c r="QPN3"/>
      <c r="QPO3"/>
      <c r="QPP3"/>
      <c r="QPQ3"/>
      <c r="QPR3"/>
      <c r="QPS3"/>
      <c r="QPT3"/>
      <c r="QPU3"/>
      <c r="QPV3"/>
      <c r="QPW3"/>
      <c r="QPX3"/>
      <c r="QPY3"/>
      <c r="QPZ3"/>
      <c r="QQA3"/>
      <c r="QQB3"/>
      <c r="QQC3"/>
      <c r="QQD3"/>
      <c r="QQE3"/>
      <c r="QQF3"/>
      <c r="QQG3"/>
      <c r="QQH3"/>
      <c r="QQI3"/>
      <c r="QQJ3"/>
      <c r="QQK3"/>
      <c r="QQL3"/>
      <c r="QQM3"/>
      <c r="QQN3"/>
      <c r="QQO3"/>
      <c r="QQP3"/>
      <c r="QQQ3"/>
      <c r="QQR3"/>
      <c r="QQS3"/>
      <c r="QQT3"/>
      <c r="QQU3"/>
      <c r="QQV3"/>
      <c r="QQW3"/>
      <c r="QQX3"/>
      <c r="QQY3"/>
      <c r="QQZ3"/>
      <c r="QRA3"/>
      <c r="QRB3"/>
      <c r="QRC3"/>
      <c r="QRD3"/>
      <c r="QRE3"/>
      <c r="QRF3"/>
      <c r="QRG3"/>
      <c r="QRH3"/>
      <c r="QRI3"/>
      <c r="QRJ3"/>
      <c r="QRK3"/>
      <c r="QRL3"/>
      <c r="QRM3"/>
      <c r="QRN3"/>
      <c r="QRO3"/>
      <c r="QRP3"/>
      <c r="QRQ3"/>
      <c r="QRR3"/>
      <c r="QRS3"/>
      <c r="QRT3"/>
      <c r="QRU3"/>
      <c r="QRV3"/>
      <c r="QRW3"/>
      <c r="QRX3"/>
      <c r="QRY3"/>
      <c r="QRZ3"/>
      <c r="QSA3"/>
      <c r="QSB3"/>
      <c r="QSC3"/>
      <c r="QSD3"/>
      <c r="QSE3"/>
      <c r="QSF3"/>
      <c r="QSG3"/>
      <c r="QSH3"/>
      <c r="QSI3"/>
      <c r="QSJ3"/>
      <c r="QSK3"/>
      <c r="QSL3"/>
      <c r="QSM3"/>
      <c r="QSN3"/>
      <c r="QSO3"/>
      <c r="QSP3"/>
      <c r="QSQ3"/>
      <c r="QSR3"/>
      <c r="QSS3"/>
      <c r="QST3"/>
      <c r="QSU3"/>
      <c r="QSV3"/>
      <c r="QSW3"/>
      <c r="QSX3"/>
      <c r="QSY3"/>
      <c r="QSZ3"/>
      <c r="QTA3"/>
      <c r="QTB3"/>
      <c r="QTC3"/>
      <c r="QTD3"/>
      <c r="QTE3"/>
      <c r="QTF3"/>
      <c r="QTG3"/>
      <c r="QTH3"/>
      <c r="QTI3"/>
      <c r="QTJ3"/>
      <c r="QTK3"/>
      <c r="QTL3"/>
      <c r="QTM3"/>
      <c r="QTN3"/>
      <c r="QTO3"/>
      <c r="QTP3"/>
      <c r="QTQ3"/>
      <c r="QTR3"/>
      <c r="QTS3"/>
      <c r="QTT3"/>
      <c r="QTU3"/>
      <c r="QTV3"/>
      <c r="QTW3"/>
      <c r="QTX3"/>
      <c r="QTY3"/>
      <c r="QTZ3"/>
      <c r="QUA3"/>
      <c r="QUB3"/>
      <c r="QUC3"/>
      <c r="QUD3"/>
      <c r="QUE3"/>
      <c r="QUF3"/>
      <c r="QUG3"/>
      <c r="QUH3"/>
      <c r="QUI3"/>
      <c r="QUJ3"/>
      <c r="QUK3"/>
      <c r="QUL3"/>
      <c r="QUM3"/>
      <c r="QUN3"/>
      <c r="QUO3"/>
      <c r="QUP3"/>
      <c r="QUQ3"/>
      <c r="QUR3"/>
      <c r="QUS3"/>
      <c r="QUT3"/>
      <c r="QUU3"/>
      <c r="QUV3"/>
      <c r="QUW3"/>
      <c r="QUX3"/>
      <c r="QUY3"/>
      <c r="QUZ3"/>
      <c r="QVA3"/>
      <c r="QVB3"/>
      <c r="QVC3"/>
      <c r="QVD3"/>
      <c r="QVE3"/>
      <c r="QVF3"/>
      <c r="QVG3"/>
      <c r="QVH3"/>
      <c r="QVI3"/>
      <c r="QVJ3"/>
      <c r="QVK3"/>
      <c r="QVL3"/>
      <c r="QVM3"/>
      <c r="QVN3"/>
      <c r="QVO3"/>
      <c r="QVP3"/>
      <c r="QVQ3"/>
      <c r="QVR3"/>
      <c r="QVS3"/>
      <c r="QVT3"/>
      <c r="QVU3"/>
      <c r="QVV3"/>
      <c r="QVW3"/>
      <c r="QVX3"/>
      <c r="QVY3"/>
      <c r="QVZ3"/>
      <c r="QWA3"/>
      <c r="QWB3"/>
      <c r="QWC3"/>
      <c r="QWD3"/>
      <c r="QWE3"/>
      <c r="QWF3"/>
      <c r="QWG3"/>
      <c r="QWH3"/>
      <c r="QWI3"/>
      <c r="QWJ3"/>
      <c r="QWK3"/>
      <c r="QWL3"/>
      <c r="QWM3"/>
      <c r="QWN3"/>
      <c r="QWO3"/>
      <c r="QWP3"/>
      <c r="QWQ3"/>
      <c r="QWR3"/>
      <c r="QWS3"/>
      <c r="QWT3"/>
      <c r="QWU3"/>
      <c r="QWV3"/>
      <c r="QWW3"/>
      <c r="QWX3"/>
      <c r="QWY3"/>
      <c r="QWZ3"/>
      <c r="QXA3"/>
      <c r="QXB3"/>
      <c r="QXC3"/>
      <c r="QXD3"/>
      <c r="QXE3"/>
      <c r="QXF3"/>
      <c r="QXG3"/>
      <c r="QXH3"/>
      <c r="QXI3"/>
      <c r="QXJ3"/>
      <c r="QXK3"/>
      <c r="QXL3"/>
      <c r="QXM3"/>
      <c r="QXN3"/>
      <c r="QXO3"/>
      <c r="QXP3"/>
      <c r="QXQ3"/>
      <c r="QXR3"/>
      <c r="QXS3"/>
      <c r="QXT3"/>
      <c r="QXU3"/>
      <c r="QXV3"/>
      <c r="QXW3"/>
      <c r="QXX3"/>
      <c r="QXY3"/>
      <c r="QXZ3"/>
      <c r="QYA3"/>
      <c r="QYB3"/>
      <c r="QYC3"/>
      <c r="QYD3"/>
      <c r="QYE3"/>
      <c r="QYF3"/>
      <c r="QYG3"/>
      <c r="QYH3"/>
      <c r="QYI3"/>
      <c r="QYJ3"/>
      <c r="QYK3"/>
      <c r="QYL3"/>
      <c r="QYM3"/>
      <c r="QYN3"/>
      <c r="QYO3"/>
      <c r="QYP3"/>
      <c r="QYQ3"/>
      <c r="QYR3"/>
      <c r="QYS3"/>
      <c r="QYT3"/>
      <c r="QYU3"/>
      <c r="QYV3"/>
      <c r="QYW3"/>
      <c r="QYX3"/>
      <c r="QYY3"/>
      <c r="QYZ3"/>
      <c r="QZA3"/>
      <c r="QZB3"/>
      <c r="QZC3"/>
      <c r="QZD3"/>
      <c r="QZE3"/>
      <c r="QZF3"/>
      <c r="QZG3"/>
      <c r="QZH3"/>
      <c r="QZI3"/>
      <c r="QZJ3"/>
      <c r="QZK3"/>
      <c r="QZL3"/>
      <c r="QZM3"/>
      <c r="QZN3"/>
      <c r="QZO3"/>
      <c r="QZP3"/>
      <c r="QZQ3"/>
      <c r="QZR3"/>
      <c r="QZS3"/>
      <c r="QZT3"/>
      <c r="QZU3"/>
      <c r="QZV3"/>
      <c r="QZW3"/>
      <c r="QZX3"/>
      <c r="QZY3"/>
      <c r="QZZ3"/>
      <c r="RAA3"/>
      <c r="RAB3"/>
      <c r="RAC3"/>
      <c r="RAD3"/>
      <c r="RAE3"/>
      <c r="RAF3"/>
      <c r="RAG3"/>
      <c r="RAH3"/>
      <c r="RAI3"/>
      <c r="RAJ3"/>
      <c r="RAK3"/>
      <c r="RAL3"/>
      <c r="RAM3"/>
      <c r="RAN3"/>
      <c r="RAO3"/>
      <c r="RAP3"/>
      <c r="RAQ3"/>
      <c r="RAR3"/>
      <c r="RAS3"/>
      <c r="RAT3"/>
      <c r="RAU3"/>
      <c r="RAV3"/>
      <c r="RAW3"/>
      <c r="RAX3"/>
      <c r="RAY3"/>
      <c r="RAZ3"/>
      <c r="RBA3"/>
      <c r="RBB3"/>
      <c r="RBC3"/>
      <c r="RBD3"/>
      <c r="RBE3"/>
      <c r="RBF3"/>
      <c r="RBG3"/>
      <c r="RBH3"/>
      <c r="RBI3"/>
      <c r="RBJ3"/>
      <c r="RBK3"/>
      <c r="RBL3"/>
      <c r="RBM3"/>
      <c r="RBN3"/>
      <c r="RBO3"/>
      <c r="RBP3"/>
      <c r="RBQ3"/>
      <c r="RBR3"/>
      <c r="RBS3"/>
      <c r="RBT3"/>
      <c r="RBU3"/>
      <c r="RBV3"/>
      <c r="RBW3"/>
      <c r="RBX3"/>
      <c r="RBY3"/>
      <c r="RBZ3"/>
      <c r="RCA3"/>
      <c r="RCB3"/>
      <c r="RCC3"/>
      <c r="RCD3"/>
      <c r="RCE3"/>
      <c r="RCF3"/>
      <c r="RCG3"/>
      <c r="RCH3"/>
      <c r="RCI3"/>
      <c r="RCJ3"/>
      <c r="RCK3"/>
      <c r="RCL3"/>
      <c r="RCM3"/>
      <c r="RCN3"/>
      <c r="RCO3"/>
      <c r="RCP3"/>
      <c r="RCQ3"/>
      <c r="RCR3"/>
      <c r="RCS3"/>
      <c r="RCT3"/>
      <c r="RCU3"/>
      <c r="RCV3"/>
      <c r="RCW3"/>
      <c r="RCX3"/>
      <c r="RCY3"/>
      <c r="RCZ3"/>
      <c r="RDA3"/>
      <c r="RDB3"/>
      <c r="RDC3"/>
      <c r="RDD3"/>
      <c r="RDE3"/>
      <c r="RDF3"/>
      <c r="RDG3"/>
      <c r="RDH3"/>
      <c r="RDI3"/>
      <c r="RDJ3"/>
      <c r="RDK3"/>
      <c r="RDL3"/>
      <c r="RDM3"/>
      <c r="RDN3"/>
      <c r="RDO3"/>
      <c r="RDP3"/>
      <c r="RDQ3"/>
      <c r="RDR3"/>
      <c r="RDS3"/>
      <c r="RDT3"/>
      <c r="RDU3"/>
      <c r="RDV3"/>
      <c r="RDW3"/>
      <c r="RDX3"/>
      <c r="RDY3"/>
      <c r="RDZ3"/>
      <c r="REA3"/>
      <c r="REB3"/>
      <c r="REC3"/>
      <c r="RED3"/>
      <c r="REE3"/>
      <c r="REF3"/>
      <c r="REG3"/>
      <c r="REH3"/>
      <c r="REI3"/>
      <c r="REJ3"/>
      <c r="REK3"/>
      <c r="REL3"/>
      <c r="REM3"/>
      <c r="REN3"/>
      <c r="REO3"/>
      <c r="REP3"/>
      <c r="REQ3"/>
      <c r="RER3"/>
      <c r="RES3"/>
      <c r="RET3"/>
      <c r="REU3"/>
      <c r="REV3"/>
      <c r="REW3"/>
      <c r="REX3"/>
      <c r="REY3"/>
      <c r="REZ3"/>
      <c r="RFA3"/>
      <c r="RFB3"/>
      <c r="RFC3"/>
      <c r="RFD3"/>
      <c r="RFE3"/>
      <c r="RFF3"/>
      <c r="RFG3"/>
      <c r="RFH3"/>
      <c r="RFI3"/>
      <c r="RFJ3"/>
      <c r="RFK3"/>
      <c r="RFL3"/>
      <c r="RFM3"/>
      <c r="RFN3"/>
      <c r="RFO3"/>
      <c r="RFP3"/>
      <c r="RFQ3"/>
      <c r="RFR3"/>
      <c r="RFS3"/>
      <c r="RFT3"/>
      <c r="RFU3"/>
      <c r="RFV3"/>
      <c r="RFW3"/>
      <c r="RFX3"/>
      <c r="RFY3"/>
      <c r="RFZ3"/>
      <c r="RGA3"/>
      <c r="RGB3"/>
      <c r="RGC3"/>
      <c r="RGD3"/>
      <c r="RGE3"/>
      <c r="RGF3"/>
      <c r="RGG3"/>
      <c r="RGH3"/>
      <c r="RGI3"/>
      <c r="RGJ3"/>
      <c r="RGK3"/>
      <c r="RGL3"/>
      <c r="RGM3"/>
      <c r="RGN3"/>
      <c r="RGO3"/>
      <c r="RGP3"/>
      <c r="RGQ3"/>
      <c r="RGR3"/>
      <c r="RGS3"/>
      <c r="RGT3"/>
      <c r="RGU3"/>
      <c r="RGV3"/>
      <c r="RGW3"/>
      <c r="RGX3"/>
      <c r="RGY3"/>
      <c r="RGZ3"/>
      <c r="RHA3"/>
      <c r="RHB3"/>
      <c r="RHC3"/>
      <c r="RHD3"/>
      <c r="RHE3"/>
      <c r="RHF3"/>
      <c r="RHG3"/>
      <c r="RHH3"/>
      <c r="RHI3"/>
      <c r="RHJ3"/>
      <c r="RHK3"/>
      <c r="RHL3"/>
      <c r="RHM3"/>
      <c r="RHN3"/>
      <c r="RHO3"/>
      <c r="RHP3"/>
      <c r="RHQ3"/>
      <c r="RHR3"/>
      <c r="RHS3"/>
      <c r="RHT3"/>
      <c r="RHU3"/>
      <c r="RHV3"/>
      <c r="RHW3"/>
      <c r="RHX3"/>
      <c r="RHY3"/>
      <c r="RHZ3"/>
      <c r="RIA3"/>
      <c r="RIB3"/>
      <c r="RIC3"/>
      <c r="RID3"/>
      <c r="RIE3"/>
      <c r="RIF3"/>
      <c r="RIG3"/>
      <c r="RIH3"/>
      <c r="RII3"/>
      <c r="RIJ3"/>
      <c r="RIK3"/>
      <c r="RIL3"/>
      <c r="RIM3"/>
      <c r="RIN3"/>
      <c r="RIO3"/>
      <c r="RIP3"/>
      <c r="RIQ3"/>
      <c r="RIR3"/>
      <c r="RIS3"/>
      <c r="RIT3"/>
      <c r="RIU3"/>
      <c r="RIV3"/>
      <c r="RIW3"/>
      <c r="RIX3"/>
      <c r="RIY3"/>
      <c r="RIZ3"/>
      <c r="RJA3"/>
      <c r="RJB3"/>
      <c r="RJC3"/>
      <c r="RJD3"/>
      <c r="RJE3"/>
      <c r="RJF3"/>
      <c r="RJG3"/>
      <c r="RJH3"/>
      <c r="RJI3"/>
      <c r="RJJ3"/>
      <c r="RJK3"/>
      <c r="RJL3"/>
      <c r="RJM3"/>
      <c r="RJN3"/>
      <c r="RJO3"/>
      <c r="RJP3"/>
      <c r="RJQ3"/>
      <c r="RJR3"/>
      <c r="RJS3"/>
      <c r="RJT3"/>
      <c r="RJU3"/>
      <c r="RJV3"/>
      <c r="RJW3"/>
      <c r="RJX3"/>
      <c r="RJY3"/>
      <c r="RJZ3"/>
      <c r="RKA3"/>
      <c r="RKB3"/>
      <c r="RKC3"/>
      <c r="RKD3"/>
      <c r="RKE3"/>
      <c r="RKF3"/>
      <c r="RKG3"/>
      <c r="RKH3"/>
      <c r="RKI3"/>
      <c r="RKJ3"/>
      <c r="RKK3"/>
      <c r="RKL3"/>
      <c r="RKM3"/>
      <c r="RKN3"/>
      <c r="RKO3"/>
      <c r="RKP3"/>
      <c r="RKQ3"/>
      <c r="RKR3"/>
      <c r="RKS3"/>
      <c r="RKT3"/>
      <c r="RKU3"/>
      <c r="RKV3"/>
      <c r="RKW3"/>
      <c r="RKX3"/>
      <c r="RKY3"/>
      <c r="RKZ3"/>
      <c r="RLA3"/>
      <c r="RLB3"/>
      <c r="RLC3"/>
      <c r="RLD3"/>
      <c r="RLE3"/>
      <c r="RLF3"/>
      <c r="RLG3"/>
      <c r="RLH3"/>
      <c r="RLI3"/>
      <c r="RLJ3"/>
      <c r="RLK3"/>
      <c r="RLL3"/>
      <c r="RLM3"/>
      <c r="RLN3"/>
      <c r="RLO3"/>
      <c r="RLP3"/>
      <c r="RLQ3"/>
      <c r="RLR3"/>
      <c r="RLS3"/>
      <c r="RLT3"/>
      <c r="RLU3"/>
      <c r="RLV3"/>
      <c r="RLW3"/>
      <c r="RLX3"/>
      <c r="RLY3"/>
      <c r="RLZ3"/>
      <c r="RMA3"/>
      <c r="RMB3"/>
      <c r="RMC3"/>
      <c r="RMD3"/>
      <c r="RME3"/>
      <c r="RMF3"/>
      <c r="RMG3"/>
      <c r="RMH3"/>
      <c r="RMI3"/>
      <c r="RMJ3"/>
      <c r="RMK3"/>
      <c r="RML3"/>
      <c r="RMM3"/>
      <c r="RMN3"/>
      <c r="RMO3"/>
      <c r="RMP3"/>
      <c r="RMQ3"/>
      <c r="RMR3"/>
      <c r="RMS3"/>
      <c r="RMT3"/>
      <c r="RMU3"/>
      <c r="RMV3"/>
      <c r="RMW3"/>
      <c r="RMX3"/>
      <c r="RMY3"/>
      <c r="RMZ3"/>
      <c r="RNA3"/>
      <c r="RNB3"/>
      <c r="RNC3"/>
      <c r="RND3"/>
      <c r="RNE3"/>
      <c r="RNF3"/>
      <c r="RNG3"/>
      <c r="RNH3"/>
      <c r="RNI3"/>
      <c r="RNJ3"/>
      <c r="RNK3"/>
      <c r="RNL3"/>
      <c r="RNM3"/>
      <c r="RNN3"/>
      <c r="RNO3"/>
      <c r="RNP3"/>
      <c r="RNQ3"/>
      <c r="RNR3"/>
      <c r="RNS3"/>
      <c r="RNT3"/>
      <c r="RNU3"/>
      <c r="RNV3"/>
      <c r="RNW3"/>
      <c r="RNX3"/>
      <c r="RNY3"/>
      <c r="RNZ3"/>
      <c r="ROA3"/>
      <c r="ROB3"/>
      <c r="ROC3"/>
      <c r="ROD3"/>
      <c r="ROE3"/>
      <c r="ROF3"/>
      <c r="ROG3"/>
      <c r="ROH3"/>
      <c r="ROI3"/>
      <c r="ROJ3"/>
      <c r="ROK3"/>
      <c r="ROL3"/>
      <c r="ROM3"/>
      <c r="RON3"/>
      <c r="ROO3"/>
      <c r="ROP3"/>
      <c r="ROQ3"/>
      <c r="ROR3"/>
      <c r="ROS3"/>
      <c r="ROT3"/>
      <c r="ROU3"/>
      <c r="ROV3"/>
      <c r="ROW3"/>
      <c r="ROX3"/>
      <c r="ROY3"/>
      <c r="ROZ3"/>
      <c r="RPA3"/>
      <c r="RPB3"/>
      <c r="RPC3"/>
      <c r="RPD3"/>
      <c r="RPE3"/>
      <c r="RPF3"/>
      <c r="RPG3"/>
      <c r="RPH3"/>
      <c r="RPI3"/>
      <c r="RPJ3"/>
      <c r="RPK3"/>
      <c r="RPL3"/>
      <c r="RPM3"/>
      <c r="RPN3"/>
      <c r="RPO3"/>
      <c r="RPP3"/>
      <c r="RPQ3"/>
      <c r="RPR3"/>
      <c r="RPS3"/>
      <c r="RPT3"/>
      <c r="RPU3"/>
      <c r="RPV3"/>
      <c r="RPW3"/>
      <c r="RPX3"/>
      <c r="RPY3"/>
      <c r="RPZ3"/>
      <c r="RQA3"/>
      <c r="RQB3"/>
      <c r="RQC3"/>
      <c r="RQD3"/>
      <c r="RQE3"/>
      <c r="RQF3"/>
      <c r="RQG3"/>
      <c r="RQH3"/>
      <c r="RQI3"/>
      <c r="RQJ3"/>
      <c r="RQK3"/>
      <c r="RQL3"/>
      <c r="RQM3"/>
      <c r="RQN3"/>
      <c r="RQO3"/>
      <c r="RQP3"/>
      <c r="RQQ3"/>
      <c r="RQR3"/>
      <c r="RQS3"/>
      <c r="RQT3"/>
      <c r="RQU3"/>
      <c r="RQV3"/>
      <c r="RQW3"/>
      <c r="RQX3"/>
      <c r="RQY3"/>
      <c r="RQZ3"/>
      <c r="RRA3"/>
      <c r="RRB3"/>
      <c r="RRC3"/>
      <c r="RRD3"/>
      <c r="RRE3"/>
      <c r="RRF3"/>
      <c r="RRG3"/>
      <c r="RRH3"/>
      <c r="RRI3"/>
      <c r="RRJ3"/>
      <c r="RRK3"/>
      <c r="RRL3"/>
      <c r="RRM3"/>
      <c r="RRN3"/>
      <c r="RRO3"/>
      <c r="RRP3"/>
      <c r="RRQ3"/>
      <c r="RRR3"/>
      <c r="RRS3"/>
      <c r="RRT3"/>
      <c r="RRU3"/>
      <c r="RRV3"/>
      <c r="RRW3"/>
      <c r="RRX3"/>
      <c r="RRY3"/>
      <c r="RRZ3"/>
      <c r="RSA3"/>
      <c r="RSB3"/>
      <c r="RSC3"/>
      <c r="RSD3"/>
      <c r="RSE3"/>
      <c r="RSF3"/>
      <c r="RSG3"/>
      <c r="RSH3"/>
      <c r="RSI3"/>
      <c r="RSJ3"/>
      <c r="RSK3"/>
      <c r="RSL3"/>
      <c r="RSM3"/>
      <c r="RSN3"/>
      <c r="RSO3"/>
      <c r="RSP3"/>
      <c r="RSQ3"/>
      <c r="RSR3"/>
      <c r="RSS3"/>
      <c r="RST3"/>
      <c r="RSU3"/>
      <c r="RSV3"/>
      <c r="RSW3"/>
      <c r="RSX3"/>
      <c r="RSY3"/>
      <c r="RSZ3"/>
      <c r="RTA3"/>
      <c r="RTB3"/>
      <c r="RTC3"/>
      <c r="RTD3"/>
      <c r="RTE3"/>
      <c r="RTF3"/>
      <c r="RTG3"/>
      <c r="RTH3"/>
      <c r="RTI3"/>
      <c r="RTJ3"/>
      <c r="RTK3"/>
      <c r="RTL3"/>
      <c r="RTM3"/>
      <c r="RTN3"/>
      <c r="RTO3"/>
      <c r="RTP3"/>
      <c r="RTQ3"/>
      <c r="RTR3"/>
      <c r="RTS3"/>
      <c r="RTT3"/>
      <c r="RTU3"/>
      <c r="RTV3"/>
      <c r="RTW3"/>
      <c r="RTX3"/>
      <c r="RTY3"/>
      <c r="RTZ3"/>
      <c r="RUA3"/>
      <c r="RUB3"/>
      <c r="RUC3"/>
      <c r="RUD3"/>
      <c r="RUE3"/>
      <c r="RUF3"/>
      <c r="RUG3"/>
      <c r="RUH3"/>
      <c r="RUI3"/>
      <c r="RUJ3"/>
      <c r="RUK3"/>
      <c r="RUL3"/>
      <c r="RUM3"/>
      <c r="RUN3"/>
      <c r="RUO3"/>
      <c r="RUP3"/>
      <c r="RUQ3"/>
      <c r="RUR3"/>
      <c r="RUS3"/>
      <c r="RUT3"/>
      <c r="RUU3"/>
      <c r="RUV3"/>
      <c r="RUW3"/>
      <c r="RUX3"/>
      <c r="RUY3"/>
      <c r="RUZ3"/>
      <c r="RVA3"/>
      <c r="RVB3"/>
      <c r="RVC3"/>
      <c r="RVD3"/>
      <c r="RVE3"/>
      <c r="RVF3"/>
      <c r="RVG3"/>
      <c r="RVH3"/>
      <c r="RVI3"/>
      <c r="RVJ3"/>
      <c r="RVK3"/>
      <c r="RVL3"/>
      <c r="RVM3"/>
      <c r="RVN3"/>
      <c r="RVO3"/>
      <c r="RVP3"/>
      <c r="RVQ3"/>
      <c r="RVR3"/>
      <c r="RVS3"/>
      <c r="RVT3"/>
      <c r="RVU3"/>
      <c r="RVV3"/>
      <c r="RVW3"/>
      <c r="RVX3"/>
      <c r="RVY3"/>
      <c r="RVZ3"/>
      <c r="RWA3"/>
      <c r="RWB3"/>
      <c r="RWC3"/>
      <c r="RWD3"/>
      <c r="RWE3"/>
      <c r="RWF3"/>
      <c r="RWG3"/>
      <c r="RWH3"/>
      <c r="RWI3"/>
      <c r="RWJ3"/>
      <c r="RWK3"/>
      <c r="RWL3"/>
      <c r="RWM3"/>
      <c r="RWN3"/>
      <c r="RWO3"/>
      <c r="RWP3"/>
      <c r="RWQ3"/>
      <c r="RWR3"/>
      <c r="RWS3"/>
      <c r="RWT3"/>
      <c r="RWU3"/>
      <c r="RWV3"/>
      <c r="RWW3"/>
      <c r="RWX3"/>
      <c r="RWY3"/>
      <c r="RWZ3"/>
      <c r="RXA3"/>
      <c r="RXB3"/>
      <c r="RXC3"/>
      <c r="RXD3"/>
      <c r="RXE3"/>
      <c r="RXF3"/>
      <c r="RXG3"/>
      <c r="RXH3"/>
      <c r="RXI3"/>
      <c r="RXJ3"/>
      <c r="RXK3"/>
      <c r="RXL3"/>
      <c r="RXM3"/>
      <c r="RXN3"/>
      <c r="RXO3"/>
      <c r="RXP3"/>
      <c r="RXQ3"/>
      <c r="RXR3"/>
      <c r="RXS3"/>
      <c r="RXT3"/>
      <c r="RXU3"/>
      <c r="RXV3"/>
      <c r="RXW3"/>
      <c r="RXX3"/>
      <c r="RXY3"/>
      <c r="RXZ3"/>
      <c r="RYA3"/>
      <c r="RYB3"/>
      <c r="RYC3"/>
      <c r="RYD3"/>
      <c r="RYE3"/>
      <c r="RYF3"/>
      <c r="RYG3"/>
      <c r="RYH3"/>
      <c r="RYI3"/>
      <c r="RYJ3"/>
      <c r="RYK3"/>
      <c r="RYL3"/>
      <c r="RYM3"/>
      <c r="RYN3"/>
      <c r="RYO3"/>
      <c r="RYP3"/>
      <c r="RYQ3"/>
      <c r="RYR3"/>
      <c r="RYS3"/>
      <c r="RYT3"/>
      <c r="RYU3"/>
      <c r="RYV3"/>
      <c r="RYW3"/>
      <c r="RYX3"/>
      <c r="RYY3"/>
      <c r="RYZ3"/>
      <c r="RZA3"/>
      <c r="RZB3"/>
      <c r="RZC3"/>
      <c r="RZD3"/>
      <c r="RZE3"/>
      <c r="RZF3"/>
      <c r="RZG3"/>
      <c r="RZH3"/>
      <c r="RZI3"/>
      <c r="RZJ3"/>
      <c r="RZK3"/>
      <c r="RZL3"/>
      <c r="RZM3"/>
      <c r="RZN3"/>
      <c r="RZO3"/>
      <c r="RZP3"/>
      <c r="RZQ3"/>
      <c r="RZR3"/>
      <c r="RZS3"/>
      <c r="RZT3"/>
      <c r="RZU3"/>
      <c r="RZV3"/>
      <c r="RZW3"/>
      <c r="RZX3"/>
      <c r="RZY3"/>
      <c r="RZZ3"/>
      <c r="SAA3"/>
      <c r="SAB3"/>
      <c r="SAC3"/>
      <c r="SAD3"/>
      <c r="SAE3"/>
      <c r="SAF3"/>
      <c r="SAG3"/>
      <c r="SAH3"/>
      <c r="SAI3"/>
      <c r="SAJ3"/>
      <c r="SAK3"/>
      <c r="SAL3"/>
      <c r="SAM3"/>
      <c r="SAN3"/>
      <c r="SAO3"/>
      <c r="SAP3"/>
      <c r="SAQ3"/>
      <c r="SAR3"/>
      <c r="SAS3"/>
      <c r="SAT3"/>
      <c r="SAU3"/>
      <c r="SAV3"/>
      <c r="SAW3"/>
      <c r="SAX3"/>
      <c r="SAY3"/>
      <c r="SAZ3"/>
      <c r="SBA3"/>
      <c r="SBB3"/>
      <c r="SBC3"/>
      <c r="SBD3"/>
      <c r="SBE3"/>
      <c r="SBF3"/>
      <c r="SBG3"/>
      <c r="SBH3"/>
      <c r="SBI3"/>
      <c r="SBJ3"/>
      <c r="SBK3"/>
      <c r="SBL3"/>
      <c r="SBM3"/>
      <c r="SBN3"/>
      <c r="SBO3"/>
      <c r="SBP3"/>
      <c r="SBQ3"/>
      <c r="SBR3"/>
      <c r="SBS3"/>
      <c r="SBT3"/>
      <c r="SBU3"/>
      <c r="SBV3"/>
      <c r="SBW3"/>
      <c r="SBX3"/>
      <c r="SBY3"/>
      <c r="SBZ3"/>
      <c r="SCA3"/>
      <c r="SCB3"/>
      <c r="SCC3"/>
      <c r="SCD3"/>
      <c r="SCE3"/>
      <c r="SCF3"/>
      <c r="SCG3"/>
      <c r="SCH3"/>
      <c r="SCI3"/>
      <c r="SCJ3"/>
      <c r="SCK3"/>
      <c r="SCL3"/>
      <c r="SCM3"/>
      <c r="SCN3"/>
      <c r="SCO3"/>
      <c r="SCP3"/>
      <c r="SCQ3"/>
      <c r="SCR3"/>
      <c r="SCS3"/>
      <c r="SCT3"/>
      <c r="SCU3"/>
      <c r="SCV3"/>
      <c r="SCW3"/>
      <c r="SCX3"/>
      <c r="SCY3"/>
      <c r="SCZ3"/>
      <c r="SDA3"/>
      <c r="SDB3"/>
      <c r="SDC3"/>
      <c r="SDD3"/>
      <c r="SDE3"/>
      <c r="SDF3"/>
      <c r="SDG3"/>
      <c r="SDH3"/>
      <c r="SDI3"/>
      <c r="SDJ3"/>
      <c r="SDK3"/>
      <c r="SDL3"/>
      <c r="SDM3"/>
      <c r="SDN3"/>
      <c r="SDO3"/>
      <c r="SDP3"/>
      <c r="SDQ3"/>
      <c r="SDR3"/>
      <c r="SDS3"/>
      <c r="SDT3"/>
      <c r="SDU3"/>
      <c r="SDV3"/>
      <c r="SDW3"/>
      <c r="SDX3"/>
      <c r="SDY3"/>
      <c r="SDZ3"/>
      <c r="SEA3"/>
      <c r="SEB3"/>
      <c r="SEC3"/>
      <c r="SED3"/>
      <c r="SEE3"/>
      <c r="SEF3"/>
      <c r="SEG3"/>
      <c r="SEH3"/>
      <c r="SEI3"/>
      <c r="SEJ3"/>
      <c r="SEK3"/>
      <c r="SEL3"/>
      <c r="SEM3"/>
      <c r="SEN3"/>
      <c r="SEO3"/>
      <c r="SEP3"/>
      <c r="SEQ3"/>
      <c r="SER3"/>
      <c r="SES3"/>
      <c r="SET3"/>
      <c r="SEU3"/>
      <c r="SEV3"/>
      <c r="SEW3"/>
      <c r="SEX3"/>
      <c r="SEY3"/>
      <c r="SEZ3"/>
      <c r="SFA3"/>
      <c r="SFB3"/>
      <c r="SFC3"/>
      <c r="SFD3"/>
      <c r="SFE3"/>
      <c r="SFF3"/>
      <c r="SFG3"/>
      <c r="SFH3"/>
      <c r="SFI3"/>
      <c r="SFJ3"/>
      <c r="SFK3"/>
      <c r="SFL3"/>
      <c r="SFM3"/>
      <c r="SFN3"/>
      <c r="SFO3"/>
      <c r="SFP3"/>
      <c r="SFQ3"/>
      <c r="SFR3"/>
      <c r="SFS3"/>
      <c r="SFT3"/>
      <c r="SFU3"/>
      <c r="SFV3"/>
      <c r="SFW3"/>
      <c r="SFX3"/>
      <c r="SFY3"/>
      <c r="SFZ3"/>
      <c r="SGA3"/>
      <c r="SGB3"/>
      <c r="SGC3"/>
      <c r="SGD3"/>
      <c r="SGE3"/>
      <c r="SGF3"/>
      <c r="SGG3"/>
      <c r="SGH3"/>
      <c r="SGI3"/>
      <c r="SGJ3"/>
      <c r="SGK3"/>
      <c r="SGL3"/>
      <c r="SGM3"/>
      <c r="SGN3"/>
      <c r="SGO3"/>
      <c r="SGP3"/>
      <c r="SGQ3"/>
      <c r="SGR3"/>
      <c r="SGS3"/>
      <c r="SGT3"/>
      <c r="SGU3"/>
      <c r="SGV3"/>
      <c r="SGW3"/>
      <c r="SGX3"/>
      <c r="SGY3"/>
      <c r="SGZ3"/>
      <c r="SHA3"/>
      <c r="SHB3"/>
      <c r="SHC3"/>
      <c r="SHD3"/>
      <c r="SHE3"/>
      <c r="SHF3"/>
      <c r="SHG3"/>
      <c r="SHH3"/>
      <c r="SHI3"/>
      <c r="SHJ3"/>
      <c r="SHK3"/>
      <c r="SHL3"/>
      <c r="SHM3"/>
      <c r="SHN3"/>
      <c r="SHO3"/>
      <c r="SHP3"/>
      <c r="SHQ3"/>
      <c r="SHR3"/>
      <c r="SHS3"/>
      <c r="SHT3"/>
      <c r="SHU3"/>
      <c r="SHV3"/>
      <c r="SHW3"/>
      <c r="SHX3"/>
      <c r="SHY3"/>
      <c r="SHZ3"/>
      <c r="SIA3"/>
      <c r="SIB3"/>
      <c r="SIC3"/>
      <c r="SID3"/>
      <c r="SIE3"/>
      <c r="SIF3"/>
      <c r="SIG3"/>
      <c r="SIH3"/>
      <c r="SII3"/>
      <c r="SIJ3"/>
      <c r="SIK3"/>
      <c r="SIL3"/>
      <c r="SIM3"/>
      <c r="SIN3"/>
      <c r="SIO3"/>
      <c r="SIP3"/>
      <c r="SIQ3"/>
      <c r="SIR3"/>
      <c r="SIS3"/>
      <c r="SIT3"/>
      <c r="SIU3"/>
      <c r="SIV3"/>
      <c r="SIW3"/>
      <c r="SIX3"/>
      <c r="SIY3"/>
      <c r="SIZ3"/>
      <c r="SJA3"/>
      <c r="SJB3"/>
      <c r="SJC3"/>
      <c r="SJD3"/>
      <c r="SJE3"/>
      <c r="SJF3"/>
      <c r="SJG3"/>
      <c r="SJH3"/>
      <c r="SJI3"/>
      <c r="SJJ3"/>
      <c r="SJK3"/>
      <c r="SJL3"/>
      <c r="SJM3"/>
      <c r="SJN3"/>
      <c r="SJO3"/>
      <c r="SJP3"/>
      <c r="SJQ3"/>
      <c r="SJR3"/>
      <c r="SJS3"/>
      <c r="SJT3"/>
      <c r="SJU3"/>
      <c r="SJV3"/>
      <c r="SJW3"/>
      <c r="SJX3"/>
      <c r="SJY3"/>
      <c r="SJZ3"/>
      <c r="SKA3"/>
      <c r="SKB3"/>
      <c r="SKC3"/>
      <c r="SKD3"/>
      <c r="SKE3"/>
      <c r="SKF3"/>
      <c r="SKG3"/>
      <c r="SKH3"/>
      <c r="SKI3"/>
      <c r="SKJ3"/>
      <c r="SKK3"/>
      <c r="SKL3"/>
      <c r="SKM3"/>
      <c r="SKN3"/>
      <c r="SKO3"/>
      <c r="SKP3"/>
      <c r="SKQ3"/>
      <c r="SKR3"/>
      <c r="SKS3"/>
      <c r="SKT3"/>
      <c r="SKU3"/>
      <c r="SKV3"/>
      <c r="SKW3"/>
      <c r="SKX3"/>
      <c r="SKY3"/>
      <c r="SKZ3"/>
      <c r="SLA3"/>
      <c r="SLB3"/>
      <c r="SLC3"/>
      <c r="SLD3"/>
      <c r="SLE3"/>
      <c r="SLF3"/>
      <c r="SLG3"/>
      <c r="SLH3"/>
      <c r="SLI3"/>
      <c r="SLJ3"/>
      <c r="SLK3"/>
      <c r="SLL3"/>
      <c r="SLM3"/>
      <c r="SLN3"/>
      <c r="SLO3"/>
      <c r="SLP3"/>
      <c r="SLQ3"/>
      <c r="SLR3"/>
      <c r="SLS3"/>
      <c r="SLT3"/>
      <c r="SLU3"/>
      <c r="SLV3"/>
      <c r="SLW3"/>
      <c r="SLX3"/>
      <c r="SLY3"/>
      <c r="SLZ3"/>
      <c r="SMA3"/>
      <c r="SMB3"/>
      <c r="SMC3"/>
      <c r="SMD3"/>
      <c r="SME3"/>
      <c r="SMF3"/>
      <c r="SMG3"/>
      <c r="SMH3"/>
      <c r="SMI3"/>
      <c r="SMJ3"/>
      <c r="SMK3"/>
      <c r="SML3"/>
      <c r="SMM3"/>
      <c r="SMN3"/>
      <c r="SMO3"/>
      <c r="SMP3"/>
      <c r="SMQ3"/>
      <c r="SMR3"/>
      <c r="SMS3"/>
      <c r="SMT3"/>
      <c r="SMU3"/>
      <c r="SMV3"/>
      <c r="SMW3"/>
      <c r="SMX3"/>
      <c r="SMY3"/>
      <c r="SMZ3"/>
      <c r="SNA3"/>
      <c r="SNB3"/>
      <c r="SNC3"/>
      <c r="SND3"/>
      <c r="SNE3"/>
      <c r="SNF3"/>
      <c r="SNG3"/>
      <c r="SNH3"/>
      <c r="SNI3"/>
      <c r="SNJ3"/>
      <c r="SNK3"/>
      <c r="SNL3"/>
      <c r="SNM3"/>
      <c r="SNN3"/>
      <c r="SNO3"/>
      <c r="SNP3"/>
      <c r="SNQ3"/>
      <c r="SNR3"/>
      <c r="SNS3"/>
      <c r="SNT3"/>
      <c r="SNU3"/>
      <c r="SNV3"/>
      <c r="SNW3"/>
      <c r="SNX3"/>
      <c r="SNY3"/>
      <c r="SNZ3"/>
      <c r="SOA3"/>
      <c r="SOB3"/>
      <c r="SOC3"/>
      <c r="SOD3"/>
      <c r="SOE3"/>
      <c r="SOF3"/>
      <c r="SOG3"/>
      <c r="SOH3"/>
      <c r="SOI3"/>
      <c r="SOJ3"/>
      <c r="SOK3"/>
      <c r="SOL3"/>
      <c r="SOM3"/>
      <c r="SON3"/>
      <c r="SOO3"/>
      <c r="SOP3"/>
      <c r="SOQ3"/>
      <c r="SOR3"/>
      <c r="SOS3"/>
      <c r="SOT3"/>
      <c r="SOU3"/>
      <c r="SOV3"/>
      <c r="SOW3"/>
      <c r="SOX3"/>
      <c r="SOY3"/>
      <c r="SOZ3"/>
      <c r="SPA3"/>
      <c r="SPB3"/>
      <c r="SPC3"/>
      <c r="SPD3"/>
      <c r="SPE3"/>
      <c r="SPF3"/>
      <c r="SPG3"/>
      <c r="SPH3"/>
      <c r="SPI3"/>
      <c r="SPJ3"/>
      <c r="SPK3"/>
      <c r="SPL3"/>
      <c r="SPM3"/>
      <c r="SPN3"/>
      <c r="SPO3"/>
      <c r="SPP3"/>
      <c r="SPQ3"/>
      <c r="SPR3"/>
      <c r="SPS3"/>
      <c r="SPT3"/>
      <c r="SPU3"/>
      <c r="SPV3"/>
      <c r="SPW3"/>
      <c r="SPX3"/>
      <c r="SPY3"/>
      <c r="SPZ3"/>
      <c r="SQA3"/>
      <c r="SQB3"/>
      <c r="SQC3"/>
      <c r="SQD3"/>
      <c r="SQE3"/>
      <c r="SQF3"/>
      <c r="SQG3"/>
      <c r="SQH3"/>
      <c r="SQI3"/>
      <c r="SQJ3"/>
      <c r="SQK3"/>
      <c r="SQL3"/>
      <c r="SQM3"/>
      <c r="SQN3"/>
      <c r="SQO3"/>
      <c r="SQP3"/>
      <c r="SQQ3"/>
      <c r="SQR3"/>
      <c r="SQS3"/>
      <c r="SQT3"/>
      <c r="SQU3"/>
      <c r="SQV3"/>
      <c r="SQW3"/>
      <c r="SQX3"/>
      <c r="SQY3"/>
      <c r="SQZ3"/>
      <c r="SRA3"/>
      <c r="SRB3"/>
      <c r="SRC3"/>
      <c r="SRD3"/>
      <c r="SRE3"/>
      <c r="SRF3"/>
      <c r="SRG3"/>
      <c r="SRH3"/>
      <c r="SRI3"/>
      <c r="SRJ3"/>
      <c r="SRK3"/>
      <c r="SRL3"/>
      <c r="SRM3"/>
      <c r="SRN3"/>
      <c r="SRO3"/>
      <c r="SRP3"/>
      <c r="SRQ3"/>
      <c r="SRR3"/>
      <c r="SRS3"/>
      <c r="SRT3"/>
      <c r="SRU3"/>
      <c r="SRV3"/>
      <c r="SRW3"/>
      <c r="SRX3"/>
      <c r="SRY3"/>
      <c r="SRZ3"/>
      <c r="SSA3"/>
      <c r="SSB3"/>
      <c r="SSC3"/>
      <c r="SSD3"/>
      <c r="SSE3"/>
      <c r="SSF3"/>
      <c r="SSG3"/>
      <c r="SSH3"/>
      <c r="SSI3"/>
      <c r="SSJ3"/>
      <c r="SSK3"/>
      <c r="SSL3"/>
      <c r="SSM3"/>
      <c r="SSN3"/>
      <c r="SSO3"/>
      <c r="SSP3"/>
      <c r="SSQ3"/>
      <c r="SSR3"/>
      <c r="SSS3"/>
      <c r="SST3"/>
      <c r="SSU3"/>
      <c r="SSV3"/>
      <c r="SSW3"/>
      <c r="SSX3"/>
      <c r="SSY3"/>
      <c r="SSZ3"/>
      <c r="STA3"/>
      <c r="STB3"/>
      <c r="STC3"/>
      <c r="STD3"/>
      <c r="STE3"/>
      <c r="STF3"/>
      <c r="STG3"/>
      <c r="STH3"/>
      <c r="STI3"/>
      <c r="STJ3"/>
      <c r="STK3"/>
      <c r="STL3"/>
      <c r="STM3"/>
      <c r="STN3"/>
      <c r="STO3"/>
      <c r="STP3"/>
      <c r="STQ3"/>
      <c r="STR3"/>
      <c r="STS3"/>
      <c r="STT3"/>
      <c r="STU3"/>
      <c r="STV3"/>
      <c r="STW3"/>
      <c r="STX3"/>
      <c r="STY3"/>
      <c r="STZ3"/>
      <c r="SUA3"/>
      <c r="SUB3"/>
      <c r="SUC3"/>
      <c r="SUD3"/>
      <c r="SUE3"/>
      <c r="SUF3"/>
      <c r="SUG3"/>
      <c r="SUH3"/>
      <c r="SUI3"/>
      <c r="SUJ3"/>
      <c r="SUK3"/>
      <c r="SUL3"/>
      <c r="SUM3"/>
      <c r="SUN3"/>
      <c r="SUO3"/>
      <c r="SUP3"/>
      <c r="SUQ3"/>
      <c r="SUR3"/>
      <c r="SUS3"/>
      <c r="SUT3"/>
      <c r="SUU3"/>
      <c r="SUV3"/>
      <c r="SUW3"/>
      <c r="SUX3"/>
      <c r="SUY3"/>
      <c r="SUZ3"/>
      <c r="SVA3"/>
      <c r="SVB3"/>
      <c r="SVC3"/>
      <c r="SVD3"/>
      <c r="SVE3"/>
      <c r="SVF3"/>
      <c r="SVG3"/>
      <c r="SVH3"/>
      <c r="SVI3"/>
      <c r="SVJ3"/>
      <c r="SVK3"/>
      <c r="SVL3"/>
      <c r="SVM3"/>
      <c r="SVN3"/>
      <c r="SVO3"/>
      <c r="SVP3"/>
      <c r="SVQ3"/>
      <c r="SVR3"/>
      <c r="SVS3"/>
      <c r="SVT3"/>
      <c r="SVU3"/>
      <c r="SVV3"/>
      <c r="SVW3"/>
      <c r="SVX3"/>
      <c r="SVY3"/>
      <c r="SVZ3"/>
      <c r="SWA3"/>
      <c r="SWB3"/>
      <c r="SWC3"/>
      <c r="SWD3"/>
      <c r="SWE3"/>
      <c r="SWF3"/>
      <c r="SWG3"/>
      <c r="SWH3"/>
      <c r="SWI3"/>
      <c r="SWJ3"/>
      <c r="SWK3"/>
      <c r="SWL3"/>
      <c r="SWM3"/>
      <c r="SWN3"/>
      <c r="SWO3"/>
      <c r="SWP3"/>
      <c r="SWQ3"/>
      <c r="SWR3"/>
      <c r="SWS3"/>
      <c r="SWT3"/>
      <c r="SWU3"/>
      <c r="SWV3"/>
      <c r="SWW3"/>
      <c r="SWX3"/>
      <c r="SWY3"/>
      <c r="SWZ3"/>
      <c r="SXA3"/>
      <c r="SXB3"/>
      <c r="SXC3"/>
      <c r="SXD3"/>
      <c r="SXE3"/>
      <c r="SXF3"/>
      <c r="SXG3"/>
      <c r="SXH3"/>
      <c r="SXI3"/>
      <c r="SXJ3"/>
      <c r="SXK3"/>
      <c r="SXL3"/>
      <c r="SXM3"/>
      <c r="SXN3"/>
      <c r="SXO3"/>
      <c r="SXP3"/>
      <c r="SXQ3"/>
      <c r="SXR3"/>
      <c r="SXS3"/>
      <c r="SXT3"/>
      <c r="SXU3"/>
      <c r="SXV3"/>
      <c r="SXW3"/>
      <c r="SXX3"/>
      <c r="SXY3"/>
      <c r="SXZ3"/>
      <c r="SYA3"/>
      <c r="SYB3"/>
      <c r="SYC3"/>
      <c r="SYD3"/>
      <c r="SYE3"/>
      <c r="SYF3"/>
      <c r="SYG3"/>
      <c r="SYH3"/>
      <c r="SYI3"/>
      <c r="SYJ3"/>
      <c r="SYK3"/>
      <c r="SYL3"/>
      <c r="SYM3"/>
      <c r="SYN3"/>
      <c r="SYO3"/>
      <c r="SYP3"/>
      <c r="SYQ3"/>
      <c r="SYR3"/>
      <c r="SYS3"/>
      <c r="SYT3"/>
      <c r="SYU3"/>
      <c r="SYV3"/>
      <c r="SYW3"/>
      <c r="SYX3"/>
      <c r="SYY3"/>
      <c r="SYZ3"/>
      <c r="SZA3"/>
      <c r="SZB3"/>
      <c r="SZC3"/>
      <c r="SZD3"/>
      <c r="SZE3"/>
      <c r="SZF3"/>
      <c r="SZG3"/>
      <c r="SZH3"/>
      <c r="SZI3"/>
      <c r="SZJ3"/>
      <c r="SZK3"/>
      <c r="SZL3"/>
      <c r="SZM3"/>
      <c r="SZN3"/>
      <c r="SZO3"/>
      <c r="SZP3"/>
      <c r="SZQ3"/>
      <c r="SZR3"/>
      <c r="SZS3"/>
      <c r="SZT3"/>
      <c r="SZU3"/>
      <c r="SZV3"/>
      <c r="SZW3"/>
      <c r="SZX3"/>
      <c r="SZY3"/>
      <c r="SZZ3"/>
      <c r="TAA3"/>
      <c r="TAB3"/>
      <c r="TAC3"/>
      <c r="TAD3"/>
      <c r="TAE3"/>
      <c r="TAF3"/>
      <c r="TAG3"/>
      <c r="TAH3"/>
      <c r="TAI3"/>
      <c r="TAJ3"/>
      <c r="TAK3"/>
      <c r="TAL3"/>
      <c r="TAM3"/>
      <c r="TAN3"/>
      <c r="TAO3"/>
      <c r="TAP3"/>
      <c r="TAQ3"/>
      <c r="TAR3"/>
      <c r="TAS3"/>
      <c r="TAT3"/>
      <c r="TAU3"/>
      <c r="TAV3"/>
      <c r="TAW3"/>
      <c r="TAX3"/>
      <c r="TAY3"/>
      <c r="TAZ3"/>
      <c r="TBA3"/>
      <c r="TBB3"/>
      <c r="TBC3"/>
      <c r="TBD3"/>
      <c r="TBE3"/>
      <c r="TBF3"/>
      <c r="TBG3"/>
      <c r="TBH3"/>
      <c r="TBI3"/>
      <c r="TBJ3"/>
      <c r="TBK3"/>
      <c r="TBL3"/>
      <c r="TBM3"/>
      <c r="TBN3"/>
      <c r="TBO3"/>
      <c r="TBP3"/>
      <c r="TBQ3"/>
      <c r="TBR3"/>
      <c r="TBS3"/>
      <c r="TBT3"/>
      <c r="TBU3"/>
      <c r="TBV3"/>
      <c r="TBW3"/>
      <c r="TBX3"/>
      <c r="TBY3"/>
      <c r="TBZ3"/>
      <c r="TCA3"/>
      <c r="TCB3"/>
      <c r="TCC3"/>
      <c r="TCD3"/>
      <c r="TCE3"/>
      <c r="TCF3"/>
      <c r="TCG3"/>
      <c r="TCH3"/>
      <c r="TCI3"/>
      <c r="TCJ3"/>
      <c r="TCK3"/>
      <c r="TCL3"/>
      <c r="TCM3"/>
      <c r="TCN3"/>
      <c r="TCO3"/>
      <c r="TCP3"/>
      <c r="TCQ3"/>
      <c r="TCR3"/>
      <c r="TCS3"/>
      <c r="TCT3"/>
      <c r="TCU3"/>
      <c r="TCV3"/>
      <c r="TCW3"/>
      <c r="TCX3"/>
      <c r="TCY3"/>
      <c r="TCZ3"/>
      <c r="TDA3"/>
      <c r="TDB3"/>
      <c r="TDC3"/>
      <c r="TDD3"/>
      <c r="TDE3"/>
      <c r="TDF3"/>
      <c r="TDG3"/>
      <c r="TDH3"/>
      <c r="TDI3"/>
      <c r="TDJ3"/>
      <c r="TDK3"/>
      <c r="TDL3"/>
      <c r="TDM3"/>
      <c r="TDN3"/>
      <c r="TDO3"/>
      <c r="TDP3"/>
      <c r="TDQ3"/>
      <c r="TDR3"/>
      <c r="TDS3"/>
      <c r="TDT3"/>
      <c r="TDU3"/>
      <c r="TDV3"/>
      <c r="TDW3"/>
      <c r="TDX3"/>
      <c r="TDY3"/>
      <c r="TDZ3"/>
      <c r="TEA3"/>
      <c r="TEB3"/>
      <c r="TEC3"/>
      <c r="TED3"/>
      <c r="TEE3"/>
      <c r="TEF3"/>
      <c r="TEG3"/>
      <c r="TEH3"/>
      <c r="TEI3"/>
      <c r="TEJ3"/>
      <c r="TEK3"/>
      <c r="TEL3"/>
      <c r="TEM3"/>
      <c r="TEN3"/>
      <c r="TEO3"/>
      <c r="TEP3"/>
      <c r="TEQ3"/>
      <c r="TER3"/>
      <c r="TES3"/>
      <c r="TET3"/>
      <c r="TEU3"/>
      <c r="TEV3"/>
      <c r="TEW3"/>
      <c r="TEX3"/>
      <c r="TEY3"/>
      <c r="TEZ3"/>
      <c r="TFA3"/>
      <c r="TFB3"/>
      <c r="TFC3"/>
      <c r="TFD3"/>
      <c r="TFE3"/>
      <c r="TFF3"/>
      <c r="TFG3"/>
      <c r="TFH3"/>
      <c r="TFI3"/>
      <c r="TFJ3"/>
      <c r="TFK3"/>
      <c r="TFL3"/>
      <c r="TFM3"/>
      <c r="TFN3"/>
      <c r="TFO3"/>
      <c r="TFP3"/>
      <c r="TFQ3"/>
      <c r="TFR3"/>
      <c r="TFS3"/>
      <c r="TFT3"/>
      <c r="TFU3"/>
      <c r="TFV3"/>
      <c r="TFW3"/>
      <c r="TFX3"/>
      <c r="TFY3"/>
      <c r="TFZ3"/>
      <c r="TGA3"/>
      <c r="TGB3"/>
      <c r="TGC3"/>
      <c r="TGD3"/>
      <c r="TGE3"/>
      <c r="TGF3"/>
      <c r="TGG3"/>
      <c r="TGH3"/>
      <c r="TGI3"/>
      <c r="TGJ3"/>
      <c r="TGK3"/>
      <c r="TGL3"/>
      <c r="TGM3"/>
      <c r="TGN3"/>
      <c r="TGO3"/>
      <c r="TGP3"/>
      <c r="TGQ3"/>
      <c r="TGR3"/>
      <c r="TGS3"/>
      <c r="TGT3"/>
      <c r="TGU3"/>
      <c r="TGV3"/>
      <c r="TGW3"/>
      <c r="TGX3"/>
      <c r="TGY3"/>
      <c r="TGZ3"/>
      <c r="THA3"/>
      <c r="THB3"/>
      <c r="THC3"/>
      <c r="THD3"/>
      <c r="THE3"/>
      <c r="THF3"/>
      <c r="THG3"/>
      <c r="THH3"/>
      <c r="THI3"/>
      <c r="THJ3"/>
      <c r="THK3"/>
      <c r="THL3"/>
      <c r="THM3"/>
      <c r="THN3"/>
      <c r="THO3"/>
      <c r="THP3"/>
      <c r="THQ3"/>
      <c r="THR3"/>
      <c r="THS3"/>
      <c r="THT3"/>
      <c r="THU3"/>
      <c r="THV3"/>
      <c r="THW3"/>
      <c r="THX3"/>
      <c r="THY3"/>
      <c r="THZ3"/>
      <c r="TIA3"/>
      <c r="TIB3"/>
      <c r="TIC3"/>
      <c r="TID3"/>
      <c r="TIE3"/>
      <c r="TIF3"/>
      <c r="TIG3"/>
      <c r="TIH3"/>
      <c r="TII3"/>
      <c r="TIJ3"/>
      <c r="TIK3"/>
      <c r="TIL3"/>
      <c r="TIM3"/>
      <c r="TIN3"/>
      <c r="TIO3"/>
      <c r="TIP3"/>
      <c r="TIQ3"/>
      <c r="TIR3"/>
      <c r="TIS3"/>
      <c r="TIT3"/>
      <c r="TIU3"/>
      <c r="TIV3"/>
      <c r="TIW3"/>
      <c r="TIX3"/>
      <c r="TIY3"/>
      <c r="TIZ3"/>
      <c r="TJA3"/>
      <c r="TJB3"/>
      <c r="TJC3"/>
      <c r="TJD3"/>
      <c r="TJE3"/>
      <c r="TJF3"/>
      <c r="TJG3"/>
      <c r="TJH3"/>
      <c r="TJI3"/>
      <c r="TJJ3"/>
      <c r="TJK3"/>
      <c r="TJL3"/>
      <c r="TJM3"/>
      <c r="TJN3"/>
      <c r="TJO3"/>
      <c r="TJP3"/>
      <c r="TJQ3"/>
      <c r="TJR3"/>
      <c r="TJS3"/>
      <c r="TJT3"/>
      <c r="TJU3"/>
      <c r="TJV3"/>
      <c r="TJW3"/>
      <c r="TJX3"/>
      <c r="TJY3"/>
      <c r="TJZ3"/>
      <c r="TKA3"/>
      <c r="TKB3"/>
      <c r="TKC3"/>
      <c r="TKD3"/>
      <c r="TKE3"/>
      <c r="TKF3"/>
      <c r="TKG3"/>
      <c r="TKH3"/>
      <c r="TKI3"/>
      <c r="TKJ3"/>
      <c r="TKK3"/>
      <c r="TKL3"/>
      <c r="TKM3"/>
      <c r="TKN3"/>
      <c r="TKO3"/>
      <c r="TKP3"/>
      <c r="TKQ3"/>
      <c r="TKR3"/>
      <c r="TKS3"/>
      <c r="TKT3"/>
      <c r="TKU3"/>
      <c r="TKV3"/>
      <c r="TKW3"/>
      <c r="TKX3"/>
      <c r="TKY3"/>
      <c r="TKZ3"/>
      <c r="TLA3"/>
      <c r="TLB3"/>
      <c r="TLC3"/>
      <c r="TLD3"/>
      <c r="TLE3"/>
      <c r="TLF3"/>
      <c r="TLG3"/>
      <c r="TLH3"/>
      <c r="TLI3"/>
      <c r="TLJ3"/>
      <c r="TLK3"/>
      <c r="TLL3"/>
      <c r="TLM3"/>
      <c r="TLN3"/>
      <c r="TLO3"/>
      <c r="TLP3"/>
      <c r="TLQ3"/>
      <c r="TLR3"/>
      <c r="TLS3"/>
      <c r="TLT3"/>
      <c r="TLU3"/>
      <c r="TLV3"/>
      <c r="TLW3"/>
      <c r="TLX3"/>
      <c r="TLY3"/>
      <c r="TLZ3"/>
      <c r="TMA3"/>
      <c r="TMB3"/>
      <c r="TMC3"/>
      <c r="TMD3"/>
      <c r="TME3"/>
      <c r="TMF3"/>
      <c r="TMG3"/>
      <c r="TMH3"/>
      <c r="TMI3"/>
      <c r="TMJ3"/>
      <c r="TMK3"/>
      <c r="TML3"/>
      <c r="TMM3"/>
      <c r="TMN3"/>
      <c r="TMO3"/>
      <c r="TMP3"/>
      <c r="TMQ3"/>
      <c r="TMR3"/>
      <c r="TMS3"/>
      <c r="TMT3"/>
      <c r="TMU3"/>
      <c r="TMV3"/>
      <c r="TMW3"/>
      <c r="TMX3"/>
      <c r="TMY3"/>
      <c r="TMZ3"/>
      <c r="TNA3"/>
      <c r="TNB3"/>
      <c r="TNC3"/>
      <c r="TND3"/>
      <c r="TNE3"/>
      <c r="TNF3"/>
      <c r="TNG3"/>
      <c r="TNH3"/>
      <c r="TNI3"/>
      <c r="TNJ3"/>
      <c r="TNK3"/>
      <c r="TNL3"/>
      <c r="TNM3"/>
      <c r="TNN3"/>
      <c r="TNO3"/>
      <c r="TNP3"/>
      <c r="TNQ3"/>
      <c r="TNR3"/>
      <c r="TNS3"/>
      <c r="TNT3"/>
      <c r="TNU3"/>
      <c r="TNV3"/>
      <c r="TNW3"/>
      <c r="TNX3"/>
      <c r="TNY3"/>
      <c r="TNZ3"/>
      <c r="TOA3"/>
      <c r="TOB3"/>
      <c r="TOC3"/>
      <c r="TOD3"/>
      <c r="TOE3"/>
      <c r="TOF3"/>
      <c r="TOG3"/>
      <c r="TOH3"/>
      <c r="TOI3"/>
      <c r="TOJ3"/>
      <c r="TOK3"/>
      <c r="TOL3"/>
      <c r="TOM3"/>
      <c r="TON3"/>
      <c r="TOO3"/>
      <c r="TOP3"/>
      <c r="TOQ3"/>
      <c r="TOR3"/>
      <c r="TOS3"/>
      <c r="TOT3"/>
      <c r="TOU3"/>
      <c r="TOV3"/>
      <c r="TOW3"/>
      <c r="TOX3"/>
      <c r="TOY3"/>
      <c r="TOZ3"/>
      <c r="TPA3"/>
      <c r="TPB3"/>
      <c r="TPC3"/>
      <c r="TPD3"/>
      <c r="TPE3"/>
      <c r="TPF3"/>
      <c r="TPG3"/>
      <c r="TPH3"/>
      <c r="TPI3"/>
      <c r="TPJ3"/>
      <c r="TPK3"/>
      <c r="TPL3"/>
      <c r="TPM3"/>
      <c r="TPN3"/>
      <c r="TPO3"/>
      <c r="TPP3"/>
      <c r="TPQ3"/>
      <c r="TPR3"/>
      <c r="TPS3"/>
      <c r="TPT3"/>
      <c r="TPU3"/>
      <c r="TPV3"/>
      <c r="TPW3"/>
      <c r="TPX3"/>
      <c r="TPY3"/>
      <c r="TPZ3"/>
      <c r="TQA3"/>
      <c r="TQB3"/>
      <c r="TQC3"/>
      <c r="TQD3"/>
      <c r="TQE3"/>
      <c r="TQF3"/>
      <c r="TQG3"/>
      <c r="TQH3"/>
      <c r="TQI3"/>
      <c r="TQJ3"/>
      <c r="TQK3"/>
      <c r="TQL3"/>
      <c r="TQM3"/>
      <c r="TQN3"/>
      <c r="TQO3"/>
      <c r="TQP3"/>
      <c r="TQQ3"/>
      <c r="TQR3"/>
      <c r="TQS3"/>
      <c r="TQT3"/>
      <c r="TQU3"/>
      <c r="TQV3"/>
      <c r="TQW3"/>
      <c r="TQX3"/>
      <c r="TQY3"/>
      <c r="TQZ3"/>
      <c r="TRA3"/>
      <c r="TRB3"/>
      <c r="TRC3"/>
      <c r="TRD3"/>
      <c r="TRE3"/>
      <c r="TRF3"/>
      <c r="TRG3"/>
      <c r="TRH3"/>
      <c r="TRI3"/>
      <c r="TRJ3"/>
      <c r="TRK3"/>
      <c r="TRL3"/>
      <c r="TRM3"/>
      <c r="TRN3"/>
      <c r="TRO3"/>
      <c r="TRP3"/>
      <c r="TRQ3"/>
      <c r="TRR3"/>
      <c r="TRS3"/>
      <c r="TRT3"/>
      <c r="TRU3"/>
      <c r="TRV3"/>
      <c r="TRW3"/>
      <c r="TRX3"/>
      <c r="TRY3"/>
      <c r="TRZ3"/>
      <c r="TSA3"/>
      <c r="TSB3"/>
      <c r="TSC3"/>
      <c r="TSD3"/>
      <c r="TSE3"/>
      <c r="TSF3"/>
      <c r="TSG3"/>
      <c r="TSH3"/>
      <c r="TSI3"/>
      <c r="TSJ3"/>
      <c r="TSK3"/>
      <c r="TSL3"/>
      <c r="TSM3"/>
      <c r="TSN3"/>
      <c r="TSO3"/>
      <c r="TSP3"/>
      <c r="TSQ3"/>
      <c r="TSR3"/>
      <c r="TSS3"/>
      <c r="TST3"/>
      <c r="TSU3"/>
      <c r="TSV3"/>
      <c r="TSW3"/>
      <c r="TSX3"/>
      <c r="TSY3"/>
      <c r="TSZ3"/>
      <c r="TTA3"/>
      <c r="TTB3"/>
      <c r="TTC3"/>
      <c r="TTD3"/>
      <c r="TTE3"/>
      <c r="TTF3"/>
      <c r="TTG3"/>
      <c r="TTH3"/>
      <c r="TTI3"/>
      <c r="TTJ3"/>
      <c r="TTK3"/>
      <c r="TTL3"/>
      <c r="TTM3"/>
      <c r="TTN3"/>
      <c r="TTO3"/>
      <c r="TTP3"/>
      <c r="TTQ3"/>
      <c r="TTR3"/>
      <c r="TTS3"/>
      <c r="TTT3"/>
      <c r="TTU3"/>
      <c r="TTV3"/>
      <c r="TTW3"/>
      <c r="TTX3"/>
      <c r="TTY3"/>
      <c r="TTZ3"/>
      <c r="TUA3"/>
      <c r="TUB3"/>
      <c r="TUC3"/>
      <c r="TUD3"/>
      <c r="TUE3"/>
      <c r="TUF3"/>
      <c r="TUG3"/>
      <c r="TUH3"/>
      <c r="TUI3"/>
      <c r="TUJ3"/>
      <c r="TUK3"/>
      <c r="TUL3"/>
      <c r="TUM3"/>
      <c r="TUN3"/>
      <c r="TUO3"/>
      <c r="TUP3"/>
      <c r="TUQ3"/>
      <c r="TUR3"/>
      <c r="TUS3"/>
      <c r="TUT3"/>
      <c r="TUU3"/>
      <c r="TUV3"/>
      <c r="TUW3"/>
      <c r="TUX3"/>
      <c r="TUY3"/>
      <c r="TUZ3"/>
      <c r="TVA3"/>
      <c r="TVB3"/>
      <c r="TVC3"/>
      <c r="TVD3"/>
      <c r="TVE3"/>
      <c r="TVF3"/>
      <c r="TVG3"/>
      <c r="TVH3"/>
      <c r="TVI3"/>
      <c r="TVJ3"/>
      <c r="TVK3"/>
      <c r="TVL3"/>
      <c r="TVM3"/>
      <c r="TVN3"/>
      <c r="TVO3"/>
      <c r="TVP3"/>
      <c r="TVQ3"/>
      <c r="TVR3"/>
      <c r="TVS3"/>
      <c r="TVT3"/>
      <c r="TVU3"/>
      <c r="TVV3"/>
      <c r="TVW3"/>
      <c r="TVX3"/>
      <c r="TVY3"/>
      <c r="TVZ3"/>
      <c r="TWA3"/>
      <c r="TWB3"/>
      <c r="TWC3"/>
      <c r="TWD3"/>
      <c r="TWE3"/>
      <c r="TWF3"/>
      <c r="TWG3"/>
      <c r="TWH3"/>
      <c r="TWI3"/>
      <c r="TWJ3"/>
      <c r="TWK3"/>
      <c r="TWL3"/>
      <c r="TWM3"/>
      <c r="TWN3"/>
      <c r="TWO3"/>
      <c r="TWP3"/>
      <c r="TWQ3"/>
      <c r="TWR3"/>
      <c r="TWS3"/>
      <c r="TWT3"/>
      <c r="TWU3"/>
      <c r="TWV3"/>
      <c r="TWW3"/>
      <c r="TWX3"/>
      <c r="TWY3"/>
      <c r="TWZ3"/>
      <c r="TXA3"/>
      <c r="TXB3"/>
      <c r="TXC3"/>
      <c r="TXD3"/>
      <c r="TXE3"/>
      <c r="TXF3"/>
      <c r="TXG3"/>
      <c r="TXH3"/>
      <c r="TXI3"/>
      <c r="TXJ3"/>
      <c r="TXK3"/>
      <c r="TXL3"/>
      <c r="TXM3"/>
      <c r="TXN3"/>
      <c r="TXO3"/>
      <c r="TXP3"/>
      <c r="TXQ3"/>
      <c r="TXR3"/>
      <c r="TXS3"/>
      <c r="TXT3"/>
      <c r="TXU3"/>
      <c r="TXV3"/>
      <c r="TXW3"/>
      <c r="TXX3"/>
      <c r="TXY3"/>
      <c r="TXZ3"/>
      <c r="TYA3"/>
      <c r="TYB3"/>
      <c r="TYC3"/>
      <c r="TYD3"/>
      <c r="TYE3"/>
      <c r="TYF3"/>
      <c r="TYG3"/>
      <c r="TYH3"/>
      <c r="TYI3"/>
      <c r="TYJ3"/>
      <c r="TYK3"/>
      <c r="TYL3"/>
      <c r="TYM3"/>
      <c r="TYN3"/>
      <c r="TYO3"/>
      <c r="TYP3"/>
      <c r="TYQ3"/>
      <c r="TYR3"/>
      <c r="TYS3"/>
      <c r="TYT3"/>
      <c r="TYU3"/>
      <c r="TYV3"/>
      <c r="TYW3"/>
      <c r="TYX3"/>
      <c r="TYY3"/>
      <c r="TYZ3"/>
      <c r="TZA3"/>
      <c r="TZB3"/>
      <c r="TZC3"/>
      <c r="TZD3"/>
      <c r="TZE3"/>
      <c r="TZF3"/>
      <c r="TZG3"/>
      <c r="TZH3"/>
      <c r="TZI3"/>
      <c r="TZJ3"/>
      <c r="TZK3"/>
      <c r="TZL3"/>
      <c r="TZM3"/>
      <c r="TZN3"/>
      <c r="TZO3"/>
      <c r="TZP3"/>
      <c r="TZQ3"/>
      <c r="TZR3"/>
      <c r="TZS3"/>
      <c r="TZT3"/>
      <c r="TZU3"/>
      <c r="TZV3"/>
      <c r="TZW3"/>
      <c r="TZX3"/>
      <c r="TZY3"/>
      <c r="TZZ3"/>
      <c r="UAA3"/>
      <c r="UAB3"/>
      <c r="UAC3"/>
      <c r="UAD3"/>
      <c r="UAE3"/>
      <c r="UAF3"/>
      <c r="UAG3"/>
      <c r="UAH3"/>
      <c r="UAI3"/>
      <c r="UAJ3"/>
      <c r="UAK3"/>
      <c r="UAL3"/>
      <c r="UAM3"/>
      <c r="UAN3"/>
      <c r="UAO3"/>
      <c r="UAP3"/>
      <c r="UAQ3"/>
      <c r="UAR3"/>
      <c r="UAS3"/>
      <c r="UAT3"/>
      <c r="UAU3"/>
      <c r="UAV3"/>
      <c r="UAW3"/>
      <c r="UAX3"/>
      <c r="UAY3"/>
      <c r="UAZ3"/>
      <c r="UBA3"/>
      <c r="UBB3"/>
      <c r="UBC3"/>
      <c r="UBD3"/>
      <c r="UBE3"/>
      <c r="UBF3"/>
      <c r="UBG3"/>
      <c r="UBH3"/>
      <c r="UBI3"/>
      <c r="UBJ3"/>
      <c r="UBK3"/>
      <c r="UBL3"/>
      <c r="UBM3"/>
      <c r="UBN3"/>
      <c r="UBO3"/>
      <c r="UBP3"/>
      <c r="UBQ3"/>
      <c r="UBR3"/>
      <c r="UBS3"/>
      <c r="UBT3"/>
      <c r="UBU3"/>
      <c r="UBV3"/>
      <c r="UBW3"/>
      <c r="UBX3"/>
      <c r="UBY3"/>
      <c r="UBZ3"/>
      <c r="UCA3"/>
      <c r="UCB3"/>
      <c r="UCC3"/>
      <c r="UCD3"/>
      <c r="UCE3"/>
      <c r="UCF3"/>
      <c r="UCG3"/>
      <c r="UCH3"/>
      <c r="UCI3"/>
      <c r="UCJ3"/>
      <c r="UCK3"/>
      <c r="UCL3"/>
      <c r="UCM3"/>
      <c r="UCN3"/>
      <c r="UCO3"/>
      <c r="UCP3"/>
      <c r="UCQ3"/>
      <c r="UCR3"/>
      <c r="UCS3"/>
      <c r="UCT3"/>
      <c r="UCU3"/>
      <c r="UCV3"/>
      <c r="UCW3"/>
      <c r="UCX3"/>
      <c r="UCY3"/>
      <c r="UCZ3"/>
      <c r="UDA3"/>
      <c r="UDB3"/>
      <c r="UDC3"/>
      <c r="UDD3"/>
      <c r="UDE3"/>
      <c r="UDF3"/>
      <c r="UDG3"/>
      <c r="UDH3"/>
      <c r="UDI3"/>
      <c r="UDJ3"/>
      <c r="UDK3"/>
      <c r="UDL3"/>
      <c r="UDM3"/>
      <c r="UDN3"/>
      <c r="UDO3"/>
      <c r="UDP3"/>
      <c r="UDQ3"/>
      <c r="UDR3"/>
      <c r="UDS3"/>
      <c r="UDT3"/>
      <c r="UDU3"/>
      <c r="UDV3"/>
      <c r="UDW3"/>
      <c r="UDX3"/>
      <c r="UDY3"/>
      <c r="UDZ3"/>
      <c r="UEA3"/>
      <c r="UEB3"/>
      <c r="UEC3"/>
      <c r="UED3"/>
      <c r="UEE3"/>
      <c r="UEF3"/>
      <c r="UEG3"/>
      <c r="UEH3"/>
      <c r="UEI3"/>
      <c r="UEJ3"/>
      <c r="UEK3"/>
      <c r="UEL3"/>
      <c r="UEM3"/>
      <c r="UEN3"/>
      <c r="UEO3"/>
      <c r="UEP3"/>
      <c r="UEQ3"/>
      <c r="UER3"/>
      <c r="UES3"/>
      <c r="UET3"/>
      <c r="UEU3"/>
      <c r="UEV3"/>
      <c r="UEW3"/>
      <c r="UEX3"/>
      <c r="UEY3"/>
      <c r="UEZ3"/>
      <c r="UFA3"/>
      <c r="UFB3"/>
      <c r="UFC3"/>
      <c r="UFD3"/>
      <c r="UFE3"/>
      <c r="UFF3"/>
      <c r="UFG3"/>
      <c r="UFH3"/>
      <c r="UFI3"/>
      <c r="UFJ3"/>
      <c r="UFK3"/>
      <c r="UFL3"/>
      <c r="UFM3"/>
      <c r="UFN3"/>
      <c r="UFO3"/>
      <c r="UFP3"/>
      <c r="UFQ3"/>
      <c r="UFR3"/>
      <c r="UFS3"/>
      <c r="UFT3"/>
      <c r="UFU3"/>
      <c r="UFV3"/>
      <c r="UFW3"/>
      <c r="UFX3"/>
      <c r="UFY3"/>
      <c r="UFZ3"/>
      <c r="UGA3"/>
      <c r="UGB3"/>
      <c r="UGC3"/>
      <c r="UGD3"/>
      <c r="UGE3"/>
      <c r="UGF3"/>
      <c r="UGG3"/>
      <c r="UGH3"/>
      <c r="UGI3"/>
      <c r="UGJ3"/>
      <c r="UGK3"/>
      <c r="UGL3"/>
      <c r="UGM3"/>
      <c r="UGN3"/>
      <c r="UGO3"/>
      <c r="UGP3"/>
      <c r="UGQ3"/>
      <c r="UGR3"/>
      <c r="UGS3"/>
      <c r="UGT3"/>
      <c r="UGU3"/>
      <c r="UGV3"/>
      <c r="UGW3"/>
      <c r="UGX3"/>
      <c r="UGY3"/>
      <c r="UGZ3"/>
      <c r="UHA3"/>
      <c r="UHB3"/>
      <c r="UHC3"/>
      <c r="UHD3"/>
      <c r="UHE3"/>
      <c r="UHF3"/>
      <c r="UHG3"/>
      <c r="UHH3"/>
      <c r="UHI3"/>
      <c r="UHJ3"/>
      <c r="UHK3"/>
      <c r="UHL3"/>
      <c r="UHM3"/>
      <c r="UHN3"/>
      <c r="UHO3"/>
      <c r="UHP3"/>
      <c r="UHQ3"/>
      <c r="UHR3"/>
      <c r="UHS3"/>
      <c r="UHT3"/>
      <c r="UHU3"/>
      <c r="UHV3"/>
      <c r="UHW3"/>
      <c r="UHX3"/>
      <c r="UHY3"/>
      <c r="UHZ3"/>
      <c r="UIA3"/>
      <c r="UIB3"/>
      <c r="UIC3"/>
      <c r="UID3"/>
      <c r="UIE3"/>
      <c r="UIF3"/>
      <c r="UIG3"/>
      <c r="UIH3"/>
      <c r="UII3"/>
      <c r="UIJ3"/>
      <c r="UIK3"/>
      <c r="UIL3"/>
      <c r="UIM3"/>
      <c r="UIN3"/>
      <c r="UIO3"/>
      <c r="UIP3"/>
      <c r="UIQ3"/>
      <c r="UIR3"/>
      <c r="UIS3"/>
      <c r="UIT3"/>
      <c r="UIU3"/>
      <c r="UIV3"/>
      <c r="UIW3"/>
      <c r="UIX3"/>
      <c r="UIY3"/>
      <c r="UIZ3"/>
      <c r="UJA3"/>
      <c r="UJB3"/>
      <c r="UJC3"/>
      <c r="UJD3"/>
      <c r="UJE3"/>
      <c r="UJF3"/>
      <c r="UJG3"/>
      <c r="UJH3"/>
      <c r="UJI3"/>
      <c r="UJJ3"/>
      <c r="UJK3"/>
      <c r="UJL3"/>
      <c r="UJM3"/>
      <c r="UJN3"/>
      <c r="UJO3"/>
      <c r="UJP3"/>
      <c r="UJQ3"/>
      <c r="UJR3"/>
      <c r="UJS3"/>
      <c r="UJT3"/>
      <c r="UJU3"/>
      <c r="UJV3"/>
      <c r="UJW3"/>
      <c r="UJX3"/>
      <c r="UJY3"/>
      <c r="UJZ3"/>
      <c r="UKA3"/>
      <c r="UKB3"/>
      <c r="UKC3"/>
      <c r="UKD3"/>
      <c r="UKE3"/>
      <c r="UKF3"/>
      <c r="UKG3"/>
      <c r="UKH3"/>
      <c r="UKI3"/>
      <c r="UKJ3"/>
      <c r="UKK3"/>
      <c r="UKL3"/>
      <c r="UKM3"/>
      <c r="UKN3"/>
      <c r="UKO3"/>
      <c r="UKP3"/>
      <c r="UKQ3"/>
      <c r="UKR3"/>
      <c r="UKS3"/>
      <c r="UKT3"/>
      <c r="UKU3"/>
      <c r="UKV3"/>
      <c r="UKW3"/>
      <c r="UKX3"/>
      <c r="UKY3"/>
      <c r="UKZ3"/>
      <c r="ULA3"/>
      <c r="ULB3"/>
      <c r="ULC3"/>
      <c r="ULD3"/>
      <c r="ULE3"/>
      <c r="ULF3"/>
      <c r="ULG3"/>
      <c r="ULH3"/>
      <c r="ULI3"/>
      <c r="ULJ3"/>
      <c r="ULK3"/>
      <c r="ULL3"/>
      <c r="ULM3"/>
      <c r="ULN3"/>
      <c r="ULO3"/>
      <c r="ULP3"/>
      <c r="ULQ3"/>
      <c r="ULR3"/>
      <c r="ULS3"/>
      <c r="ULT3"/>
      <c r="ULU3"/>
      <c r="ULV3"/>
      <c r="ULW3"/>
      <c r="ULX3"/>
      <c r="ULY3"/>
      <c r="ULZ3"/>
      <c r="UMA3"/>
      <c r="UMB3"/>
      <c r="UMC3"/>
      <c r="UMD3"/>
      <c r="UME3"/>
      <c r="UMF3"/>
      <c r="UMG3"/>
      <c r="UMH3"/>
      <c r="UMI3"/>
      <c r="UMJ3"/>
      <c r="UMK3"/>
      <c r="UML3"/>
      <c r="UMM3"/>
      <c r="UMN3"/>
      <c r="UMO3"/>
      <c r="UMP3"/>
      <c r="UMQ3"/>
      <c r="UMR3"/>
      <c r="UMS3"/>
      <c r="UMT3"/>
      <c r="UMU3"/>
      <c r="UMV3"/>
      <c r="UMW3"/>
      <c r="UMX3"/>
      <c r="UMY3"/>
      <c r="UMZ3"/>
      <c r="UNA3"/>
      <c r="UNB3"/>
      <c r="UNC3"/>
      <c r="UND3"/>
      <c r="UNE3"/>
      <c r="UNF3"/>
      <c r="UNG3"/>
      <c r="UNH3"/>
      <c r="UNI3"/>
      <c r="UNJ3"/>
      <c r="UNK3"/>
      <c r="UNL3"/>
      <c r="UNM3"/>
      <c r="UNN3"/>
      <c r="UNO3"/>
      <c r="UNP3"/>
      <c r="UNQ3"/>
      <c r="UNR3"/>
      <c r="UNS3"/>
      <c r="UNT3"/>
      <c r="UNU3"/>
      <c r="UNV3"/>
      <c r="UNW3"/>
      <c r="UNX3"/>
      <c r="UNY3"/>
      <c r="UNZ3"/>
      <c r="UOA3"/>
      <c r="UOB3"/>
      <c r="UOC3"/>
      <c r="UOD3"/>
      <c r="UOE3"/>
      <c r="UOF3"/>
      <c r="UOG3"/>
      <c r="UOH3"/>
      <c r="UOI3"/>
      <c r="UOJ3"/>
      <c r="UOK3"/>
      <c r="UOL3"/>
      <c r="UOM3"/>
      <c r="UON3"/>
      <c r="UOO3"/>
      <c r="UOP3"/>
      <c r="UOQ3"/>
      <c r="UOR3"/>
      <c r="UOS3"/>
      <c r="UOT3"/>
      <c r="UOU3"/>
      <c r="UOV3"/>
      <c r="UOW3"/>
      <c r="UOX3"/>
      <c r="UOY3"/>
      <c r="UOZ3"/>
      <c r="UPA3"/>
      <c r="UPB3"/>
      <c r="UPC3"/>
      <c r="UPD3"/>
      <c r="UPE3"/>
      <c r="UPF3"/>
      <c r="UPG3"/>
      <c r="UPH3"/>
      <c r="UPI3"/>
      <c r="UPJ3"/>
      <c r="UPK3"/>
      <c r="UPL3"/>
      <c r="UPM3"/>
      <c r="UPN3"/>
      <c r="UPO3"/>
      <c r="UPP3"/>
      <c r="UPQ3"/>
      <c r="UPR3"/>
      <c r="UPS3"/>
      <c r="UPT3"/>
      <c r="UPU3"/>
      <c r="UPV3"/>
      <c r="UPW3"/>
      <c r="UPX3"/>
      <c r="UPY3"/>
      <c r="UPZ3"/>
      <c r="UQA3"/>
      <c r="UQB3"/>
      <c r="UQC3"/>
      <c r="UQD3"/>
      <c r="UQE3"/>
      <c r="UQF3"/>
      <c r="UQG3"/>
      <c r="UQH3"/>
      <c r="UQI3"/>
      <c r="UQJ3"/>
      <c r="UQK3"/>
      <c r="UQL3"/>
      <c r="UQM3"/>
      <c r="UQN3"/>
      <c r="UQO3"/>
      <c r="UQP3"/>
      <c r="UQQ3"/>
      <c r="UQR3"/>
      <c r="UQS3"/>
      <c r="UQT3"/>
      <c r="UQU3"/>
      <c r="UQV3"/>
      <c r="UQW3"/>
      <c r="UQX3"/>
      <c r="UQY3"/>
      <c r="UQZ3"/>
      <c r="URA3"/>
      <c r="URB3"/>
      <c r="URC3"/>
      <c r="URD3"/>
      <c r="URE3"/>
      <c r="URF3"/>
      <c r="URG3"/>
      <c r="URH3"/>
      <c r="URI3"/>
      <c r="URJ3"/>
      <c r="URK3"/>
      <c r="URL3"/>
      <c r="URM3"/>
      <c r="URN3"/>
      <c r="URO3"/>
      <c r="URP3"/>
      <c r="URQ3"/>
      <c r="URR3"/>
      <c r="URS3"/>
      <c r="URT3"/>
      <c r="URU3"/>
      <c r="URV3"/>
      <c r="URW3"/>
      <c r="URX3"/>
      <c r="URY3"/>
      <c r="URZ3"/>
      <c r="USA3"/>
      <c r="USB3"/>
      <c r="USC3"/>
      <c r="USD3"/>
      <c r="USE3"/>
      <c r="USF3"/>
      <c r="USG3"/>
      <c r="USH3"/>
      <c r="USI3"/>
      <c r="USJ3"/>
      <c r="USK3"/>
      <c r="USL3"/>
      <c r="USM3"/>
      <c r="USN3"/>
      <c r="USO3"/>
      <c r="USP3"/>
      <c r="USQ3"/>
      <c r="USR3"/>
      <c r="USS3"/>
      <c r="UST3"/>
      <c r="USU3"/>
      <c r="USV3"/>
      <c r="USW3"/>
      <c r="USX3"/>
      <c r="USY3"/>
      <c r="USZ3"/>
      <c r="UTA3"/>
      <c r="UTB3"/>
      <c r="UTC3"/>
      <c r="UTD3"/>
      <c r="UTE3"/>
      <c r="UTF3"/>
      <c r="UTG3"/>
      <c r="UTH3"/>
      <c r="UTI3"/>
      <c r="UTJ3"/>
      <c r="UTK3"/>
      <c r="UTL3"/>
      <c r="UTM3"/>
      <c r="UTN3"/>
      <c r="UTO3"/>
      <c r="UTP3"/>
      <c r="UTQ3"/>
      <c r="UTR3"/>
      <c r="UTS3"/>
      <c r="UTT3"/>
      <c r="UTU3"/>
      <c r="UTV3"/>
      <c r="UTW3"/>
      <c r="UTX3"/>
      <c r="UTY3"/>
      <c r="UTZ3"/>
      <c r="UUA3"/>
      <c r="UUB3"/>
      <c r="UUC3"/>
      <c r="UUD3"/>
      <c r="UUE3"/>
      <c r="UUF3"/>
      <c r="UUG3"/>
      <c r="UUH3"/>
      <c r="UUI3"/>
      <c r="UUJ3"/>
      <c r="UUK3"/>
      <c r="UUL3"/>
      <c r="UUM3"/>
      <c r="UUN3"/>
      <c r="UUO3"/>
      <c r="UUP3"/>
      <c r="UUQ3"/>
      <c r="UUR3"/>
      <c r="UUS3"/>
      <c r="UUT3"/>
      <c r="UUU3"/>
      <c r="UUV3"/>
      <c r="UUW3"/>
      <c r="UUX3"/>
      <c r="UUY3"/>
      <c r="UUZ3"/>
      <c r="UVA3"/>
      <c r="UVB3"/>
      <c r="UVC3"/>
      <c r="UVD3"/>
      <c r="UVE3"/>
      <c r="UVF3"/>
      <c r="UVG3"/>
      <c r="UVH3"/>
      <c r="UVI3"/>
      <c r="UVJ3"/>
      <c r="UVK3"/>
      <c r="UVL3"/>
      <c r="UVM3"/>
      <c r="UVN3"/>
      <c r="UVO3"/>
      <c r="UVP3"/>
      <c r="UVQ3"/>
      <c r="UVR3"/>
      <c r="UVS3"/>
      <c r="UVT3"/>
      <c r="UVU3"/>
      <c r="UVV3"/>
      <c r="UVW3"/>
      <c r="UVX3"/>
      <c r="UVY3"/>
      <c r="UVZ3"/>
      <c r="UWA3"/>
      <c r="UWB3"/>
      <c r="UWC3"/>
      <c r="UWD3"/>
      <c r="UWE3"/>
      <c r="UWF3"/>
      <c r="UWG3"/>
      <c r="UWH3"/>
      <c r="UWI3"/>
      <c r="UWJ3"/>
      <c r="UWK3"/>
      <c r="UWL3"/>
      <c r="UWM3"/>
      <c r="UWN3"/>
      <c r="UWO3"/>
      <c r="UWP3"/>
      <c r="UWQ3"/>
      <c r="UWR3"/>
      <c r="UWS3"/>
      <c r="UWT3"/>
      <c r="UWU3"/>
      <c r="UWV3"/>
      <c r="UWW3"/>
      <c r="UWX3"/>
      <c r="UWY3"/>
      <c r="UWZ3"/>
      <c r="UXA3"/>
      <c r="UXB3"/>
      <c r="UXC3"/>
      <c r="UXD3"/>
      <c r="UXE3"/>
      <c r="UXF3"/>
      <c r="UXG3"/>
      <c r="UXH3"/>
      <c r="UXI3"/>
      <c r="UXJ3"/>
      <c r="UXK3"/>
      <c r="UXL3"/>
      <c r="UXM3"/>
      <c r="UXN3"/>
      <c r="UXO3"/>
      <c r="UXP3"/>
      <c r="UXQ3"/>
      <c r="UXR3"/>
      <c r="UXS3"/>
      <c r="UXT3"/>
      <c r="UXU3"/>
      <c r="UXV3"/>
      <c r="UXW3"/>
      <c r="UXX3"/>
      <c r="UXY3"/>
      <c r="UXZ3"/>
      <c r="UYA3"/>
      <c r="UYB3"/>
      <c r="UYC3"/>
      <c r="UYD3"/>
      <c r="UYE3"/>
      <c r="UYF3"/>
      <c r="UYG3"/>
      <c r="UYH3"/>
      <c r="UYI3"/>
      <c r="UYJ3"/>
      <c r="UYK3"/>
      <c r="UYL3"/>
      <c r="UYM3"/>
      <c r="UYN3"/>
      <c r="UYO3"/>
      <c r="UYP3"/>
      <c r="UYQ3"/>
      <c r="UYR3"/>
      <c r="UYS3"/>
      <c r="UYT3"/>
      <c r="UYU3"/>
      <c r="UYV3"/>
      <c r="UYW3"/>
      <c r="UYX3"/>
      <c r="UYY3"/>
      <c r="UYZ3"/>
      <c r="UZA3"/>
      <c r="UZB3"/>
      <c r="UZC3"/>
      <c r="UZD3"/>
      <c r="UZE3"/>
      <c r="UZF3"/>
      <c r="UZG3"/>
      <c r="UZH3"/>
      <c r="UZI3"/>
      <c r="UZJ3"/>
      <c r="UZK3"/>
      <c r="UZL3"/>
      <c r="UZM3"/>
      <c r="UZN3"/>
      <c r="UZO3"/>
      <c r="UZP3"/>
      <c r="UZQ3"/>
      <c r="UZR3"/>
      <c r="UZS3"/>
      <c r="UZT3"/>
      <c r="UZU3"/>
      <c r="UZV3"/>
      <c r="UZW3"/>
      <c r="UZX3"/>
      <c r="UZY3"/>
      <c r="UZZ3"/>
      <c r="VAA3"/>
      <c r="VAB3"/>
      <c r="VAC3"/>
      <c r="VAD3"/>
      <c r="VAE3"/>
      <c r="VAF3"/>
      <c r="VAG3"/>
      <c r="VAH3"/>
      <c r="VAI3"/>
      <c r="VAJ3"/>
      <c r="VAK3"/>
      <c r="VAL3"/>
      <c r="VAM3"/>
      <c r="VAN3"/>
      <c r="VAO3"/>
      <c r="VAP3"/>
      <c r="VAQ3"/>
      <c r="VAR3"/>
      <c r="VAS3"/>
      <c r="VAT3"/>
      <c r="VAU3"/>
      <c r="VAV3"/>
      <c r="VAW3"/>
      <c r="VAX3"/>
      <c r="VAY3"/>
      <c r="VAZ3"/>
      <c r="VBA3"/>
      <c r="VBB3"/>
      <c r="VBC3"/>
      <c r="VBD3"/>
      <c r="VBE3"/>
      <c r="VBF3"/>
      <c r="VBG3"/>
      <c r="VBH3"/>
      <c r="VBI3"/>
      <c r="VBJ3"/>
      <c r="VBK3"/>
      <c r="VBL3"/>
      <c r="VBM3"/>
      <c r="VBN3"/>
      <c r="VBO3"/>
      <c r="VBP3"/>
      <c r="VBQ3"/>
      <c r="VBR3"/>
      <c r="VBS3"/>
      <c r="VBT3"/>
      <c r="VBU3"/>
      <c r="VBV3"/>
      <c r="VBW3"/>
      <c r="VBX3"/>
      <c r="VBY3"/>
      <c r="VBZ3"/>
      <c r="VCA3"/>
      <c r="VCB3"/>
      <c r="VCC3"/>
      <c r="VCD3"/>
      <c r="VCE3"/>
      <c r="VCF3"/>
      <c r="VCG3"/>
      <c r="VCH3"/>
      <c r="VCI3"/>
      <c r="VCJ3"/>
      <c r="VCK3"/>
      <c r="VCL3"/>
      <c r="VCM3"/>
      <c r="VCN3"/>
      <c r="VCO3"/>
      <c r="VCP3"/>
      <c r="VCQ3"/>
      <c r="VCR3"/>
      <c r="VCS3"/>
      <c r="VCT3"/>
      <c r="VCU3"/>
      <c r="VCV3"/>
      <c r="VCW3"/>
      <c r="VCX3"/>
      <c r="VCY3"/>
      <c r="VCZ3"/>
      <c r="VDA3"/>
      <c r="VDB3"/>
      <c r="VDC3"/>
      <c r="VDD3"/>
      <c r="VDE3"/>
      <c r="VDF3"/>
      <c r="VDG3"/>
      <c r="VDH3"/>
      <c r="VDI3"/>
      <c r="VDJ3"/>
      <c r="VDK3"/>
      <c r="VDL3"/>
      <c r="VDM3"/>
      <c r="VDN3"/>
      <c r="VDO3"/>
      <c r="VDP3"/>
      <c r="VDQ3"/>
      <c r="VDR3"/>
      <c r="VDS3"/>
      <c r="VDT3"/>
      <c r="VDU3"/>
      <c r="VDV3"/>
      <c r="VDW3"/>
      <c r="VDX3"/>
      <c r="VDY3"/>
      <c r="VDZ3"/>
      <c r="VEA3"/>
      <c r="VEB3"/>
      <c r="VEC3"/>
      <c r="VED3"/>
      <c r="VEE3"/>
      <c r="VEF3"/>
      <c r="VEG3"/>
      <c r="VEH3"/>
      <c r="VEI3"/>
      <c r="VEJ3"/>
      <c r="VEK3"/>
      <c r="VEL3"/>
      <c r="VEM3"/>
      <c r="VEN3"/>
      <c r="VEO3"/>
      <c r="VEP3"/>
      <c r="VEQ3"/>
      <c r="VER3"/>
      <c r="VES3"/>
      <c r="VET3"/>
      <c r="VEU3"/>
      <c r="VEV3"/>
      <c r="VEW3"/>
      <c r="VEX3"/>
      <c r="VEY3"/>
      <c r="VEZ3"/>
      <c r="VFA3"/>
      <c r="VFB3"/>
      <c r="VFC3"/>
      <c r="VFD3"/>
      <c r="VFE3"/>
      <c r="VFF3"/>
      <c r="VFG3"/>
      <c r="VFH3"/>
      <c r="VFI3"/>
      <c r="VFJ3"/>
      <c r="VFK3"/>
      <c r="VFL3"/>
      <c r="VFM3"/>
      <c r="VFN3"/>
      <c r="VFO3"/>
      <c r="VFP3"/>
      <c r="VFQ3"/>
      <c r="VFR3"/>
      <c r="VFS3"/>
      <c r="VFT3"/>
      <c r="VFU3"/>
      <c r="VFV3"/>
      <c r="VFW3"/>
      <c r="VFX3"/>
      <c r="VFY3"/>
      <c r="VFZ3"/>
      <c r="VGA3"/>
      <c r="VGB3"/>
      <c r="VGC3"/>
      <c r="VGD3"/>
      <c r="VGE3"/>
      <c r="VGF3"/>
      <c r="VGG3"/>
      <c r="VGH3"/>
      <c r="VGI3"/>
      <c r="VGJ3"/>
      <c r="VGK3"/>
      <c r="VGL3"/>
      <c r="VGM3"/>
      <c r="VGN3"/>
      <c r="VGO3"/>
      <c r="VGP3"/>
      <c r="VGQ3"/>
      <c r="VGR3"/>
      <c r="VGS3"/>
      <c r="VGT3"/>
      <c r="VGU3"/>
      <c r="VGV3"/>
      <c r="VGW3"/>
      <c r="VGX3"/>
      <c r="VGY3"/>
      <c r="VGZ3"/>
      <c r="VHA3"/>
      <c r="VHB3"/>
      <c r="VHC3"/>
      <c r="VHD3"/>
      <c r="VHE3"/>
      <c r="VHF3"/>
      <c r="VHG3"/>
      <c r="VHH3"/>
      <c r="VHI3"/>
      <c r="VHJ3"/>
      <c r="VHK3"/>
      <c r="VHL3"/>
      <c r="VHM3"/>
      <c r="VHN3"/>
      <c r="VHO3"/>
      <c r="VHP3"/>
      <c r="VHQ3"/>
      <c r="VHR3"/>
      <c r="VHS3"/>
      <c r="VHT3"/>
      <c r="VHU3"/>
      <c r="VHV3"/>
      <c r="VHW3"/>
      <c r="VHX3"/>
      <c r="VHY3"/>
      <c r="VHZ3"/>
      <c r="VIA3"/>
      <c r="VIB3"/>
      <c r="VIC3"/>
      <c r="VID3"/>
      <c r="VIE3"/>
      <c r="VIF3"/>
      <c r="VIG3"/>
      <c r="VIH3"/>
      <c r="VII3"/>
      <c r="VIJ3"/>
      <c r="VIK3"/>
      <c r="VIL3"/>
      <c r="VIM3"/>
      <c r="VIN3"/>
      <c r="VIO3"/>
      <c r="VIP3"/>
      <c r="VIQ3"/>
      <c r="VIR3"/>
      <c r="VIS3"/>
      <c r="VIT3"/>
      <c r="VIU3"/>
      <c r="VIV3"/>
      <c r="VIW3"/>
      <c r="VIX3"/>
      <c r="VIY3"/>
      <c r="VIZ3"/>
      <c r="VJA3"/>
      <c r="VJB3"/>
      <c r="VJC3"/>
      <c r="VJD3"/>
      <c r="VJE3"/>
      <c r="VJF3"/>
      <c r="VJG3"/>
      <c r="VJH3"/>
      <c r="VJI3"/>
      <c r="VJJ3"/>
      <c r="VJK3"/>
      <c r="VJL3"/>
      <c r="VJM3"/>
      <c r="VJN3"/>
      <c r="VJO3"/>
      <c r="VJP3"/>
      <c r="VJQ3"/>
      <c r="VJR3"/>
      <c r="VJS3"/>
      <c r="VJT3"/>
      <c r="VJU3"/>
      <c r="VJV3"/>
      <c r="VJW3"/>
      <c r="VJX3"/>
      <c r="VJY3"/>
      <c r="VJZ3"/>
      <c r="VKA3"/>
      <c r="VKB3"/>
      <c r="VKC3"/>
      <c r="VKD3"/>
      <c r="VKE3"/>
      <c r="VKF3"/>
      <c r="VKG3"/>
      <c r="VKH3"/>
      <c r="VKI3"/>
      <c r="VKJ3"/>
      <c r="VKK3"/>
      <c r="VKL3"/>
      <c r="VKM3"/>
      <c r="VKN3"/>
      <c r="VKO3"/>
      <c r="VKP3"/>
      <c r="VKQ3"/>
      <c r="VKR3"/>
      <c r="VKS3"/>
      <c r="VKT3"/>
      <c r="VKU3"/>
      <c r="VKV3"/>
      <c r="VKW3"/>
      <c r="VKX3"/>
      <c r="VKY3"/>
      <c r="VKZ3"/>
      <c r="VLA3"/>
      <c r="VLB3"/>
      <c r="VLC3"/>
      <c r="VLD3"/>
      <c r="VLE3"/>
      <c r="VLF3"/>
      <c r="VLG3"/>
      <c r="VLH3"/>
      <c r="VLI3"/>
      <c r="VLJ3"/>
      <c r="VLK3"/>
      <c r="VLL3"/>
      <c r="VLM3"/>
      <c r="VLN3"/>
      <c r="VLO3"/>
      <c r="VLP3"/>
      <c r="VLQ3"/>
      <c r="VLR3"/>
      <c r="VLS3"/>
      <c r="VLT3"/>
      <c r="VLU3"/>
      <c r="VLV3"/>
      <c r="VLW3"/>
      <c r="VLX3"/>
      <c r="VLY3"/>
      <c r="VLZ3"/>
      <c r="VMA3"/>
      <c r="VMB3"/>
      <c r="VMC3"/>
      <c r="VMD3"/>
      <c r="VME3"/>
      <c r="VMF3"/>
      <c r="VMG3"/>
      <c r="VMH3"/>
      <c r="VMI3"/>
      <c r="VMJ3"/>
      <c r="VMK3"/>
      <c r="VML3"/>
      <c r="VMM3"/>
      <c r="VMN3"/>
      <c r="VMO3"/>
      <c r="VMP3"/>
      <c r="VMQ3"/>
      <c r="VMR3"/>
      <c r="VMS3"/>
      <c r="VMT3"/>
      <c r="VMU3"/>
      <c r="VMV3"/>
      <c r="VMW3"/>
      <c r="VMX3"/>
      <c r="VMY3"/>
      <c r="VMZ3"/>
      <c r="VNA3"/>
      <c r="VNB3"/>
      <c r="VNC3"/>
      <c r="VND3"/>
      <c r="VNE3"/>
      <c r="VNF3"/>
      <c r="VNG3"/>
      <c r="VNH3"/>
      <c r="VNI3"/>
      <c r="VNJ3"/>
      <c r="VNK3"/>
      <c r="VNL3"/>
      <c r="VNM3"/>
      <c r="VNN3"/>
      <c r="VNO3"/>
      <c r="VNP3"/>
      <c r="VNQ3"/>
      <c r="VNR3"/>
      <c r="VNS3"/>
      <c r="VNT3"/>
      <c r="VNU3"/>
      <c r="VNV3"/>
      <c r="VNW3"/>
      <c r="VNX3"/>
      <c r="VNY3"/>
      <c r="VNZ3"/>
      <c r="VOA3"/>
      <c r="VOB3"/>
      <c r="VOC3"/>
      <c r="VOD3"/>
      <c r="VOE3"/>
      <c r="VOF3"/>
      <c r="VOG3"/>
      <c r="VOH3"/>
      <c r="VOI3"/>
      <c r="VOJ3"/>
      <c r="VOK3"/>
      <c r="VOL3"/>
      <c r="VOM3"/>
      <c r="VON3"/>
      <c r="VOO3"/>
      <c r="VOP3"/>
      <c r="VOQ3"/>
      <c r="VOR3"/>
      <c r="VOS3"/>
      <c r="VOT3"/>
      <c r="VOU3"/>
      <c r="VOV3"/>
      <c r="VOW3"/>
      <c r="VOX3"/>
      <c r="VOY3"/>
      <c r="VOZ3"/>
      <c r="VPA3"/>
      <c r="VPB3"/>
      <c r="VPC3"/>
      <c r="VPD3"/>
      <c r="VPE3"/>
      <c r="VPF3"/>
      <c r="VPG3"/>
      <c r="VPH3"/>
      <c r="VPI3"/>
      <c r="VPJ3"/>
      <c r="VPK3"/>
      <c r="VPL3"/>
      <c r="VPM3"/>
      <c r="VPN3"/>
      <c r="VPO3"/>
      <c r="VPP3"/>
      <c r="VPQ3"/>
      <c r="VPR3"/>
      <c r="VPS3"/>
      <c r="VPT3"/>
      <c r="VPU3"/>
      <c r="VPV3"/>
      <c r="VPW3"/>
      <c r="VPX3"/>
      <c r="VPY3"/>
      <c r="VPZ3"/>
      <c r="VQA3"/>
      <c r="VQB3"/>
      <c r="VQC3"/>
      <c r="VQD3"/>
      <c r="VQE3"/>
      <c r="VQF3"/>
      <c r="VQG3"/>
      <c r="VQH3"/>
      <c r="VQI3"/>
      <c r="VQJ3"/>
      <c r="VQK3"/>
      <c r="VQL3"/>
      <c r="VQM3"/>
      <c r="VQN3"/>
      <c r="VQO3"/>
      <c r="VQP3"/>
      <c r="VQQ3"/>
      <c r="VQR3"/>
      <c r="VQS3"/>
      <c r="VQT3"/>
      <c r="VQU3"/>
      <c r="VQV3"/>
      <c r="VQW3"/>
      <c r="VQX3"/>
      <c r="VQY3"/>
      <c r="VQZ3"/>
      <c r="VRA3"/>
      <c r="VRB3"/>
      <c r="VRC3"/>
      <c r="VRD3"/>
      <c r="VRE3"/>
      <c r="VRF3"/>
      <c r="VRG3"/>
      <c r="VRH3"/>
      <c r="VRI3"/>
      <c r="VRJ3"/>
      <c r="VRK3"/>
      <c r="VRL3"/>
      <c r="VRM3"/>
      <c r="VRN3"/>
      <c r="VRO3"/>
      <c r="VRP3"/>
      <c r="VRQ3"/>
      <c r="VRR3"/>
      <c r="VRS3"/>
      <c r="VRT3"/>
      <c r="VRU3"/>
      <c r="VRV3"/>
      <c r="VRW3"/>
      <c r="VRX3"/>
      <c r="VRY3"/>
      <c r="VRZ3"/>
      <c r="VSA3"/>
      <c r="VSB3"/>
      <c r="VSC3"/>
      <c r="VSD3"/>
      <c r="VSE3"/>
      <c r="VSF3"/>
      <c r="VSG3"/>
      <c r="VSH3"/>
      <c r="VSI3"/>
      <c r="VSJ3"/>
      <c r="VSK3"/>
      <c r="VSL3"/>
      <c r="VSM3"/>
      <c r="VSN3"/>
      <c r="VSO3"/>
      <c r="VSP3"/>
      <c r="VSQ3"/>
      <c r="VSR3"/>
      <c r="VSS3"/>
      <c r="VST3"/>
      <c r="VSU3"/>
      <c r="VSV3"/>
      <c r="VSW3"/>
      <c r="VSX3"/>
      <c r="VSY3"/>
      <c r="VSZ3"/>
      <c r="VTA3"/>
      <c r="VTB3"/>
      <c r="VTC3"/>
      <c r="VTD3"/>
      <c r="VTE3"/>
      <c r="VTF3"/>
      <c r="VTG3"/>
      <c r="VTH3"/>
      <c r="VTI3"/>
      <c r="VTJ3"/>
      <c r="VTK3"/>
      <c r="VTL3"/>
      <c r="VTM3"/>
      <c r="VTN3"/>
      <c r="VTO3"/>
      <c r="VTP3"/>
      <c r="VTQ3"/>
      <c r="VTR3"/>
      <c r="VTS3"/>
      <c r="VTT3"/>
      <c r="VTU3"/>
      <c r="VTV3"/>
      <c r="VTW3"/>
      <c r="VTX3"/>
      <c r="VTY3"/>
      <c r="VTZ3"/>
      <c r="VUA3"/>
      <c r="VUB3"/>
      <c r="VUC3"/>
      <c r="VUD3"/>
      <c r="VUE3"/>
      <c r="VUF3"/>
      <c r="VUG3"/>
      <c r="VUH3"/>
      <c r="VUI3"/>
      <c r="VUJ3"/>
      <c r="VUK3"/>
      <c r="VUL3"/>
      <c r="VUM3"/>
      <c r="VUN3"/>
      <c r="VUO3"/>
      <c r="VUP3"/>
      <c r="VUQ3"/>
      <c r="VUR3"/>
      <c r="VUS3"/>
      <c r="VUT3"/>
      <c r="VUU3"/>
      <c r="VUV3"/>
      <c r="VUW3"/>
      <c r="VUX3"/>
      <c r="VUY3"/>
      <c r="VUZ3"/>
      <c r="VVA3"/>
      <c r="VVB3"/>
      <c r="VVC3"/>
      <c r="VVD3"/>
      <c r="VVE3"/>
      <c r="VVF3"/>
      <c r="VVG3"/>
      <c r="VVH3"/>
      <c r="VVI3"/>
      <c r="VVJ3"/>
      <c r="VVK3"/>
      <c r="VVL3"/>
      <c r="VVM3"/>
      <c r="VVN3"/>
      <c r="VVO3"/>
      <c r="VVP3"/>
      <c r="VVQ3"/>
      <c r="VVR3"/>
      <c r="VVS3"/>
      <c r="VVT3"/>
      <c r="VVU3"/>
      <c r="VVV3"/>
      <c r="VVW3"/>
      <c r="VVX3"/>
      <c r="VVY3"/>
      <c r="VVZ3"/>
      <c r="VWA3"/>
      <c r="VWB3"/>
      <c r="VWC3"/>
      <c r="VWD3"/>
      <c r="VWE3"/>
      <c r="VWF3"/>
      <c r="VWG3"/>
      <c r="VWH3"/>
      <c r="VWI3"/>
      <c r="VWJ3"/>
      <c r="VWK3"/>
      <c r="VWL3"/>
      <c r="VWM3"/>
      <c r="VWN3"/>
      <c r="VWO3"/>
      <c r="VWP3"/>
      <c r="VWQ3"/>
      <c r="VWR3"/>
      <c r="VWS3"/>
      <c r="VWT3"/>
      <c r="VWU3"/>
      <c r="VWV3"/>
      <c r="VWW3"/>
      <c r="VWX3"/>
      <c r="VWY3"/>
      <c r="VWZ3"/>
      <c r="VXA3"/>
      <c r="VXB3"/>
      <c r="VXC3"/>
      <c r="VXD3"/>
      <c r="VXE3"/>
      <c r="VXF3"/>
      <c r="VXG3"/>
      <c r="VXH3"/>
      <c r="VXI3"/>
      <c r="VXJ3"/>
      <c r="VXK3"/>
      <c r="VXL3"/>
      <c r="VXM3"/>
      <c r="VXN3"/>
      <c r="VXO3"/>
      <c r="VXP3"/>
      <c r="VXQ3"/>
      <c r="VXR3"/>
      <c r="VXS3"/>
      <c r="VXT3"/>
      <c r="VXU3"/>
      <c r="VXV3"/>
      <c r="VXW3"/>
      <c r="VXX3"/>
      <c r="VXY3"/>
      <c r="VXZ3"/>
      <c r="VYA3"/>
      <c r="VYB3"/>
      <c r="VYC3"/>
      <c r="VYD3"/>
      <c r="VYE3"/>
      <c r="VYF3"/>
      <c r="VYG3"/>
      <c r="VYH3"/>
      <c r="VYI3"/>
      <c r="VYJ3"/>
      <c r="VYK3"/>
      <c r="VYL3"/>
      <c r="VYM3"/>
      <c r="VYN3"/>
      <c r="VYO3"/>
      <c r="VYP3"/>
      <c r="VYQ3"/>
      <c r="VYR3"/>
      <c r="VYS3"/>
      <c r="VYT3"/>
      <c r="VYU3"/>
      <c r="VYV3"/>
      <c r="VYW3"/>
      <c r="VYX3"/>
      <c r="VYY3"/>
      <c r="VYZ3"/>
      <c r="VZA3"/>
      <c r="VZB3"/>
      <c r="VZC3"/>
      <c r="VZD3"/>
      <c r="VZE3"/>
      <c r="VZF3"/>
      <c r="VZG3"/>
      <c r="VZH3"/>
      <c r="VZI3"/>
      <c r="VZJ3"/>
      <c r="VZK3"/>
      <c r="VZL3"/>
      <c r="VZM3"/>
      <c r="VZN3"/>
      <c r="VZO3"/>
      <c r="VZP3"/>
      <c r="VZQ3"/>
      <c r="VZR3"/>
      <c r="VZS3"/>
      <c r="VZT3"/>
      <c r="VZU3"/>
      <c r="VZV3"/>
      <c r="VZW3"/>
      <c r="VZX3"/>
      <c r="VZY3"/>
      <c r="VZZ3"/>
      <c r="WAA3"/>
      <c r="WAB3"/>
      <c r="WAC3"/>
      <c r="WAD3"/>
      <c r="WAE3"/>
      <c r="WAF3"/>
      <c r="WAG3"/>
      <c r="WAH3"/>
      <c r="WAI3"/>
      <c r="WAJ3"/>
      <c r="WAK3"/>
      <c r="WAL3"/>
      <c r="WAM3"/>
      <c r="WAN3"/>
      <c r="WAO3"/>
      <c r="WAP3"/>
      <c r="WAQ3"/>
      <c r="WAR3"/>
      <c r="WAS3"/>
      <c r="WAT3"/>
      <c r="WAU3"/>
      <c r="WAV3"/>
      <c r="WAW3"/>
      <c r="WAX3"/>
      <c r="WAY3"/>
      <c r="WAZ3"/>
      <c r="WBA3"/>
      <c r="WBB3"/>
      <c r="WBC3"/>
      <c r="WBD3"/>
      <c r="WBE3"/>
      <c r="WBF3"/>
      <c r="WBG3"/>
      <c r="WBH3"/>
      <c r="WBI3"/>
      <c r="WBJ3"/>
      <c r="WBK3"/>
      <c r="WBL3"/>
      <c r="WBM3"/>
      <c r="WBN3"/>
      <c r="WBO3"/>
      <c r="WBP3"/>
      <c r="WBQ3"/>
      <c r="WBR3"/>
      <c r="WBS3"/>
      <c r="WBT3"/>
      <c r="WBU3"/>
      <c r="WBV3"/>
      <c r="WBW3"/>
      <c r="WBX3"/>
      <c r="WBY3"/>
      <c r="WBZ3"/>
      <c r="WCA3"/>
      <c r="WCB3"/>
      <c r="WCC3"/>
      <c r="WCD3"/>
      <c r="WCE3"/>
      <c r="WCF3"/>
      <c r="WCG3"/>
      <c r="WCH3"/>
      <c r="WCI3"/>
      <c r="WCJ3"/>
      <c r="WCK3"/>
      <c r="WCL3"/>
      <c r="WCM3"/>
      <c r="WCN3"/>
      <c r="WCO3"/>
      <c r="WCP3"/>
      <c r="WCQ3"/>
      <c r="WCR3"/>
      <c r="WCS3"/>
      <c r="WCT3"/>
      <c r="WCU3"/>
      <c r="WCV3"/>
      <c r="WCW3"/>
      <c r="WCX3"/>
      <c r="WCY3"/>
      <c r="WCZ3"/>
      <c r="WDA3"/>
      <c r="WDB3"/>
      <c r="WDC3"/>
      <c r="WDD3"/>
      <c r="WDE3"/>
      <c r="WDF3"/>
      <c r="WDG3"/>
      <c r="WDH3"/>
      <c r="WDI3"/>
      <c r="WDJ3"/>
      <c r="WDK3"/>
      <c r="WDL3"/>
      <c r="WDM3"/>
      <c r="WDN3"/>
      <c r="WDO3"/>
      <c r="WDP3"/>
      <c r="WDQ3"/>
      <c r="WDR3"/>
      <c r="WDS3"/>
      <c r="WDT3"/>
      <c r="WDU3"/>
      <c r="WDV3"/>
      <c r="WDW3"/>
      <c r="WDX3"/>
      <c r="WDY3"/>
      <c r="WDZ3"/>
      <c r="WEA3"/>
      <c r="WEB3"/>
      <c r="WEC3"/>
      <c r="WED3"/>
      <c r="WEE3"/>
      <c r="WEF3"/>
      <c r="WEG3"/>
      <c r="WEH3"/>
      <c r="WEI3"/>
      <c r="WEJ3"/>
      <c r="WEK3"/>
      <c r="WEL3"/>
      <c r="WEM3"/>
      <c r="WEN3"/>
      <c r="WEO3"/>
      <c r="WEP3"/>
      <c r="WEQ3"/>
      <c r="WER3"/>
      <c r="WES3"/>
      <c r="WET3"/>
      <c r="WEU3"/>
      <c r="WEV3"/>
      <c r="WEW3"/>
      <c r="WEX3"/>
      <c r="WEY3"/>
      <c r="WEZ3"/>
      <c r="WFA3"/>
      <c r="WFB3"/>
      <c r="WFC3"/>
      <c r="WFD3"/>
      <c r="WFE3"/>
      <c r="WFF3"/>
      <c r="WFG3"/>
      <c r="WFH3"/>
      <c r="WFI3"/>
      <c r="WFJ3"/>
      <c r="WFK3"/>
      <c r="WFL3"/>
      <c r="WFM3"/>
      <c r="WFN3"/>
      <c r="WFO3"/>
      <c r="WFP3"/>
      <c r="WFQ3"/>
      <c r="WFR3"/>
      <c r="WFS3"/>
      <c r="WFT3"/>
      <c r="WFU3"/>
      <c r="WFV3"/>
      <c r="WFW3"/>
      <c r="WFX3"/>
      <c r="WFY3"/>
      <c r="WFZ3"/>
      <c r="WGA3"/>
      <c r="WGB3"/>
      <c r="WGC3"/>
      <c r="WGD3"/>
      <c r="WGE3"/>
      <c r="WGF3"/>
      <c r="WGG3"/>
      <c r="WGH3"/>
      <c r="WGI3"/>
      <c r="WGJ3"/>
      <c r="WGK3"/>
      <c r="WGL3"/>
      <c r="WGM3"/>
      <c r="WGN3"/>
      <c r="WGO3"/>
      <c r="WGP3"/>
      <c r="WGQ3"/>
      <c r="WGR3"/>
      <c r="WGS3"/>
      <c r="WGT3"/>
      <c r="WGU3"/>
      <c r="WGV3"/>
      <c r="WGW3"/>
      <c r="WGX3"/>
      <c r="WGY3"/>
      <c r="WGZ3"/>
      <c r="WHA3"/>
      <c r="WHB3"/>
      <c r="WHC3"/>
      <c r="WHD3"/>
      <c r="WHE3"/>
      <c r="WHF3"/>
      <c r="WHG3"/>
      <c r="WHH3"/>
      <c r="WHI3"/>
      <c r="WHJ3"/>
      <c r="WHK3"/>
      <c r="WHL3"/>
      <c r="WHM3"/>
      <c r="WHN3"/>
      <c r="WHO3"/>
      <c r="WHP3"/>
      <c r="WHQ3"/>
      <c r="WHR3"/>
      <c r="WHS3"/>
      <c r="WHT3"/>
      <c r="WHU3"/>
      <c r="WHV3"/>
      <c r="WHW3"/>
      <c r="WHX3"/>
      <c r="WHY3"/>
      <c r="WHZ3"/>
      <c r="WIA3"/>
      <c r="WIB3"/>
      <c r="WIC3"/>
      <c r="WID3"/>
      <c r="WIE3"/>
      <c r="WIF3"/>
      <c r="WIG3"/>
      <c r="WIH3"/>
      <c r="WII3"/>
      <c r="WIJ3"/>
      <c r="WIK3"/>
      <c r="WIL3"/>
      <c r="WIM3"/>
      <c r="WIN3"/>
      <c r="WIO3"/>
      <c r="WIP3"/>
      <c r="WIQ3"/>
      <c r="WIR3"/>
      <c r="WIS3"/>
      <c r="WIT3"/>
      <c r="WIU3"/>
      <c r="WIV3"/>
      <c r="WIW3"/>
      <c r="WIX3"/>
      <c r="WIY3"/>
      <c r="WIZ3"/>
      <c r="WJA3"/>
      <c r="WJB3"/>
      <c r="WJC3"/>
      <c r="WJD3"/>
      <c r="WJE3"/>
      <c r="WJF3"/>
      <c r="WJG3"/>
      <c r="WJH3"/>
      <c r="WJI3"/>
      <c r="WJJ3"/>
      <c r="WJK3"/>
      <c r="WJL3"/>
      <c r="WJM3"/>
      <c r="WJN3"/>
      <c r="WJO3"/>
      <c r="WJP3"/>
      <c r="WJQ3"/>
      <c r="WJR3"/>
      <c r="WJS3"/>
      <c r="WJT3"/>
      <c r="WJU3"/>
      <c r="WJV3"/>
      <c r="WJW3"/>
      <c r="WJX3"/>
      <c r="WJY3"/>
      <c r="WJZ3"/>
      <c r="WKA3"/>
      <c r="WKB3"/>
      <c r="WKC3"/>
      <c r="WKD3"/>
      <c r="WKE3"/>
      <c r="WKF3"/>
      <c r="WKG3"/>
      <c r="WKH3"/>
      <c r="WKI3"/>
      <c r="WKJ3"/>
      <c r="WKK3"/>
      <c r="WKL3"/>
      <c r="WKM3"/>
      <c r="WKN3"/>
      <c r="WKO3"/>
      <c r="WKP3"/>
      <c r="WKQ3"/>
      <c r="WKR3"/>
      <c r="WKS3"/>
      <c r="WKT3"/>
      <c r="WKU3"/>
      <c r="WKV3"/>
      <c r="WKW3"/>
      <c r="WKX3"/>
      <c r="WKY3"/>
      <c r="WKZ3"/>
      <c r="WLA3"/>
      <c r="WLB3"/>
      <c r="WLC3"/>
      <c r="WLD3"/>
      <c r="WLE3"/>
      <c r="WLF3"/>
      <c r="WLG3"/>
      <c r="WLH3"/>
      <c r="WLI3"/>
      <c r="WLJ3"/>
      <c r="WLK3"/>
      <c r="WLL3"/>
      <c r="WLM3"/>
      <c r="WLN3"/>
      <c r="WLO3"/>
      <c r="WLP3"/>
      <c r="WLQ3"/>
      <c r="WLR3"/>
      <c r="WLS3"/>
      <c r="WLT3"/>
      <c r="WLU3"/>
      <c r="WLV3"/>
      <c r="WLW3"/>
      <c r="WLX3"/>
      <c r="WLY3"/>
      <c r="WLZ3"/>
      <c r="WMA3"/>
      <c r="WMB3"/>
      <c r="WMC3"/>
      <c r="WMD3"/>
      <c r="WME3"/>
      <c r="WMF3"/>
      <c r="WMG3"/>
      <c r="WMH3"/>
      <c r="WMI3"/>
      <c r="WMJ3"/>
      <c r="WMK3"/>
      <c r="WML3"/>
      <c r="WMM3"/>
      <c r="WMN3"/>
      <c r="WMO3"/>
      <c r="WMP3"/>
      <c r="WMQ3"/>
      <c r="WMR3"/>
      <c r="WMS3"/>
      <c r="WMT3"/>
      <c r="WMU3"/>
      <c r="WMV3"/>
      <c r="WMW3"/>
      <c r="WMX3"/>
      <c r="WMY3"/>
      <c r="WMZ3"/>
      <c r="WNA3"/>
      <c r="WNB3"/>
      <c r="WNC3"/>
      <c r="WND3"/>
      <c r="WNE3"/>
      <c r="WNF3"/>
      <c r="WNG3"/>
      <c r="WNH3"/>
      <c r="WNI3"/>
      <c r="WNJ3"/>
      <c r="WNK3"/>
      <c r="WNL3"/>
      <c r="WNM3"/>
      <c r="WNN3"/>
      <c r="WNO3"/>
      <c r="WNP3"/>
      <c r="WNQ3"/>
      <c r="WNR3"/>
      <c r="WNS3"/>
      <c r="WNT3"/>
      <c r="WNU3"/>
      <c r="WNV3"/>
      <c r="WNW3"/>
      <c r="WNX3"/>
      <c r="WNY3"/>
      <c r="WNZ3"/>
      <c r="WOA3"/>
      <c r="WOB3"/>
      <c r="WOC3"/>
      <c r="WOD3"/>
      <c r="WOE3"/>
      <c r="WOF3"/>
      <c r="WOG3"/>
      <c r="WOH3"/>
      <c r="WOI3"/>
      <c r="WOJ3"/>
      <c r="WOK3"/>
      <c r="WOL3"/>
      <c r="WOM3"/>
      <c r="WON3"/>
      <c r="WOO3"/>
      <c r="WOP3"/>
      <c r="WOQ3"/>
      <c r="WOR3"/>
      <c r="WOS3"/>
      <c r="WOT3"/>
      <c r="WOU3"/>
      <c r="WOV3"/>
      <c r="WOW3"/>
      <c r="WOX3"/>
      <c r="WOY3"/>
      <c r="WOZ3"/>
      <c r="WPA3"/>
      <c r="WPB3"/>
      <c r="WPC3"/>
      <c r="WPD3"/>
      <c r="WPE3"/>
      <c r="WPF3"/>
      <c r="WPG3"/>
      <c r="WPH3"/>
      <c r="WPI3"/>
      <c r="WPJ3"/>
      <c r="WPK3"/>
      <c r="WPL3"/>
      <c r="WPM3"/>
      <c r="WPN3"/>
      <c r="WPO3"/>
      <c r="WPP3"/>
      <c r="WPQ3"/>
      <c r="WPR3"/>
      <c r="WPS3"/>
      <c r="WPT3"/>
      <c r="WPU3"/>
      <c r="WPV3"/>
      <c r="WPW3"/>
      <c r="WPX3"/>
      <c r="WPY3"/>
      <c r="WPZ3"/>
      <c r="WQA3"/>
      <c r="WQB3"/>
      <c r="WQC3"/>
      <c r="WQD3"/>
      <c r="WQE3"/>
      <c r="WQF3"/>
      <c r="WQG3"/>
      <c r="WQH3"/>
      <c r="WQI3"/>
      <c r="WQJ3"/>
      <c r="WQK3"/>
      <c r="WQL3"/>
      <c r="WQM3"/>
      <c r="WQN3"/>
      <c r="WQO3"/>
      <c r="WQP3"/>
      <c r="WQQ3"/>
      <c r="WQR3"/>
      <c r="WQS3"/>
      <c r="WQT3"/>
      <c r="WQU3"/>
      <c r="WQV3"/>
      <c r="WQW3"/>
      <c r="WQX3"/>
      <c r="WQY3"/>
      <c r="WQZ3"/>
      <c r="WRA3"/>
      <c r="WRB3"/>
      <c r="WRC3"/>
      <c r="WRD3"/>
      <c r="WRE3"/>
      <c r="WRF3"/>
      <c r="WRG3"/>
      <c r="WRH3"/>
      <c r="WRI3"/>
      <c r="WRJ3"/>
      <c r="WRK3"/>
      <c r="WRL3"/>
      <c r="WRM3"/>
      <c r="WRN3"/>
      <c r="WRO3"/>
      <c r="WRP3"/>
      <c r="WRQ3"/>
      <c r="WRR3"/>
      <c r="WRS3"/>
      <c r="WRT3"/>
      <c r="WRU3"/>
      <c r="WRV3"/>
      <c r="WRW3"/>
      <c r="WRX3"/>
      <c r="WRY3"/>
      <c r="WRZ3"/>
      <c r="WSA3"/>
      <c r="WSB3"/>
      <c r="WSC3"/>
      <c r="WSD3"/>
      <c r="WSE3"/>
      <c r="WSF3"/>
      <c r="WSG3"/>
      <c r="WSH3"/>
      <c r="WSI3"/>
      <c r="WSJ3"/>
      <c r="WSK3"/>
      <c r="WSL3"/>
      <c r="WSM3"/>
      <c r="WSN3"/>
      <c r="WSO3"/>
      <c r="WSP3"/>
      <c r="WSQ3"/>
      <c r="WSR3"/>
      <c r="WSS3"/>
      <c r="WST3"/>
      <c r="WSU3"/>
      <c r="WSV3"/>
      <c r="WSW3"/>
      <c r="WSX3"/>
      <c r="WSY3"/>
      <c r="WSZ3"/>
      <c r="WTA3"/>
      <c r="WTB3"/>
      <c r="WTC3"/>
      <c r="WTD3"/>
      <c r="WTE3"/>
      <c r="WTF3"/>
      <c r="WTG3"/>
      <c r="WTH3"/>
      <c r="WTI3"/>
      <c r="WTJ3"/>
      <c r="WTK3"/>
      <c r="WTL3"/>
      <c r="WTM3"/>
      <c r="WTN3"/>
      <c r="WTO3"/>
      <c r="WTP3"/>
      <c r="WTQ3"/>
      <c r="WTR3"/>
      <c r="WTS3"/>
      <c r="WTT3"/>
      <c r="WTU3"/>
      <c r="WTV3"/>
      <c r="WTW3"/>
      <c r="WTX3"/>
      <c r="WTY3"/>
      <c r="WTZ3"/>
      <c r="WUA3"/>
      <c r="WUB3"/>
      <c r="WUC3"/>
      <c r="WUD3"/>
      <c r="WUE3"/>
      <c r="WUF3"/>
      <c r="WUG3"/>
      <c r="WUH3"/>
      <c r="WUI3"/>
      <c r="WUJ3"/>
      <c r="WUK3"/>
      <c r="WUL3"/>
      <c r="WUM3"/>
      <c r="WUN3"/>
      <c r="WUO3"/>
      <c r="WUP3"/>
      <c r="WUQ3"/>
      <c r="WUR3"/>
      <c r="WUS3"/>
      <c r="WUT3"/>
      <c r="WUU3"/>
      <c r="WUV3"/>
      <c r="WUW3"/>
      <c r="WUX3"/>
      <c r="WUY3"/>
      <c r="WUZ3"/>
      <c r="WVA3"/>
      <c r="WVB3"/>
      <c r="WVC3"/>
      <c r="WVD3"/>
      <c r="WVE3"/>
      <c r="WVF3"/>
      <c r="WVG3"/>
      <c r="WVH3"/>
      <c r="WVI3"/>
      <c r="WVJ3"/>
      <c r="WVK3"/>
      <c r="WVL3"/>
      <c r="WVM3"/>
      <c r="WVN3"/>
      <c r="WVO3"/>
      <c r="WVP3"/>
      <c r="WVQ3"/>
      <c r="WVR3"/>
      <c r="WVS3"/>
      <c r="WVT3"/>
      <c r="WVU3"/>
      <c r="WVV3"/>
      <c r="WVW3"/>
      <c r="WVX3"/>
      <c r="WVY3"/>
      <c r="WVZ3"/>
      <c r="WWA3"/>
      <c r="WWB3"/>
      <c r="WWC3"/>
      <c r="WWD3"/>
      <c r="WWE3"/>
      <c r="WWF3"/>
      <c r="WWG3"/>
      <c r="WWH3"/>
      <c r="WWI3"/>
      <c r="WWJ3"/>
      <c r="WWK3"/>
      <c r="WWL3"/>
      <c r="WWM3"/>
      <c r="WWN3"/>
      <c r="WWO3"/>
      <c r="WWP3"/>
      <c r="WWQ3"/>
      <c r="WWR3"/>
      <c r="WWS3"/>
      <c r="WWT3"/>
      <c r="WWU3"/>
      <c r="WWV3"/>
      <c r="WWW3"/>
      <c r="WWX3"/>
      <c r="WWY3"/>
      <c r="WWZ3"/>
      <c r="WXA3"/>
      <c r="WXB3"/>
      <c r="WXC3"/>
      <c r="WXD3"/>
      <c r="WXE3"/>
      <c r="WXF3"/>
      <c r="WXG3"/>
      <c r="WXH3"/>
      <c r="WXI3"/>
      <c r="WXJ3"/>
      <c r="WXK3"/>
      <c r="WXL3"/>
      <c r="WXM3"/>
      <c r="WXN3"/>
      <c r="WXO3"/>
      <c r="WXP3"/>
      <c r="WXQ3"/>
      <c r="WXR3"/>
      <c r="WXS3"/>
      <c r="WXT3"/>
      <c r="WXU3"/>
      <c r="WXV3"/>
      <c r="WXW3"/>
      <c r="WXX3"/>
      <c r="WXY3"/>
      <c r="WXZ3"/>
      <c r="WYA3"/>
      <c r="WYB3"/>
      <c r="WYC3"/>
      <c r="WYD3"/>
      <c r="WYE3"/>
      <c r="WYF3"/>
      <c r="WYG3"/>
      <c r="WYH3"/>
      <c r="WYI3"/>
      <c r="WYJ3"/>
      <c r="WYK3"/>
      <c r="WYL3"/>
      <c r="WYM3"/>
      <c r="WYN3"/>
      <c r="WYO3"/>
      <c r="WYP3"/>
      <c r="WYQ3"/>
      <c r="WYR3"/>
      <c r="WYS3"/>
      <c r="WYT3"/>
      <c r="WYU3"/>
      <c r="WYV3"/>
      <c r="WYW3"/>
      <c r="WYX3"/>
      <c r="WYY3"/>
      <c r="WYZ3"/>
      <c r="WZA3"/>
      <c r="WZB3"/>
      <c r="WZC3"/>
      <c r="WZD3"/>
      <c r="WZE3"/>
      <c r="WZF3"/>
      <c r="WZG3"/>
      <c r="WZH3"/>
      <c r="WZI3"/>
      <c r="WZJ3"/>
      <c r="WZK3"/>
      <c r="WZL3"/>
      <c r="WZM3"/>
      <c r="WZN3"/>
      <c r="WZO3"/>
      <c r="WZP3"/>
      <c r="WZQ3"/>
      <c r="WZR3"/>
      <c r="WZS3"/>
      <c r="WZT3"/>
      <c r="WZU3"/>
      <c r="WZV3"/>
      <c r="WZW3"/>
      <c r="WZX3"/>
      <c r="WZY3"/>
      <c r="WZZ3"/>
      <c r="XAA3"/>
      <c r="XAB3"/>
      <c r="XAC3"/>
      <c r="XAD3"/>
      <c r="XAE3"/>
      <c r="XAF3"/>
      <c r="XAG3"/>
      <c r="XAH3"/>
      <c r="XAI3"/>
      <c r="XAJ3"/>
      <c r="XAK3"/>
      <c r="XAL3"/>
      <c r="XAM3"/>
      <c r="XAN3"/>
      <c r="XAO3"/>
      <c r="XAP3"/>
      <c r="XAQ3"/>
      <c r="XAR3"/>
      <c r="XAS3"/>
      <c r="XAT3"/>
      <c r="XAU3"/>
      <c r="XAV3"/>
      <c r="XAW3"/>
      <c r="XAX3"/>
      <c r="XAY3"/>
      <c r="XAZ3"/>
      <c r="XBA3"/>
      <c r="XBB3"/>
      <c r="XBC3"/>
      <c r="XBD3"/>
      <c r="XBE3"/>
      <c r="XBF3"/>
      <c r="XBG3"/>
      <c r="XBH3"/>
      <c r="XBI3"/>
      <c r="XBJ3"/>
      <c r="XBK3"/>
      <c r="XBL3"/>
      <c r="XBM3"/>
      <c r="XBN3"/>
      <c r="XBO3"/>
      <c r="XBP3"/>
      <c r="XBQ3"/>
      <c r="XBR3"/>
      <c r="XBS3"/>
      <c r="XBT3"/>
      <c r="XBU3"/>
      <c r="XBV3"/>
      <c r="XBW3"/>
      <c r="XBX3"/>
      <c r="XBY3"/>
      <c r="XBZ3"/>
      <c r="XCA3"/>
      <c r="XCB3"/>
      <c r="XCC3"/>
      <c r="XCD3"/>
      <c r="XCE3"/>
      <c r="XCF3"/>
      <c r="XCG3"/>
      <c r="XCH3"/>
      <c r="XCI3"/>
      <c r="XCJ3"/>
      <c r="XCK3"/>
      <c r="XCL3"/>
      <c r="XCM3"/>
      <c r="XCN3"/>
      <c r="XCO3"/>
      <c r="XCP3"/>
      <c r="XCQ3"/>
      <c r="XCR3"/>
      <c r="XCS3"/>
      <c r="XCT3"/>
      <c r="XCU3"/>
      <c r="XCV3"/>
      <c r="XCW3"/>
      <c r="XCX3"/>
      <c r="XCY3"/>
      <c r="XCZ3"/>
      <c r="XDA3"/>
      <c r="XDB3"/>
      <c r="XDC3"/>
      <c r="XDD3"/>
      <c r="XDE3"/>
      <c r="XDF3"/>
      <c r="XDG3"/>
      <c r="XDH3"/>
      <c r="XDI3"/>
      <c r="XDJ3"/>
      <c r="XDK3"/>
      <c r="XDL3"/>
      <c r="XDM3"/>
      <c r="XDN3"/>
      <c r="XDO3"/>
      <c r="XDP3"/>
      <c r="XDQ3"/>
      <c r="XDR3"/>
      <c r="XDS3"/>
      <c r="XDT3"/>
      <c r="XDU3"/>
      <c r="XDV3"/>
      <c r="XDW3"/>
      <c r="XDX3"/>
      <c r="XDY3"/>
      <c r="XDZ3"/>
      <c r="XEA3"/>
      <c r="XEB3"/>
      <c r="XEC3"/>
      <c r="XED3"/>
      <c r="XEE3"/>
      <c r="XEF3"/>
      <c r="XEG3"/>
      <c r="XEH3"/>
      <c r="XEI3"/>
      <c r="XEJ3"/>
      <c r="XEK3"/>
      <c r="XEL3"/>
      <c r="XEM3"/>
      <c r="XEN3"/>
      <c r="XEO3"/>
      <c r="XEP3"/>
      <c r="XEQ3"/>
      <c r="XER3"/>
      <c r="XES3"/>
      <c r="XET3"/>
      <c r="XEU3"/>
      <c r="XEV3"/>
    </row>
    <row r="4" spans="1:16376" x14ac:dyDescent="0.3">
      <c r="A4" s="153" t="s">
        <v>686</v>
      </c>
      <c r="B4" s="169"/>
      <c r="C4" s="169"/>
      <c r="D4" s="169"/>
      <c r="E4" s="169"/>
      <c r="F4" s="169"/>
      <c r="G4" s="169"/>
      <c r="H4" s="170"/>
    </row>
    <row r="5" spans="1:16376" x14ac:dyDescent="0.3">
      <c r="A5" s="152"/>
      <c r="B5" s="169"/>
      <c r="C5" s="169"/>
      <c r="D5" s="169"/>
      <c r="E5" s="169"/>
      <c r="F5" s="169"/>
      <c r="G5" s="169"/>
      <c r="H5" s="170"/>
    </row>
    <row r="6" spans="1:16376" x14ac:dyDescent="0.3">
      <c r="A6" s="307" t="s">
        <v>662</v>
      </c>
      <c r="B6" s="276"/>
      <c r="C6" s="276"/>
      <c r="D6" s="276"/>
      <c r="E6" s="276"/>
      <c r="F6" s="276"/>
      <c r="G6" s="276"/>
      <c r="H6" s="308"/>
    </row>
    <row r="7" spans="1:16376" x14ac:dyDescent="0.3">
      <c r="A7" s="152"/>
      <c r="B7" s="169"/>
      <c r="C7" s="169"/>
      <c r="D7" s="169"/>
      <c r="E7" s="169"/>
      <c r="F7" s="169"/>
      <c r="G7" s="169"/>
      <c r="H7" s="170"/>
    </row>
    <row r="8" spans="1:16376" ht="228.9" customHeight="1" x14ac:dyDescent="0.3">
      <c r="A8" s="302" t="s">
        <v>661</v>
      </c>
      <c r="B8" s="270"/>
      <c r="C8" s="270"/>
      <c r="D8" s="270"/>
      <c r="E8" s="270"/>
      <c r="F8" s="270"/>
      <c r="G8" s="270"/>
      <c r="H8" s="303"/>
    </row>
    <row r="9" spans="1:16376" ht="15" customHeight="1" x14ac:dyDescent="0.3">
      <c r="A9" s="166"/>
      <c r="B9" s="167"/>
      <c r="C9" s="167"/>
      <c r="D9" s="167"/>
      <c r="E9" s="167"/>
      <c r="F9" s="167"/>
      <c r="G9" s="167"/>
      <c r="H9" s="168"/>
    </row>
    <row r="10" spans="1:16376" s="151" customFormat="1" ht="129.9" customHeight="1" x14ac:dyDescent="0.3">
      <c r="A10" s="312" t="s">
        <v>660</v>
      </c>
      <c r="B10" s="313"/>
      <c r="C10" s="313"/>
      <c r="D10" s="313"/>
      <c r="E10" s="313"/>
      <c r="F10" s="313"/>
      <c r="G10" s="313"/>
      <c r="H10" s="314"/>
    </row>
    <row r="11" spans="1:16376" ht="90" customHeight="1" x14ac:dyDescent="0.3">
      <c r="A11" s="295" t="s">
        <v>682</v>
      </c>
      <c r="B11" s="271"/>
      <c r="C11" s="271"/>
      <c r="D11" s="271"/>
      <c r="E11" s="271"/>
      <c r="F11" s="271"/>
      <c r="G11" s="271"/>
      <c r="H11" s="296"/>
    </row>
    <row r="13" spans="1:16376" x14ac:dyDescent="0.3">
      <c r="A13" s="297" t="s">
        <v>523</v>
      </c>
      <c r="B13" s="273"/>
      <c r="C13" s="273"/>
      <c r="D13" s="273"/>
      <c r="E13" s="273"/>
      <c r="F13" s="273"/>
      <c r="G13" s="273"/>
      <c r="H13" s="298"/>
    </row>
    <row r="14" spans="1:16376" ht="120" customHeight="1" x14ac:dyDescent="0.3">
      <c r="A14" s="295" t="s">
        <v>683</v>
      </c>
      <c r="B14" s="271"/>
      <c r="C14" s="271"/>
      <c r="D14" s="271"/>
      <c r="E14" s="271"/>
      <c r="F14" s="271"/>
      <c r="G14" s="271"/>
      <c r="H14" s="296"/>
    </row>
    <row r="16" spans="1:16376" x14ac:dyDescent="0.3">
      <c r="A16" s="297" t="s">
        <v>679</v>
      </c>
      <c r="B16" s="273"/>
      <c r="C16" s="273"/>
      <c r="D16" s="273"/>
      <c r="E16" s="273"/>
      <c r="F16" s="273"/>
      <c r="G16" s="273"/>
      <c r="H16" s="298"/>
    </row>
    <row r="17" spans="1:8" ht="150" customHeight="1" x14ac:dyDescent="0.3">
      <c r="A17" s="302" t="s">
        <v>659</v>
      </c>
      <c r="B17" s="270"/>
      <c r="C17" s="270"/>
      <c r="D17" s="270"/>
      <c r="E17" s="270"/>
      <c r="F17" s="270"/>
      <c r="G17" s="270"/>
      <c r="H17" s="303"/>
    </row>
    <row r="19" spans="1:8" x14ac:dyDescent="0.3">
      <c r="A19" s="299" t="s">
        <v>521</v>
      </c>
      <c r="B19" s="300"/>
      <c r="C19" s="300"/>
      <c r="D19" s="300"/>
      <c r="E19" s="300"/>
      <c r="F19" s="300"/>
      <c r="G19" s="300"/>
      <c r="H19" s="301"/>
    </row>
    <row r="20" spans="1:8" x14ac:dyDescent="0.3">
      <c r="A20" s="177" t="s">
        <v>520</v>
      </c>
      <c r="B20" s="178" t="s">
        <v>519</v>
      </c>
      <c r="C20" s="177" t="s">
        <v>518</v>
      </c>
      <c r="D20" s="279" t="s">
        <v>517</v>
      </c>
      <c r="E20" s="279"/>
      <c r="F20" s="279"/>
      <c r="G20" s="279"/>
      <c r="H20" s="279"/>
    </row>
    <row r="21" spans="1:8" ht="92.4" x14ac:dyDescent="0.3">
      <c r="A21" s="280" t="s">
        <v>516</v>
      </c>
      <c r="B21" s="283" t="s">
        <v>515</v>
      </c>
      <c r="C21" s="174" t="s">
        <v>658</v>
      </c>
      <c r="D21" s="286" t="s">
        <v>657</v>
      </c>
      <c r="E21" s="286"/>
      <c r="F21" s="286"/>
      <c r="G21" s="286"/>
      <c r="H21" s="286"/>
    </row>
    <row r="22" spans="1:8" ht="76.5" customHeight="1" x14ac:dyDescent="0.3">
      <c r="A22" s="281"/>
      <c r="B22" s="284"/>
      <c r="C22" s="176" t="s">
        <v>513</v>
      </c>
      <c r="D22" s="286" t="s">
        <v>656</v>
      </c>
      <c r="E22" s="286"/>
      <c r="F22" s="286"/>
      <c r="G22" s="286"/>
      <c r="H22" s="286"/>
    </row>
    <row r="23" spans="1:8" ht="39.6" customHeight="1" x14ac:dyDescent="0.3">
      <c r="A23" s="281"/>
      <c r="B23" s="284"/>
      <c r="C23" s="171" t="s">
        <v>512</v>
      </c>
      <c r="D23" s="286" t="s">
        <v>655</v>
      </c>
      <c r="E23" s="286"/>
      <c r="F23" s="286"/>
      <c r="G23" s="286"/>
      <c r="H23" s="286"/>
    </row>
    <row r="24" spans="1:8" ht="54" customHeight="1" x14ac:dyDescent="0.3">
      <c r="A24" s="281"/>
      <c r="B24" s="284"/>
      <c r="C24" s="171" t="s">
        <v>511</v>
      </c>
      <c r="D24" s="286" t="s">
        <v>654</v>
      </c>
      <c r="E24" s="286"/>
      <c r="F24" s="286"/>
      <c r="G24" s="286"/>
      <c r="H24" s="286"/>
    </row>
    <row r="25" spans="1:8" ht="66" customHeight="1" x14ac:dyDescent="0.3">
      <c r="A25" s="281"/>
      <c r="B25" s="284"/>
      <c r="C25" s="171" t="s">
        <v>510</v>
      </c>
      <c r="D25" s="286" t="s">
        <v>653</v>
      </c>
      <c r="E25" s="286"/>
      <c r="F25" s="286"/>
      <c r="G25" s="286"/>
      <c r="H25" s="286"/>
    </row>
    <row r="26" spans="1:8" ht="52.8" x14ac:dyDescent="0.3">
      <c r="A26" s="281"/>
      <c r="B26" s="284"/>
      <c r="C26" s="171" t="s">
        <v>509</v>
      </c>
      <c r="D26" s="286" t="s">
        <v>652</v>
      </c>
      <c r="E26" s="286"/>
      <c r="F26" s="286"/>
      <c r="G26" s="286"/>
      <c r="H26" s="286"/>
    </row>
    <row r="27" spans="1:8" ht="80.099999999999994" customHeight="1" x14ac:dyDescent="0.3">
      <c r="A27" s="281"/>
      <c r="B27" s="284"/>
      <c r="C27" s="171" t="s">
        <v>506</v>
      </c>
      <c r="D27" s="286" t="s">
        <v>651</v>
      </c>
      <c r="E27" s="286"/>
      <c r="F27" s="286"/>
      <c r="G27" s="286"/>
      <c r="H27" s="286"/>
    </row>
    <row r="28" spans="1:8" ht="66.599999999999994" customHeight="1" x14ac:dyDescent="0.3">
      <c r="A28" s="281"/>
      <c r="B28" s="284"/>
      <c r="C28" s="171" t="s">
        <v>505</v>
      </c>
      <c r="D28" s="286" t="s">
        <v>650</v>
      </c>
      <c r="E28" s="286"/>
      <c r="F28" s="286"/>
      <c r="G28" s="286"/>
      <c r="H28" s="286"/>
    </row>
    <row r="29" spans="1:8" ht="45" customHeight="1" x14ac:dyDescent="0.3">
      <c r="A29" s="281"/>
      <c r="B29" s="284"/>
      <c r="C29" s="171" t="s">
        <v>504</v>
      </c>
      <c r="D29" s="286" t="s">
        <v>649</v>
      </c>
      <c r="E29" s="286"/>
      <c r="F29" s="286"/>
      <c r="G29" s="286"/>
      <c r="H29" s="286"/>
    </row>
    <row r="30" spans="1:8" ht="66.599999999999994" customHeight="1" x14ac:dyDescent="0.3">
      <c r="A30" s="281"/>
      <c r="B30" s="284"/>
      <c r="C30" s="171" t="s">
        <v>503</v>
      </c>
      <c r="D30" s="286" t="s">
        <v>648</v>
      </c>
      <c r="E30" s="286"/>
      <c r="F30" s="286"/>
      <c r="G30" s="286"/>
      <c r="H30" s="286"/>
    </row>
    <row r="31" spans="1:8" ht="89.1" customHeight="1" x14ac:dyDescent="0.3">
      <c r="A31" s="281"/>
      <c r="B31" s="284"/>
      <c r="C31" s="171" t="s">
        <v>502</v>
      </c>
      <c r="D31" s="286" t="s">
        <v>647</v>
      </c>
      <c r="E31" s="286"/>
      <c r="F31" s="286"/>
      <c r="G31" s="286"/>
      <c r="H31" s="286"/>
    </row>
    <row r="32" spans="1:8" ht="87.9" customHeight="1" x14ac:dyDescent="0.3">
      <c r="A32" s="281"/>
      <c r="B32" s="284"/>
      <c r="C32" s="171" t="s">
        <v>501</v>
      </c>
      <c r="D32" s="286" t="s">
        <v>500</v>
      </c>
      <c r="E32" s="286"/>
      <c r="F32" s="286"/>
      <c r="G32" s="286"/>
      <c r="H32" s="286"/>
    </row>
    <row r="33" spans="1:8" ht="65.099999999999994" customHeight="1" x14ac:dyDescent="0.3">
      <c r="A33" s="281"/>
      <c r="B33" s="284"/>
      <c r="C33" s="171" t="s">
        <v>499</v>
      </c>
      <c r="D33" s="286" t="s">
        <v>498</v>
      </c>
      <c r="E33" s="286"/>
      <c r="F33" s="286"/>
      <c r="G33" s="286"/>
      <c r="H33" s="286"/>
    </row>
    <row r="34" spans="1:8" ht="68.400000000000006" customHeight="1" x14ac:dyDescent="0.3">
      <c r="A34" s="281"/>
      <c r="B34" s="284"/>
      <c r="C34" s="171" t="s">
        <v>497</v>
      </c>
      <c r="D34" s="286" t="s">
        <v>496</v>
      </c>
      <c r="E34" s="286"/>
      <c r="F34" s="286"/>
      <c r="G34" s="286"/>
      <c r="H34" s="286"/>
    </row>
    <row r="35" spans="1:8" ht="26.4" x14ac:dyDescent="0.3">
      <c r="A35" s="281"/>
      <c r="B35" s="284"/>
      <c r="C35" s="171" t="s">
        <v>495</v>
      </c>
      <c r="D35" s="286" t="s">
        <v>646</v>
      </c>
      <c r="E35" s="286"/>
      <c r="F35" s="286"/>
      <c r="G35" s="286"/>
      <c r="H35" s="286"/>
    </row>
    <row r="36" spans="1:8" ht="41.4" customHeight="1" x14ac:dyDescent="0.3">
      <c r="A36" s="281"/>
      <c r="B36" s="284"/>
      <c r="C36" s="171" t="s">
        <v>493</v>
      </c>
      <c r="D36" s="286" t="s">
        <v>645</v>
      </c>
      <c r="E36" s="286"/>
      <c r="F36" s="286"/>
      <c r="G36" s="286"/>
      <c r="H36" s="286"/>
    </row>
    <row r="37" spans="1:8" x14ac:dyDescent="0.3">
      <c r="A37" s="282"/>
      <c r="B37" s="285"/>
      <c r="C37" s="171" t="s">
        <v>491</v>
      </c>
      <c r="D37" s="286" t="s">
        <v>490</v>
      </c>
      <c r="E37" s="286"/>
      <c r="F37" s="286"/>
      <c r="G37" s="286"/>
      <c r="H37" s="286"/>
    </row>
    <row r="38" spans="1:8" ht="39.6" x14ac:dyDescent="0.3">
      <c r="A38" s="173" t="s">
        <v>489</v>
      </c>
      <c r="B38" s="172" t="s">
        <v>488</v>
      </c>
      <c r="C38" s="175" t="s">
        <v>467</v>
      </c>
      <c r="D38" s="286" t="s">
        <v>487</v>
      </c>
      <c r="E38" s="286"/>
      <c r="F38" s="286"/>
      <c r="G38" s="286"/>
      <c r="H38" s="286"/>
    </row>
    <row r="39" spans="1:8" ht="30" customHeight="1" x14ac:dyDescent="0.3">
      <c r="A39" s="280" t="s">
        <v>486</v>
      </c>
      <c r="B39" s="287" t="s">
        <v>485</v>
      </c>
      <c r="C39" s="286" t="s">
        <v>484</v>
      </c>
      <c r="D39" s="286"/>
      <c r="E39" s="286"/>
      <c r="F39" s="286"/>
      <c r="G39" s="286"/>
      <c r="H39" s="286"/>
    </row>
    <row r="40" spans="1:8" ht="26.4" x14ac:dyDescent="0.3">
      <c r="A40" s="281"/>
      <c r="B40" s="287"/>
      <c r="C40" s="174" t="s">
        <v>483</v>
      </c>
      <c r="D40" s="288" t="s">
        <v>482</v>
      </c>
      <c r="E40" s="288"/>
      <c r="F40" s="288"/>
      <c r="G40" s="288"/>
      <c r="H40" s="288"/>
    </row>
    <row r="41" spans="1:8" ht="95.4" customHeight="1" x14ac:dyDescent="0.3">
      <c r="A41" s="281"/>
      <c r="B41" s="287"/>
      <c r="C41" s="174" t="s">
        <v>481</v>
      </c>
      <c r="D41" s="286" t="s">
        <v>480</v>
      </c>
      <c r="E41" s="288"/>
      <c r="F41" s="288"/>
      <c r="G41" s="288"/>
      <c r="H41" s="288"/>
    </row>
    <row r="42" spans="1:8" ht="90" customHeight="1" x14ac:dyDescent="0.3">
      <c r="A42" s="281"/>
      <c r="B42" s="287"/>
      <c r="C42" s="174" t="s">
        <v>479</v>
      </c>
      <c r="D42" s="286" t="s">
        <v>478</v>
      </c>
      <c r="E42" s="288"/>
      <c r="F42" s="288"/>
      <c r="G42" s="288"/>
      <c r="H42" s="288"/>
    </row>
    <row r="43" spans="1:8" ht="65.099999999999994" customHeight="1" x14ac:dyDescent="0.3">
      <c r="A43" s="281"/>
      <c r="B43" s="287"/>
      <c r="C43" s="174" t="s">
        <v>477</v>
      </c>
      <c r="D43" s="286" t="s">
        <v>476</v>
      </c>
      <c r="E43" s="288"/>
      <c r="F43" s="288"/>
      <c r="G43" s="288"/>
      <c r="H43" s="288"/>
    </row>
    <row r="44" spans="1:8" ht="42.9" customHeight="1" x14ac:dyDescent="0.3">
      <c r="A44" s="281"/>
      <c r="B44" s="287"/>
      <c r="C44" s="174" t="s">
        <v>475</v>
      </c>
      <c r="D44" s="286" t="s">
        <v>474</v>
      </c>
      <c r="E44" s="286"/>
      <c r="F44" s="286"/>
      <c r="G44" s="286"/>
      <c r="H44" s="286"/>
    </row>
    <row r="45" spans="1:8" ht="39.6" x14ac:dyDescent="0.3">
      <c r="A45" s="281"/>
      <c r="B45" s="287"/>
      <c r="C45" s="174" t="s">
        <v>473</v>
      </c>
      <c r="D45" s="286" t="s">
        <v>644</v>
      </c>
      <c r="E45" s="286"/>
      <c r="F45" s="286"/>
      <c r="G45" s="286"/>
      <c r="H45" s="286"/>
    </row>
    <row r="46" spans="1:8" ht="26.4" x14ac:dyDescent="0.3">
      <c r="A46" s="282"/>
      <c r="B46" s="287"/>
      <c r="C46" s="174" t="s">
        <v>471</v>
      </c>
      <c r="D46" s="286" t="s">
        <v>470</v>
      </c>
      <c r="E46" s="286"/>
      <c r="F46" s="286"/>
      <c r="G46" s="286"/>
      <c r="H46" s="286"/>
    </row>
    <row r="47" spans="1:8" ht="39.6" x14ac:dyDescent="0.3">
      <c r="A47" s="173" t="s">
        <v>469</v>
      </c>
      <c r="B47" s="172" t="s">
        <v>468</v>
      </c>
      <c r="C47" s="171" t="s">
        <v>467</v>
      </c>
      <c r="D47" s="289" t="s">
        <v>466</v>
      </c>
      <c r="E47" s="290"/>
      <c r="F47" s="290"/>
      <c r="G47" s="290"/>
      <c r="H47" s="291"/>
    </row>
    <row r="48" spans="1:8" ht="59.1" customHeight="1" x14ac:dyDescent="0.3">
      <c r="A48" s="280" t="s">
        <v>465</v>
      </c>
      <c r="B48" s="287" t="s">
        <v>464</v>
      </c>
      <c r="C48" s="171" t="s">
        <v>643</v>
      </c>
      <c r="D48" s="286" t="s">
        <v>462</v>
      </c>
      <c r="E48" s="286"/>
      <c r="F48" s="286"/>
      <c r="G48" s="286"/>
      <c r="H48" s="286"/>
    </row>
    <row r="49" spans="1:8" ht="42.9" customHeight="1" x14ac:dyDescent="0.3">
      <c r="A49" s="281"/>
      <c r="B49" s="287"/>
      <c r="C49" s="171" t="s">
        <v>461</v>
      </c>
      <c r="D49" s="286" t="s">
        <v>642</v>
      </c>
      <c r="E49" s="286"/>
      <c r="F49" s="286"/>
      <c r="G49" s="286"/>
      <c r="H49" s="286"/>
    </row>
    <row r="50" spans="1:8" ht="39.9" customHeight="1" x14ac:dyDescent="0.3">
      <c r="A50" s="281"/>
      <c r="B50" s="287"/>
      <c r="C50" s="171" t="s">
        <v>459</v>
      </c>
      <c r="D50" s="286" t="s">
        <v>641</v>
      </c>
      <c r="E50" s="286"/>
      <c r="F50" s="286"/>
      <c r="G50" s="286"/>
      <c r="H50" s="286"/>
    </row>
    <row r="51" spans="1:8" ht="26.4" x14ac:dyDescent="0.3">
      <c r="A51" s="282"/>
      <c r="B51" s="287"/>
      <c r="C51" s="171" t="s">
        <v>457</v>
      </c>
      <c r="D51" s="289" t="s">
        <v>640</v>
      </c>
      <c r="E51" s="290"/>
      <c r="F51" s="290"/>
      <c r="G51" s="290"/>
      <c r="H51" s="291"/>
    </row>
    <row r="52" spans="1:8" ht="27.9" customHeight="1" x14ac:dyDescent="0.3">
      <c r="A52" s="173" t="s">
        <v>455</v>
      </c>
      <c r="B52" s="172" t="s">
        <v>454</v>
      </c>
      <c r="C52" s="171" t="s">
        <v>429</v>
      </c>
      <c r="D52" s="286" t="s">
        <v>453</v>
      </c>
      <c r="E52" s="286"/>
      <c r="F52" s="286"/>
      <c r="G52" s="286"/>
      <c r="H52" s="286"/>
    </row>
    <row r="53" spans="1:8" ht="52.8" x14ac:dyDescent="0.3">
      <c r="A53" s="173" t="s">
        <v>452</v>
      </c>
      <c r="B53" s="172" t="s">
        <v>451</v>
      </c>
      <c r="C53" s="172" t="s">
        <v>451</v>
      </c>
      <c r="D53" s="289" t="s">
        <v>450</v>
      </c>
      <c r="E53" s="290"/>
      <c r="F53" s="290"/>
      <c r="G53" s="290"/>
      <c r="H53" s="291"/>
    </row>
    <row r="54" spans="1:8" ht="79.5" customHeight="1" x14ac:dyDescent="0.3">
      <c r="A54" s="280" t="s">
        <v>449</v>
      </c>
      <c r="B54" s="283" t="s">
        <v>448</v>
      </c>
      <c r="C54" s="174" t="s">
        <v>447</v>
      </c>
      <c r="D54" s="286" t="s">
        <v>639</v>
      </c>
      <c r="E54" s="286"/>
      <c r="F54" s="286"/>
      <c r="G54" s="286"/>
      <c r="H54" s="286"/>
    </row>
    <row r="55" spans="1:8" ht="50.4" customHeight="1" x14ac:dyDescent="0.3">
      <c r="A55" s="281"/>
      <c r="B55" s="284"/>
      <c r="C55" s="174" t="s">
        <v>446</v>
      </c>
      <c r="D55" s="286" t="s">
        <v>684</v>
      </c>
      <c r="E55" s="286"/>
      <c r="F55" s="286"/>
      <c r="G55" s="286"/>
      <c r="H55" s="286"/>
    </row>
    <row r="56" spans="1:8" ht="39.6" x14ac:dyDescent="0.3">
      <c r="A56" s="281"/>
      <c r="B56" s="284"/>
      <c r="C56" s="174" t="s">
        <v>445</v>
      </c>
      <c r="D56" s="315" t="s">
        <v>638</v>
      </c>
      <c r="E56" s="315"/>
      <c r="F56" s="315"/>
      <c r="G56" s="315"/>
      <c r="H56" s="315"/>
    </row>
    <row r="57" spans="1:8" ht="39.6" x14ac:dyDescent="0.3">
      <c r="A57" s="281"/>
      <c r="B57" s="284"/>
      <c r="C57" s="174" t="s">
        <v>444</v>
      </c>
      <c r="D57" s="286" t="s">
        <v>443</v>
      </c>
      <c r="E57" s="286"/>
      <c r="F57" s="286"/>
      <c r="G57" s="286"/>
      <c r="H57" s="286"/>
    </row>
    <row r="58" spans="1:8" ht="30.6" customHeight="1" x14ac:dyDescent="0.3">
      <c r="A58" s="281"/>
      <c r="B58" s="284"/>
      <c r="C58" s="174" t="s">
        <v>442</v>
      </c>
      <c r="D58" s="292" t="s">
        <v>637</v>
      </c>
      <c r="E58" s="293"/>
      <c r="F58" s="293"/>
      <c r="G58" s="293"/>
      <c r="H58" s="294"/>
    </row>
    <row r="59" spans="1:8" x14ac:dyDescent="0.3">
      <c r="A59" s="282"/>
      <c r="B59" s="285"/>
      <c r="C59" s="174" t="s">
        <v>440</v>
      </c>
      <c r="D59" s="292" t="s">
        <v>636</v>
      </c>
      <c r="E59" s="293"/>
      <c r="F59" s="293"/>
      <c r="G59" s="293"/>
      <c r="H59" s="294"/>
    </row>
    <row r="60" spans="1:8" ht="26.4" x14ac:dyDescent="0.3">
      <c r="A60" s="173" t="s">
        <v>439</v>
      </c>
      <c r="B60" s="174" t="s">
        <v>438</v>
      </c>
      <c r="C60" s="171" t="s">
        <v>429</v>
      </c>
      <c r="D60" s="289" t="s">
        <v>437</v>
      </c>
      <c r="E60" s="290"/>
      <c r="F60" s="290"/>
      <c r="G60" s="290"/>
      <c r="H60" s="291"/>
    </row>
    <row r="61" spans="1:8" ht="93" customHeight="1" x14ac:dyDescent="0.3">
      <c r="A61" s="280" t="s">
        <v>436</v>
      </c>
      <c r="B61" s="283" t="s">
        <v>435</v>
      </c>
      <c r="C61" s="171" t="s">
        <v>707</v>
      </c>
      <c r="D61" s="286" t="s">
        <v>709</v>
      </c>
      <c r="E61" s="286"/>
      <c r="F61" s="286"/>
      <c r="G61" s="286"/>
      <c r="H61" s="286"/>
    </row>
    <row r="62" spans="1:8" ht="26.4" x14ac:dyDescent="0.3">
      <c r="A62" s="281"/>
      <c r="B62" s="284"/>
      <c r="C62" s="171" t="s">
        <v>434</v>
      </c>
      <c r="D62" s="286" t="s">
        <v>708</v>
      </c>
      <c r="E62" s="286"/>
      <c r="F62" s="286"/>
      <c r="G62" s="286"/>
      <c r="H62" s="286"/>
    </row>
    <row r="63" spans="1:8" ht="41.4" customHeight="1" x14ac:dyDescent="0.3">
      <c r="A63" s="281"/>
      <c r="B63" s="284"/>
      <c r="C63" s="171" t="s">
        <v>433</v>
      </c>
      <c r="D63" s="286" t="s">
        <v>635</v>
      </c>
      <c r="E63" s="286"/>
      <c r="F63" s="286"/>
      <c r="G63" s="286"/>
      <c r="H63" s="286"/>
    </row>
    <row r="64" spans="1:8" x14ac:dyDescent="0.3">
      <c r="A64" s="282"/>
      <c r="B64" s="285"/>
      <c r="C64" s="171" t="s">
        <v>532</v>
      </c>
      <c r="D64" s="292" t="s">
        <v>531</v>
      </c>
      <c r="E64" s="293"/>
      <c r="F64" s="293"/>
      <c r="G64" s="293"/>
      <c r="H64" s="294"/>
    </row>
    <row r="65" spans="1:8" ht="26.4" x14ac:dyDescent="0.3">
      <c r="A65" s="173" t="s">
        <v>431</v>
      </c>
      <c r="B65" s="172" t="s">
        <v>430</v>
      </c>
      <c r="C65" s="171" t="s">
        <v>429</v>
      </c>
      <c r="D65" s="286" t="s">
        <v>428</v>
      </c>
      <c r="E65" s="286"/>
      <c r="F65" s="286"/>
      <c r="G65" s="286"/>
      <c r="H65" s="286"/>
    </row>
    <row r="66" spans="1:8" ht="66" x14ac:dyDescent="0.3">
      <c r="A66" s="173" t="s">
        <v>427</v>
      </c>
      <c r="B66" s="172" t="s">
        <v>426</v>
      </c>
      <c r="C66" s="171" t="s">
        <v>425</v>
      </c>
      <c r="D66" s="286" t="s">
        <v>424</v>
      </c>
      <c r="E66" s="286"/>
      <c r="F66" s="286"/>
      <c r="G66" s="286"/>
      <c r="H66" s="286"/>
    </row>
    <row r="67" spans="1:8" ht="59.4" customHeight="1" thickBot="1" x14ac:dyDescent="0.35">
      <c r="A67" s="150" t="s">
        <v>530</v>
      </c>
      <c r="B67" s="316" t="s">
        <v>634</v>
      </c>
      <c r="C67" s="316"/>
      <c r="D67" s="316" t="s">
        <v>633</v>
      </c>
      <c r="E67" s="316"/>
      <c r="F67" s="316"/>
      <c r="G67" s="316"/>
      <c r="H67" s="316"/>
    </row>
  </sheetData>
  <sheetProtection algorithmName="SHA-512" hashValue="wn+GCQjl1Mf9YsTK8bmydOWIXxSXuQG2EkUXjrNLIyuDvy3OALxCrPlxRY5swSjZLlQikX/tO+Z+YqMb2Ovwtg==" saltValue="ikC0eSTH7tX4ssdQOhop3Q==" spinCount="100000" sheet="1" objects="1" scenarios="1"/>
  <mergeCells count="70">
    <mergeCell ref="D65:H65"/>
    <mergeCell ref="D66:H66"/>
    <mergeCell ref="B67:C67"/>
    <mergeCell ref="D67:H67"/>
    <mergeCell ref="D60:H60"/>
    <mergeCell ref="D47:H47"/>
    <mergeCell ref="D33:H33"/>
    <mergeCell ref="D34:H34"/>
    <mergeCell ref="D35:H35"/>
    <mergeCell ref="D36:H36"/>
    <mergeCell ref="D37:H37"/>
    <mergeCell ref="D38:H38"/>
    <mergeCell ref="A61:A64"/>
    <mergeCell ref="B61:B64"/>
    <mergeCell ref="D61:H61"/>
    <mergeCell ref="D62:H62"/>
    <mergeCell ref="D63:H63"/>
    <mergeCell ref="D64:H64"/>
    <mergeCell ref="D52:H52"/>
    <mergeCell ref="D53:H53"/>
    <mergeCell ref="A54:A59"/>
    <mergeCell ref="B54:B59"/>
    <mergeCell ref="D54:H54"/>
    <mergeCell ref="D55:H55"/>
    <mergeCell ref="D56:H56"/>
    <mergeCell ref="D57:H57"/>
    <mergeCell ref="D58:H58"/>
    <mergeCell ref="D59:H59"/>
    <mergeCell ref="A48:A51"/>
    <mergeCell ref="B48:B51"/>
    <mergeCell ref="D48:H48"/>
    <mergeCell ref="D49:H49"/>
    <mergeCell ref="D50:H50"/>
    <mergeCell ref="D51:H51"/>
    <mergeCell ref="D29:H29"/>
    <mergeCell ref="D30:H30"/>
    <mergeCell ref="D31:H31"/>
    <mergeCell ref="A39:A46"/>
    <mergeCell ref="B39:B46"/>
    <mergeCell ref="C39:H39"/>
    <mergeCell ref="D40:H40"/>
    <mergeCell ref="D41:H41"/>
    <mergeCell ref="D42:H42"/>
    <mergeCell ref="D43:H43"/>
    <mergeCell ref="D44:H44"/>
    <mergeCell ref="D45:H45"/>
    <mergeCell ref="D46:H46"/>
    <mergeCell ref="A3:H3"/>
    <mergeCell ref="A6:H6"/>
    <mergeCell ref="A1:H1"/>
    <mergeCell ref="D32:H32"/>
    <mergeCell ref="A8:H8"/>
    <mergeCell ref="A10:H10"/>
    <mergeCell ref="A21:A37"/>
    <mergeCell ref="B21:B37"/>
    <mergeCell ref="D21:H21"/>
    <mergeCell ref="D22:H22"/>
    <mergeCell ref="D23:H23"/>
    <mergeCell ref="D24:H24"/>
    <mergeCell ref="D25:H25"/>
    <mergeCell ref="D26:H26"/>
    <mergeCell ref="D27:H27"/>
    <mergeCell ref="D28:H28"/>
    <mergeCell ref="D20:H20"/>
    <mergeCell ref="A11:H11"/>
    <mergeCell ref="A13:H13"/>
    <mergeCell ref="A19:H19"/>
    <mergeCell ref="A14:H14"/>
    <mergeCell ref="A16:H16"/>
    <mergeCell ref="A17:H17"/>
  </mergeCells>
  <pageMargins left="0.7" right="0.7" top="0.75" bottom="0.75" header="0.3" footer="0.3"/>
  <pageSetup orientation="portrait" horizontalDpi="90" verticalDpi="9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C3D64D-4D5F-4CAE-8312-D0B15F590EF8}">
  <sheetPr codeName="Sheet28"/>
  <dimension ref="A1:XEV69"/>
  <sheetViews>
    <sheetView zoomScaleNormal="100" workbookViewId="0">
      <selection sqref="A1:H1"/>
    </sheetView>
  </sheetViews>
  <sheetFormatPr defaultColWidth="9.109375" defaultRowHeight="14.4" x14ac:dyDescent="0.3"/>
  <cols>
    <col min="1" max="1" width="22.33203125" style="149" customWidth="1"/>
    <col min="2" max="2" width="23.88671875" style="86" customWidth="1"/>
    <col min="3" max="3" width="30.109375" style="86" customWidth="1"/>
    <col min="4" max="4" width="27.6640625" style="86" customWidth="1"/>
    <col min="5" max="5" width="22.6640625" style="86" customWidth="1"/>
    <col min="6" max="6" width="11.5546875" style="86" customWidth="1"/>
    <col min="7" max="7" width="19.5546875" style="86" customWidth="1"/>
    <col min="8" max="8" width="30.44140625" style="148" customWidth="1"/>
  </cols>
  <sheetData>
    <row r="1" spans="1:16376" ht="51" customHeight="1" x14ac:dyDescent="0.3">
      <c r="A1" s="309" t="s">
        <v>753</v>
      </c>
      <c r="B1" s="310"/>
      <c r="C1" s="310"/>
      <c r="D1" s="310"/>
      <c r="E1" s="310"/>
      <c r="F1" s="310"/>
      <c r="G1" s="310"/>
      <c r="H1" s="311"/>
    </row>
    <row r="2" spans="1:16376" ht="15" thickBot="1" x14ac:dyDescent="0.35"/>
    <row r="3" spans="1:16376" s="154" customFormat="1" x14ac:dyDescent="0.3">
      <c r="A3" s="304" t="s">
        <v>278</v>
      </c>
      <c r="B3" s="305"/>
      <c r="C3" s="305"/>
      <c r="D3" s="305"/>
      <c r="E3" s="305"/>
      <c r="F3" s="305"/>
      <c r="G3" s="305"/>
      <c r="H3" s="306"/>
      <c r="I3"/>
      <c r="J3"/>
      <c r="K3"/>
      <c r="L3"/>
      <c r="M3"/>
      <c r="N3"/>
      <c r="O3"/>
      <c r="P3"/>
      <c r="Q3"/>
      <c r="R3"/>
      <c r="S3"/>
      <c r="T3"/>
      <c r="U3"/>
      <c r="V3"/>
      <c r="W3"/>
      <c r="X3"/>
      <c r="Y3"/>
      <c r="Z3"/>
      <c r="AA3"/>
      <c r="AB3"/>
      <c r="AC3"/>
      <c r="AD3"/>
      <c r="AE3"/>
      <c r="AF3"/>
      <c r="AG3"/>
      <c r="AH3"/>
      <c r="AI3"/>
      <c r="AJ3"/>
      <c r="AK3"/>
      <c r="AL3"/>
      <c r="AM3"/>
      <c r="AN3"/>
      <c r="AO3"/>
      <c r="AP3"/>
      <c r="AQ3"/>
      <c r="AR3"/>
      <c r="AS3"/>
      <c r="AT3"/>
      <c r="AU3"/>
      <c r="AV3"/>
      <c r="AW3"/>
      <c r="AX3"/>
      <c r="AY3"/>
      <c r="AZ3"/>
      <c r="BA3"/>
      <c r="BB3"/>
      <c r="BC3"/>
      <c r="BD3"/>
      <c r="BE3"/>
      <c r="BF3"/>
      <c r="BG3"/>
      <c r="BH3"/>
      <c r="BI3"/>
      <c r="BJ3"/>
      <c r="BK3"/>
      <c r="BL3"/>
      <c r="BM3"/>
      <c r="BN3"/>
      <c r="BO3"/>
      <c r="BP3"/>
      <c r="BQ3"/>
      <c r="BR3"/>
      <c r="BS3"/>
      <c r="BT3"/>
      <c r="BU3"/>
      <c r="BV3"/>
      <c r="BW3"/>
      <c r="BX3"/>
      <c r="BY3"/>
      <c r="BZ3"/>
      <c r="CA3"/>
      <c r="CB3"/>
      <c r="CC3"/>
      <c r="CD3"/>
      <c r="CE3"/>
      <c r="CF3"/>
      <c r="CG3"/>
      <c r="CH3"/>
      <c r="CI3"/>
      <c r="CJ3"/>
      <c r="CK3"/>
      <c r="CL3"/>
      <c r="CM3"/>
      <c r="CN3"/>
      <c r="CO3"/>
      <c r="CP3"/>
      <c r="CQ3"/>
      <c r="CR3"/>
      <c r="CS3"/>
      <c r="CT3"/>
      <c r="CU3"/>
      <c r="CV3"/>
      <c r="CW3"/>
      <c r="CX3"/>
      <c r="CY3"/>
      <c r="CZ3"/>
      <c r="DA3"/>
      <c r="DB3"/>
      <c r="DC3"/>
      <c r="DD3"/>
      <c r="DE3"/>
      <c r="DF3"/>
      <c r="DG3"/>
      <c r="DH3"/>
      <c r="DI3"/>
      <c r="DJ3"/>
      <c r="DK3"/>
      <c r="DL3"/>
      <c r="DM3"/>
      <c r="DN3"/>
      <c r="DO3"/>
      <c r="DP3"/>
      <c r="DQ3"/>
      <c r="DR3"/>
      <c r="DS3"/>
      <c r="DT3"/>
      <c r="DU3"/>
      <c r="DV3"/>
      <c r="DW3"/>
      <c r="DX3"/>
      <c r="DY3"/>
      <c r="DZ3"/>
      <c r="EA3"/>
      <c r="EB3"/>
      <c r="EC3"/>
      <c r="ED3"/>
      <c r="EE3"/>
      <c r="EF3"/>
      <c r="EG3"/>
      <c r="EH3"/>
      <c r="EI3"/>
      <c r="EJ3"/>
      <c r="EK3"/>
      <c r="EL3"/>
      <c r="EM3"/>
      <c r="EN3"/>
      <c r="EO3"/>
      <c r="EP3"/>
      <c r="EQ3"/>
      <c r="ER3"/>
      <c r="ES3"/>
      <c r="ET3"/>
      <c r="EU3"/>
      <c r="EV3"/>
      <c r="EW3"/>
      <c r="EX3"/>
      <c r="EY3"/>
      <c r="EZ3"/>
      <c r="FA3"/>
      <c r="FB3"/>
      <c r="FC3"/>
      <c r="FD3"/>
      <c r="FE3"/>
      <c r="FF3"/>
      <c r="FG3"/>
      <c r="FH3"/>
      <c r="FI3"/>
      <c r="FJ3"/>
      <c r="FK3"/>
      <c r="FL3"/>
      <c r="FM3"/>
      <c r="FN3"/>
      <c r="FO3"/>
      <c r="FP3"/>
      <c r="FQ3"/>
      <c r="FR3"/>
      <c r="FS3"/>
      <c r="FT3"/>
      <c r="FU3"/>
      <c r="FV3"/>
      <c r="FW3"/>
      <c r="FX3"/>
      <c r="FY3"/>
      <c r="FZ3"/>
      <c r="GA3"/>
      <c r="GB3"/>
      <c r="GC3"/>
      <c r="GD3"/>
      <c r="GE3"/>
      <c r="GF3"/>
      <c r="GG3"/>
      <c r="GH3"/>
      <c r="GI3"/>
      <c r="GJ3"/>
      <c r="GK3"/>
      <c r="GL3"/>
      <c r="GM3"/>
      <c r="GN3"/>
      <c r="GO3"/>
      <c r="GP3"/>
      <c r="GQ3"/>
      <c r="GR3"/>
      <c r="GS3"/>
      <c r="GT3"/>
      <c r="GU3"/>
      <c r="GV3"/>
      <c r="GW3"/>
      <c r="GX3"/>
      <c r="GY3"/>
      <c r="GZ3"/>
      <c r="HA3"/>
      <c r="HB3"/>
      <c r="HC3"/>
      <c r="HD3"/>
      <c r="HE3"/>
      <c r="HF3"/>
      <c r="HG3"/>
      <c r="HH3"/>
      <c r="HI3"/>
      <c r="HJ3"/>
      <c r="HK3"/>
      <c r="HL3"/>
      <c r="HM3"/>
      <c r="HN3"/>
      <c r="HO3"/>
      <c r="HP3"/>
      <c r="HQ3"/>
      <c r="HR3"/>
      <c r="HS3"/>
      <c r="HT3"/>
      <c r="HU3"/>
      <c r="HV3"/>
      <c r="HW3"/>
      <c r="HX3"/>
      <c r="HY3"/>
      <c r="HZ3"/>
      <c r="IA3"/>
      <c r="IB3"/>
      <c r="IC3"/>
      <c r="ID3"/>
      <c r="IE3"/>
      <c r="IF3"/>
      <c r="IG3"/>
      <c r="IH3"/>
      <c r="II3"/>
      <c r="IJ3"/>
      <c r="IK3"/>
      <c r="IL3"/>
      <c r="IM3"/>
      <c r="IN3"/>
      <c r="IO3"/>
      <c r="IP3"/>
      <c r="IQ3"/>
      <c r="IR3"/>
      <c r="IS3"/>
      <c r="IT3"/>
      <c r="IU3"/>
      <c r="IV3"/>
      <c r="IW3"/>
      <c r="IX3"/>
      <c r="IY3"/>
      <c r="IZ3"/>
      <c r="JA3"/>
      <c r="JB3"/>
      <c r="JC3"/>
      <c r="JD3"/>
      <c r="JE3"/>
      <c r="JF3"/>
      <c r="JG3"/>
      <c r="JH3"/>
      <c r="JI3"/>
      <c r="JJ3"/>
      <c r="JK3"/>
      <c r="JL3"/>
      <c r="JM3"/>
      <c r="JN3"/>
      <c r="JO3"/>
      <c r="JP3"/>
      <c r="JQ3"/>
      <c r="JR3"/>
      <c r="JS3"/>
      <c r="JT3"/>
      <c r="JU3"/>
      <c r="JV3"/>
      <c r="JW3"/>
      <c r="JX3"/>
      <c r="JY3"/>
      <c r="JZ3"/>
      <c r="KA3"/>
      <c r="KB3"/>
      <c r="KC3"/>
      <c r="KD3"/>
      <c r="KE3"/>
      <c r="KF3"/>
      <c r="KG3"/>
      <c r="KH3"/>
      <c r="KI3"/>
      <c r="KJ3"/>
      <c r="KK3"/>
      <c r="KL3"/>
      <c r="KM3"/>
      <c r="KN3"/>
      <c r="KO3"/>
      <c r="KP3"/>
      <c r="KQ3"/>
      <c r="KR3"/>
      <c r="KS3"/>
      <c r="KT3"/>
      <c r="KU3"/>
      <c r="KV3"/>
      <c r="KW3"/>
      <c r="KX3"/>
      <c r="KY3"/>
      <c r="KZ3"/>
      <c r="LA3"/>
      <c r="LB3"/>
      <c r="LC3"/>
      <c r="LD3"/>
      <c r="LE3"/>
      <c r="LF3"/>
      <c r="LG3"/>
      <c r="LH3"/>
      <c r="LI3"/>
      <c r="LJ3"/>
      <c r="LK3"/>
      <c r="LL3"/>
      <c r="LM3"/>
      <c r="LN3"/>
      <c r="LO3"/>
      <c r="LP3"/>
      <c r="LQ3"/>
      <c r="LR3"/>
      <c r="LS3"/>
      <c r="LT3"/>
      <c r="LU3"/>
      <c r="LV3"/>
      <c r="LW3"/>
      <c r="LX3"/>
      <c r="LY3"/>
      <c r="LZ3"/>
      <c r="MA3"/>
      <c r="MB3"/>
      <c r="MC3"/>
      <c r="MD3"/>
      <c r="ME3"/>
      <c r="MF3"/>
      <c r="MG3"/>
      <c r="MH3"/>
      <c r="MI3"/>
      <c r="MJ3"/>
      <c r="MK3"/>
      <c r="ML3"/>
      <c r="MM3"/>
      <c r="MN3"/>
      <c r="MO3"/>
      <c r="MP3"/>
      <c r="MQ3"/>
      <c r="MR3"/>
      <c r="MS3"/>
      <c r="MT3"/>
      <c r="MU3"/>
      <c r="MV3"/>
      <c r="MW3"/>
      <c r="MX3"/>
      <c r="MY3"/>
      <c r="MZ3"/>
      <c r="NA3"/>
      <c r="NB3"/>
      <c r="NC3"/>
      <c r="ND3"/>
      <c r="NE3"/>
      <c r="NF3"/>
      <c r="NG3"/>
      <c r="NH3"/>
      <c r="NI3"/>
      <c r="NJ3"/>
      <c r="NK3"/>
      <c r="NL3"/>
      <c r="NM3"/>
      <c r="NN3"/>
      <c r="NO3"/>
      <c r="NP3"/>
      <c r="NQ3"/>
      <c r="NR3"/>
      <c r="NS3"/>
      <c r="NT3"/>
      <c r="NU3"/>
      <c r="NV3"/>
      <c r="NW3"/>
      <c r="NX3"/>
      <c r="NY3"/>
      <c r="NZ3"/>
      <c r="OA3"/>
      <c r="OB3"/>
      <c r="OC3"/>
      <c r="OD3"/>
      <c r="OE3"/>
      <c r="OF3"/>
      <c r="OG3"/>
      <c r="OH3"/>
      <c r="OI3"/>
      <c r="OJ3"/>
      <c r="OK3"/>
      <c r="OL3"/>
      <c r="OM3"/>
      <c r="ON3"/>
      <c r="OO3"/>
      <c r="OP3"/>
      <c r="OQ3"/>
      <c r="OR3"/>
      <c r="OS3"/>
      <c r="OT3"/>
      <c r="OU3"/>
      <c r="OV3"/>
      <c r="OW3"/>
      <c r="OX3"/>
      <c r="OY3"/>
      <c r="OZ3"/>
      <c r="PA3"/>
      <c r="PB3"/>
      <c r="PC3"/>
      <c r="PD3"/>
      <c r="PE3"/>
      <c r="PF3"/>
      <c r="PG3"/>
      <c r="PH3"/>
      <c r="PI3"/>
      <c r="PJ3"/>
      <c r="PK3"/>
      <c r="PL3"/>
      <c r="PM3"/>
      <c r="PN3"/>
      <c r="PO3"/>
      <c r="PP3"/>
      <c r="PQ3"/>
      <c r="PR3"/>
      <c r="PS3"/>
      <c r="PT3"/>
      <c r="PU3"/>
      <c r="PV3"/>
      <c r="PW3"/>
      <c r="PX3"/>
      <c r="PY3"/>
      <c r="PZ3"/>
      <c r="QA3"/>
      <c r="QB3"/>
      <c r="QC3"/>
      <c r="QD3"/>
      <c r="QE3"/>
      <c r="QF3"/>
      <c r="QG3"/>
      <c r="QH3"/>
      <c r="QI3"/>
      <c r="QJ3"/>
      <c r="QK3"/>
      <c r="QL3"/>
      <c r="QM3"/>
      <c r="QN3"/>
      <c r="QO3"/>
      <c r="QP3"/>
      <c r="QQ3"/>
      <c r="QR3"/>
      <c r="QS3"/>
      <c r="QT3"/>
      <c r="QU3"/>
      <c r="QV3"/>
      <c r="QW3"/>
      <c r="QX3"/>
      <c r="QY3"/>
      <c r="QZ3"/>
      <c r="RA3"/>
      <c r="RB3"/>
      <c r="RC3"/>
      <c r="RD3"/>
      <c r="RE3"/>
      <c r="RF3"/>
      <c r="RG3"/>
      <c r="RH3"/>
      <c r="RI3"/>
      <c r="RJ3"/>
      <c r="RK3"/>
      <c r="RL3"/>
      <c r="RM3"/>
      <c r="RN3"/>
      <c r="RO3"/>
      <c r="RP3"/>
      <c r="RQ3"/>
      <c r="RR3"/>
      <c r="RS3"/>
      <c r="RT3"/>
      <c r="RU3"/>
      <c r="RV3"/>
      <c r="RW3"/>
      <c r="RX3"/>
      <c r="RY3"/>
      <c r="RZ3"/>
      <c r="SA3"/>
      <c r="SB3"/>
      <c r="SC3"/>
      <c r="SD3"/>
      <c r="SE3"/>
      <c r="SF3"/>
      <c r="SG3"/>
      <c r="SH3"/>
      <c r="SI3"/>
      <c r="SJ3"/>
      <c r="SK3"/>
      <c r="SL3"/>
      <c r="SM3"/>
      <c r="SN3"/>
      <c r="SO3"/>
      <c r="SP3"/>
      <c r="SQ3"/>
      <c r="SR3"/>
      <c r="SS3"/>
      <c r="ST3"/>
      <c r="SU3"/>
      <c r="SV3"/>
      <c r="SW3"/>
      <c r="SX3"/>
      <c r="SY3"/>
      <c r="SZ3"/>
      <c r="TA3"/>
      <c r="TB3"/>
      <c r="TC3"/>
      <c r="TD3"/>
      <c r="TE3"/>
      <c r="TF3"/>
      <c r="TG3"/>
      <c r="TH3"/>
      <c r="TI3"/>
      <c r="TJ3"/>
      <c r="TK3"/>
      <c r="TL3"/>
      <c r="TM3"/>
      <c r="TN3"/>
      <c r="TO3"/>
      <c r="TP3"/>
      <c r="TQ3"/>
      <c r="TR3"/>
      <c r="TS3"/>
      <c r="TT3"/>
      <c r="TU3"/>
      <c r="TV3"/>
      <c r="TW3"/>
      <c r="TX3"/>
      <c r="TY3"/>
      <c r="TZ3"/>
      <c r="UA3"/>
      <c r="UB3"/>
      <c r="UC3"/>
      <c r="UD3"/>
      <c r="UE3"/>
      <c r="UF3"/>
      <c r="UG3"/>
      <c r="UH3"/>
      <c r="UI3"/>
      <c r="UJ3"/>
      <c r="UK3"/>
      <c r="UL3"/>
      <c r="UM3"/>
      <c r="UN3"/>
      <c r="UO3"/>
      <c r="UP3"/>
      <c r="UQ3"/>
      <c r="UR3"/>
      <c r="US3"/>
      <c r="UT3"/>
      <c r="UU3"/>
      <c r="UV3"/>
      <c r="UW3"/>
      <c r="UX3"/>
      <c r="UY3"/>
      <c r="UZ3"/>
      <c r="VA3"/>
      <c r="VB3"/>
      <c r="VC3"/>
      <c r="VD3"/>
      <c r="VE3"/>
      <c r="VF3"/>
      <c r="VG3"/>
      <c r="VH3"/>
      <c r="VI3"/>
      <c r="VJ3"/>
      <c r="VK3"/>
      <c r="VL3"/>
      <c r="VM3"/>
      <c r="VN3"/>
      <c r="VO3"/>
      <c r="VP3"/>
      <c r="VQ3"/>
      <c r="VR3"/>
      <c r="VS3"/>
      <c r="VT3"/>
      <c r="VU3"/>
      <c r="VV3"/>
      <c r="VW3"/>
      <c r="VX3"/>
      <c r="VY3"/>
      <c r="VZ3"/>
      <c r="WA3"/>
      <c r="WB3"/>
      <c r="WC3"/>
      <c r="WD3"/>
      <c r="WE3"/>
      <c r="WF3"/>
      <c r="WG3"/>
      <c r="WH3"/>
      <c r="WI3"/>
      <c r="WJ3"/>
      <c r="WK3"/>
      <c r="WL3"/>
      <c r="WM3"/>
      <c r="WN3"/>
      <c r="WO3"/>
      <c r="WP3"/>
      <c r="WQ3"/>
      <c r="WR3"/>
      <c r="WS3"/>
      <c r="WT3"/>
      <c r="WU3"/>
      <c r="WV3"/>
      <c r="WW3"/>
      <c r="WX3"/>
      <c r="WY3"/>
      <c r="WZ3"/>
      <c r="XA3"/>
      <c r="XB3"/>
      <c r="XC3"/>
      <c r="XD3"/>
      <c r="XE3"/>
      <c r="XF3"/>
      <c r="XG3"/>
      <c r="XH3"/>
      <c r="XI3"/>
      <c r="XJ3"/>
      <c r="XK3"/>
      <c r="XL3"/>
      <c r="XM3"/>
      <c r="XN3"/>
      <c r="XO3"/>
      <c r="XP3"/>
      <c r="XQ3"/>
      <c r="XR3"/>
      <c r="XS3"/>
      <c r="XT3"/>
      <c r="XU3"/>
      <c r="XV3"/>
      <c r="XW3"/>
      <c r="XX3"/>
      <c r="XY3"/>
      <c r="XZ3"/>
      <c r="YA3"/>
      <c r="YB3"/>
      <c r="YC3"/>
      <c r="YD3"/>
      <c r="YE3"/>
      <c r="YF3"/>
      <c r="YG3"/>
      <c r="YH3"/>
      <c r="YI3"/>
      <c r="YJ3"/>
      <c r="YK3"/>
      <c r="YL3"/>
      <c r="YM3"/>
      <c r="YN3"/>
      <c r="YO3"/>
      <c r="YP3"/>
      <c r="YQ3"/>
      <c r="YR3"/>
      <c r="YS3"/>
      <c r="YT3"/>
      <c r="YU3"/>
      <c r="YV3"/>
      <c r="YW3"/>
      <c r="YX3"/>
      <c r="YY3"/>
      <c r="YZ3"/>
      <c r="ZA3"/>
      <c r="ZB3"/>
      <c r="ZC3"/>
      <c r="ZD3"/>
      <c r="ZE3"/>
      <c r="ZF3"/>
      <c r="ZG3"/>
      <c r="ZH3"/>
      <c r="ZI3"/>
      <c r="ZJ3"/>
      <c r="ZK3"/>
      <c r="ZL3"/>
      <c r="ZM3"/>
      <c r="ZN3"/>
      <c r="ZO3"/>
      <c r="ZP3"/>
      <c r="ZQ3"/>
      <c r="ZR3"/>
      <c r="ZS3"/>
      <c r="ZT3"/>
      <c r="ZU3"/>
      <c r="ZV3"/>
      <c r="ZW3"/>
      <c r="ZX3"/>
      <c r="ZY3"/>
      <c r="ZZ3"/>
      <c r="AAA3"/>
      <c r="AAB3"/>
      <c r="AAC3"/>
      <c r="AAD3"/>
      <c r="AAE3"/>
      <c r="AAF3"/>
      <c r="AAG3"/>
      <c r="AAH3"/>
      <c r="AAI3"/>
      <c r="AAJ3"/>
      <c r="AAK3"/>
      <c r="AAL3"/>
      <c r="AAM3"/>
      <c r="AAN3"/>
      <c r="AAO3"/>
      <c r="AAP3"/>
      <c r="AAQ3"/>
      <c r="AAR3"/>
      <c r="AAS3"/>
      <c r="AAT3"/>
      <c r="AAU3"/>
      <c r="AAV3"/>
      <c r="AAW3"/>
      <c r="AAX3"/>
      <c r="AAY3"/>
      <c r="AAZ3"/>
      <c r="ABA3"/>
      <c r="ABB3"/>
      <c r="ABC3"/>
      <c r="ABD3"/>
      <c r="ABE3"/>
      <c r="ABF3"/>
      <c r="ABG3"/>
      <c r="ABH3"/>
      <c r="ABI3"/>
      <c r="ABJ3"/>
      <c r="ABK3"/>
      <c r="ABL3"/>
      <c r="ABM3"/>
      <c r="ABN3"/>
      <c r="ABO3"/>
      <c r="ABP3"/>
      <c r="ABQ3"/>
      <c r="ABR3"/>
      <c r="ABS3"/>
      <c r="ABT3"/>
      <c r="ABU3"/>
      <c r="ABV3"/>
      <c r="ABW3"/>
      <c r="ABX3"/>
      <c r="ABY3"/>
      <c r="ABZ3"/>
      <c r="ACA3"/>
      <c r="ACB3"/>
      <c r="ACC3"/>
      <c r="ACD3"/>
      <c r="ACE3"/>
      <c r="ACF3"/>
      <c r="ACG3"/>
      <c r="ACH3"/>
      <c r="ACI3"/>
      <c r="ACJ3"/>
      <c r="ACK3"/>
      <c r="ACL3"/>
      <c r="ACM3"/>
      <c r="ACN3"/>
      <c r="ACO3"/>
      <c r="ACP3"/>
      <c r="ACQ3"/>
      <c r="ACR3"/>
      <c r="ACS3"/>
      <c r="ACT3"/>
      <c r="ACU3"/>
      <c r="ACV3"/>
      <c r="ACW3"/>
      <c r="ACX3"/>
      <c r="ACY3"/>
      <c r="ACZ3"/>
      <c r="ADA3"/>
      <c r="ADB3"/>
      <c r="ADC3"/>
      <c r="ADD3"/>
      <c r="ADE3"/>
      <c r="ADF3"/>
      <c r="ADG3"/>
      <c r="ADH3"/>
      <c r="ADI3"/>
      <c r="ADJ3"/>
      <c r="ADK3"/>
      <c r="ADL3"/>
      <c r="ADM3"/>
      <c r="ADN3"/>
      <c r="ADO3"/>
      <c r="ADP3"/>
      <c r="ADQ3"/>
      <c r="ADR3"/>
      <c r="ADS3"/>
      <c r="ADT3"/>
      <c r="ADU3"/>
      <c r="ADV3"/>
      <c r="ADW3"/>
      <c r="ADX3"/>
      <c r="ADY3"/>
      <c r="ADZ3"/>
      <c r="AEA3"/>
      <c r="AEB3"/>
      <c r="AEC3"/>
      <c r="AED3"/>
      <c r="AEE3"/>
      <c r="AEF3"/>
      <c r="AEG3"/>
      <c r="AEH3"/>
      <c r="AEI3"/>
      <c r="AEJ3"/>
      <c r="AEK3"/>
      <c r="AEL3"/>
      <c r="AEM3"/>
      <c r="AEN3"/>
      <c r="AEO3"/>
      <c r="AEP3"/>
      <c r="AEQ3"/>
      <c r="AER3"/>
      <c r="AES3"/>
      <c r="AET3"/>
      <c r="AEU3"/>
      <c r="AEV3"/>
      <c r="AEW3"/>
      <c r="AEX3"/>
      <c r="AEY3"/>
      <c r="AEZ3"/>
      <c r="AFA3"/>
      <c r="AFB3"/>
      <c r="AFC3"/>
      <c r="AFD3"/>
      <c r="AFE3"/>
      <c r="AFF3"/>
      <c r="AFG3"/>
      <c r="AFH3"/>
      <c r="AFI3"/>
      <c r="AFJ3"/>
      <c r="AFK3"/>
      <c r="AFL3"/>
      <c r="AFM3"/>
      <c r="AFN3"/>
      <c r="AFO3"/>
      <c r="AFP3"/>
      <c r="AFQ3"/>
      <c r="AFR3"/>
      <c r="AFS3"/>
      <c r="AFT3"/>
      <c r="AFU3"/>
      <c r="AFV3"/>
      <c r="AFW3"/>
      <c r="AFX3"/>
      <c r="AFY3"/>
      <c r="AFZ3"/>
      <c r="AGA3"/>
      <c r="AGB3"/>
      <c r="AGC3"/>
      <c r="AGD3"/>
      <c r="AGE3"/>
      <c r="AGF3"/>
      <c r="AGG3"/>
      <c r="AGH3"/>
      <c r="AGI3"/>
      <c r="AGJ3"/>
      <c r="AGK3"/>
      <c r="AGL3"/>
      <c r="AGM3"/>
      <c r="AGN3"/>
      <c r="AGO3"/>
      <c r="AGP3"/>
      <c r="AGQ3"/>
      <c r="AGR3"/>
      <c r="AGS3"/>
      <c r="AGT3"/>
      <c r="AGU3"/>
      <c r="AGV3"/>
      <c r="AGW3"/>
      <c r="AGX3"/>
      <c r="AGY3"/>
      <c r="AGZ3"/>
      <c r="AHA3"/>
      <c r="AHB3"/>
      <c r="AHC3"/>
      <c r="AHD3"/>
      <c r="AHE3"/>
      <c r="AHF3"/>
      <c r="AHG3"/>
      <c r="AHH3"/>
      <c r="AHI3"/>
      <c r="AHJ3"/>
      <c r="AHK3"/>
      <c r="AHL3"/>
      <c r="AHM3"/>
      <c r="AHN3"/>
      <c r="AHO3"/>
      <c r="AHP3"/>
      <c r="AHQ3"/>
      <c r="AHR3"/>
      <c r="AHS3"/>
      <c r="AHT3"/>
      <c r="AHU3"/>
      <c r="AHV3"/>
      <c r="AHW3"/>
      <c r="AHX3"/>
      <c r="AHY3"/>
      <c r="AHZ3"/>
      <c r="AIA3"/>
      <c r="AIB3"/>
      <c r="AIC3"/>
      <c r="AID3"/>
      <c r="AIE3"/>
      <c r="AIF3"/>
      <c r="AIG3"/>
      <c r="AIH3"/>
      <c r="AII3"/>
      <c r="AIJ3"/>
      <c r="AIK3"/>
      <c r="AIL3"/>
      <c r="AIM3"/>
      <c r="AIN3"/>
      <c r="AIO3"/>
      <c r="AIP3"/>
      <c r="AIQ3"/>
      <c r="AIR3"/>
      <c r="AIS3"/>
      <c r="AIT3"/>
      <c r="AIU3"/>
      <c r="AIV3"/>
      <c r="AIW3"/>
      <c r="AIX3"/>
      <c r="AIY3"/>
      <c r="AIZ3"/>
      <c r="AJA3"/>
      <c r="AJB3"/>
      <c r="AJC3"/>
      <c r="AJD3"/>
      <c r="AJE3"/>
      <c r="AJF3"/>
      <c r="AJG3"/>
      <c r="AJH3"/>
      <c r="AJI3"/>
      <c r="AJJ3"/>
      <c r="AJK3"/>
      <c r="AJL3"/>
      <c r="AJM3"/>
      <c r="AJN3"/>
      <c r="AJO3"/>
      <c r="AJP3"/>
      <c r="AJQ3"/>
      <c r="AJR3"/>
      <c r="AJS3"/>
      <c r="AJT3"/>
      <c r="AJU3"/>
      <c r="AJV3"/>
      <c r="AJW3"/>
      <c r="AJX3"/>
      <c r="AJY3"/>
      <c r="AJZ3"/>
      <c r="AKA3"/>
      <c r="AKB3"/>
      <c r="AKC3"/>
      <c r="AKD3"/>
      <c r="AKE3"/>
      <c r="AKF3"/>
      <c r="AKG3"/>
      <c r="AKH3"/>
      <c r="AKI3"/>
      <c r="AKJ3"/>
      <c r="AKK3"/>
      <c r="AKL3"/>
      <c r="AKM3"/>
      <c r="AKN3"/>
      <c r="AKO3"/>
      <c r="AKP3"/>
      <c r="AKQ3"/>
      <c r="AKR3"/>
      <c r="AKS3"/>
      <c r="AKT3"/>
      <c r="AKU3"/>
      <c r="AKV3"/>
      <c r="AKW3"/>
      <c r="AKX3"/>
      <c r="AKY3"/>
      <c r="AKZ3"/>
      <c r="ALA3"/>
      <c r="ALB3"/>
      <c r="ALC3"/>
      <c r="ALD3"/>
      <c r="ALE3"/>
      <c r="ALF3"/>
      <c r="ALG3"/>
      <c r="ALH3"/>
      <c r="ALI3"/>
      <c r="ALJ3"/>
      <c r="ALK3"/>
      <c r="ALL3"/>
      <c r="ALM3"/>
      <c r="ALN3"/>
      <c r="ALO3"/>
      <c r="ALP3"/>
      <c r="ALQ3"/>
      <c r="ALR3"/>
      <c r="ALS3"/>
      <c r="ALT3"/>
      <c r="ALU3"/>
      <c r="ALV3"/>
      <c r="ALW3"/>
      <c r="ALX3"/>
      <c r="ALY3"/>
      <c r="ALZ3"/>
      <c r="AMA3"/>
      <c r="AMB3"/>
      <c r="AMC3"/>
      <c r="AMD3"/>
      <c r="AME3"/>
      <c r="AMF3"/>
      <c r="AMG3"/>
      <c r="AMH3"/>
      <c r="AMI3"/>
      <c r="AMJ3"/>
      <c r="AMK3"/>
      <c r="AML3"/>
      <c r="AMM3"/>
      <c r="AMN3"/>
      <c r="AMO3"/>
      <c r="AMP3"/>
      <c r="AMQ3"/>
      <c r="AMR3"/>
      <c r="AMS3"/>
      <c r="AMT3"/>
      <c r="AMU3"/>
      <c r="AMV3"/>
      <c r="AMW3"/>
      <c r="AMX3"/>
      <c r="AMY3"/>
      <c r="AMZ3"/>
      <c r="ANA3"/>
      <c r="ANB3"/>
      <c r="ANC3"/>
      <c r="AND3"/>
      <c r="ANE3"/>
      <c r="ANF3"/>
      <c r="ANG3"/>
      <c r="ANH3"/>
      <c r="ANI3"/>
      <c r="ANJ3"/>
      <c r="ANK3"/>
      <c r="ANL3"/>
      <c r="ANM3"/>
      <c r="ANN3"/>
      <c r="ANO3"/>
      <c r="ANP3"/>
      <c r="ANQ3"/>
      <c r="ANR3"/>
      <c r="ANS3"/>
      <c r="ANT3"/>
      <c r="ANU3"/>
      <c r="ANV3"/>
      <c r="ANW3"/>
      <c r="ANX3"/>
      <c r="ANY3"/>
      <c r="ANZ3"/>
      <c r="AOA3"/>
      <c r="AOB3"/>
      <c r="AOC3"/>
      <c r="AOD3"/>
      <c r="AOE3"/>
      <c r="AOF3"/>
      <c r="AOG3"/>
      <c r="AOH3"/>
      <c r="AOI3"/>
      <c r="AOJ3"/>
      <c r="AOK3"/>
      <c r="AOL3"/>
      <c r="AOM3"/>
      <c r="AON3"/>
      <c r="AOO3"/>
      <c r="AOP3"/>
      <c r="AOQ3"/>
      <c r="AOR3"/>
      <c r="AOS3"/>
      <c r="AOT3"/>
      <c r="AOU3"/>
      <c r="AOV3"/>
      <c r="AOW3"/>
      <c r="AOX3"/>
      <c r="AOY3"/>
      <c r="AOZ3"/>
      <c r="APA3"/>
      <c r="APB3"/>
      <c r="APC3"/>
      <c r="APD3"/>
      <c r="APE3"/>
      <c r="APF3"/>
      <c r="APG3"/>
      <c r="APH3"/>
      <c r="API3"/>
      <c r="APJ3"/>
      <c r="APK3"/>
      <c r="APL3"/>
      <c r="APM3"/>
      <c r="APN3"/>
      <c r="APO3"/>
      <c r="APP3"/>
      <c r="APQ3"/>
      <c r="APR3"/>
      <c r="APS3"/>
      <c r="APT3"/>
      <c r="APU3"/>
      <c r="APV3"/>
      <c r="APW3"/>
      <c r="APX3"/>
      <c r="APY3"/>
      <c r="APZ3"/>
      <c r="AQA3"/>
      <c r="AQB3"/>
      <c r="AQC3"/>
      <c r="AQD3"/>
      <c r="AQE3"/>
      <c r="AQF3"/>
      <c r="AQG3"/>
      <c r="AQH3"/>
      <c r="AQI3"/>
      <c r="AQJ3"/>
      <c r="AQK3"/>
      <c r="AQL3"/>
      <c r="AQM3"/>
      <c r="AQN3"/>
      <c r="AQO3"/>
      <c r="AQP3"/>
      <c r="AQQ3"/>
      <c r="AQR3"/>
      <c r="AQS3"/>
      <c r="AQT3"/>
      <c r="AQU3"/>
      <c r="AQV3"/>
      <c r="AQW3"/>
      <c r="AQX3"/>
      <c r="AQY3"/>
      <c r="AQZ3"/>
      <c r="ARA3"/>
      <c r="ARB3"/>
      <c r="ARC3"/>
      <c r="ARD3"/>
      <c r="ARE3"/>
      <c r="ARF3"/>
      <c r="ARG3"/>
      <c r="ARH3"/>
      <c r="ARI3"/>
      <c r="ARJ3"/>
      <c r="ARK3"/>
      <c r="ARL3"/>
      <c r="ARM3"/>
      <c r="ARN3"/>
      <c r="ARO3"/>
      <c r="ARP3"/>
      <c r="ARQ3"/>
      <c r="ARR3"/>
      <c r="ARS3"/>
      <c r="ART3"/>
      <c r="ARU3"/>
      <c r="ARV3"/>
      <c r="ARW3"/>
      <c r="ARX3"/>
      <c r="ARY3"/>
      <c r="ARZ3"/>
      <c r="ASA3"/>
      <c r="ASB3"/>
      <c r="ASC3"/>
      <c r="ASD3"/>
      <c r="ASE3"/>
      <c r="ASF3"/>
      <c r="ASG3"/>
      <c r="ASH3"/>
      <c r="ASI3"/>
      <c r="ASJ3"/>
      <c r="ASK3"/>
      <c r="ASL3"/>
      <c r="ASM3"/>
      <c r="ASN3"/>
      <c r="ASO3"/>
      <c r="ASP3"/>
      <c r="ASQ3"/>
      <c r="ASR3"/>
      <c r="ASS3"/>
      <c r="AST3"/>
      <c r="ASU3"/>
      <c r="ASV3"/>
      <c r="ASW3"/>
      <c r="ASX3"/>
      <c r="ASY3"/>
      <c r="ASZ3"/>
      <c r="ATA3"/>
      <c r="ATB3"/>
      <c r="ATC3"/>
      <c r="ATD3"/>
      <c r="ATE3"/>
      <c r="ATF3"/>
      <c r="ATG3"/>
      <c r="ATH3"/>
      <c r="ATI3"/>
      <c r="ATJ3"/>
      <c r="ATK3"/>
      <c r="ATL3"/>
      <c r="ATM3"/>
      <c r="ATN3"/>
      <c r="ATO3"/>
      <c r="ATP3"/>
      <c r="ATQ3"/>
      <c r="ATR3"/>
      <c r="ATS3"/>
      <c r="ATT3"/>
      <c r="ATU3"/>
      <c r="ATV3"/>
      <c r="ATW3"/>
      <c r="ATX3"/>
      <c r="ATY3"/>
      <c r="ATZ3"/>
      <c r="AUA3"/>
      <c r="AUB3"/>
      <c r="AUC3"/>
      <c r="AUD3"/>
      <c r="AUE3"/>
      <c r="AUF3"/>
      <c r="AUG3"/>
      <c r="AUH3"/>
      <c r="AUI3"/>
      <c r="AUJ3"/>
      <c r="AUK3"/>
      <c r="AUL3"/>
      <c r="AUM3"/>
      <c r="AUN3"/>
      <c r="AUO3"/>
      <c r="AUP3"/>
      <c r="AUQ3"/>
      <c r="AUR3"/>
      <c r="AUS3"/>
      <c r="AUT3"/>
      <c r="AUU3"/>
      <c r="AUV3"/>
      <c r="AUW3"/>
      <c r="AUX3"/>
      <c r="AUY3"/>
      <c r="AUZ3"/>
      <c r="AVA3"/>
      <c r="AVB3"/>
      <c r="AVC3"/>
      <c r="AVD3"/>
      <c r="AVE3"/>
      <c r="AVF3"/>
      <c r="AVG3"/>
      <c r="AVH3"/>
      <c r="AVI3"/>
      <c r="AVJ3"/>
      <c r="AVK3"/>
      <c r="AVL3"/>
      <c r="AVM3"/>
      <c r="AVN3"/>
      <c r="AVO3"/>
      <c r="AVP3"/>
      <c r="AVQ3"/>
      <c r="AVR3"/>
      <c r="AVS3"/>
      <c r="AVT3"/>
      <c r="AVU3"/>
      <c r="AVV3"/>
      <c r="AVW3"/>
      <c r="AVX3"/>
      <c r="AVY3"/>
      <c r="AVZ3"/>
      <c r="AWA3"/>
      <c r="AWB3"/>
      <c r="AWC3"/>
      <c r="AWD3"/>
      <c r="AWE3"/>
      <c r="AWF3"/>
      <c r="AWG3"/>
      <c r="AWH3"/>
      <c r="AWI3"/>
      <c r="AWJ3"/>
      <c r="AWK3"/>
      <c r="AWL3"/>
      <c r="AWM3"/>
      <c r="AWN3"/>
      <c r="AWO3"/>
      <c r="AWP3"/>
      <c r="AWQ3"/>
      <c r="AWR3"/>
      <c r="AWS3"/>
      <c r="AWT3"/>
      <c r="AWU3"/>
      <c r="AWV3"/>
      <c r="AWW3"/>
      <c r="AWX3"/>
      <c r="AWY3"/>
      <c r="AWZ3"/>
      <c r="AXA3"/>
      <c r="AXB3"/>
      <c r="AXC3"/>
      <c r="AXD3"/>
      <c r="AXE3"/>
      <c r="AXF3"/>
      <c r="AXG3"/>
      <c r="AXH3"/>
      <c r="AXI3"/>
      <c r="AXJ3"/>
      <c r="AXK3"/>
      <c r="AXL3"/>
      <c r="AXM3"/>
      <c r="AXN3"/>
      <c r="AXO3"/>
      <c r="AXP3"/>
      <c r="AXQ3"/>
      <c r="AXR3"/>
      <c r="AXS3"/>
      <c r="AXT3"/>
      <c r="AXU3"/>
      <c r="AXV3"/>
      <c r="AXW3"/>
      <c r="AXX3"/>
      <c r="AXY3"/>
      <c r="AXZ3"/>
      <c r="AYA3"/>
      <c r="AYB3"/>
      <c r="AYC3"/>
      <c r="AYD3"/>
      <c r="AYE3"/>
      <c r="AYF3"/>
      <c r="AYG3"/>
      <c r="AYH3"/>
      <c r="AYI3"/>
      <c r="AYJ3"/>
      <c r="AYK3"/>
      <c r="AYL3"/>
      <c r="AYM3"/>
      <c r="AYN3"/>
      <c r="AYO3"/>
      <c r="AYP3"/>
      <c r="AYQ3"/>
      <c r="AYR3"/>
      <c r="AYS3"/>
      <c r="AYT3"/>
      <c r="AYU3"/>
      <c r="AYV3"/>
      <c r="AYW3"/>
      <c r="AYX3"/>
      <c r="AYY3"/>
      <c r="AYZ3"/>
      <c r="AZA3"/>
      <c r="AZB3"/>
      <c r="AZC3"/>
      <c r="AZD3"/>
      <c r="AZE3"/>
      <c r="AZF3"/>
      <c r="AZG3"/>
      <c r="AZH3"/>
      <c r="AZI3"/>
      <c r="AZJ3"/>
      <c r="AZK3"/>
      <c r="AZL3"/>
      <c r="AZM3"/>
      <c r="AZN3"/>
      <c r="AZO3"/>
      <c r="AZP3"/>
      <c r="AZQ3"/>
      <c r="AZR3"/>
      <c r="AZS3"/>
      <c r="AZT3"/>
      <c r="AZU3"/>
      <c r="AZV3"/>
      <c r="AZW3"/>
      <c r="AZX3"/>
      <c r="AZY3"/>
      <c r="AZZ3"/>
      <c r="BAA3"/>
      <c r="BAB3"/>
      <c r="BAC3"/>
      <c r="BAD3"/>
      <c r="BAE3"/>
      <c r="BAF3"/>
      <c r="BAG3"/>
      <c r="BAH3"/>
      <c r="BAI3"/>
      <c r="BAJ3"/>
      <c r="BAK3"/>
      <c r="BAL3"/>
      <c r="BAM3"/>
      <c r="BAN3"/>
      <c r="BAO3"/>
      <c r="BAP3"/>
      <c r="BAQ3"/>
      <c r="BAR3"/>
      <c r="BAS3"/>
      <c r="BAT3"/>
      <c r="BAU3"/>
      <c r="BAV3"/>
      <c r="BAW3"/>
      <c r="BAX3"/>
      <c r="BAY3"/>
      <c r="BAZ3"/>
      <c r="BBA3"/>
      <c r="BBB3"/>
      <c r="BBC3"/>
      <c r="BBD3"/>
      <c r="BBE3"/>
      <c r="BBF3"/>
      <c r="BBG3"/>
      <c r="BBH3"/>
      <c r="BBI3"/>
      <c r="BBJ3"/>
      <c r="BBK3"/>
      <c r="BBL3"/>
      <c r="BBM3"/>
      <c r="BBN3"/>
      <c r="BBO3"/>
      <c r="BBP3"/>
      <c r="BBQ3"/>
      <c r="BBR3"/>
      <c r="BBS3"/>
      <c r="BBT3"/>
      <c r="BBU3"/>
      <c r="BBV3"/>
      <c r="BBW3"/>
      <c r="BBX3"/>
      <c r="BBY3"/>
      <c r="BBZ3"/>
      <c r="BCA3"/>
      <c r="BCB3"/>
      <c r="BCC3"/>
      <c r="BCD3"/>
      <c r="BCE3"/>
      <c r="BCF3"/>
      <c r="BCG3"/>
      <c r="BCH3"/>
      <c r="BCI3"/>
      <c r="BCJ3"/>
      <c r="BCK3"/>
      <c r="BCL3"/>
      <c r="BCM3"/>
      <c r="BCN3"/>
      <c r="BCO3"/>
      <c r="BCP3"/>
      <c r="BCQ3"/>
      <c r="BCR3"/>
      <c r="BCS3"/>
      <c r="BCT3"/>
      <c r="BCU3"/>
      <c r="BCV3"/>
      <c r="BCW3"/>
      <c r="BCX3"/>
      <c r="BCY3"/>
      <c r="BCZ3"/>
      <c r="BDA3"/>
      <c r="BDB3"/>
      <c r="BDC3"/>
      <c r="BDD3"/>
      <c r="BDE3"/>
      <c r="BDF3"/>
      <c r="BDG3"/>
      <c r="BDH3"/>
      <c r="BDI3"/>
      <c r="BDJ3"/>
      <c r="BDK3"/>
      <c r="BDL3"/>
      <c r="BDM3"/>
      <c r="BDN3"/>
      <c r="BDO3"/>
      <c r="BDP3"/>
      <c r="BDQ3"/>
      <c r="BDR3"/>
      <c r="BDS3"/>
      <c r="BDT3"/>
      <c r="BDU3"/>
      <c r="BDV3"/>
      <c r="BDW3"/>
      <c r="BDX3"/>
      <c r="BDY3"/>
      <c r="BDZ3"/>
      <c r="BEA3"/>
      <c r="BEB3"/>
      <c r="BEC3"/>
      <c r="BED3"/>
      <c r="BEE3"/>
      <c r="BEF3"/>
      <c r="BEG3"/>
      <c r="BEH3"/>
      <c r="BEI3"/>
      <c r="BEJ3"/>
      <c r="BEK3"/>
      <c r="BEL3"/>
      <c r="BEM3"/>
      <c r="BEN3"/>
      <c r="BEO3"/>
      <c r="BEP3"/>
      <c r="BEQ3"/>
      <c r="BER3"/>
      <c r="BES3"/>
      <c r="BET3"/>
      <c r="BEU3"/>
      <c r="BEV3"/>
      <c r="BEW3"/>
      <c r="BEX3"/>
      <c r="BEY3"/>
      <c r="BEZ3"/>
      <c r="BFA3"/>
      <c r="BFB3"/>
      <c r="BFC3"/>
      <c r="BFD3"/>
      <c r="BFE3"/>
      <c r="BFF3"/>
      <c r="BFG3"/>
      <c r="BFH3"/>
      <c r="BFI3"/>
      <c r="BFJ3"/>
      <c r="BFK3"/>
      <c r="BFL3"/>
      <c r="BFM3"/>
      <c r="BFN3"/>
      <c r="BFO3"/>
      <c r="BFP3"/>
      <c r="BFQ3"/>
      <c r="BFR3"/>
      <c r="BFS3"/>
      <c r="BFT3"/>
      <c r="BFU3"/>
      <c r="BFV3"/>
      <c r="BFW3"/>
      <c r="BFX3"/>
      <c r="BFY3"/>
      <c r="BFZ3"/>
      <c r="BGA3"/>
      <c r="BGB3"/>
      <c r="BGC3"/>
      <c r="BGD3"/>
      <c r="BGE3"/>
      <c r="BGF3"/>
      <c r="BGG3"/>
      <c r="BGH3"/>
      <c r="BGI3"/>
      <c r="BGJ3"/>
      <c r="BGK3"/>
      <c r="BGL3"/>
      <c r="BGM3"/>
      <c r="BGN3"/>
      <c r="BGO3"/>
      <c r="BGP3"/>
      <c r="BGQ3"/>
      <c r="BGR3"/>
      <c r="BGS3"/>
      <c r="BGT3"/>
      <c r="BGU3"/>
      <c r="BGV3"/>
      <c r="BGW3"/>
      <c r="BGX3"/>
      <c r="BGY3"/>
      <c r="BGZ3"/>
      <c r="BHA3"/>
      <c r="BHB3"/>
      <c r="BHC3"/>
      <c r="BHD3"/>
      <c r="BHE3"/>
      <c r="BHF3"/>
      <c r="BHG3"/>
      <c r="BHH3"/>
      <c r="BHI3"/>
      <c r="BHJ3"/>
      <c r="BHK3"/>
      <c r="BHL3"/>
      <c r="BHM3"/>
      <c r="BHN3"/>
      <c r="BHO3"/>
      <c r="BHP3"/>
      <c r="BHQ3"/>
      <c r="BHR3"/>
      <c r="BHS3"/>
      <c r="BHT3"/>
      <c r="BHU3"/>
      <c r="BHV3"/>
      <c r="BHW3"/>
      <c r="BHX3"/>
      <c r="BHY3"/>
      <c r="BHZ3"/>
      <c r="BIA3"/>
      <c r="BIB3"/>
      <c r="BIC3"/>
      <c r="BID3"/>
      <c r="BIE3"/>
      <c r="BIF3"/>
      <c r="BIG3"/>
      <c r="BIH3"/>
      <c r="BII3"/>
      <c r="BIJ3"/>
      <c r="BIK3"/>
      <c r="BIL3"/>
      <c r="BIM3"/>
      <c r="BIN3"/>
      <c r="BIO3"/>
      <c r="BIP3"/>
      <c r="BIQ3"/>
      <c r="BIR3"/>
      <c r="BIS3"/>
      <c r="BIT3"/>
      <c r="BIU3"/>
      <c r="BIV3"/>
      <c r="BIW3"/>
      <c r="BIX3"/>
      <c r="BIY3"/>
      <c r="BIZ3"/>
      <c r="BJA3"/>
      <c r="BJB3"/>
      <c r="BJC3"/>
      <c r="BJD3"/>
      <c r="BJE3"/>
      <c r="BJF3"/>
      <c r="BJG3"/>
      <c r="BJH3"/>
      <c r="BJI3"/>
      <c r="BJJ3"/>
      <c r="BJK3"/>
      <c r="BJL3"/>
      <c r="BJM3"/>
      <c r="BJN3"/>
      <c r="BJO3"/>
      <c r="BJP3"/>
      <c r="BJQ3"/>
      <c r="BJR3"/>
      <c r="BJS3"/>
      <c r="BJT3"/>
      <c r="BJU3"/>
      <c r="BJV3"/>
      <c r="BJW3"/>
      <c r="BJX3"/>
      <c r="BJY3"/>
      <c r="BJZ3"/>
      <c r="BKA3"/>
      <c r="BKB3"/>
      <c r="BKC3"/>
      <c r="BKD3"/>
      <c r="BKE3"/>
      <c r="BKF3"/>
      <c r="BKG3"/>
      <c r="BKH3"/>
      <c r="BKI3"/>
      <c r="BKJ3"/>
      <c r="BKK3"/>
      <c r="BKL3"/>
      <c r="BKM3"/>
      <c r="BKN3"/>
      <c r="BKO3"/>
      <c r="BKP3"/>
      <c r="BKQ3"/>
      <c r="BKR3"/>
      <c r="BKS3"/>
      <c r="BKT3"/>
      <c r="BKU3"/>
      <c r="BKV3"/>
      <c r="BKW3"/>
      <c r="BKX3"/>
      <c r="BKY3"/>
      <c r="BKZ3"/>
      <c r="BLA3"/>
      <c r="BLB3"/>
      <c r="BLC3"/>
      <c r="BLD3"/>
      <c r="BLE3"/>
      <c r="BLF3"/>
      <c r="BLG3"/>
      <c r="BLH3"/>
      <c r="BLI3"/>
      <c r="BLJ3"/>
      <c r="BLK3"/>
      <c r="BLL3"/>
      <c r="BLM3"/>
      <c r="BLN3"/>
      <c r="BLO3"/>
      <c r="BLP3"/>
      <c r="BLQ3"/>
      <c r="BLR3"/>
      <c r="BLS3"/>
      <c r="BLT3"/>
      <c r="BLU3"/>
      <c r="BLV3"/>
      <c r="BLW3"/>
      <c r="BLX3"/>
      <c r="BLY3"/>
      <c r="BLZ3"/>
      <c r="BMA3"/>
      <c r="BMB3"/>
      <c r="BMC3"/>
      <c r="BMD3"/>
      <c r="BME3"/>
      <c r="BMF3"/>
      <c r="BMG3"/>
      <c r="BMH3"/>
      <c r="BMI3"/>
      <c r="BMJ3"/>
      <c r="BMK3"/>
      <c r="BML3"/>
      <c r="BMM3"/>
      <c r="BMN3"/>
      <c r="BMO3"/>
      <c r="BMP3"/>
      <c r="BMQ3"/>
      <c r="BMR3"/>
      <c r="BMS3"/>
      <c r="BMT3"/>
      <c r="BMU3"/>
      <c r="BMV3"/>
      <c r="BMW3"/>
      <c r="BMX3"/>
      <c r="BMY3"/>
      <c r="BMZ3"/>
      <c r="BNA3"/>
      <c r="BNB3"/>
      <c r="BNC3"/>
      <c r="BND3"/>
      <c r="BNE3"/>
      <c r="BNF3"/>
      <c r="BNG3"/>
      <c r="BNH3"/>
      <c r="BNI3"/>
      <c r="BNJ3"/>
      <c r="BNK3"/>
      <c r="BNL3"/>
      <c r="BNM3"/>
      <c r="BNN3"/>
      <c r="BNO3"/>
      <c r="BNP3"/>
      <c r="BNQ3"/>
      <c r="BNR3"/>
      <c r="BNS3"/>
      <c r="BNT3"/>
      <c r="BNU3"/>
      <c r="BNV3"/>
      <c r="BNW3"/>
      <c r="BNX3"/>
      <c r="BNY3"/>
      <c r="BNZ3"/>
      <c r="BOA3"/>
      <c r="BOB3"/>
      <c r="BOC3"/>
      <c r="BOD3"/>
      <c r="BOE3"/>
      <c r="BOF3"/>
      <c r="BOG3"/>
      <c r="BOH3"/>
      <c r="BOI3"/>
      <c r="BOJ3"/>
      <c r="BOK3"/>
      <c r="BOL3"/>
      <c r="BOM3"/>
      <c r="BON3"/>
      <c r="BOO3"/>
      <c r="BOP3"/>
      <c r="BOQ3"/>
      <c r="BOR3"/>
      <c r="BOS3"/>
      <c r="BOT3"/>
      <c r="BOU3"/>
      <c r="BOV3"/>
      <c r="BOW3"/>
      <c r="BOX3"/>
      <c r="BOY3"/>
      <c r="BOZ3"/>
      <c r="BPA3"/>
      <c r="BPB3"/>
      <c r="BPC3"/>
      <c r="BPD3"/>
      <c r="BPE3"/>
      <c r="BPF3"/>
      <c r="BPG3"/>
      <c r="BPH3"/>
      <c r="BPI3"/>
      <c r="BPJ3"/>
      <c r="BPK3"/>
      <c r="BPL3"/>
      <c r="BPM3"/>
      <c r="BPN3"/>
      <c r="BPO3"/>
      <c r="BPP3"/>
      <c r="BPQ3"/>
      <c r="BPR3"/>
      <c r="BPS3"/>
      <c r="BPT3"/>
      <c r="BPU3"/>
      <c r="BPV3"/>
      <c r="BPW3"/>
      <c r="BPX3"/>
      <c r="BPY3"/>
      <c r="BPZ3"/>
      <c r="BQA3"/>
      <c r="BQB3"/>
      <c r="BQC3"/>
      <c r="BQD3"/>
      <c r="BQE3"/>
      <c r="BQF3"/>
      <c r="BQG3"/>
      <c r="BQH3"/>
      <c r="BQI3"/>
      <c r="BQJ3"/>
      <c r="BQK3"/>
      <c r="BQL3"/>
      <c r="BQM3"/>
      <c r="BQN3"/>
      <c r="BQO3"/>
      <c r="BQP3"/>
      <c r="BQQ3"/>
      <c r="BQR3"/>
      <c r="BQS3"/>
      <c r="BQT3"/>
      <c r="BQU3"/>
      <c r="BQV3"/>
      <c r="BQW3"/>
      <c r="BQX3"/>
      <c r="BQY3"/>
      <c r="BQZ3"/>
      <c r="BRA3"/>
      <c r="BRB3"/>
      <c r="BRC3"/>
      <c r="BRD3"/>
      <c r="BRE3"/>
      <c r="BRF3"/>
      <c r="BRG3"/>
      <c r="BRH3"/>
      <c r="BRI3"/>
      <c r="BRJ3"/>
      <c r="BRK3"/>
      <c r="BRL3"/>
      <c r="BRM3"/>
      <c r="BRN3"/>
      <c r="BRO3"/>
      <c r="BRP3"/>
      <c r="BRQ3"/>
      <c r="BRR3"/>
      <c r="BRS3"/>
      <c r="BRT3"/>
      <c r="BRU3"/>
      <c r="BRV3"/>
      <c r="BRW3"/>
      <c r="BRX3"/>
      <c r="BRY3"/>
      <c r="BRZ3"/>
      <c r="BSA3"/>
      <c r="BSB3"/>
      <c r="BSC3"/>
      <c r="BSD3"/>
      <c r="BSE3"/>
      <c r="BSF3"/>
      <c r="BSG3"/>
      <c r="BSH3"/>
      <c r="BSI3"/>
      <c r="BSJ3"/>
      <c r="BSK3"/>
      <c r="BSL3"/>
      <c r="BSM3"/>
      <c r="BSN3"/>
      <c r="BSO3"/>
      <c r="BSP3"/>
      <c r="BSQ3"/>
      <c r="BSR3"/>
      <c r="BSS3"/>
      <c r="BST3"/>
      <c r="BSU3"/>
      <c r="BSV3"/>
      <c r="BSW3"/>
      <c r="BSX3"/>
      <c r="BSY3"/>
      <c r="BSZ3"/>
      <c r="BTA3"/>
      <c r="BTB3"/>
      <c r="BTC3"/>
      <c r="BTD3"/>
      <c r="BTE3"/>
      <c r="BTF3"/>
      <c r="BTG3"/>
      <c r="BTH3"/>
      <c r="BTI3"/>
      <c r="BTJ3"/>
      <c r="BTK3"/>
      <c r="BTL3"/>
      <c r="BTM3"/>
      <c r="BTN3"/>
      <c r="BTO3"/>
      <c r="BTP3"/>
      <c r="BTQ3"/>
      <c r="BTR3"/>
      <c r="BTS3"/>
      <c r="BTT3"/>
      <c r="BTU3"/>
      <c r="BTV3"/>
      <c r="BTW3"/>
      <c r="BTX3"/>
      <c r="BTY3"/>
      <c r="BTZ3"/>
      <c r="BUA3"/>
      <c r="BUB3"/>
      <c r="BUC3"/>
      <c r="BUD3"/>
      <c r="BUE3"/>
      <c r="BUF3"/>
      <c r="BUG3"/>
      <c r="BUH3"/>
      <c r="BUI3"/>
      <c r="BUJ3"/>
      <c r="BUK3"/>
      <c r="BUL3"/>
      <c r="BUM3"/>
      <c r="BUN3"/>
      <c r="BUO3"/>
      <c r="BUP3"/>
      <c r="BUQ3"/>
      <c r="BUR3"/>
      <c r="BUS3"/>
      <c r="BUT3"/>
      <c r="BUU3"/>
      <c r="BUV3"/>
      <c r="BUW3"/>
      <c r="BUX3"/>
      <c r="BUY3"/>
      <c r="BUZ3"/>
      <c r="BVA3"/>
      <c r="BVB3"/>
      <c r="BVC3"/>
      <c r="BVD3"/>
      <c r="BVE3"/>
      <c r="BVF3"/>
      <c r="BVG3"/>
      <c r="BVH3"/>
      <c r="BVI3"/>
      <c r="BVJ3"/>
      <c r="BVK3"/>
      <c r="BVL3"/>
      <c r="BVM3"/>
      <c r="BVN3"/>
      <c r="BVO3"/>
      <c r="BVP3"/>
      <c r="BVQ3"/>
      <c r="BVR3"/>
      <c r="BVS3"/>
      <c r="BVT3"/>
      <c r="BVU3"/>
      <c r="BVV3"/>
      <c r="BVW3"/>
      <c r="BVX3"/>
      <c r="BVY3"/>
      <c r="BVZ3"/>
      <c r="BWA3"/>
      <c r="BWB3"/>
      <c r="BWC3"/>
      <c r="BWD3"/>
      <c r="BWE3"/>
      <c r="BWF3"/>
      <c r="BWG3"/>
      <c r="BWH3"/>
      <c r="BWI3"/>
      <c r="BWJ3"/>
      <c r="BWK3"/>
      <c r="BWL3"/>
      <c r="BWM3"/>
      <c r="BWN3"/>
      <c r="BWO3"/>
      <c r="BWP3"/>
      <c r="BWQ3"/>
      <c r="BWR3"/>
      <c r="BWS3"/>
      <c r="BWT3"/>
      <c r="BWU3"/>
      <c r="BWV3"/>
      <c r="BWW3"/>
      <c r="BWX3"/>
      <c r="BWY3"/>
      <c r="BWZ3"/>
      <c r="BXA3"/>
      <c r="BXB3"/>
      <c r="BXC3"/>
      <c r="BXD3"/>
      <c r="BXE3"/>
      <c r="BXF3"/>
      <c r="BXG3"/>
      <c r="BXH3"/>
      <c r="BXI3"/>
      <c r="BXJ3"/>
      <c r="BXK3"/>
      <c r="BXL3"/>
      <c r="BXM3"/>
      <c r="BXN3"/>
      <c r="BXO3"/>
      <c r="BXP3"/>
      <c r="BXQ3"/>
      <c r="BXR3"/>
      <c r="BXS3"/>
      <c r="BXT3"/>
      <c r="BXU3"/>
      <c r="BXV3"/>
      <c r="BXW3"/>
      <c r="BXX3"/>
      <c r="BXY3"/>
      <c r="BXZ3"/>
      <c r="BYA3"/>
      <c r="BYB3"/>
      <c r="BYC3"/>
      <c r="BYD3"/>
      <c r="BYE3"/>
      <c r="BYF3"/>
      <c r="BYG3"/>
      <c r="BYH3"/>
      <c r="BYI3"/>
      <c r="BYJ3"/>
      <c r="BYK3"/>
      <c r="BYL3"/>
      <c r="BYM3"/>
      <c r="BYN3"/>
      <c r="BYO3"/>
      <c r="BYP3"/>
      <c r="BYQ3"/>
      <c r="BYR3"/>
      <c r="BYS3"/>
      <c r="BYT3"/>
      <c r="BYU3"/>
      <c r="BYV3"/>
      <c r="BYW3"/>
      <c r="BYX3"/>
      <c r="BYY3"/>
      <c r="BYZ3"/>
      <c r="BZA3"/>
      <c r="BZB3"/>
      <c r="BZC3"/>
      <c r="BZD3"/>
      <c r="BZE3"/>
      <c r="BZF3"/>
      <c r="BZG3"/>
      <c r="BZH3"/>
      <c r="BZI3"/>
      <c r="BZJ3"/>
      <c r="BZK3"/>
      <c r="BZL3"/>
      <c r="BZM3"/>
      <c r="BZN3"/>
      <c r="BZO3"/>
      <c r="BZP3"/>
      <c r="BZQ3"/>
      <c r="BZR3"/>
      <c r="BZS3"/>
      <c r="BZT3"/>
      <c r="BZU3"/>
      <c r="BZV3"/>
      <c r="BZW3"/>
      <c r="BZX3"/>
      <c r="BZY3"/>
      <c r="BZZ3"/>
      <c r="CAA3"/>
      <c r="CAB3"/>
      <c r="CAC3"/>
      <c r="CAD3"/>
      <c r="CAE3"/>
      <c r="CAF3"/>
      <c r="CAG3"/>
      <c r="CAH3"/>
      <c r="CAI3"/>
      <c r="CAJ3"/>
      <c r="CAK3"/>
      <c r="CAL3"/>
      <c r="CAM3"/>
      <c r="CAN3"/>
      <c r="CAO3"/>
      <c r="CAP3"/>
      <c r="CAQ3"/>
      <c r="CAR3"/>
      <c r="CAS3"/>
      <c r="CAT3"/>
      <c r="CAU3"/>
      <c r="CAV3"/>
      <c r="CAW3"/>
      <c r="CAX3"/>
      <c r="CAY3"/>
      <c r="CAZ3"/>
      <c r="CBA3"/>
      <c r="CBB3"/>
      <c r="CBC3"/>
      <c r="CBD3"/>
      <c r="CBE3"/>
      <c r="CBF3"/>
      <c r="CBG3"/>
      <c r="CBH3"/>
      <c r="CBI3"/>
      <c r="CBJ3"/>
      <c r="CBK3"/>
      <c r="CBL3"/>
      <c r="CBM3"/>
      <c r="CBN3"/>
      <c r="CBO3"/>
      <c r="CBP3"/>
      <c r="CBQ3"/>
      <c r="CBR3"/>
      <c r="CBS3"/>
      <c r="CBT3"/>
      <c r="CBU3"/>
      <c r="CBV3"/>
      <c r="CBW3"/>
      <c r="CBX3"/>
      <c r="CBY3"/>
      <c r="CBZ3"/>
      <c r="CCA3"/>
      <c r="CCB3"/>
      <c r="CCC3"/>
      <c r="CCD3"/>
      <c r="CCE3"/>
      <c r="CCF3"/>
      <c r="CCG3"/>
      <c r="CCH3"/>
      <c r="CCI3"/>
      <c r="CCJ3"/>
      <c r="CCK3"/>
      <c r="CCL3"/>
      <c r="CCM3"/>
      <c r="CCN3"/>
      <c r="CCO3"/>
      <c r="CCP3"/>
      <c r="CCQ3"/>
      <c r="CCR3"/>
      <c r="CCS3"/>
      <c r="CCT3"/>
      <c r="CCU3"/>
      <c r="CCV3"/>
      <c r="CCW3"/>
      <c r="CCX3"/>
      <c r="CCY3"/>
      <c r="CCZ3"/>
      <c r="CDA3"/>
      <c r="CDB3"/>
      <c r="CDC3"/>
      <c r="CDD3"/>
      <c r="CDE3"/>
      <c r="CDF3"/>
      <c r="CDG3"/>
      <c r="CDH3"/>
      <c r="CDI3"/>
      <c r="CDJ3"/>
      <c r="CDK3"/>
      <c r="CDL3"/>
      <c r="CDM3"/>
      <c r="CDN3"/>
      <c r="CDO3"/>
      <c r="CDP3"/>
      <c r="CDQ3"/>
      <c r="CDR3"/>
      <c r="CDS3"/>
      <c r="CDT3"/>
      <c r="CDU3"/>
      <c r="CDV3"/>
      <c r="CDW3"/>
      <c r="CDX3"/>
      <c r="CDY3"/>
      <c r="CDZ3"/>
      <c r="CEA3"/>
      <c r="CEB3"/>
      <c r="CEC3"/>
      <c r="CED3"/>
      <c r="CEE3"/>
      <c r="CEF3"/>
      <c r="CEG3"/>
      <c r="CEH3"/>
      <c r="CEI3"/>
      <c r="CEJ3"/>
      <c r="CEK3"/>
      <c r="CEL3"/>
      <c r="CEM3"/>
      <c r="CEN3"/>
      <c r="CEO3"/>
      <c r="CEP3"/>
      <c r="CEQ3"/>
      <c r="CER3"/>
      <c r="CES3"/>
      <c r="CET3"/>
      <c r="CEU3"/>
      <c r="CEV3"/>
      <c r="CEW3"/>
      <c r="CEX3"/>
      <c r="CEY3"/>
      <c r="CEZ3"/>
      <c r="CFA3"/>
      <c r="CFB3"/>
      <c r="CFC3"/>
      <c r="CFD3"/>
      <c r="CFE3"/>
      <c r="CFF3"/>
      <c r="CFG3"/>
      <c r="CFH3"/>
      <c r="CFI3"/>
      <c r="CFJ3"/>
      <c r="CFK3"/>
      <c r="CFL3"/>
      <c r="CFM3"/>
      <c r="CFN3"/>
      <c r="CFO3"/>
      <c r="CFP3"/>
      <c r="CFQ3"/>
      <c r="CFR3"/>
      <c r="CFS3"/>
      <c r="CFT3"/>
      <c r="CFU3"/>
      <c r="CFV3"/>
      <c r="CFW3"/>
      <c r="CFX3"/>
      <c r="CFY3"/>
      <c r="CFZ3"/>
      <c r="CGA3"/>
      <c r="CGB3"/>
      <c r="CGC3"/>
      <c r="CGD3"/>
      <c r="CGE3"/>
      <c r="CGF3"/>
      <c r="CGG3"/>
      <c r="CGH3"/>
      <c r="CGI3"/>
      <c r="CGJ3"/>
      <c r="CGK3"/>
      <c r="CGL3"/>
      <c r="CGM3"/>
      <c r="CGN3"/>
      <c r="CGO3"/>
      <c r="CGP3"/>
      <c r="CGQ3"/>
      <c r="CGR3"/>
      <c r="CGS3"/>
      <c r="CGT3"/>
      <c r="CGU3"/>
      <c r="CGV3"/>
      <c r="CGW3"/>
      <c r="CGX3"/>
      <c r="CGY3"/>
      <c r="CGZ3"/>
      <c r="CHA3"/>
      <c r="CHB3"/>
      <c r="CHC3"/>
      <c r="CHD3"/>
      <c r="CHE3"/>
      <c r="CHF3"/>
      <c r="CHG3"/>
      <c r="CHH3"/>
      <c r="CHI3"/>
      <c r="CHJ3"/>
      <c r="CHK3"/>
      <c r="CHL3"/>
      <c r="CHM3"/>
      <c r="CHN3"/>
      <c r="CHO3"/>
      <c r="CHP3"/>
      <c r="CHQ3"/>
      <c r="CHR3"/>
      <c r="CHS3"/>
      <c r="CHT3"/>
      <c r="CHU3"/>
      <c r="CHV3"/>
      <c r="CHW3"/>
      <c r="CHX3"/>
      <c r="CHY3"/>
      <c r="CHZ3"/>
      <c r="CIA3"/>
      <c r="CIB3"/>
      <c r="CIC3"/>
      <c r="CID3"/>
      <c r="CIE3"/>
      <c r="CIF3"/>
      <c r="CIG3"/>
      <c r="CIH3"/>
      <c r="CII3"/>
      <c r="CIJ3"/>
      <c r="CIK3"/>
      <c r="CIL3"/>
      <c r="CIM3"/>
      <c r="CIN3"/>
      <c r="CIO3"/>
      <c r="CIP3"/>
      <c r="CIQ3"/>
      <c r="CIR3"/>
      <c r="CIS3"/>
      <c r="CIT3"/>
      <c r="CIU3"/>
      <c r="CIV3"/>
      <c r="CIW3"/>
      <c r="CIX3"/>
      <c r="CIY3"/>
      <c r="CIZ3"/>
      <c r="CJA3"/>
      <c r="CJB3"/>
      <c r="CJC3"/>
      <c r="CJD3"/>
      <c r="CJE3"/>
      <c r="CJF3"/>
      <c r="CJG3"/>
      <c r="CJH3"/>
      <c r="CJI3"/>
      <c r="CJJ3"/>
      <c r="CJK3"/>
      <c r="CJL3"/>
      <c r="CJM3"/>
      <c r="CJN3"/>
      <c r="CJO3"/>
      <c r="CJP3"/>
      <c r="CJQ3"/>
      <c r="CJR3"/>
      <c r="CJS3"/>
      <c r="CJT3"/>
      <c r="CJU3"/>
      <c r="CJV3"/>
      <c r="CJW3"/>
      <c r="CJX3"/>
      <c r="CJY3"/>
      <c r="CJZ3"/>
      <c r="CKA3"/>
      <c r="CKB3"/>
      <c r="CKC3"/>
      <c r="CKD3"/>
      <c r="CKE3"/>
      <c r="CKF3"/>
      <c r="CKG3"/>
      <c r="CKH3"/>
      <c r="CKI3"/>
      <c r="CKJ3"/>
      <c r="CKK3"/>
      <c r="CKL3"/>
      <c r="CKM3"/>
      <c r="CKN3"/>
      <c r="CKO3"/>
      <c r="CKP3"/>
      <c r="CKQ3"/>
      <c r="CKR3"/>
      <c r="CKS3"/>
      <c r="CKT3"/>
      <c r="CKU3"/>
      <c r="CKV3"/>
      <c r="CKW3"/>
      <c r="CKX3"/>
      <c r="CKY3"/>
      <c r="CKZ3"/>
      <c r="CLA3"/>
      <c r="CLB3"/>
      <c r="CLC3"/>
      <c r="CLD3"/>
      <c r="CLE3"/>
      <c r="CLF3"/>
      <c r="CLG3"/>
      <c r="CLH3"/>
      <c r="CLI3"/>
      <c r="CLJ3"/>
      <c r="CLK3"/>
      <c r="CLL3"/>
      <c r="CLM3"/>
      <c r="CLN3"/>
      <c r="CLO3"/>
      <c r="CLP3"/>
      <c r="CLQ3"/>
      <c r="CLR3"/>
      <c r="CLS3"/>
      <c r="CLT3"/>
      <c r="CLU3"/>
      <c r="CLV3"/>
      <c r="CLW3"/>
      <c r="CLX3"/>
      <c r="CLY3"/>
      <c r="CLZ3"/>
      <c r="CMA3"/>
      <c r="CMB3"/>
      <c r="CMC3"/>
      <c r="CMD3"/>
      <c r="CME3"/>
      <c r="CMF3"/>
      <c r="CMG3"/>
      <c r="CMH3"/>
      <c r="CMI3"/>
      <c r="CMJ3"/>
      <c r="CMK3"/>
      <c r="CML3"/>
      <c r="CMM3"/>
      <c r="CMN3"/>
      <c r="CMO3"/>
      <c r="CMP3"/>
      <c r="CMQ3"/>
      <c r="CMR3"/>
      <c r="CMS3"/>
      <c r="CMT3"/>
      <c r="CMU3"/>
      <c r="CMV3"/>
      <c r="CMW3"/>
      <c r="CMX3"/>
      <c r="CMY3"/>
      <c r="CMZ3"/>
      <c r="CNA3"/>
      <c r="CNB3"/>
      <c r="CNC3"/>
      <c r="CND3"/>
      <c r="CNE3"/>
      <c r="CNF3"/>
      <c r="CNG3"/>
      <c r="CNH3"/>
      <c r="CNI3"/>
      <c r="CNJ3"/>
      <c r="CNK3"/>
      <c r="CNL3"/>
      <c r="CNM3"/>
      <c r="CNN3"/>
      <c r="CNO3"/>
      <c r="CNP3"/>
      <c r="CNQ3"/>
      <c r="CNR3"/>
      <c r="CNS3"/>
      <c r="CNT3"/>
      <c r="CNU3"/>
      <c r="CNV3"/>
      <c r="CNW3"/>
      <c r="CNX3"/>
      <c r="CNY3"/>
      <c r="CNZ3"/>
      <c r="COA3"/>
      <c r="COB3"/>
      <c r="COC3"/>
      <c r="COD3"/>
      <c r="COE3"/>
      <c r="COF3"/>
      <c r="COG3"/>
      <c r="COH3"/>
      <c r="COI3"/>
      <c r="COJ3"/>
      <c r="COK3"/>
      <c r="COL3"/>
      <c r="COM3"/>
      <c r="CON3"/>
      <c r="COO3"/>
      <c r="COP3"/>
      <c r="COQ3"/>
      <c r="COR3"/>
      <c r="COS3"/>
      <c r="COT3"/>
      <c r="COU3"/>
      <c r="COV3"/>
      <c r="COW3"/>
      <c r="COX3"/>
      <c r="COY3"/>
      <c r="COZ3"/>
      <c r="CPA3"/>
      <c r="CPB3"/>
      <c r="CPC3"/>
      <c r="CPD3"/>
      <c r="CPE3"/>
      <c r="CPF3"/>
      <c r="CPG3"/>
      <c r="CPH3"/>
      <c r="CPI3"/>
      <c r="CPJ3"/>
      <c r="CPK3"/>
      <c r="CPL3"/>
      <c r="CPM3"/>
      <c r="CPN3"/>
      <c r="CPO3"/>
      <c r="CPP3"/>
      <c r="CPQ3"/>
      <c r="CPR3"/>
      <c r="CPS3"/>
      <c r="CPT3"/>
      <c r="CPU3"/>
      <c r="CPV3"/>
      <c r="CPW3"/>
      <c r="CPX3"/>
      <c r="CPY3"/>
      <c r="CPZ3"/>
      <c r="CQA3"/>
      <c r="CQB3"/>
      <c r="CQC3"/>
      <c r="CQD3"/>
      <c r="CQE3"/>
      <c r="CQF3"/>
      <c r="CQG3"/>
      <c r="CQH3"/>
      <c r="CQI3"/>
      <c r="CQJ3"/>
      <c r="CQK3"/>
      <c r="CQL3"/>
      <c r="CQM3"/>
      <c r="CQN3"/>
      <c r="CQO3"/>
      <c r="CQP3"/>
      <c r="CQQ3"/>
      <c r="CQR3"/>
      <c r="CQS3"/>
      <c r="CQT3"/>
      <c r="CQU3"/>
      <c r="CQV3"/>
      <c r="CQW3"/>
      <c r="CQX3"/>
      <c r="CQY3"/>
      <c r="CQZ3"/>
      <c r="CRA3"/>
      <c r="CRB3"/>
      <c r="CRC3"/>
      <c r="CRD3"/>
      <c r="CRE3"/>
      <c r="CRF3"/>
      <c r="CRG3"/>
      <c r="CRH3"/>
      <c r="CRI3"/>
      <c r="CRJ3"/>
      <c r="CRK3"/>
      <c r="CRL3"/>
      <c r="CRM3"/>
      <c r="CRN3"/>
      <c r="CRO3"/>
      <c r="CRP3"/>
      <c r="CRQ3"/>
      <c r="CRR3"/>
      <c r="CRS3"/>
      <c r="CRT3"/>
      <c r="CRU3"/>
      <c r="CRV3"/>
      <c r="CRW3"/>
      <c r="CRX3"/>
      <c r="CRY3"/>
      <c r="CRZ3"/>
      <c r="CSA3"/>
      <c r="CSB3"/>
      <c r="CSC3"/>
      <c r="CSD3"/>
      <c r="CSE3"/>
      <c r="CSF3"/>
      <c r="CSG3"/>
      <c r="CSH3"/>
      <c r="CSI3"/>
      <c r="CSJ3"/>
      <c r="CSK3"/>
      <c r="CSL3"/>
      <c r="CSM3"/>
      <c r="CSN3"/>
      <c r="CSO3"/>
      <c r="CSP3"/>
      <c r="CSQ3"/>
      <c r="CSR3"/>
      <c r="CSS3"/>
      <c r="CST3"/>
      <c r="CSU3"/>
      <c r="CSV3"/>
      <c r="CSW3"/>
      <c r="CSX3"/>
      <c r="CSY3"/>
      <c r="CSZ3"/>
      <c r="CTA3"/>
      <c r="CTB3"/>
      <c r="CTC3"/>
      <c r="CTD3"/>
      <c r="CTE3"/>
      <c r="CTF3"/>
      <c r="CTG3"/>
      <c r="CTH3"/>
      <c r="CTI3"/>
      <c r="CTJ3"/>
      <c r="CTK3"/>
      <c r="CTL3"/>
      <c r="CTM3"/>
      <c r="CTN3"/>
      <c r="CTO3"/>
      <c r="CTP3"/>
      <c r="CTQ3"/>
      <c r="CTR3"/>
      <c r="CTS3"/>
      <c r="CTT3"/>
      <c r="CTU3"/>
      <c r="CTV3"/>
      <c r="CTW3"/>
      <c r="CTX3"/>
      <c r="CTY3"/>
      <c r="CTZ3"/>
      <c r="CUA3"/>
      <c r="CUB3"/>
      <c r="CUC3"/>
      <c r="CUD3"/>
      <c r="CUE3"/>
      <c r="CUF3"/>
      <c r="CUG3"/>
      <c r="CUH3"/>
      <c r="CUI3"/>
      <c r="CUJ3"/>
      <c r="CUK3"/>
      <c r="CUL3"/>
      <c r="CUM3"/>
      <c r="CUN3"/>
      <c r="CUO3"/>
      <c r="CUP3"/>
      <c r="CUQ3"/>
      <c r="CUR3"/>
      <c r="CUS3"/>
      <c r="CUT3"/>
      <c r="CUU3"/>
      <c r="CUV3"/>
      <c r="CUW3"/>
      <c r="CUX3"/>
      <c r="CUY3"/>
      <c r="CUZ3"/>
      <c r="CVA3"/>
      <c r="CVB3"/>
      <c r="CVC3"/>
      <c r="CVD3"/>
      <c r="CVE3"/>
      <c r="CVF3"/>
      <c r="CVG3"/>
      <c r="CVH3"/>
      <c r="CVI3"/>
      <c r="CVJ3"/>
      <c r="CVK3"/>
      <c r="CVL3"/>
      <c r="CVM3"/>
      <c r="CVN3"/>
      <c r="CVO3"/>
      <c r="CVP3"/>
      <c r="CVQ3"/>
      <c r="CVR3"/>
      <c r="CVS3"/>
      <c r="CVT3"/>
      <c r="CVU3"/>
      <c r="CVV3"/>
      <c r="CVW3"/>
      <c r="CVX3"/>
      <c r="CVY3"/>
      <c r="CVZ3"/>
      <c r="CWA3"/>
      <c r="CWB3"/>
      <c r="CWC3"/>
      <c r="CWD3"/>
      <c r="CWE3"/>
      <c r="CWF3"/>
      <c r="CWG3"/>
      <c r="CWH3"/>
      <c r="CWI3"/>
      <c r="CWJ3"/>
      <c r="CWK3"/>
      <c r="CWL3"/>
      <c r="CWM3"/>
      <c r="CWN3"/>
      <c r="CWO3"/>
      <c r="CWP3"/>
      <c r="CWQ3"/>
      <c r="CWR3"/>
      <c r="CWS3"/>
      <c r="CWT3"/>
      <c r="CWU3"/>
      <c r="CWV3"/>
      <c r="CWW3"/>
      <c r="CWX3"/>
      <c r="CWY3"/>
      <c r="CWZ3"/>
      <c r="CXA3"/>
      <c r="CXB3"/>
      <c r="CXC3"/>
      <c r="CXD3"/>
      <c r="CXE3"/>
      <c r="CXF3"/>
      <c r="CXG3"/>
      <c r="CXH3"/>
      <c r="CXI3"/>
      <c r="CXJ3"/>
      <c r="CXK3"/>
      <c r="CXL3"/>
      <c r="CXM3"/>
      <c r="CXN3"/>
      <c r="CXO3"/>
      <c r="CXP3"/>
      <c r="CXQ3"/>
      <c r="CXR3"/>
      <c r="CXS3"/>
      <c r="CXT3"/>
      <c r="CXU3"/>
      <c r="CXV3"/>
      <c r="CXW3"/>
      <c r="CXX3"/>
      <c r="CXY3"/>
      <c r="CXZ3"/>
      <c r="CYA3"/>
      <c r="CYB3"/>
      <c r="CYC3"/>
      <c r="CYD3"/>
      <c r="CYE3"/>
      <c r="CYF3"/>
      <c r="CYG3"/>
      <c r="CYH3"/>
      <c r="CYI3"/>
      <c r="CYJ3"/>
      <c r="CYK3"/>
      <c r="CYL3"/>
      <c r="CYM3"/>
      <c r="CYN3"/>
      <c r="CYO3"/>
      <c r="CYP3"/>
      <c r="CYQ3"/>
      <c r="CYR3"/>
      <c r="CYS3"/>
      <c r="CYT3"/>
      <c r="CYU3"/>
      <c r="CYV3"/>
      <c r="CYW3"/>
      <c r="CYX3"/>
      <c r="CYY3"/>
      <c r="CYZ3"/>
      <c r="CZA3"/>
      <c r="CZB3"/>
      <c r="CZC3"/>
      <c r="CZD3"/>
      <c r="CZE3"/>
      <c r="CZF3"/>
      <c r="CZG3"/>
      <c r="CZH3"/>
      <c r="CZI3"/>
      <c r="CZJ3"/>
      <c r="CZK3"/>
      <c r="CZL3"/>
      <c r="CZM3"/>
      <c r="CZN3"/>
      <c r="CZO3"/>
      <c r="CZP3"/>
      <c r="CZQ3"/>
      <c r="CZR3"/>
      <c r="CZS3"/>
      <c r="CZT3"/>
      <c r="CZU3"/>
      <c r="CZV3"/>
      <c r="CZW3"/>
      <c r="CZX3"/>
      <c r="CZY3"/>
      <c r="CZZ3"/>
      <c r="DAA3"/>
      <c r="DAB3"/>
      <c r="DAC3"/>
      <c r="DAD3"/>
      <c r="DAE3"/>
      <c r="DAF3"/>
      <c r="DAG3"/>
      <c r="DAH3"/>
      <c r="DAI3"/>
      <c r="DAJ3"/>
      <c r="DAK3"/>
      <c r="DAL3"/>
      <c r="DAM3"/>
      <c r="DAN3"/>
      <c r="DAO3"/>
      <c r="DAP3"/>
      <c r="DAQ3"/>
      <c r="DAR3"/>
      <c r="DAS3"/>
      <c r="DAT3"/>
      <c r="DAU3"/>
      <c r="DAV3"/>
      <c r="DAW3"/>
      <c r="DAX3"/>
      <c r="DAY3"/>
      <c r="DAZ3"/>
      <c r="DBA3"/>
      <c r="DBB3"/>
      <c r="DBC3"/>
      <c r="DBD3"/>
      <c r="DBE3"/>
      <c r="DBF3"/>
      <c r="DBG3"/>
      <c r="DBH3"/>
      <c r="DBI3"/>
      <c r="DBJ3"/>
      <c r="DBK3"/>
      <c r="DBL3"/>
      <c r="DBM3"/>
      <c r="DBN3"/>
      <c r="DBO3"/>
      <c r="DBP3"/>
      <c r="DBQ3"/>
      <c r="DBR3"/>
      <c r="DBS3"/>
      <c r="DBT3"/>
      <c r="DBU3"/>
      <c r="DBV3"/>
      <c r="DBW3"/>
      <c r="DBX3"/>
      <c r="DBY3"/>
      <c r="DBZ3"/>
      <c r="DCA3"/>
      <c r="DCB3"/>
      <c r="DCC3"/>
      <c r="DCD3"/>
      <c r="DCE3"/>
      <c r="DCF3"/>
      <c r="DCG3"/>
      <c r="DCH3"/>
      <c r="DCI3"/>
      <c r="DCJ3"/>
      <c r="DCK3"/>
      <c r="DCL3"/>
      <c r="DCM3"/>
      <c r="DCN3"/>
      <c r="DCO3"/>
      <c r="DCP3"/>
      <c r="DCQ3"/>
      <c r="DCR3"/>
      <c r="DCS3"/>
      <c r="DCT3"/>
      <c r="DCU3"/>
      <c r="DCV3"/>
      <c r="DCW3"/>
      <c r="DCX3"/>
      <c r="DCY3"/>
      <c r="DCZ3"/>
      <c r="DDA3"/>
      <c r="DDB3"/>
      <c r="DDC3"/>
      <c r="DDD3"/>
      <c r="DDE3"/>
      <c r="DDF3"/>
      <c r="DDG3"/>
      <c r="DDH3"/>
      <c r="DDI3"/>
      <c r="DDJ3"/>
      <c r="DDK3"/>
      <c r="DDL3"/>
      <c r="DDM3"/>
      <c r="DDN3"/>
      <c r="DDO3"/>
      <c r="DDP3"/>
      <c r="DDQ3"/>
      <c r="DDR3"/>
      <c r="DDS3"/>
      <c r="DDT3"/>
      <c r="DDU3"/>
      <c r="DDV3"/>
      <c r="DDW3"/>
      <c r="DDX3"/>
      <c r="DDY3"/>
      <c r="DDZ3"/>
      <c r="DEA3"/>
      <c r="DEB3"/>
      <c r="DEC3"/>
      <c r="DED3"/>
      <c r="DEE3"/>
      <c r="DEF3"/>
      <c r="DEG3"/>
      <c r="DEH3"/>
      <c r="DEI3"/>
      <c r="DEJ3"/>
      <c r="DEK3"/>
      <c r="DEL3"/>
      <c r="DEM3"/>
      <c r="DEN3"/>
      <c r="DEO3"/>
      <c r="DEP3"/>
      <c r="DEQ3"/>
      <c r="DER3"/>
      <c r="DES3"/>
      <c r="DET3"/>
      <c r="DEU3"/>
      <c r="DEV3"/>
      <c r="DEW3"/>
      <c r="DEX3"/>
      <c r="DEY3"/>
      <c r="DEZ3"/>
      <c r="DFA3"/>
      <c r="DFB3"/>
      <c r="DFC3"/>
      <c r="DFD3"/>
      <c r="DFE3"/>
      <c r="DFF3"/>
      <c r="DFG3"/>
      <c r="DFH3"/>
      <c r="DFI3"/>
      <c r="DFJ3"/>
      <c r="DFK3"/>
      <c r="DFL3"/>
      <c r="DFM3"/>
      <c r="DFN3"/>
      <c r="DFO3"/>
      <c r="DFP3"/>
      <c r="DFQ3"/>
      <c r="DFR3"/>
      <c r="DFS3"/>
      <c r="DFT3"/>
      <c r="DFU3"/>
      <c r="DFV3"/>
      <c r="DFW3"/>
      <c r="DFX3"/>
      <c r="DFY3"/>
      <c r="DFZ3"/>
      <c r="DGA3"/>
      <c r="DGB3"/>
      <c r="DGC3"/>
      <c r="DGD3"/>
      <c r="DGE3"/>
      <c r="DGF3"/>
      <c r="DGG3"/>
      <c r="DGH3"/>
      <c r="DGI3"/>
      <c r="DGJ3"/>
      <c r="DGK3"/>
      <c r="DGL3"/>
      <c r="DGM3"/>
      <c r="DGN3"/>
      <c r="DGO3"/>
      <c r="DGP3"/>
      <c r="DGQ3"/>
      <c r="DGR3"/>
      <c r="DGS3"/>
      <c r="DGT3"/>
      <c r="DGU3"/>
      <c r="DGV3"/>
      <c r="DGW3"/>
      <c r="DGX3"/>
      <c r="DGY3"/>
      <c r="DGZ3"/>
      <c r="DHA3"/>
      <c r="DHB3"/>
      <c r="DHC3"/>
      <c r="DHD3"/>
      <c r="DHE3"/>
      <c r="DHF3"/>
      <c r="DHG3"/>
      <c r="DHH3"/>
      <c r="DHI3"/>
      <c r="DHJ3"/>
      <c r="DHK3"/>
      <c r="DHL3"/>
      <c r="DHM3"/>
      <c r="DHN3"/>
      <c r="DHO3"/>
      <c r="DHP3"/>
      <c r="DHQ3"/>
      <c r="DHR3"/>
      <c r="DHS3"/>
      <c r="DHT3"/>
      <c r="DHU3"/>
      <c r="DHV3"/>
      <c r="DHW3"/>
      <c r="DHX3"/>
      <c r="DHY3"/>
      <c r="DHZ3"/>
      <c r="DIA3"/>
      <c r="DIB3"/>
      <c r="DIC3"/>
      <c r="DID3"/>
      <c r="DIE3"/>
      <c r="DIF3"/>
      <c r="DIG3"/>
      <c r="DIH3"/>
      <c r="DII3"/>
      <c r="DIJ3"/>
      <c r="DIK3"/>
      <c r="DIL3"/>
      <c r="DIM3"/>
      <c r="DIN3"/>
      <c r="DIO3"/>
      <c r="DIP3"/>
      <c r="DIQ3"/>
      <c r="DIR3"/>
      <c r="DIS3"/>
      <c r="DIT3"/>
      <c r="DIU3"/>
      <c r="DIV3"/>
      <c r="DIW3"/>
      <c r="DIX3"/>
      <c r="DIY3"/>
      <c r="DIZ3"/>
      <c r="DJA3"/>
      <c r="DJB3"/>
      <c r="DJC3"/>
      <c r="DJD3"/>
      <c r="DJE3"/>
      <c r="DJF3"/>
      <c r="DJG3"/>
      <c r="DJH3"/>
      <c r="DJI3"/>
      <c r="DJJ3"/>
      <c r="DJK3"/>
      <c r="DJL3"/>
      <c r="DJM3"/>
      <c r="DJN3"/>
      <c r="DJO3"/>
      <c r="DJP3"/>
      <c r="DJQ3"/>
      <c r="DJR3"/>
      <c r="DJS3"/>
      <c r="DJT3"/>
      <c r="DJU3"/>
      <c r="DJV3"/>
      <c r="DJW3"/>
      <c r="DJX3"/>
      <c r="DJY3"/>
      <c r="DJZ3"/>
      <c r="DKA3"/>
      <c r="DKB3"/>
      <c r="DKC3"/>
      <c r="DKD3"/>
      <c r="DKE3"/>
      <c r="DKF3"/>
      <c r="DKG3"/>
      <c r="DKH3"/>
      <c r="DKI3"/>
      <c r="DKJ3"/>
      <c r="DKK3"/>
      <c r="DKL3"/>
      <c r="DKM3"/>
      <c r="DKN3"/>
      <c r="DKO3"/>
      <c r="DKP3"/>
      <c r="DKQ3"/>
      <c r="DKR3"/>
      <c r="DKS3"/>
      <c r="DKT3"/>
      <c r="DKU3"/>
      <c r="DKV3"/>
      <c r="DKW3"/>
      <c r="DKX3"/>
      <c r="DKY3"/>
      <c r="DKZ3"/>
      <c r="DLA3"/>
      <c r="DLB3"/>
      <c r="DLC3"/>
      <c r="DLD3"/>
      <c r="DLE3"/>
      <c r="DLF3"/>
      <c r="DLG3"/>
      <c r="DLH3"/>
      <c r="DLI3"/>
      <c r="DLJ3"/>
      <c r="DLK3"/>
      <c r="DLL3"/>
      <c r="DLM3"/>
      <c r="DLN3"/>
      <c r="DLO3"/>
      <c r="DLP3"/>
      <c r="DLQ3"/>
      <c r="DLR3"/>
      <c r="DLS3"/>
      <c r="DLT3"/>
      <c r="DLU3"/>
      <c r="DLV3"/>
      <c r="DLW3"/>
      <c r="DLX3"/>
      <c r="DLY3"/>
      <c r="DLZ3"/>
      <c r="DMA3"/>
      <c r="DMB3"/>
      <c r="DMC3"/>
      <c r="DMD3"/>
      <c r="DME3"/>
      <c r="DMF3"/>
      <c r="DMG3"/>
      <c r="DMH3"/>
      <c r="DMI3"/>
      <c r="DMJ3"/>
      <c r="DMK3"/>
      <c r="DML3"/>
      <c r="DMM3"/>
      <c r="DMN3"/>
      <c r="DMO3"/>
      <c r="DMP3"/>
      <c r="DMQ3"/>
      <c r="DMR3"/>
      <c r="DMS3"/>
      <c r="DMT3"/>
      <c r="DMU3"/>
      <c r="DMV3"/>
      <c r="DMW3"/>
      <c r="DMX3"/>
      <c r="DMY3"/>
      <c r="DMZ3"/>
      <c r="DNA3"/>
      <c r="DNB3"/>
      <c r="DNC3"/>
      <c r="DND3"/>
      <c r="DNE3"/>
      <c r="DNF3"/>
      <c r="DNG3"/>
      <c r="DNH3"/>
      <c r="DNI3"/>
      <c r="DNJ3"/>
      <c r="DNK3"/>
      <c r="DNL3"/>
      <c r="DNM3"/>
      <c r="DNN3"/>
      <c r="DNO3"/>
      <c r="DNP3"/>
      <c r="DNQ3"/>
      <c r="DNR3"/>
      <c r="DNS3"/>
      <c r="DNT3"/>
      <c r="DNU3"/>
      <c r="DNV3"/>
      <c r="DNW3"/>
      <c r="DNX3"/>
      <c r="DNY3"/>
      <c r="DNZ3"/>
      <c r="DOA3"/>
      <c r="DOB3"/>
      <c r="DOC3"/>
      <c r="DOD3"/>
      <c r="DOE3"/>
      <c r="DOF3"/>
      <c r="DOG3"/>
      <c r="DOH3"/>
      <c r="DOI3"/>
      <c r="DOJ3"/>
      <c r="DOK3"/>
      <c r="DOL3"/>
      <c r="DOM3"/>
      <c r="DON3"/>
      <c r="DOO3"/>
      <c r="DOP3"/>
      <c r="DOQ3"/>
      <c r="DOR3"/>
      <c r="DOS3"/>
      <c r="DOT3"/>
      <c r="DOU3"/>
      <c r="DOV3"/>
      <c r="DOW3"/>
      <c r="DOX3"/>
      <c r="DOY3"/>
      <c r="DOZ3"/>
      <c r="DPA3"/>
      <c r="DPB3"/>
      <c r="DPC3"/>
      <c r="DPD3"/>
      <c r="DPE3"/>
      <c r="DPF3"/>
      <c r="DPG3"/>
      <c r="DPH3"/>
      <c r="DPI3"/>
      <c r="DPJ3"/>
      <c r="DPK3"/>
      <c r="DPL3"/>
      <c r="DPM3"/>
      <c r="DPN3"/>
      <c r="DPO3"/>
      <c r="DPP3"/>
      <c r="DPQ3"/>
      <c r="DPR3"/>
      <c r="DPS3"/>
      <c r="DPT3"/>
      <c r="DPU3"/>
      <c r="DPV3"/>
      <c r="DPW3"/>
      <c r="DPX3"/>
      <c r="DPY3"/>
      <c r="DPZ3"/>
      <c r="DQA3"/>
      <c r="DQB3"/>
      <c r="DQC3"/>
      <c r="DQD3"/>
      <c r="DQE3"/>
      <c r="DQF3"/>
      <c r="DQG3"/>
      <c r="DQH3"/>
      <c r="DQI3"/>
      <c r="DQJ3"/>
      <c r="DQK3"/>
      <c r="DQL3"/>
      <c r="DQM3"/>
      <c r="DQN3"/>
      <c r="DQO3"/>
      <c r="DQP3"/>
      <c r="DQQ3"/>
      <c r="DQR3"/>
      <c r="DQS3"/>
      <c r="DQT3"/>
      <c r="DQU3"/>
      <c r="DQV3"/>
      <c r="DQW3"/>
      <c r="DQX3"/>
      <c r="DQY3"/>
      <c r="DQZ3"/>
      <c r="DRA3"/>
      <c r="DRB3"/>
      <c r="DRC3"/>
      <c r="DRD3"/>
      <c r="DRE3"/>
      <c r="DRF3"/>
      <c r="DRG3"/>
      <c r="DRH3"/>
      <c r="DRI3"/>
      <c r="DRJ3"/>
      <c r="DRK3"/>
      <c r="DRL3"/>
      <c r="DRM3"/>
      <c r="DRN3"/>
      <c r="DRO3"/>
      <c r="DRP3"/>
      <c r="DRQ3"/>
      <c r="DRR3"/>
      <c r="DRS3"/>
      <c r="DRT3"/>
      <c r="DRU3"/>
      <c r="DRV3"/>
      <c r="DRW3"/>
      <c r="DRX3"/>
      <c r="DRY3"/>
      <c r="DRZ3"/>
      <c r="DSA3"/>
      <c r="DSB3"/>
      <c r="DSC3"/>
      <c r="DSD3"/>
      <c r="DSE3"/>
      <c r="DSF3"/>
      <c r="DSG3"/>
      <c r="DSH3"/>
      <c r="DSI3"/>
      <c r="DSJ3"/>
      <c r="DSK3"/>
      <c r="DSL3"/>
      <c r="DSM3"/>
      <c r="DSN3"/>
      <c r="DSO3"/>
      <c r="DSP3"/>
      <c r="DSQ3"/>
      <c r="DSR3"/>
      <c r="DSS3"/>
      <c r="DST3"/>
      <c r="DSU3"/>
      <c r="DSV3"/>
      <c r="DSW3"/>
      <c r="DSX3"/>
      <c r="DSY3"/>
      <c r="DSZ3"/>
      <c r="DTA3"/>
      <c r="DTB3"/>
      <c r="DTC3"/>
      <c r="DTD3"/>
      <c r="DTE3"/>
      <c r="DTF3"/>
      <c r="DTG3"/>
      <c r="DTH3"/>
      <c r="DTI3"/>
      <c r="DTJ3"/>
      <c r="DTK3"/>
      <c r="DTL3"/>
      <c r="DTM3"/>
      <c r="DTN3"/>
      <c r="DTO3"/>
      <c r="DTP3"/>
      <c r="DTQ3"/>
      <c r="DTR3"/>
      <c r="DTS3"/>
      <c r="DTT3"/>
      <c r="DTU3"/>
      <c r="DTV3"/>
      <c r="DTW3"/>
      <c r="DTX3"/>
      <c r="DTY3"/>
      <c r="DTZ3"/>
      <c r="DUA3"/>
      <c r="DUB3"/>
      <c r="DUC3"/>
      <c r="DUD3"/>
      <c r="DUE3"/>
      <c r="DUF3"/>
      <c r="DUG3"/>
      <c r="DUH3"/>
      <c r="DUI3"/>
      <c r="DUJ3"/>
      <c r="DUK3"/>
      <c r="DUL3"/>
      <c r="DUM3"/>
      <c r="DUN3"/>
      <c r="DUO3"/>
      <c r="DUP3"/>
      <c r="DUQ3"/>
      <c r="DUR3"/>
      <c r="DUS3"/>
      <c r="DUT3"/>
      <c r="DUU3"/>
      <c r="DUV3"/>
      <c r="DUW3"/>
      <c r="DUX3"/>
      <c r="DUY3"/>
      <c r="DUZ3"/>
      <c r="DVA3"/>
      <c r="DVB3"/>
      <c r="DVC3"/>
      <c r="DVD3"/>
      <c r="DVE3"/>
      <c r="DVF3"/>
      <c r="DVG3"/>
      <c r="DVH3"/>
      <c r="DVI3"/>
      <c r="DVJ3"/>
      <c r="DVK3"/>
      <c r="DVL3"/>
      <c r="DVM3"/>
      <c r="DVN3"/>
      <c r="DVO3"/>
      <c r="DVP3"/>
      <c r="DVQ3"/>
      <c r="DVR3"/>
      <c r="DVS3"/>
      <c r="DVT3"/>
      <c r="DVU3"/>
      <c r="DVV3"/>
      <c r="DVW3"/>
      <c r="DVX3"/>
      <c r="DVY3"/>
      <c r="DVZ3"/>
      <c r="DWA3"/>
      <c r="DWB3"/>
      <c r="DWC3"/>
      <c r="DWD3"/>
      <c r="DWE3"/>
      <c r="DWF3"/>
      <c r="DWG3"/>
      <c r="DWH3"/>
      <c r="DWI3"/>
      <c r="DWJ3"/>
      <c r="DWK3"/>
      <c r="DWL3"/>
      <c r="DWM3"/>
      <c r="DWN3"/>
      <c r="DWO3"/>
      <c r="DWP3"/>
      <c r="DWQ3"/>
      <c r="DWR3"/>
      <c r="DWS3"/>
      <c r="DWT3"/>
      <c r="DWU3"/>
      <c r="DWV3"/>
      <c r="DWW3"/>
      <c r="DWX3"/>
      <c r="DWY3"/>
      <c r="DWZ3"/>
      <c r="DXA3"/>
      <c r="DXB3"/>
      <c r="DXC3"/>
      <c r="DXD3"/>
      <c r="DXE3"/>
      <c r="DXF3"/>
      <c r="DXG3"/>
      <c r="DXH3"/>
      <c r="DXI3"/>
      <c r="DXJ3"/>
      <c r="DXK3"/>
      <c r="DXL3"/>
      <c r="DXM3"/>
      <c r="DXN3"/>
      <c r="DXO3"/>
      <c r="DXP3"/>
      <c r="DXQ3"/>
      <c r="DXR3"/>
      <c r="DXS3"/>
      <c r="DXT3"/>
      <c r="DXU3"/>
      <c r="DXV3"/>
      <c r="DXW3"/>
      <c r="DXX3"/>
      <c r="DXY3"/>
      <c r="DXZ3"/>
      <c r="DYA3"/>
      <c r="DYB3"/>
      <c r="DYC3"/>
      <c r="DYD3"/>
      <c r="DYE3"/>
      <c r="DYF3"/>
      <c r="DYG3"/>
      <c r="DYH3"/>
      <c r="DYI3"/>
      <c r="DYJ3"/>
      <c r="DYK3"/>
      <c r="DYL3"/>
      <c r="DYM3"/>
      <c r="DYN3"/>
      <c r="DYO3"/>
      <c r="DYP3"/>
      <c r="DYQ3"/>
      <c r="DYR3"/>
      <c r="DYS3"/>
      <c r="DYT3"/>
      <c r="DYU3"/>
      <c r="DYV3"/>
      <c r="DYW3"/>
      <c r="DYX3"/>
      <c r="DYY3"/>
      <c r="DYZ3"/>
      <c r="DZA3"/>
      <c r="DZB3"/>
      <c r="DZC3"/>
      <c r="DZD3"/>
      <c r="DZE3"/>
      <c r="DZF3"/>
      <c r="DZG3"/>
      <c r="DZH3"/>
      <c r="DZI3"/>
      <c r="DZJ3"/>
      <c r="DZK3"/>
      <c r="DZL3"/>
      <c r="DZM3"/>
      <c r="DZN3"/>
      <c r="DZO3"/>
      <c r="DZP3"/>
      <c r="DZQ3"/>
      <c r="DZR3"/>
      <c r="DZS3"/>
      <c r="DZT3"/>
      <c r="DZU3"/>
      <c r="DZV3"/>
      <c r="DZW3"/>
      <c r="DZX3"/>
      <c r="DZY3"/>
      <c r="DZZ3"/>
      <c r="EAA3"/>
      <c r="EAB3"/>
      <c r="EAC3"/>
      <c r="EAD3"/>
      <c r="EAE3"/>
      <c r="EAF3"/>
      <c r="EAG3"/>
      <c r="EAH3"/>
      <c r="EAI3"/>
      <c r="EAJ3"/>
      <c r="EAK3"/>
      <c r="EAL3"/>
      <c r="EAM3"/>
      <c r="EAN3"/>
      <c r="EAO3"/>
      <c r="EAP3"/>
      <c r="EAQ3"/>
      <c r="EAR3"/>
      <c r="EAS3"/>
      <c r="EAT3"/>
      <c r="EAU3"/>
      <c r="EAV3"/>
      <c r="EAW3"/>
      <c r="EAX3"/>
      <c r="EAY3"/>
      <c r="EAZ3"/>
      <c r="EBA3"/>
      <c r="EBB3"/>
      <c r="EBC3"/>
      <c r="EBD3"/>
      <c r="EBE3"/>
      <c r="EBF3"/>
      <c r="EBG3"/>
      <c r="EBH3"/>
      <c r="EBI3"/>
      <c r="EBJ3"/>
      <c r="EBK3"/>
      <c r="EBL3"/>
      <c r="EBM3"/>
      <c r="EBN3"/>
      <c r="EBO3"/>
      <c r="EBP3"/>
      <c r="EBQ3"/>
      <c r="EBR3"/>
      <c r="EBS3"/>
      <c r="EBT3"/>
      <c r="EBU3"/>
      <c r="EBV3"/>
      <c r="EBW3"/>
      <c r="EBX3"/>
      <c r="EBY3"/>
      <c r="EBZ3"/>
      <c r="ECA3"/>
      <c r="ECB3"/>
      <c r="ECC3"/>
      <c r="ECD3"/>
      <c r="ECE3"/>
      <c r="ECF3"/>
      <c r="ECG3"/>
      <c r="ECH3"/>
      <c r="ECI3"/>
      <c r="ECJ3"/>
      <c r="ECK3"/>
      <c r="ECL3"/>
      <c r="ECM3"/>
      <c r="ECN3"/>
      <c r="ECO3"/>
      <c r="ECP3"/>
      <c r="ECQ3"/>
      <c r="ECR3"/>
      <c r="ECS3"/>
      <c r="ECT3"/>
      <c r="ECU3"/>
      <c r="ECV3"/>
      <c r="ECW3"/>
      <c r="ECX3"/>
      <c r="ECY3"/>
      <c r="ECZ3"/>
      <c r="EDA3"/>
      <c r="EDB3"/>
      <c r="EDC3"/>
      <c r="EDD3"/>
      <c r="EDE3"/>
      <c r="EDF3"/>
      <c r="EDG3"/>
      <c r="EDH3"/>
      <c r="EDI3"/>
      <c r="EDJ3"/>
      <c r="EDK3"/>
      <c r="EDL3"/>
      <c r="EDM3"/>
      <c r="EDN3"/>
      <c r="EDO3"/>
      <c r="EDP3"/>
      <c r="EDQ3"/>
      <c r="EDR3"/>
      <c r="EDS3"/>
      <c r="EDT3"/>
      <c r="EDU3"/>
      <c r="EDV3"/>
      <c r="EDW3"/>
      <c r="EDX3"/>
      <c r="EDY3"/>
      <c r="EDZ3"/>
      <c r="EEA3"/>
      <c r="EEB3"/>
      <c r="EEC3"/>
      <c r="EED3"/>
      <c r="EEE3"/>
      <c r="EEF3"/>
      <c r="EEG3"/>
      <c r="EEH3"/>
      <c r="EEI3"/>
      <c r="EEJ3"/>
      <c r="EEK3"/>
      <c r="EEL3"/>
      <c r="EEM3"/>
      <c r="EEN3"/>
      <c r="EEO3"/>
      <c r="EEP3"/>
      <c r="EEQ3"/>
      <c r="EER3"/>
      <c r="EES3"/>
      <c r="EET3"/>
      <c r="EEU3"/>
      <c r="EEV3"/>
      <c r="EEW3"/>
      <c r="EEX3"/>
      <c r="EEY3"/>
      <c r="EEZ3"/>
      <c r="EFA3"/>
      <c r="EFB3"/>
      <c r="EFC3"/>
      <c r="EFD3"/>
      <c r="EFE3"/>
      <c r="EFF3"/>
      <c r="EFG3"/>
      <c r="EFH3"/>
      <c r="EFI3"/>
      <c r="EFJ3"/>
      <c r="EFK3"/>
      <c r="EFL3"/>
      <c r="EFM3"/>
      <c r="EFN3"/>
      <c r="EFO3"/>
      <c r="EFP3"/>
      <c r="EFQ3"/>
      <c r="EFR3"/>
      <c r="EFS3"/>
      <c r="EFT3"/>
      <c r="EFU3"/>
      <c r="EFV3"/>
      <c r="EFW3"/>
      <c r="EFX3"/>
      <c r="EFY3"/>
      <c r="EFZ3"/>
      <c r="EGA3"/>
      <c r="EGB3"/>
      <c r="EGC3"/>
      <c r="EGD3"/>
      <c r="EGE3"/>
      <c r="EGF3"/>
      <c r="EGG3"/>
      <c r="EGH3"/>
      <c r="EGI3"/>
      <c r="EGJ3"/>
      <c r="EGK3"/>
      <c r="EGL3"/>
      <c r="EGM3"/>
      <c r="EGN3"/>
      <c r="EGO3"/>
      <c r="EGP3"/>
      <c r="EGQ3"/>
      <c r="EGR3"/>
      <c r="EGS3"/>
      <c r="EGT3"/>
      <c r="EGU3"/>
      <c r="EGV3"/>
      <c r="EGW3"/>
      <c r="EGX3"/>
      <c r="EGY3"/>
      <c r="EGZ3"/>
      <c r="EHA3"/>
      <c r="EHB3"/>
      <c r="EHC3"/>
      <c r="EHD3"/>
      <c r="EHE3"/>
      <c r="EHF3"/>
      <c r="EHG3"/>
      <c r="EHH3"/>
      <c r="EHI3"/>
      <c r="EHJ3"/>
      <c r="EHK3"/>
      <c r="EHL3"/>
      <c r="EHM3"/>
      <c r="EHN3"/>
      <c r="EHO3"/>
      <c r="EHP3"/>
      <c r="EHQ3"/>
      <c r="EHR3"/>
      <c r="EHS3"/>
      <c r="EHT3"/>
      <c r="EHU3"/>
      <c r="EHV3"/>
      <c r="EHW3"/>
      <c r="EHX3"/>
      <c r="EHY3"/>
      <c r="EHZ3"/>
      <c r="EIA3"/>
      <c r="EIB3"/>
      <c r="EIC3"/>
      <c r="EID3"/>
      <c r="EIE3"/>
      <c r="EIF3"/>
      <c r="EIG3"/>
      <c r="EIH3"/>
      <c r="EII3"/>
      <c r="EIJ3"/>
      <c r="EIK3"/>
      <c r="EIL3"/>
      <c r="EIM3"/>
      <c r="EIN3"/>
      <c r="EIO3"/>
      <c r="EIP3"/>
      <c r="EIQ3"/>
      <c r="EIR3"/>
      <c r="EIS3"/>
      <c r="EIT3"/>
      <c r="EIU3"/>
      <c r="EIV3"/>
      <c r="EIW3"/>
      <c r="EIX3"/>
      <c r="EIY3"/>
      <c r="EIZ3"/>
      <c r="EJA3"/>
      <c r="EJB3"/>
      <c r="EJC3"/>
      <c r="EJD3"/>
      <c r="EJE3"/>
      <c r="EJF3"/>
      <c r="EJG3"/>
      <c r="EJH3"/>
      <c r="EJI3"/>
      <c r="EJJ3"/>
      <c r="EJK3"/>
      <c r="EJL3"/>
      <c r="EJM3"/>
      <c r="EJN3"/>
      <c r="EJO3"/>
      <c r="EJP3"/>
      <c r="EJQ3"/>
      <c r="EJR3"/>
      <c r="EJS3"/>
      <c r="EJT3"/>
      <c r="EJU3"/>
      <c r="EJV3"/>
      <c r="EJW3"/>
      <c r="EJX3"/>
      <c r="EJY3"/>
      <c r="EJZ3"/>
      <c r="EKA3"/>
      <c r="EKB3"/>
      <c r="EKC3"/>
      <c r="EKD3"/>
      <c r="EKE3"/>
      <c r="EKF3"/>
      <c r="EKG3"/>
      <c r="EKH3"/>
      <c r="EKI3"/>
      <c r="EKJ3"/>
      <c r="EKK3"/>
      <c r="EKL3"/>
      <c r="EKM3"/>
      <c r="EKN3"/>
      <c r="EKO3"/>
      <c r="EKP3"/>
      <c r="EKQ3"/>
      <c r="EKR3"/>
      <c r="EKS3"/>
      <c r="EKT3"/>
      <c r="EKU3"/>
      <c r="EKV3"/>
      <c r="EKW3"/>
      <c r="EKX3"/>
      <c r="EKY3"/>
      <c r="EKZ3"/>
      <c r="ELA3"/>
      <c r="ELB3"/>
      <c r="ELC3"/>
      <c r="ELD3"/>
      <c r="ELE3"/>
      <c r="ELF3"/>
      <c r="ELG3"/>
      <c r="ELH3"/>
      <c r="ELI3"/>
      <c r="ELJ3"/>
      <c r="ELK3"/>
      <c r="ELL3"/>
      <c r="ELM3"/>
      <c r="ELN3"/>
      <c r="ELO3"/>
      <c r="ELP3"/>
      <c r="ELQ3"/>
      <c r="ELR3"/>
      <c r="ELS3"/>
      <c r="ELT3"/>
      <c r="ELU3"/>
      <c r="ELV3"/>
      <c r="ELW3"/>
      <c r="ELX3"/>
      <c r="ELY3"/>
      <c r="ELZ3"/>
      <c r="EMA3"/>
      <c r="EMB3"/>
      <c r="EMC3"/>
      <c r="EMD3"/>
      <c r="EME3"/>
      <c r="EMF3"/>
      <c r="EMG3"/>
      <c r="EMH3"/>
      <c r="EMI3"/>
      <c r="EMJ3"/>
      <c r="EMK3"/>
      <c r="EML3"/>
      <c r="EMM3"/>
      <c r="EMN3"/>
      <c r="EMO3"/>
      <c r="EMP3"/>
      <c r="EMQ3"/>
      <c r="EMR3"/>
      <c r="EMS3"/>
      <c r="EMT3"/>
      <c r="EMU3"/>
      <c r="EMV3"/>
      <c r="EMW3"/>
      <c r="EMX3"/>
      <c r="EMY3"/>
      <c r="EMZ3"/>
      <c r="ENA3"/>
      <c r="ENB3"/>
      <c r="ENC3"/>
      <c r="END3"/>
      <c r="ENE3"/>
      <c r="ENF3"/>
      <c r="ENG3"/>
      <c r="ENH3"/>
      <c r="ENI3"/>
      <c r="ENJ3"/>
      <c r="ENK3"/>
      <c r="ENL3"/>
      <c r="ENM3"/>
      <c r="ENN3"/>
      <c r="ENO3"/>
      <c r="ENP3"/>
      <c r="ENQ3"/>
      <c r="ENR3"/>
      <c r="ENS3"/>
      <c r="ENT3"/>
      <c r="ENU3"/>
      <c r="ENV3"/>
      <c r="ENW3"/>
      <c r="ENX3"/>
      <c r="ENY3"/>
      <c r="ENZ3"/>
      <c r="EOA3"/>
      <c r="EOB3"/>
      <c r="EOC3"/>
      <c r="EOD3"/>
      <c r="EOE3"/>
      <c r="EOF3"/>
      <c r="EOG3"/>
      <c r="EOH3"/>
      <c r="EOI3"/>
      <c r="EOJ3"/>
      <c r="EOK3"/>
      <c r="EOL3"/>
      <c r="EOM3"/>
      <c r="EON3"/>
      <c r="EOO3"/>
      <c r="EOP3"/>
      <c r="EOQ3"/>
      <c r="EOR3"/>
      <c r="EOS3"/>
      <c r="EOT3"/>
      <c r="EOU3"/>
      <c r="EOV3"/>
      <c r="EOW3"/>
      <c r="EOX3"/>
      <c r="EOY3"/>
      <c r="EOZ3"/>
      <c r="EPA3"/>
      <c r="EPB3"/>
      <c r="EPC3"/>
      <c r="EPD3"/>
      <c r="EPE3"/>
      <c r="EPF3"/>
      <c r="EPG3"/>
      <c r="EPH3"/>
      <c r="EPI3"/>
      <c r="EPJ3"/>
      <c r="EPK3"/>
      <c r="EPL3"/>
      <c r="EPM3"/>
      <c r="EPN3"/>
      <c r="EPO3"/>
      <c r="EPP3"/>
      <c r="EPQ3"/>
      <c r="EPR3"/>
      <c r="EPS3"/>
      <c r="EPT3"/>
      <c r="EPU3"/>
      <c r="EPV3"/>
      <c r="EPW3"/>
      <c r="EPX3"/>
      <c r="EPY3"/>
      <c r="EPZ3"/>
      <c r="EQA3"/>
      <c r="EQB3"/>
      <c r="EQC3"/>
      <c r="EQD3"/>
      <c r="EQE3"/>
      <c r="EQF3"/>
      <c r="EQG3"/>
      <c r="EQH3"/>
      <c r="EQI3"/>
      <c r="EQJ3"/>
      <c r="EQK3"/>
      <c r="EQL3"/>
      <c r="EQM3"/>
      <c r="EQN3"/>
      <c r="EQO3"/>
      <c r="EQP3"/>
      <c r="EQQ3"/>
      <c r="EQR3"/>
      <c r="EQS3"/>
      <c r="EQT3"/>
      <c r="EQU3"/>
      <c r="EQV3"/>
      <c r="EQW3"/>
      <c r="EQX3"/>
      <c r="EQY3"/>
      <c r="EQZ3"/>
      <c r="ERA3"/>
      <c r="ERB3"/>
      <c r="ERC3"/>
      <c r="ERD3"/>
      <c r="ERE3"/>
      <c r="ERF3"/>
      <c r="ERG3"/>
      <c r="ERH3"/>
      <c r="ERI3"/>
      <c r="ERJ3"/>
      <c r="ERK3"/>
      <c r="ERL3"/>
      <c r="ERM3"/>
      <c r="ERN3"/>
      <c r="ERO3"/>
      <c r="ERP3"/>
      <c r="ERQ3"/>
      <c r="ERR3"/>
      <c r="ERS3"/>
      <c r="ERT3"/>
      <c r="ERU3"/>
      <c r="ERV3"/>
      <c r="ERW3"/>
      <c r="ERX3"/>
      <c r="ERY3"/>
      <c r="ERZ3"/>
      <c r="ESA3"/>
      <c r="ESB3"/>
      <c r="ESC3"/>
      <c r="ESD3"/>
      <c r="ESE3"/>
      <c r="ESF3"/>
      <c r="ESG3"/>
      <c r="ESH3"/>
      <c r="ESI3"/>
      <c r="ESJ3"/>
      <c r="ESK3"/>
      <c r="ESL3"/>
      <c r="ESM3"/>
      <c r="ESN3"/>
      <c r="ESO3"/>
      <c r="ESP3"/>
      <c r="ESQ3"/>
      <c r="ESR3"/>
      <c r="ESS3"/>
      <c r="EST3"/>
      <c r="ESU3"/>
      <c r="ESV3"/>
      <c r="ESW3"/>
      <c r="ESX3"/>
      <c r="ESY3"/>
      <c r="ESZ3"/>
      <c r="ETA3"/>
      <c r="ETB3"/>
      <c r="ETC3"/>
      <c r="ETD3"/>
      <c r="ETE3"/>
      <c r="ETF3"/>
      <c r="ETG3"/>
      <c r="ETH3"/>
      <c r="ETI3"/>
      <c r="ETJ3"/>
      <c r="ETK3"/>
      <c r="ETL3"/>
      <c r="ETM3"/>
      <c r="ETN3"/>
      <c r="ETO3"/>
      <c r="ETP3"/>
      <c r="ETQ3"/>
      <c r="ETR3"/>
      <c r="ETS3"/>
      <c r="ETT3"/>
      <c r="ETU3"/>
      <c r="ETV3"/>
      <c r="ETW3"/>
      <c r="ETX3"/>
      <c r="ETY3"/>
      <c r="ETZ3"/>
      <c r="EUA3"/>
      <c r="EUB3"/>
      <c r="EUC3"/>
      <c r="EUD3"/>
      <c r="EUE3"/>
      <c r="EUF3"/>
      <c r="EUG3"/>
      <c r="EUH3"/>
      <c r="EUI3"/>
      <c r="EUJ3"/>
      <c r="EUK3"/>
      <c r="EUL3"/>
      <c r="EUM3"/>
      <c r="EUN3"/>
      <c r="EUO3"/>
      <c r="EUP3"/>
      <c r="EUQ3"/>
      <c r="EUR3"/>
      <c r="EUS3"/>
      <c r="EUT3"/>
      <c r="EUU3"/>
      <c r="EUV3"/>
      <c r="EUW3"/>
      <c r="EUX3"/>
      <c r="EUY3"/>
      <c r="EUZ3"/>
      <c r="EVA3"/>
      <c r="EVB3"/>
      <c r="EVC3"/>
      <c r="EVD3"/>
      <c r="EVE3"/>
      <c r="EVF3"/>
      <c r="EVG3"/>
      <c r="EVH3"/>
      <c r="EVI3"/>
      <c r="EVJ3"/>
      <c r="EVK3"/>
      <c r="EVL3"/>
      <c r="EVM3"/>
      <c r="EVN3"/>
      <c r="EVO3"/>
      <c r="EVP3"/>
      <c r="EVQ3"/>
      <c r="EVR3"/>
      <c r="EVS3"/>
      <c r="EVT3"/>
      <c r="EVU3"/>
      <c r="EVV3"/>
      <c r="EVW3"/>
      <c r="EVX3"/>
      <c r="EVY3"/>
      <c r="EVZ3"/>
      <c r="EWA3"/>
      <c r="EWB3"/>
      <c r="EWC3"/>
      <c r="EWD3"/>
      <c r="EWE3"/>
      <c r="EWF3"/>
      <c r="EWG3"/>
      <c r="EWH3"/>
      <c r="EWI3"/>
      <c r="EWJ3"/>
      <c r="EWK3"/>
      <c r="EWL3"/>
      <c r="EWM3"/>
      <c r="EWN3"/>
      <c r="EWO3"/>
      <c r="EWP3"/>
      <c r="EWQ3"/>
      <c r="EWR3"/>
      <c r="EWS3"/>
      <c r="EWT3"/>
      <c r="EWU3"/>
      <c r="EWV3"/>
      <c r="EWW3"/>
      <c r="EWX3"/>
      <c r="EWY3"/>
      <c r="EWZ3"/>
      <c r="EXA3"/>
      <c r="EXB3"/>
      <c r="EXC3"/>
      <c r="EXD3"/>
      <c r="EXE3"/>
      <c r="EXF3"/>
      <c r="EXG3"/>
      <c r="EXH3"/>
      <c r="EXI3"/>
      <c r="EXJ3"/>
      <c r="EXK3"/>
      <c r="EXL3"/>
      <c r="EXM3"/>
      <c r="EXN3"/>
      <c r="EXO3"/>
      <c r="EXP3"/>
      <c r="EXQ3"/>
      <c r="EXR3"/>
      <c r="EXS3"/>
      <c r="EXT3"/>
      <c r="EXU3"/>
      <c r="EXV3"/>
      <c r="EXW3"/>
      <c r="EXX3"/>
      <c r="EXY3"/>
      <c r="EXZ3"/>
      <c r="EYA3"/>
      <c r="EYB3"/>
      <c r="EYC3"/>
      <c r="EYD3"/>
      <c r="EYE3"/>
      <c r="EYF3"/>
      <c r="EYG3"/>
      <c r="EYH3"/>
      <c r="EYI3"/>
      <c r="EYJ3"/>
      <c r="EYK3"/>
      <c r="EYL3"/>
      <c r="EYM3"/>
      <c r="EYN3"/>
      <c r="EYO3"/>
      <c r="EYP3"/>
      <c r="EYQ3"/>
      <c r="EYR3"/>
      <c r="EYS3"/>
      <c r="EYT3"/>
      <c r="EYU3"/>
      <c r="EYV3"/>
      <c r="EYW3"/>
      <c r="EYX3"/>
      <c r="EYY3"/>
      <c r="EYZ3"/>
      <c r="EZA3"/>
      <c r="EZB3"/>
      <c r="EZC3"/>
      <c r="EZD3"/>
      <c r="EZE3"/>
      <c r="EZF3"/>
      <c r="EZG3"/>
      <c r="EZH3"/>
      <c r="EZI3"/>
      <c r="EZJ3"/>
      <c r="EZK3"/>
      <c r="EZL3"/>
      <c r="EZM3"/>
      <c r="EZN3"/>
      <c r="EZO3"/>
      <c r="EZP3"/>
      <c r="EZQ3"/>
      <c r="EZR3"/>
      <c r="EZS3"/>
      <c r="EZT3"/>
      <c r="EZU3"/>
      <c r="EZV3"/>
      <c r="EZW3"/>
      <c r="EZX3"/>
      <c r="EZY3"/>
      <c r="EZZ3"/>
      <c r="FAA3"/>
      <c r="FAB3"/>
      <c r="FAC3"/>
      <c r="FAD3"/>
      <c r="FAE3"/>
      <c r="FAF3"/>
      <c r="FAG3"/>
      <c r="FAH3"/>
      <c r="FAI3"/>
      <c r="FAJ3"/>
      <c r="FAK3"/>
      <c r="FAL3"/>
      <c r="FAM3"/>
      <c r="FAN3"/>
      <c r="FAO3"/>
      <c r="FAP3"/>
      <c r="FAQ3"/>
      <c r="FAR3"/>
      <c r="FAS3"/>
      <c r="FAT3"/>
      <c r="FAU3"/>
      <c r="FAV3"/>
      <c r="FAW3"/>
      <c r="FAX3"/>
      <c r="FAY3"/>
      <c r="FAZ3"/>
      <c r="FBA3"/>
      <c r="FBB3"/>
      <c r="FBC3"/>
      <c r="FBD3"/>
      <c r="FBE3"/>
      <c r="FBF3"/>
      <c r="FBG3"/>
      <c r="FBH3"/>
      <c r="FBI3"/>
      <c r="FBJ3"/>
      <c r="FBK3"/>
      <c r="FBL3"/>
      <c r="FBM3"/>
      <c r="FBN3"/>
      <c r="FBO3"/>
      <c r="FBP3"/>
      <c r="FBQ3"/>
      <c r="FBR3"/>
      <c r="FBS3"/>
      <c r="FBT3"/>
      <c r="FBU3"/>
      <c r="FBV3"/>
      <c r="FBW3"/>
      <c r="FBX3"/>
      <c r="FBY3"/>
      <c r="FBZ3"/>
      <c r="FCA3"/>
      <c r="FCB3"/>
      <c r="FCC3"/>
      <c r="FCD3"/>
      <c r="FCE3"/>
      <c r="FCF3"/>
      <c r="FCG3"/>
      <c r="FCH3"/>
      <c r="FCI3"/>
      <c r="FCJ3"/>
      <c r="FCK3"/>
      <c r="FCL3"/>
      <c r="FCM3"/>
      <c r="FCN3"/>
      <c r="FCO3"/>
      <c r="FCP3"/>
      <c r="FCQ3"/>
      <c r="FCR3"/>
      <c r="FCS3"/>
      <c r="FCT3"/>
      <c r="FCU3"/>
      <c r="FCV3"/>
      <c r="FCW3"/>
      <c r="FCX3"/>
      <c r="FCY3"/>
      <c r="FCZ3"/>
      <c r="FDA3"/>
      <c r="FDB3"/>
      <c r="FDC3"/>
      <c r="FDD3"/>
      <c r="FDE3"/>
      <c r="FDF3"/>
      <c r="FDG3"/>
      <c r="FDH3"/>
      <c r="FDI3"/>
      <c r="FDJ3"/>
      <c r="FDK3"/>
      <c r="FDL3"/>
      <c r="FDM3"/>
      <c r="FDN3"/>
      <c r="FDO3"/>
      <c r="FDP3"/>
      <c r="FDQ3"/>
      <c r="FDR3"/>
      <c r="FDS3"/>
      <c r="FDT3"/>
      <c r="FDU3"/>
      <c r="FDV3"/>
      <c r="FDW3"/>
      <c r="FDX3"/>
      <c r="FDY3"/>
      <c r="FDZ3"/>
      <c r="FEA3"/>
      <c r="FEB3"/>
      <c r="FEC3"/>
      <c r="FED3"/>
      <c r="FEE3"/>
      <c r="FEF3"/>
      <c r="FEG3"/>
      <c r="FEH3"/>
      <c r="FEI3"/>
      <c r="FEJ3"/>
      <c r="FEK3"/>
      <c r="FEL3"/>
      <c r="FEM3"/>
      <c r="FEN3"/>
      <c r="FEO3"/>
      <c r="FEP3"/>
      <c r="FEQ3"/>
      <c r="FER3"/>
      <c r="FES3"/>
      <c r="FET3"/>
      <c r="FEU3"/>
      <c r="FEV3"/>
      <c r="FEW3"/>
      <c r="FEX3"/>
      <c r="FEY3"/>
      <c r="FEZ3"/>
      <c r="FFA3"/>
      <c r="FFB3"/>
      <c r="FFC3"/>
      <c r="FFD3"/>
      <c r="FFE3"/>
      <c r="FFF3"/>
      <c r="FFG3"/>
      <c r="FFH3"/>
      <c r="FFI3"/>
      <c r="FFJ3"/>
      <c r="FFK3"/>
      <c r="FFL3"/>
      <c r="FFM3"/>
      <c r="FFN3"/>
      <c r="FFO3"/>
      <c r="FFP3"/>
      <c r="FFQ3"/>
      <c r="FFR3"/>
      <c r="FFS3"/>
      <c r="FFT3"/>
      <c r="FFU3"/>
      <c r="FFV3"/>
      <c r="FFW3"/>
      <c r="FFX3"/>
      <c r="FFY3"/>
      <c r="FFZ3"/>
      <c r="FGA3"/>
      <c r="FGB3"/>
      <c r="FGC3"/>
      <c r="FGD3"/>
      <c r="FGE3"/>
      <c r="FGF3"/>
      <c r="FGG3"/>
      <c r="FGH3"/>
      <c r="FGI3"/>
      <c r="FGJ3"/>
      <c r="FGK3"/>
      <c r="FGL3"/>
      <c r="FGM3"/>
      <c r="FGN3"/>
      <c r="FGO3"/>
      <c r="FGP3"/>
      <c r="FGQ3"/>
      <c r="FGR3"/>
      <c r="FGS3"/>
      <c r="FGT3"/>
      <c r="FGU3"/>
      <c r="FGV3"/>
      <c r="FGW3"/>
      <c r="FGX3"/>
      <c r="FGY3"/>
      <c r="FGZ3"/>
      <c r="FHA3"/>
      <c r="FHB3"/>
      <c r="FHC3"/>
      <c r="FHD3"/>
      <c r="FHE3"/>
      <c r="FHF3"/>
      <c r="FHG3"/>
      <c r="FHH3"/>
      <c r="FHI3"/>
      <c r="FHJ3"/>
      <c r="FHK3"/>
      <c r="FHL3"/>
      <c r="FHM3"/>
      <c r="FHN3"/>
      <c r="FHO3"/>
      <c r="FHP3"/>
      <c r="FHQ3"/>
      <c r="FHR3"/>
      <c r="FHS3"/>
      <c r="FHT3"/>
      <c r="FHU3"/>
      <c r="FHV3"/>
      <c r="FHW3"/>
      <c r="FHX3"/>
      <c r="FHY3"/>
      <c r="FHZ3"/>
      <c r="FIA3"/>
      <c r="FIB3"/>
      <c r="FIC3"/>
      <c r="FID3"/>
      <c r="FIE3"/>
      <c r="FIF3"/>
      <c r="FIG3"/>
      <c r="FIH3"/>
      <c r="FII3"/>
      <c r="FIJ3"/>
      <c r="FIK3"/>
      <c r="FIL3"/>
      <c r="FIM3"/>
      <c r="FIN3"/>
      <c r="FIO3"/>
      <c r="FIP3"/>
      <c r="FIQ3"/>
      <c r="FIR3"/>
      <c r="FIS3"/>
      <c r="FIT3"/>
      <c r="FIU3"/>
      <c r="FIV3"/>
      <c r="FIW3"/>
      <c r="FIX3"/>
      <c r="FIY3"/>
      <c r="FIZ3"/>
      <c r="FJA3"/>
      <c r="FJB3"/>
      <c r="FJC3"/>
      <c r="FJD3"/>
      <c r="FJE3"/>
      <c r="FJF3"/>
      <c r="FJG3"/>
      <c r="FJH3"/>
      <c r="FJI3"/>
      <c r="FJJ3"/>
      <c r="FJK3"/>
      <c r="FJL3"/>
      <c r="FJM3"/>
      <c r="FJN3"/>
      <c r="FJO3"/>
      <c r="FJP3"/>
      <c r="FJQ3"/>
      <c r="FJR3"/>
      <c r="FJS3"/>
      <c r="FJT3"/>
      <c r="FJU3"/>
      <c r="FJV3"/>
      <c r="FJW3"/>
      <c r="FJX3"/>
      <c r="FJY3"/>
      <c r="FJZ3"/>
      <c r="FKA3"/>
      <c r="FKB3"/>
      <c r="FKC3"/>
      <c r="FKD3"/>
      <c r="FKE3"/>
      <c r="FKF3"/>
      <c r="FKG3"/>
      <c r="FKH3"/>
      <c r="FKI3"/>
      <c r="FKJ3"/>
      <c r="FKK3"/>
      <c r="FKL3"/>
      <c r="FKM3"/>
      <c r="FKN3"/>
      <c r="FKO3"/>
      <c r="FKP3"/>
      <c r="FKQ3"/>
      <c r="FKR3"/>
      <c r="FKS3"/>
      <c r="FKT3"/>
      <c r="FKU3"/>
      <c r="FKV3"/>
      <c r="FKW3"/>
      <c r="FKX3"/>
      <c r="FKY3"/>
      <c r="FKZ3"/>
      <c r="FLA3"/>
      <c r="FLB3"/>
      <c r="FLC3"/>
      <c r="FLD3"/>
      <c r="FLE3"/>
      <c r="FLF3"/>
      <c r="FLG3"/>
      <c r="FLH3"/>
      <c r="FLI3"/>
      <c r="FLJ3"/>
      <c r="FLK3"/>
      <c r="FLL3"/>
      <c r="FLM3"/>
      <c r="FLN3"/>
      <c r="FLO3"/>
      <c r="FLP3"/>
      <c r="FLQ3"/>
      <c r="FLR3"/>
      <c r="FLS3"/>
      <c r="FLT3"/>
      <c r="FLU3"/>
      <c r="FLV3"/>
      <c r="FLW3"/>
      <c r="FLX3"/>
      <c r="FLY3"/>
      <c r="FLZ3"/>
      <c r="FMA3"/>
      <c r="FMB3"/>
      <c r="FMC3"/>
      <c r="FMD3"/>
      <c r="FME3"/>
      <c r="FMF3"/>
      <c r="FMG3"/>
      <c r="FMH3"/>
      <c r="FMI3"/>
      <c r="FMJ3"/>
      <c r="FMK3"/>
      <c r="FML3"/>
      <c r="FMM3"/>
      <c r="FMN3"/>
      <c r="FMO3"/>
      <c r="FMP3"/>
      <c r="FMQ3"/>
      <c r="FMR3"/>
      <c r="FMS3"/>
      <c r="FMT3"/>
      <c r="FMU3"/>
      <c r="FMV3"/>
      <c r="FMW3"/>
      <c r="FMX3"/>
      <c r="FMY3"/>
      <c r="FMZ3"/>
      <c r="FNA3"/>
      <c r="FNB3"/>
      <c r="FNC3"/>
      <c r="FND3"/>
      <c r="FNE3"/>
      <c r="FNF3"/>
      <c r="FNG3"/>
      <c r="FNH3"/>
      <c r="FNI3"/>
      <c r="FNJ3"/>
      <c r="FNK3"/>
      <c r="FNL3"/>
      <c r="FNM3"/>
      <c r="FNN3"/>
      <c r="FNO3"/>
      <c r="FNP3"/>
      <c r="FNQ3"/>
      <c r="FNR3"/>
      <c r="FNS3"/>
      <c r="FNT3"/>
      <c r="FNU3"/>
      <c r="FNV3"/>
      <c r="FNW3"/>
      <c r="FNX3"/>
      <c r="FNY3"/>
      <c r="FNZ3"/>
      <c r="FOA3"/>
      <c r="FOB3"/>
      <c r="FOC3"/>
      <c r="FOD3"/>
      <c r="FOE3"/>
      <c r="FOF3"/>
      <c r="FOG3"/>
      <c r="FOH3"/>
      <c r="FOI3"/>
      <c r="FOJ3"/>
      <c r="FOK3"/>
      <c r="FOL3"/>
      <c r="FOM3"/>
      <c r="FON3"/>
      <c r="FOO3"/>
      <c r="FOP3"/>
      <c r="FOQ3"/>
      <c r="FOR3"/>
      <c r="FOS3"/>
      <c r="FOT3"/>
      <c r="FOU3"/>
      <c r="FOV3"/>
      <c r="FOW3"/>
      <c r="FOX3"/>
      <c r="FOY3"/>
      <c r="FOZ3"/>
      <c r="FPA3"/>
      <c r="FPB3"/>
      <c r="FPC3"/>
      <c r="FPD3"/>
      <c r="FPE3"/>
      <c r="FPF3"/>
      <c r="FPG3"/>
      <c r="FPH3"/>
      <c r="FPI3"/>
      <c r="FPJ3"/>
      <c r="FPK3"/>
      <c r="FPL3"/>
      <c r="FPM3"/>
      <c r="FPN3"/>
      <c r="FPO3"/>
      <c r="FPP3"/>
      <c r="FPQ3"/>
      <c r="FPR3"/>
      <c r="FPS3"/>
      <c r="FPT3"/>
      <c r="FPU3"/>
      <c r="FPV3"/>
      <c r="FPW3"/>
      <c r="FPX3"/>
      <c r="FPY3"/>
      <c r="FPZ3"/>
      <c r="FQA3"/>
      <c r="FQB3"/>
      <c r="FQC3"/>
      <c r="FQD3"/>
      <c r="FQE3"/>
      <c r="FQF3"/>
      <c r="FQG3"/>
      <c r="FQH3"/>
      <c r="FQI3"/>
      <c r="FQJ3"/>
      <c r="FQK3"/>
      <c r="FQL3"/>
      <c r="FQM3"/>
      <c r="FQN3"/>
      <c r="FQO3"/>
      <c r="FQP3"/>
      <c r="FQQ3"/>
      <c r="FQR3"/>
      <c r="FQS3"/>
      <c r="FQT3"/>
      <c r="FQU3"/>
      <c r="FQV3"/>
      <c r="FQW3"/>
      <c r="FQX3"/>
      <c r="FQY3"/>
      <c r="FQZ3"/>
      <c r="FRA3"/>
      <c r="FRB3"/>
      <c r="FRC3"/>
      <c r="FRD3"/>
      <c r="FRE3"/>
      <c r="FRF3"/>
      <c r="FRG3"/>
      <c r="FRH3"/>
      <c r="FRI3"/>
      <c r="FRJ3"/>
      <c r="FRK3"/>
      <c r="FRL3"/>
      <c r="FRM3"/>
      <c r="FRN3"/>
      <c r="FRO3"/>
      <c r="FRP3"/>
      <c r="FRQ3"/>
      <c r="FRR3"/>
      <c r="FRS3"/>
      <c r="FRT3"/>
      <c r="FRU3"/>
      <c r="FRV3"/>
      <c r="FRW3"/>
      <c r="FRX3"/>
      <c r="FRY3"/>
      <c r="FRZ3"/>
      <c r="FSA3"/>
      <c r="FSB3"/>
      <c r="FSC3"/>
      <c r="FSD3"/>
      <c r="FSE3"/>
      <c r="FSF3"/>
      <c r="FSG3"/>
      <c r="FSH3"/>
      <c r="FSI3"/>
      <c r="FSJ3"/>
      <c r="FSK3"/>
      <c r="FSL3"/>
      <c r="FSM3"/>
      <c r="FSN3"/>
      <c r="FSO3"/>
      <c r="FSP3"/>
      <c r="FSQ3"/>
      <c r="FSR3"/>
      <c r="FSS3"/>
      <c r="FST3"/>
      <c r="FSU3"/>
      <c r="FSV3"/>
      <c r="FSW3"/>
      <c r="FSX3"/>
      <c r="FSY3"/>
      <c r="FSZ3"/>
      <c r="FTA3"/>
      <c r="FTB3"/>
      <c r="FTC3"/>
      <c r="FTD3"/>
      <c r="FTE3"/>
      <c r="FTF3"/>
      <c r="FTG3"/>
      <c r="FTH3"/>
      <c r="FTI3"/>
      <c r="FTJ3"/>
      <c r="FTK3"/>
      <c r="FTL3"/>
      <c r="FTM3"/>
      <c r="FTN3"/>
      <c r="FTO3"/>
      <c r="FTP3"/>
      <c r="FTQ3"/>
      <c r="FTR3"/>
      <c r="FTS3"/>
      <c r="FTT3"/>
      <c r="FTU3"/>
      <c r="FTV3"/>
      <c r="FTW3"/>
      <c r="FTX3"/>
      <c r="FTY3"/>
      <c r="FTZ3"/>
      <c r="FUA3"/>
      <c r="FUB3"/>
      <c r="FUC3"/>
      <c r="FUD3"/>
      <c r="FUE3"/>
      <c r="FUF3"/>
      <c r="FUG3"/>
      <c r="FUH3"/>
      <c r="FUI3"/>
      <c r="FUJ3"/>
      <c r="FUK3"/>
      <c r="FUL3"/>
      <c r="FUM3"/>
      <c r="FUN3"/>
      <c r="FUO3"/>
      <c r="FUP3"/>
      <c r="FUQ3"/>
      <c r="FUR3"/>
      <c r="FUS3"/>
      <c r="FUT3"/>
      <c r="FUU3"/>
      <c r="FUV3"/>
      <c r="FUW3"/>
      <c r="FUX3"/>
      <c r="FUY3"/>
      <c r="FUZ3"/>
      <c r="FVA3"/>
      <c r="FVB3"/>
      <c r="FVC3"/>
      <c r="FVD3"/>
      <c r="FVE3"/>
      <c r="FVF3"/>
      <c r="FVG3"/>
      <c r="FVH3"/>
      <c r="FVI3"/>
      <c r="FVJ3"/>
      <c r="FVK3"/>
      <c r="FVL3"/>
      <c r="FVM3"/>
      <c r="FVN3"/>
      <c r="FVO3"/>
      <c r="FVP3"/>
      <c r="FVQ3"/>
      <c r="FVR3"/>
      <c r="FVS3"/>
      <c r="FVT3"/>
      <c r="FVU3"/>
      <c r="FVV3"/>
      <c r="FVW3"/>
      <c r="FVX3"/>
      <c r="FVY3"/>
      <c r="FVZ3"/>
      <c r="FWA3"/>
      <c r="FWB3"/>
      <c r="FWC3"/>
      <c r="FWD3"/>
      <c r="FWE3"/>
      <c r="FWF3"/>
      <c r="FWG3"/>
      <c r="FWH3"/>
      <c r="FWI3"/>
      <c r="FWJ3"/>
      <c r="FWK3"/>
      <c r="FWL3"/>
      <c r="FWM3"/>
      <c r="FWN3"/>
      <c r="FWO3"/>
      <c r="FWP3"/>
      <c r="FWQ3"/>
      <c r="FWR3"/>
      <c r="FWS3"/>
      <c r="FWT3"/>
      <c r="FWU3"/>
      <c r="FWV3"/>
      <c r="FWW3"/>
      <c r="FWX3"/>
      <c r="FWY3"/>
      <c r="FWZ3"/>
      <c r="FXA3"/>
      <c r="FXB3"/>
      <c r="FXC3"/>
      <c r="FXD3"/>
      <c r="FXE3"/>
      <c r="FXF3"/>
      <c r="FXG3"/>
      <c r="FXH3"/>
      <c r="FXI3"/>
      <c r="FXJ3"/>
      <c r="FXK3"/>
      <c r="FXL3"/>
      <c r="FXM3"/>
      <c r="FXN3"/>
      <c r="FXO3"/>
      <c r="FXP3"/>
      <c r="FXQ3"/>
      <c r="FXR3"/>
      <c r="FXS3"/>
      <c r="FXT3"/>
      <c r="FXU3"/>
      <c r="FXV3"/>
      <c r="FXW3"/>
      <c r="FXX3"/>
      <c r="FXY3"/>
      <c r="FXZ3"/>
      <c r="FYA3"/>
      <c r="FYB3"/>
      <c r="FYC3"/>
      <c r="FYD3"/>
      <c r="FYE3"/>
      <c r="FYF3"/>
      <c r="FYG3"/>
      <c r="FYH3"/>
      <c r="FYI3"/>
      <c r="FYJ3"/>
      <c r="FYK3"/>
      <c r="FYL3"/>
      <c r="FYM3"/>
      <c r="FYN3"/>
      <c r="FYO3"/>
      <c r="FYP3"/>
      <c r="FYQ3"/>
      <c r="FYR3"/>
      <c r="FYS3"/>
      <c r="FYT3"/>
      <c r="FYU3"/>
      <c r="FYV3"/>
      <c r="FYW3"/>
      <c r="FYX3"/>
      <c r="FYY3"/>
      <c r="FYZ3"/>
      <c r="FZA3"/>
      <c r="FZB3"/>
      <c r="FZC3"/>
      <c r="FZD3"/>
      <c r="FZE3"/>
      <c r="FZF3"/>
      <c r="FZG3"/>
      <c r="FZH3"/>
      <c r="FZI3"/>
      <c r="FZJ3"/>
      <c r="FZK3"/>
      <c r="FZL3"/>
      <c r="FZM3"/>
      <c r="FZN3"/>
      <c r="FZO3"/>
      <c r="FZP3"/>
      <c r="FZQ3"/>
      <c r="FZR3"/>
      <c r="FZS3"/>
      <c r="FZT3"/>
      <c r="FZU3"/>
      <c r="FZV3"/>
      <c r="FZW3"/>
      <c r="FZX3"/>
      <c r="FZY3"/>
      <c r="FZZ3"/>
      <c r="GAA3"/>
      <c r="GAB3"/>
      <c r="GAC3"/>
      <c r="GAD3"/>
      <c r="GAE3"/>
      <c r="GAF3"/>
      <c r="GAG3"/>
      <c r="GAH3"/>
      <c r="GAI3"/>
      <c r="GAJ3"/>
      <c r="GAK3"/>
      <c r="GAL3"/>
      <c r="GAM3"/>
      <c r="GAN3"/>
      <c r="GAO3"/>
      <c r="GAP3"/>
      <c r="GAQ3"/>
      <c r="GAR3"/>
      <c r="GAS3"/>
      <c r="GAT3"/>
      <c r="GAU3"/>
      <c r="GAV3"/>
      <c r="GAW3"/>
      <c r="GAX3"/>
      <c r="GAY3"/>
      <c r="GAZ3"/>
      <c r="GBA3"/>
      <c r="GBB3"/>
      <c r="GBC3"/>
      <c r="GBD3"/>
      <c r="GBE3"/>
      <c r="GBF3"/>
      <c r="GBG3"/>
      <c r="GBH3"/>
      <c r="GBI3"/>
      <c r="GBJ3"/>
      <c r="GBK3"/>
      <c r="GBL3"/>
      <c r="GBM3"/>
      <c r="GBN3"/>
      <c r="GBO3"/>
      <c r="GBP3"/>
      <c r="GBQ3"/>
      <c r="GBR3"/>
      <c r="GBS3"/>
      <c r="GBT3"/>
      <c r="GBU3"/>
      <c r="GBV3"/>
      <c r="GBW3"/>
      <c r="GBX3"/>
      <c r="GBY3"/>
      <c r="GBZ3"/>
      <c r="GCA3"/>
      <c r="GCB3"/>
      <c r="GCC3"/>
      <c r="GCD3"/>
      <c r="GCE3"/>
      <c r="GCF3"/>
      <c r="GCG3"/>
      <c r="GCH3"/>
      <c r="GCI3"/>
      <c r="GCJ3"/>
      <c r="GCK3"/>
      <c r="GCL3"/>
      <c r="GCM3"/>
      <c r="GCN3"/>
      <c r="GCO3"/>
      <c r="GCP3"/>
      <c r="GCQ3"/>
      <c r="GCR3"/>
      <c r="GCS3"/>
      <c r="GCT3"/>
      <c r="GCU3"/>
      <c r="GCV3"/>
      <c r="GCW3"/>
      <c r="GCX3"/>
      <c r="GCY3"/>
      <c r="GCZ3"/>
      <c r="GDA3"/>
      <c r="GDB3"/>
      <c r="GDC3"/>
      <c r="GDD3"/>
      <c r="GDE3"/>
      <c r="GDF3"/>
      <c r="GDG3"/>
      <c r="GDH3"/>
      <c r="GDI3"/>
      <c r="GDJ3"/>
      <c r="GDK3"/>
      <c r="GDL3"/>
      <c r="GDM3"/>
      <c r="GDN3"/>
      <c r="GDO3"/>
      <c r="GDP3"/>
      <c r="GDQ3"/>
      <c r="GDR3"/>
      <c r="GDS3"/>
      <c r="GDT3"/>
      <c r="GDU3"/>
      <c r="GDV3"/>
      <c r="GDW3"/>
      <c r="GDX3"/>
      <c r="GDY3"/>
      <c r="GDZ3"/>
      <c r="GEA3"/>
      <c r="GEB3"/>
      <c r="GEC3"/>
      <c r="GED3"/>
      <c r="GEE3"/>
      <c r="GEF3"/>
      <c r="GEG3"/>
      <c r="GEH3"/>
      <c r="GEI3"/>
      <c r="GEJ3"/>
      <c r="GEK3"/>
      <c r="GEL3"/>
      <c r="GEM3"/>
      <c r="GEN3"/>
      <c r="GEO3"/>
      <c r="GEP3"/>
      <c r="GEQ3"/>
      <c r="GER3"/>
      <c r="GES3"/>
      <c r="GET3"/>
      <c r="GEU3"/>
      <c r="GEV3"/>
      <c r="GEW3"/>
      <c r="GEX3"/>
      <c r="GEY3"/>
      <c r="GEZ3"/>
      <c r="GFA3"/>
      <c r="GFB3"/>
      <c r="GFC3"/>
      <c r="GFD3"/>
      <c r="GFE3"/>
      <c r="GFF3"/>
      <c r="GFG3"/>
      <c r="GFH3"/>
      <c r="GFI3"/>
      <c r="GFJ3"/>
      <c r="GFK3"/>
      <c r="GFL3"/>
      <c r="GFM3"/>
      <c r="GFN3"/>
      <c r="GFO3"/>
      <c r="GFP3"/>
      <c r="GFQ3"/>
      <c r="GFR3"/>
      <c r="GFS3"/>
      <c r="GFT3"/>
      <c r="GFU3"/>
      <c r="GFV3"/>
      <c r="GFW3"/>
      <c r="GFX3"/>
      <c r="GFY3"/>
      <c r="GFZ3"/>
      <c r="GGA3"/>
      <c r="GGB3"/>
      <c r="GGC3"/>
      <c r="GGD3"/>
      <c r="GGE3"/>
      <c r="GGF3"/>
      <c r="GGG3"/>
      <c r="GGH3"/>
      <c r="GGI3"/>
      <c r="GGJ3"/>
      <c r="GGK3"/>
      <c r="GGL3"/>
      <c r="GGM3"/>
      <c r="GGN3"/>
      <c r="GGO3"/>
      <c r="GGP3"/>
      <c r="GGQ3"/>
      <c r="GGR3"/>
      <c r="GGS3"/>
      <c r="GGT3"/>
      <c r="GGU3"/>
      <c r="GGV3"/>
      <c r="GGW3"/>
      <c r="GGX3"/>
      <c r="GGY3"/>
      <c r="GGZ3"/>
      <c r="GHA3"/>
      <c r="GHB3"/>
      <c r="GHC3"/>
      <c r="GHD3"/>
      <c r="GHE3"/>
      <c r="GHF3"/>
      <c r="GHG3"/>
      <c r="GHH3"/>
      <c r="GHI3"/>
      <c r="GHJ3"/>
      <c r="GHK3"/>
      <c r="GHL3"/>
      <c r="GHM3"/>
      <c r="GHN3"/>
      <c r="GHO3"/>
      <c r="GHP3"/>
      <c r="GHQ3"/>
      <c r="GHR3"/>
      <c r="GHS3"/>
      <c r="GHT3"/>
      <c r="GHU3"/>
      <c r="GHV3"/>
      <c r="GHW3"/>
      <c r="GHX3"/>
      <c r="GHY3"/>
      <c r="GHZ3"/>
      <c r="GIA3"/>
      <c r="GIB3"/>
      <c r="GIC3"/>
      <c r="GID3"/>
      <c r="GIE3"/>
      <c r="GIF3"/>
      <c r="GIG3"/>
      <c r="GIH3"/>
      <c r="GII3"/>
      <c r="GIJ3"/>
      <c r="GIK3"/>
      <c r="GIL3"/>
      <c r="GIM3"/>
      <c r="GIN3"/>
      <c r="GIO3"/>
      <c r="GIP3"/>
      <c r="GIQ3"/>
      <c r="GIR3"/>
      <c r="GIS3"/>
      <c r="GIT3"/>
      <c r="GIU3"/>
      <c r="GIV3"/>
      <c r="GIW3"/>
      <c r="GIX3"/>
      <c r="GIY3"/>
      <c r="GIZ3"/>
      <c r="GJA3"/>
      <c r="GJB3"/>
      <c r="GJC3"/>
      <c r="GJD3"/>
      <c r="GJE3"/>
      <c r="GJF3"/>
      <c r="GJG3"/>
      <c r="GJH3"/>
      <c r="GJI3"/>
      <c r="GJJ3"/>
      <c r="GJK3"/>
      <c r="GJL3"/>
      <c r="GJM3"/>
      <c r="GJN3"/>
      <c r="GJO3"/>
      <c r="GJP3"/>
      <c r="GJQ3"/>
      <c r="GJR3"/>
      <c r="GJS3"/>
      <c r="GJT3"/>
      <c r="GJU3"/>
      <c r="GJV3"/>
      <c r="GJW3"/>
      <c r="GJX3"/>
      <c r="GJY3"/>
      <c r="GJZ3"/>
      <c r="GKA3"/>
      <c r="GKB3"/>
      <c r="GKC3"/>
      <c r="GKD3"/>
      <c r="GKE3"/>
      <c r="GKF3"/>
      <c r="GKG3"/>
      <c r="GKH3"/>
      <c r="GKI3"/>
      <c r="GKJ3"/>
      <c r="GKK3"/>
      <c r="GKL3"/>
      <c r="GKM3"/>
      <c r="GKN3"/>
      <c r="GKO3"/>
      <c r="GKP3"/>
      <c r="GKQ3"/>
      <c r="GKR3"/>
      <c r="GKS3"/>
      <c r="GKT3"/>
      <c r="GKU3"/>
      <c r="GKV3"/>
      <c r="GKW3"/>
      <c r="GKX3"/>
      <c r="GKY3"/>
      <c r="GKZ3"/>
      <c r="GLA3"/>
      <c r="GLB3"/>
      <c r="GLC3"/>
      <c r="GLD3"/>
      <c r="GLE3"/>
      <c r="GLF3"/>
      <c r="GLG3"/>
      <c r="GLH3"/>
      <c r="GLI3"/>
      <c r="GLJ3"/>
      <c r="GLK3"/>
      <c r="GLL3"/>
      <c r="GLM3"/>
      <c r="GLN3"/>
      <c r="GLO3"/>
      <c r="GLP3"/>
      <c r="GLQ3"/>
      <c r="GLR3"/>
      <c r="GLS3"/>
      <c r="GLT3"/>
      <c r="GLU3"/>
      <c r="GLV3"/>
      <c r="GLW3"/>
      <c r="GLX3"/>
      <c r="GLY3"/>
      <c r="GLZ3"/>
      <c r="GMA3"/>
      <c r="GMB3"/>
      <c r="GMC3"/>
      <c r="GMD3"/>
      <c r="GME3"/>
      <c r="GMF3"/>
      <c r="GMG3"/>
      <c r="GMH3"/>
      <c r="GMI3"/>
      <c r="GMJ3"/>
      <c r="GMK3"/>
      <c r="GML3"/>
      <c r="GMM3"/>
      <c r="GMN3"/>
      <c r="GMO3"/>
      <c r="GMP3"/>
      <c r="GMQ3"/>
      <c r="GMR3"/>
      <c r="GMS3"/>
      <c r="GMT3"/>
      <c r="GMU3"/>
      <c r="GMV3"/>
      <c r="GMW3"/>
      <c r="GMX3"/>
      <c r="GMY3"/>
      <c r="GMZ3"/>
      <c r="GNA3"/>
      <c r="GNB3"/>
      <c r="GNC3"/>
      <c r="GND3"/>
      <c r="GNE3"/>
      <c r="GNF3"/>
      <c r="GNG3"/>
      <c r="GNH3"/>
      <c r="GNI3"/>
      <c r="GNJ3"/>
      <c r="GNK3"/>
      <c r="GNL3"/>
      <c r="GNM3"/>
      <c r="GNN3"/>
      <c r="GNO3"/>
      <c r="GNP3"/>
      <c r="GNQ3"/>
      <c r="GNR3"/>
      <c r="GNS3"/>
      <c r="GNT3"/>
      <c r="GNU3"/>
      <c r="GNV3"/>
      <c r="GNW3"/>
      <c r="GNX3"/>
      <c r="GNY3"/>
      <c r="GNZ3"/>
      <c r="GOA3"/>
      <c r="GOB3"/>
      <c r="GOC3"/>
      <c r="GOD3"/>
      <c r="GOE3"/>
      <c r="GOF3"/>
      <c r="GOG3"/>
      <c r="GOH3"/>
      <c r="GOI3"/>
      <c r="GOJ3"/>
      <c r="GOK3"/>
      <c r="GOL3"/>
      <c r="GOM3"/>
      <c r="GON3"/>
      <c r="GOO3"/>
      <c r="GOP3"/>
      <c r="GOQ3"/>
      <c r="GOR3"/>
      <c r="GOS3"/>
      <c r="GOT3"/>
      <c r="GOU3"/>
      <c r="GOV3"/>
      <c r="GOW3"/>
      <c r="GOX3"/>
      <c r="GOY3"/>
      <c r="GOZ3"/>
      <c r="GPA3"/>
      <c r="GPB3"/>
      <c r="GPC3"/>
      <c r="GPD3"/>
      <c r="GPE3"/>
      <c r="GPF3"/>
      <c r="GPG3"/>
      <c r="GPH3"/>
      <c r="GPI3"/>
      <c r="GPJ3"/>
      <c r="GPK3"/>
      <c r="GPL3"/>
      <c r="GPM3"/>
      <c r="GPN3"/>
      <c r="GPO3"/>
      <c r="GPP3"/>
      <c r="GPQ3"/>
      <c r="GPR3"/>
      <c r="GPS3"/>
      <c r="GPT3"/>
      <c r="GPU3"/>
      <c r="GPV3"/>
      <c r="GPW3"/>
      <c r="GPX3"/>
      <c r="GPY3"/>
      <c r="GPZ3"/>
      <c r="GQA3"/>
      <c r="GQB3"/>
      <c r="GQC3"/>
      <c r="GQD3"/>
      <c r="GQE3"/>
      <c r="GQF3"/>
      <c r="GQG3"/>
      <c r="GQH3"/>
      <c r="GQI3"/>
      <c r="GQJ3"/>
      <c r="GQK3"/>
      <c r="GQL3"/>
      <c r="GQM3"/>
      <c r="GQN3"/>
      <c r="GQO3"/>
      <c r="GQP3"/>
      <c r="GQQ3"/>
      <c r="GQR3"/>
      <c r="GQS3"/>
      <c r="GQT3"/>
      <c r="GQU3"/>
      <c r="GQV3"/>
      <c r="GQW3"/>
      <c r="GQX3"/>
      <c r="GQY3"/>
      <c r="GQZ3"/>
      <c r="GRA3"/>
      <c r="GRB3"/>
      <c r="GRC3"/>
      <c r="GRD3"/>
      <c r="GRE3"/>
      <c r="GRF3"/>
      <c r="GRG3"/>
      <c r="GRH3"/>
      <c r="GRI3"/>
      <c r="GRJ3"/>
      <c r="GRK3"/>
      <c r="GRL3"/>
      <c r="GRM3"/>
      <c r="GRN3"/>
      <c r="GRO3"/>
      <c r="GRP3"/>
      <c r="GRQ3"/>
      <c r="GRR3"/>
      <c r="GRS3"/>
      <c r="GRT3"/>
      <c r="GRU3"/>
      <c r="GRV3"/>
      <c r="GRW3"/>
      <c r="GRX3"/>
      <c r="GRY3"/>
      <c r="GRZ3"/>
      <c r="GSA3"/>
      <c r="GSB3"/>
      <c r="GSC3"/>
      <c r="GSD3"/>
      <c r="GSE3"/>
      <c r="GSF3"/>
      <c r="GSG3"/>
      <c r="GSH3"/>
      <c r="GSI3"/>
      <c r="GSJ3"/>
      <c r="GSK3"/>
      <c r="GSL3"/>
      <c r="GSM3"/>
      <c r="GSN3"/>
      <c r="GSO3"/>
      <c r="GSP3"/>
      <c r="GSQ3"/>
      <c r="GSR3"/>
      <c r="GSS3"/>
      <c r="GST3"/>
      <c r="GSU3"/>
      <c r="GSV3"/>
      <c r="GSW3"/>
      <c r="GSX3"/>
      <c r="GSY3"/>
      <c r="GSZ3"/>
      <c r="GTA3"/>
      <c r="GTB3"/>
      <c r="GTC3"/>
      <c r="GTD3"/>
      <c r="GTE3"/>
      <c r="GTF3"/>
      <c r="GTG3"/>
      <c r="GTH3"/>
      <c r="GTI3"/>
      <c r="GTJ3"/>
      <c r="GTK3"/>
      <c r="GTL3"/>
      <c r="GTM3"/>
      <c r="GTN3"/>
      <c r="GTO3"/>
      <c r="GTP3"/>
      <c r="GTQ3"/>
      <c r="GTR3"/>
      <c r="GTS3"/>
      <c r="GTT3"/>
      <c r="GTU3"/>
      <c r="GTV3"/>
      <c r="GTW3"/>
      <c r="GTX3"/>
      <c r="GTY3"/>
      <c r="GTZ3"/>
      <c r="GUA3"/>
      <c r="GUB3"/>
      <c r="GUC3"/>
      <c r="GUD3"/>
      <c r="GUE3"/>
      <c r="GUF3"/>
      <c r="GUG3"/>
      <c r="GUH3"/>
      <c r="GUI3"/>
      <c r="GUJ3"/>
      <c r="GUK3"/>
      <c r="GUL3"/>
      <c r="GUM3"/>
      <c r="GUN3"/>
      <c r="GUO3"/>
      <c r="GUP3"/>
      <c r="GUQ3"/>
      <c r="GUR3"/>
      <c r="GUS3"/>
      <c r="GUT3"/>
      <c r="GUU3"/>
      <c r="GUV3"/>
      <c r="GUW3"/>
      <c r="GUX3"/>
      <c r="GUY3"/>
      <c r="GUZ3"/>
      <c r="GVA3"/>
      <c r="GVB3"/>
      <c r="GVC3"/>
      <c r="GVD3"/>
      <c r="GVE3"/>
      <c r="GVF3"/>
      <c r="GVG3"/>
      <c r="GVH3"/>
      <c r="GVI3"/>
      <c r="GVJ3"/>
      <c r="GVK3"/>
      <c r="GVL3"/>
      <c r="GVM3"/>
      <c r="GVN3"/>
      <c r="GVO3"/>
      <c r="GVP3"/>
      <c r="GVQ3"/>
      <c r="GVR3"/>
      <c r="GVS3"/>
      <c r="GVT3"/>
      <c r="GVU3"/>
      <c r="GVV3"/>
      <c r="GVW3"/>
      <c r="GVX3"/>
      <c r="GVY3"/>
      <c r="GVZ3"/>
      <c r="GWA3"/>
      <c r="GWB3"/>
      <c r="GWC3"/>
      <c r="GWD3"/>
      <c r="GWE3"/>
      <c r="GWF3"/>
      <c r="GWG3"/>
      <c r="GWH3"/>
      <c r="GWI3"/>
      <c r="GWJ3"/>
      <c r="GWK3"/>
      <c r="GWL3"/>
      <c r="GWM3"/>
      <c r="GWN3"/>
      <c r="GWO3"/>
      <c r="GWP3"/>
      <c r="GWQ3"/>
      <c r="GWR3"/>
      <c r="GWS3"/>
      <c r="GWT3"/>
      <c r="GWU3"/>
      <c r="GWV3"/>
      <c r="GWW3"/>
      <c r="GWX3"/>
      <c r="GWY3"/>
      <c r="GWZ3"/>
      <c r="GXA3"/>
      <c r="GXB3"/>
      <c r="GXC3"/>
      <c r="GXD3"/>
      <c r="GXE3"/>
      <c r="GXF3"/>
      <c r="GXG3"/>
      <c r="GXH3"/>
      <c r="GXI3"/>
      <c r="GXJ3"/>
      <c r="GXK3"/>
      <c r="GXL3"/>
      <c r="GXM3"/>
      <c r="GXN3"/>
      <c r="GXO3"/>
      <c r="GXP3"/>
      <c r="GXQ3"/>
      <c r="GXR3"/>
      <c r="GXS3"/>
      <c r="GXT3"/>
      <c r="GXU3"/>
      <c r="GXV3"/>
      <c r="GXW3"/>
      <c r="GXX3"/>
      <c r="GXY3"/>
      <c r="GXZ3"/>
      <c r="GYA3"/>
      <c r="GYB3"/>
      <c r="GYC3"/>
      <c r="GYD3"/>
      <c r="GYE3"/>
      <c r="GYF3"/>
      <c r="GYG3"/>
      <c r="GYH3"/>
      <c r="GYI3"/>
      <c r="GYJ3"/>
      <c r="GYK3"/>
      <c r="GYL3"/>
      <c r="GYM3"/>
      <c r="GYN3"/>
      <c r="GYO3"/>
      <c r="GYP3"/>
      <c r="GYQ3"/>
      <c r="GYR3"/>
      <c r="GYS3"/>
      <c r="GYT3"/>
      <c r="GYU3"/>
      <c r="GYV3"/>
      <c r="GYW3"/>
      <c r="GYX3"/>
      <c r="GYY3"/>
      <c r="GYZ3"/>
      <c r="GZA3"/>
      <c r="GZB3"/>
      <c r="GZC3"/>
      <c r="GZD3"/>
      <c r="GZE3"/>
      <c r="GZF3"/>
      <c r="GZG3"/>
      <c r="GZH3"/>
      <c r="GZI3"/>
      <c r="GZJ3"/>
      <c r="GZK3"/>
      <c r="GZL3"/>
      <c r="GZM3"/>
      <c r="GZN3"/>
      <c r="GZO3"/>
      <c r="GZP3"/>
      <c r="GZQ3"/>
      <c r="GZR3"/>
      <c r="GZS3"/>
      <c r="GZT3"/>
      <c r="GZU3"/>
      <c r="GZV3"/>
      <c r="GZW3"/>
      <c r="GZX3"/>
      <c r="GZY3"/>
      <c r="GZZ3"/>
      <c r="HAA3"/>
      <c r="HAB3"/>
      <c r="HAC3"/>
      <c r="HAD3"/>
      <c r="HAE3"/>
      <c r="HAF3"/>
      <c r="HAG3"/>
      <c r="HAH3"/>
      <c r="HAI3"/>
      <c r="HAJ3"/>
      <c r="HAK3"/>
      <c r="HAL3"/>
      <c r="HAM3"/>
      <c r="HAN3"/>
      <c r="HAO3"/>
      <c r="HAP3"/>
      <c r="HAQ3"/>
      <c r="HAR3"/>
      <c r="HAS3"/>
      <c r="HAT3"/>
      <c r="HAU3"/>
      <c r="HAV3"/>
      <c r="HAW3"/>
      <c r="HAX3"/>
      <c r="HAY3"/>
      <c r="HAZ3"/>
      <c r="HBA3"/>
      <c r="HBB3"/>
      <c r="HBC3"/>
      <c r="HBD3"/>
      <c r="HBE3"/>
      <c r="HBF3"/>
      <c r="HBG3"/>
      <c r="HBH3"/>
      <c r="HBI3"/>
      <c r="HBJ3"/>
      <c r="HBK3"/>
      <c r="HBL3"/>
      <c r="HBM3"/>
      <c r="HBN3"/>
      <c r="HBO3"/>
      <c r="HBP3"/>
      <c r="HBQ3"/>
      <c r="HBR3"/>
      <c r="HBS3"/>
      <c r="HBT3"/>
      <c r="HBU3"/>
      <c r="HBV3"/>
      <c r="HBW3"/>
      <c r="HBX3"/>
      <c r="HBY3"/>
      <c r="HBZ3"/>
      <c r="HCA3"/>
      <c r="HCB3"/>
      <c r="HCC3"/>
      <c r="HCD3"/>
      <c r="HCE3"/>
      <c r="HCF3"/>
      <c r="HCG3"/>
      <c r="HCH3"/>
      <c r="HCI3"/>
      <c r="HCJ3"/>
      <c r="HCK3"/>
      <c r="HCL3"/>
      <c r="HCM3"/>
      <c r="HCN3"/>
      <c r="HCO3"/>
      <c r="HCP3"/>
      <c r="HCQ3"/>
      <c r="HCR3"/>
      <c r="HCS3"/>
      <c r="HCT3"/>
      <c r="HCU3"/>
      <c r="HCV3"/>
      <c r="HCW3"/>
      <c r="HCX3"/>
      <c r="HCY3"/>
      <c r="HCZ3"/>
      <c r="HDA3"/>
      <c r="HDB3"/>
      <c r="HDC3"/>
      <c r="HDD3"/>
      <c r="HDE3"/>
      <c r="HDF3"/>
      <c r="HDG3"/>
      <c r="HDH3"/>
      <c r="HDI3"/>
      <c r="HDJ3"/>
      <c r="HDK3"/>
      <c r="HDL3"/>
      <c r="HDM3"/>
      <c r="HDN3"/>
      <c r="HDO3"/>
      <c r="HDP3"/>
      <c r="HDQ3"/>
      <c r="HDR3"/>
      <c r="HDS3"/>
      <c r="HDT3"/>
      <c r="HDU3"/>
      <c r="HDV3"/>
      <c r="HDW3"/>
      <c r="HDX3"/>
      <c r="HDY3"/>
      <c r="HDZ3"/>
      <c r="HEA3"/>
      <c r="HEB3"/>
      <c r="HEC3"/>
      <c r="HED3"/>
      <c r="HEE3"/>
      <c r="HEF3"/>
      <c r="HEG3"/>
      <c r="HEH3"/>
      <c r="HEI3"/>
      <c r="HEJ3"/>
      <c r="HEK3"/>
      <c r="HEL3"/>
      <c r="HEM3"/>
      <c r="HEN3"/>
      <c r="HEO3"/>
      <c r="HEP3"/>
      <c r="HEQ3"/>
      <c r="HER3"/>
      <c r="HES3"/>
      <c r="HET3"/>
      <c r="HEU3"/>
      <c r="HEV3"/>
      <c r="HEW3"/>
      <c r="HEX3"/>
      <c r="HEY3"/>
      <c r="HEZ3"/>
      <c r="HFA3"/>
      <c r="HFB3"/>
      <c r="HFC3"/>
      <c r="HFD3"/>
      <c r="HFE3"/>
      <c r="HFF3"/>
      <c r="HFG3"/>
      <c r="HFH3"/>
      <c r="HFI3"/>
      <c r="HFJ3"/>
      <c r="HFK3"/>
      <c r="HFL3"/>
      <c r="HFM3"/>
      <c r="HFN3"/>
      <c r="HFO3"/>
      <c r="HFP3"/>
      <c r="HFQ3"/>
      <c r="HFR3"/>
      <c r="HFS3"/>
      <c r="HFT3"/>
      <c r="HFU3"/>
      <c r="HFV3"/>
      <c r="HFW3"/>
      <c r="HFX3"/>
      <c r="HFY3"/>
      <c r="HFZ3"/>
      <c r="HGA3"/>
      <c r="HGB3"/>
      <c r="HGC3"/>
      <c r="HGD3"/>
      <c r="HGE3"/>
      <c r="HGF3"/>
      <c r="HGG3"/>
      <c r="HGH3"/>
      <c r="HGI3"/>
      <c r="HGJ3"/>
      <c r="HGK3"/>
      <c r="HGL3"/>
      <c r="HGM3"/>
      <c r="HGN3"/>
      <c r="HGO3"/>
      <c r="HGP3"/>
      <c r="HGQ3"/>
      <c r="HGR3"/>
      <c r="HGS3"/>
      <c r="HGT3"/>
      <c r="HGU3"/>
      <c r="HGV3"/>
      <c r="HGW3"/>
      <c r="HGX3"/>
      <c r="HGY3"/>
      <c r="HGZ3"/>
      <c r="HHA3"/>
      <c r="HHB3"/>
      <c r="HHC3"/>
      <c r="HHD3"/>
      <c r="HHE3"/>
      <c r="HHF3"/>
      <c r="HHG3"/>
      <c r="HHH3"/>
      <c r="HHI3"/>
      <c r="HHJ3"/>
      <c r="HHK3"/>
      <c r="HHL3"/>
      <c r="HHM3"/>
      <c r="HHN3"/>
      <c r="HHO3"/>
      <c r="HHP3"/>
      <c r="HHQ3"/>
      <c r="HHR3"/>
      <c r="HHS3"/>
      <c r="HHT3"/>
      <c r="HHU3"/>
      <c r="HHV3"/>
      <c r="HHW3"/>
      <c r="HHX3"/>
      <c r="HHY3"/>
      <c r="HHZ3"/>
      <c r="HIA3"/>
      <c r="HIB3"/>
      <c r="HIC3"/>
      <c r="HID3"/>
      <c r="HIE3"/>
      <c r="HIF3"/>
      <c r="HIG3"/>
      <c r="HIH3"/>
      <c r="HII3"/>
      <c r="HIJ3"/>
      <c r="HIK3"/>
      <c r="HIL3"/>
      <c r="HIM3"/>
      <c r="HIN3"/>
      <c r="HIO3"/>
      <c r="HIP3"/>
      <c r="HIQ3"/>
      <c r="HIR3"/>
      <c r="HIS3"/>
      <c r="HIT3"/>
      <c r="HIU3"/>
      <c r="HIV3"/>
      <c r="HIW3"/>
      <c r="HIX3"/>
      <c r="HIY3"/>
      <c r="HIZ3"/>
      <c r="HJA3"/>
      <c r="HJB3"/>
      <c r="HJC3"/>
      <c r="HJD3"/>
      <c r="HJE3"/>
      <c r="HJF3"/>
      <c r="HJG3"/>
      <c r="HJH3"/>
      <c r="HJI3"/>
      <c r="HJJ3"/>
      <c r="HJK3"/>
      <c r="HJL3"/>
      <c r="HJM3"/>
      <c r="HJN3"/>
      <c r="HJO3"/>
      <c r="HJP3"/>
      <c r="HJQ3"/>
      <c r="HJR3"/>
      <c r="HJS3"/>
      <c r="HJT3"/>
      <c r="HJU3"/>
      <c r="HJV3"/>
      <c r="HJW3"/>
      <c r="HJX3"/>
      <c r="HJY3"/>
      <c r="HJZ3"/>
      <c r="HKA3"/>
      <c r="HKB3"/>
      <c r="HKC3"/>
      <c r="HKD3"/>
      <c r="HKE3"/>
      <c r="HKF3"/>
      <c r="HKG3"/>
      <c r="HKH3"/>
      <c r="HKI3"/>
      <c r="HKJ3"/>
      <c r="HKK3"/>
      <c r="HKL3"/>
      <c r="HKM3"/>
      <c r="HKN3"/>
      <c r="HKO3"/>
      <c r="HKP3"/>
      <c r="HKQ3"/>
      <c r="HKR3"/>
      <c r="HKS3"/>
      <c r="HKT3"/>
      <c r="HKU3"/>
      <c r="HKV3"/>
      <c r="HKW3"/>
      <c r="HKX3"/>
      <c r="HKY3"/>
      <c r="HKZ3"/>
      <c r="HLA3"/>
      <c r="HLB3"/>
      <c r="HLC3"/>
      <c r="HLD3"/>
      <c r="HLE3"/>
      <c r="HLF3"/>
      <c r="HLG3"/>
      <c r="HLH3"/>
      <c r="HLI3"/>
      <c r="HLJ3"/>
      <c r="HLK3"/>
      <c r="HLL3"/>
      <c r="HLM3"/>
      <c r="HLN3"/>
      <c r="HLO3"/>
      <c r="HLP3"/>
      <c r="HLQ3"/>
      <c r="HLR3"/>
      <c r="HLS3"/>
      <c r="HLT3"/>
      <c r="HLU3"/>
      <c r="HLV3"/>
      <c r="HLW3"/>
      <c r="HLX3"/>
      <c r="HLY3"/>
      <c r="HLZ3"/>
      <c r="HMA3"/>
      <c r="HMB3"/>
      <c r="HMC3"/>
      <c r="HMD3"/>
      <c r="HME3"/>
      <c r="HMF3"/>
      <c r="HMG3"/>
      <c r="HMH3"/>
      <c r="HMI3"/>
      <c r="HMJ3"/>
      <c r="HMK3"/>
      <c r="HML3"/>
      <c r="HMM3"/>
      <c r="HMN3"/>
      <c r="HMO3"/>
      <c r="HMP3"/>
      <c r="HMQ3"/>
      <c r="HMR3"/>
      <c r="HMS3"/>
      <c r="HMT3"/>
      <c r="HMU3"/>
      <c r="HMV3"/>
      <c r="HMW3"/>
      <c r="HMX3"/>
      <c r="HMY3"/>
      <c r="HMZ3"/>
      <c r="HNA3"/>
      <c r="HNB3"/>
      <c r="HNC3"/>
      <c r="HND3"/>
      <c r="HNE3"/>
      <c r="HNF3"/>
      <c r="HNG3"/>
      <c r="HNH3"/>
      <c r="HNI3"/>
      <c r="HNJ3"/>
      <c r="HNK3"/>
      <c r="HNL3"/>
      <c r="HNM3"/>
      <c r="HNN3"/>
      <c r="HNO3"/>
      <c r="HNP3"/>
      <c r="HNQ3"/>
      <c r="HNR3"/>
      <c r="HNS3"/>
      <c r="HNT3"/>
      <c r="HNU3"/>
      <c r="HNV3"/>
      <c r="HNW3"/>
      <c r="HNX3"/>
      <c r="HNY3"/>
      <c r="HNZ3"/>
      <c r="HOA3"/>
      <c r="HOB3"/>
      <c r="HOC3"/>
      <c r="HOD3"/>
      <c r="HOE3"/>
      <c r="HOF3"/>
      <c r="HOG3"/>
      <c r="HOH3"/>
      <c r="HOI3"/>
      <c r="HOJ3"/>
      <c r="HOK3"/>
      <c r="HOL3"/>
      <c r="HOM3"/>
      <c r="HON3"/>
      <c r="HOO3"/>
      <c r="HOP3"/>
      <c r="HOQ3"/>
      <c r="HOR3"/>
      <c r="HOS3"/>
      <c r="HOT3"/>
      <c r="HOU3"/>
      <c r="HOV3"/>
      <c r="HOW3"/>
      <c r="HOX3"/>
      <c r="HOY3"/>
      <c r="HOZ3"/>
      <c r="HPA3"/>
      <c r="HPB3"/>
      <c r="HPC3"/>
      <c r="HPD3"/>
      <c r="HPE3"/>
      <c r="HPF3"/>
      <c r="HPG3"/>
      <c r="HPH3"/>
      <c r="HPI3"/>
      <c r="HPJ3"/>
      <c r="HPK3"/>
      <c r="HPL3"/>
      <c r="HPM3"/>
      <c r="HPN3"/>
      <c r="HPO3"/>
      <c r="HPP3"/>
      <c r="HPQ3"/>
      <c r="HPR3"/>
      <c r="HPS3"/>
      <c r="HPT3"/>
      <c r="HPU3"/>
      <c r="HPV3"/>
      <c r="HPW3"/>
      <c r="HPX3"/>
      <c r="HPY3"/>
      <c r="HPZ3"/>
      <c r="HQA3"/>
      <c r="HQB3"/>
      <c r="HQC3"/>
      <c r="HQD3"/>
      <c r="HQE3"/>
      <c r="HQF3"/>
      <c r="HQG3"/>
      <c r="HQH3"/>
      <c r="HQI3"/>
      <c r="HQJ3"/>
      <c r="HQK3"/>
      <c r="HQL3"/>
      <c r="HQM3"/>
      <c r="HQN3"/>
      <c r="HQO3"/>
      <c r="HQP3"/>
      <c r="HQQ3"/>
      <c r="HQR3"/>
      <c r="HQS3"/>
      <c r="HQT3"/>
      <c r="HQU3"/>
      <c r="HQV3"/>
      <c r="HQW3"/>
      <c r="HQX3"/>
      <c r="HQY3"/>
      <c r="HQZ3"/>
      <c r="HRA3"/>
      <c r="HRB3"/>
      <c r="HRC3"/>
      <c r="HRD3"/>
      <c r="HRE3"/>
      <c r="HRF3"/>
      <c r="HRG3"/>
      <c r="HRH3"/>
      <c r="HRI3"/>
      <c r="HRJ3"/>
      <c r="HRK3"/>
      <c r="HRL3"/>
      <c r="HRM3"/>
      <c r="HRN3"/>
      <c r="HRO3"/>
      <c r="HRP3"/>
      <c r="HRQ3"/>
      <c r="HRR3"/>
      <c r="HRS3"/>
      <c r="HRT3"/>
      <c r="HRU3"/>
      <c r="HRV3"/>
      <c r="HRW3"/>
      <c r="HRX3"/>
      <c r="HRY3"/>
      <c r="HRZ3"/>
      <c r="HSA3"/>
      <c r="HSB3"/>
      <c r="HSC3"/>
      <c r="HSD3"/>
      <c r="HSE3"/>
      <c r="HSF3"/>
      <c r="HSG3"/>
      <c r="HSH3"/>
      <c r="HSI3"/>
      <c r="HSJ3"/>
      <c r="HSK3"/>
      <c r="HSL3"/>
      <c r="HSM3"/>
      <c r="HSN3"/>
      <c r="HSO3"/>
      <c r="HSP3"/>
      <c r="HSQ3"/>
      <c r="HSR3"/>
      <c r="HSS3"/>
      <c r="HST3"/>
      <c r="HSU3"/>
      <c r="HSV3"/>
      <c r="HSW3"/>
      <c r="HSX3"/>
      <c r="HSY3"/>
      <c r="HSZ3"/>
      <c r="HTA3"/>
      <c r="HTB3"/>
      <c r="HTC3"/>
      <c r="HTD3"/>
      <c r="HTE3"/>
      <c r="HTF3"/>
      <c r="HTG3"/>
      <c r="HTH3"/>
      <c r="HTI3"/>
      <c r="HTJ3"/>
      <c r="HTK3"/>
      <c r="HTL3"/>
      <c r="HTM3"/>
      <c r="HTN3"/>
      <c r="HTO3"/>
      <c r="HTP3"/>
      <c r="HTQ3"/>
      <c r="HTR3"/>
      <c r="HTS3"/>
      <c r="HTT3"/>
      <c r="HTU3"/>
      <c r="HTV3"/>
      <c r="HTW3"/>
      <c r="HTX3"/>
      <c r="HTY3"/>
      <c r="HTZ3"/>
      <c r="HUA3"/>
      <c r="HUB3"/>
      <c r="HUC3"/>
      <c r="HUD3"/>
      <c r="HUE3"/>
      <c r="HUF3"/>
      <c r="HUG3"/>
      <c r="HUH3"/>
      <c r="HUI3"/>
      <c r="HUJ3"/>
      <c r="HUK3"/>
      <c r="HUL3"/>
      <c r="HUM3"/>
      <c r="HUN3"/>
      <c r="HUO3"/>
      <c r="HUP3"/>
      <c r="HUQ3"/>
      <c r="HUR3"/>
      <c r="HUS3"/>
      <c r="HUT3"/>
      <c r="HUU3"/>
      <c r="HUV3"/>
      <c r="HUW3"/>
      <c r="HUX3"/>
      <c r="HUY3"/>
      <c r="HUZ3"/>
      <c r="HVA3"/>
      <c r="HVB3"/>
      <c r="HVC3"/>
      <c r="HVD3"/>
      <c r="HVE3"/>
      <c r="HVF3"/>
      <c r="HVG3"/>
      <c r="HVH3"/>
      <c r="HVI3"/>
      <c r="HVJ3"/>
      <c r="HVK3"/>
      <c r="HVL3"/>
      <c r="HVM3"/>
      <c r="HVN3"/>
      <c r="HVO3"/>
      <c r="HVP3"/>
      <c r="HVQ3"/>
      <c r="HVR3"/>
      <c r="HVS3"/>
      <c r="HVT3"/>
      <c r="HVU3"/>
      <c r="HVV3"/>
      <c r="HVW3"/>
      <c r="HVX3"/>
      <c r="HVY3"/>
      <c r="HVZ3"/>
      <c r="HWA3"/>
      <c r="HWB3"/>
      <c r="HWC3"/>
      <c r="HWD3"/>
      <c r="HWE3"/>
      <c r="HWF3"/>
      <c r="HWG3"/>
      <c r="HWH3"/>
      <c r="HWI3"/>
      <c r="HWJ3"/>
      <c r="HWK3"/>
      <c r="HWL3"/>
      <c r="HWM3"/>
      <c r="HWN3"/>
      <c r="HWO3"/>
      <c r="HWP3"/>
      <c r="HWQ3"/>
      <c r="HWR3"/>
      <c r="HWS3"/>
      <c r="HWT3"/>
      <c r="HWU3"/>
      <c r="HWV3"/>
      <c r="HWW3"/>
      <c r="HWX3"/>
      <c r="HWY3"/>
      <c r="HWZ3"/>
      <c r="HXA3"/>
      <c r="HXB3"/>
      <c r="HXC3"/>
      <c r="HXD3"/>
      <c r="HXE3"/>
      <c r="HXF3"/>
      <c r="HXG3"/>
      <c r="HXH3"/>
      <c r="HXI3"/>
      <c r="HXJ3"/>
      <c r="HXK3"/>
      <c r="HXL3"/>
      <c r="HXM3"/>
      <c r="HXN3"/>
      <c r="HXO3"/>
      <c r="HXP3"/>
      <c r="HXQ3"/>
      <c r="HXR3"/>
      <c r="HXS3"/>
      <c r="HXT3"/>
      <c r="HXU3"/>
      <c r="HXV3"/>
      <c r="HXW3"/>
      <c r="HXX3"/>
      <c r="HXY3"/>
      <c r="HXZ3"/>
      <c r="HYA3"/>
      <c r="HYB3"/>
      <c r="HYC3"/>
      <c r="HYD3"/>
      <c r="HYE3"/>
      <c r="HYF3"/>
      <c r="HYG3"/>
      <c r="HYH3"/>
      <c r="HYI3"/>
      <c r="HYJ3"/>
      <c r="HYK3"/>
      <c r="HYL3"/>
      <c r="HYM3"/>
      <c r="HYN3"/>
      <c r="HYO3"/>
      <c r="HYP3"/>
      <c r="HYQ3"/>
      <c r="HYR3"/>
      <c r="HYS3"/>
      <c r="HYT3"/>
      <c r="HYU3"/>
      <c r="HYV3"/>
      <c r="HYW3"/>
      <c r="HYX3"/>
      <c r="HYY3"/>
      <c r="HYZ3"/>
      <c r="HZA3"/>
      <c r="HZB3"/>
      <c r="HZC3"/>
      <c r="HZD3"/>
      <c r="HZE3"/>
      <c r="HZF3"/>
      <c r="HZG3"/>
      <c r="HZH3"/>
      <c r="HZI3"/>
      <c r="HZJ3"/>
      <c r="HZK3"/>
      <c r="HZL3"/>
      <c r="HZM3"/>
      <c r="HZN3"/>
      <c r="HZO3"/>
      <c r="HZP3"/>
      <c r="HZQ3"/>
      <c r="HZR3"/>
      <c r="HZS3"/>
      <c r="HZT3"/>
      <c r="HZU3"/>
      <c r="HZV3"/>
      <c r="HZW3"/>
      <c r="HZX3"/>
      <c r="HZY3"/>
      <c r="HZZ3"/>
      <c r="IAA3"/>
      <c r="IAB3"/>
      <c r="IAC3"/>
      <c r="IAD3"/>
      <c r="IAE3"/>
      <c r="IAF3"/>
      <c r="IAG3"/>
      <c r="IAH3"/>
      <c r="IAI3"/>
      <c r="IAJ3"/>
      <c r="IAK3"/>
      <c r="IAL3"/>
      <c r="IAM3"/>
      <c r="IAN3"/>
      <c r="IAO3"/>
      <c r="IAP3"/>
      <c r="IAQ3"/>
      <c r="IAR3"/>
      <c r="IAS3"/>
      <c r="IAT3"/>
      <c r="IAU3"/>
      <c r="IAV3"/>
      <c r="IAW3"/>
      <c r="IAX3"/>
      <c r="IAY3"/>
      <c r="IAZ3"/>
      <c r="IBA3"/>
      <c r="IBB3"/>
      <c r="IBC3"/>
      <c r="IBD3"/>
      <c r="IBE3"/>
      <c r="IBF3"/>
      <c r="IBG3"/>
      <c r="IBH3"/>
      <c r="IBI3"/>
      <c r="IBJ3"/>
      <c r="IBK3"/>
      <c r="IBL3"/>
      <c r="IBM3"/>
      <c r="IBN3"/>
      <c r="IBO3"/>
      <c r="IBP3"/>
      <c r="IBQ3"/>
      <c r="IBR3"/>
      <c r="IBS3"/>
      <c r="IBT3"/>
      <c r="IBU3"/>
      <c r="IBV3"/>
      <c r="IBW3"/>
      <c r="IBX3"/>
      <c r="IBY3"/>
      <c r="IBZ3"/>
      <c r="ICA3"/>
      <c r="ICB3"/>
      <c r="ICC3"/>
      <c r="ICD3"/>
      <c r="ICE3"/>
      <c r="ICF3"/>
      <c r="ICG3"/>
      <c r="ICH3"/>
      <c r="ICI3"/>
      <c r="ICJ3"/>
      <c r="ICK3"/>
      <c r="ICL3"/>
      <c r="ICM3"/>
      <c r="ICN3"/>
      <c r="ICO3"/>
      <c r="ICP3"/>
      <c r="ICQ3"/>
      <c r="ICR3"/>
      <c r="ICS3"/>
      <c r="ICT3"/>
      <c r="ICU3"/>
      <c r="ICV3"/>
      <c r="ICW3"/>
      <c r="ICX3"/>
      <c r="ICY3"/>
      <c r="ICZ3"/>
      <c r="IDA3"/>
      <c r="IDB3"/>
      <c r="IDC3"/>
      <c r="IDD3"/>
      <c r="IDE3"/>
      <c r="IDF3"/>
      <c r="IDG3"/>
      <c r="IDH3"/>
      <c r="IDI3"/>
      <c r="IDJ3"/>
      <c r="IDK3"/>
      <c r="IDL3"/>
      <c r="IDM3"/>
      <c r="IDN3"/>
      <c r="IDO3"/>
      <c r="IDP3"/>
      <c r="IDQ3"/>
      <c r="IDR3"/>
      <c r="IDS3"/>
      <c r="IDT3"/>
      <c r="IDU3"/>
      <c r="IDV3"/>
      <c r="IDW3"/>
      <c r="IDX3"/>
      <c r="IDY3"/>
      <c r="IDZ3"/>
      <c r="IEA3"/>
      <c r="IEB3"/>
      <c r="IEC3"/>
      <c r="IED3"/>
      <c r="IEE3"/>
      <c r="IEF3"/>
      <c r="IEG3"/>
      <c r="IEH3"/>
      <c r="IEI3"/>
      <c r="IEJ3"/>
      <c r="IEK3"/>
      <c r="IEL3"/>
      <c r="IEM3"/>
      <c r="IEN3"/>
      <c r="IEO3"/>
      <c r="IEP3"/>
      <c r="IEQ3"/>
      <c r="IER3"/>
      <c r="IES3"/>
      <c r="IET3"/>
      <c r="IEU3"/>
      <c r="IEV3"/>
      <c r="IEW3"/>
      <c r="IEX3"/>
      <c r="IEY3"/>
      <c r="IEZ3"/>
      <c r="IFA3"/>
      <c r="IFB3"/>
      <c r="IFC3"/>
      <c r="IFD3"/>
      <c r="IFE3"/>
      <c r="IFF3"/>
      <c r="IFG3"/>
      <c r="IFH3"/>
      <c r="IFI3"/>
      <c r="IFJ3"/>
      <c r="IFK3"/>
      <c r="IFL3"/>
      <c r="IFM3"/>
      <c r="IFN3"/>
      <c r="IFO3"/>
      <c r="IFP3"/>
      <c r="IFQ3"/>
      <c r="IFR3"/>
      <c r="IFS3"/>
      <c r="IFT3"/>
      <c r="IFU3"/>
      <c r="IFV3"/>
      <c r="IFW3"/>
      <c r="IFX3"/>
      <c r="IFY3"/>
      <c r="IFZ3"/>
      <c r="IGA3"/>
      <c r="IGB3"/>
      <c r="IGC3"/>
      <c r="IGD3"/>
      <c r="IGE3"/>
      <c r="IGF3"/>
      <c r="IGG3"/>
      <c r="IGH3"/>
      <c r="IGI3"/>
      <c r="IGJ3"/>
      <c r="IGK3"/>
      <c r="IGL3"/>
      <c r="IGM3"/>
      <c r="IGN3"/>
      <c r="IGO3"/>
      <c r="IGP3"/>
      <c r="IGQ3"/>
      <c r="IGR3"/>
      <c r="IGS3"/>
      <c r="IGT3"/>
      <c r="IGU3"/>
      <c r="IGV3"/>
      <c r="IGW3"/>
      <c r="IGX3"/>
      <c r="IGY3"/>
      <c r="IGZ3"/>
      <c r="IHA3"/>
      <c r="IHB3"/>
      <c r="IHC3"/>
      <c r="IHD3"/>
      <c r="IHE3"/>
      <c r="IHF3"/>
      <c r="IHG3"/>
      <c r="IHH3"/>
      <c r="IHI3"/>
      <c r="IHJ3"/>
      <c r="IHK3"/>
      <c r="IHL3"/>
      <c r="IHM3"/>
      <c r="IHN3"/>
      <c r="IHO3"/>
      <c r="IHP3"/>
      <c r="IHQ3"/>
      <c r="IHR3"/>
      <c r="IHS3"/>
      <c r="IHT3"/>
      <c r="IHU3"/>
      <c r="IHV3"/>
      <c r="IHW3"/>
      <c r="IHX3"/>
      <c r="IHY3"/>
      <c r="IHZ3"/>
      <c r="IIA3"/>
      <c r="IIB3"/>
      <c r="IIC3"/>
      <c r="IID3"/>
      <c r="IIE3"/>
      <c r="IIF3"/>
      <c r="IIG3"/>
      <c r="IIH3"/>
      <c r="III3"/>
      <c r="IIJ3"/>
      <c r="IIK3"/>
      <c r="IIL3"/>
      <c r="IIM3"/>
      <c r="IIN3"/>
      <c r="IIO3"/>
      <c r="IIP3"/>
      <c r="IIQ3"/>
      <c r="IIR3"/>
      <c r="IIS3"/>
      <c r="IIT3"/>
      <c r="IIU3"/>
      <c r="IIV3"/>
      <c r="IIW3"/>
      <c r="IIX3"/>
      <c r="IIY3"/>
      <c r="IIZ3"/>
      <c r="IJA3"/>
      <c r="IJB3"/>
      <c r="IJC3"/>
      <c r="IJD3"/>
      <c r="IJE3"/>
      <c r="IJF3"/>
      <c r="IJG3"/>
      <c r="IJH3"/>
      <c r="IJI3"/>
      <c r="IJJ3"/>
      <c r="IJK3"/>
      <c r="IJL3"/>
      <c r="IJM3"/>
      <c r="IJN3"/>
      <c r="IJO3"/>
      <c r="IJP3"/>
      <c r="IJQ3"/>
      <c r="IJR3"/>
      <c r="IJS3"/>
      <c r="IJT3"/>
      <c r="IJU3"/>
      <c r="IJV3"/>
      <c r="IJW3"/>
      <c r="IJX3"/>
      <c r="IJY3"/>
      <c r="IJZ3"/>
      <c r="IKA3"/>
      <c r="IKB3"/>
      <c r="IKC3"/>
      <c r="IKD3"/>
      <c r="IKE3"/>
      <c r="IKF3"/>
      <c r="IKG3"/>
      <c r="IKH3"/>
      <c r="IKI3"/>
      <c r="IKJ3"/>
      <c r="IKK3"/>
      <c r="IKL3"/>
      <c r="IKM3"/>
      <c r="IKN3"/>
      <c r="IKO3"/>
      <c r="IKP3"/>
      <c r="IKQ3"/>
      <c r="IKR3"/>
      <c r="IKS3"/>
      <c r="IKT3"/>
      <c r="IKU3"/>
      <c r="IKV3"/>
      <c r="IKW3"/>
      <c r="IKX3"/>
      <c r="IKY3"/>
      <c r="IKZ3"/>
      <c r="ILA3"/>
      <c r="ILB3"/>
      <c r="ILC3"/>
      <c r="ILD3"/>
      <c r="ILE3"/>
      <c r="ILF3"/>
      <c r="ILG3"/>
      <c r="ILH3"/>
      <c r="ILI3"/>
      <c r="ILJ3"/>
      <c r="ILK3"/>
      <c r="ILL3"/>
      <c r="ILM3"/>
      <c r="ILN3"/>
      <c r="ILO3"/>
      <c r="ILP3"/>
      <c r="ILQ3"/>
      <c r="ILR3"/>
      <c r="ILS3"/>
      <c r="ILT3"/>
      <c r="ILU3"/>
      <c r="ILV3"/>
      <c r="ILW3"/>
      <c r="ILX3"/>
      <c r="ILY3"/>
      <c r="ILZ3"/>
      <c r="IMA3"/>
      <c r="IMB3"/>
      <c r="IMC3"/>
      <c r="IMD3"/>
      <c r="IME3"/>
      <c r="IMF3"/>
      <c r="IMG3"/>
      <c r="IMH3"/>
      <c r="IMI3"/>
      <c r="IMJ3"/>
      <c r="IMK3"/>
      <c r="IML3"/>
      <c r="IMM3"/>
      <c r="IMN3"/>
      <c r="IMO3"/>
      <c r="IMP3"/>
      <c r="IMQ3"/>
      <c r="IMR3"/>
      <c r="IMS3"/>
      <c r="IMT3"/>
      <c r="IMU3"/>
      <c r="IMV3"/>
      <c r="IMW3"/>
      <c r="IMX3"/>
      <c r="IMY3"/>
      <c r="IMZ3"/>
      <c r="INA3"/>
      <c r="INB3"/>
      <c r="INC3"/>
      <c r="IND3"/>
      <c r="INE3"/>
      <c r="INF3"/>
      <c r="ING3"/>
      <c r="INH3"/>
      <c r="INI3"/>
      <c r="INJ3"/>
      <c r="INK3"/>
      <c r="INL3"/>
      <c r="INM3"/>
      <c r="INN3"/>
      <c r="INO3"/>
      <c r="INP3"/>
      <c r="INQ3"/>
      <c r="INR3"/>
      <c r="INS3"/>
      <c r="INT3"/>
      <c r="INU3"/>
      <c r="INV3"/>
      <c r="INW3"/>
      <c r="INX3"/>
      <c r="INY3"/>
      <c r="INZ3"/>
      <c r="IOA3"/>
      <c r="IOB3"/>
      <c r="IOC3"/>
      <c r="IOD3"/>
      <c r="IOE3"/>
      <c r="IOF3"/>
      <c r="IOG3"/>
      <c r="IOH3"/>
      <c r="IOI3"/>
      <c r="IOJ3"/>
      <c r="IOK3"/>
      <c r="IOL3"/>
      <c r="IOM3"/>
      <c r="ION3"/>
      <c r="IOO3"/>
      <c r="IOP3"/>
      <c r="IOQ3"/>
      <c r="IOR3"/>
      <c r="IOS3"/>
      <c r="IOT3"/>
      <c r="IOU3"/>
      <c r="IOV3"/>
      <c r="IOW3"/>
      <c r="IOX3"/>
      <c r="IOY3"/>
      <c r="IOZ3"/>
      <c r="IPA3"/>
      <c r="IPB3"/>
      <c r="IPC3"/>
      <c r="IPD3"/>
      <c r="IPE3"/>
      <c r="IPF3"/>
      <c r="IPG3"/>
      <c r="IPH3"/>
      <c r="IPI3"/>
      <c r="IPJ3"/>
      <c r="IPK3"/>
      <c r="IPL3"/>
      <c r="IPM3"/>
      <c r="IPN3"/>
      <c r="IPO3"/>
      <c r="IPP3"/>
      <c r="IPQ3"/>
      <c r="IPR3"/>
      <c r="IPS3"/>
      <c r="IPT3"/>
      <c r="IPU3"/>
      <c r="IPV3"/>
      <c r="IPW3"/>
      <c r="IPX3"/>
      <c r="IPY3"/>
      <c r="IPZ3"/>
      <c r="IQA3"/>
      <c r="IQB3"/>
      <c r="IQC3"/>
      <c r="IQD3"/>
      <c r="IQE3"/>
      <c r="IQF3"/>
      <c r="IQG3"/>
      <c r="IQH3"/>
      <c r="IQI3"/>
      <c r="IQJ3"/>
      <c r="IQK3"/>
      <c r="IQL3"/>
      <c r="IQM3"/>
      <c r="IQN3"/>
      <c r="IQO3"/>
      <c r="IQP3"/>
      <c r="IQQ3"/>
      <c r="IQR3"/>
      <c r="IQS3"/>
      <c r="IQT3"/>
      <c r="IQU3"/>
      <c r="IQV3"/>
      <c r="IQW3"/>
      <c r="IQX3"/>
      <c r="IQY3"/>
      <c r="IQZ3"/>
      <c r="IRA3"/>
      <c r="IRB3"/>
      <c r="IRC3"/>
      <c r="IRD3"/>
      <c r="IRE3"/>
      <c r="IRF3"/>
      <c r="IRG3"/>
      <c r="IRH3"/>
      <c r="IRI3"/>
      <c r="IRJ3"/>
      <c r="IRK3"/>
      <c r="IRL3"/>
      <c r="IRM3"/>
      <c r="IRN3"/>
      <c r="IRO3"/>
      <c r="IRP3"/>
      <c r="IRQ3"/>
      <c r="IRR3"/>
      <c r="IRS3"/>
      <c r="IRT3"/>
      <c r="IRU3"/>
      <c r="IRV3"/>
      <c r="IRW3"/>
      <c r="IRX3"/>
      <c r="IRY3"/>
      <c r="IRZ3"/>
      <c r="ISA3"/>
      <c r="ISB3"/>
      <c r="ISC3"/>
      <c r="ISD3"/>
      <c r="ISE3"/>
      <c r="ISF3"/>
      <c r="ISG3"/>
      <c r="ISH3"/>
      <c r="ISI3"/>
      <c r="ISJ3"/>
      <c r="ISK3"/>
      <c r="ISL3"/>
      <c r="ISM3"/>
      <c r="ISN3"/>
      <c r="ISO3"/>
      <c r="ISP3"/>
      <c r="ISQ3"/>
      <c r="ISR3"/>
      <c r="ISS3"/>
      <c r="IST3"/>
      <c r="ISU3"/>
      <c r="ISV3"/>
      <c r="ISW3"/>
      <c r="ISX3"/>
      <c r="ISY3"/>
      <c r="ISZ3"/>
      <c r="ITA3"/>
      <c r="ITB3"/>
      <c r="ITC3"/>
      <c r="ITD3"/>
      <c r="ITE3"/>
      <c r="ITF3"/>
      <c r="ITG3"/>
      <c r="ITH3"/>
      <c r="ITI3"/>
      <c r="ITJ3"/>
      <c r="ITK3"/>
      <c r="ITL3"/>
      <c r="ITM3"/>
      <c r="ITN3"/>
      <c r="ITO3"/>
      <c r="ITP3"/>
      <c r="ITQ3"/>
      <c r="ITR3"/>
      <c r="ITS3"/>
      <c r="ITT3"/>
      <c r="ITU3"/>
      <c r="ITV3"/>
      <c r="ITW3"/>
      <c r="ITX3"/>
      <c r="ITY3"/>
      <c r="ITZ3"/>
      <c r="IUA3"/>
      <c r="IUB3"/>
      <c r="IUC3"/>
      <c r="IUD3"/>
      <c r="IUE3"/>
      <c r="IUF3"/>
      <c r="IUG3"/>
      <c r="IUH3"/>
      <c r="IUI3"/>
      <c r="IUJ3"/>
      <c r="IUK3"/>
      <c r="IUL3"/>
      <c r="IUM3"/>
      <c r="IUN3"/>
      <c r="IUO3"/>
      <c r="IUP3"/>
      <c r="IUQ3"/>
      <c r="IUR3"/>
      <c r="IUS3"/>
      <c r="IUT3"/>
      <c r="IUU3"/>
      <c r="IUV3"/>
      <c r="IUW3"/>
      <c r="IUX3"/>
      <c r="IUY3"/>
      <c r="IUZ3"/>
      <c r="IVA3"/>
      <c r="IVB3"/>
      <c r="IVC3"/>
      <c r="IVD3"/>
      <c r="IVE3"/>
      <c r="IVF3"/>
      <c r="IVG3"/>
      <c r="IVH3"/>
      <c r="IVI3"/>
      <c r="IVJ3"/>
      <c r="IVK3"/>
      <c r="IVL3"/>
      <c r="IVM3"/>
      <c r="IVN3"/>
      <c r="IVO3"/>
      <c r="IVP3"/>
      <c r="IVQ3"/>
      <c r="IVR3"/>
      <c r="IVS3"/>
      <c r="IVT3"/>
      <c r="IVU3"/>
      <c r="IVV3"/>
      <c r="IVW3"/>
      <c r="IVX3"/>
      <c r="IVY3"/>
      <c r="IVZ3"/>
      <c r="IWA3"/>
      <c r="IWB3"/>
      <c r="IWC3"/>
      <c r="IWD3"/>
      <c r="IWE3"/>
      <c r="IWF3"/>
      <c r="IWG3"/>
      <c r="IWH3"/>
      <c r="IWI3"/>
      <c r="IWJ3"/>
      <c r="IWK3"/>
      <c r="IWL3"/>
      <c r="IWM3"/>
      <c r="IWN3"/>
      <c r="IWO3"/>
      <c r="IWP3"/>
      <c r="IWQ3"/>
      <c r="IWR3"/>
      <c r="IWS3"/>
      <c r="IWT3"/>
      <c r="IWU3"/>
      <c r="IWV3"/>
      <c r="IWW3"/>
      <c r="IWX3"/>
      <c r="IWY3"/>
      <c r="IWZ3"/>
      <c r="IXA3"/>
      <c r="IXB3"/>
      <c r="IXC3"/>
      <c r="IXD3"/>
      <c r="IXE3"/>
      <c r="IXF3"/>
      <c r="IXG3"/>
      <c r="IXH3"/>
      <c r="IXI3"/>
      <c r="IXJ3"/>
      <c r="IXK3"/>
      <c r="IXL3"/>
      <c r="IXM3"/>
      <c r="IXN3"/>
      <c r="IXO3"/>
      <c r="IXP3"/>
      <c r="IXQ3"/>
      <c r="IXR3"/>
      <c r="IXS3"/>
      <c r="IXT3"/>
      <c r="IXU3"/>
      <c r="IXV3"/>
      <c r="IXW3"/>
      <c r="IXX3"/>
      <c r="IXY3"/>
      <c r="IXZ3"/>
      <c r="IYA3"/>
      <c r="IYB3"/>
      <c r="IYC3"/>
      <c r="IYD3"/>
      <c r="IYE3"/>
      <c r="IYF3"/>
      <c r="IYG3"/>
      <c r="IYH3"/>
      <c r="IYI3"/>
      <c r="IYJ3"/>
      <c r="IYK3"/>
      <c r="IYL3"/>
      <c r="IYM3"/>
      <c r="IYN3"/>
      <c r="IYO3"/>
      <c r="IYP3"/>
      <c r="IYQ3"/>
      <c r="IYR3"/>
      <c r="IYS3"/>
      <c r="IYT3"/>
      <c r="IYU3"/>
      <c r="IYV3"/>
      <c r="IYW3"/>
      <c r="IYX3"/>
      <c r="IYY3"/>
      <c r="IYZ3"/>
      <c r="IZA3"/>
      <c r="IZB3"/>
      <c r="IZC3"/>
      <c r="IZD3"/>
      <c r="IZE3"/>
      <c r="IZF3"/>
      <c r="IZG3"/>
      <c r="IZH3"/>
      <c r="IZI3"/>
      <c r="IZJ3"/>
      <c r="IZK3"/>
      <c r="IZL3"/>
      <c r="IZM3"/>
      <c r="IZN3"/>
      <c r="IZO3"/>
      <c r="IZP3"/>
      <c r="IZQ3"/>
      <c r="IZR3"/>
      <c r="IZS3"/>
      <c r="IZT3"/>
      <c r="IZU3"/>
      <c r="IZV3"/>
      <c r="IZW3"/>
      <c r="IZX3"/>
      <c r="IZY3"/>
      <c r="IZZ3"/>
      <c r="JAA3"/>
      <c r="JAB3"/>
      <c r="JAC3"/>
      <c r="JAD3"/>
      <c r="JAE3"/>
      <c r="JAF3"/>
      <c r="JAG3"/>
      <c r="JAH3"/>
      <c r="JAI3"/>
      <c r="JAJ3"/>
      <c r="JAK3"/>
      <c r="JAL3"/>
      <c r="JAM3"/>
      <c r="JAN3"/>
      <c r="JAO3"/>
      <c r="JAP3"/>
      <c r="JAQ3"/>
      <c r="JAR3"/>
      <c r="JAS3"/>
      <c r="JAT3"/>
      <c r="JAU3"/>
      <c r="JAV3"/>
      <c r="JAW3"/>
      <c r="JAX3"/>
      <c r="JAY3"/>
      <c r="JAZ3"/>
      <c r="JBA3"/>
      <c r="JBB3"/>
      <c r="JBC3"/>
      <c r="JBD3"/>
      <c r="JBE3"/>
      <c r="JBF3"/>
      <c r="JBG3"/>
      <c r="JBH3"/>
      <c r="JBI3"/>
      <c r="JBJ3"/>
      <c r="JBK3"/>
      <c r="JBL3"/>
      <c r="JBM3"/>
      <c r="JBN3"/>
      <c r="JBO3"/>
      <c r="JBP3"/>
      <c r="JBQ3"/>
      <c r="JBR3"/>
      <c r="JBS3"/>
      <c r="JBT3"/>
      <c r="JBU3"/>
      <c r="JBV3"/>
      <c r="JBW3"/>
      <c r="JBX3"/>
      <c r="JBY3"/>
      <c r="JBZ3"/>
      <c r="JCA3"/>
      <c r="JCB3"/>
      <c r="JCC3"/>
      <c r="JCD3"/>
      <c r="JCE3"/>
      <c r="JCF3"/>
      <c r="JCG3"/>
      <c r="JCH3"/>
      <c r="JCI3"/>
      <c r="JCJ3"/>
      <c r="JCK3"/>
      <c r="JCL3"/>
      <c r="JCM3"/>
      <c r="JCN3"/>
      <c r="JCO3"/>
      <c r="JCP3"/>
      <c r="JCQ3"/>
      <c r="JCR3"/>
      <c r="JCS3"/>
      <c r="JCT3"/>
      <c r="JCU3"/>
      <c r="JCV3"/>
      <c r="JCW3"/>
      <c r="JCX3"/>
      <c r="JCY3"/>
      <c r="JCZ3"/>
      <c r="JDA3"/>
      <c r="JDB3"/>
      <c r="JDC3"/>
      <c r="JDD3"/>
      <c r="JDE3"/>
      <c r="JDF3"/>
      <c r="JDG3"/>
      <c r="JDH3"/>
      <c r="JDI3"/>
      <c r="JDJ3"/>
      <c r="JDK3"/>
      <c r="JDL3"/>
      <c r="JDM3"/>
      <c r="JDN3"/>
      <c r="JDO3"/>
      <c r="JDP3"/>
      <c r="JDQ3"/>
      <c r="JDR3"/>
      <c r="JDS3"/>
      <c r="JDT3"/>
      <c r="JDU3"/>
      <c r="JDV3"/>
      <c r="JDW3"/>
      <c r="JDX3"/>
      <c r="JDY3"/>
      <c r="JDZ3"/>
      <c r="JEA3"/>
      <c r="JEB3"/>
      <c r="JEC3"/>
      <c r="JED3"/>
      <c r="JEE3"/>
      <c r="JEF3"/>
      <c r="JEG3"/>
      <c r="JEH3"/>
      <c r="JEI3"/>
      <c r="JEJ3"/>
      <c r="JEK3"/>
      <c r="JEL3"/>
      <c r="JEM3"/>
      <c r="JEN3"/>
      <c r="JEO3"/>
      <c r="JEP3"/>
      <c r="JEQ3"/>
      <c r="JER3"/>
      <c r="JES3"/>
      <c r="JET3"/>
      <c r="JEU3"/>
      <c r="JEV3"/>
      <c r="JEW3"/>
      <c r="JEX3"/>
      <c r="JEY3"/>
      <c r="JEZ3"/>
      <c r="JFA3"/>
      <c r="JFB3"/>
      <c r="JFC3"/>
      <c r="JFD3"/>
      <c r="JFE3"/>
      <c r="JFF3"/>
      <c r="JFG3"/>
      <c r="JFH3"/>
      <c r="JFI3"/>
      <c r="JFJ3"/>
      <c r="JFK3"/>
      <c r="JFL3"/>
      <c r="JFM3"/>
      <c r="JFN3"/>
      <c r="JFO3"/>
      <c r="JFP3"/>
      <c r="JFQ3"/>
      <c r="JFR3"/>
      <c r="JFS3"/>
      <c r="JFT3"/>
      <c r="JFU3"/>
      <c r="JFV3"/>
      <c r="JFW3"/>
      <c r="JFX3"/>
      <c r="JFY3"/>
      <c r="JFZ3"/>
      <c r="JGA3"/>
      <c r="JGB3"/>
      <c r="JGC3"/>
      <c r="JGD3"/>
      <c r="JGE3"/>
      <c r="JGF3"/>
      <c r="JGG3"/>
      <c r="JGH3"/>
      <c r="JGI3"/>
      <c r="JGJ3"/>
      <c r="JGK3"/>
      <c r="JGL3"/>
      <c r="JGM3"/>
      <c r="JGN3"/>
      <c r="JGO3"/>
      <c r="JGP3"/>
      <c r="JGQ3"/>
      <c r="JGR3"/>
      <c r="JGS3"/>
      <c r="JGT3"/>
      <c r="JGU3"/>
      <c r="JGV3"/>
      <c r="JGW3"/>
      <c r="JGX3"/>
      <c r="JGY3"/>
      <c r="JGZ3"/>
      <c r="JHA3"/>
      <c r="JHB3"/>
      <c r="JHC3"/>
      <c r="JHD3"/>
      <c r="JHE3"/>
      <c r="JHF3"/>
      <c r="JHG3"/>
      <c r="JHH3"/>
      <c r="JHI3"/>
      <c r="JHJ3"/>
      <c r="JHK3"/>
      <c r="JHL3"/>
      <c r="JHM3"/>
      <c r="JHN3"/>
      <c r="JHO3"/>
      <c r="JHP3"/>
      <c r="JHQ3"/>
      <c r="JHR3"/>
      <c r="JHS3"/>
      <c r="JHT3"/>
      <c r="JHU3"/>
      <c r="JHV3"/>
      <c r="JHW3"/>
      <c r="JHX3"/>
      <c r="JHY3"/>
      <c r="JHZ3"/>
      <c r="JIA3"/>
      <c r="JIB3"/>
      <c r="JIC3"/>
      <c r="JID3"/>
      <c r="JIE3"/>
      <c r="JIF3"/>
      <c r="JIG3"/>
      <c r="JIH3"/>
      <c r="JII3"/>
      <c r="JIJ3"/>
      <c r="JIK3"/>
      <c r="JIL3"/>
      <c r="JIM3"/>
      <c r="JIN3"/>
      <c r="JIO3"/>
      <c r="JIP3"/>
      <c r="JIQ3"/>
      <c r="JIR3"/>
      <c r="JIS3"/>
      <c r="JIT3"/>
      <c r="JIU3"/>
      <c r="JIV3"/>
      <c r="JIW3"/>
      <c r="JIX3"/>
      <c r="JIY3"/>
      <c r="JIZ3"/>
      <c r="JJA3"/>
      <c r="JJB3"/>
      <c r="JJC3"/>
      <c r="JJD3"/>
      <c r="JJE3"/>
      <c r="JJF3"/>
      <c r="JJG3"/>
      <c r="JJH3"/>
      <c r="JJI3"/>
      <c r="JJJ3"/>
      <c r="JJK3"/>
      <c r="JJL3"/>
      <c r="JJM3"/>
      <c r="JJN3"/>
      <c r="JJO3"/>
      <c r="JJP3"/>
      <c r="JJQ3"/>
      <c r="JJR3"/>
      <c r="JJS3"/>
      <c r="JJT3"/>
      <c r="JJU3"/>
      <c r="JJV3"/>
      <c r="JJW3"/>
      <c r="JJX3"/>
      <c r="JJY3"/>
      <c r="JJZ3"/>
      <c r="JKA3"/>
      <c r="JKB3"/>
      <c r="JKC3"/>
      <c r="JKD3"/>
      <c r="JKE3"/>
      <c r="JKF3"/>
      <c r="JKG3"/>
      <c r="JKH3"/>
      <c r="JKI3"/>
      <c r="JKJ3"/>
      <c r="JKK3"/>
      <c r="JKL3"/>
      <c r="JKM3"/>
      <c r="JKN3"/>
      <c r="JKO3"/>
      <c r="JKP3"/>
      <c r="JKQ3"/>
      <c r="JKR3"/>
      <c r="JKS3"/>
      <c r="JKT3"/>
      <c r="JKU3"/>
      <c r="JKV3"/>
      <c r="JKW3"/>
      <c r="JKX3"/>
      <c r="JKY3"/>
      <c r="JKZ3"/>
      <c r="JLA3"/>
      <c r="JLB3"/>
      <c r="JLC3"/>
      <c r="JLD3"/>
      <c r="JLE3"/>
      <c r="JLF3"/>
      <c r="JLG3"/>
      <c r="JLH3"/>
      <c r="JLI3"/>
      <c r="JLJ3"/>
      <c r="JLK3"/>
      <c r="JLL3"/>
      <c r="JLM3"/>
      <c r="JLN3"/>
      <c r="JLO3"/>
      <c r="JLP3"/>
      <c r="JLQ3"/>
      <c r="JLR3"/>
      <c r="JLS3"/>
      <c r="JLT3"/>
      <c r="JLU3"/>
      <c r="JLV3"/>
      <c r="JLW3"/>
      <c r="JLX3"/>
      <c r="JLY3"/>
      <c r="JLZ3"/>
      <c r="JMA3"/>
      <c r="JMB3"/>
      <c r="JMC3"/>
      <c r="JMD3"/>
      <c r="JME3"/>
      <c r="JMF3"/>
      <c r="JMG3"/>
      <c r="JMH3"/>
      <c r="JMI3"/>
      <c r="JMJ3"/>
      <c r="JMK3"/>
      <c r="JML3"/>
      <c r="JMM3"/>
      <c r="JMN3"/>
      <c r="JMO3"/>
      <c r="JMP3"/>
      <c r="JMQ3"/>
      <c r="JMR3"/>
      <c r="JMS3"/>
      <c r="JMT3"/>
      <c r="JMU3"/>
      <c r="JMV3"/>
      <c r="JMW3"/>
      <c r="JMX3"/>
      <c r="JMY3"/>
      <c r="JMZ3"/>
      <c r="JNA3"/>
      <c r="JNB3"/>
      <c r="JNC3"/>
      <c r="JND3"/>
      <c r="JNE3"/>
      <c r="JNF3"/>
      <c r="JNG3"/>
      <c r="JNH3"/>
      <c r="JNI3"/>
      <c r="JNJ3"/>
      <c r="JNK3"/>
      <c r="JNL3"/>
      <c r="JNM3"/>
      <c r="JNN3"/>
      <c r="JNO3"/>
      <c r="JNP3"/>
      <c r="JNQ3"/>
      <c r="JNR3"/>
      <c r="JNS3"/>
      <c r="JNT3"/>
      <c r="JNU3"/>
      <c r="JNV3"/>
      <c r="JNW3"/>
      <c r="JNX3"/>
      <c r="JNY3"/>
      <c r="JNZ3"/>
      <c r="JOA3"/>
      <c r="JOB3"/>
      <c r="JOC3"/>
      <c r="JOD3"/>
      <c r="JOE3"/>
      <c r="JOF3"/>
      <c r="JOG3"/>
      <c r="JOH3"/>
      <c r="JOI3"/>
      <c r="JOJ3"/>
      <c r="JOK3"/>
      <c r="JOL3"/>
      <c r="JOM3"/>
      <c r="JON3"/>
      <c r="JOO3"/>
      <c r="JOP3"/>
      <c r="JOQ3"/>
      <c r="JOR3"/>
      <c r="JOS3"/>
      <c r="JOT3"/>
      <c r="JOU3"/>
      <c r="JOV3"/>
      <c r="JOW3"/>
      <c r="JOX3"/>
      <c r="JOY3"/>
      <c r="JOZ3"/>
      <c r="JPA3"/>
      <c r="JPB3"/>
      <c r="JPC3"/>
      <c r="JPD3"/>
      <c r="JPE3"/>
      <c r="JPF3"/>
      <c r="JPG3"/>
      <c r="JPH3"/>
      <c r="JPI3"/>
      <c r="JPJ3"/>
      <c r="JPK3"/>
      <c r="JPL3"/>
      <c r="JPM3"/>
      <c r="JPN3"/>
      <c r="JPO3"/>
      <c r="JPP3"/>
      <c r="JPQ3"/>
      <c r="JPR3"/>
      <c r="JPS3"/>
      <c r="JPT3"/>
      <c r="JPU3"/>
      <c r="JPV3"/>
      <c r="JPW3"/>
      <c r="JPX3"/>
      <c r="JPY3"/>
      <c r="JPZ3"/>
      <c r="JQA3"/>
      <c r="JQB3"/>
      <c r="JQC3"/>
      <c r="JQD3"/>
      <c r="JQE3"/>
      <c r="JQF3"/>
      <c r="JQG3"/>
      <c r="JQH3"/>
      <c r="JQI3"/>
      <c r="JQJ3"/>
      <c r="JQK3"/>
      <c r="JQL3"/>
      <c r="JQM3"/>
      <c r="JQN3"/>
      <c r="JQO3"/>
      <c r="JQP3"/>
      <c r="JQQ3"/>
      <c r="JQR3"/>
      <c r="JQS3"/>
      <c r="JQT3"/>
      <c r="JQU3"/>
      <c r="JQV3"/>
      <c r="JQW3"/>
      <c r="JQX3"/>
      <c r="JQY3"/>
      <c r="JQZ3"/>
      <c r="JRA3"/>
      <c r="JRB3"/>
      <c r="JRC3"/>
      <c r="JRD3"/>
      <c r="JRE3"/>
      <c r="JRF3"/>
      <c r="JRG3"/>
      <c r="JRH3"/>
      <c r="JRI3"/>
      <c r="JRJ3"/>
      <c r="JRK3"/>
      <c r="JRL3"/>
      <c r="JRM3"/>
      <c r="JRN3"/>
      <c r="JRO3"/>
      <c r="JRP3"/>
      <c r="JRQ3"/>
      <c r="JRR3"/>
      <c r="JRS3"/>
      <c r="JRT3"/>
      <c r="JRU3"/>
      <c r="JRV3"/>
      <c r="JRW3"/>
      <c r="JRX3"/>
      <c r="JRY3"/>
      <c r="JRZ3"/>
      <c r="JSA3"/>
      <c r="JSB3"/>
      <c r="JSC3"/>
      <c r="JSD3"/>
      <c r="JSE3"/>
      <c r="JSF3"/>
      <c r="JSG3"/>
      <c r="JSH3"/>
      <c r="JSI3"/>
      <c r="JSJ3"/>
      <c r="JSK3"/>
      <c r="JSL3"/>
      <c r="JSM3"/>
      <c r="JSN3"/>
      <c r="JSO3"/>
      <c r="JSP3"/>
      <c r="JSQ3"/>
      <c r="JSR3"/>
      <c r="JSS3"/>
      <c r="JST3"/>
      <c r="JSU3"/>
      <c r="JSV3"/>
      <c r="JSW3"/>
      <c r="JSX3"/>
      <c r="JSY3"/>
      <c r="JSZ3"/>
      <c r="JTA3"/>
      <c r="JTB3"/>
      <c r="JTC3"/>
      <c r="JTD3"/>
      <c r="JTE3"/>
      <c r="JTF3"/>
      <c r="JTG3"/>
      <c r="JTH3"/>
      <c r="JTI3"/>
      <c r="JTJ3"/>
      <c r="JTK3"/>
      <c r="JTL3"/>
      <c r="JTM3"/>
      <c r="JTN3"/>
      <c r="JTO3"/>
      <c r="JTP3"/>
      <c r="JTQ3"/>
      <c r="JTR3"/>
      <c r="JTS3"/>
      <c r="JTT3"/>
      <c r="JTU3"/>
      <c r="JTV3"/>
      <c r="JTW3"/>
      <c r="JTX3"/>
      <c r="JTY3"/>
      <c r="JTZ3"/>
      <c r="JUA3"/>
      <c r="JUB3"/>
      <c r="JUC3"/>
      <c r="JUD3"/>
      <c r="JUE3"/>
      <c r="JUF3"/>
      <c r="JUG3"/>
      <c r="JUH3"/>
      <c r="JUI3"/>
      <c r="JUJ3"/>
      <c r="JUK3"/>
      <c r="JUL3"/>
      <c r="JUM3"/>
      <c r="JUN3"/>
      <c r="JUO3"/>
      <c r="JUP3"/>
      <c r="JUQ3"/>
      <c r="JUR3"/>
      <c r="JUS3"/>
      <c r="JUT3"/>
      <c r="JUU3"/>
      <c r="JUV3"/>
      <c r="JUW3"/>
      <c r="JUX3"/>
      <c r="JUY3"/>
      <c r="JUZ3"/>
      <c r="JVA3"/>
      <c r="JVB3"/>
      <c r="JVC3"/>
      <c r="JVD3"/>
      <c r="JVE3"/>
      <c r="JVF3"/>
      <c r="JVG3"/>
      <c r="JVH3"/>
      <c r="JVI3"/>
      <c r="JVJ3"/>
      <c r="JVK3"/>
      <c r="JVL3"/>
      <c r="JVM3"/>
      <c r="JVN3"/>
      <c r="JVO3"/>
      <c r="JVP3"/>
      <c r="JVQ3"/>
      <c r="JVR3"/>
      <c r="JVS3"/>
      <c r="JVT3"/>
      <c r="JVU3"/>
      <c r="JVV3"/>
      <c r="JVW3"/>
      <c r="JVX3"/>
      <c r="JVY3"/>
      <c r="JVZ3"/>
      <c r="JWA3"/>
      <c r="JWB3"/>
      <c r="JWC3"/>
      <c r="JWD3"/>
      <c r="JWE3"/>
      <c r="JWF3"/>
      <c r="JWG3"/>
      <c r="JWH3"/>
      <c r="JWI3"/>
      <c r="JWJ3"/>
      <c r="JWK3"/>
      <c r="JWL3"/>
      <c r="JWM3"/>
      <c r="JWN3"/>
      <c r="JWO3"/>
      <c r="JWP3"/>
      <c r="JWQ3"/>
      <c r="JWR3"/>
      <c r="JWS3"/>
      <c r="JWT3"/>
      <c r="JWU3"/>
      <c r="JWV3"/>
      <c r="JWW3"/>
      <c r="JWX3"/>
      <c r="JWY3"/>
      <c r="JWZ3"/>
      <c r="JXA3"/>
      <c r="JXB3"/>
      <c r="JXC3"/>
      <c r="JXD3"/>
      <c r="JXE3"/>
      <c r="JXF3"/>
      <c r="JXG3"/>
      <c r="JXH3"/>
      <c r="JXI3"/>
      <c r="JXJ3"/>
      <c r="JXK3"/>
      <c r="JXL3"/>
      <c r="JXM3"/>
      <c r="JXN3"/>
      <c r="JXO3"/>
      <c r="JXP3"/>
      <c r="JXQ3"/>
      <c r="JXR3"/>
      <c r="JXS3"/>
      <c r="JXT3"/>
      <c r="JXU3"/>
      <c r="JXV3"/>
      <c r="JXW3"/>
      <c r="JXX3"/>
      <c r="JXY3"/>
      <c r="JXZ3"/>
      <c r="JYA3"/>
      <c r="JYB3"/>
      <c r="JYC3"/>
      <c r="JYD3"/>
      <c r="JYE3"/>
      <c r="JYF3"/>
      <c r="JYG3"/>
      <c r="JYH3"/>
      <c r="JYI3"/>
      <c r="JYJ3"/>
      <c r="JYK3"/>
      <c r="JYL3"/>
      <c r="JYM3"/>
      <c r="JYN3"/>
      <c r="JYO3"/>
      <c r="JYP3"/>
      <c r="JYQ3"/>
      <c r="JYR3"/>
      <c r="JYS3"/>
      <c r="JYT3"/>
      <c r="JYU3"/>
      <c r="JYV3"/>
      <c r="JYW3"/>
      <c r="JYX3"/>
      <c r="JYY3"/>
      <c r="JYZ3"/>
      <c r="JZA3"/>
      <c r="JZB3"/>
      <c r="JZC3"/>
      <c r="JZD3"/>
      <c r="JZE3"/>
      <c r="JZF3"/>
      <c r="JZG3"/>
      <c r="JZH3"/>
      <c r="JZI3"/>
      <c r="JZJ3"/>
      <c r="JZK3"/>
      <c r="JZL3"/>
      <c r="JZM3"/>
      <c r="JZN3"/>
      <c r="JZO3"/>
      <c r="JZP3"/>
      <c r="JZQ3"/>
      <c r="JZR3"/>
      <c r="JZS3"/>
      <c r="JZT3"/>
      <c r="JZU3"/>
      <c r="JZV3"/>
      <c r="JZW3"/>
      <c r="JZX3"/>
      <c r="JZY3"/>
      <c r="JZZ3"/>
      <c r="KAA3"/>
      <c r="KAB3"/>
      <c r="KAC3"/>
      <c r="KAD3"/>
      <c r="KAE3"/>
      <c r="KAF3"/>
      <c r="KAG3"/>
      <c r="KAH3"/>
      <c r="KAI3"/>
      <c r="KAJ3"/>
      <c r="KAK3"/>
      <c r="KAL3"/>
      <c r="KAM3"/>
      <c r="KAN3"/>
      <c r="KAO3"/>
      <c r="KAP3"/>
      <c r="KAQ3"/>
      <c r="KAR3"/>
      <c r="KAS3"/>
      <c r="KAT3"/>
      <c r="KAU3"/>
      <c r="KAV3"/>
      <c r="KAW3"/>
      <c r="KAX3"/>
      <c r="KAY3"/>
      <c r="KAZ3"/>
      <c r="KBA3"/>
      <c r="KBB3"/>
      <c r="KBC3"/>
      <c r="KBD3"/>
      <c r="KBE3"/>
      <c r="KBF3"/>
      <c r="KBG3"/>
      <c r="KBH3"/>
      <c r="KBI3"/>
      <c r="KBJ3"/>
      <c r="KBK3"/>
      <c r="KBL3"/>
      <c r="KBM3"/>
      <c r="KBN3"/>
      <c r="KBO3"/>
      <c r="KBP3"/>
      <c r="KBQ3"/>
      <c r="KBR3"/>
      <c r="KBS3"/>
      <c r="KBT3"/>
      <c r="KBU3"/>
      <c r="KBV3"/>
      <c r="KBW3"/>
      <c r="KBX3"/>
      <c r="KBY3"/>
      <c r="KBZ3"/>
      <c r="KCA3"/>
      <c r="KCB3"/>
      <c r="KCC3"/>
      <c r="KCD3"/>
      <c r="KCE3"/>
      <c r="KCF3"/>
      <c r="KCG3"/>
      <c r="KCH3"/>
      <c r="KCI3"/>
      <c r="KCJ3"/>
      <c r="KCK3"/>
      <c r="KCL3"/>
      <c r="KCM3"/>
      <c r="KCN3"/>
      <c r="KCO3"/>
      <c r="KCP3"/>
      <c r="KCQ3"/>
      <c r="KCR3"/>
      <c r="KCS3"/>
      <c r="KCT3"/>
      <c r="KCU3"/>
      <c r="KCV3"/>
      <c r="KCW3"/>
      <c r="KCX3"/>
      <c r="KCY3"/>
      <c r="KCZ3"/>
      <c r="KDA3"/>
      <c r="KDB3"/>
      <c r="KDC3"/>
      <c r="KDD3"/>
      <c r="KDE3"/>
      <c r="KDF3"/>
      <c r="KDG3"/>
      <c r="KDH3"/>
      <c r="KDI3"/>
      <c r="KDJ3"/>
      <c r="KDK3"/>
      <c r="KDL3"/>
      <c r="KDM3"/>
      <c r="KDN3"/>
      <c r="KDO3"/>
      <c r="KDP3"/>
      <c r="KDQ3"/>
      <c r="KDR3"/>
      <c r="KDS3"/>
      <c r="KDT3"/>
      <c r="KDU3"/>
      <c r="KDV3"/>
      <c r="KDW3"/>
      <c r="KDX3"/>
      <c r="KDY3"/>
      <c r="KDZ3"/>
      <c r="KEA3"/>
      <c r="KEB3"/>
      <c r="KEC3"/>
      <c r="KED3"/>
      <c r="KEE3"/>
      <c r="KEF3"/>
      <c r="KEG3"/>
      <c r="KEH3"/>
      <c r="KEI3"/>
      <c r="KEJ3"/>
      <c r="KEK3"/>
      <c r="KEL3"/>
      <c r="KEM3"/>
      <c r="KEN3"/>
      <c r="KEO3"/>
      <c r="KEP3"/>
      <c r="KEQ3"/>
      <c r="KER3"/>
      <c r="KES3"/>
      <c r="KET3"/>
      <c r="KEU3"/>
      <c r="KEV3"/>
      <c r="KEW3"/>
      <c r="KEX3"/>
      <c r="KEY3"/>
      <c r="KEZ3"/>
      <c r="KFA3"/>
      <c r="KFB3"/>
      <c r="KFC3"/>
      <c r="KFD3"/>
      <c r="KFE3"/>
      <c r="KFF3"/>
      <c r="KFG3"/>
      <c r="KFH3"/>
      <c r="KFI3"/>
      <c r="KFJ3"/>
      <c r="KFK3"/>
      <c r="KFL3"/>
      <c r="KFM3"/>
      <c r="KFN3"/>
      <c r="KFO3"/>
      <c r="KFP3"/>
      <c r="KFQ3"/>
      <c r="KFR3"/>
      <c r="KFS3"/>
      <c r="KFT3"/>
      <c r="KFU3"/>
      <c r="KFV3"/>
      <c r="KFW3"/>
      <c r="KFX3"/>
      <c r="KFY3"/>
      <c r="KFZ3"/>
      <c r="KGA3"/>
      <c r="KGB3"/>
      <c r="KGC3"/>
      <c r="KGD3"/>
      <c r="KGE3"/>
      <c r="KGF3"/>
      <c r="KGG3"/>
      <c r="KGH3"/>
      <c r="KGI3"/>
      <c r="KGJ3"/>
      <c r="KGK3"/>
      <c r="KGL3"/>
      <c r="KGM3"/>
      <c r="KGN3"/>
      <c r="KGO3"/>
      <c r="KGP3"/>
      <c r="KGQ3"/>
      <c r="KGR3"/>
      <c r="KGS3"/>
      <c r="KGT3"/>
      <c r="KGU3"/>
      <c r="KGV3"/>
      <c r="KGW3"/>
      <c r="KGX3"/>
      <c r="KGY3"/>
      <c r="KGZ3"/>
      <c r="KHA3"/>
      <c r="KHB3"/>
      <c r="KHC3"/>
      <c r="KHD3"/>
      <c r="KHE3"/>
      <c r="KHF3"/>
      <c r="KHG3"/>
      <c r="KHH3"/>
      <c r="KHI3"/>
      <c r="KHJ3"/>
      <c r="KHK3"/>
      <c r="KHL3"/>
      <c r="KHM3"/>
      <c r="KHN3"/>
      <c r="KHO3"/>
      <c r="KHP3"/>
      <c r="KHQ3"/>
      <c r="KHR3"/>
      <c r="KHS3"/>
      <c r="KHT3"/>
      <c r="KHU3"/>
      <c r="KHV3"/>
      <c r="KHW3"/>
      <c r="KHX3"/>
      <c r="KHY3"/>
      <c r="KHZ3"/>
      <c r="KIA3"/>
      <c r="KIB3"/>
      <c r="KIC3"/>
      <c r="KID3"/>
      <c r="KIE3"/>
      <c r="KIF3"/>
      <c r="KIG3"/>
      <c r="KIH3"/>
      <c r="KII3"/>
      <c r="KIJ3"/>
      <c r="KIK3"/>
      <c r="KIL3"/>
      <c r="KIM3"/>
      <c r="KIN3"/>
      <c r="KIO3"/>
      <c r="KIP3"/>
      <c r="KIQ3"/>
      <c r="KIR3"/>
      <c r="KIS3"/>
      <c r="KIT3"/>
      <c r="KIU3"/>
      <c r="KIV3"/>
      <c r="KIW3"/>
      <c r="KIX3"/>
      <c r="KIY3"/>
      <c r="KIZ3"/>
      <c r="KJA3"/>
      <c r="KJB3"/>
      <c r="KJC3"/>
      <c r="KJD3"/>
      <c r="KJE3"/>
      <c r="KJF3"/>
      <c r="KJG3"/>
      <c r="KJH3"/>
      <c r="KJI3"/>
      <c r="KJJ3"/>
      <c r="KJK3"/>
      <c r="KJL3"/>
      <c r="KJM3"/>
      <c r="KJN3"/>
      <c r="KJO3"/>
      <c r="KJP3"/>
      <c r="KJQ3"/>
      <c r="KJR3"/>
      <c r="KJS3"/>
      <c r="KJT3"/>
      <c r="KJU3"/>
      <c r="KJV3"/>
      <c r="KJW3"/>
      <c r="KJX3"/>
      <c r="KJY3"/>
      <c r="KJZ3"/>
      <c r="KKA3"/>
      <c r="KKB3"/>
      <c r="KKC3"/>
      <c r="KKD3"/>
      <c r="KKE3"/>
      <c r="KKF3"/>
      <c r="KKG3"/>
      <c r="KKH3"/>
      <c r="KKI3"/>
      <c r="KKJ3"/>
      <c r="KKK3"/>
      <c r="KKL3"/>
      <c r="KKM3"/>
      <c r="KKN3"/>
      <c r="KKO3"/>
      <c r="KKP3"/>
      <c r="KKQ3"/>
      <c r="KKR3"/>
      <c r="KKS3"/>
      <c r="KKT3"/>
      <c r="KKU3"/>
      <c r="KKV3"/>
      <c r="KKW3"/>
      <c r="KKX3"/>
      <c r="KKY3"/>
      <c r="KKZ3"/>
      <c r="KLA3"/>
      <c r="KLB3"/>
      <c r="KLC3"/>
      <c r="KLD3"/>
      <c r="KLE3"/>
      <c r="KLF3"/>
      <c r="KLG3"/>
      <c r="KLH3"/>
      <c r="KLI3"/>
      <c r="KLJ3"/>
      <c r="KLK3"/>
      <c r="KLL3"/>
      <c r="KLM3"/>
      <c r="KLN3"/>
      <c r="KLO3"/>
      <c r="KLP3"/>
      <c r="KLQ3"/>
      <c r="KLR3"/>
      <c r="KLS3"/>
      <c r="KLT3"/>
      <c r="KLU3"/>
      <c r="KLV3"/>
      <c r="KLW3"/>
      <c r="KLX3"/>
      <c r="KLY3"/>
      <c r="KLZ3"/>
      <c r="KMA3"/>
      <c r="KMB3"/>
      <c r="KMC3"/>
      <c r="KMD3"/>
      <c r="KME3"/>
      <c r="KMF3"/>
      <c r="KMG3"/>
      <c r="KMH3"/>
      <c r="KMI3"/>
      <c r="KMJ3"/>
      <c r="KMK3"/>
      <c r="KML3"/>
      <c r="KMM3"/>
      <c r="KMN3"/>
      <c r="KMO3"/>
      <c r="KMP3"/>
      <c r="KMQ3"/>
      <c r="KMR3"/>
      <c r="KMS3"/>
      <c r="KMT3"/>
      <c r="KMU3"/>
      <c r="KMV3"/>
      <c r="KMW3"/>
      <c r="KMX3"/>
      <c r="KMY3"/>
      <c r="KMZ3"/>
      <c r="KNA3"/>
      <c r="KNB3"/>
      <c r="KNC3"/>
      <c r="KND3"/>
      <c r="KNE3"/>
      <c r="KNF3"/>
      <c r="KNG3"/>
      <c r="KNH3"/>
      <c r="KNI3"/>
      <c r="KNJ3"/>
      <c r="KNK3"/>
      <c r="KNL3"/>
      <c r="KNM3"/>
      <c r="KNN3"/>
      <c r="KNO3"/>
      <c r="KNP3"/>
      <c r="KNQ3"/>
      <c r="KNR3"/>
      <c r="KNS3"/>
      <c r="KNT3"/>
      <c r="KNU3"/>
      <c r="KNV3"/>
      <c r="KNW3"/>
      <c r="KNX3"/>
      <c r="KNY3"/>
      <c r="KNZ3"/>
      <c r="KOA3"/>
      <c r="KOB3"/>
      <c r="KOC3"/>
      <c r="KOD3"/>
      <c r="KOE3"/>
      <c r="KOF3"/>
      <c r="KOG3"/>
      <c r="KOH3"/>
      <c r="KOI3"/>
      <c r="KOJ3"/>
      <c r="KOK3"/>
      <c r="KOL3"/>
      <c r="KOM3"/>
      <c r="KON3"/>
      <c r="KOO3"/>
      <c r="KOP3"/>
      <c r="KOQ3"/>
      <c r="KOR3"/>
      <c r="KOS3"/>
      <c r="KOT3"/>
      <c r="KOU3"/>
      <c r="KOV3"/>
      <c r="KOW3"/>
      <c r="KOX3"/>
      <c r="KOY3"/>
      <c r="KOZ3"/>
      <c r="KPA3"/>
      <c r="KPB3"/>
      <c r="KPC3"/>
      <c r="KPD3"/>
      <c r="KPE3"/>
      <c r="KPF3"/>
      <c r="KPG3"/>
      <c r="KPH3"/>
      <c r="KPI3"/>
      <c r="KPJ3"/>
      <c r="KPK3"/>
      <c r="KPL3"/>
      <c r="KPM3"/>
      <c r="KPN3"/>
      <c r="KPO3"/>
      <c r="KPP3"/>
      <c r="KPQ3"/>
      <c r="KPR3"/>
      <c r="KPS3"/>
      <c r="KPT3"/>
      <c r="KPU3"/>
      <c r="KPV3"/>
      <c r="KPW3"/>
      <c r="KPX3"/>
      <c r="KPY3"/>
      <c r="KPZ3"/>
      <c r="KQA3"/>
      <c r="KQB3"/>
      <c r="KQC3"/>
      <c r="KQD3"/>
      <c r="KQE3"/>
      <c r="KQF3"/>
      <c r="KQG3"/>
      <c r="KQH3"/>
      <c r="KQI3"/>
      <c r="KQJ3"/>
      <c r="KQK3"/>
      <c r="KQL3"/>
      <c r="KQM3"/>
      <c r="KQN3"/>
      <c r="KQO3"/>
      <c r="KQP3"/>
      <c r="KQQ3"/>
      <c r="KQR3"/>
      <c r="KQS3"/>
      <c r="KQT3"/>
      <c r="KQU3"/>
      <c r="KQV3"/>
      <c r="KQW3"/>
      <c r="KQX3"/>
      <c r="KQY3"/>
      <c r="KQZ3"/>
      <c r="KRA3"/>
      <c r="KRB3"/>
      <c r="KRC3"/>
      <c r="KRD3"/>
      <c r="KRE3"/>
      <c r="KRF3"/>
      <c r="KRG3"/>
      <c r="KRH3"/>
      <c r="KRI3"/>
      <c r="KRJ3"/>
      <c r="KRK3"/>
      <c r="KRL3"/>
      <c r="KRM3"/>
      <c r="KRN3"/>
      <c r="KRO3"/>
      <c r="KRP3"/>
      <c r="KRQ3"/>
      <c r="KRR3"/>
      <c r="KRS3"/>
      <c r="KRT3"/>
      <c r="KRU3"/>
      <c r="KRV3"/>
      <c r="KRW3"/>
      <c r="KRX3"/>
      <c r="KRY3"/>
      <c r="KRZ3"/>
      <c r="KSA3"/>
      <c r="KSB3"/>
      <c r="KSC3"/>
      <c r="KSD3"/>
      <c r="KSE3"/>
      <c r="KSF3"/>
      <c r="KSG3"/>
      <c r="KSH3"/>
      <c r="KSI3"/>
      <c r="KSJ3"/>
      <c r="KSK3"/>
      <c r="KSL3"/>
      <c r="KSM3"/>
      <c r="KSN3"/>
      <c r="KSO3"/>
      <c r="KSP3"/>
      <c r="KSQ3"/>
      <c r="KSR3"/>
      <c r="KSS3"/>
      <c r="KST3"/>
      <c r="KSU3"/>
      <c r="KSV3"/>
      <c r="KSW3"/>
      <c r="KSX3"/>
      <c r="KSY3"/>
      <c r="KSZ3"/>
      <c r="KTA3"/>
      <c r="KTB3"/>
      <c r="KTC3"/>
      <c r="KTD3"/>
      <c r="KTE3"/>
      <c r="KTF3"/>
      <c r="KTG3"/>
      <c r="KTH3"/>
      <c r="KTI3"/>
      <c r="KTJ3"/>
      <c r="KTK3"/>
      <c r="KTL3"/>
      <c r="KTM3"/>
      <c r="KTN3"/>
      <c r="KTO3"/>
      <c r="KTP3"/>
      <c r="KTQ3"/>
      <c r="KTR3"/>
      <c r="KTS3"/>
      <c r="KTT3"/>
      <c r="KTU3"/>
      <c r="KTV3"/>
      <c r="KTW3"/>
      <c r="KTX3"/>
      <c r="KTY3"/>
      <c r="KTZ3"/>
      <c r="KUA3"/>
      <c r="KUB3"/>
      <c r="KUC3"/>
      <c r="KUD3"/>
      <c r="KUE3"/>
      <c r="KUF3"/>
      <c r="KUG3"/>
      <c r="KUH3"/>
      <c r="KUI3"/>
      <c r="KUJ3"/>
      <c r="KUK3"/>
      <c r="KUL3"/>
      <c r="KUM3"/>
      <c r="KUN3"/>
      <c r="KUO3"/>
      <c r="KUP3"/>
      <c r="KUQ3"/>
      <c r="KUR3"/>
      <c r="KUS3"/>
      <c r="KUT3"/>
      <c r="KUU3"/>
      <c r="KUV3"/>
      <c r="KUW3"/>
      <c r="KUX3"/>
      <c r="KUY3"/>
      <c r="KUZ3"/>
      <c r="KVA3"/>
      <c r="KVB3"/>
      <c r="KVC3"/>
      <c r="KVD3"/>
      <c r="KVE3"/>
      <c r="KVF3"/>
      <c r="KVG3"/>
      <c r="KVH3"/>
      <c r="KVI3"/>
      <c r="KVJ3"/>
      <c r="KVK3"/>
      <c r="KVL3"/>
      <c r="KVM3"/>
      <c r="KVN3"/>
      <c r="KVO3"/>
      <c r="KVP3"/>
      <c r="KVQ3"/>
      <c r="KVR3"/>
      <c r="KVS3"/>
      <c r="KVT3"/>
      <c r="KVU3"/>
      <c r="KVV3"/>
      <c r="KVW3"/>
      <c r="KVX3"/>
      <c r="KVY3"/>
      <c r="KVZ3"/>
      <c r="KWA3"/>
      <c r="KWB3"/>
      <c r="KWC3"/>
      <c r="KWD3"/>
      <c r="KWE3"/>
      <c r="KWF3"/>
      <c r="KWG3"/>
      <c r="KWH3"/>
      <c r="KWI3"/>
      <c r="KWJ3"/>
      <c r="KWK3"/>
      <c r="KWL3"/>
      <c r="KWM3"/>
      <c r="KWN3"/>
      <c r="KWO3"/>
      <c r="KWP3"/>
      <c r="KWQ3"/>
      <c r="KWR3"/>
      <c r="KWS3"/>
      <c r="KWT3"/>
      <c r="KWU3"/>
      <c r="KWV3"/>
      <c r="KWW3"/>
      <c r="KWX3"/>
      <c r="KWY3"/>
      <c r="KWZ3"/>
      <c r="KXA3"/>
      <c r="KXB3"/>
      <c r="KXC3"/>
      <c r="KXD3"/>
      <c r="KXE3"/>
      <c r="KXF3"/>
      <c r="KXG3"/>
      <c r="KXH3"/>
      <c r="KXI3"/>
      <c r="KXJ3"/>
      <c r="KXK3"/>
      <c r="KXL3"/>
      <c r="KXM3"/>
      <c r="KXN3"/>
      <c r="KXO3"/>
      <c r="KXP3"/>
      <c r="KXQ3"/>
      <c r="KXR3"/>
      <c r="KXS3"/>
      <c r="KXT3"/>
      <c r="KXU3"/>
      <c r="KXV3"/>
      <c r="KXW3"/>
      <c r="KXX3"/>
      <c r="KXY3"/>
      <c r="KXZ3"/>
      <c r="KYA3"/>
      <c r="KYB3"/>
      <c r="KYC3"/>
      <c r="KYD3"/>
      <c r="KYE3"/>
      <c r="KYF3"/>
      <c r="KYG3"/>
      <c r="KYH3"/>
      <c r="KYI3"/>
      <c r="KYJ3"/>
      <c r="KYK3"/>
      <c r="KYL3"/>
      <c r="KYM3"/>
      <c r="KYN3"/>
      <c r="KYO3"/>
      <c r="KYP3"/>
      <c r="KYQ3"/>
      <c r="KYR3"/>
      <c r="KYS3"/>
      <c r="KYT3"/>
      <c r="KYU3"/>
      <c r="KYV3"/>
      <c r="KYW3"/>
      <c r="KYX3"/>
      <c r="KYY3"/>
      <c r="KYZ3"/>
      <c r="KZA3"/>
      <c r="KZB3"/>
      <c r="KZC3"/>
      <c r="KZD3"/>
      <c r="KZE3"/>
      <c r="KZF3"/>
      <c r="KZG3"/>
      <c r="KZH3"/>
      <c r="KZI3"/>
      <c r="KZJ3"/>
      <c r="KZK3"/>
      <c r="KZL3"/>
      <c r="KZM3"/>
      <c r="KZN3"/>
      <c r="KZO3"/>
      <c r="KZP3"/>
      <c r="KZQ3"/>
      <c r="KZR3"/>
      <c r="KZS3"/>
      <c r="KZT3"/>
      <c r="KZU3"/>
      <c r="KZV3"/>
      <c r="KZW3"/>
      <c r="KZX3"/>
      <c r="KZY3"/>
      <c r="KZZ3"/>
      <c r="LAA3"/>
      <c r="LAB3"/>
      <c r="LAC3"/>
      <c r="LAD3"/>
      <c r="LAE3"/>
      <c r="LAF3"/>
      <c r="LAG3"/>
      <c r="LAH3"/>
      <c r="LAI3"/>
      <c r="LAJ3"/>
      <c r="LAK3"/>
      <c r="LAL3"/>
      <c r="LAM3"/>
      <c r="LAN3"/>
      <c r="LAO3"/>
      <c r="LAP3"/>
      <c r="LAQ3"/>
      <c r="LAR3"/>
      <c r="LAS3"/>
      <c r="LAT3"/>
      <c r="LAU3"/>
      <c r="LAV3"/>
      <c r="LAW3"/>
      <c r="LAX3"/>
      <c r="LAY3"/>
      <c r="LAZ3"/>
      <c r="LBA3"/>
      <c r="LBB3"/>
      <c r="LBC3"/>
      <c r="LBD3"/>
      <c r="LBE3"/>
      <c r="LBF3"/>
      <c r="LBG3"/>
      <c r="LBH3"/>
      <c r="LBI3"/>
      <c r="LBJ3"/>
      <c r="LBK3"/>
      <c r="LBL3"/>
      <c r="LBM3"/>
      <c r="LBN3"/>
      <c r="LBO3"/>
      <c r="LBP3"/>
      <c r="LBQ3"/>
      <c r="LBR3"/>
      <c r="LBS3"/>
      <c r="LBT3"/>
      <c r="LBU3"/>
      <c r="LBV3"/>
      <c r="LBW3"/>
      <c r="LBX3"/>
      <c r="LBY3"/>
      <c r="LBZ3"/>
      <c r="LCA3"/>
      <c r="LCB3"/>
      <c r="LCC3"/>
      <c r="LCD3"/>
      <c r="LCE3"/>
      <c r="LCF3"/>
      <c r="LCG3"/>
      <c r="LCH3"/>
      <c r="LCI3"/>
      <c r="LCJ3"/>
      <c r="LCK3"/>
      <c r="LCL3"/>
      <c r="LCM3"/>
      <c r="LCN3"/>
      <c r="LCO3"/>
      <c r="LCP3"/>
      <c r="LCQ3"/>
      <c r="LCR3"/>
      <c r="LCS3"/>
      <c r="LCT3"/>
      <c r="LCU3"/>
      <c r="LCV3"/>
      <c r="LCW3"/>
      <c r="LCX3"/>
      <c r="LCY3"/>
      <c r="LCZ3"/>
      <c r="LDA3"/>
      <c r="LDB3"/>
      <c r="LDC3"/>
      <c r="LDD3"/>
      <c r="LDE3"/>
      <c r="LDF3"/>
      <c r="LDG3"/>
      <c r="LDH3"/>
      <c r="LDI3"/>
      <c r="LDJ3"/>
      <c r="LDK3"/>
      <c r="LDL3"/>
      <c r="LDM3"/>
      <c r="LDN3"/>
      <c r="LDO3"/>
      <c r="LDP3"/>
      <c r="LDQ3"/>
      <c r="LDR3"/>
      <c r="LDS3"/>
      <c r="LDT3"/>
      <c r="LDU3"/>
      <c r="LDV3"/>
      <c r="LDW3"/>
      <c r="LDX3"/>
      <c r="LDY3"/>
      <c r="LDZ3"/>
      <c r="LEA3"/>
      <c r="LEB3"/>
      <c r="LEC3"/>
      <c r="LED3"/>
      <c r="LEE3"/>
      <c r="LEF3"/>
      <c r="LEG3"/>
      <c r="LEH3"/>
      <c r="LEI3"/>
      <c r="LEJ3"/>
      <c r="LEK3"/>
      <c r="LEL3"/>
      <c r="LEM3"/>
      <c r="LEN3"/>
      <c r="LEO3"/>
      <c r="LEP3"/>
      <c r="LEQ3"/>
      <c r="LER3"/>
      <c r="LES3"/>
      <c r="LET3"/>
      <c r="LEU3"/>
      <c r="LEV3"/>
      <c r="LEW3"/>
      <c r="LEX3"/>
      <c r="LEY3"/>
      <c r="LEZ3"/>
      <c r="LFA3"/>
      <c r="LFB3"/>
      <c r="LFC3"/>
      <c r="LFD3"/>
      <c r="LFE3"/>
      <c r="LFF3"/>
      <c r="LFG3"/>
      <c r="LFH3"/>
      <c r="LFI3"/>
      <c r="LFJ3"/>
      <c r="LFK3"/>
      <c r="LFL3"/>
      <c r="LFM3"/>
      <c r="LFN3"/>
      <c r="LFO3"/>
      <c r="LFP3"/>
      <c r="LFQ3"/>
      <c r="LFR3"/>
      <c r="LFS3"/>
      <c r="LFT3"/>
      <c r="LFU3"/>
      <c r="LFV3"/>
      <c r="LFW3"/>
      <c r="LFX3"/>
      <c r="LFY3"/>
      <c r="LFZ3"/>
      <c r="LGA3"/>
      <c r="LGB3"/>
      <c r="LGC3"/>
      <c r="LGD3"/>
      <c r="LGE3"/>
      <c r="LGF3"/>
      <c r="LGG3"/>
      <c r="LGH3"/>
      <c r="LGI3"/>
      <c r="LGJ3"/>
      <c r="LGK3"/>
      <c r="LGL3"/>
      <c r="LGM3"/>
      <c r="LGN3"/>
      <c r="LGO3"/>
      <c r="LGP3"/>
      <c r="LGQ3"/>
      <c r="LGR3"/>
      <c r="LGS3"/>
      <c r="LGT3"/>
      <c r="LGU3"/>
      <c r="LGV3"/>
      <c r="LGW3"/>
      <c r="LGX3"/>
      <c r="LGY3"/>
      <c r="LGZ3"/>
      <c r="LHA3"/>
      <c r="LHB3"/>
      <c r="LHC3"/>
      <c r="LHD3"/>
      <c r="LHE3"/>
      <c r="LHF3"/>
      <c r="LHG3"/>
      <c r="LHH3"/>
      <c r="LHI3"/>
      <c r="LHJ3"/>
      <c r="LHK3"/>
      <c r="LHL3"/>
      <c r="LHM3"/>
      <c r="LHN3"/>
      <c r="LHO3"/>
      <c r="LHP3"/>
      <c r="LHQ3"/>
      <c r="LHR3"/>
      <c r="LHS3"/>
      <c r="LHT3"/>
      <c r="LHU3"/>
      <c r="LHV3"/>
      <c r="LHW3"/>
      <c r="LHX3"/>
      <c r="LHY3"/>
      <c r="LHZ3"/>
      <c r="LIA3"/>
      <c r="LIB3"/>
      <c r="LIC3"/>
      <c r="LID3"/>
      <c r="LIE3"/>
      <c r="LIF3"/>
      <c r="LIG3"/>
      <c r="LIH3"/>
      <c r="LII3"/>
      <c r="LIJ3"/>
      <c r="LIK3"/>
      <c r="LIL3"/>
      <c r="LIM3"/>
      <c r="LIN3"/>
      <c r="LIO3"/>
      <c r="LIP3"/>
      <c r="LIQ3"/>
      <c r="LIR3"/>
      <c r="LIS3"/>
      <c r="LIT3"/>
      <c r="LIU3"/>
      <c r="LIV3"/>
      <c r="LIW3"/>
      <c r="LIX3"/>
      <c r="LIY3"/>
      <c r="LIZ3"/>
      <c r="LJA3"/>
      <c r="LJB3"/>
      <c r="LJC3"/>
      <c r="LJD3"/>
      <c r="LJE3"/>
      <c r="LJF3"/>
      <c r="LJG3"/>
      <c r="LJH3"/>
      <c r="LJI3"/>
      <c r="LJJ3"/>
      <c r="LJK3"/>
      <c r="LJL3"/>
      <c r="LJM3"/>
      <c r="LJN3"/>
      <c r="LJO3"/>
      <c r="LJP3"/>
      <c r="LJQ3"/>
      <c r="LJR3"/>
      <c r="LJS3"/>
      <c r="LJT3"/>
      <c r="LJU3"/>
      <c r="LJV3"/>
      <c r="LJW3"/>
      <c r="LJX3"/>
      <c r="LJY3"/>
      <c r="LJZ3"/>
      <c r="LKA3"/>
      <c r="LKB3"/>
      <c r="LKC3"/>
      <c r="LKD3"/>
      <c r="LKE3"/>
      <c r="LKF3"/>
      <c r="LKG3"/>
      <c r="LKH3"/>
      <c r="LKI3"/>
      <c r="LKJ3"/>
      <c r="LKK3"/>
      <c r="LKL3"/>
      <c r="LKM3"/>
      <c r="LKN3"/>
      <c r="LKO3"/>
      <c r="LKP3"/>
      <c r="LKQ3"/>
      <c r="LKR3"/>
      <c r="LKS3"/>
      <c r="LKT3"/>
      <c r="LKU3"/>
      <c r="LKV3"/>
      <c r="LKW3"/>
      <c r="LKX3"/>
      <c r="LKY3"/>
      <c r="LKZ3"/>
      <c r="LLA3"/>
      <c r="LLB3"/>
      <c r="LLC3"/>
      <c r="LLD3"/>
      <c r="LLE3"/>
      <c r="LLF3"/>
      <c r="LLG3"/>
      <c r="LLH3"/>
      <c r="LLI3"/>
      <c r="LLJ3"/>
      <c r="LLK3"/>
      <c r="LLL3"/>
      <c r="LLM3"/>
      <c r="LLN3"/>
      <c r="LLO3"/>
      <c r="LLP3"/>
      <c r="LLQ3"/>
      <c r="LLR3"/>
      <c r="LLS3"/>
      <c r="LLT3"/>
      <c r="LLU3"/>
      <c r="LLV3"/>
      <c r="LLW3"/>
      <c r="LLX3"/>
      <c r="LLY3"/>
      <c r="LLZ3"/>
      <c r="LMA3"/>
      <c r="LMB3"/>
      <c r="LMC3"/>
      <c r="LMD3"/>
      <c r="LME3"/>
      <c r="LMF3"/>
      <c r="LMG3"/>
      <c r="LMH3"/>
      <c r="LMI3"/>
      <c r="LMJ3"/>
      <c r="LMK3"/>
      <c r="LML3"/>
      <c r="LMM3"/>
      <c r="LMN3"/>
      <c r="LMO3"/>
      <c r="LMP3"/>
      <c r="LMQ3"/>
      <c r="LMR3"/>
      <c r="LMS3"/>
      <c r="LMT3"/>
      <c r="LMU3"/>
      <c r="LMV3"/>
      <c r="LMW3"/>
      <c r="LMX3"/>
      <c r="LMY3"/>
      <c r="LMZ3"/>
      <c r="LNA3"/>
      <c r="LNB3"/>
      <c r="LNC3"/>
      <c r="LND3"/>
      <c r="LNE3"/>
      <c r="LNF3"/>
      <c r="LNG3"/>
      <c r="LNH3"/>
      <c r="LNI3"/>
      <c r="LNJ3"/>
      <c r="LNK3"/>
      <c r="LNL3"/>
      <c r="LNM3"/>
      <c r="LNN3"/>
      <c r="LNO3"/>
      <c r="LNP3"/>
      <c r="LNQ3"/>
      <c r="LNR3"/>
      <c r="LNS3"/>
      <c r="LNT3"/>
      <c r="LNU3"/>
      <c r="LNV3"/>
      <c r="LNW3"/>
      <c r="LNX3"/>
      <c r="LNY3"/>
      <c r="LNZ3"/>
      <c r="LOA3"/>
      <c r="LOB3"/>
      <c r="LOC3"/>
      <c r="LOD3"/>
      <c r="LOE3"/>
      <c r="LOF3"/>
      <c r="LOG3"/>
      <c r="LOH3"/>
      <c r="LOI3"/>
      <c r="LOJ3"/>
      <c r="LOK3"/>
      <c r="LOL3"/>
      <c r="LOM3"/>
      <c r="LON3"/>
      <c r="LOO3"/>
      <c r="LOP3"/>
      <c r="LOQ3"/>
      <c r="LOR3"/>
      <c r="LOS3"/>
      <c r="LOT3"/>
      <c r="LOU3"/>
      <c r="LOV3"/>
      <c r="LOW3"/>
      <c r="LOX3"/>
      <c r="LOY3"/>
      <c r="LOZ3"/>
      <c r="LPA3"/>
      <c r="LPB3"/>
      <c r="LPC3"/>
      <c r="LPD3"/>
      <c r="LPE3"/>
      <c r="LPF3"/>
      <c r="LPG3"/>
      <c r="LPH3"/>
      <c r="LPI3"/>
      <c r="LPJ3"/>
      <c r="LPK3"/>
      <c r="LPL3"/>
      <c r="LPM3"/>
      <c r="LPN3"/>
      <c r="LPO3"/>
      <c r="LPP3"/>
      <c r="LPQ3"/>
      <c r="LPR3"/>
      <c r="LPS3"/>
      <c r="LPT3"/>
      <c r="LPU3"/>
      <c r="LPV3"/>
      <c r="LPW3"/>
      <c r="LPX3"/>
      <c r="LPY3"/>
      <c r="LPZ3"/>
      <c r="LQA3"/>
      <c r="LQB3"/>
      <c r="LQC3"/>
      <c r="LQD3"/>
      <c r="LQE3"/>
      <c r="LQF3"/>
      <c r="LQG3"/>
      <c r="LQH3"/>
      <c r="LQI3"/>
      <c r="LQJ3"/>
      <c r="LQK3"/>
      <c r="LQL3"/>
      <c r="LQM3"/>
      <c r="LQN3"/>
      <c r="LQO3"/>
      <c r="LQP3"/>
      <c r="LQQ3"/>
      <c r="LQR3"/>
      <c r="LQS3"/>
      <c r="LQT3"/>
      <c r="LQU3"/>
      <c r="LQV3"/>
      <c r="LQW3"/>
      <c r="LQX3"/>
      <c r="LQY3"/>
      <c r="LQZ3"/>
      <c r="LRA3"/>
      <c r="LRB3"/>
      <c r="LRC3"/>
      <c r="LRD3"/>
      <c r="LRE3"/>
      <c r="LRF3"/>
      <c r="LRG3"/>
      <c r="LRH3"/>
      <c r="LRI3"/>
      <c r="LRJ3"/>
      <c r="LRK3"/>
      <c r="LRL3"/>
      <c r="LRM3"/>
      <c r="LRN3"/>
      <c r="LRO3"/>
      <c r="LRP3"/>
      <c r="LRQ3"/>
      <c r="LRR3"/>
      <c r="LRS3"/>
      <c r="LRT3"/>
      <c r="LRU3"/>
      <c r="LRV3"/>
      <c r="LRW3"/>
      <c r="LRX3"/>
      <c r="LRY3"/>
      <c r="LRZ3"/>
      <c r="LSA3"/>
      <c r="LSB3"/>
      <c r="LSC3"/>
      <c r="LSD3"/>
      <c r="LSE3"/>
      <c r="LSF3"/>
      <c r="LSG3"/>
      <c r="LSH3"/>
      <c r="LSI3"/>
      <c r="LSJ3"/>
      <c r="LSK3"/>
      <c r="LSL3"/>
      <c r="LSM3"/>
      <c r="LSN3"/>
      <c r="LSO3"/>
      <c r="LSP3"/>
      <c r="LSQ3"/>
      <c r="LSR3"/>
      <c r="LSS3"/>
      <c r="LST3"/>
      <c r="LSU3"/>
      <c r="LSV3"/>
      <c r="LSW3"/>
      <c r="LSX3"/>
      <c r="LSY3"/>
      <c r="LSZ3"/>
      <c r="LTA3"/>
      <c r="LTB3"/>
      <c r="LTC3"/>
      <c r="LTD3"/>
      <c r="LTE3"/>
      <c r="LTF3"/>
      <c r="LTG3"/>
      <c r="LTH3"/>
      <c r="LTI3"/>
      <c r="LTJ3"/>
      <c r="LTK3"/>
      <c r="LTL3"/>
      <c r="LTM3"/>
      <c r="LTN3"/>
      <c r="LTO3"/>
      <c r="LTP3"/>
      <c r="LTQ3"/>
      <c r="LTR3"/>
      <c r="LTS3"/>
      <c r="LTT3"/>
      <c r="LTU3"/>
      <c r="LTV3"/>
      <c r="LTW3"/>
      <c r="LTX3"/>
      <c r="LTY3"/>
      <c r="LTZ3"/>
      <c r="LUA3"/>
      <c r="LUB3"/>
      <c r="LUC3"/>
      <c r="LUD3"/>
      <c r="LUE3"/>
      <c r="LUF3"/>
      <c r="LUG3"/>
      <c r="LUH3"/>
      <c r="LUI3"/>
      <c r="LUJ3"/>
      <c r="LUK3"/>
      <c r="LUL3"/>
      <c r="LUM3"/>
      <c r="LUN3"/>
      <c r="LUO3"/>
      <c r="LUP3"/>
      <c r="LUQ3"/>
      <c r="LUR3"/>
      <c r="LUS3"/>
      <c r="LUT3"/>
      <c r="LUU3"/>
      <c r="LUV3"/>
      <c r="LUW3"/>
      <c r="LUX3"/>
      <c r="LUY3"/>
      <c r="LUZ3"/>
      <c r="LVA3"/>
      <c r="LVB3"/>
      <c r="LVC3"/>
      <c r="LVD3"/>
      <c r="LVE3"/>
      <c r="LVF3"/>
      <c r="LVG3"/>
      <c r="LVH3"/>
      <c r="LVI3"/>
      <c r="LVJ3"/>
      <c r="LVK3"/>
      <c r="LVL3"/>
      <c r="LVM3"/>
      <c r="LVN3"/>
      <c r="LVO3"/>
      <c r="LVP3"/>
      <c r="LVQ3"/>
      <c r="LVR3"/>
      <c r="LVS3"/>
      <c r="LVT3"/>
      <c r="LVU3"/>
      <c r="LVV3"/>
      <c r="LVW3"/>
      <c r="LVX3"/>
      <c r="LVY3"/>
      <c r="LVZ3"/>
      <c r="LWA3"/>
      <c r="LWB3"/>
      <c r="LWC3"/>
      <c r="LWD3"/>
      <c r="LWE3"/>
      <c r="LWF3"/>
      <c r="LWG3"/>
      <c r="LWH3"/>
      <c r="LWI3"/>
      <c r="LWJ3"/>
      <c r="LWK3"/>
      <c r="LWL3"/>
      <c r="LWM3"/>
      <c r="LWN3"/>
      <c r="LWO3"/>
      <c r="LWP3"/>
      <c r="LWQ3"/>
      <c r="LWR3"/>
      <c r="LWS3"/>
      <c r="LWT3"/>
      <c r="LWU3"/>
      <c r="LWV3"/>
      <c r="LWW3"/>
      <c r="LWX3"/>
      <c r="LWY3"/>
      <c r="LWZ3"/>
      <c r="LXA3"/>
      <c r="LXB3"/>
      <c r="LXC3"/>
      <c r="LXD3"/>
      <c r="LXE3"/>
      <c r="LXF3"/>
      <c r="LXG3"/>
      <c r="LXH3"/>
      <c r="LXI3"/>
      <c r="LXJ3"/>
      <c r="LXK3"/>
      <c r="LXL3"/>
      <c r="LXM3"/>
      <c r="LXN3"/>
      <c r="LXO3"/>
      <c r="LXP3"/>
      <c r="LXQ3"/>
      <c r="LXR3"/>
      <c r="LXS3"/>
      <c r="LXT3"/>
      <c r="LXU3"/>
      <c r="LXV3"/>
      <c r="LXW3"/>
      <c r="LXX3"/>
      <c r="LXY3"/>
      <c r="LXZ3"/>
      <c r="LYA3"/>
      <c r="LYB3"/>
      <c r="LYC3"/>
      <c r="LYD3"/>
      <c r="LYE3"/>
      <c r="LYF3"/>
      <c r="LYG3"/>
      <c r="LYH3"/>
      <c r="LYI3"/>
      <c r="LYJ3"/>
      <c r="LYK3"/>
      <c r="LYL3"/>
      <c r="LYM3"/>
      <c r="LYN3"/>
      <c r="LYO3"/>
      <c r="LYP3"/>
      <c r="LYQ3"/>
      <c r="LYR3"/>
      <c r="LYS3"/>
      <c r="LYT3"/>
      <c r="LYU3"/>
      <c r="LYV3"/>
      <c r="LYW3"/>
      <c r="LYX3"/>
      <c r="LYY3"/>
      <c r="LYZ3"/>
      <c r="LZA3"/>
      <c r="LZB3"/>
      <c r="LZC3"/>
      <c r="LZD3"/>
      <c r="LZE3"/>
      <c r="LZF3"/>
      <c r="LZG3"/>
      <c r="LZH3"/>
      <c r="LZI3"/>
      <c r="LZJ3"/>
      <c r="LZK3"/>
      <c r="LZL3"/>
      <c r="LZM3"/>
      <c r="LZN3"/>
      <c r="LZO3"/>
      <c r="LZP3"/>
      <c r="LZQ3"/>
      <c r="LZR3"/>
      <c r="LZS3"/>
      <c r="LZT3"/>
      <c r="LZU3"/>
      <c r="LZV3"/>
      <c r="LZW3"/>
      <c r="LZX3"/>
      <c r="LZY3"/>
      <c r="LZZ3"/>
      <c r="MAA3"/>
      <c r="MAB3"/>
      <c r="MAC3"/>
      <c r="MAD3"/>
      <c r="MAE3"/>
      <c r="MAF3"/>
      <c r="MAG3"/>
      <c r="MAH3"/>
      <c r="MAI3"/>
      <c r="MAJ3"/>
      <c r="MAK3"/>
      <c r="MAL3"/>
      <c r="MAM3"/>
      <c r="MAN3"/>
      <c r="MAO3"/>
      <c r="MAP3"/>
      <c r="MAQ3"/>
      <c r="MAR3"/>
      <c r="MAS3"/>
      <c r="MAT3"/>
      <c r="MAU3"/>
      <c r="MAV3"/>
      <c r="MAW3"/>
      <c r="MAX3"/>
      <c r="MAY3"/>
      <c r="MAZ3"/>
      <c r="MBA3"/>
      <c r="MBB3"/>
      <c r="MBC3"/>
      <c r="MBD3"/>
      <c r="MBE3"/>
      <c r="MBF3"/>
      <c r="MBG3"/>
      <c r="MBH3"/>
      <c r="MBI3"/>
      <c r="MBJ3"/>
      <c r="MBK3"/>
      <c r="MBL3"/>
      <c r="MBM3"/>
      <c r="MBN3"/>
      <c r="MBO3"/>
      <c r="MBP3"/>
      <c r="MBQ3"/>
      <c r="MBR3"/>
      <c r="MBS3"/>
      <c r="MBT3"/>
      <c r="MBU3"/>
      <c r="MBV3"/>
      <c r="MBW3"/>
      <c r="MBX3"/>
      <c r="MBY3"/>
      <c r="MBZ3"/>
      <c r="MCA3"/>
      <c r="MCB3"/>
      <c r="MCC3"/>
      <c r="MCD3"/>
      <c r="MCE3"/>
      <c r="MCF3"/>
      <c r="MCG3"/>
      <c r="MCH3"/>
      <c r="MCI3"/>
      <c r="MCJ3"/>
      <c r="MCK3"/>
      <c r="MCL3"/>
      <c r="MCM3"/>
      <c r="MCN3"/>
      <c r="MCO3"/>
      <c r="MCP3"/>
      <c r="MCQ3"/>
      <c r="MCR3"/>
      <c r="MCS3"/>
      <c r="MCT3"/>
      <c r="MCU3"/>
      <c r="MCV3"/>
      <c r="MCW3"/>
      <c r="MCX3"/>
      <c r="MCY3"/>
      <c r="MCZ3"/>
      <c r="MDA3"/>
      <c r="MDB3"/>
      <c r="MDC3"/>
      <c r="MDD3"/>
      <c r="MDE3"/>
      <c r="MDF3"/>
      <c r="MDG3"/>
      <c r="MDH3"/>
      <c r="MDI3"/>
      <c r="MDJ3"/>
      <c r="MDK3"/>
      <c r="MDL3"/>
      <c r="MDM3"/>
      <c r="MDN3"/>
      <c r="MDO3"/>
      <c r="MDP3"/>
      <c r="MDQ3"/>
      <c r="MDR3"/>
      <c r="MDS3"/>
      <c r="MDT3"/>
      <c r="MDU3"/>
      <c r="MDV3"/>
      <c r="MDW3"/>
      <c r="MDX3"/>
      <c r="MDY3"/>
      <c r="MDZ3"/>
      <c r="MEA3"/>
      <c r="MEB3"/>
      <c r="MEC3"/>
      <c r="MED3"/>
      <c r="MEE3"/>
      <c r="MEF3"/>
      <c r="MEG3"/>
      <c r="MEH3"/>
      <c r="MEI3"/>
      <c r="MEJ3"/>
      <c r="MEK3"/>
      <c r="MEL3"/>
      <c r="MEM3"/>
      <c r="MEN3"/>
      <c r="MEO3"/>
      <c r="MEP3"/>
      <c r="MEQ3"/>
      <c r="MER3"/>
      <c r="MES3"/>
      <c r="MET3"/>
      <c r="MEU3"/>
      <c r="MEV3"/>
      <c r="MEW3"/>
      <c r="MEX3"/>
      <c r="MEY3"/>
      <c r="MEZ3"/>
      <c r="MFA3"/>
      <c r="MFB3"/>
      <c r="MFC3"/>
      <c r="MFD3"/>
      <c r="MFE3"/>
      <c r="MFF3"/>
      <c r="MFG3"/>
      <c r="MFH3"/>
      <c r="MFI3"/>
      <c r="MFJ3"/>
      <c r="MFK3"/>
      <c r="MFL3"/>
      <c r="MFM3"/>
      <c r="MFN3"/>
      <c r="MFO3"/>
      <c r="MFP3"/>
      <c r="MFQ3"/>
      <c r="MFR3"/>
      <c r="MFS3"/>
      <c r="MFT3"/>
      <c r="MFU3"/>
      <c r="MFV3"/>
      <c r="MFW3"/>
      <c r="MFX3"/>
      <c r="MFY3"/>
      <c r="MFZ3"/>
      <c r="MGA3"/>
      <c r="MGB3"/>
      <c r="MGC3"/>
      <c r="MGD3"/>
      <c r="MGE3"/>
      <c r="MGF3"/>
      <c r="MGG3"/>
      <c r="MGH3"/>
      <c r="MGI3"/>
      <c r="MGJ3"/>
      <c r="MGK3"/>
      <c r="MGL3"/>
      <c r="MGM3"/>
      <c r="MGN3"/>
      <c r="MGO3"/>
      <c r="MGP3"/>
      <c r="MGQ3"/>
      <c r="MGR3"/>
      <c r="MGS3"/>
      <c r="MGT3"/>
      <c r="MGU3"/>
      <c r="MGV3"/>
      <c r="MGW3"/>
      <c r="MGX3"/>
      <c r="MGY3"/>
      <c r="MGZ3"/>
      <c r="MHA3"/>
      <c r="MHB3"/>
      <c r="MHC3"/>
      <c r="MHD3"/>
      <c r="MHE3"/>
      <c r="MHF3"/>
      <c r="MHG3"/>
      <c r="MHH3"/>
      <c r="MHI3"/>
      <c r="MHJ3"/>
      <c r="MHK3"/>
      <c r="MHL3"/>
      <c r="MHM3"/>
      <c r="MHN3"/>
      <c r="MHO3"/>
      <c r="MHP3"/>
      <c r="MHQ3"/>
      <c r="MHR3"/>
      <c r="MHS3"/>
      <c r="MHT3"/>
      <c r="MHU3"/>
      <c r="MHV3"/>
      <c r="MHW3"/>
      <c r="MHX3"/>
      <c r="MHY3"/>
      <c r="MHZ3"/>
      <c r="MIA3"/>
      <c r="MIB3"/>
      <c r="MIC3"/>
      <c r="MID3"/>
      <c r="MIE3"/>
      <c r="MIF3"/>
      <c r="MIG3"/>
      <c r="MIH3"/>
      <c r="MII3"/>
      <c r="MIJ3"/>
      <c r="MIK3"/>
      <c r="MIL3"/>
      <c r="MIM3"/>
      <c r="MIN3"/>
      <c r="MIO3"/>
      <c r="MIP3"/>
      <c r="MIQ3"/>
      <c r="MIR3"/>
      <c r="MIS3"/>
      <c r="MIT3"/>
      <c r="MIU3"/>
      <c r="MIV3"/>
      <c r="MIW3"/>
      <c r="MIX3"/>
      <c r="MIY3"/>
      <c r="MIZ3"/>
      <c r="MJA3"/>
      <c r="MJB3"/>
      <c r="MJC3"/>
      <c r="MJD3"/>
      <c r="MJE3"/>
      <c r="MJF3"/>
      <c r="MJG3"/>
      <c r="MJH3"/>
      <c r="MJI3"/>
      <c r="MJJ3"/>
      <c r="MJK3"/>
      <c r="MJL3"/>
      <c r="MJM3"/>
      <c r="MJN3"/>
      <c r="MJO3"/>
      <c r="MJP3"/>
      <c r="MJQ3"/>
      <c r="MJR3"/>
      <c r="MJS3"/>
      <c r="MJT3"/>
      <c r="MJU3"/>
      <c r="MJV3"/>
      <c r="MJW3"/>
      <c r="MJX3"/>
      <c r="MJY3"/>
      <c r="MJZ3"/>
      <c r="MKA3"/>
      <c r="MKB3"/>
      <c r="MKC3"/>
      <c r="MKD3"/>
      <c r="MKE3"/>
      <c r="MKF3"/>
      <c r="MKG3"/>
      <c r="MKH3"/>
      <c r="MKI3"/>
      <c r="MKJ3"/>
      <c r="MKK3"/>
      <c r="MKL3"/>
      <c r="MKM3"/>
      <c r="MKN3"/>
      <c r="MKO3"/>
      <c r="MKP3"/>
      <c r="MKQ3"/>
      <c r="MKR3"/>
      <c r="MKS3"/>
      <c r="MKT3"/>
      <c r="MKU3"/>
      <c r="MKV3"/>
      <c r="MKW3"/>
      <c r="MKX3"/>
      <c r="MKY3"/>
      <c r="MKZ3"/>
      <c r="MLA3"/>
      <c r="MLB3"/>
      <c r="MLC3"/>
      <c r="MLD3"/>
      <c r="MLE3"/>
      <c r="MLF3"/>
      <c r="MLG3"/>
      <c r="MLH3"/>
      <c r="MLI3"/>
      <c r="MLJ3"/>
      <c r="MLK3"/>
      <c r="MLL3"/>
      <c r="MLM3"/>
      <c r="MLN3"/>
      <c r="MLO3"/>
      <c r="MLP3"/>
      <c r="MLQ3"/>
      <c r="MLR3"/>
      <c r="MLS3"/>
      <c r="MLT3"/>
      <c r="MLU3"/>
      <c r="MLV3"/>
      <c r="MLW3"/>
      <c r="MLX3"/>
      <c r="MLY3"/>
      <c r="MLZ3"/>
      <c r="MMA3"/>
      <c r="MMB3"/>
      <c r="MMC3"/>
      <c r="MMD3"/>
      <c r="MME3"/>
      <c r="MMF3"/>
      <c r="MMG3"/>
      <c r="MMH3"/>
      <c r="MMI3"/>
      <c r="MMJ3"/>
      <c r="MMK3"/>
      <c r="MML3"/>
      <c r="MMM3"/>
      <c r="MMN3"/>
      <c r="MMO3"/>
      <c r="MMP3"/>
      <c r="MMQ3"/>
      <c r="MMR3"/>
      <c r="MMS3"/>
      <c r="MMT3"/>
      <c r="MMU3"/>
      <c r="MMV3"/>
      <c r="MMW3"/>
      <c r="MMX3"/>
      <c r="MMY3"/>
      <c r="MMZ3"/>
      <c r="MNA3"/>
      <c r="MNB3"/>
      <c r="MNC3"/>
      <c r="MND3"/>
      <c r="MNE3"/>
      <c r="MNF3"/>
      <c r="MNG3"/>
      <c r="MNH3"/>
      <c r="MNI3"/>
      <c r="MNJ3"/>
      <c r="MNK3"/>
      <c r="MNL3"/>
      <c r="MNM3"/>
      <c r="MNN3"/>
      <c r="MNO3"/>
      <c r="MNP3"/>
      <c r="MNQ3"/>
      <c r="MNR3"/>
      <c r="MNS3"/>
      <c r="MNT3"/>
      <c r="MNU3"/>
      <c r="MNV3"/>
      <c r="MNW3"/>
      <c r="MNX3"/>
      <c r="MNY3"/>
      <c r="MNZ3"/>
      <c r="MOA3"/>
      <c r="MOB3"/>
      <c r="MOC3"/>
      <c r="MOD3"/>
      <c r="MOE3"/>
      <c r="MOF3"/>
      <c r="MOG3"/>
      <c r="MOH3"/>
      <c r="MOI3"/>
      <c r="MOJ3"/>
      <c r="MOK3"/>
      <c r="MOL3"/>
      <c r="MOM3"/>
      <c r="MON3"/>
      <c r="MOO3"/>
      <c r="MOP3"/>
      <c r="MOQ3"/>
      <c r="MOR3"/>
      <c r="MOS3"/>
      <c r="MOT3"/>
      <c r="MOU3"/>
      <c r="MOV3"/>
      <c r="MOW3"/>
      <c r="MOX3"/>
      <c r="MOY3"/>
      <c r="MOZ3"/>
      <c r="MPA3"/>
      <c r="MPB3"/>
      <c r="MPC3"/>
      <c r="MPD3"/>
      <c r="MPE3"/>
      <c r="MPF3"/>
      <c r="MPG3"/>
      <c r="MPH3"/>
      <c r="MPI3"/>
      <c r="MPJ3"/>
      <c r="MPK3"/>
      <c r="MPL3"/>
      <c r="MPM3"/>
      <c r="MPN3"/>
      <c r="MPO3"/>
      <c r="MPP3"/>
      <c r="MPQ3"/>
      <c r="MPR3"/>
      <c r="MPS3"/>
      <c r="MPT3"/>
      <c r="MPU3"/>
      <c r="MPV3"/>
      <c r="MPW3"/>
      <c r="MPX3"/>
      <c r="MPY3"/>
      <c r="MPZ3"/>
      <c r="MQA3"/>
      <c r="MQB3"/>
      <c r="MQC3"/>
      <c r="MQD3"/>
      <c r="MQE3"/>
      <c r="MQF3"/>
      <c r="MQG3"/>
      <c r="MQH3"/>
      <c r="MQI3"/>
      <c r="MQJ3"/>
      <c r="MQK3"/>
      <c r="MQL3"/>
      <c r="MQM3"/>
      <c r="MQN3"/>
      <c r="MQO3"/>
      <c r="MQP3"/>
      <c r="MQQ3"/>
      <c r="MQR3"/>
      <c r="MQS3"/>
      <c r="MQT3"/>
      <c r="MQU3"/>
      <c r="MQV3"/>
      <c r="MQW3"/>
      <c r="MQX3"/>
      <c r="MQY3"/>
      <c r="MQZ3"/>
      <c r="MRA3"/>
      <c r="MRB3"/>
      <c r="MRC3"/>
      <c r="MRD3"/>
      <c r="MRE3"/>
      <c r="MRF3"/>
      <c r="MRG3"/>
      <c r="MRH3"/>
      <c r="MRI3"/>
      <c r="MRJ3"/>
      <c r="MRK3"/>
      <c r="MRL3"/>
      <c r="MRM3"/>
      <c r="MRN3"/>
      <c r="MRO3"/>
      <c r="MRP3"/>
      <c r="MRQ3"/>
      <c r="MRR3"/>
      <c r="MRS3"/>
      <c r="MRT3"/>
      <c r="MRU3"/>
      <c r="MRV3"/>
      <c r="MRW3"/>
      <c r="MRX3"/>
      <c r="MRY3"/>
      <c r="MRZ3"/>
      <c r="MSA3"/>
      <c r="MSB3"/>
      <c r="MSC3"/>
      <c r="MSD3"/>
      <c r="MSE3"/>
      <c r="MSF3"/>
      <c r="MSG3"/>
      <c r="MSH3"/>
      <c r="MSI3"/>
      <c r="MSJ3"/>
      <c r="MSK3"/>
      <c r="MSL3"/>
      <c r="MSM3"/>
      <c r="MSN3"/>
      <c r="MSO3"/>
      <c r="MSP3"/>
      <c r="MSQ3"/>
      <c r="MSR3"/>
      <c r="MSS3"/>
      <c r="MST3"/>
      <c r="MSU3"/>
      <c r="MSV3"/>
      <c r="MSW3"/>
      <c r="MSX3"/>
      <c r="MSY3"/>
      <c r="MSZ3"/>
      <c r="MTA3"/>
      <c r="MTB3"/>
      <c r="MTC3"/>
      <c r="MTD3"/>
      <c r="MTE3"/>
      <c r="MTF3"/>
      <c r="MTG3"/>
      <c r="MTH3"/>
      <c r="MTI3"/>
      <c r="MTJ3"/>
      <c r="MTK3"/>
      <c r="MTL3"/>
      <c r="MTM3"/>
      <c r="MTN3"/>
      <c r="MTO3"/>
      <c r="MTP3"/>
      <c r="MTQ3"/>
      <c r="MTR3"/>
      <c r="MTS3"/>
      <c r="MTT3"/>
      <c r="MTU3"/>
      <c r="MTV3"/>
      <c r="MTW3"/>
      <c r="MTX3"/>
      <c r="MTY3"/>
      <c r="MTZ3"/>
      <c r="MUA3"/>
      <c r="MUB3"/>
      <c r="MUC3"/>
      <c r="MUD3"/>
      <c r="MUE3"/>
      <c r="MUF3"/>
      <c r="MUG3"/>
      <c r="MUH3"/>
      <c r="MUI3"/>
      <c r="MUJ3"/>
      <c r="MUK3"/>
      <c r="MUL3"/>
      <c r="MUM3"/>
      <c r="MUN3"/>
      <c r="MUO3"/>
      <c r="MUP3"/>
      <c r="MUQ3"/>
      <c r="MUR3"/>
      <c r="MUS3"/>
      <c r="MUT3"/>
      <c r="MUU3"/>
      <c r="MUV3"/>
      <c r="MUW3"/>
      <c r="MUX3"/>
      <c r="MUY3"/>
      <c r="MUZ3"/>
      <c r="MVA3"/>
      <c r="MVB3"/>
      <c r="MVC3"/>
      <c r="MVD3"/>
      <c r="MVE3"/>
      <c r="MVF3"/>
      <c r="MVG3"/>
      <c r="MVH3"/>
      <c r="MVI3"/>
      <c r="MVJ3"/>
      <c r="MVK3"/>
      <c r="MVL3"/>
      <c r="MVM3"/>
      <c r="MVN3"/>
      <c r="MVO3"/>
      <c r="MVP3"/>
      <c r="MVQ3"/>
      <c r="MVR3"/>
      <c r="MVS3"/>
      <c r="MVT3"/>
      <c r="MVU3"/>
      <c r="MVV3"/>
      <c r="MVW3"/>
      <c r="MVX3"/>
      <c r="MVY3"/>
      <c r="MVZ3"/>
      <c r="MWA3"/>
      <c r="MWB3"/>
      <c r="MWC3"/>
      <c r="MWD3"/>
      <c r="MWE3"/>
      <c r="MWF3"/>
      <c r="MWG3"/>
      <c r="MWH3"/>
      <c r="MWI3"/>
      <c r="MWJ3"/>
      <c r="MWK3"/>
      <c r="MWL3"/>
      <c r="MWM3"/>
      <c r="MWN3"/>
      <c r="MWO3"/>
      <c r="MWP3"/>
      <c r="MWQ3"/>
      <c r="MWR3"/>
      <c r="MWS3"/>
      <c r="MWT3"/>
      <c r="MWU3"/>
      <c r="MWV3"/>
      <c r="MWW3"/>
      <c r="MWX3"/>
      <c r="MWY3"/>
      <c r="MWZ3"/>
      <c r="MXA3"/>
      <c r="MXB3"/>
      <c r="MXC3"/>
      <c r="MXD3"/>
      <c r="MXE3"/>
      <c r="MXF3"/>
      <c r="MXG3"/>
      <c r="MXH3"/>
      <c r="MXI3"/>
      <c r="MXJ3"/>
      <c r="MXK3"/>
      <c r="MXL3"/>
      <c r="MXM3"/>
      <c r="MXN3"/>
      <c r="MXO3"/>
      <c r="MXP3"/>
      <c r="MXQ3"/>
      <c r="MXR3"/>
      <c r="MXS3"/>
      <c r="MXT3"/>
      <c r="MXU3"/>
      <c r="MXV3"/>
      <c r="MXW3"/>
      <c r="MXX3"/>
      <c r="MXY3"/>
      <c r="MXZ3"/>
      <c r="MYA3"/>
      <c r="MYB3"/>
      <c r="MYC3"/>
      <c r="MYD3"/>
      <c r="MYE3"/>
      <c r="MYF3"/>
      <c r="MYG3"/>
      <c r="MYH3"/>
      <c r="MYI3"/>
      <c r="MYJ3"/>
      <c r="MYK3"/>
      <c r="MYL3"/>
      <c r="MYM3"/>
      <c r="MYN3"/>
      <c r="MYO3"/>
      <c r="MYP3"/>
      <c r="MYQ3"/>
      <c r="MYR3"/>
      <c r="MYS3"/>
      <c r="MYT3"/>
      <c r="MYU3"/>
      <c r="MYV3"/>
      <c r="MYW3"/>
      <c r="MYX3"/>
      <c r="MYY3"/>
      <c r="MYZ3"/>
      <c r="MZA3"/>
      <c r="MZB3"/>
      <c r="MZC3"/>
      <c r="MZD3"/>
      <c r="MZE3"/>
      <c r="MZF3"/>
      <c r="MZG3"/>
      <c r="MZH3"/>
      <c r="MZI3"/>
      <c r="MZJ3"/>
      <c r="MZK3"/>
      <c r="MZL3"/>
      <c r="MZM3"/>
      <c r="MZN3"/>
      <c r="MZO3"/>
      <c r="MZP3"/>
      <c r="MZQ3"/>
      <c r="MZR3"/>
      <c r="MZS3"/>
      <c r="MZT3"/>
      <c r="MZU3"/>
      <c r="MZV3"/>
      <c r="MZW3"/>
      <c r="MZX3"/>
      <c r="MZY3"/>
      <c r="MZZ3"/>
      <c r="NAA3"/>
      <c r="NAB3"/>
      <c r="NAC3"/>
      <c r="NAD3"/>
      <c r="NAE3"/>
      <c r="NAF3"/>
      <c r="NAG3"/>
      <c r="NAH3"/>
      <c r="NAI3"/>
      <c r="NAJ3"/>
      <c r="NAK3"/>
      <c r="NAL3"/>
      <c r="NAM3"/>
      <c r="NAN3"/>
      <c r="NAO3"/>
      <c r="NAP3"/>
      <c r="NAQ3"/>
      <c r="NAR3"/>
      <c r="NAS3"/>
      <c r="NAT3"/>
      <c r="NAU3"/>
      <c r="NAV3"/>
      <c r="NAW3"/>
      <c r="NAX3"/>
      <c r="NAY3"/>
      <c r="NAZ3"/>
      <c r="NBA3"/>
      <c r="NBB3"/>
      <c r="NBC3"/>
      <c r="NBD3"/>
      <c r="NBE3"/>
      <c r="NBF3"/>
      <c r="NBG3"/>
      <c r="NBH3"/>
      <c r="NBI3"/>
      <c r="NBJ3"/>
      <c r="NBK3"/>
      <c r="NBL3"/>
      <c r="NBM3"/>
      <c r="NBN3"/>
      <c r="NBO3"/>
      <c r="NBP3"/>
      <c r="NBQ3"/>
      <c r="NBR3"/>
      <c r="NBS3"/>
      <c r="NBT3"/>
      <c r="NBU3"/>
      <c r="NBV3"/>
      <c r="NBW3"/>
      <c r="NBX3"/>
      <c r="NBY3"/>
      <c r="NBZ3"/>
      <c r="NCA3"/>
      <c r="NCB3"/>
      <c r="NCC3"/>
      <c r="NCD3"/>
      <c r="NCE3"/>
      <c r="NCF3"/>
      <c r="NCG3"/>
      <c r="NCH3"/>
      <c r="NCI3"/>
      <c r="NCJ3"/>
      <c r="NCK3"/>
      <c r="NCL3"/>
      <c r="NCM3"/>
      <c r="NCN3"/>
      <c r="NCO3"/>
      <c r="NCP3"/>
      <c r="NCQ3"/>
      <c r="NCR3"/>
      <c r="NCS3"/>
      <c r="NCT3"/>
      <c r="NCU3"/>
      <c r="NCV3"/>
      <c r="NCW3"/>
      <c r="NCX3"/>
      <c r="NCY3"/>
      <c r="NCZ3"/>
      <c r="NDA3"/>
      <c r="NDB3"/>
      <c r="NDC3"/>
      <c r="NDD3"/>
      <c r="NDE3"/>
      <c r="NDF3"/>
      <c r="NDG3"/>
      <c r="NDH3"/>
      <c r="NDI3"/>
      <c r="NDJ3"/>
      <c r="NDK3"/>
      <c r="NDL3"/>
      <c r="NDM3"/>
      <c r="NDN3"/>
      <c r="NDO3"/>
      <c r="NDP3"/>
      <c r="NDQ3"/>
      <c r="NDR3"/>
      <c r="NDS3"/>
      <c r="NDT3"/>
      <c r="NDU3"/>
      <c r="NDV3"/>
      <c r="NDW3"/>
      <c r="NDX3"/>
      <c r="NDY3"/>
      <c r="NDZ3"/>
      <c r="NEA3"/>
      <c r="NEB3"/>
      <c r="NEC3"/>
      <c r="NED3"/>
      <c r="NEE3"/>
      <c r="NEF3"/>
      <c r="NEG3"/>
      <c r="NEH3"/>
      <c r="NEI3"/>
      <c r="NEJ3"/>
      <c r="NEK3"/>
      <c r="NEL3"/>
      <c r="NEM3"/>
      <c r="NEN3"/>
      <c r="NEO3"/>
      <c r="NEP3"/>
      <c r="NEQ3"/>
      <c r="NER3"/>
      <c r="NES3"/>
      <c r="NET3"/>
      <c r="NEU3"/>
      <c r="NEV3"/>
      <c r="NEW3"/>
      <c r="NEX3"/>
      <c r="NEY3"/>
      <c r="NEZ3"/>
      <c r="NFA3"/>
      <c r="NFB3"/>
      <c r="NFC3"/>
      <c r="NFD3"/>
      <c r="NFE3"/>
      <c r="NFF3"/>
      <c r="NFG3"/>
      <c r="NFH3"/>
      <c r="NFI3"/>
      <c r="NFJ3"/>
      <c r="NFK3"/>
      <c r="NFL3"/>
      <c r="NFM3"/>
      <c r="NFN3"/>
      <c r="NFO3"/>
      <c r="NFP3"/>
      <c r="NFQ3"/>
      <c r="NFR3"/>
      <c r="NFS3"/>
      <c r="NFT3"/>
      <c r="NFU3"/>
      <c r="NFV3"/>
      <c r="NFW3"/>
      <c r="NFX3"/>
      <c r="NFY3"/>
      <c r="NFZ3"/>
      <c r="NGA3"/>
      <c r="NGB3"/>
      <c r="NGC3"/>
      <c r="NGD3"/>
      <c r="NGE3"/>
      <c r="NGF3"/>
      <c r="NGG3"/>
      <c r="NGH3"/>
      <c r="NGI3"/>
      <c r="NGJ3"/>
      <c r="NGK3"/>
      <c r="NGL3"/>
      <c r="NGM3"/>
      <c r="NGN3"/>
      <c r="NGO3"/>
      <c r="NGP3"/>
      <c r="NGQ3"/>
      <c r="NGR3"/>
      <c r="NGS3"/>
      <c r="NGT3"/>
      <c r="NGU3"/>
      <c r="NGV3"/>
      <c r="NGW3"/>
      <c r="NGX3"/>
      <c r="NGY3"/>
      <c r="NGZ3"/>
      <c r="NHA3"/>
      <c r="NHB3"/>
      <c r="NHC3"/>
      <c r="NHD3"/>
      <c r="NHE3"/>
      <c r="NHF3"/>
      <c r="NHG3"/>
      <c r="NHH3"/>
      <c r="NHI3"/>
      <c r="NHJ3"/>
      <c r="NHK3"/>
      <c r="NHL3"/>
      <c r="NHM3"/>
      <c r="NHN3"/>
      <c r="NHO3"/>
      <c r="NHP3"/>
      <c r="NHQ3"/>
      <c r="NHR3"/>
      <c r="NHS3"/>
      <c r="NHT3"/>
      <c r="NHU3"/>
      <c r="NHV3"/>
      <c r="NHW3"/>
      <c r="NHX3"/>
      <c r="NHY3"/>
      <c r="NHZ3"/>
      <c r="NIA3"/>
      <c r="NIB3"/>
      <c r="NIC3"/>
      <c r="NID3"/>
      <c r="NIE3"/>
      <c r="NIF3"/>
      <c r="NIG3"/>
      <c r="NIH3"/>
      <c r="NII3"/>
      <c r="NIJ3"/>
      <c r="NIK3"/>
      <c r="NIL3"/>
      <c r="NIM3"/>
      <c r="NIN3"/>
      <c r="NIO3"/>
      <c r="NIP3"/>
      <c r="NIQ3"/>
      <c r="NIR3"/>
      <c r="NIS3"/>
      <c r="NIT3"/>
      <c r="NIU3"/>
      <c r="NIV3"/>
      <c r="NIW3"/>
      <c r="NIX3"/>
      <c r="NIY3"/>
      <c r="NIZ3"/>
      <c r="NJA3"/>
      <c r="NJB3"/>
      <c r="NJC3"/>
      <c r="NJD3"/>
      <c r="NJE3"/>
      <c r="NJF3"/>
      <c r="NJG3"/>
      <c r="NJH3"/>
      <c r="NJI3"/>
      <c r="NJJ3"/>
      <c r="NJK3"/>
      <c r="NJL3"/>
      <c r="NJM3"/>
      <c r="NJN3"/>
      <c r="NJO3"/>
      <c r="NJP3"/>
      <c r="NJQ3"/>
      <c r="NJR3"/>
      <c r="NJS3"/>
      <c r="NJT3"/>
      <c r="NJU3"/>
      <c r="NJV3"/>
      <c r="NJW3"/>
      <c r="NJX3"/>
      <c r="NJY3"/>
      <c r="NJZ3"/>
      <c r="NKA3"/>
      <c r="NKB3"/>
      <c r="NKC3"/>
      <c r="NKD3"/>
      <c r="NKE3"/>
      <c r="NKF3"/>
      <c r="NKG3"/>
      <c r="NKH3"/>
      <c r="NKI3"/>
      <c r="NKJ3"/>
      <c r="NKK3"/>
      <c r="NKL3"/>
      <c r="NKM3"/>
      <c r="NKN3"/>
      <c r="NKO3"/>
      <c r="NKP3"/>
      <c r="NKQ3"/>
      <c r="NKR3"/>
      <c r="NKS3"/>
      <c r="NKT3"/>
      <c r="NKU3"/>
      <c r="NKV3"/>
      <c r="NKW3"/>
      <c r="NKX3"/>
      <c r="NKY3"/>
      <c r="NKZ3"/>
      <c r="NLA3"/>
      <c r="NLB3"/>
      <c r="NLC3"/>
      <c r="NLD3"/>
      <c r="NLE3"/>
      <c r="NLF3"/>
      <c r="NLG3"/>
      <c r="NLH3"/>
      <c r="NLI3"/>
      <c r="NLJ3"/>
      <c r="NLK3"/>
      <c r="NLL3"/>
      <c r="NLM3"/>
      <c r="NLN3"/>
      <c r="NLO3"/>
      <c r="NLP3"/>
      <c r="NLQ3"/>
      <c r="NLR3"/>
      <c r="NLS3"/>
      <c r="NLT3"/>
      <c r="NLU3"/>
      <c r="NLV3"/>
      <c r="NLW3"/>
      <c r="NLX3"/>
      <c r="NLY3"/>
      <c r="NLZ3"/>
      <c r="NMA3"/>
      <c r="NMB3"/>
      <c r="NMC3"/>
      <c r="NMD3"/>
      <c r="NME3"/>
      <c r="NMF3"/>
      <c r="NMG3"/>
      <c r="NMH3"/>
      <c r="NMI3"/>
      <c r="NMJ3"/>
      <c r="NMK3"/>
      <c r="NML3"/>
      <c r="NMM3"/>
      <c r="NMN3"/>
      <c r="NMO3"/>
      <c r="NMP3"/>
      <c r="NMQ3"/>
      <c r="NMR3"/>
      <c r="NMS3"/>
      <c r="NMT3"/>
      <c r="NMU3"/>
      <c r="NMV3"/>
      <c r="NMW3"/>
      <c r="NMX3"/>
      <c r="NMY3"/>
      <c r="NMZ3"/>
      <c r="NNA3"/>
      <c r="NNB3"/>
      <c r="NNC3"/>
      <c r="NND3"/>
      <c r="NNE3"/>
      <c r="NNF3"/>
      <c r="NNG3"/>
      <c r="NNH3"/>
      <c r="NNI3"/>
      <c r="NNJ3"/>
      <c r="NNK3"/>
      <c r="NNL3"/>
      <c r="NNM3"/>
      <c r="NNN3"/>
      <c r="NNO3"/>
      <c r="NNP3"/>
      <c r="NNQ3"/>
      <c r="NNR3"/>
      <c r="NNS3"/>
      <c r="NNT3"/>
      <c r="NNU3"/>
      <c r="NNV3"/>
      <c r="NNW3"/>
      <c r="NNX3"/>
      <c r="NNY3"/>
      <c r="NNZ3"/>
      <c r="NOA3"/>
      <c r="NOB3"/>
      <c r="NOC3"/>
      <c r="NOD3"/>
      <c r="NOE3"/>
      <c r="NOF3"/>
      <c r="NOG3"/>
      <c r="NOH3"/>
      <c r="NOI3"/>
      <c r="NOJ3"/>
      <c r="NOK3"/>
      <c r="NOL3"/>
      <c r="NOM3"/>
      <c r="NON3"/>
      <c r="NOO3"/>
      <c r="NOP3"/>
      <c r="NOQ3"/>
      <c r="NOR3"/>
      <c r="NOS3"/>
      <c r="NOT3"/>
      <c r="NOU3"/>
      <c r="NOV3"/>
      <c r="NOW3"/>
      <c r="NOX3"/>
      <c r="NOY3"/>
      <c r="NOZ3"/>
      <c r="NPA3"/>
      <c r="NPB3"/>
      <c r="NPC3"/>
      <c r="NPD3"/>
      <c r="NPE3"/>
      <c r="NPF3"/>
      <c r="NPG3"/>
      <c r="NPH3"/>
      <c r="NPI3"/>
      <c r="NPJ3"/>
      <c r="NPK3"/>
      <c r="NPL3"/>
      <c r="NPM3"/>
      <c r="NPN3"/>
      <c r="NPO3"/>
      <c r="NPP3"/>
      <c r="NPQ3"/>
      <c r="NPR3"/>
      <c r="NPS3"/>
      <c r="NPT3"/>
      <c r="NPU3"/>
      <c r="NPV3"/>
      <c r="NPW3"/>
      <c r="NPX3"/>
      <c r="NPY3"/>
      <c r="NPZ3"/>
      <c r="NQA3"/>
      <c r="NQB3"/>
      <c r="NQC3"/>
      <c r="NQD3"/>
      <c r="NQE3"/>
      <c r="NQF3"/>
      <c r="NQG3"/>
      <c r="NQH3"/>
      <c r="NQI3"/>
      <c r="NQJ3"/>
      <c r="NQK3"/>
      <c r="NQL3"/>
      <c r="NQM3"/>
      <c r="NQN3"/>
      <c r="NQO3"/>
      <c r="NQP3"/>
      <c r="NQQ3"/>
      <c r="NQR3"/>
      <c r="NQS3"/>
      <c r="NQT3"/>
      <c r="NQU3"/>
      <c r="NQV3"/>
      <c r="NQW3"/>
      <c r="NQX3"/>
      <c r="NQY3"/>
      <c r="NQZ3"/>
      <c r="NRA3"/>
      <c r="NRB3"/>
      <c r="NRC3"/>
      <c r="NRD3"/>
      <c r="NRE3"/>
      <c r="NRF3"/>
      <c r="NRG3"/>
      <c r="NRH3"/>
      <c r="NRI3"/>
      <c r="NRJ3"/>
      <c r="NRK3"/>
      <c r="NRL3"/>
      <c r="NRM3"/>
      <c r="NRN3"/>
      <c r="NRO3"/>
      <c r="NRP3"/>
      <c r="NRQ3"/>
      <c r="NRR3"/>
      <c r="NRS3"/>
      <c r="NRT3"/>
      <c r="NRU3"/>
      <c r="NRV3"/>
      <c r="NRW3"/>
      <c r="NRX3"/>
      <c r="NRY3"/>
      <c r="NRZ3"/>
      <c r="NSA3"/>
      <c r="NSB3"/>
      <c r="NSC3"/>
      <c r="NSD3"/>
      <c r="NSE3"/>
      <c r="NSF3"/>
      <c r="NSG3"/>
      <c r="NSH3"/>
      <c r="NSI3"/>
      <c r="NSJ3"/>
      <c r="NSK3"/>
      <c r="NSL3"/>
      <c r="NSM3"/>
      <c r="NSN3"/>
      <c r="NSO3"/>
      <c r="NSP3"/>
      <c r="NSQ3"/>
      <c r="NSR3"/>
      <c r="NSS3"/>
      <c r="NST3"/>
      <c r="NSU3"/>
      <c r="NSV3"/>
      <c r="NSW3"/>
      <c r="NSX3"/>
      <c r="NSY3"/>
      <c r="NSZ3"/>
      <c r="NTA3"/>
      <c r="NTB3"/>
      <c r="NTC3"/>
      <c r="NTD3"/>
      <c r="NTE3"/>
      <c r="NTF3"/>
      <c r="NTG3"/>
      <c r="NTH3"/>
      <c r="NTI3"/>
      <c r="NTJ3"/>
      <c r="NTK3"/>
      <c r="NTL3"/>
      <c r="NTM3"/>
      <c r="NTN3"/>
      <c r="NTO3"/>
      <c r="NTP3"/>
      <c r="NTQ3"/>
      <c r="NTR3"/>
      <c r="NTS3"/>
      <c r="NTT3"/>
      <c r="NTU3"/>
      <c r="NTV3"/>
      <c r="NTW3"/>
      <c r="NTX3"/>
      <c r="NTY3"/>
      <c r="NTZ3"/>
      <c r="NUA3"/>
      <c r="NUB3"/>
      <c r="NUC3"/>
      <c r="NUD3"/>
      <c r="NUE3"/>
      <c r="NUF3"/>
      <c r="NUG3"/>
      <c r="NUH3"/>
      <c r="NUI3"/>
      <c r="NUJ3"/>
      <c r="NUK3"/>
      <c r="NUL3"/>
      <c r="NUM3"/>
      <c r="NUN3"/>
      <c r="NUO3"/>
      <c r="NUP3"/>
      <c r="NUQ3"/>
      <c r="NUR3"/>
      <c r="NUS3"/>
      <c r="NUT3"/>
      <c r="NUU3"/>
      <c r="NUV3"/>
      <c r="NUW3"/>
      <c r="NUX3"/>
      <c r="NUY3"/>
      <c r="NUZ3"/>
      <c r="NVA3"/>
      <c r="NVB3"/>
      <c r="NVC3"/>
      <c r="NVD3"/>
      <c r="NVE3"/>
      <c r="NVF3"/>
      <c r="NVG3"/>
      <c r="NVH3"/>
      <c r="NVI3"/>
      <c r="NVJ3"/>
      <c r="NVK3"/>
      <c r="NVL3"/>
      <c r="NVM3"/>
      <c r="NVN3"/>
      <c r="NVO3"/>
      <c r="NVP3"/>
      <c r="NVQ3"/>
      <c r="NVR3"/>
      <c r="NVS3"/>
      <c r="NVT3"/>
      <c r="NVU3"/>
      <c r="NVV3"/>
      <c r="NVW3"/>
      <c r="NVX3"/>
      <c r="NVY3"/>
      <c r="NVZ3"/>
      <c r="NWA3"/>
      <c r="NWB3"/>
      <c r="NWC3"/>
      <c r="NWD3"/>
      <c r="NWE3"/>
      <c r="NWF3"/>
      <c r="NWG3"/>
      <c r="NWH3"/>
      <c r="NWI3"/>
      <c r="NWJ3"/>
      <c r="NWK3"/>
      <c r="NWL3"/>
      <c r="NWM3"/>
      <c r="NWN3"/>
      <c r="NWO3"/>
      <c r="NWP3"/>
      <c r="NWQ3"/>
      <c r="NWR3"/>
      <c r="NWS3"/>
      <c r="NWT3"/>
      <c r="NWU3"/>
      <c r="NWV3"/>
      <c r="NWW3"/>
      <c r="NWX3"/>
      <c r="NWY3"/>
      <c r="NWZ3"/>
      <c r="NXA3"/>
      <c r="NXB3"/>
      <c r="NXC3"/>
      <c r="NXD3"/>
      <c r="NXE3"/>
      <c r="NXF3"/>
      <c r="NXG3"/>
      <c r="NXH3"/>
      <c r="NXI3"/>
      <c r="NXJ3"/>
      <c r="NXK3"/>
      <c r="NXL3"/>
      <c r="NXM3"/>
      <c r="NXN3"/>
      <c r="NXO3"/>
      <c r="NXP3"/>
      <c r="NXQ3"/>
      <c r="NXR3"/>
      <c r="NXS3"/>
      <c r="NXT3"/>
      <c r="NXU3"/>
      <c r="NXV3"/>
      <c r="NXW3"/>
      <c r="NXX3"/>
      <c r="NXY3"/>
      <c r="NXZ3"/>
      <c r="NYA3"/>
      <c r="NYB3"/>
      <c r="NYC3"/>
      <c r="NYD3"/>
      <c r="NYE3"/>
      <c r="NYF3"/>
      <c r="NYG3"/>
      <c r="NYH3"/>
      <c r="NYI3"/>
      <c r="NYJ3"/>
      <c r="NYK3"/>
      <c r="NYL3"/>
      <c r="NYM3"/>
      <c r="NYN3"/>
      <c r="NYO3"/>
      <c r="NYP3"/>
      <c r="NYQ3"/>
      <c r="NYR3"/>
      <c r="NYS3"/>
      <c r="NYT3"/>
      <c r="NYU3"/>
      <c r="NYV3"/>
      <c r="NYW3"/>
      <c r="NYX3"/>
      <c r="NYY3"/>
      <c r="NYZ3"/>
      <c r="NZA3"/>
      <c r="NZB3"/>
      <c r="NZC3"/>
      <c r="NZD3"/>
      <c r="NZE3"/>
      <c r="NZF3"/>
      <c r="NZG3"/>
      <c r="NZH3"/>
      <c r="NZI3"/>
      <c r="NZJ3"/>
      <c r="NZK3"/>
      <c r="NZL3"/>
      <c r="NZM3"/>
      <c r="NZN3"/>
      <c r="NZO3"/>
      <c r="NZP3"/>
      <c r="NZQ3"/>
      <c r="NZR3"/>
      <c r="NZS3"/>
      <c r="NZT3"/>
      <c r="NZU3"/>
      <c r="NZV3"/>
      <c r="NZW3"/>
      <c r="NZX3"/>
      <c r="NZY3"/>
      <c r="NZZ3"/>
      <c r="OAA3"/>
      <c r="OAB3"/>
      <c r="OAC3"/>
      <c r="OAD3"/>
      <c r="OAE3"/>
      <c r="OAF3"/>
      <c r="OAG3"/>
      <c r="OAH3"/>
      <c r="OAI3"/>
      <c r="OAJ3"/>
      <c r="OAK3"/>
      <c r="OAL3"/>
      <c r="OAM3"/>
      <c r="OAN3"/>
      <c r="OAO3"/>
      <c r="OAP3"/>
      <c r="OAQ3"/>
      <c r="OAR3"/>
      <c r="OAS3"/>
      <c r="OAT3"/>
      <c r="OAU3"/>
      <c r="OAV3"/>
      <c r="OAW3"/>
      <c r="OAX3"/>
      <c r="OAY3"/>
      <c r="OAZ3"/>
      <c r="OBA3"/>
      <c r="OBB3"/>
      <c r="OBC3"/>
      <c r="OBD3"/>
      <c r="OBE3"/>
      <c r="OBF3"/>
      <c r="OBG3"/>
      <c r="OBH3"/>
      <c r="OBI3"/>
      <c r="OBJ3"/>
      <c r="OBK3"/>
      <c r="OBL3"/>
      <c r="OBM3"/>
      <c r="OBN3"/>
      <c r="OBO3"/>
      <c r="OBP3"/>
      <c r="OBQ3"/>
      <c r="OBR3"/>
      <c r="OBS3"/>
      <c r="OBT3"/>
      <c r="OBU3"/>
      <c r="OBV3"/>
      <c r="OBW3"/>
      <c r="OBX3"/>
      <c r="OBY3"/>
      <c r="OBZ3"/>
      <c r="OCA3"/>
      <c r="OCB3"/>
      <c r="OCC3"/>
      <c r="OCD3"/>
      <c r="OCE3"/>
      <c r="OCF3"/>
      <c r="OCG3"/>
      <c r="OCH3"/>
      <c r="OCI3"/>
      <c r="OCJ3"/>
      <c r="OCK3"/>
      <c r="OCL3"/>
      <c r="OCM3"/>
      <c r="OCN3"/>
      <c r="OCO3"/>
      <c r="OCP3"/>
      <c r="OCQ3"/>
      <c r="OCR3"/>
      <c r="OCS3"/>
      <c r="OCT3"/>
      <c r="OCU3"/>
      <c r="OCV3"/>
      <c r="OCW3"/>
      <c r="OCX3"/>
      <c r="OCY3"/>
      <c r="OCZ3"/>
      <c r="ODA3"/>
      <c r="ODB3"/>
      <c r="ODC3"/>
      <c r="ODD3"/>
      <c r="ODE3"/>
      <c r="ODF3"/>
      <c r="ODG3"/>
      <c r="ODH3"/>
      <c r="ODI3"/>
      <c r="ODJ3"/>
      <c r="ODK3"/>
      <c r="ODL3"/>
      <c r="ODM3"/>
      <c r="ODN3"/>
      <c r="ODO3"/>
      <c r="ODP3"/>
      <c r="ODQ3"/>
      <c r="ODR3"/>
      <c r="ODS3"/>
      <c r="ODT3"/>
      <c r="ODU3"/>
      <c r="ODV3"/>
      <c r="ODW3"/>
      <c r="ODX3"/>
      <c r="ODY3"/>
      <c r="ODZ3"/>
      <c r="OEA3"/>
      <c r="OEB3"/>
      <c r="OEC3"/>
      <c r="OED3"/>
      <c r="OEE3"/>
      <c r="OEF3"/>
      <c r="OEG3"/>
      <c r="OEH3"/>
      <c r="OEI3"/>
      <c r="OEJ3"/>
      <c r="OEK3"/>
      <c r="OEL3"/>
      <c r="OEM3"/>
      <c r="OEN3"/>
      <c r="OEO3"/>
      <c r="OEP3"/>
      <c r="OEQ3"/>
      <c r="OER3"/>
      <c r="OES3"/>
      <c r="OET3"/>
      <c r="OEU3"/>
      <c r="OEV3"/>
      <c r="OEW3"/>
      <c r="OEX3"/>
      <c r="OEY3"/>
      <c r="OEZ3"/>
      <c r="OFA3"/>
      <c r="OFB3"/>
      <c r="OFC3"/>
      <c r="OFD3"/>
      <c r="OFE3"/>
      <c r="OFF3"/>
      <c r="OFG3"/>
      <c r="OFH3"/>
      <c r="OFI3"/>
      <c r="OFJ3"/>
      <c r="OFK3"/>
      <c r="OFL3"/>
      <c r="OFM3"/>
      <c r="OFN3"/>
      <c r="OFO3"/>
      <c r="OFP3"/>
      <c r="OFQ3"/>
      <c r="OFR3"/>
      <c r="OFS3"/>
      <c r="OFT3"/>
      <c r="OFU3"/>
      <c r="OFV3"/>
      <c r="OFW3"/>
      <c r="OFX3"/>
      <c r="OFY3"/>
      <c r="OFZ3"/>
      <c r="OGA3"/>
      <c r="OGB3"/>
      <c r="OGC3"/>
      <c r="OGD3"/>
      <c r="OGE3"/>
      <c r="OGF3"/>
      <c r="OGG3"/>
      <c r="OGH3"/>
      <c r="OGI3"/>
      <c r="OGJ3"/>
      <c r="OGK3"/>
      <c r="OGL3"/>
      <c r="OGM3"/>
      <c r="OGN3"/>
      <c r="OGO3"/>
      <c r="OGP3"/>
      <c r="OGQ3"/>
      <c r="OGR3"/>
      <c r="OGS3"/>
      <c r="OGT3"/>
      <c r="OGU3"/>
      <c r="OGV3"/>
      <c r="OGW3"/>
      <c r="OGX3"/>
      <c r="OGY3"/>
      <c r="OGZ3"/>
      <c r="OHA3"/>
      <c r="OHB3"/>
      <c r="OHC3"/>
      <c r="OHD3"/>
      <c r="OHE3"/>
      <c r="OHF3"/>
      <c r="OHG3"/>
      <c r="OHH3"/>
      <c r="OHI3"/>
      <c r="OHJ3"/>
      <c r="OHK3"/>
      <c r="OHL3"/>
      <c r="OHM3"/>
      <c r="OHN3"/>
      <c r="OHO3"/>
      <c r="OHP3"/>
      <c r="OHQ3"/>
      <c r="OHR3"/>
      <c r="OHS3"/>
      <c r="OHT3"/>
      <c r="OHU3"/>
      <c r="OHV3"/>
      <c r="OHW3"/>
      <c r="OHX3"/>
      <c r="OHY3"/>
      <c r="OHZ3"/>
      <c r="OIA3"/>
      <c r="OIB3"/>
      <c r="OIC3"/>
      <c r="OID3"/>
      <c r="OIE3"/>
      <c r="OIF3"/>
      <c r="OIG3"/>
      <c r="OIH3"/>
      <c r="OII3"/>
      <c r="OIJ3"/>
      <c r="OIK3"/>
      <c r="OIL3"/>
      <c r="OIM3"/>
      <c r="OIN3"/>
      <c r="OIO3"/>
      <c r="OIP3"/>
      <c r="OIQ3"/>
      <c r="OIR3"/>
      <c r="OIS3"/>
      <c r="OIT3"/>
      <c r="OIU3"/>
      <c r="OIV3"/>
      <c r="OIW3"/>
      <c r="OIX3"/>
      <c r="OIY3"/>
      <c r="OIZ3"/>
      <c r="OJA3"/>
      <c r="OJB3"/>
      <c r="OJC3"/>
      <c r="OJD3"/>
      <c r="OJE3"/>
      <c r="OJF3"/>
      <c r="OJG3"/>
      <c r="OJH3"/>
      <c r="OJI3"/>
      <c r="OJJ3"/>
      <c r="OJK3"/>
      <c r="OJL3"/>
      <c r="OJM3"/>
      <c r="OJN3"/>
      <c r="OJO3"/>
      <c r="OJP3"/>
      <c r="OJQ3"/>
      <c r="OJR3"/>
      <c r="OJS3"/>
      <c r="OJT3"/>
      <c r="OJU3"/>
      <c r="OJV3"/>
      <c r="OJW3"/>
      <c r="OJX3"/>
      <c r="OJY3"/>
      <c r="OJZ3"/>
      <c r="OKA3"/>
      <c r="OKB3"/>
      <c r="OKC3"/>
      <c r="OKD3"/>
      <c r="OKE3"/>
      <c r="OKF3"/>
      <c r="OKG3"/>
      <c r="OKH3"/>
      <c r="OKI3"/>
      <c r="OKJ3"/>
      <c r="OKK3"/>
      <c r="OKL3"/>
      <c r="OKM3"/>
      <c r="OKN3"/>
      <c r="OKO3"/>
      <c r="OKP3"/>
      <c r="OKQ3"/>
      <c r="OKR3"/>
      <c r="OKS3"/>
      <c r="OKT3"/>
      <c r="OKU3"/>
      <c r="OKV3"/>
      <c r="OKW3"/>
      <c r="OKX3"/>
      <c r="OKY3"/>
      <c r="OKZ3"/>
      <c r="OLA3"/>
      <c r="OLB3"/>
      <c r="OLC3"/>
      <c r="OLD3"/>
      <c r="OLE3"/>
      <c r="OLF3"/>
      <c r="OLG3"/>
      <c r="OLH3"/>
      <c r="OLI3"/>
      <c r="OLJ3"/>
      <c r="OLK3"/>
      <c r="OLL3"/>
      <c r="OLM3"/>
      <c r="OLN3"/>
      <c r="OLO3"/>
      <c r="OLP3"/>
      <c r="OLQ3"/>
      <c r="OLR3"/>
      <c r="OLS3"/>
      <c r="OLT3"/>
      <c r="OLU3"/>
      <c r="OLV3"/>
      <c r="OLW3"/>
      <c r="OLX3"/>
      <c r="OLY3"/>
      <c r="OLZ3"/>
      <c r="OMA3"/>
      <c r="OMB3"/>
      <c r="OMC3"/>
      <c r="OMD3"/>
      <c r="OME3"/>
      <c r="OMF3"/>
      <c r="OMG3"/>
      <c r="OMH3"/>
      <c r="OMI3"/>
      <c r="OMJ3"/>
      <c r="OMK3"/>
      <c r="OML3"/>
      <c r="OMM3"/>
      <c r="OMN3"/>
      <c r="OMO3"/>
      <c r="OMP3"/>
      <c r="OMQ3"/>
      <c r="OMR3"/>
      <c r="OMS3"/>
      <c r="OMT3"/>
      <c r="OMU3"/>
      <c r="OMV3"/>
      <c r="OMW3"/>
      <c r="OMX3"/>
      <c r="OMY3"/>
      <c r="OMZ3"/>
      <c r="ONA3"/>
      <c r="ONB3"/>
      <c r="ONC3"/>
      <c r="OND3"/>
      <c r="ONE3"/>
      <c r="ONF3"/>
      <c r="ONG3"/>
      <c r="ONH3"/>
      <c r="ONI3"/>
      <c r="ONJ3"/>
      <c r="ONK3"/>
      <c r="ONL3"/>
      <c r="ONM3"/>
      <c r="ONN3"/>
      <c r="ONO3"/>
      <c r="ONP3"/>
      <c r="ONQ3"/>
      <c r="ONR3"/>
      <c r="ONS3"/>
      <c r="ONT3"/>
      <c r="ONU3"/>
      <c r="ONV3"/>
      <c r="ONW3"/>
      <c r="ONX3"/>
      <c r="ONY3"/>
      <c r="ONZ3"/>
      <c r="OOA3"/>
      <c r="OOB3"/>
      <c r="OOC3"/>
      <c r="OOD3"/>
      <c r="OOE3"/>
      <c r="OOF3"/>
      <c r="OOG3"/>
      <c r="OOH3"/>
      <c r="OOI3"/>
      <c r="OOJ3"/>
      <c r="OOK3"/>
      <c r="OOL3"/>
      <c r="OOM3"/>
      <c r="OON3"/>
      <c r="OOO3"/>
      <c r="OOP3"/>
      <c r="OOQ3"/>
      <c r="OOR3"/>
      <c r="OOS3"/>
      <c r="OOT3"/>
      <c r="OOU3"/>
      <c r="OOV3"/>
      <c r="OOW3"/>
      <c r="OOX3"/>
      <c r="OOY3"/>
      <c r="OOZ3"/>
      <c r="OPA3"/>
      <c r="OPB3"/>
      <c r="OPC3"/>
      <c r="OPD3"/>
      <c r="OPE3"/>
      <c r="OPF3"/>
      <c r="OPG3"/>
      <c r="OPH3"/>
      <c r="OPI3"/>
      <c r="OPJ3"/>
      <c r="OPK3"/>
      <c r="OPL3"/>
      <c r="OPM3"/>
      <c r="OPN3"/>
      <c r="OPO3"/>
      <c r="OPP3"/>
      <c r="OPQ3"/>
      <c r="OPR3"/>
      <c r="OPS3"/>
      <c r="OPT3"/>
      <c r="OPU3"/>
      <c r="OPV3"/>
      <c r="OPW3"/>
      <c r="OPX3"/>
      <c r="OPY3"/>
      <c r="OPZ3"/>
      <c r="OQA3"/>
      <c r="OQB3"/>
      <c r="OQC3"/>
      <c r="OQD3"/>
      <c r="OQE3"/>
      <c r="OQF3"/>
      <c r="OQG3"/>
      <c r="OQH3"/>
      <c r="OQI3"/>
      <c r="OQJ3"/>
      <c r="OQK3"/>
      <c r="OQL3"/>
      <c r="OQM3"/>
      <c r="OQN3"/>
      <c r="OQO3"/>
      <c r="OQP3"/>
      <c r="OQQ3"/>
      <c r="OQR3"/>
      <c r="OQS3"/>
      <c r="OQT3"/>
      <c r="OQU3"/>
      <c r="OQV3"/>
      <c r="OQW3"/>
      <c r="OQX3"/>
      <c r="OQY3"/>
      <c r="OQZ3"/>
      <c r="ORA3"/>
      <c r="ORB3"/>
      <c r="ORC3"/>
      <c r="ORD3"/>
      <c r="ORE3"/>
      <c r="ORF3"/>
      <c r="ORG3"/>
      <c r="ORH3"/>
      <c r="ORI3"/>
      <c r="ORJ3"/>
      <c r="ORK3"/>
      <c r="ORL3"/>
      <c r="ORM3"/>
      <c r="ORN3"/>
      <c r="ORO3"/>
      <c r="ORP3"/>
      <c r="ORQ3"/>
      <c r="ORR3"/>
      <c r="ORS3"/>
      <c r="ORT3"/>
      <c r="ORU3"/>
      <c r="ORV3"/>
      <c r="ORW3"/>
      <c r="ORX3"/>
      <c r="ORY3"/>
      <c r="ORZ3"/>
      <c r="OSA3"/>
      <c r="OSB3"/>
      <c r="OSC3"/>
      <c r="OSD3"/>
      <c r="OSE3"/>
      <c r="OSF3"/>
      <c r="OSG3"/>
      <c r="OSH3"/>
      <c r="OSI3"/>
      <c r="OSJ3"/>
      <c r="OSK3"/>
      <c r="OSL3"/>
      <c r="OSM3"/>
      <c r="OSN3"/>
      <c r="OSO3"/>
      <c r="OSP3"/>
      <c r="OSQ3"/>
      <c r="OSR3"/>
      <c r="OSS3"/>
      <c r="OST3"/>
      <c r="OSU3"/>
      <c r="OSV3"/>
      <c r="OSW3"/>
      <c r="OSX3"/>
      <c r="OSY3"/>
      <c r="OSZ3"/>
      <c r="OTA3"/>
      <c r="OTB3"/>
      <c r="OTC3"/>
      <c r="OTD3"/>
      <c r="OTE3"/>
      <c r="OTF3"/>
      <c r="OTG3"/>
      <c r="OTH3"/>
      <c r="OTI3"/>
      <c r="OTJ3"/>
      <c r="OTK3"/>
      <c r="OTL3"/>
      <c r="OTM3"/>
      <c r="OTN3"/>
      <c r="OTO3"/>
      <c r="OTP3"/>
      <c r="OTQ3"/>
      <c r="OTR3"/>
      <c r="OTS3"/>
      <c r="OTT3"/>
      <c r="OTU3"/>
      <c r="OTV3"/>
      <c r="OTW3"/>
      <c r="OTX3"/>
      <c r="OTY3"/>
      <c r="OTZ3"/>
      <c r="OUA3"/>
      <c r="OUB3"/>
      <c r="OUC3"/>
      <c r="OUD3"/>
      <c r="OUE3"/>
      <c r="OUF3"/>
      <c r="OUG3"/>
      <c r="OUH3"/>
      <c r="OUI3"/>
      <c r="OUJ3"/>
      <c r="OUK3"/>
      <c r="OUL3"/>
      <c r="OUM3"/>
      <c r="OUN3"/>
      <c r="OUO3"/>
      <c r="OUP3"/>
      <c r="OUQ3"/>
      <c r="OUR3"/>
      <c r="OUS3"/>
      <c r="OUT3"/>
      <c r="OUU3"/>
      <c r="OUV3"/>
      <c r="OUW3"/>
      <c r="OUX3"/>
      <c r="OUY3"/>
      <c r="OUZ3"/>
      <c r="OVA3"/>
      <c r="OVB3"/>
      <c r="OVC3"/>
      <c r="OVD3"/>
      <c r="OVE3"/>
      <c r="OVF3"/>
      <c r="OVG3"/>
      <c r="OVH3"/>
      <c r="OVI3"/>
      <c r="OVJ3"/>
      <c r="OVK3"/>
      <c r="OVL3"/>
      <c r="OVM3"/>
      <c r="OVN3"/>
      <c r="OVO3"/>
      <c r="OVP3"/>
      <c r="OVQ3"/>
      <c r="OVR3"/>
      <c r="OVS3"/>
      <c r="OVT3"/>
      <c r="OVU3"/>
      <c r="OVV3"/>
      <c r="OVW3"/>
      <c r="OVX3"/>
      <c r="OVY3"/>
      <c r="OVZ3"/>
      <c r="OWA3"/>
      <c r="OWB3"/>
      <c r="OWC3"/>
      <c r="OWD3"/>
      <c r="OWE3"/>
      <c r="OWF3"/>
      <c r="OWG3"/>
      <c r="OWH3"/>
      <c r="OWI3"/>
      <c r="OWJ3"/>
      <c r="OWK3"/>
      <c r="OWL3"/>
      <c r="OWM3"/>
      <c r="OWN3"/>
      <c r="OWO3"/>
      <c r="OWP3"/>
      <c r="OWQ3"/>
      <c r="OWR3"/>
      <c r="OWS3"/>
      <c r="OWT3"/>
      <c r="OWU3"/>
      <c r="OWV3"/>
      <c r="OWW3"/>
      <c r="OWX3"/>
      <c r="OWY3"/>
      <c r="OWZ3"/>
      <c r="OXA3"/>
      <c r="OXB3"/>
      <c r="OXC3"/>
      <c r="OXD3"/>
      <c r="OXE3"/>
      <c r="OXF3"/>
      <c r="OXG3"/>
      <c r="OXH3"/>
      <c r="OXI3"/>
      <c r="OXJ3"/>
      <c r="OXK3"/>
      <c r="OXL3"/>
      <c r="OXM3"/>
      <c r="OXN3"/>
      <c r="OXO3"/>
      <c r="OXP3"/>
      <c r="OXQ3"/>
      <c r="OXR3"/>
      <c r="OXS3"/>
      <c r="OXT3"/>
      <c r="OXU3"/>
      <c r="OXV3"/>
      <c r="OXW3"/>
      <c r="OXX3"/>
      <c r="OXY3"/>
      <c r="OXZ3"/>
      <c r="OYA3"/>
      <c r="OYB3"/>
      <c r="OYC3"/>
      <c r="OYD3"/>
      <c r="OYE3"/>
      <c r="OYF3"/>
      <c r="OYG3"/>
      <c r="OYH3"/>
      <c r="OYI3"/>
      <c r="OYJ3"/>
      <c r="OYK3"/>
      <c r="OYL3"/>
      <c r="OYM3"/>
      <c r="OYN3"/>
      <c r="OYO3"/>
      <c r="OYP3"/>
      <c r="OYQ3"/>
      <c r="OYR3"/>
      <c r="OYS3"/>
      <c r="OYT3"/>
      <c r="OYU3"/>
      <c r="OYV3"/>
      <c r="OYW3"/>
      <c r="OYX3"/>
      <c r="OYY3"/>
      <c r="OYZ3"/>
      <c r="OZA3"/>
      <c r="OZB3"/>
      <c r="OZC3"/>
      <c r="OZD3"/>
      <c r="OZE3"/>
      <c r="OZF3"/>
      <c r="OZG3"/>
      <c r="OZH3"/>
      <c r="OZI3"/>
      <c r="OZJ3"/>
      <c r="OZK3"/>
      <c r="OZL3"/>
      <c r="OZM3"/>
      <c r="OZN3"/>
      <c r="OZO3"/>
      <c r="OZP3"/>
      <c r="OZQ3"/>
      <c r="OZR3"/>
      <c r="OZS3"/>
      <c r="OZT3"/>
      <c r="OZU3"/>
      <c r="OZV3"/>
      <c r="OZW3"/>
      <c r="OZX3"/>
      <c r="OZY3"/>
      <c r="OZZ3"/>
      <c r="PAA3"/>
      <c r="PAB3"/>
      <c r="PAC3"/>
      <c r="PAD3"/>
      <c r="PAE3"/>
      <c r="PAF3"/>
      <c r="PAG3"/>
      <c r="PAH3"/>
      <c r="PAI3"/>
      <c r="PAJ3"/>
      <c r="PAK3"/>
      <c r="PAL3"/>
      <c r="PAM3"/>
      <c r="PAN3"/>
      <c r="PAO3"/>
      <c r="PAP3"/>
      <c r="PAQ3"/>
      <c r="PAR3"/>
      <c r="PAS3"/>
      <c r="PAT3"/>
      <c r="PAU3"/>
      <c r="PAV3"/>
      <c r="PAW3"/>
      <c r="PAX3"/>
      <c r="PAY3"/>
      <c r="PAZ3"/>
      <c r="PBA3"/>
      <c r="PBB3"/>
      <c r="PBC3"/>
      <c r="PBD3"/>
      <c r="PBE3"/>
      <c r="PBF3"/>
      <c r="PBG3"/>
      <c r="PBH3"/>
      <c r="PBI3"/>
      <c r="PBJ3"/>
      <c r="PBK3"/>
      <c r="PBL3"/>
      <c r="PBM3"/>
      <c r="PBN3"/>
      <c r="PBO3"/>
      <c r="PBP3"/>
      <c r="PBQ3"/>
      <c r="PBR3"/>
      <c r="PBS3"/>
      <c r="PBT3"/>
      <c r="PBU3"/>
      <c r="PBV3"/>
      <c r="PBW3"/>
      <c r="PBX3"/>
      <c r="PBY3"/>
      <c r="PBZ3"/>
      <c r="PCA3"/>
      <c r="PCB3"/>
      <c r="PCC3"/>
      <c r="PCD3"/>
      <c r="PCE3"/>
      <c r="PCF3"/>
      <c r="PCG3"/>
      <c r="PCH3"/>
      <c r="PCI3"/>
      <c r="PCJ3"/>
      <c r="PCK3"/>
      <c r="PCL3"/>
      <c r="PCM3"/>
      <c r="PCN3"/>
      <c r="PCO3"/>
      <c r="PCP3"/>
      <c r="PCQ3"/>
      <c r="PCR3"/>
      <c r="PCS3"/>
      <c r="PCT3"/>
      <c r="PCU3"/>
      <c r="PCV3"/>
      <c r="PCW3"/>
      <c r="PCX3"/>
      <c r="PCY3"/>
      <c r="PCZ3"/>
      <c r="PDA3"/>
      <c r="PDB3"/>
      <c r="PDC3"/>
      <c r="PDD3"/>
      <c r="PDE3"/>
      <c r="PDF3"/>
      <c r="PDG3"/>
      <c r="PDH3"/>
      <c r="PDI3"/>
      <c r="PDJ3"/>
      <c r="PDK3"/>
      <c r="PDL3"/>
      <c r="PDM3"/>
      <c r="PDN3"/>
      <c r="PDO3"/>
      <c r="PDP3"/>
      <c r="PDQ3"/>
      <c r="PDR3"/>
      <c r="PDS3"/>
      <c r="PDT3"/>
      <c r="PDU3"/>
      <c r="PDV3"/>
      <c r="PDW3"/>
      <c r="PDX3"/>
      <c r="PDY3"/>
      <c r="PDZ3"/>
      <c r="PEA3"/>
      <c r="PEB3"/>
      <c r="PEC3"/>
      <c r="PED3"/>
      <c r="PEE3"/>
      <c r="PEF3"/>
      <c r="PEG3"/>
      <c r="PEH3"/>
      <c r="PEI3"/>
      <c r="PEJ3"/>
      <c r="PEK3"/>
      <c r="PEL3"/>
      <c r="PEM3"/>
      <c r="PEN3"/>
      <c r="PEO3"/>
      <c r="PEP3"/>
      <c r="PEQ3"/>
      <c r="PER3"/>
      <c r="PES3"/>
      <c r="PET3"/>
      <c r="PEU3"/>
      <c r="PEV3"/>
      <c r="PEW3"/>
      <c r="PEX3"/>
      <c r="PEY3"/>
      <c r="PEZ3"/>
      <c r="PFA3"/>
      <c r="PFB3"/>
      <c r="PFC3"/>
      <c r="PFD3"/>
      <c r="PFE3"/>
      <c r="PFF3"/>
      <c r="PFG3"/>
      <c r="PFH3"/>
      <c r="PFI3"/>
      <c r="PFJ3"/>
      <c r="PFK3"/>
      <c r="PFL3"/>
      <c r="PFM3"/>
      <c r="PFN3"/>
      <c r="PFO3"/>
      <c r="PFP3"/>
      <c r="PFQ3"/>
      <c r="PFR3"/>
      <c r="PFS3"/>
      <c r="PFT3"/>
      <c r="PFU3"/>
      <c r="PFV3"/>
      <c r="PFW3"/>
      <c r="PFX3"/>
      <c r="PFY3"/>
      <c r="PFZ3"/>
      <c r="PGA3"/>
      <c r="PGB3"/>
      <c r="PGC3"/>
      <c r="PGD3"/>
      <c r="PGE3"/>
      <c r="PGF3"/>
      <c r="PGG3"/>
      <c r="PGH3"/>
      <c r="PGI3"/>
      <c r="PGJ3"/>
      <c r="PGK3"/>
      <c r="PGL3"/>
      <c r="PGM3"/>
      <c r="PGN3"/>
      <c r="PGO3"/>
      <c r="PGP3"/>
      <c r="PGQ3"/>
      <c r="PGR3"/>
      <c r="PGS3"/>
      <c r="PGT3"/>
      <c r="PGU3"/>
      <c r="PGV3"/>
      <c r="PGW3"/>
      <c r="PGX3"/>
      <c r="PGY3"/>
      <c r="PGZ3"/>
      <c r="PHA3"/>
      <c r="PHB3"/>
      <c r="PHC3"/>
      <c r="PHD3"/>
      <c r="PHE3"/>
      <c r="PHF3"/>
      <c r="PHG3"/>
      <c r="PHH3"/>
      <c r="PHI3"/>
      <c r="PHJ3"/>
      <c r="PHK3"/>
      <c r="PHL3"/>
      <c r="PHM3"/>
      <c r="PHN3"/>
      <c r="PHO3"/>
      <c r="PHP3"/>
      <c r="PHQ3"/>
      <c r="PHR3"/>
      <c r="PHS3"/>
      <c r="PHT3"/>
      <c r="PHU3"/>
      <c r="PHV3"/>
      <c r="PHW3"/>
      <c r="PHX3"/>
      <c r="PHY3"/>
      <c r="PHZ3"/>
      <c r="PIA3"/>
      <c r="PIB3"/>
      <c r="PIC3"/>
      <c r="PID3"/>
      <c r="PIE3"/>
      <c r="PIF3"/>
      <c r="PIG3"/>
      <c r="PIH3"/>
      <c r="PII3"/>
      <c r="PIJ3"/>
      <c r="PIK3"/>
      <c r="PIL3"/>
      <c r="PIM3"/>
      <c r="PIN3"/>
      <c r="PIO3"/>
      <c r="PIP3"/>
      <c r="PIQ3"/>
      <c r="PIR3"/>
      <c r="PIS3"/>
      <c r="PIT3"/>
      <c r="PIU3"/>
      <c r="PIV3"/>
      <c r="PIW3"/>
      <c r="PIX3"/>
      <c r="PIY3"/>
      <c r="PIZ3"/>
      <c r="PJA3"/>
      <c r="PJB3"/>
      <c r="PJC3"/>
      <c r="PJD3"/>
      <c r="PJE3"/>
      <c r="PJF3"/>
      <c r="PJG3"/>
      <c r="PJH3"/>
      <c r="PJI3"/>
      <c r="PJJ3"/>
      <c r="PJK3"/>
      <c r="PJL3"/>
      <c r="PJM3"/>
      <c r="PJN3"/>
      <c r="PJO3"/>
      <c r="PJP3"/>
      <c r="PJQ3"/>
      <c r="PJR3"/>
      <c r="PJS3"/>
      <c r="PJT3"/>
      <c r="PJU3"/>
      <c r="PJV3"/>
      <c r="PJW3"/>
      <c r="PJX3"/>
      <c r="PJY3"/>
      <c r="PJZ3"/>
      <c r="PKA3"/>
      <c r="PKB3"/>
      <c r="PKC3"/>
      <c r="PKD3"/>
      <c r="PKE3"/>
      <c r="PKF3"/>
      <c r="PKG3"/>
      <c r="PKH3"/>
      <c r="PKI3"/>
      <c r="PKJ3"/>
      <c r="PKK3"/>
      <c r="PKL3"/>
      <c r="PKM3"/>
      <c r="PKN3"/>
      <c r="PKO3"/>
      <c r="PKP3"/>
      <c r="PKQ3"/>
      <c r="PKR3"/>
      <c r="PKS3"/>
      <c r="PKT3"/>
      <c r="PKU3"/>
      <c r="PKV3"/>
      <c r="PKW3"/>
      <c r="PKX3"/>
      <c r="PKY3"/>
      <c r="PKZ3"/>
      <c r="PLA3"/>
      <c r="PLB3"/>
      <c r="PLC3"/>
      <c r="PLD3"/>
      <c r="PLE3"/>
      <c r="PLF3"/>
      <c r="PLG3"/>
      <c r="PLH3"/>
      <c r="PLI3"/>
      <c r="PLJ3"/>
      <c r="PLK3"/>
      <c r="PLL3"/>
      <c r="PLM3"/>
      <c r="PLN3"/>
      <c r="PLO3"/>
      <c r="PLP3"/>
      <c r="PLQ3"/>
      <c r="PLR3"/>
      <c r="PLS3"/>
      <c r="PLT3"/>
      <c r="PLU3"/>
      <c r="PLV3"/>
      <c r="PLW3"/>
      <c r="PLX3"/>
      <c r="PLY3"/>
      <c r="PLZ3"/>
      <c r="PMA3"/>
      <c r="PMB3"/>
      <c r="PMC3"/>
      <c r="PMD3"/>
      <c r="PME3"/>
      <c r="PMF3"/>
      <c r="PMG3"/>
      <c r="PMH3"/>
      <c r="PMI3"/>
      <c r="PMJ3"/>
      <c r="PMK3"/>
      <c r="PML3"/>
      <c r="PMM3"/>
      <c r="PMN3"/>
      <c r="PMO3"/>
      <c r="PMP3"/>
      <c r="PMQ3"/>
      <c r="PMR3"/>
      <c r="PMS3"/>
      <c r="PMT3"/>
      <c r="PMU3"/>
      <c r="PMV3"/>
      <c r="PMW3"/>
      <c r="PMX3"/>
      <c r="PMY3"/>
      <c r="PMZ3"/>
      <c r="PNA3"/>
      <c r="PNB3"/>
      <c r="PNC3"/>
      <c r="PND3"/>
      <c r="PNE3"/>
      <c r="PNF3"/>
      <c r="PNG3"/>
      <c r="PNH3"/>
      <c r="PNI3"/>
      <c r="PNJ3"/>
      <c r="PNK3"/>
      <c r="PNL3"/>
      <c r="PNM3"/>
      <c r="PNN3"/>
      <c r="PNO3"/>
      <c r="PNP3"/>
      <c r="PNQ3"/>
      <c r="PNR3"/>
      <c r="PNS3"/>
      <c r="PNT3"/>
      <c r="PNU3"/>
      <c r="PNV3"/>
      <c r="PNW3"/>
      <c r="PNX3"/>
      <c r="PNY3"/>
      <c r="PNZ3"/>
      <c r="POA3"/>
      <c r="POB3"/>
      <c r="POC3"/>
      <c r="POD3"/>
      <c r="POE3"/>
      <c r="POF3"/>
      <c r="POG3"/>
      <c r="POH3"/>
      <c r="POI3"/>
      <c r="POJ3"/>
      <c r="POK3"/>
      <c r="POL3"/>
      <c r="POM3"/>
      <c r="PON3"/>
      <c r="POO3"/>
      <c r="POP3"/>
      <c r="POQ3"/>
      <c r="POR3"/>
      <c r="POS3"/>
      <c r="POT3"/>
      <c r="POU3"/>
      <c r="POV3"/>
      <c r="POW3"/>
      <c r="POX3"/>
      <c r="POY3"/>
      <c r="POZ3"/>
      <c r="PPA3"/>
      <c r="PPB3"/>
      <c r="PPC3"/>
      <c r="PPD3"/>
      <c r="PPE3"/>
      <c r="PPF3"/>
      <c r="PPG3"/>
      <c r="PPH3"/>
      <c r="PPI3"/>
      <c r="PPJ3"/>
      <c r="PPK3"/>
      <c r="PPL3"/>
      <c r="PPM3"/>
      <c r="PPN3"/>
      <c r="PPO3"/>
      <c r="PPP3"/>
      <c r="PPQ3"/>
      <c r="PPR3"/>
      <c r="PPS3"/>
      <c r="PPT3"/>
      <c r="PPU3"/>
      <c r="PPV3"/>
      <c r="PPW3"/>
      <c r="PPX3"/>
      <c r="PPY3"/>
      <c r="PPZ3"/>
      <c r="PQA3"/>
      <c r="PQB3"/>
      <c r="PQC3"/>
      <c r="PQD3"/>
      <c r="PQE3"/>
      <c r="PQF3"/>
      <c r="PQG3"/>
      <c r="PQH3"/>
      <c r="PQI3"/>
      <c r="PQJ3"/>
      <c r="PQK3"/>
      <c r="PQL3"/>
      <c r="PQM3"/>
      <c r="PQN3"/>
      <c r="PQO3"/>
      <c r="PQP3"/>
      <c r="PQQ3"/>
      <c r="PQR3"/>
      <c r="PQS3"/>
      <c r="PQT3"/>
      <c r="PQU3"/>
      <c r="PQV3"/>
      <c r="PQW3"/>
      <c r="PQX3"/>
      <c r="PQY3"/>
      <c r="PQZ3"/>
      <c r="PRA3"/>
      <c r="PRB3"/>
      <c r="PRC3"/>
      <c r="PRD3"/>
      <c r="PRE3"/>
      <c r="PRF3"/>
      <c r="PRG3"/>
      <c r="PRH3"/>
      <c r="PRI3"/>
      <c r="PRJ3"/>
      <c r="PRK3"/>
      <c r="PRL3"/>
      <c r="PRM3"/>
      <c r="PRN3"/>
      <c r="PRO3"/>
      <c r="PRP3"/>
      <c r="PRQ3"/>
      <c r="PRR3"/>
      <c r="PRS3"/>
      <c r="PRT3"/>
      <c r="PRU3"/>
      <c r="PRV3"/>
      <c r="PRW3"/>
      <c r="PRX3"/>
      <c r="PRY3"/>
      <c r="PRZ3"/>
      <c r="PSA3"/>
      <c r="PSB3"/>
      <c r="PSC3"/>
      <c r="PSD3"/>
      <c r="PSE3"/>
      <c r="PSF3"/>
      <c r="PSG3"/>
      <c r="PSH3"/>
      <c r="PSI3"/>
      <c r="PSJ3"/>
      <c r="PSK3"/>
      <c r="PSL3"/>
      <c r="PSM3"/>
      <c r="PSN3"/>
      <c r="PSO3"/>
      <c r="PSP3"/>
      <c r="PSQ3"/>
      <c r="PSR3"/>
      <c r="PSS3"/>
      <c r="PST3"/>
      <c r="PSU3"/>
      <c r="PSV3"/>
      <c r="PSW3"/>
      <c r="PSX3"/>
      <c r="PSY3"/>
      <c r="PSZ3"/>
      <c r="PTA3"/>
      <c r="PTB3"/>
      <c r="PTC3"/>
      <c r="PTD3"/>
      <c r="PTE3"/>
      <c r="PTF3"/>
      <c r="PTG3"/>
      <c r="PTH3"/>
      <c r="PTI3"/>
      <c r="PTJ3"/>
      <c r="PTK3"/>
      <c r="PTL3"/>
      <c r="PTM3"/>
      <c r="PTN3"/>
      <c r="PTO3"/>
      <c r="PTP3"/>
      <c r="PTQ3"/>
      <c r="PTR3"/>
      <c r="PTS3"/>
      <c r="PTT3"/>
      <c r="PTU3"/>
      <c r="PTV3"/>
      <c r="PTW3"/>
      <c r="PTX3"/>
      <c r="PTY3"/>
      <c r="PTZ3"/>
      <c r="PUA3"/>
      <c r="PUB3"/>
      <c r="PUC3"/>
      <c r="PUD3"/>
      <c r="PUE3"/>
      <c r="PUF3"/>
      <c r="PUG3"/>
      <c r="PUH3"/>
      <c r="PUI3"/>
      <c r="PUJ3"/>
      <c r="PUK3"/>
      <c r="PUL3"/>
      <c r="PUM3"/>
      <c r="PUN3"/>
      <c r="PUO3"/>
      <c r="PUP3"/>
      <c r="PUQ3"/>
      <c r="PUR3"/>
      <c r="PUS3"/>
      <c r="PUT3"/>
      <c r="PUU3"/>
      <c r="PUV3"/>
      <c r="PUW3"/>
      <c r="PUX3"/>
      <c r="PUY3"/>
      <c r="PUZ3"/>
      <c r="PVA3"/>
      <c r="PVB3"/>
      <c r="PVC3"/>
      <c r="PVD3"/>
      <c r="PVE3"/>
      <c r="PVF3"/>
      <c r="PVG3"/>
      <c r="PVH3"/>
      <c r="PVI3"/>
      <c r="PVJ3"/>
      <c r="PVK3"/>
      <c r="PVL3"/>
      <c r="PVM3"/>
      <c r="PVN3"/>
      <c r="PVO3"/>
      <c r="PVP3"/>
      <c r="PVQ3"/>
      <c r="PVR3"/>
      <c r="PVS3"/>
      <c r="PVT3"/>
      <c r="PVU3"/>
      <c r="PVV3"/>
      <c r="PVW3"/>
      <c r="PVX3"/>
      <c r="PVY3"/>
      <c r="PVZ3"/>
      <c r="PWA3"/>
      <c r="PWB3"/>
      <c r="PWC3"/>
      <c r="PWD3"/>
      <c r="PWE3"/>
      <c r="PWF3"/>
      <c r="PWG3"/>
      <c r="PWH3"/>
      <c r="PWI3"/>
      <c r="PWJ3"/>
      <c r="PWK3"/>
      <c r="PWL3"/>
      <c r="PWM3"/>
      <c r="PWN3"/>
      <c r="PWO3"/>
      <c r="PWP3"/>
      <c r="PWQ3"/>
      <c r="PWR3"/>
      <c r="PWS3"/>
      <c r="PWT3"/>
      <c r="PWU3"/>
      <c r="PWV3"/>
      <c r="PWW3"/>
      <c r="PWX3"/>
      <c r="PWY3"/>
      <c r="PWZ3"/>
      <c r="PXA3"/>
      <c r="PXB3"/>
      <c r="PXC3"/>
      <c r="PXD3"/>
      <c r="PXE3"/>
      <c r="PXF3"/>
      <c r="PXG3"/>
      <c r="PXH3"/>
      <c r="PXI3"/>
      <c r="PXJ3"/>
      <c r="PXK3"/>
      <c r="PXL3"/>
      <c r="PXM3"/>
      <c r="PXN3"/>
      <c r="PXO3"/>
      <c r="PXP3"/>
      <c r="PXQ3"/>
      <c r="PXR3"/>
      <c r="PXS3"/>
      <c r="PXT3"/>
      <c r="PXU3"/>
      <c r="PXV3"/>
      <c r="PXW3"/>
      <c r="PXX3"/>
      <c r="PXY3"/>
      <c r="PXZ3"/>
      <c r="PYA3"/>
      <c r="PYB3"/>
      <c r="PYC3"/>
      <c r="PYD3"/>
      <c r="PYE3"/>
      <c r="PYF3"/>
      <c r="PYG3"/>
      <c r="PYH3"/>
      <c r="PYI3"/>
      <c r="PYJ3"/>
      <c r="PYK3"/>
      <c r="PYL3"/>
      <c r="PYM3"/>
      <c r="PYN3"/>
      <c r="PYO3"/>
      <c r="PYP3"/>
      <c r="PYQ3"/>
      <c r="PYR3"/>
      <c r="PYS3"/>
      <c r="PYT3"/>
      <c r="PYU3"/>
      <c r="PYV3"/>
      <c r="PYW3"/>
      <c r="PYX3"/>
      <c r="PYY3"/>
      <c r="PYZ3"/>
      <c r="PZA3"/>
      <c r="PZB3"/>
      <c r="PZC3"/>
      <c r="PZD3"/>
      <c r="PZE3"/>
      <c r="PZF3"/>
      <c r="PZG3"/>
      <c r="PZH3"/>
      <c r="PZI3"/>
      <c r="PZJ3"/>
      <c r="PZK3"/>
      <c r="PZL3"/>
      <c r="PZM3"/>
      <c r="PZN3"/>
      <c r="PZO3"/>
      <c r="PZP3"/>
      <c r="PZQ3"/>
      <c r="PZR3"/>
      <c r="PZS3"/>
      <c r="PZT3"/>
      <c r="PZU3"/>
      <c r="PZV3"/>
      <c r="PZW3"/>
      <c r="PZX3"/>
      <c r="PZY3"/>
      <c r="PZZ3"/>
      <c r="QAA3"/>
      <c r="QAB3"/>
      <c r="QAC3"/>
      <c r="QAD3"/>
      <c r="QAE3"/>
      <c r="QAF3"/>
      <c r="QAG3"/>
      <c r="QAH3"/>
      <c r="QAI3"/>
      <c r="QAJ3"/>
      <c r="QAK3"/>
      <c r="QAL3"/>
      <c r="QAM3"/>
      <c r="QAN3"/>
      <c r="QAO3"/>
      <c r="QAP3"/>
      <c r="QAQ3"/>
      <c r="QAR3"/>
      <c r="QAS3"/>
      <c r="QAT3"/>
      <c r="QAU3"/>
      <c r="QAV3"/>
      <c r="QAW3"/>
      <c r="QAX3"/>
      <c r="QAY3"/>
      <c r="QAZ3"/>
      <c r="QBA3"/>
      <c r="QBB3"/>
      <c r="QBC3"/>
      <c r="QBD3"/>
      <c r="QBE3"/>
      <c r="QBF3"/>
      <c r="QBG3"/>
      <c r="QBH3"/>
      <c r="QBI3"/>
      <c r="QBJ3"/>
      <c r="QBK3"/>
      <c r="QBL3"/>
      <c r="QBM3"/>
      <c r="QBN3"/>
      <c r="QBO3"/>
      <c r="QBP3"/>
      <c r="QBQ3"/>
      <c r="QBR3"/>
      <c r="QBS3"/>
      <c r="QBT3"/>
      <c r="QBU3"/>
      <c r="QBV3"/>
      <c r="QBW3"/>
      <c r="QBX3"/>
      <c r="QBY3"/>
      <c r="QBZ3"/>
      <c r="QCA3"/>
      <c r="QCB3"/>
      <c r="QCC3"/>
      <c r="QCD3"/>
      <c r="QCE3"/>
      <c r="QCF3"/>
      <c r="QCG3"/>
      <c r="QCH3"/>
      <c r="QCI3"/>
      <c r="QCJ3"/>
      <c r="QCK3"/>
      <c r="QCL3"/>
      <c r="QCM3"/>
      <c r="QCN3"/>
      <c r="QCO3"/>
      <c r="QCP3"/>
      <c r="QCQ3"/>
      <c r="QCR3"/>
      <c r="QCS3"/>
      <c r="QCT3"/>
      <c r="QCU3"/>
      <c r="QCV3"/>
      <c r="QCW3"/>
      <c r="QCX3"/>
      <c r="QCY3"/>
      <c r="QCZ3"/>
      <c r="QDA3"/>
      <c r="QDB3"/>
      <c r="QDC3"/>
      <c r="QDD3"/>
      <c r="QDE3"/>
      <c r="QDF3"/>
      <c r="QDG3"/>
      <c r="QDH3"/>
      <c r="QDI3"/>
      <c r="QDJ3"/>
      <c r="QDK3"/>
      <c r="QDL3"/>
      <c r="QDM3"/>
      <c r="QDN3"/>
      <c r="QDO3"/>
      <c r="QDP3"/>
      <c r="QDQ3"/>
      <c r="QDR3"/>
      <c r="QDS3"/>
      <c r="QDT3"/>
      <c r="QDU3"/>
      <c r="QDV3"/>
      <c r="QDW3"/>
      <c r="QDX3"/>
      <c r="QDY3"/>
      <c r="QDZ3"/>
      <c r="QEA3"/>
      <c r="QEB3"/>
      <c r="QEC3"/>
      <c r="QED3"/>
      <c r="QEE3"/>
      <c r="QEF3"/>
      <c r="QEG3"/>
      <c r="QEH3"/>
      <c r="QEI3"/>
      <c r="QEJ3"/>
      <c r="QEK3"/>
      <c r="QEL3"/>
      <c r="QEM3"/>
      <c r="QEN3"/>
      <c r="QEO3"/>
      <c r="QEP3"/>
      <c r="QEQ3"/>
      <c r="QER3"/>
      <c r="QES3"/>
      <c r="QET3"/>
      <c r="QEU3"/>
      <c r="QEV3"/>
      <c r="QEW3"/>
      <c r="QEX3"/>
      <c r="QEY3"/>
      <c r="QEZ3"/>
      <c r="QFA3"/>
      <c r="QFB3"/>
      <c r="QFC3"/>
      <c r="QFD3"/>
      <c r="QFE3"/>
      <c r="QFF3"/>
      <c r="QFG3"/>
      <c r="QFH3"/>
      <c r="QFI3"/>
      <c r="QFJ3"/>
      <c r="QFK3"/>
      <c r="QFL3"/>
      <c r="QFM3"/>
      <c r="QFN3"/>
      <c r="QFO3"/>
      <c r="QFP3"/>
      <c r="QFQ3"/>
      <c r="QFR3"/>
      <c r="QFS3"/>
      <c r="QFT3"/>
      <c r="QFU3"/>
      <c r="QFV3"/>
      <c r="QFW3"/>
      <c r="QFX3"/>
      <c r="QFY3"/>
      <c r="QFZ3"/>
      <c r="QGA3"/>
      <c r="QGB3"/>
      <c r="QGC3"/>
      <c r="QGD3"/>
      <c r="QGE3"/>
      <c r="QGF3"/>
      <c r="QGG3"/>
      <c r="QGH3"/>
      <c r="QGI3"/>
      <c r="QGJ3"/>
      <c r="QGK3"/>
      <c r="QGL3"/>
      <c r="QGM3"/>
      <c r="QGN3"/>
      <c r="QGO3"/>
      <c r="QGP3"/>
      <c r="QGQ3"/>
      <c r="QGR3"/>
      <c r="QGS3"/>
      <c r="QGT3"/>
      <c r="QGU3"/>
      <c r="QGV3"/>
      <c r="QGW3"/>
      <c r="QGX3"/>
      <c r="QGY3"/>
      <c r="QGZ3"/>
      <c r="QHA3"/>
      <c r="QHB3"/>
      <c r="QHC3"/>
      <c r="QHD3"/>
      <c r="QHE3"/>
      <c r="QHF3"/>
      <c r="QHG3"/>
      <c r="QHH3"/>
      <c r="QHI3"/>
      <c r="QHJ3"/>
      <c r="QHK3"/>
      <c r="QHL3"/>
      <c r="QHM3"/>
      <c r="QHN3"/>
      <c r="QHO3"/>
      <c r="QHP3"/>
      <c r="QHQ3"/>
      <c r="QHR3"/>
      <c r="QHS3"/>
      <c r="QHT3"/>
      <c r="QHU3"/>
      <c r="QHV3"/>
      <c r="QHW3"/>
      <c r="QHX3"/>
      <c r="QHY3"/>
      <c r="QHZ3"/>
      <c r="QIA3"/>
      <c r="QIB3"/>
      <c r="QIC3"/>
      <c r="QID3"/>
      <c r="QIE3"/>
      <c r="QIF3"/>
      <c r="QIG3"/>
      <c r="QIH3"/>
      <c r="QII3"/>
      <c r="QIJ3"/>
      <c r="QIK3"/>
      <c r="QIL3"/>
      <c r="QIM3"/>
      <c r="QIN3"/>
      <c r="QIO3"/>
      <c r="QIP3"/>
      <c r="QIQ3"/>
      <c r="QIR3"/>
      <c r="QIS3"/>
      <c r="QIT3"/>
      <c r="QIU3"/>
      <c r="QIV3"/>
      <c r="QIW3"/>
      <c r="QIX3"/>
      <c r="QIY3"/>
      <c r="QIZ3"/>
      <c r="QJA3"/>
      <c r="QJB3"/>
      <c r="QJC3"/>
      <c r="QJD3"/>
      <c r="QJE3"/>
      <c r="QJF3"/>
      <c r="QJG3"/>
      <c r="QJH3"/>
      <c r="QJI3"/>
      <c r="QJJ3"/>
      <c r="QJK3"/>
      <c r="QJL3"/>
      <c r="QJM3"/>
      <c r="QJN3"/>
      <c r="QJO3"/>
      <c r="QJP3"/>
      <c r="QJQ3"/>
      <c r="QJR3"/>
      <c r="QJS3"/>
      <c r="QJT3"/>
      <c r="QJU3"/>
      <c r="QJV3"/>
      <c r="QJW3"/>
      <c r="QJX3"/>
      <c r="QJY3"/>
      <c r="QJZ3"/>
      <c r="QKA3"/>
      <c r="QKB3"/>
      <c r="QKC3"/>
      <c r="QKD3"/>
      <c r="QKE3"/>
      <c r="QKF3"/>
      <c r="QKG3"/>
      <c r="QKH3"/>
      <c r="QKI3"/>
      <c r="QKJ3"/>
      <c r="QKK3"/>
      <c r="QKL3"/>
      <c r="QKM3"/>
      <c r="QKN3"/>
      <c r="QKO3"/>
      <c r="QKP3"/>
      <c r="QKQ3"/>
      <c r="QKR3"/>
      <c r="QKS3"/>
      <c r="QKT3"/>
      <c r="QKU3"/>
      <c r="QKV3"/>
      <c r="QKW3"/>
      <c r="QKX3"/>
      <c r="QKY3"/>
      <c r="QKZ3"/>
      <c r="QLA3"/>
      <c r="QLB3"/>
      <c r="QLC3"/>
      <c r="QLD3"/>
      <c r="QLE3"/>
      <c r="QLF3"/>
      <c r="QLG3"/>
      <c r="QLH3"/>
      <c r="QLI3"/>
      <c r="QLJ3"/>
      <c r="QLK3"/>
      <c r="QLL3"/>
      <c r="QLM3"/>
      <c r="QLN3"/>
      <c r="QLO3"/>
      <c r="QLP3"/>
      <c r="QLQ3"/>
      <c r="QLR3"/>
      <c r="QLS3"/>
      <c r="QLT3"/>
      <c r="QLU3"/>
      <c r="QLV3"/>
      <c r="QLW3"/>
      <c r="QLX3"/>
      <c r="QLY3"/>
      <c r="QLZ3"/>
      <c r="QMA3"/>
      <c r="QMB3"/>
      <c r="QMC3"/>
      <c r="QMD3"/>
      <c r="QME3"/>
      <c r="QMF3"/>
      <c r="QMG3"/>
      <c r="QMH3"/>
      <c r="QMI3"/>
      <c r="QMJ3"/>
      <c r="QMK3"/>
      <c r="QML3"/>
      <c r="QMM3"/>
      <c r="QMN3"/>
      <c r="QMO3"/>
      <c r="QMP3"/>
      <c r="QMQ3"/>
      <c r="QMR3"/>
      <c r="QMS3"/>
      <c r="QMT3"/>
      <c r="QMU3"/>
      <c r="QMV3"/>
      <c r="QMW3"/>
      <c r="QMX3"/>
      <c r="QMY3"/>
      <c r="QMZ3"/>
      <c r="QNA3"/>
      <c r="QNB3"/>
      <c r="QNC3"/>
      <c r="QND3"/>
      <c r="QNE3"/>
      <c r="QNF3"/>
      <c r="QNG3"/>
      <c r="QNH3"/>
      <c r="QNI3"/>
      <c r="QNJ3"/>
      <c r="QNK3"/>
      <c r="QNL3"/>
      <c r="QNM3"/>
      <c r="QNN3"/>
      <c r="QNO3"/>
      <c r="QNP3"/>
      <c r="QNQ3"/>
      <c r="QNR3"/>
      <c r="QNS3"/>
      <c r="QNT3"/>
      <c r="QNU3"/>
      <c r="QNV3"/>
      <c r="QNW3"/>
      <c r="QNX3"/>
      <c r="QNY3"/>
      <c r="QNZ3"/>
      <c r="QOA3"/>
      <c r="QOB3"/>
      <c r="QOC3"/>
      <c r="QOD3"/>
      <c r="QOE3"/>
      <c r="QOF3"/>
      <c r="QOG3"/>
      <c r="QOH3"/>
      <c r="QOI3"/>
      <c r="QOJ3"/>
      <c r="QOK3"/>
      <c r="QOL3"/>
      <c r="QOM3"/>
      <c r="QON3"/>
      <c r="QOO3"/>
      <c r="QOP3"/>
      <c r="QOQ3"/>
      <c r="QOR3"/>
      <c r="QOS3"/>
      <c r="QOT3"/>
      <c r="QOU3"/>
      <c r="QOV3"/>
      <c r="QOW3"/>
      <c r="QOX3"/>
      <c r="QOY3"/>
      <c r="QOZ3"/>
      <c r="QPA3"/>
      <c r="QPB3"/>
      <c r="QPC3"/>
      <c r="QPD3"/>
      <c r="QPE3"/>
      <c r="QPF3"/>
      <c r="QPG3"/>
      <c r="QPH3"/>
      <c r="QPI3"/>
      <c r="QPJ3"/>
      <c r="QPK3"/>
      <c r="QPL3"/>
      <c r="QPM3"/>
      <c r="QPN3"/>
      <c r="QPO3"/>
      <c r="QPP3"/>
      <c r="QPQ3"/>
      <c r="QPR3"/>
      <c r="QPS3"/>
      <c r="QPT3"/>
      <c r="QPU3"/>
      <c r="QPV3"/>
      <c r="QPW3"/>
      <c r="QPX3"/>
      <c r="QPY3"/>
      <c r="QPZ3"/>
      <c r="QQA3"/>
      <c r="QQB3"/>
      <c r="QQC3"/>
      <c r="QQD3"/>
      <c r="QQE3"/>
      <c r="QQF3"/>
      <c r="QQG3"/>
      <c r="QQH3"/>
      <c r="QQI3"/>
      <c r="QQJ3"/>
      <c r="QQK3"/>
      <c r="QQL3"/>
      <c r="QQM3"/>
      <c r="QQN3"/>
      <c r="QQO3"/>
      <c r="QQP3"/>
      <c r="QQQ3"/>
      <c r="QQR3"/>
      <c r="QQS3"/>
      <c r="QQT3"/>
      <c r="QQU3"/>
      <c r="QQV3"/>
      <c r="QQW3"/>
      <c r="QQX3"/>
      <c r="QQY3"/>
      <c r="QQZ3"/>
      <c r="QRA3"/>
      <c r="QRB3"/>
      <c r="QRC3"/>
      <c r="QRD3"/>
      <c r="QRE3"/>
      <c r="QRF3"/>
      <c r="QRG3"/>
      <c r="QRH3"/>
      <c r="QRI3"/>
      <c r="QRJ3"/>
      <c r="QRK3"/>
      <c r="QRL3"/>
      <c r="QRM3"/>
      <c r="QRN3"/>
      <c r="QRO3"/>
      <c r="QRP3"/>
      <c r="QRQ3"/>
      <c r="QRR3"/>
      <c r="QRS3"/>
      <c r="QRT3"/>
      <c r="QRU3"/>
      <c r="QRV3"/>
      <c r="QRW3"/>
      <c r="QRX3"/>
      <c r="QRY3"/>
      <c r="QRZ3"/>
      <c r="QSA3"/>
      <c r="QSB3"/>
      <c r="QSC3"/>
      <c r="QSD3"/>
      <c r="QSE3"/>
      <c r="QSF3"/>
      <c r="QSG3"/>
      <c r="QSH3"/>
      <c r="QSI3"/>
      <c r="QSJ3"/>
      <c r="QSK3"/>
      <c r="QSL3"/>
      <c r="QSM3"/>
      <c r="QSN3"/>
      <c r="QSO3"/>
      <c r="QSP3"/>
      <c r="QSQ3"/>
      <c r="QSR3"/>
      <c r="QSS3"/>
      <c r="QST3"/>
      <c r="QSU3"/>
      <c r="QSV3"/>
      <c r="QSW3"/>
      <c r="QSX3"/>
      <c r="QSY3"/>
      <c r="QSZ3"/>
      <c r="QTA3"/>
      <c r="QTB3"/>
      <c r="QTC3"/>
      <c r="QTD3"/>
      <c r="QTE3"/>
      <c r="QTF3"/>
      <c r="QTG3"/>
      <c r="QTH3"/>
      <c r="QTI3"/>
      <c r="QTJ3"/>
      <c r="QTK3"/>
      <c r="QTL3"/>
      <c r="QTM3"/>
      <c r="QTN3"/>
      <c r="QTO3"/>
      <c r="QTP3"/>
      <c r="QTQ3"/>
      <c r="QTR3"/>
      <c r="QTS3"/>
      <c r="QTT3"/>
      <c r="QTU3"/>
      <c r="QTV3"/>
      <c r="QTW3"/>
      <c r="QTX3"/>
      <c r="QTY3"/>
      <c r="QTZ3"/>
      <c r="QUA3"/>
      <c r="QUB3"/>
      <c r="QUC3"/>
      <c r="QUD3"/>
      <c r="QUE3"/>
      <c r="QUF3"/>
      <c r="QUG3"/>
      <c r="QUH3"/>
      <c r="QUI3"/>
      <c r="QUJ3"/>
      <c r="QUK3"/>
      <c r="QUL3"/>
      <c r="QUM3"/>
      <c r="QUN3"/>
      <c r="QUO3"/>
      <c r="QUP3"/>
      <c r="QUQ3"/>
      <c r="QUR3"/>
      <c r="QUS3"/>
      <c r="QUT3"/>
      <c r="QUU3"/>
      <c r="QUV3"/>
      <c r="QUW3"/>
      <c r="QUX3"/>
      <c r="QUY3"/>
      <c r="QUZ3"/>
      <c r="QVA3"/>
      <c r="QVB3"/>
      <c r="QVC3"/>
      <c r="QVD3"/>
      <c r="QVE3"/>
      <c r="QVF3"/>
      <c r="QVG3"/>
      <c r="QVH3"/>
      <c r="QVI3"/>
      <c r="QVJ3"/>
      <c r="QVK3"/>
      <c r="QVL3"/>
      <c r="QVM3"/>
      <c r="QVN3"/>
      <c r="QVO3"/>
      <c r="QVP3"/>
      <c r="QVQ3"/>
      <c r="QVR3"/>
      <c r="QVS3"/>
      <c r="QVT3"/>
      <c r="QVU3"/>
      <c r="QVV3"/>
      <c r="QVW3"/>
      <c r="QVX3"/>
      <c r="QVY3"/>
      <c r="QVZ3"/>
      <c r="QWA3"/>
      <c r="QWB3"/>
      <c r="QWC3"/>
      <c r="QWD3"/>
      <c r="QWE3"/>
      <c r="QWF3"/>
      <c r="QWG3"/>
      <c r="QWH3"/>
      <c r="QWI3"/>
      <c r="QWJ3"/>
      <c r="QWK3"/>
      <c r="QWL3"/>
      <c r="QWM3"/>
      <c r="QWN3"/>
      <c r="QWO3"/>
      <c r="QWP3"/>
      <c r="QWQ3"/>
      <c r="QWR3"/>
      <c r="QWS3"/>
      <c r="QWT3"/>
      <c r="QWU3"/>
      <c r="QWV3"/>
      <c r="QWW3"/>
      <c r="QWX3"/>
      <c r="QWY3"/>
      <c r="QWZ3"/>
      <c r="QXA3"/>
      <c r="QXB3"/>
      <c r="QXC3"/>
      <c r="QXD3"/>
      <c r="QXE3"/>
      <c r="QXF3"/>
      <c r="QXG3"/>
      <c r="QXH3"/>
      <c r="QXI3"/>
      <c r="QXJ3"/>
      <c r="QXK3"/>
      <c r="QXL3"/>
      <c r="QXM3"/>
      <c r="QXN3"/>
      <c r="QXO3"/>
      <c r="QXP3"/>
      <c r="QXQ3"/>
      <c r="QXR3"/>
      <c r="QXS3"/>
      <c r="QXT3"/>
      <c r="QXU3"/>
      <c r="QXV3"/>
      <c r="QXW3"/>
      <c r="QXX3"/>
      <c r="QXY3"/>
      <c r="QXZ3"/>
      <c r="QYA3"/>
      <c r="QYB3"/>
      <c r="QYC3"/>
      <c r="QYD3"/>
      <c r="QYE3"/>
      <c r="QYF3"/>
      <c r="QYG3"/>
      <c r="QYH3"/>
      <c r="QYI3"/>
      <c r="QYJ3"/>
      <c r="QYK3"/>
      <c r="QYL3"/>
      <c r="QYM3"/>
      <c r="QYN3"/>
      <c r="QYO3"/>
      <c r="QYP3"/>
      <c r="QYQ3"/>
      <c r="QYR3"/>
      <c r="QYS3"/>
      <c r="QYT3"/>
      <c r="QYU3"/>
      <c r="QYV3"/>
      <c r="QYW3"/>
      <c r="QYX3"/>
      <c r="QYY3"/>
      <c r="QYZ3"/>
      <c r="QZA3"/>
      <c r="QZB3"/>
      <c r="QZC3"/>
      <c r="QZD3"/>
      <c r="QZE3"/>
      <c r="QZF3"/>
      <c r="QZG3"/>
      <c r="QZH3"/>
      <c r="QZI3"/>
      <c r="QZJ3"/>
      <c r="QZK3"/>
      <c r="QZL3"/>
      <c r="QZM3"/>
      <c r="QZN3"/>
      <c r="QZO3"/>
      <c r="QZP3"/>
      <c r="QZQ3"/>
      <c r="QZR3"/>
      <c r="QZS3"/>
      <c r="QZT3"/>
      <c r="QZU3"/>
      <c r="QZV3"/>
      <c r="QZW3"/>
      <c r="QZX3"/>
      <c r="QZY3"/>
      <c r="QZZ3"/>
      <c r="RAA3"/>
      <c r="RAB3"/>
      <c r="RAC3"/>
      <c r="RAD3"/>
      <c r="RAE3"/>
      <c r="RAF3"/>
      <c r="RAG3"/>
      <c r="RAH3"/>
      <c r="RAI3"/>
      <c r="RAJ3"/>
      <c r="RAK3"/>
      <c r="RAL3"/>
      <c r="RAM3"/>
      <c r="RAN3"/>
      <c r="RAO3"/>
      <c r="RAP3"/>
      <c r="RAQ3"/>
      <c r="RAR3"/>
      <c r="RAS3"/>
      <c r="RAT3"/>
      <c r="RAU3"/>
      <c r="RAV3"/>
      <c r="RAW3"/>
      <c r="RAX3"/>
      <c r="RAY3"/>
      <c r="RAZ3"/>
      <c r="RBA3"/>
      <c r="RBB3"/>
      <c r="RBC3"/>
      <c r="RBD3"/>
      <c r="RBE3"/>
      <c r="RBF3"/>
      <c r="RBG3"/>
      <c r="RBH3"/>
      <c r="RBI3"/>
      <c r="RBJ3"/>
      <c r="RBK3"/>
      <c r="RBL3"/>
      <c r="RBM3"/>
      <c r="RBN3"/>
      <c r="RBO3"/>
      <c r="RBP3"/>
      <c r="RBQ3"/>
      <c r="RBR3"/>
      <c r="RBS3"/>
      <c r="RBT3"/>
      <c r="RBU3"/>
      <c r="RBV3"/>
      <c r="RBW3"/>
      <c r="RBX3"/>
      <c r="RBY3"/>
      <c r="RBZ3"/>
      <c r="RCA3"/>
      <c r="RCB3"/>
      <c r="RCC3"/>
      <c r="RCD3"/>
      <c r="RCE3"/>
      <c r="RCF3"/>
      <c r="RCG3"/>
      <c r="RCH3"/>
      <c r="RCI3"/>
      <c r="RCJ3"/>
      <c r="RCK3"/>
      <c r="RCL3"/>
      <c r="RCM3"/>
      <c r="RCN3"/>
      <c r="RCO3"/>
      <c r="RCP3"/>
      <c r="RCQ3"/>
      <c r="RCR3"/>
      <c r="RCS3"/>
      <c r="RCT3"/>
      <c r="RCU3"/>
      <c r="RCV3"/>
      <c r="RCW3"/>
      <c r="RCX3"/>
      <c r="RCY3"/>
      <c r="RCZ3"/>
      <c r="RDA3"/>
      <c r="RDB3"/>
      <c r="RDC3"/>
      <c r="RDD3"/>
      <c r="RDE3"/>
      <c r="RDF3"/>
      <c r="RDG3"/>
      <c r="RDH3"/>
      <c r="RDI3"/>
      <c r="RDJ3"/>
      <c r="RDK3"/>
      <c r="RDL3"/>
      <c r="RDM3"/>
      <c r="RDN3"/>
      <c r="RDO3"/>
      <c r="RDP3"/>
      <c r="RDQ3"/>
      <c r="RDR3"/>
      <c r="RDS3"/>
      <c r="RDT3"/>
      <c r="RDU3"/>
      <c r="RDV3"/>
      <c r="RDW3"/>
      <c r="RDX3"/>
      <c r="RDY3"/>
      <c r="RDZ3"/>
      <c r="REA3"/>
      <c r="REB3"/>
      <c r="REC3"/>
      <c r="RED3"/>
      <c r="REE3"/>
      <c r="REF3"/>
      <c r="REG3"/>
      <c r="REH3"/>
      <c r="REI3"/>
      <c r="REJ3"/>
      <c r="REK3"/>
      <c r="REL3"/>
      <c r="REM3"/>
      <c r="REN3"/>
      <c r="REO3"/>
      <c r="REP3"/>
      <c r="REQ3"/>
      <c r="RER3"/>
      <c r="RES3"/>
      <c r="RET3"/>
      <c r="REU3"/>
      <c r="REV3"/>
      <c r="REW3"/>
      <c r="REX3"/>
      <c r="REY3"/>
      <c r="REZ3"/>
      <c r="RFA3"/>
      <c r="RFB3"/>
      <c r="RFC3"/>
      <c r="RFD3"/>
      <c r="RFE3"/>
      <c r="RFF3"/>
      <c r="RFG3"/>
      <c r="RFH3"/>
      <c r="RFI3"/>
      <c r="RFJ3"/>
      <c r="RFK3"/>
      <c r="RFL3"/>
      <c r="RFM3"/>
      <c r="RFN3"/>
      <c r="RFO3"/>
      <c r="RFP3"/>
      <c r="RFQ3"/>
      <c r="RFR3"/>
      <c r="RFS3"/>
      <c r="RFT3"/>
      <c r="RFU3"/>
      <c r="RFV3"/>
      <c r="RFW3"/>
      <c r="RFX3"/>
      <c r="RFY3"/>
      <c r="RFZ3"/>
      <c r="RGA3"/>
      <c r="RGB3"/>
      <c r="RGC3"/>
      <c r="RGD3"/>
      <c r="RGE3"/>
      <c r="RGF3"/>
      <c r="RGG3"/>
      <c r="RGH3"/>
      <c r="RGI3"/>
      <c r="RGJ3"/>
      <c r="RGK3"/>
      <c r="RGL3"/>
      <c r="RGM3"/>
      <c r="RGN3"/>
      <c r="RGO3"/>
      <c r="RGP3"/>
      <c r="RGQ3"/>
      <c r="RGR3"/>
      <c r="RGS3"/>
      <c r="RGT3"/>
      <c r="RGU3"/>
      <c r="RGV3"/>
      <c r="RGW3"/>
      <c r="RGX3"/>
      <c r="RGY3"/>
      <c r="RGZ3"/>
      <c r="RHA3"/>
      <c r="RHB3"/>
      <c r="RHC3"/>
      <c r="RHD3"/>
      <c r="RHE3"/>
      <c r="RHF3"/>
      <c r="RHG3"/>
      <c r="RHH3"/>
      <c r="RHI3"/>
      <c r="RHJ3"/>
      <c r="RHK3"/>
      <c r="RHL3"/>
      <c r="RHM3"/>
      <c r="RHN3"/>
      <c r="RHO3"/>
      <c r="RHP3"/>
      <c r="RHQ3"/>
      <c r="RHR3"/>
      <c r="RHS3"/>
      <c r="RHT3"/>
      <c r="RHU3"/>
      <c r="RHV3"/>
      <c r="RHW3"/>
      <c r="RHX3"/>
      <c r="RHY3"/>
      <c r="RHZ3"/>
      <c r="RIA3"/>
      <c r="RIB3"/>
      <c r="RIC3"/>
      <c r="RID3"/>
      <c r="RIE3"/>
      <c r="RIF3"/>
      <c r="RIG3"/>
      <c r="RIH3"/>
      <c r="RII3"/>
      <c r="RIJ3"/>
      <c r="RIK3"/>
      <c r="RIL3"/>
      <c r="RIM3"/>
      <c r="RIN3"/>
      <c r="RIO3"/>
      <c r="RIP3"/>
      <c r="RIQ3"/>
      <c r="RIR3"/>
      <c r="RIS3"/>
      <c r="RIT3"/>
      <c r="RIU3"/>
      <c r="RIV3"/>
      <c r="RIW3"/>
      <c r="RIX3"/>
      <c r="RIY3"/>
      <c r="RIZ3"/>
      <c r="RJA3"/>
      <c r="RJB3"/>
      <c r="RJC3"/>
      <c r="RJD3"/>
      <c r="RJE3"/>
      <c r="RJF3"/>
      <c r="RJG3"/>
      <c r="RJH3"/>
      <c r="RJI3"/>
      <c r="RJJ3"/>
      <c r="RJK3"/>
      <c r="RJL3"/>
      <c r="RJM3"/>
      <c r="RJN3"/>
      <c r="RJO3"/>
      <c r="RJP3"/>
      <c r="RJQ3"/>
      <c r="RJR3"/>
      <c r="RJS3"/>
      <c r="RJT3"/>
      <c r="RJU3"/>
      <c r="RJV3"/>
      <c r="RJW3"/>
      <c r="RJX3"/>
      <c r="RJY3"/>
      <c r="RJZ3"/>
      <c r="RKA3"/>
      <c r="RKB3"/>
      <c r="RKC3"/>
      <c r="RKD3"/>
      <c r="RKE3"/>
      <c r="RKF3"/>
      <c r="RKG3"/>
      <c r="RKH3"/>
      <c r="RKI3"/>
      <c r="RKJ3"/>
      <c r="RKK3"/>
      <c r="RKL3"/>
      <c r="RKM3"/>
      <c r="RKN3"/>
      <c r="RKO3"/>
      <c r="RKP3"/>
      <c r="RKQ3"/>
      <c r="RKR3"/>
      <c r="RKS3"/>
      <c r="RKT3"/>
      <c r="RKU3"/>
      <c r="RKV3"/>
      <c r="RKW3"/>
      <c r="RKX3"/>
      <c r="RKY3"/>
      <c r="RKZ3"/>
      <c r="RLA3"/>
      <c r="RLB3"/>
      <c r="RLC3"/>
      <c r="RLD3"/>
      <c r="RLE3"/>
      <c r="RLF3"/>
      <c r="RLG3"/>
      <c r="RLH3"/>
      <c r="RLI3"/>
      <c r="RLJ3"/>
      <c r="RLK3"/>
      <c r="RLL3"/>
      <c r="RLM3"/>
      <c r="RLN3"/>
      <c r="RLO3"/>
      <c r="RLP3"/>
      <c r="RLQ3"/>
      <c r="RLR3"/>
      <c r="RLS3"/>
      <c r="RLT3"/>
      <c r="RLU3"/>
      <c r="RLV3"/>
      <c r="RLW3"/>
      <c r="RLX3"/>
      <c r="RLY3"/>
      <c r="RLZ3"/>
      <c r="RMA3"/>
      <c r="RMB3"/>
      <c r="RMC3"/>
      <c r="RMD3"/>
      <c r="RME3"/>
      <c r="RMF3"/>
      <c r="RMG3"/>
      <c r="RMH3"/>
      <c r="RMI3"/>
      <c r="RMJ3"/>
      <c r="RMK3"/>
      <c r="RML3"/>
      <c r="RMM3"/>
      <c r="RMN3"/>
      <c r="RMO3"/>
      <c r="RMP3"/>
      <c r="RMQ3"/>
      <c r="RMR3"/>
      <c r="RMS3"/>
      <c r="RMT3"/>
      <c r="RMU3"/>
      <c r="RMV3"/>
      <c r="RMW3"/>
      <c r="RMX3"/>
      <c r="RMY3"/>
      <c r="RMZ3"/>
      <c r="RNA3"/>
      <c r="RNB3"/>
      <c r="RNC3"/>
      <c r="RND3"/>
      <c r="RNE3"/>
      <c r="RNF3"/>
      <c r="RNG3"/>
      <c r="RNH3"/>
      <c r="RNI3"/>
      <c r="RNJ3"/>
      <c r="RNK3"/>
      <c r="RNL3"/>
      <c r="RNM3"/>
      <c r="RNN3"/>
      <c r="RNO3"/>
      <c r="RNP3"/>
      <c r="RNQ3"/>
      <c r="RNR3"/>
      <c r="RNS3"/>
      <c r="RNT3"/>
      <c r="RNU3"/>
      <c r="RNV3"/>
      <c r="RNW3"/>
      <c r="RNX3"/>
      <c r="RNY3"/>
      <c r="RNZ3"/>
      <c r="ROA3"/>
      <c r="ROB3"/>
      <c r="ROC3"/>
      <c r="ROD3"/>
      <c r="ROE3"/>
      <c r="ROF3"/>
      <c r="ROG3"/>
      <c r="ROH3"/>
      <c r="ROI3"/>
      <c r="ROJ3"/>
      <c r="ROK3"/>
      <c r="ROL3"/>
      <c r="ROM3"/>
      <c r="RON3"/>
      <c r="ROO3"/>
      <c r="ROP3"/>
      <c r="ROQ3"/>
      <c r="ROR3"/>
      <c r="ROS3"/>
      <c r="ROT3"/>
      <c r="ROU3"/>
      <c r="ROV3"/>
      <c r="ROW3"/>
      <c r="ROX3"/>
      <c r="ROY3"/>
      <c r="ROZ3"/>
      <c r="RPA3"/>
      <c r="RPB3"/>
      <c r="RPC3"/>
      <c r="RPD3"/>
      <c r="RPE3"/>
      <c r="RPF3"/>
      <c r="RPG3"/>
      <c r="RPH3"/>
      <c r="RPI3"/>
      <c r="RPJ3"/>
      <c r="RPK3"/>
      <c r="RPL3"/>
      <c r="RPM3"/>
      <c r="RPN3"/>
      <c r="RPO3"/>
      <c r="RPP3"/>
      <c r="RPQ3"/>
      <c r="RPR3"/>
      <c r="RPS3"/>
      <c r="RPT3"/>
      <c r="RPU3"/>
      <c r="RPV3"/>
      <c r="RPW3"/>
      <c r="RPX3"/>
      <c r="RPY3"/>
      <c r="RPZ3"/>
      <c r="RQA3"/>
      <c r="RQB3"/>
      <c r="RQC3"/>
      <c r="RQD3"/>
      <c r="RQE3"/>
      <c r="RQF3"/>
      <c r="RQG3"/>
      <c r="RQH3"/>
      <c r="RQI3"/>
      <c r="RQJ3"/>
      <c r="RQK3"/>
      <c r="RQL3"/>
      <c r="RQM3"/>
      <c r="RQN3"/>
      <c r="RQO3"/>
      <c r="RQP3"/>
      <c r="RQQ3"/>
      <c r="RQR3"/>
      <c r="RQS3"/>
      <c r="RQT3"/>
      <c r="RQU3"/>
      <c r="RQV3"/>
      <c r="RQW3"/>
      <c r="RQX3"/>
      <c r="RQY3"/>
      <c r="RQZ3"/>
      <c r="RRA3"/>
      <c r="RRB3"/>
      <c r="RRC3"/>
      <c r="RRD3"/>
      <c r="RRE3"/>
      <c r="RRF3"/>
      <c r="RRG3"/>
      <c r="RRH3"/>
      <c r="RRI3"/>
      <c r="RRJ3"/>
      <c r="RRK3"/>
      <c r="RRL3"/>
      <c r="RRM3"/>
      <c r="RRN3"/>
      <c r="RRO3"/>
      <c r="RRP3"/>
      <c r="RRQ3"/>
      <c r="RRR3"/>
      <c r="RRS3"/>
      <c r="RRT3"/>
      <c r="RRU3"/>
      <c r="RRV3"/>
      <c r="RRW3"/>
      <c r="RRX3"/>
      <c r="RRY3"/>
      <c r="RRZ3"/>
      <c r="RSA3"/>
      <c r="RSB3"/>
      <c r="RSC3"/>
      <c r="RSD3"/>
      <c r="RSE3"/>
      <c r="RSF3"/>
      <c r="RSG3"/>
      <c r="RSH3"/>
      <c r="RSI3"/>
      <c r="RSJ3"/>
      <c r="RSK3"/>
      <c r="RSL3"/>
      <c r="RSM3"/>
      <c r="RSN3"/>
      <c r="RSO3"/>
      <c r="RSP3"/>
      <c r="RSQ3"/>
      <c r="RSR3"/>
      <c r="RSS3"/>
      <c r="RST3"/>
      <c r="RSU3"/>
      <c r="RSV3"/>
      <c r="RSW3"/>
      <c r="RSX3"/>
      <c r="RSY3"/>
      <c r="RSZ3"/>
      <c r="RTA3"/>
      <c r="RTB3"/>
      <c r="RTC3"/>
      <c r="RTD3"/>
      <c r="RTE3"/>
      <c r="RTF3"/>
      <c r="RTG3"/>
      <c r="RTH3"/>
      <c r="RTI3"/>
      <c r="RTJ3"/>
      <c r="RTK3"/>
      <c r="RTL3"/>
      <c r="RTM3"/>
      <c r="RTN3"/>
      <c r="RTO3"/>
      <c r="RTP3"/>
      <c r="RTQ3"/>
      <c r="RTR3"/>
      <c r="RTS3"/>
      <c r="RTT3"/>
      <c r="RTU3"/>
      <c r="RTV3"/>
      <c r="RTW3"/>
      <c r="RTX3"/>
      <c r="RTY3"/>
      <c r="RTZ3"/>
      <c r="RUA3"/>
      <c r="RUB3"/>
      <c r="RUC3"/>
      <c r="RUD3"/>
      <c r="RUE3"/>
      <c r="RUF3"/>
      <c r="RUG3"/>
      <c r="RUH3"/>
      <c r="RUI3"/>
      <c r="RUJ3"/>
      <c r="RUK3"/>
      <c r="RUL3"/>
      <c r="RUM3"/>
      <c r="RUN3"/>
      <c r="RUO3"/>
      <c r="RUP3"/>
      <c r="RUQ3"/>
      <c r="RUR3"/>
      <c r="RUS3"/>
      <c r="RUT3"/>
      <c r="RUU3"/>
      <c r="RUV3"/>
      <c r="RUW3"/>
      <c r="RUX3"/>
      <c r="RUY3"/>
      <c r="RUZ3"/>
      <c r="RVA3"/>
      <c r="RVB3"/>
      <c r="RVC3"/>
      <c r="RVD3"/>
      <c r="RVE3"/>
      <c r="RVF3"/>
      <c r="RVG3"/>
      <c r="RVH3"/>
      <c r="RVI3"/>
      <c r="RVJ3"/>
      <c r="RVK3"/>
      <c r="RVL3"/>
      <c r="RVM3"/>
      <c r="RVN3"/>
      <c r="RVO3"/>
      <c r="RVP3"/>
      <c r="RVQ3"/>
      <c r="RVR3"/>
      <c r="RVS3"/>
      <c r="RVT3"/>
      <c r="RVU3"/>
      <c r="RVV3"/>
      <c r="RVW3"/>
      <c r="RVX3"/>
      <c r="RVY3"/>
      <c r="RVZ3"/>
      <c r="RWA3"/>
      <c r="RWB3"/>
      <c r="RWC3"/>
      <c r="RWD3"/>
      <c r="RWE3"/>
      <c r="RWF3"/>
      <c r="RWG3"/>
      <c r="RWH3"/>
      <c r="RWI3"/>
      <c r="RWJ3"/>
      <c r="RWK3"/>
      <c r="RWL3"/>
      <c r="RWM3"/>
      <c r="RWN3"/>
      <c r="RWO3"/>
      <c r="RWP3"/>
      <c r="RWQ3"/>
      <c r="RWR3"/>
      <c r="RWS3"/>
      <c r="RWT3"/>
      <c r="RWU3"/>
      <c r="RWV3"/>
      <c r="RWW3"/>
      <c r="RWX3"/>
      <c r="RWY3"/>
      <c r="RWZ3"/>
      <c r="RXA3"/>
      <c r="RXB3"/>
      <c r="RXC3"/>
      <c r="RXD3"/>
      <c r="RXE3"/>
      <c r="RXF3"/>
      <c r="RXG3"/>
      <c r="RXH3"/>
      <c r="RXI3"/>
      <c r="RXJ3"/>
      <c r="RXK3"/>
      <c r="RXL3"/>
      <c r="RXM3"/>
      <c r="RXN3"/>
      <c r="RXO3"/>
      <c r="RXP3"/>
      <c r="RXQ3"/>
      <c r="RXR3"/>
      <c r="RXS3"/>
      <c r="RXT3"/>
      <c r="RXU3"/>
      <c r="RXV3"/>
      <c r="RXW3"/>
      <c r="RXX3"/>
      <c r="RXY3"/>
      <c r="RXZ3"/>
      <c r="RYA3"/>
      <c r="RYB3"/>
      <c r="RYC3"/>
      <c r="RYD3"/>
      <c r="RYE3"/>
      <c r="RYF3"/>
      <c r="RYG3"/>
      <c r="RYH3"/>
      <c r="RYI3"/>
      <c r="RYJ3"/>
      <c r="RYK3"/>
      <c r="RYL3"/>
      <c r="RYM3"/>
      <c r="RYN3"/>
      <c r="RYO3"/>
      <c r="RYP3"/>
      <c r="RYQ3"/>
      <c r="RYR3"/>
      <c r="RYS3"/>
      <c r="RYT3"/>
      <c r="RYU3"/>
      <c r="RYV3"/>
      <c r="RYW3"/>
      <c r="RYX3"/>
      <c r="RYY3"/>
      <c r="RYZ3"/>
      <c r="RZA3"/>
      <c r="RZB3"/>
      <c r="RZC3"/>
      <c r="RZD3"/>
      <c r="RZE3"/>
      <c r="RZF3"/>
      <c r="RZG3"/>
      <c r="RZH3"/>
      <c r="RZI3"/>
      <c r="RZJ3"/>
      <c r="RZK3"/>
      <c r="RZL3"/>
      <c r="RZM3"/>
      <c r="RZN3"/>
      <c r="RZO3"/>
      <c r="RZP3"/>
      <c r="RZQ3"/>
      <c r="RZR3"/>
      <c r="RZS3"/>
      <c r="RZT3"/>
      <c r="RZU3"/>
      <c r="RZV3"/>
      <c r="RZW3"/>
      <c r="RZX3"/>
      <c r="RZY3"/>
      <c r="RZZ3"/>
      <c r="SAA3"/>
      <c r="SAB3"/>
      <c r="SAC3"/>
      <c r="SAD3"/>
      <c r="SAE3"/>
      <c r="SAF3"/>
      <c r="SAG3"/>
      <c r="SAH3"/>
      <c r="SAI3"/>
      <c r="SAJ3"/>
      <c r="SAK3"/>
      <c r="SAL3"/>
      <c r="SAM3"/>
      <c r="SAN3"/>
      <c r="SAO3"/>
      <c r="SAP3"/>
      <c r="SAQ3"/>
      <c r="SAR3"/>
      <c r="SAS3"/>
      <c r="SAT3"/>
      <c r="SAU3"/>
      <c r="SAV3"/>
      <c r="SAW3"/>
      <c r="SAX3"/>
      <c r="SAY3"/>
      <c r="SAZ3"/>
      <c r="SBA3"/>
      <c r="SBB3"/>
      <c r="SBC3"/>
      <c r="SBD3"/>
      <c r="SBE3"/>
      <c r="SBF3"/>
      <c r="SBG3"/>
      <c r="SBH3"/>
      <c r="SBI3"/>
      <c r="SBJ3"/>
      <c r="SBK3"/>
      <c r="SBL3"/>
      <c r="SBM3"/>
      <c r="SBN3"/>
      <c r="SBO3"/>
      <c r="SBP3"/>
      <c r="SBQ3"/>
      <c r="SBR3"/>
      <c r="SBS3"/>
      <c r="SBT3"/>
      <c r="SBU3"/>
      <c r="SBV3"/>
      <c r="SBW3"/>
      <c r="SBX3"/>
      <c r="SBY3"/>
      <c r="SBZ3"/>
      <c r="SCA3"/>
      <c r="SCB3"/>
      <c r="SCC3"/>
      <c r="SCD3"/>
      <c r="SCE3"/>
      <c r="SCF3"/>
      <c r="SCG3"/>
      <c r="SCH3"/>
      <c r="SCI3"/>
      <c r="SCJ3"/>
      <c r="SCK3"/>
      <c r="SCL3"/>
      <c r="SCM3"/>
      <c r="SCN3"/>
      <c r="SCO3"/>
      <c r="SCP3"/>
      <c r="SCQ3"/>
      <c r="SCR3"/>
      <c r="SCS3"/>
      <c r="SCT3"/>
      <c r="SCU3"/>
      <c r="SCV3"/>
      <c r="SCW3"/>
      <c r="SCX3"/>
      <c r="SCY3"/>
      <c r="SCZ3"/>
      <c r="SDA3"/>
      <c r="SDB3"/>
      <c r="SDC3"/>
      <c r="SDD3"/>
      <c r="SDE3"/>
      <c r="SDF3"/>
      <c r="SDG3"/>
      <c r="SDH3"/>
      <c r="SDI3"/>
      <c r="SDJ3"/>
      <c r="SDK3"/>
      <c r="SDL3"/>
      <c r="SDM3"/>
      <c r="SDN3"/>
      <c r="SDO3"/>
      <c r="SDP3"/>
      <c r="SDQ3"/>
      <c r="SDR3"/>
      <c r="SDS3"/>
      <c r="SDT3"/>
      <c r="SDU3"/>
      <c r="SDV3"/>
      <c r="SDW3"/>
      <c r="SDX3"/>
      <c r="SDY3"/>
      <c r="SDZ3"/>
      <c r="SEA3"/>
      <c r="SEB3"/>
      <c r="SEC3"/>
      <c r="SED3"/>
      <c r="SEE3"/>
      <c r="SEF3"/>
      <c r="SEG3"/>
      <c r="SEH3"/>
      <c r="SEI3"/>
      <c r="SEJ3"/>
      <c r="SEK3"/>
      <c r="SEL3"/>
      <c r="SEM3"/>
      <c r="SEN3"/>
      <c r="SEO3"/>
      <c r="SEP3"/>
      <c r="SEQ3"/>
      <c r="SER3"/>
      <c r="SES3"/>
      <c r="SET3"/>
      <c r="SEU3"/>
      <c r="SEV3"/>
      <c r="SEW3"/>
      <c r="SEX3"/>
      <c r="SEY3"/>
      <c r="SEZ3"/>
      <c r="SFA3"/>
      <c r="SFB3"/>
      <c r="SFC3"/>
      <c r="SFD3"/>
      <c r="SFE3"/>
      <c r="SFF3"/>
      <c r="SFG3"/>
      <c r="SFH3"/>
      <c r="SFI3"/>
      <c r="SFJ3"/>
      <c r="SFK3"/>
      <c r="SFL3"/>
      <c r="SFM3"/>
      <c r="SFN3"/>
      <c r="SFO3"/>
      <c r="SFP3"/>
      <c r="SFQ3"/>
      <c r="SFR3"/>
      <c r="SFS3"/>
      <c r="SFT3"/>
      <c r="SFU3"/>
      <c r="SFV3"/>
      <c r="SFW3"/>
      <c r="SFX3"/>
      <c r="SFY3"/>
      <c r="SFZ3"/>
      <c r="SGA3"/>
      <c r="SGB3"/>
      <c r="SGC3"/>
      <c r="SGD3"/>
      <c r="SGE3"/>
      <c r="SGF3"/>
      <c r="SGG3"/>
      <c r="SGH3"/>
      <c r="SGI3"/>
      <c r="SGJ3"/>
      <c r="SGK3"/>
      <c r="SGL3"/>
      <c r="SGM3"/>
      <c r="SGN3"/>
      <c r="SGO3"/>
      <c r="SGP3"/>
      <c r="SGQ3"/>
      <c r="SGR3"/>
      <c r="SGS3"/>
      <c r="SGT3"/>
      <c r="SGU3"/>
      <c r="SGV3"/>
      <c r="SGW3"/>
      <c r="SGX3"/>
      <c r="SGY3"/>
      <c r="SGZ3"/>
      <c r="SHA3"/>
      <c r="SHB3"/>
      <c r="SHC3"/>
      <c r="SHD3"/>
      <c r="SHE3"/>
      <c r="SHF3"/>
      <c r="SHG3"/>
      <c r="SHH3"/>
      <c r="SHI3"/>
      <c r="SHJ3"/>
      <c r="SHK3"/>
      <c r="SHL3"/>
      <c r="SHM3"/>
      <c r="SHN3"/>
      <c r="SHO3"/>
      <c r="SHP3"/>
      <c r="SHQ3"/>
      <c r="SHR3"/>
      <c r="SHS3"/>
      <c r="SHT3"/>
      <c r="SHU3"/>
      <c r="SHV3"/>
      <c r="SHW3"/>
      <c r="SHX3"/>
      <c r="SHY3"/>
      <c r="SHZ3"/>
      <c r="SIA3"/>
      <c r="SIB3"/>
      <c r="SIC3"/>
      <c r="SID3"/>
      <c r="SIE3"/>
      <c r="SIF3"/>
      <c r="SIG3"/>
      <c r="SIH3"/>
      <c r="SII3"/>
      <c r="SIJ3"/>
      <c r="SIK3"/>
      <c r="SIL3"/>
      <c r="SIM3"/>
      <c r="SIN3"/>
      <c r="SIO3"/>
      <c r="SIP3"/>
      <c r="SIQ3"/>
      <c r="SIR3"/>
      <c r="SIS3"/>
      <c r="SIT3"/>
      <c r="SIU3"/>
      <c r="SIV3"/>
      <c r="SIW3"/>
      <c r="SIX3"/>
      <c r="SIY3"/>
      <c r="SIZ3"/>
      <c r="SJA3"/>
      <c r="SJB3"/>
      <c r="SJC3"/>
      <c r="SJD3"/>
      <c r="SJE3"/>
      <c r="SJF3"/>
      <c r="SJG3"/>
      <c r="SJH3"/>
      <c r="SJI3"/>
      <c r="SJJ3"/>
      <c r="SJK3"/>
      <c r="SJL3"/>
      <c r="SJM3"/>
      <c r="SJN3"/>
      <c r="SJO3"/>
      <c r="SJP3"/>
      <c r="SJQ3"/>
      <c r="SJR3"/>
      <c r="SJS3"/>
      <c r="SJT3"/>
      <c r="SJU3"/>
      <c r="SJV3"/>
      <c r="SJW3"/>
      <c r="SJX3"/>
      <c r="SJY3"/>
      <c r="SJZ3"/>
      <c r="SKA3"/>
      <c r="SKB3"/>
      <c r="SKC3"/>
      <c r="SKD3"/>
      <c r="SKE3"/>
      <c r="SKF3"/>
      <c r="SKG3"/>
      <c r="SKH3"/>
      <c r="SKI3"/>
      <c r="SKJ3"/>
      <c r="SKK3"/>
      <c r="SKL3"/>
      <c r="SKM3"/>
      <c r="SKN3"/>
      <c r="SKO3"/>
      <c r="SKP3"/>
      <c r="SKQ3"/>
      <c r="SKR3"/>
      <c r="SKS3"/>
      <c r="SKT3"/>
      <c r="SKU3"/>
      <c r="SKV3"/>
      <c r="SKW3"/>
      <c r="SKX3"/>
      <c r="SKY3"/>
      <c r="SKZ3"/>
      <c r="SLA3"/>
      <c r="SLB3"/>
      <c r="SLC3"/>
      <c r="SLD3"/>
      <c r="SLE3"/>
      <c r="SLF3"/>
      <c r="SLG3"/>
      <c r="SLH3"/>
      <c r="SLI3"/>
      <c r="SLJ3"/>
      <c r="SLK3"/>
      <c r="SLL3"/>
      <c r="SLM3"/>
      <c r="SLN3"/>
      <c r="SLO3"/>
      <c r="SLP3"/>
      <c r="SLQ3"/>
      <c r="SLR3"/>
      <c r="SLS3"/>
      <c r="SLT3"/>
      <c r="SLU3"/>
      <c r="SLV3"/>
      <c r="SLW3"/>
      <c r="SLX3"/>
      <c r="SLY3"/>
      <c r="SLZ3"/>
      <c r="SMA3"/>
      <c r="SMB3"/>
      <c r="SMC3"/>
      <c r="SMD3"/>
      <c r="SME3"/>
      <c r="SMF3"/>
      <c r="SMG3"/>
      <c r="SMH3"/>
      <c r="SMI3"/>
      <c r="SMJ3"/>
      <c r="SMK3"/>
      <c r="SML3"/>
      <c r="SMM3"/>
      <c r="SMN3"/>
      <c r="SMO3"/>
      <c r="SMP3"/>
      <c r="SMQ3"/>
      <c r="SMR3"/>
      <c r="SMS3"/>
      <c r="SMT3"/>
      <c r="SMU3"/>
      <c r="SMV3"/>
      <c r="SMW3"/>
      <c r="SMX3"/>
      <c r="SMY3"/>
      <c r="SMZ3"/>
      <c r="SNA3"/>
      <c r="SNB3"/>
      <c r="SNC3"/>
      <c r="SND3"/>
      <c r="SNE3"/>
      <c r="SNF3"/>
      <c r="SNG3"/>
      <c r="SNH3"/>
      <c r="SNI3"/>
      <c r="SNJ3"/>
      <c r="SNK3"/>
      <c r="SNL3"/>
      <c r="SNM3"/>
      <c r="SNN3"/>
      <c r="SNO3"/>
      <c r="SNP3"/>
      <c r="SNQ3"/>
      <c r="SNR3"/>
      <c r="SNS3"/>
      <c r="SNT3"/>
      <c r="SNU3"/>
      <c r="SNV3"/>
      <c r="SNW3"/>
      <c r="SNX3"/>
      <c r="SNY3"/>
      <c r="SNZ3"/>
      <c r="SOA3"/>
      <c r="SOB3"/>
      <c r="SOC3"/>
      <c r="SOD3"/>
      <c r="SOE3"/>
      <c r="SOF3"/>
      <c r="SOG3"/>
      <c r="SOH3"/>
      <c r="SOI3"/>
      <c r="SOJ3"/>
      <c r="SOK3"/>
      <c r="SOL3"/>
      <c r="SOM3"/>
      <c r="SON3"/>
      <c r="SOO3"/>
      <c r="SOP3"/>
      <c r="SOQ3"/>
      <c r="SOR3"/>
      <c r="SOS3"/>
      <c r="SOT3"/>
      <c r="SOU3"/>
      <c r="SOV3"/>
      <c r="SOW3"/>
      <c r="SOX3"/>
      <c r="SOY3"/>
      <c r="SOZ3"/>
      <c r="SPA3"/>
      <c r="SPB3"/>
      <c r="SPC3"/>
      <c r="SPD3"/>
      <c r="SPE3"/>
      <c r="SPF3"/>
      <c r="SPG3"/>
      <c r="SPH3"/>
      <c r="SPI3"/>
      <c r="SPJ3"/>
      <c r="SPK3"/>
      <c r="SPL3"/>
      <c r="SPM3"/>
      <c r="SPN3"/>
      <c r="SPO3"/>
      <c r="SPP3"/>
      <c r="SPQ3"/>
      <c r="SPR3"/>
      <c r="SPS3"/>
      <c r="SPT3"/>
      <c r="SPU3"/>
      <c r="SPV3"/>
      <c r="SPW3"/>
      <c r="SPX3"/>
      <c r="SPY3"/>
      <c r="SPZ3"/>
      <c r="SQA3"/>
      <c r="SQB3"/>
      <c r="SQC3"/>
      <c r="SQD3"/>
      <c r="SQE3"/>
      <c r="SQF3"/>
      <c r="SQG3"/>
      <c r="SQH3"/>
      <c r="SQI3"/>
      <c r="SQJ3"/>
      <c r="SQK3"/>
      <c r="SQL3"/>
      <c r="SQM3"/>
      <c r="SQN3"/>
      <c r="SQO3"/>
      <c r="SQP3"/>
      <c r="SQQ3"/>
      <c r="SQR3"/>
      <c r="SQS3"/>
      <c r="SQT3"/>
      <c r="SQU3"/>
      <c r="SQV3"/>
      <c r="SQW3"/>
      <c r="SQX3"/>
      <c r="SQY3"/>
      <c r="SQZ3"/>
      <c r="SRA3"/>
      <c r="SRB3"/>
      <c r="SRC3"/>
      <c r="SRD3"/>
      <c r="SRE3"/>
      <c r="SRF3"/>
      <c r="SRG3"/>
      <c r="SRH3"/>
      <c r="SRI3"/>
      <c r="SRJ3"/>
      <c r="SRK3"/>
      <c r="SRL3"/>
      <c r="SRM3"/>
      <c r="SRN3"/>
      <c r="SRO3"/>
      <c r="SRP3"/>
      <c r="SRQ3"/>
      <c r="SRR3"/>
      <c r="SRS3"/>
      <c r="SRT3"/>
      <c r="SRU3"/>
      <c r="SRV3"/>
      <c r="SRW3"/>
      <c r="SRX3"/>
      <c r="SRY3"/>
      <c r="SRZ3"/>
      <c r="SSA3"/>
      <c r="SSB3"/>
      <c r="SSC3"/>
      <c r="SSD3"/>
      <c r="SSE3"/>
      <c r="SSF3"/>
      <c r="SSG3"/>
      <c r="SSH3"/>
      <c r="SSI3"/>
      <c r="SSJ3"/>
      <c r="SSK3"/>
      <c r="SSL3"/>
      <c r="SSM3"/>
      <c r="SSN3"/>
      <c r="SSO3"/>
      <c r="SSP3"/>
      <c r="SSQ3"/>
      <c r="SSR3"/>
      <c r="SSS3"/>
      <c r="SST3"/>
      <c r="SSU3"/>
      <c r="SSV3"/>
      <c r="SSW3"/>
      <c r="SSX3"/>
      <c r="SSY3"/>
      <c r="SSZ3"/>
      <c r="STA3"/>
      <c r="STB3"/>
      <c r="STC3"/>
      <c r="STD3"/>
      <c r="STE3"/>
      <c r="STF3"/>
      <c r="STG3"/>
      <c r="STH3"/>
      <c r="STI3"/>
      <c r="STJ3"/>
      <c r="STK3"/>
      <c r="STL3"/>
      <c r="STM3"/>
      <c r="STN3"/>
      <c r="STO3"/>
      <c r="STP3"/>
      <c r="STQ3"/>
      <c r="STR3"/>
      <c r="STS3"/>
      <c r="STT3"/>
      <c r="STU3"/>
      <c r="STV3"/>
      <c r="STW3"/>
      <c r="STX3"/>
      <c r="STY3"/>
      <c r="STZ3"/>
      <c r="SUA3"/>
      <c r="SUB3"/>
      <c r="SUC3"/>
      <c r="SUD3"/>
      <c r="SUE3"/>
      <c r="SUF3"/>
      <c r="SUG3"/>
      <c r="SUH3"/>
      <c r="SUI3"/>
      <c r="SUJ3"/>
      <c r="SUK3"/>
      <c r="SUL3"/>
      <c r="SUM3"/>
      <c r="SUN3"/>
      <c r="SUO3"/>
      <c r="SUP3"/>
      <c r="SUQ3"/>
      <c r="SUR3"/>
      <c r="SUS3"/>
      <c r="SUT3"/>
      <c r="SUU3"/>
      <c r="SUV3"/>
      <c r="SUW3"/>
      <c r="SUX3"/>
      <c r="SUY3"/>
      <c r="SUZ3"/>
      <c r="SVA3"/>
      <c r="SVB3"/>
      <c r="SVC3"/>
      <c r="SVD3"/>
      <c r="SVE3"/>
      <c r="SVF3"/>
      <c r="SVG3"/>
      <c r="SVH3"/>
      <c r="SVI3"/>
      <c r="SVJ3"/>
      <c r="SVK3"/>
      <c r="SVL3"/>
      <c r="SVM3"/>
      <c r="SVN3"/>
      <c r="SVO3"/>
      <c r="SVP3"/>
      <c r="SVQ3"/>
      <c r="SVR3"/>
      <c r="SVS3"/>
      <c r="SVT3"/>
      <c r="SVU3"/>
      <c r="SVV3"/>
      <c r="SVW3"/>
      <c r="SVX3"/>
      <c r="SVY3"/>
      <c r="SVZ3"/>
      <c r="SWA3"/>
      <c r="SWB3"/>
      <c r="SWC3"/>
      <c r="SWD3"/>
      <c r="SWE3"/>
      <c r="SWF3"/>
      <c r="SWG3"/>
      <c r="SWH3"/>
      <c r="SWI3"/>
      <c r="SWJ3"/>
      <c r="SWK3"/>
      <c r="SWL3"/>
      <c r="SWM3"/>
      <c r="SWN3"/>
      <c r="SWO3"/>
      <c r="SWP3"/>
      <c r="SWQ3"/>
      <c r="SWR3"/>
      <c r="SWS3"/>
      <c r="SWT3"/>
      <c r="SWU3"/>
      <c r="SWV3"/>
      <c r="SWW3"/>
      <c r="SWX3"/>
      <c r="SWY3"/>
      <c r="SWZ3"/>
      <c r="SXA3"/>
      <c r="SXB3"/>
      <c r="SXC3"/>
      <c r="SXD3"/>
      <c r="SXE3"/>
      <c r="SXF3"/>
      <c r="SXG3"/>
      <c r="SXH3"/>
      <c r="SXI3"/>
      <c r="SXJ3"/>
      <c r="SXK3"/>
      <c r="SXL3"/>
      <c r="SXM3"/>
      <c r="SXN3"/>
      <c r="SXO3"/>
      <c r="SXP3"/>
      <c r="SXQ3"/>
      <c r="SXR3"/>
      <c r="SXS3"/>
      <c r="SXT3"/>
      <c r="SXU3"/>
      <c r="SXV3"/>
      <c r="SXW3"/>
      <c r="SXX3"/>
      <c r="SXY3"/>
      <c r="SXZ3"/>
      <c r="SYA3"/>
      <c r="SYB3"/>
      <c r="SYC3"/>
      <c r="SYD3"/>
      <c r="SYE3"/>
      <c r="SYF3"/>
      <c r="SYG3"/>
      <c r="SYH3"/>
      <c r="SYI3"/>
      <c r="SYJ3"/>
      <c r="SYK3"/>
      <c r="SYL3"/>
      <c r="SYM3"/>
      <c r="SYN3"/>
      <c r="SYO3"/>
      <c r="SYP3"/>
      <c r="SYQ3"/>
      <c r="SYR3"/>
      <c r="SYS3"/>
      <c r="SYT3"/>
      <c r="SYU3"/>
      <c r="SYV3"/>
      <c r="SYW3"/>
      <c r="SYX3"/>
      <c r="SYY3"/>
      <c r="SYZ3"/>
      <c r="SZA3"/>
      <c r="SZB3"/>
      <c r="SZC3"/>
      <c r="SZD3"/>
      <c r="SZE3"/>
      <c r="SZF3"/>
      <c r="SZG3"/>
      <c r="SZH3"/>
      <c r="SZI3"/>
      <c r="SZJ3"/>
      <c r="SZK3"/>
      <c r="SZL3"/>
      <c r="SZM3"/>
      <c r="SZN3"/>
      <c r="SZO3"/>
      <c r="SZP3"/>
      <c r="SZQ3"/>
      <c r="SZR3"/>
      <c r="SZS3"/>
      <c r="SZT3"/>
      <c r="SZU3"/>
      <c r="SZV3"/>
      <c r="SZW3"/>
      <c r="SZX3"/>
      <c r="SZY3"/>
      <c r="SZZ3"/>
      <c r="TAA3"/>
      <c r="TAB3"/>
      <c r="TAC3"/>
      <c r="TAD3"/>
      <c r="TAE3"/>
      <c r="TAF3"/>
      <c r="TAG3"/>
      <c r="TAH3"/>
      <c r="TAI3"/>
      <c r="TAJ3"/>
      <c r="TAK3"/>
      <c r="TAL3"/>
      <c r="TAM3"/>
      <c r="TAN3"/>
      <c r="TAO3"/>
      <c r="TAP3"/>
      <c r="TAQ3"/>
      <c r="TAR3"/>
      <c r="TAS3"/>
      <c r="TAT3"/>
      <c r="TAU3"/>
      <c r="TAV3"/>
      <c r="TAW3"/>
      <c r="TAX3"/>
      <c r="TAY3"/>
      <c r="TAZ3"/>
      <c r="TBA3"/>
      <c r="TBB3"/>
      <c r="TBC3"/>
      <c r="TBD3"/>
      <c r="TBE3"/>
      <c r="TBF3"/>
      <c r="TBG3"/>
      <c r="TBH3"/>
      <c r="TBI3"/>
      <c r="TBJ3"/>
      <c r="TBK3"/>
      <c r="TBL3"/>
      <c r="TBM3"/>
      <c r="TBN3"/>
      <c r="TBO3"/>
      <c r="TBP3"/>
      <c r="TBQ3"/>
      <c r="TBR3"/>
      <c r="TBS3"/>
      <c r="TBT3"/>
      <c r="TBU3"/>
      <c r="TBV3"/>
      <c r="TBW3"/>
      <c r="TBX3"/>
      <c r="TBY3"/>
      <c r="TBZ3"/>
      <c r="TCA3"/>
      <c r="TCB3"/>
      <c r="TCC3"/>
      <c r="TCD3"/>
      <c r="TCE3"/>
      <c r="TCF3"/>
      <c r="TCG3"/>
      <c r="TCH3"/>
      <c r="TCI3"/>
      <c r="TCJ3"/>
      <c r="TCK3"/>
      <c r="TCL3"/>
      <c r="TCM3"/>
      <c r="TCN3"/>
      <c r="TCO3"/>
      <c r="TCP3"/>
      <c r="TCQ3"/>
      <c r="TCR3"/>
      <c r="TCS3"/>
      <c r="TCT3"/>
      <c r="TCU3"/>
      <c r="TCV3"/>
      <c r="TCW3"/>
      <c r="TCX3"/>
      <c r="TCY3"/>
      <c r="TCZ3"/>
      <c r="TDA3"/>
      <c r="TDB3"/>
      <c r="TDC3"/>
      <c r="TDD3"/>
      <c r="TDE3"/>
      <c r="TDF3"/>
      <c r="TDG3"/>
      <c r="TDH3"/>
      <c r="TDI3"/>
      <c r="TDJ3"/>
      <c r="TDK3"/>
      <c r="TDL3"/>
      <c r="TDM3"/>
      <c r="TDN3"/>
      <c r="TDO3"/>
      <c r="TDP3"/>
      <c r="TDQ3"/>
      <c r="TDR3"/>
      <c r="TDS3"/>
      <c r="TDT3"/>
      <c r="TDU3"/>
      <c r="TDV3"/>
      <c r="TDW3"/>
      <c r="TDX3"/>
      <c r="TDY3"/>
      <c r="TDZ3"/>
      <c r="TEA3"/>
      <c r="TEB3"/>
      <c r="TEC3"/>
      <c r="TED3"/>
      <c r="TEE3"/>
      <c r="TEF3"/>
      <c r="TEG3"/>
      <c r="TEH3"/>
      <c r="TEI3"/>
      <c r="TEJ3"/>
      <c r="TEK3"/>
      <c r="TEL3"/>
      <c r="TEM3"/>
      <c r="TEN3"/>
      <c r="TEO3"/>
      <c r="TEP3"/>
      <c r="TEQ3"/>
      <c r="TER3"/>
      <c r="TES3"/>
      <c r="TET3"/>
      <c r="TEU3"/>
      <c r="TEV3"/>
      <c r="TEW3"/>
      <c r="TEX3"/>
      <c r="TEY3"/>
      <c r="TEZ3"/>
      <c r="TFA3"/>
      <c r="TFB3"/>
      <c r="TFC3"/>
      <c r="TFD3"/>
      <c r="TFE3"/>
      <c r="TFF3"/>
      <c r="TFG3"/>
      <c r="TFH3"/>
      <c r="TFI3"/>
      <c r="TFJ3"/>
      <c r="TFK3"/>
      <c r="TFL3"/>
      <c r="TFM3"/>
      <c r="TFN3"/>
      <c r="TFO3"/>
      <c r="TFP3"/>
      <c r="TFQ3"/>
      <c r="TFR3"/>
      <c r="TFS3"/>
      <c r="TFT3"/>
      <c r="TFU3"/>
      <c r="TFV3"/>
      <c r="TFW3"/>
      <c r="TFX3"/>
      <c r="TFY3"/>
      <c r="TFZ3"/>
      <c r="TGA3"/>
      <c r="TGB3"/>
      <c r="TGC3"/>
      <c r="TGD3"/>
      <c r="TGE3"/>
      <c r="TGF3"/>
      <c r="TGG3"/>
      <c r="TGH3"/>
      <c r="TGI3"/>
      <c r="TGJ3"/>
      <c r="TGK3"/>
      <c r="TGL3"/>
      <c r="TGM3"/>
      <c r="TGN3"/>
      <c r="TGO3"/>
      <c r="TGP3"/>
      <c r="TGQ3"/>
      <c r="TGR3"/>
      <c r="TGS3"/>
      <c r="TGT3"/>
      <c r="TGU3"/>
      <c r="TGV3"/>
      <c r="TGW3"/>
      <c r="TGX3"/>
      <c r="TGY3"/>
      <c r="TGZ3"/>
      <c r="THA3"/>
      <c r="THB3"/>
      <c r="THC3"/>
      <c r="THD3"/>
      <c r="THE3"/>
      <c r="THF3"/>
      <c r="THG3"/>
      <c r="THH3"/>
      <c r="THI3"/>
      <c r="THJ3"/>
      <c r="THK3"/>
      <c r="THL3"/>
      <c r="THM3"/>
      <c r="THN3"/>
      <c r="THO3"/>
      <c r="THP3"/>
      <c r="THQ3"/>
      <c r="THR3"/>
      <c r="THS3"/>
      <c r="THT3"/>
      <c r="THU3"/>
      <c r="THV3"/>
      <c r="THW3"/>
      <c r="THX3"/>
      <c r="THY3"/>
      <c r="THZ3"/>
      <c r="TIA3"/>
      <c r="TIB3"/>
      <c r="TIC3"/>
      <c r="TID3"/>
      <c r="TIE3"/>
      <c r="TIF3"/>
      <c r="TIG3"/>
      <c r="TIH3"/>
      <c r="TII3"/>
      <c r="TIJ3"/>
      <c r="TIK3"/>
      <c r="TIL3"/>
      <c r="TIM3"/>
      <c r="TIN3"/>
      <c r="TIO3"/>
      <c r="TIP3"/>
      <c r="TIQ3"/>
      <c r="TIR3"/>
      <c r="TIS3"/>
      <c r="TIT3"/>
      <c r="TIU3"/>
      <c r="TIV3"/>
      <c r="TIW3"/>
      <c r="TIX3"/>
      <c r="TIY3"/>
      <c r="TIZ3"/>
      <c r="TJA3"/>
      <c r="TJB3"/>
      <c r="TJC3"/>
      <c r="TJD3"/>
      <c r="TJE3"/>
      <c r="TJF3"/>
      <c r="TJG3"/>
      <c r="TJH3"/>
      <c r="TJI3"/>
      <c r="TJJ3"/>
      <c r="TJK3"/>
      <c r="TJL3"/>
      <c r="TJM3"/>
      <c r="TJN3"/>
      <c r="TJO3"/>
      <c r="TJP3"/>
      <c r="TJQ3"/>
      <c r="TJR3"/>
      <c r="TJS3"/>
      <c r="TJT3"/>
      <c r="TJU3"/>
      <c r="TJV3"/>
      <c r="TJW3"/>
      <c r="TJX3"/>
      <c r="TJY3"/>
      <c r="TJZ3"/>
      <c r="TKA3"/>
      <c r="TKB3"/>
      <c r="TKC3"/>
      <c r="TKD3"/>
      <c r="TKE3"/>
      <c r="TKF3"/>
      <c r="TKG3"/>
      <c r="TKH3"/>
      <c r="TKI3"/>
      <c r="TKJ3"/>
      <c r="TKK3"/>
      <c r="TKL3"/>
      <c r="TKM3"/>
      <c r="TKN3"/>
      <c r="TKO3"/>
      <c r="TKP3"/>
      <c r="TKQ3"/>
      <c r="TKR3"/>
      <c r="TKS3"/>
      <c r="TKT3"/>
      <c r="TKU3"/>
      <c r="TKV3"/>
      <c r="TKW3"/>
      <c r="TKX3"/>
      <c r="TKY3"/>
      <c r="TKZ3"/>
      <c r="TLA3"/>
      <c r="TLB3"/>
      <c r="TLC3"/>
      <c r="TLD3"/>
      <c r="TLE3"/>
      <c r="TLF3"/>
      <c r="TLG3"/>
      <c r="TLH3"/>
      <c r="TLI3"/>
      <c r="TLJ3"/>
      <c r="TLK3"/>
      <c r="TLL3"/>
      <c r="TLM3"/>
      <c r="TLN3"/>
      <c r="TLO3"/>
      <c r="TLP3"/>
      <c r="TLQ3"/>
      <c r="TLR3"/>
      <c r="TLS3"/>
      <c r="TLT3"/>
      <c r="TLU3"/>
      <c r="TLV3"/>
      <c r="TLW3"/>
      <c r="TLX3"/>
      <c r="TLY3"/>
      <c r="TLZ3"/>
      <c r="TMA3"/>
      <c r="TMB3"/>
      <c r="TMC3"/>
      <c r="TMD3"/>
      <c r="TME3"/>
      <c r="TMF3"/>
      <c r="TMG3"/>
      <c r="TMH3"/>
      <c r="TMI3"/>
      <c r="TMJ3"/>
      <c r="TMK3"/>
      <c r="TML3"/>
      <c r="TMM3"/>
      <c r="TMN3"/>
      <c r="TMO3"/>
      <c r="TMP3"/>
      <c r="TMQ3"/>
      <c r="TMR3"/>
      <c r="TMS3"/>
      <c r="TMT3"/>
      <c r="TMU3"/>
      <c r="TMV3"/>
      <c r="TMW3"/>
      <c r="TMX3"/>
      <c r="TMY3"/>
      <c r="TMZ3"/>
      <c r="TNA3"/>
      <c r="TNB3"/>
      <c r="TNC3"/>
      <c r="TND3"/>
      <c r="TNE3"/>
      <c r="TNF3"/>
      <c r="TNG3"/>
      <c r="TNH3"/>
      <c r="TNI3"/>
      <c r="TNJ3"/>
      <c r="TNK3"/>
      <c r="TNL3"/>
      <c r="TNM3"/>
      <c r="TNN3"/>
      <c r="TNO3"/>
      <c r="TNP3"/>
      <c r="TNQ3"/>
      <c r="TNR3"/>
      <c r="TNS3"/>
      <c r="TNT3"/>
      <c r="TNU3"/>
      <c r="TNV3"/>
      <c r="TNW3"/>
      <c r="TNX3"/>
      <c r="TNY3"/>
      <c r="TNZ3"/>
      <c r="TOA3"/>
      <c r="TOB3"/>
      <c r="TOC3"/>
      <c r="TOD3"/>
      <c r="TOE3"/>
      <c r="TOF3"/>
      <c r="TOG3"/>
      <c r="TOH3"/>
      <c r="TOI3"/>
      <c r="TOJ3"/>
      <c r="TOK3"/>
      <c r="TOL3"/>
      <c r="TOM3"/>
      <c r="TON3"/>
      <c r="TOO3"/>
      <c r="TOP3"/>
      <c r="TOQ3"/>
      <c r="TOR3"/>
      <c r="TOS3"/>
      <c r="TOT3"/>
      <c r="TOU3"/>
      <c r="TOV3"/>
      <c r="TOW3"/>
      <c r="TOX3"/>
      <c r="TOY3"/>
      <c r="TOZ3"/>
      <c r="TPA3"/>
      <c r="TPB3"/>
      <c r="TPC3"/>
      <c r="TPD3"/>
      <c r="TPE3"/>
      <c r="TPF3"/>
      <c r="TPG3"/>
      <c r="TPH3"/>
      <c r="TPI3"/>
      <c r="TPJ3"/>
      <c r="TPK3"/>
      <c r="TPL3"/>
      <c r="TPM3"/>
      <c r="TPN3"/>
      <c r="TPO3"/>
      <c r="TPP3"/>
      <c r="TPQ3"/>
      <c r="TPR3"/>
      <c r="TPS3"/>
      <c r="TPT3"/>
      <c r="TPU3"/>
      <c r="TPV3"/>
      <c r="TPW3"/>
      <c r="TPX3"/>
      <c r="TPY3"/>
      <c r="TPZ3"/>
      <c r="TQA3"/>
      <c r="TQB3"/>
      <c r="TQC3"/>
      <c r="TQD3"/>
      <c r="TQE3"/>
      <c r="TQF3"/>
      <c r="TQG3"/>
      <c r="TQH3"/>
      <c r="TQI3"/>
      <c r="TQJ3"/>
      <c r="TQK3"/>
      <c r="TQL3"/>
      <c r="TQM3"/>
      <c r="TQN3"/>
      <c r="TQO3"/>
      <c r="TQP3"/>
      <c r="TQQ3"/>
      <c r="TQR3"/>
      <c r="TQS3"/>
      <c r="TQT3"/>
      <c r="TQU3"/>
      <c r="TQV3"/>
      <c r="TQW3"/>
      <c r="TQX3"/>
      <c r="TQY3"/>
      <c r="TQZ3"/>
      <c r="TRA3"/>
      <c r="TRB3"/>
      <c r="TRC3"/>
      <c r="TRD3"/>
      <c r="TRE3"/>
      <c r="TRF3"/>
      <c r="TRG3"/>
      <c r="TRH3"/>
      <c r="TRI3"/>
      <c r="TRJ3"/>
      <c r="TRK3"/>
      <c r="TRL3"/>
      <c r="TRM3"/>
      <c r="TRN3"/>
      <c r="TRO3"/>
      <c r="TRP3"/>
      <c r="TRQ3"/>
      <c r="TRR3"/>
      <c r="TRS3"/>
      <c r="TRT3"/>
      <c r="TRU3"/>
      <c r="TRV3"/>
      <c r="TRW3"/>
      <c r="TRX3"/>
      <c r="TRY3"/>
      <c r="TRZ3"/>
      <c r="TSA3"/>
      <c r="TSB3"/>
      <c r="TSC3"/>
      <c r="TSD3"/>
      <c r="TSE3"/>
      <c r="TSF3"/>
      <c r="TSG3"/>
      <c r="TSH3"/>
      <c r="TSI3"/>
      <c r="TSJ3"/>
      <c r="TSK3"/>
      <c r="TSL3"/>
      <c r="TSM3"/>
      <c r="TSN3"/>
      <c r="TSO3"/>
      <c r="TSP3"/>
      <c r="TSQ3"/>
      <c r="TSR3"/>
      <c r="TSS3"/>
      <c r="TST3"/>
      <c r="TSU3"/>
      <c r="TSV3"/>
      <c r="TSW3"/>
      <c r="TSX3"/>
      <c r="TSY3"/>
      <c r="TSZ3"/>
      <c r="TTA3"/>
      <c r="TTB3"/>
      <c r="TTC3"/>
      <c r="TTD3"/>
      <c r="TTE3"/>
      <c r="TTF3"/>
      <c r="TTG3"/>
      <c r="TTH3"/>
      <c r="TTI3"/>
      <c r="TTJ3"/>
      <c r="TTK3"/>
      <c r="TTL3"/>
      <c r="TTM3"/>
      <c r="TTN3"/>
      <c r="TTO3"/>
      <c r="TTP3"/>
      <c r="TTQ3"/>
      <c r="TTR3"/>
      <c r="TTS3"/>
      <c r="TTT3"/>
      <c r="TTU3"/>
      <c r="TTV3"/>
      <c r="TTW3"/>
      <c r="TTX3"/>
      <c r="TTY3"/>
      <c r="TTZ3"/>
      <c r="TUA3"/>
      <c r="TUB3"/>
      <c r="TUC3"/>
      <c r="TUD3"/>
      <c r="TUE3"/>
      <c r="TUF3"/>
      <c r="TUG3"/>
      <c r="TUH3"/>
      <c r="TUI3"/>
      <c r="TUJ3"/>
      <c r="TUK3"/>
      <c r="TUL3"/>
      <c r="TUM3"/>
      <c r="TUN3"/>
      <c r="TUO3"/>
      <c r="TUP3"/>
      <c r="TUQ3"/>
      <c r="TUR3"/>
      <c r="TUS3"/>
      <c r="TUT3"/>
      <c r="TUU3"/>
      <c r="TUV3"/>
      <c r="TUW3"/>
      <c r="TUX3"/>
      <c r="TUY3"/>
      <c r="TUZ3"/>
      <c r="TVA3"/>
      <c r="TVB3"/>
      <c r="TVC3"/>
      <c r="TVD3"/>
      <c r="TVE3"/>
      <c r="TVF3"/>
      <c r="TVG3"/>
      <c r="TVH3"/>
      <c r="TVI3"/>
      <c r="TVJ3"/>
      <c r="TVK3"/>
      <c r="TVL3"/>
      <c r="TVM3"/>
      <c r="TVN3"/>
      <c r="TVO3"/>
      <c r="TVP3"/>
      <c r="TVQ3"/>
      <c r="TVR3"/>
      <c r="TVS3"/>
      <c r="TVT3"/>
      <c r="TVU3"/>
      <c r="TVV3"/>
      <c r="TVW3"/>
      <c r="TVX3"/>
      <c r="TVY3"/>
      <c r="TVZ3"/>
      <c r="TWA3"/>
      <c r="TWB3"/>
      <c r="TWC3"/>
      <c r="TWD3"/>
      <c r="TWE3"/>
      <c r="TWF3"/>
      <c r="TWG3"/>
      <c r="TWH3"/>
      <c r="TWI3"/>
      <c r="TWJ3"/>
      <c r="TWK3"/>
      <c r="TWL3"/>
      <c r="TWM3"/>
      <c r="TWN3"/>
      <c r="TWO3"/>
      <c r="TWP3"/>
      <c r="TWQ3"/>
      <c r="TWR3"/>
      <c r="TWS3"/>
      <c r="TWT3"/>
      <c r="TWU3"/>
      <c r="TWV3"/>
      <c r="TWW3"/>
      <c r="TWX3"/>
      <c r="TWY3"/>
      <c r="TWZ3"/>
      <c r="TXA3"/>
      <c r="TXB3"/>
      <c r="TXC3"/>
      <c r="TXD3"/>
      <c r="TXE3"/>
      <c r="TXF3"/>
      <c r="TXG3"/>
      <c r="TXH3"/>
      <c r="TXI3"/>
      <c r="TXJ3"/>
      <c r="TXK3"/>
      <c r="TXL3"/>
      <c r="TXM3"/>
      <c r="TXN3"/>
      <c r="TXO3"/>
      <c r="TXP3"/>
      <c r="TXQ3"/>
      <c r="TXR3"/>
      <c r="TXS3"/>
      <c r="TXT3"/>
      <c r="TXU3"/>
      <c r="TXV3"/>
      <c r="TXW3"/>
      <c r="TXX3"/>
      <c r="TXY3"/>
      <c r="TXZ3"/>
      <c r="TYA3"/>
      <c r="TYB3"/>
      <c r="TYC3"/>
      <c r="TYD3"/>
      <c r="TYE3"/>
      <c r="TYF3"/>
      <c r="TYG3"/>
      <c r="TYH3"/>
      <c r="TYI3"/>
      <c r="TYJ3"/>
      <c r="TYK3"/>
      <c r="TYL3"/>
      <c r="TYM3"/>
      <c r="TYN3"/>
      <c r="TYO3"/>
      <c r="TYP3"/>
      <c r="TYQ3"/>
      <c r="TYR3"/>
      <c r="TYS3"/>
      <c r="TYT3"/>
      <c r="TYU3"/>
      <c r="TYV3"/>
      <c r="TYW3"/>
      <c r="TYX3"/>
      <c r="TYY3"/>
      <c r="TYZ3"/>
      <c r="TZA3"/>
      <c r="TZB3"/>
      <c r="TZC3"/>
      <c r="TZD3"/>
      <c r="TZE3"/>
      <c r="TZF3"/>
      <c r="TZG3"/>
      <c r="TZH3"/>
      <c r="TZI3"/>
      <c r="TZJ3"/>
      <c r="TZK3"/>
      <c r="TZL3"/>
      <c r="TZM3"/>
      <c r="TZN3"/>
      <c r="TZO3"/>
      <c r="TZP3"/>
      <c r="TZQ3"/>
      <c r="TZR3"/>
      <c r="TZS3"/>
      <c r="TZT3"/>
      <c r="TZU3"/>
      <c r="TZV3"/>
      <c r="TZW3"/>
      <c r="TZX3"/>
      <c r="TZY3"/>
      <c r="TZZ3"/>
      <c r="UAA3"/>
      <c r="UAB3"/>
      <c r="UAC3"/>
      <c r="UAD3"/>
      <c r="UAE3"/>
      <c r="UAF3"/>
      <c r="UAG3"/>
      <c r="UAH3"/>
      <c r="UAI3"/>
      <c r="UAJ3"/>
      <c r="UAK3"/>
      <c r="UAL3"/>
      <c r="UAM3"/>
      <c r="UAN3"/>
      <c r="UAO3"/>
      <c r="UAP3"/>
      <c r="UAQ3"/>
      <c r="UAR3"/>
      <c r="UAS3"/>
      <c r="UAT3"/>
      <c r="UAU3"/>
      <c r="UAV3"/>
      <c r="UAW3"/>
      <c r="UAX3"/>
      <c r="UAY3"/>
      <c r="UAZ3"/>
      <c r="UBA3"/>
      <c r="UBB3"/>
      <c r="UBC3"/>
      <c r="UBD3"/>
      <c r="UBE3"/>
      <c r="UBF3"/>
      <c r="UBG3"/>
      <c r="UBH3"/>
      <c r="UBI3"/>
      <c r="UBJ3"/>
      <c r="UBK3"/>
      <c r="UBL3"/>
      <c r="UBM3"/>
      <c r="UBN3"/>
      <c r="UBO3"/>
      <c r="UBP3"/>
      <c r="UBQ3"/>
      <c r="UBR3"/>
      <c r="UBS3"/>
      <c r="UBT3"/>
      <c r="UBU3"/>
      <c r="UBV3"/>
      <c r="UBW3"/>
      <c r="UBX3"/>
      <c r="UBY3"/>
      <c r="UBZ3"/>
      <c r="UCA3"/>
      <c r="UCB3"/>
      <c r="UCC3"/>
      <c r="UCD3"/>
      <c r="UCE3"/>
      <c r="UCF3"/>
      <c r="UCG3"/>
      <c r="UCH3"/>
      <c r="UCI3"/>
      <c r="UCJ3"/>
      <c r="UCK3"/>
      <c r="UCL3"/>
      <c r="UCM3"/>
      <c r="UCN3"/>
      <c r="UCO3"/>
      <c r="UCP3"/>
      <c r="UCQ3"/>
      <c r="UCR3"/>
      <c r="UCS3"/>
      <c r="UCT3"/>
      <c r="UCU3"/>
      <c r="UCV3"/>
      <c r="UCW3"/>
      <c r="UCX3"/>
      <c r="UCY3"/>
      <c r="UCZ3"/>
      <c r="UDA3"/>
      <c r="UDB3"/>
      <c r="UDC3"/>
      <c r="UDD3"/>
      <c r="UDE3"/>
      <c r="UDF3"/>
      <c r="UDG3"/>
      <c r="UDH3"/>
      <c r="UDI3"/>
      <c r="UDJ3"/>
      <c r="UDK3"/>
      <c r="UDL3"/>
      <c r="UDM3"/>
      <c r="UDN3"/>
      <c r="UDO3"/>
      <c r="UDP3"/>
      <c r="UDQ3"/>
      <c r="UDR3"/>
      <c r="UDS3"/>
      <c r="UDT3"/>
      <c r="UDU3"/>
      <c r="UDV3"/>
      <c r="UDW3"/>
      <c r="UDX3"/>
      <c r="UDY3"/>
      <c r="UDZ3"/>
      <c r="UEA3"/>
      <c r="UEB3"/>
      <c r="UEC3"/>
      <c r="UED3"/>
      <c r="UEE3"/>
      <c r="UEF3"/>
      <c r="UEG3"/>
      <c r="UEH3"/>
      <c r="UEI3"/>
      <c r="UEJ3"/>
      <c r="UEK3"/>
      <c r="UEL3"/>
      <c r="UEM3"/>
      <c r="UEN3"/>
      <c r="UEO3"/>
      <c r="UEP3"/>
      <c r="UEQ3"/>
      <c r="UER3"/>
      <c r="UES3"/>
      <c r="UET3"/>
      <c r="UEU3"/>
      <c r="UEV3"/>
      <c r="UEW3"/>
      <c r="UEX3"/>
      <c r="UEY3"/>
      <c r="UEZ3"/>
      <c r="UFA3"/>
      <c r="UFB3"/>
      <c r="UFC3"/>
      <c r="UFD3"/>
      <c r="UFE3"/>
      <c r="UFF3"/>
      <c r="UFG3"/>
      <c r="UFH3"/>
      <c r="UFI3"/>
      <c r="UFJ3"/>
      <c r="UFK3"/>
      <c r="UFL3"/>
      <c r="UFM3"/>
      <c r="UFN3"/>
      <c r="UFO3"/>
      <c r="UFP3"/>
      <c r="UFQ3"/>
      <c r="UFR3"/>
      <c r="UFS3"/>
      <c r="UFT3"/>
      <c r="UFU3"/>
      <c r="UFV3"/>
      <c r="UFW3"/>
      <c r="UFX3"/>
      <c r="UFY3"/>
      <c r="UFZ3"/>
      <c r="UGA3"/>
      <c r="UGB3"/>
      <c r="UGC3"/>
      <c r="UGD3"/>
      <c r="UGE3"/>
      <c r="UGF3"/>
      <c r="UGG3"/>
      <c r="UGH3"/>
      <c r="UGI3"/>
      <c r="UGJ3"/>
      <c r="UGK3"/>
      <c r="UGL3"/>
      <c r="UGM3"/>
      <c r="UGN3"/>
      <c r="UGO3"/>
      <c r="UGP3"/>
      <c r="UGQ3"/>
      <c r="UGR3"/>
      <c r="UGS3"/>
      <c r="UGT3"/>
      <c r="UGU3"/>
      <c r="UGV3"/>
      <c r="UGW3"/>
      <c r="UGX3"/>
      <c r="UGY3"/>
      <c r="UGZ3"/>
      <c r="UHA3"/>
      <c r="UHB3"/>
      <c r="UHC3"/>
      <c r="UHD3"/>
      <c r="UHE3"/>
      <c r="UHF3"/>
      <c r="UHG3"/>
      <c r="UHH3"/>
      <c r="UHI3"/>
      <c r="UHJ3"/>
      <c r="UHK3"/>
      <c r="UHL3"/>
      <c r="UHM3"/>
      <c r="UHN3"/>
      <c r="UHO3"/>
      <c r="UHP3"/>
      <c r="UHQ3"/>
      <c r="UHR3"/>
      <c r="UHS3"/>
      <c r="UHT3"/>
      <c r="UHU3"/>
      <c r="UHV3"/>
      <c r="UHW3"/>
      <c r="UHX3"/>
      <c r="UHY3"/>
      <c r="UHZ3"/>
      <c r="UIA3"/>
      <c r="UIB3"/>
      <c r="UIC3"/>
      <c r="UID3"/>
      <c r="UIE3"/>
      <c r="UIF3"/>
      <c r="UIG3"/>
      <c r="UIH3"/>
      <c r="UII3"/>
      <c r="UIJ3"/>
      <c r="UIK3"/>
      <c r="UIL3"/>
      <c r="UIM3"/>
      <c r="UIN3"/>
      <c r="UIO3"/>
      <c r="UIP3"/>
      <c r="UIQ3"/>
      <c r="UIR3"/>
      <c r="UIS3"/>
      <c r="UIT3"/>
      <c r="UIU3"/>
      <c r="UIV3"/>
      <c r="UIW3"/>
      <c r="UIX3"/>
      <c r="UIY3"/>
      <c r="UIZ3"/>
      <c r="UJA3"/>
      <c r="UJB3"/>
      <c r="UJC3"/>
      <c r="UJD3"/>
      <c r="UJE3"/>
      <c r="UJF3"/>
      <c r="UJG3"/>
      <c r="UJH3"/>
      <c r="UJI3"/>
      <c r="UJJ3"/>
      <c r="UJK3"/>
      <c r="UJL3"/>
      <c r="UJM3"/>
      <c r="UJN3"/>
      <c r="UJO3"/>
      <c r="UJP3"/>
      <c r="UJQ3"/>
      <c r="UJR3"/>
      <c r="UJS3"/>
      <c r="UJT3"/>
      <c r="UJU3"/>
      <c r="UJV3"/>
      <c r="UJW3"/>
      <c r="UJX3"/>
      <c r="UJY3"/>
      <c r="UJZ3"/>
      <c r="UKA3"/>
      <c r="UKB3"/>
      <c r="UKC3"/>
      <c r="UKD3"/>
      <c r="UKE3"/>
      <c r="UKF3"/>
      <c r="UKG3"/>
      <c r="UKH3"/>
      <c r="UKI3"/>
      <c r="UKJ3"/>
      <c r="UKK3"/>
      <c r="UKL3"/>
      <c r="UKM3"/>
      <c r="UKN3"/>
      <c r="UKO3"/>
      <c r="UKP3"/>
      <c r="UKQ3"/>
      <c r="UKR3"/>
      <c r="UKS3"/>
      <c r="UKT3"/>
      <c r="UKU3"/>
      <c r="UKV3"/>
      <c r="UKW3"/>
      <c r="UKX3"/>
      <c r="UKY3"/>
      <c r="UKZ3"/>
      <c r="ULA3"/>
      <c r="ULB3"/>
      <c r="ULC3"/>
      <c r="ULD3"/>
      <c r="ULE3"/>
      <c r="ULF3"/>
      <c r="ULG3"/>
      <c r="ULH3"/>
      <c r="ULI3"/>
      <c r="ULJ3"/>
      <c r="ULK3"/>
      <c r="ULL3"/>
      <c r="ULM3"/>
      <c r="ULN3"/>
      <c r="ULO3"/>
      <c r="ULP3"/>
      <c r="ULQ3"/>
      <c r="ULR3"/>
      <c r="ULS3"/>
      <c r="ULT3"/>
      <c r="ULU3"/>
      <c r="ULV3"/>
      <c r="ULW3"/>
      <c r="ULX3"/>
      <c r="ULY3"/>
      <c r="ULZ3"/>
      <c r="UMA3"/>
      <c r="UMB3"/>
      <c r="UMC3"/>
      <c r="UMD3"/>
      <c r="UME3"/>
      <c r="UMF3"/>
      <c r="UMG3"/>
      <c r="UMH3"/>
      <c r="UMI3"/>
      <c r="UMJ3"/>
      <c r="UMK3"/>
      <c r="UML3"/>
      <c r="UMM3"/>
      <c r="UMN3"/>
      <c r="UMO3"/>
      <c r="UMP3"/>
      <c r="UMQ3"/>
      <c r="UMR3"/>
      <c r="UMS3"/>
      <c r="UMT3"/>
      <c r="UMU3"/>
      <c r="UMV3"/>
      <c r="UMW3"/>
      <c r="UMX3"/>
      <c r="UMY3"/>
      <c r="UMZ3"/>
      <c r="UNA3"/>
      <c r="UNB3"/>
      <c r="UNC3"/>
      <c r="UND3"/>
      <c r="UNE3"/>
      <c r="UNF3"/>
      <c r="UNG3"/>
      <c r="UNH3"/>
      <c r="UNI3"/>
      <c r="UNJ3"/>
      <c r="UNK3"/>
      <c r="UNL3"/>
      <c r="UNM3"/>
      <c r="UNN3"/>
      <c r="UNO3"/>
      <c r="UNP3"/>
      <c r="UNQ3"/>
      <c r="UNR3"/>
      <c r="UNS3"/>
      <c r="UNT3"/>
      <c r="UNU3"/>
      <c r="UNV3"/>
      <c r="UNW3"/>
      <c r="UNX3"/>
      <c r="UNY3"/>
      <c r="UNZ3"/>
      <c r="UOA3"/>
      <c r="UOB3"/>
      <c r="UOC3"/>
      <c r="UOD3"/>
      <c r="UOE3"/>
      <c r="UOF3"/>
      <c r="UOG3"/>
      <c r="UOH3"/>
      <c r="UOI3"/>
      <c r="UOJ3"/>
      <c r="UOK3"/>
      <c r="UOL3"/>
      <c r="UOM3"/>
      <c r="UON3"/>
      <c r="UOO3"/>
      <c r="UOP3"/>
      <c r="UOQ3"/>
      <c r="UOR3"/>
      <c r="UOS3"/>
      <c r="UOT3"/>
      <c r="UOU3"/>
      <c r="UOV3"/>
      <c r="UOW3"/>
      <c r="UOX3"/>
      <c r="UOY3"/>
      <c r="UOZ3"/>
      <c r="UPA3"/>
      <c r="UPB3"/>
      <c r="UPC3"/>
      <c r="UPD3"/>
      <c r="UPE3"/>
      <c r="UPF3"/>
      <c r="UPG3"/>
      <c r="UPH3"/>
      <c r="UPI3"/>
      <c r="UPJ3"/>
      <c r="UPK3"/>
      <c r="UPL3"/>
      <c r="UPM3"/>
      <c r="UPN3"/>
      <c r="UPO3"/>
      <c r="UPP3"/>
      <c r="UPQ3"/>
      <c r="UPR3"/>
      <c r="UPS3"/>
      <c r="UPT3"/>
      <c r="UPU3"/>
      <c r="UPV3"/>
      <c r="UPW3"/>
      <c r="UPX3"/>
      <c r="UPY3"/>
      <c r="UPZ3"/>
      <c r="UQA3"/>
      <c r="UQB3"/>
      <c r="UQC3"/>
      <c r="UQD3"/>
      <c r="UQE3"/>
      <c r="UQF3"/>
      <c r="UQG3"/>
      <c r="UQH3"/>
      <c r="UQI3"/>
      <c r="UQJ3"/>
      <c r="UQK3"/>
      <c r="UQL3"/>
      <c r="UQM3"/>
      <c r="UQN3"/>
      <c r="UQO3"/>
      <c r="UQP3"/>
      <c r="UQQ3"/>
      <c r="UQR3"/>
      <c r="UQS3"/>
      <c r="UQT3"/>
      <c r="UQU3"/>
      <c r="UQV3"/>
      <c r="UQW3"/>
      <c r="UQX3"/>
      <c r="UQY3"/>
      <c r="UQZ3"/>
      <c r="URA3"/>
      <c r="URB3"/>
      <c r="URC3"/>
      <c r="URD3"/>
      <c r="URE3"/>
      <c r="URF3"/>
      <c r="URG3"/>
      <c r="URH3"/>
      <c r="URI3"/>
      <c r="URJ3"/>
      <c r="URK3"/>
      <c r="URL3"/>
      <c r="URM3"/>
      <c r="URN3"/>
      <c r="URO3"/>
      <c r="URP3"/>
      <c r="URQ3"/>
      <c r="URR3"/>
      <c r="URS3"/>
      <c r="URT3"/>
      <c r="URU3"/>
      <c r="URV3"/>
      <c r="URW3"/>
      <c r="URX3"/>
      <c r="URY3"/>
      <c r="URZ3"/>
      <c r="USA3"/>
      <c r="USB3"/>
      <c r="USC3"/>
      <c r="USD3"/>
      <c r="USE3"/>
      <c r="USF3"/>
      <c r="USG3"/>
      <c r="USH3"/>
      <c r="USI3"/>
      <c r="USJ3"/>
      <c r="USK3"/>
      <c r="USL3"/>
      <c r="USM3"/>
      <c r="USN3"/>
      <c r="USO3"/>
      <c r="USP3"/>
      <c r="USQ3"/>
      <c r="USR3"/>
      <c r="USS3"/>
      <c r="UST3"/>
      <c r="USU3"/>
      <c r="USV3"/>
      <c r="USW3"/>
      <c r="USX3"/>
      <c r="USY3"/>
      <c r="USZ3"/>
      <c r="UTA3"/>
      <c r="UTB3"/>
      <c r="UTC3"/>
      <c r="UTD3"/>
      <c r="UTE3"/>
      <c r="UTF3"/>
      <c r="UTG3"/>
      <c r="UTH3"/>
      <c r="UTI3"/>
      <c r="UTJ3"/>
      <c r="UTK3"/>
      <c r="UTL3"/>
      <c r="UTM3"/>
      <c r="UTN3"/>
      <c r="UTO3"/>
      <c r="UTP3"/>
      <c r="UTQ3"/>
      <c r="UTR3"/>
      <c r="UTS3"/>
      <c r="UTT3"/>
      <c r="UTU3"/>
      <c r="UTV3"/>
      <c r="UTW3"/>
      <c r="UTX3"/>
      <c r="UTY3"/>
      <c r="UTZ3"/>
      <c r="UUA3"/>
      <c r="UUB3"/>
      <c r="UUC3"/>
      <c r="UUD3"/>
      <c r="UUE3"/>
      <c r="UUF3"/>
      <c r="UUG3"/>
      <c r="UUH3"/>
      <c r="UUI3"/>
      <c r="UUJ3"/>
      <c r="UUK3"/>
      <c r="UUL3"/>
      <c r="UUM3"/>
      <c r="UUN3"/>
      <c r="UUO3"/>
      <c r="UUP3"/>
      <c r="UUQ3"/>
      <c r="UUR3"/>
      <c r="UUS3"/>
      <c r="UUT3"/>
      <c r="UUU3"/>
      <c r="UUV3"/>
      <c r="UUW3"/>
      <c r="UUX3"/>
      <c r="UUY3"/>
      <c r="UUZ3"/>
      <c r="UVA3"/>
      <c r="UVB3"/>
      <c r="UVC3"/>
      <c r="UVD3"/>
      <c r="UVE3"/>
      <c r="UVF3"/>
      <c r="UVG3"/>
      <c r="UVH3"/>
      <c r="UVI3"/>
      <c r="UVJ3"/>
      <c r="UVK3"/>
      <c r="UVL3"/>
      <c r="UVM3"/>
      <c r="UVN3"/>
      <c r="UVO3"/>
      <c r="UVP3"/>
      <c r="UVQ3"/>
      <c r="UVR3"/>
      <c r="UVS3"/>
      <c r="UVT3"/>
      <c r="UVU3"/>
      <c r="UVV3"/>
      <c r="UVW3"/>
      <c r="UVX3"/>
      <c r="UVY3"/>
      <c r="UVZ3"/>
      <c r="UWA3"/>
      <c r="UWB3"/>
      <c r="UWC3"/>
      <c r="UWD3"/>
      <c r="UWE3"/>
      <c r="UWF3"/>
      <c r="UWG3"/>
      <c r="UWH3"/>
      <c r="UWI3"/>
      <c r="UWJ3"/>
      <c r="UWK3"/>
      <c r="UWL3"/>
      <c r="UWM3"/>
      <c r="UWN3"/>
      <c r="UWO3"/>
      <c r="UWP3"/>
      <c r="UWQ3"/>
      <c r="UWR3"/>
      <c r="UWS3"/>
      <c r="UWT3"/>
      <c r="UWU3"/>
      <c r="UWV3"/>
      <c r="UWW3"/>
      <c r="UWX3"/>
      <c r="UWY3"/>
      <c r="UWZ3"/>
      <c r="UXA3"/>
      <c r="UXB3"/>
      <c r="UXC3"/>
      <c r="UXD3"/>
      <c r="UXE3"/>
      <c r="UXF3"/>
      <c r="UXG3"/>
      <c r="UXH3"/>
      <c r="UXI3"/>
      <c r="UXJ3"/>
      <c r="UXK3"/>
      <c r="UXL3"/>
      <c r="UXM3"/>
      <c r="UXN3"/>
      <c r="UXO3"/>
      <c r="UXP3"/>
      <c r="UXQ3"/>
      <c r="UXR3"/>
      <c r="UXS3"/>
      <c r="UXT3"/>
      <c r="UXU3"/>
      <c r="UXV3"/>
      <c r="UXW3"/>
      <c r="UXX3"/>
      <c r="UXY3"/>
      <c r="UXZ3"/>
      <c r="UYA3"/>
      <c r="UYB3"/>
      <c r="UYC3"/>
      <c r="UYD3"/>
      <c r="UYE3"/>
      <c r="UYF3"/>
      <c r="UYG3"/>
      <c r="UYH3"/>
      <c r="UYI3"/>
      <c r="UYJ3"/>
      <c r="UYK3"/>
      <c r="UYL3"/>
      <c r="UYM3"/>
      <c r="UYN3"/>
      <c r="UYO3"/>
      <c r="UYP3"/>
      <c r="UYQ3"/>
      <c r="UYR3"/>
      <c r="UYS3"/>
      <c r="UYT3"/>
      <c r="UYU3"/>
      <c r="UYV3"/>
      <c r="UYW3"/>
      <c r="UYX3"/>
      <c r="UYY3"/>
      <c r="UYZ3"/>
      <c r="UZA3"/>
      <c r="UZB3"/>
      <c r="UZC3"/>
      <c r="UZD3"/>
      <c r="UZE3"/>
      <c r="UZF3"/>
      <c r="UZG3"/>
      <c r="UZH3"/>
      <c r="UZI3"/>
      <c r="UZJ3"/>
      <c r="UZK3"/>
      <c r="UZL3"/>
      <c r="UZM3"/>
      <c r="UZN3"/>
      <c r="UZO3"/>
      <c r="UZP3"/>
      <c r="UZQ3"/>
      <c r="UZR3"/>
      <c r="UZS3"/>
      <c r="UZT3"/>
      <c r="UZU3"/>
      <c r="UZV3"/>
      <c r="UZW3"/>
      <c r="UZX3"/>
      <c r="UZY3"/>
      <c r="UZZ3"/>
      <c r="VAA3"/>
      <c r="VAB3"/>
      <c r="VAC3"/>
      <c r="VAD3"/>
      <c r="VAE3"/>
      <c r="VAF3"/>
      <c r="VAG3"/>
      <c r="VAH3"/>
      <c r="VAI3"/>
      <c r="VAJ3"/>
      <c r="VAK3"/>
      <c r="VAL3"/>
      <c r="VAM3"/>
      <c r="VAN3"/>
      <c r="VAO3"/>
      <c r="VAP3"/>
      <c r="VAQ3"/>
      <c r="VAR3"/>
      <c r="VAS3"/>
      <c r="VAT3"/>
      <c r="VAU3"/>
      <c r="VAV3"/>
      <c r="VAW3"/>
      <c r="VAX3"/>
      <c r="VAY3"/>
      <c r="VAZ3"/>
      <c r="VBA3"/>
      <c r="VBB3"/>
      <c r="VBC3"/>
      <c r="VBD3"/>
      <c r="VBE3"/>
      <c r="VBF3"/>
      <c r="VBG3"/>
      <c r="VBH3"/>
      <c r="VBI3"/>
      <c r="VBJ3"/>
      <c r="VBK3"/>
      <c r="VBL3"/>
      <c r="VBM3"/>
      <c r="VBN3"/>
      <c r="VBO3"/>
      <c r="VBP3"/>
      <c r="VBQ3"/>
      <c r="VBR3"/>
      <c r="VBS3"/>
      <c r="VBT3"/>
      <c r="VBU3"/>
      <c r="VBV3"/>
      <c r="VBW3"/>
      <c r="VBX3"/>
      <c r="VBY3"/>
      <c r="VBZ3"/>
      <c r="VCA3"/>
      <c r="VCB3"/>
      <c r="VCC3"/>
      <c r="VCD3"/>
      <c r="VCE3"/>
      <c r="VCF3"/>
      <c r="VCG3"/>
      <c r="VCH3"/>
      <c r="VCI3"/>
      <c r="VCJ3"/>
      <c r="VCK3"/>
      <c r="VCL3"/>
      <c r="VCM3"/>
      <c r="VCN3"/>
      <c r="VCO3"/>
      <c r="VCP3"/>
      <c r="VCQ3"/>
      <c r="VCR3"/>
      <c r="VCS3"/>
      <c r="VCT3"/>
      <c r="VCU3"/>
      <c r="VCV3"/>
      <c r="VCW3"/>
      <c r="VCX3"/>
      <c r="VCY3"/>
      <c r="VCZ3"/>
      <c r="VDA3"/>
      <c r="VDB3"/>
      <c r="VDC3"/>
      <c r="VDD3"/>
      <c r="VDE3"/>
      <c r="VDF3"/>
      <c r="VDG3"/>
      <c r="VDH3"/>
      <c r="VDI3"/>
      <c r="VDJ3"/>
      <c r="VDK3"/>
      <c r="VDL3"/>
      <c r="VDM3"/>
      <c r="VDN3"/>
      <c r="VDO3"/>
      <c r="VDP3"/>
      <c r="VDQ3"/>
      <c r="VDR3"/>
      <c r="VDS3"/>
      <c r="VDT3"/>
      <c r="VDU3"/>
      <c r="VDV3"/>
      <c r="VDW3"/>
      <c r="VDX3"/>
      <c r="VDY3"/>
      <c r="VDZ3"/>
      <c r="VEA3"/>
      <c r="VEB3"/>
      <c r="VEC3"/>
      <c r="VED3"/>
      <c r="VEE3"/>
      <c r="VEF3"/>
      <c r="VEG3"/>
      <c r="VEH3"/>
      <c r="VEI3"/>
      <c r="VEJ3"/>
      <c r="VEK3"/>
      <c r="VEL3"/>
      <c r="VEM3"/>
      <c r="VEN3"/>
      <c r="VEO3"/>
      <c r="VEP3"/>
      <c r="VEQ3"/>
      <c r="VER3"/>
      <c r="VES3"/>
      <c r="VET3"/>
      <c r="VEU3"/>
      <c r="VEV3"/>
      <c r="VEW3"/>
      <c r="VEX3"/>
      <c r="VEY3"/>
      <c r="VEZ3"/>
      <c r="VFA3"/>
      <c r="VFB3"/>
      <c r="VFC3"/>
      <c r="VFD3"/>
      <c r="VFE3"/>
      <c r="VFF3"/>
      <c r="VFG3"/>
      <c r="VFH3"/>
      <c r="VFI3"/>
      <c r="VFJ3"/>
      <c r="VFK3"/>
      <c r="VFL3"/>
      <c r="VFM3"/>
      <c r="VFN3"/>
      <c r="VFO3"/>
      <c r="VFP3"/>
      <c r="VFQ3"/>
      <c r="VFR3"/>
      <c r="VFS3"/>
      <c r="VFT3"/>
      <c r="VFU3"/>
      <c r="VFV3"/>
      <c r="VFW3"/>
      <c r="VFX3"/>
      <c r="VFY3"/>
      <c r="VFZ3"/>
      <c r="VGA3"/>
      <c r="VGB3"/>
      <c r="VGC3"/>
      <c r="VGD3"/>
      <c r="VGE3"/>
      <c r="VGF3"/>
      <c r="VGG3"/>
      <c r="VGH3"/>
      <c r="VGI3"/>
      <c r="VGJ3"/>
      <c r="VGK3"/>
      <c r="VGL3"/>
      <c r="VGM3"/>
      <c r="VGN3"/>
      <c r="VGO3"/>
      <c r="VGP3"/>
      <c r="VGQ3"/>
      <c r="VGR3"/>
      <c r="VGS3"/>
      <c r="VGT3"/>
      <c r="VGU3"/>
      <c r="VGV3"/>
      <c r="VGW3"/>
      <c r="VGX3"/>
      <c r="VGY3"/>
      <c r="VGZ3"/>
      <c r="VHA3"/>
      <c r="VHB3"/>
      <c r="VHC3"/>
      <c r="VHD3"/>
      <c r="VHE3"/>
      <c r="VHF3"/>
      <c r="VHG3"/>
      <c r="VHH3"/>
      <c r="VHI3"/>
      <c r="VHJ3"/>
      <c r="VHK3"/>
      <c r="VHL3"/>
      <c r="VHM3"/>
      <c r="VHN3"/>
      <c r="VHO3"/>
      <c r="VHP3"/>
      <c r="VHQ3"/>
      <c r="VHR3"/>
      <c r="VHS3"/>
      <c r="VHT3"/>
      <c r="VHU3"/>
      <c r="VHV3"/>
      <c r="VHW3"/>
      <c r="VHX3"/>
      <c r="VHY3"/>
      <c r="VHZ3"/>
      <c r="VIA3"/>
      <c r="VIB3"/>
      <c r="VIC3"/>
      <c r="VID3"/>
      <c r="VIE3"/>
      <c r="VIF3"/>
      <c r="VIG3"/>
      <c r="VIH3"/>
      <c r="VII3"/>
      <c r="VIJ3"/>
      <c r="VIK3"/>
      <c r="VIL3"/>
      <c r="VIM3"/>
      <c r="VIN3"/>
      <c r="VIO3"/>
      <c r="VIP3"/>
      <c r="VIQ3"/>
      <c r="VIR3"/>
      <c r="VIS3"/>
      <c r="VIT3"/>
      <c r="VIU3"/>
      <c r="VIV3"/>
      <c r="VIW3"/>
      <c r="VIX3"/>
      <c r="VIY3"/>
      <c r="VIZ3"/>
      <c r="VJA3"/>
      <c r="VJB3"/>
      <c r="VJC3"/>
      <c r="VJD3"/>
      <c r="VJE3"/>
      <c r="VJF3"/>
      <c r="VJG3"/>
      <c r="VJH3"/>
      <c r="VJI3"/>
      <c r="VJJ3"/>
      <c r="VJK3"/>
      <c r="VJL3"/>
      <c r="VJM3"/>
      <c r="VJN3"/>
      <c r="VJO3"/>
      <c r="VJP3"/>
      <c r="VJQ3"/>
      <c r="VJR3"/>
      <c r="VJS3"/>
      <c r="VJT3"/>
      <c r="VJU3"/>
      <c r="VJV3"/>
      <c r="VJW3"/>
      <c r="VJX3"/>
      <c r="VJY3"/>
      <c r="VJZ3"/>
      <c r="VKA3"/>
      <c r="VKB3"/>
      <c r="VKC3"/>
      <c r="VKD3"/>
      <c r="VKE3"/>
      <c r="VKF3"/>
      <c r="VKG3"/>
      <c r="VKH3"/>
      <c r="VKI3"/>
      <c r="VKJ3"/>
      <c r="VKK3"/>
      <c r="VKL3"/>
      <c r="VKM3"/>
      <c r="VKN3"/>
      <c r="VKO3"/>
      <c r="VKP3"/>
      <c r="VKQ3"/>
      <c r="VKR3"/>
      <c r="VKS3"/>
      <c r="VKT3"/>
      <c r="VKU3"/>
      <c r="VKV3"/>
      <c r="VKW3"/>
      <c r="VKX3"/>
      <c r="VKY3"/>
      <c r="VKZ3"/>
      <c r="VLA3"/>
      <c r="VLB3"/>
      <c r="VLC3"/>
      <c r="VLD3"/>
      <c r="VLE3"/>
      <c r="VLF3"/>
      <c r="VLG3"/>
      <c r="VLH3"/>
      <c r="VLI3"/>
      <c r="VLJ3"/>
      <c r="VLK3"/>
      <c r="VLL3"/>
      <c r="VLM3"/>
      <c r="VLN3"/>
      <c r="VLO3"/>
      <c r="VLP3"/>
      <c r="VLQ3"/>
      <c r="VLR3"/>
      <c r="VLS3"/>
      <c r="VLT3"/>
      <c r="VLU3"/>
      <c r="VLV3"/>
      <c r="VLW3"/>
      <c r="VLX3"/>
      <c r="VLY3"/>
      <c r="VLZ3"/>
      <c r="VMA3"/>
      <c r="VMB3"/>
      <c r="VMC3"/>
      <c r="VMD3"/>
      <c r="VME3"/>
      <c r="VMF3"/>
      <c r="VMG3"/>
      <c r="VMH3"/>
      <c r="VMI3"/>
      <c r="VMJ3"/>
      <c r="VMK3"/>
      <c r="VML3"/>
      <c r="VMM3"/>
      <c r="VMN3"/>
      <c r="VMO3"/>
      <c r="VMP3"/>
      <c r="VMQ3"/>
      <c r="VMR3"/>
      <c r="VMS3"/>
      <c r="VMT3"/>
      <c r="VMU3"/>
      <c r="VMV3"/>
      <c r="VMW3"/>
      <c r="VMX3"/>
      <c r="VMY3"/>
      <c r="VMZ3"/>
      <c r="VNA3"/>
      <c r="VNB3"/>
      <c r="VNC3"/>
      <c r="VND3"/>
      <c r="VNE3"/>
      <c r="VNF3"/>
      <c r="VNG3"/>
      <c r="VNH3"/>
      <c r="VNI3"/>
      <c r="VNJ3"/>
      <c r="VNK3"/>
      <c r="VNL3"/>
      <c r="VNM3"/>
      <c r="VNN3"/>
      <c r="VNO3"/>
      <c r="VNP3"/>
      <c r="VNQ3"/>
      <c r="VNR3"/>
      <c r="VNS3"/>
      <c r="VNT3"/>
      <c r="VNU3"/>
      <c r="VNV3"/>
      <c r="VNW3"/>
      <c r="VNX3"/>
      <c r="VNY3"/>
      <c r="VNZ3"/>
      <c r="VOA3"/>
      <c r="VOB3"/>
      <c r="VOC3"/>
      <c r="VOD3"/>
      <c r="VOE3"/>
      <c r="VOF3"/>
      <c r="VOG3"/>
      <c r="VOH3"/>
      <c r="VOI3"/>
      <c r="VOJ3"/>
      <c r="VOK3"/>
      <c r="VOL3"/>
      <c r="VOM3"/>
      <c r="VON3"/>
      <c r="VOO3"/>
      <c r="VOP3"/>
      <c r="VOQ3"/>
      <c r="VOR3"/>
      <c r="VOS3"/>
      <c r="VOT3"/>
      <c r="VOU3"/>
      <c r="VOV3"/>
      <c r="VOW3"/>
      <c r="VOX3"/>
      <c r="VOY3"/>
      <c r="VOZ3"/>
      <c r="VPA3"/>
      <c r="VPB3"/>
      <c r="VPC3"/>
      <c r="VPD3"/>
      <c r="VPE3"/>
      <c r="VPF3"/>
      <c r="VPG3"/>
      <c r="VPH3"/>
      <c r="VPI3"/>
      <c r="VPJ3"/>
      <c r="VPK3"/>
      <c r="VPL3"/>
      <c r="VPM3"/>
      <c r="VPN3"/>
      <c r="VPO3"/>
      <c r="VPP3"/>
      <c r="VPQ3"/>
      <c r="VPR3"/>
      <c r="VPS3"/>
      <c r="VPT3"/>
      <c r="VPU3"/>
      <c r="VPV3"/>
      <c r="VPW3"/>
      <c r="VPX3"/>
      <c r="VPY3"/>
      <c r="VPZ3"/>
      <c r="VQA3"/>
      <c r="VQB3"/>
      <c r="VQC3"/>
      <c r="VQD3"/>
      <c r="VQE3"/>
      <c r="VQF3"/>
      <c r="VQG3"/>
      <c r="VQH3"/>
      <c r="VQI3"/>
      <c r="VQJ3"/>
      <c r="VQK3"/>
      <c r="VQL3"/>
      <c r="VQM3"/>
      <c r="VQN3"/>
      <c r="VQO3"/>
      <c r="VQP3"/>
      <c r="VQQ3"/>
      <c r="VQR3"/>
      <c r="VQS3"/>
      <c r="VQT3"/>
      <c r="VQU3"/>
      <c r="VQV3"/>
      <c r="VQW3"/>
      <c r="VQX3"/>
      <c r="VQY3"/>
      <c r="VQZ3"/>
      <c r="VRA3"/>
      <c r="VRB3"/>
      <c r="VRC3"/>
      <c r="VRD3"/>
      <c r="VRE3"/>
      <c r="VRF3"/>
      <c r="VRG3"/>
      <c r="VRH3"/>
      <c r="VRI3"/>
      <c r="VRJ3"/>
      <c r="VRK3"/>
      <c r="VRL3"/>
      <c r="VRM3"/>
      <c r="VRN3"/>
      <c r="VRO3"/>
      <c r="VRP3"/>
      <c r="VRQ3"/>
      <c r="VRR3"/>
      <c r="VRS3"/>
      <c r="VRT3"/>
      <c r="VRU3"/>
      <c r="VRV3"/>
      <c r="VRW3"/>
      <c r="VRX3"/>
      <c r="VRY3"/>
      <c r="VRZ3"/>
      <c r="VSA3"/>
      <c r="VSB3"/>
      <c r="VSC3"/>
      <c r="VSD3"/>
      <c r="VSE3"/>
      <c r="VSF3"/>
      <c r="VSG3"/>
      <c r="VSH3"/>
      <c r="VSI3"/>
      <c r="VSJ3"/>
      <c r="VSK3"/>
      <c r="VSL3"/>
      <c r="VSM3"/>
      <c r="VSN3"/>
      <c r="VSO3"/>
      <c r="VSP3"/>
      <c r="VSQ3"/>
      <c r="VSR3"/>
      <c r="VSS3"/>
      <c r="VST3"/>
      <c r="VSU3"/>
      <c r="VSV3"/>
      <c r="VSW3"/>
      <c r="VSX3"/>
      <c r="VSY3"/>
      <c r="VSZ3"/>
      <c r="VTA3"/>
      <c r="VTB3"/>
      <c r="VTC3"/>
      <c r="VTD3"/>
      <c r="VTE3"/>
      <c r="VTF3"/>
      <c r="VTG3"/>
      <c r="VTH3"/>
      <c r="VTI3"/>
      <c r="VTJ3"/>
      <c r="VTK3"/>
      <c r="VTL3"/>
      <c r="VTM3"/>
      <c r="VTN3"/>
      <c r="VTO3"/>
      <c r="VTP3"/>
      <c r="VTQ3"/>
      <c r="VTR3"/>
      <c r="VTS3"/>
      <c r="VTT3"/>
      <c r="VTU3"/>
      <c r="VTV3"/>
      <c r="VTW3"/>
      <c r="VTX3"/>
      <c r="VTY3"/>
      <c r="VTZ3"/>
      <c r="VUA3"/>
      <c r="VUB3"/>
      <c r="VUC3"/>
      <c r="VUD3"/>
      <c r="VUE3"/>
      <c r="VUF3"/>
      <c r="VUG3"/>
      <c r="VUH3"/>
      <c r="VUI3"/>
      <c r="VUJ3"/>
      <c r="VUK3"/>
      <c r="VUL3"/>
      <c r="VUM3"/>
      <c r="VUN3"/>
      <c r="VUO3"/>
      <c r="VUP3"/>
      <c r="VUQ3"/>
      <c r="VUR3"/>
      <c r="VUS3"/>
      <c r="VUT3"/>
      <c r="VUU3"/>
      <c r="VUV3"/>
      <c r="VUW3"/>
      <c r="VUX3"/>
      <c r="VUY3"/>
      <c r="VUZ3"/>
      <c r="VVA3"/>
      <c r="VVB3"/>
      <c r="VVC3"/>
      <c r="VVD3"/>
      <c r="VVE3"/>
      <c r="VVF3"/>
      <c r="VVG3"/>
      <c r="VVH3"/>
      <c r="VVI3"/>
      <c r="VVJ3"/>
      <c r="VVK3"/>
      <c r="VVL3"/>
      <c r="VVM3"/>
      <c r="VVN3"/>
      <c r="VVO3"/>
      <c r="VVP3"/>
      <c r="VVQ3"/>
      <c r="VVR3"/>
      <c r="VVS3"/>
      <c r="VVT3"/>
      <c r="VVU3"/>
      <c r="VVV3"/>
      <c r="VVW3"/>
      <c r="VVX3"/>
      <c r="VVY3"/>
      <c r="VVZ3"/>
      <c r="VWA3"/>
      <c r="VWB3"/>
      <c r="VWC3"/>
      <c r="VWD3"/>
      <c r="VWE3"/>
      <c r="VWF3"/>
      <c r="VWG3"/>
      <c r="VWH3"/>
      <c r="VWI3"/>
      <c r="VWJ3"/>
      <c r="VWK3"/>
      <c r="VWL3"/>
      <c r="VWM3"/>
      <c r="VWN3"/>
      <c r="VWO3"/>
      <c r="VWP3"/>
      <c r="VWQ3"/>
      <c r="VWR3"/>
      <c r="VWS3"/>
      <c r="VWT3"/>
      <c r="VWU3"/>
      <c r="VWV3"/>
      <c r="VWW3"/>
      <c r="VWX3"/>
      <c r="VWY3"/>
      <c r="VWZ3"/>
      <c r="VXA3"/>
      <c r="VXB3"/>
      <c r="VXC3"/>
      <c r="VXD3"/>
      <c r="VXE3"/>
      <c r="VXF3"/>
      <c r="VXG3"/>
      <c r="VXH3"/>
      <c r="VXI3"/>
      <c r="VXJ3"/>
      <c r="VXK3"/>
      <c r="VXL3"/>
      <c r="VXM3"/>
      <c r="VXN3"/>
      <c r="VXO3"/>
      <c r="VXP3"/>
      <c r="VXQ3"/>
      <c r="VXR3"/>
      <c r="VXS3"/>
      <c r="VXT3"/>
      <c r="VXU3"/>
      <c r="VXV3"/>
      <c r="VXW3"/>
      <c r="VXX3"/>
      <c r="VXY3"/>
      <c r="VXZ3"/>
      <c r="VYA3"/>
      <c r="VYB3"/>
      <c r="VYC3"/>
      <c r="VYD3"/>
      <c r="VYE3"/>
      <c r="VYF3"/>
      <c r="VYG3"/>
      <c r="VYH3"/>
      <c r="VYI3"/>
      <c r="VYJ3"/>
      <c r="VYK3"/>
      <c r="VYL3"/>
      <c r="VYM3"/>
      <c r="VYN3"/>
      <c r="VYO3"/>
      <c r="VYP3"/>
      <c r="VYQ3"/>
      <c r="VYR3"/>
      <c r="VYS3"/>
      <c r="VYT3"/>
      <c r="VYU3"/>
      <c r="VYV3"/>
      <c r="VYW3"/>
      <c r="VYX3"/>
      <c r="VYY3"/>
      <c r="VYZ3"/>
      <c r="VZA3"/>
      <c r="VZB3"/>
      <c r="VZC3"/>
      <c r="VZD3"/>
      <c r="VZE3"/>
      <c r="VZF3"/>
      <c r="VZG3"/>
      <c r="VZH3"/>
      <c r="VZI3"/>
      <c r="VZJ3"/>
      <c r="VZK3"/>
      <c r="VZL3"/>
      <c r="VZM3"/>
      <c r="VZN3"/>
      <c r="VZO3"/>
      <c r="VZP3"/>
      <c r="VZQ3"/>
      <c r="VZR3"/>
      <c r="VZS3"/>
      <c r="VZT3"/>
      <c r="VZU3"/>
      <c r="VZV3"/>
      <c r="VZW3"/>
      <c r="VZX3"/>
      <c r="VZY3"/>
      <c r="VZZ3"/>
      <c r="WAA3"/>
      <c r="WAB3"/>
      <c r="WAC3"/>
      <c r="WAD3"/>
      <c r="WAE3"/>
      <c r="WAF3"/>
      <c r="WAG3"/>
      <c r="WAH3"/>
      <c r="WAI3"/>
      <c r="WAJ3"/>
      <c r="WAK3"/>
      <c r="WAL3"/>
      <c r="WAM3"/>
      <c r="WAN3"/>
      <c r="WAO3"/>
      <c r="WAP3"/>
      <c r="WAQ3"/>
      <c r="WAR3"/>
      <c r="WAS3"/>
      <c r="WAT3"/>
      <c r="WAU3"/>
      <c r="WAV3"/>
      <c r="WAW3"/>
      <c r="WAX3"/>
      <c r="WAY3"/>
      <c r="WAZ3"/>
      <c r="WBA3"/>
      <c r="WBB3"/>
      <c r="WBC3"/>
      <c r="WBD3"/>
      <c r="WBE3"/>
      <c r="WBF3"/>
      <c r="WBG3"/>
      <c r="WBH3"/>
      <c r="WBI3"/>
      <c r="WBJ3"/>
      <c r="WBK3"/>
      <c r="WBL3"/>
      <c r="WBM3"/>
      <c r="WBN3"/>
      <c r="WBO3"/>
      <c r="WBP3"/>
      <c r="WBQ3"/>
      <c r="WBR3"/>
      <c r="WBS3"/>
      <c r="WBT3"/>
      <c r="WBU3"/>
      <c r="WBV3"/>
      <c r="WBW3"/>
      <c r="WBX3"/>
      <c r="WBY3"/>
      <c r="WBZ3"/>
      <c r="WCA3"/>
      <c r="WCB3"/>
      <c r="WCC3"/>
      <c r="WCD3"/>
      <c r="WCE3"/>
      <c r="WCF3"/>
      <c r="WCG3"/>
      <c r="WCH3"/>
      <c r="WCI3"/>
      <c r="WCJ3"/>
      <c r="WCK3"/>
      <c r="WCL3"/>
      <c r="WCM3"/>
      <c r="WCN3"/>
      <c r="WCO3"/>
      <c r="WCP3"/>
      <c r="WCQ3"/>
      <c r="WCR3"/>
      <c r="WCS3"/>
      <c r="WCT3"/>
      <c r="WCU3"/>
      <c r="WCV3"/>
      <c r="WCW3"/>
      <c r="WCX3"/>
      <c r="WCY3"/>
      <c r="WCZ3"/>
      <c r="WDA3"/>
      <c r="WDB3"/>
      <c r="WDC3"/>
      <c r="WDD3"/>
      <c r="WDE3"/>
      <c r="WDF3"/>
      <c r="WDG3"/>
      <c r="WDH3"/>
      <c r="WDI3"/>
      <c r="WDJ3"/>
      <c r="WDK3"/>
      <c r="WDL3"/>
      <c r="WDM3"/>
      <c r="WDN3"/>
      <c r="WDO3"/>
      <c r="WDP3"/>
      <c r="WDQ3"/>
      <c r="WDR3"/>
      <c r="WDS3"/>
      <c r="WDT3"/>
      <c r="WDU3"/>
      <c r="WDV3"/>
      <c r="WDW3"/>
      <c r="WDX3"/>
      <c r="WDY3"/>
      <c r="WDZ3"/>
      <c r="WEA3"/>
      <c r="WEB3"/>
      <c r="WEC3"/>
      <c r="WED3"/>
      <c r="WEE3"/>
      <c r="WEF3"/>
      <c r="WEG3"/>
      <c r="WEH3"/>
      <c r="WEI3"/>
      <c r="WEJ3"/>
      <c r="WEK3"/>
      <c r="WEL3"/>
      <c r="WEM3"/>
      <c r="WEN3"/>
      <c r="WEO3"/>
      <c r="WEP3"/>
      <c r="WEQ3"/>
      <c r="WER3"/>
      <c r="WES3"/>
      <c r="WET3"/>
      <c r="WEU3"/>
      <c r="WEV3"/>
      <c r="WEW3"/>
      <c r="WEX3"/>
      <c r="WEY3"/>
      <c r="WEZ3"/>
      <c r="WFA3"/>
      <c r="WFB3"/>
      <c r="WFC3"/>
      <c r="WFD3"/>
      <c r="WFE3"/>
      <c r="WFF3"/>
      <c r="WFG3"/>
      <c r="WFH3"/>
      <c r="WFI3"/>
      <c r="WFJ3"/>
      <c r="WFK3"/>
      <c r="WFL3"/>
      <c r="WFM3"/>
      <c r="WFN3"/>
      <c r="WFO3"/>
      <c r="WFP3"/>
      <c r="WFQ3"/>
      <c r="WFR3"/>
      <c r="WFS3"/>
      <c r="WFT3"/>
      <c r="WFU3"/>
      <c r="WFV3"/>
      <c r="WFW3"/>
      <c r="WFX3"/>
      <c r="WFY3"/>
      <c r="WFZ3"/>
      <c r="WGA3"/>
      <c r="WGB3"/>
      <c r="WGC3"/>
      <c r="WGD3"/>
      <c r="WGE3"/>
      <c r="WGF3"/>
      <c r="WGG3"/>
      <c r="WGH3"/>
      <c r="WGI3"/>
      <c r="WGJ3"/>
      <c r="WGK3"/>
      <c r="WGL3"/>
      <c r="WGM3"/>
      <c r="WGN3"/>
      <c r="WGO3"/>
      <c r="WGP3"/>
      <c r="WGQ3"/>
      <c r="WGR3"/>
      <c r="WGS3"/>
      <c r="WGT3"/>
      <c r="WGU3"/>
      <c r="WGV3"/>
      <c r="WGW3"/>
      <c r="WGX3"/>
      <c r="WGY3"/>
      <c r="WGZ3"/>
      <c r="WHA3"/>
      <c r="WHB3"/>
      <c r="WHC3"/>
      <c r="WHD3"/>
      <c r="WHE3"/>
      <c r="WHF3"/>
      <c r="WHG3"/>
      <c r="WHH3"/>
      <c r="WHI3"/>
      <c r="WHJ3"/>
      <c r="WHK3"/>
      <c r="WHL3"/>
      <c r="WHM3"/>
      <c r="WHN3"/>
      <c r="WHO3"/>
      <c r="WHP3"/>
      <c r="WHQ3"/>
      <c r="WHR3"/>
      <c r="WHS3"/>
      <c r="WHT3"/>
      <c r="WHU3"/>
      <c r="WHV3"/>
      <c r="WHW3"/>
      <c r="WHX3"/>
      <c r="WHY3"/>
      <c r="WHZ3"/>
      <c r="WIA3"/>
      <c r="WIB3"/>
      <c r="WIC3"/>
      <c r="WID3"/>
      <c r="WIE3"/>
      <c r="WIF3"/>
      <c r="WIG3"/>
      <c r="WIH3"/>
      <c r="WII3"/>
      <c r="WIJ3"/>
      <c r="WIK3"/>
      <c r="WIL3"/>
      <c r="WIM3"/>
      <c r="WIN3"/>
      <c r="WIO3"/>
      <c r="WIP3"/>
      <c r="WIQ3"/>
      <c r="WIR3"/>
      <c r="WIS3"/>
      <c r="WIT3"/>
      <c r="WIU3"/>
      <c r="WIV3"/>
      <c r="WIW3"/>
      <c r="WIX3"/>
      <c r="WIY3"/>
      <c r="WIZ3"/>
      <c r="WJA3"/>
      <c r="WJB3"/>
      <c r="WJC3"/>
      <c r="WJD3"/>
      <c r="WJE3"/>
      <c r="WJF3"/>
      <c r="WJG3"/>
      <c r="WJH3"/>
      <c r="WJI3"/>
      <c r="WJJ3"/>
      <c r="WJK3"/>
      <c r="WJL3"/>
      <c r="WJM3"/>
      <c r="WJN3"/>
      <c r="WJO3"/>
      <c r="WJP3"/>
      <c r="WJQ3"/>
      <c r="WJR3"/>
      <c r="WJS3"/>
      <c r="WJT3"/>
      <c r="WJU3"/>
      <c r="WJV3"/>
      <c r="WJW3"/>
      <c r="WJX3"/>
      <c r="WJY3"/>
      <c r="WJZ3"/>
      <c r="WKA3"/>
      <c r="WKB3"/>
      <c r="WKC3"/>
      <c r="WKD3"/>
      <c r="WKE3"/>
      <c r="WKF3"/>
      <c r="WKG3"/>
      <c r="WKH3"/>
      <c r="WKI3"/>
      <c r="WKJ3"/>
      <c r="WKK3"/>
      <c r="WKL3"/>
      <c r="WKM3"/>
      <c r="WKN3"/>
      <c r="WKO3"/>
      <c r="WKP3"/>
      <c r="WKQ3"/>
      <c r="WKR3"/>
      <c r="WKS3"/>
      <c r="WKT3"/>
      <c r="WKU3"/>
      <c r="WKV3"/>
      <c r="WKW3"/>
      <c r="WKX3"/>
      <c r="WKY3"/>
      <c r="WKZ3"/>
      <c r="WLA3"/>
      <c r="WLB3"/>
      <c r="WLC3"/>
      <c r="WLD3"/>
      <c r="WLE3"/>
      <c r="WLF3"/>
      <c r="WLG3"/>
      <c r="WLH3"/>
      <c r="WLI3"/>
      <c r="WLJ3"/>
      <c r="WLK3"/>
      <c r="WLL3"/>
      <c r="WLM3"/>
      <c r="WLN3"/>
      <c r="WLO3"/>
      <c r="WLP3"/>
      <c r="WLQ3"/>
      <c r="WLR3"/>
      <c r="WLS3"/>
      <c r="WLT3"/>
      <c r="WLU3"/>
      <c r="WLV3"/>
      <c r="WLW3"/>
      <c r="WLX3"/>
      <c r="WLY3"/>
      <c r="WLZ3"/>
      <c r="WMA3"/>
      <c r="WMB3"/>
      <c r="WMC3"/>
      <c r="WMD3"/>
      <c r="WME3"/>
      <c r="WMF3"/>
      <c r="WMG3"/>
      <c r="WMH3"/>
      <c r="WMI3"/>
      <c r="WMJ3"/>
      <c r="WMK3"/>
      <c r="WML3"/>
      <c r="WMM3"/>
      <c r="WMN3"/>
      <c r="WMO3"/>
      <c r="WMP3"/>
      <c r="WMQ3"/>
      <c r="WMR3"/>
      <c r="WMS3"/>
      <c r="WMT3"/>
      <c r="WMU3"/>
      <c r="WMV3"/>
      <c r="WMW3"/>
      <c r="WMX3"/>
      <c r="WMY3"/>
      <c r="WMZ3"/>
      <c r="WNA3"/>
      <c r="WNB3"/>
      <c r="WNC3"/>
      <c r="WND3"/>
      <c r="WNE3"/>
      <c r="WNF3"/>
      <c r="WNG3"/>
      <c r="WNH3"/>
      <c r="WNI3"/>
      <c r="WNJ3"/>
      <c r="WNK3"/>
      <c r="WNL3"/>
      <c r="WNM3"/>
      <c r="WNN3"/>
      <c r="WNO3"/>
      <c r="WNP3"/>
      <c r="WNQ3"/>
      <c r="WNR3"/>
      <c r="WNS3"/>
      <c r="WNT3"/>
      <c r="WNU3"/>
      <c r="WNV3"/>
      <c r="WNW3"/>
      <c r="WNX3"/>
      <c r="WNY3"/>
      <c r="WNZ3"/>
      <c r="WOA3"/>
      <c r="WOB3"/>
      <c r="WOC3"/>
      <c r="WOD3"/>
      <c r="WOE3"/>
      <c r="WOF3"/>
      <c r="WOG3"/>
      <c r="WOH3"/>
      <c r="WOI3"/>
      <c r="WOJ3"/>
      <c r="WOK3"/>
      <c r="WOL3"/>
      <c r="WOM3"/>
      <c r="WON3"/>
      <c r="WOO3"/>
      <c r="WOP3"/>
      <c r="WOQ3"/>
      <c r="WOR3"/>
      <c r="WOS3"/>
      <c r="WOT3"/>
      <c r="WOU3"/>
      <c r="WOV3"/>
      <c r="WOW3"/>
      <c r="WOX3"/>
      <c r="WOY3"/>
      <c r="WOZ3"/>
      <c r="WPA3"/>
      <c r="WPB3"/>
      <c r="WPC3"/>
      <c r="WPD3"/>
      <c r="WPE3"/>
      <c r="WPF3"/>
      <c r="WPG3"/>
      <c r="WPH3"/>
      <c r="WPI3"/>
      <c r="WPJ3"/>
      <c r="WPK3"/>
      <c r="WPL3"/>
      <c r="WPM3"/>
      <c r="WPN3"/>
      <c r="WPO3"/>
      <c r="WPP3"/>
      <c r="WPQ3"/>
      <c r="WPR3"/>
      <c r="WPS3"/>
      <c r="WPT3"/>
      <c r="WPU3"/>
      <c r="WPV3"/>
      <c r="WPW3"/>
      <c r="WPX3"/>
      <c r="WPY3"/>
      <c r="WPZ3"/>
      <c r="WQA3"/>
      <c r="WQB3"/>
      <c r="WQC3"/>
      <c r="WQD3"/>
      <c r="WQE3"/>
      <c r="WQF3"/>
      <c r="WQG3"/>
      <c r="WQH3"/>
      <c r="WQI3"/>
      <c r="WQJ3"/>
      <c r="WQK3"/>
      <c r="WQL3"/>
      <c r="WQM3"/>
      <c r="WQN3"/>
      <c r="WQO3"/>
      <c r="WQP3"/>
      <c r="WQQ3"/>
      <c r="WQR3"/>
      <c r="WQS3"/>
      <c r="WQT3"/>
      <c r="WQU3"/>
      <c r="WQV3"/>
      <c r="WQW3"/>
      <c r="WQX3"/>
      <c r="WQY3"/>
      <c r="WQZ3"/>
      <c r="WRA3"/>
      <c r="WRB3"/>
      <c r="WRC3"/>
      <c r="WRD3"/>
      <c r="WRE3"/>
      <c r="WRF3"/>
      <c r="WRG3"/>
      <c r="WRH3"/>
      <c r="WRI3"/>
      <c r="WRJ3"/>
      <c r="WRK3"/>
      <c r="WRL3"/>
      <c r="WRM3"/>
      <c r="WRN3"/>
      <c r="WRO3"/>
      <c r="WRP3"/>
      <c r="WRQ3"/>
      <c r="WRR3"/>
      <c r="WRS3"/>
      <c r="WRT3"/>
      <c r="WRU3"/>
      <c r="WRV3"/>
      <c r="WRW3"/>
      <c r="WRX3"/>
      <c r="WRY3"/>
      <c r="WRZ3"/>
      <c r="WSA3"/>
      <c r="WSB3"/>
      <c r="WSC3"/>
      <c r="WSD3"/>
      <c r="WSE3"/>
      <c r="WSF3"/>
      <c r="WSG3"/>
      <c r="WSH3"/>
      <c r="WSI3"/>
      <c r="WSJ3"/>
      <c r="WSK3"/>
      <c r="WSL3"/>
      <c r="WSM3"/>
      <c r="WSN3"/>
      <c r="WSO3"/>
      <c r="WSP3"/>
      <c r="WSQ3"/>
      <c r="WSR3"/>
      <c r="WSS3"/>
      <c r="WST3"/>
      <c r="WSU3"/>
      <c r="WSV3"/>
      <c r="WSW3"/>
      <c r="WSX3"/>
      <c r="WSY3"/>
      <c r="WSZ3"/>
      <c r="WTA3"/>
      <c r="WTB3"/>
      <c r="WTC3"/>
      <c r="WTD3"/>
      <c r="WTE3"/>
      <c r="WTF3"/>
      <c r="WTG3"/>
      <c r="WTH3"/>
      <c r="WTI3"/>
      <c r="WTJ3"/>
      <c r="WTK3"/>
      <c r="WTL3"/>
      <c r="WTM3"/>
      <c r="WTN3"/>
      <c r="WTO3"/>
      <c r="WTP3"/>
      <c r="WTQ3"/>
      <c r="WTR3"/>
      <c r="WTS3"/>
      <c r="WTT3"/>
      <c r="WTU3"/>
      <c r="WTV3"/>
      <c r="WTW3"/>
      <c r="WTX3"/>
      <c r="WTY3"/>
      <c r="WTZ3"/>
      <c r="WUA3"/>
      <c r="WUB3"/>
      <c r="WUC3"/>
      <c r="WUD3"/>
      <c r="WUE3"/>
      <c r="WUF3"/>
      <c r="WUG3"/>
      <c r="WUH3"/>
      <c r="WUI3"/>
      <c r="WUJ3"/>
      <c r="WUK3"/>
      <c r="WUL3"/>
      <c r="WUM3"/>
      <c r="WUN3"/>
      <c r="WUO3"/>
      <c r="WUP3"/>
      <c r="WUQ3"/>
      <c r="WUR3"/>
      <c r="WUS3"/>
      <c r="WUT3"/>
      <c r="WUU3"/>
      <c r="WUV3"/>
      <c r="WUW3"/>
      <c r="WUX3"/>
      <c r="WUY3"/>
      <c r="WUZ3"/>
      <c r="WVA3"/>
      <c r="WVB3"/>
      <c r="WVC3"/>
      <c r="WVD3"/>
      <c r="WVE3"/>
      <c r="WVF3"/>
      <c r="WVG3"/>
      <c r="WVH3"/>
      <c r="WVI3"/>
      <c r="WVJ3"/>
      <c r="WVK3"/>
      <c r="WVL3"/>
      <c r="WVM3"/>
      <c r="WVN3"/>
      <c r="WVO3"/>
      <c r="WVP3"/>
      <c r="WVQ3"/>
      <c r="WVR3"/>
      <c r="WVS3"/>
      <c r="WVT3"/>
      <c r="WVU3"/>
      <c r="WVV3"/>
      <c r="WVW3"/>
      <c r="WVX3"/>
      <c r="WVY3"/>
      <c r="WVZ3"/>
      <c r="WWA3"/>
      <c r="WWB3"/>
      <c r="WWC3"/>
      <c r="WWD3"/>
      <c r="WWE3"/>
      <c r="WWF3"/>
      <c r="WWG3"/>
      <c r="WWH3"/>
      <c r="WWI3"/>
      <c r="WWJ3"/>
      <c r="WWK3"/>
      <c r="WWL3"/>
      <c r="WWM3"/>
      <c r="WWN3"/>
      <c r="WWO3"/>
      <c r="WWP3"/>
      <c r="WWQ3"/>
      <c r="WWR3"/>
      <c r="WWS3"/>
      <c r="WWT3"/>
      <c r="WWU3"/>
      <c r="WWV3"/>
      <c r="WWW3"/>
      <c r="WWX3"/>
      <c r="WWY3"/>
      <c r="WWZ3"/>
      <c r="WXA3"/>
      <c r="WXB3"/>
      <c r="WXC3"/>
      <c r="WXD3"/>
      <c r="WXE3"/>
      <c r="WXF3"/>
      <c r="WXG3"/>
      <c r="WXH3"/>
      <c r="WXI3"/>
      <c r="WXJ3"/>
      <c r="WXK3"/>
      <c r="WXL3"/>
      <c r="WXM3"/>
      <c r="WXN3"/>
      <c r="WXO3"/>
      <c r="WXP3"/>
      <c r="WXQ3"/>
      <c r="WXR3"/>
      <c r="WXS3"/>
      <c r="WXT3"/>
      <c r="WXU3"/>
      <c r="WXV3"/>
      <c r="WXW3"/>
      <c r="WXX3"/>
      <c r="WXY3"/>
      <c r="WXZ3"/>
      <c r="WYA3"/>
      <c r="WYB3"/>
      <c r="WYC3"/>
      <c r="WYD3"/>
      <c r="WYE3"/>
      <c r="WYF3"/>
      <c r="WYG3"/>
      <c r="WYH3"/>
      <c r="WYI3"/>
      <c r="WYJ3"/>
      <c r="WYK3"/>
      <c r="WYL3"/>
      <c r="WYM3"/>
      <c r="WYN3"/>
      <c r="WYO3"/>
      <c r="WYP3"/>
      <c r="WYQ3"/>
      <c r="WYR3"/>
      <c r="WYS3"/>
      <c r="WYT3"/>
      <c r="WYU3"/>
      <c r="WYV3"/>
      <c r="WYW3"/>
      <c r="WYX3"/>
      <c r="WYY3"/>
      <c r="WYZ3"/>
      <c r="WZA3"/>
      <c r="WZB3"/>
      <c r="WZC3"/>
      <c r="WZD3"/>
      <c r="WZE3"/>
      <c r="WZF3"/>
      <c r="WZG3"/>
      <c r="WZH3"/>
      <c r="WZI3"/>
      <c r="WZJ3"/>
      <c r="WZK3"/>
      <c r="WZL3"/>
      <c r="WZM3"/>
      <c r="WZN3"/>
      <c r="WZO3"/>
      <c r="WZP3"/>
      <c r="WZQ3"/>
      <c r="WZR3"/>
      <c r="WZS3"/>
      <c r="WZT3"/>
      <c r="WZU3"/>
      <c r="WZV3"/>
      <c r="WZW3"/>
      <c r="WZX3"/>
      <c r="WZY3"/>
      <c r="WZZ3"/>
      <c r="XAA3"/>
      <c r="XAB3"/>
      <c r="XAC3"/>
      <c r="XAD3"/>
      <c r="XAE3"/>
      <c r="XAF3"/>
      <c r="XAG3"/>
      <c r="XAH3"/>
      <c r="XAI3"/>
      <c r="XAJ3"/>
      <c r="XAK3"/>
      <c r="XAL3"/>
      <c r="XAM3"/>
      <c r="XAN3"/>
      <c r="XAO3"/>
      <c r="XAP3"/>
      <c r="XAQ3"/>
      <c r="XAR3"/>
      <c r="XAS3"/>
      <c r="XAT3"/>
      <c r="XAU3"/>
      <c r="XAV3"/>
      <c r="XAW3"/>
      <c r="XAX3"/>
      <c r="XAY3"/>
      <c r="XAZ3"/>
      <c r="XBA3"/>
      <c r="XBB3"/>
      <c r="XBC3"/>
      <c r="XBD3"/>
      <c r="XBE3"/>
      <c r="XBF3"/>
      <c r="XBG3"/>
      <c r="XBH3"/>
      <c r="XBI3"/>
      <c r="XBJ3"/>
      <c r="XBK3"/>
      <c r="XBL3"/>
      <c r="XBM3"/>
      <c r="XBN3"/>
      <c r="XBO3"/>
      <c r="XBP3"/>
      <c r="XBQ3"/>
      <c r="XBR3"/>
      <c r="XBS3"/>
      <c r="XBT3"/>
      <c r="XBU3"/>
      <c r="XBV3"/>
      <c r="XBW3"/>
      <c r="XBX3"/>
      <c r="XBY3"/>
      <c r="XBZ3"/>
      <c r="XCA3"/>
      <c r="XCB3"/>
      <c r="XCC3"/>
      <c r="XCD3"/>
      <c r="XCE3"/>
      <c r="XCF3"/>
      <c r="XCG3"/>
      <c r="XCH3"/>
      <c r="XCI3"/>
      <c r="XCJ3"/>
      <c r="XCK3"/>
      <c r="XCL3"/>
      <c r="XCM3"/>
      <c r="XCN3"/>
      <c r="XCO3"/>
      <c r="XCP3"/>
      <c r="XCQ3"/>
      <c r="XCR3"/>
      <c r="XCS3"/>
      <c r="XCT3"/>
      <c r="XCU3"/>
      <c r="XCV3"/>
      <c r="XCW3"/>
      <c r="XCX3"/>
      <c r="XCY3"/>
      <c r="XCZ3"/>
      <c r="XDA3"/>
      <c r="XDB3"/>
      <c r="XDC3"/>
      <c r="XDD3"/>
      <c r="XDE3"/>
      <c r="XDF3"/>
      <c r="XDG3"/>
      <c r="XDH3"/>
      <c r="XDI3"/>
      <c r="XDJ3"/>
      <c r="XDK3"/>
      <c r="XDL3"/>
      <c r="XDM3"/>
      <c r="XDN3"/>
      <c r="XDO3"/>
      <c r="XDP3"/>
      <c r="XDQ3"/>
      <c r="XDR3"/>
      <c r="XDS3"/>
      <c r="XDT3"/>
      <c r="XDU3"/>
      <c r="XDV3"/>
      <c r="XDW3"/>
      <c r="XDX3"/>
      <c r="XDY3"/>
      <c r="XDZ3"/>
      <c r="XEA3"/>
      <c r="XEB3"/>
      <c r="XEC3"/>
      <c r="XED3"/>
      <c r="XEE3"/>
      <c r="XEF3"/>
      <c r="XEG3"/>
      <c r="XEH3"/>
      <c r="XEI3"/>
      <c r="XEJ3"/>
      <c r="XEK3"/>
      <c r="XEL3"/>
      <c r="XEM3"/>
      <c r="XEN3"/>
      <c r="XEO3"/>
      <c r="XEP3"/>
      <c r="XEQ3"/>
      <c r="XER3"/>
      <c r="XES3"/>
      <c r="XET3"/>
      <c r="XEU3"/>
      <c r="XEV3"/>
    </row>
    <row r="4" spans="1:16376" x14ac:dyDescent="0.3">
      <c r="A4" s="153" t="s">
        <v>723</v>
      </c>
      <c r="B4" s="169"/>
      <c r="C4" s="169"/>
      <c r="D4" s="169"/>
      <c r="E4" s="169"/>
      <c r="F4" s="169"/>
      <c r="G4" s="169"/>
      <c r="H4" s="170"/>
    </row>
    <row r="5" spans="1:16376" x14ac:dyDescent="0.3">
      <c r="A5" s="152"/>
      <c r="B5" s="169"/>
      <c r="C5" s="169"/>
      <c r="D5" s="169"/>
      <c r="E5" s="169"/>
      <c r="F5" s="169"/>
      <c r="G5" s="169"/>
      <c r="H5" s="170"/>
    </row>
    <row r="6" spans="1:16376" x14ac:dyDescent="0.3">
      <c r="A6" s="307" t="s">
        <v>662</v>
      </c>
      <c r="B6" s="276"/>
      <c r="C6" s="276"/>
      <c r="D6" s="276"/>
      <c r="E6" s="276"/>
      <c r="F6" s="276"/>
      <c r="G6" s="276"/>
      <c r="H6" s="308"/>
    </row>
    <row r="7" spans="1:16376" x14ac:dyDescent="0.3">
      <c r="A7" s="152"/>
      <c r="B7" s="169"/>
      <c r="C7" s="169"/>
      <c r="D7" s="169"/>
      <c r="E7" s="169"/>
      <c r="F7" s="169"/>
      <c r="G7" s="169"/>
      <c r="H7" s="170"/>
    </row>
    <row r="8" spans="1:16376" ht="228.9" customHeight="1" x14ac:dyDescent="0.3">
      <c r="A8" s="302" t="s">
        <v>661</v>
      </c>
      <c r="B8" s="270"/>
      <c r="C8" s="270"/>
      <c r="D8" s="270"/>
      <c r="E8" s="270"/>
      <c r="F8" s="270"/>
      <c r="G8" s="270"/>
      <c r="H8" s="303"/>
    </row>
    <row r="9" spans="1:16376" ht="15" customHeight="1" x14ac:dyDescent="0.3">
      <c r="A9" s="166"/>
      <c r="B9" s="167"/>
      <c r="C9" s="167"/>
      <c r="D9" s="167"/>
      <c r="E9" s="167"/>
      <c r="F9" s="167"/>
      <c r="G9" s="167"/>
      <c r="H9" s="168"/>
    </row>
    <row r="10" spans="1:16376" s="151" customFormat="1" ht="129.9" customHeight="1" x14ac:dyDescent="0.3">
      <c r="A10" s="312" t="s">
        <v>660</v>
      </c>
      <c r="B10" s="313"/>
      <c r="C10" s="313"/>
      <c r="D10" s="313"/>
      <c r="E10" s="313"/>
      <c r="F10" s="313"/>
      <c r="G10" s="313"/>
      <c r="H10" s="314"/>
    </row>
    <row r="11" spans="1:16376" ht="90" customHeight="1" x14ac:dyDescent="0.3">
      <c r="A11" s="295" t="s">
        <v>743</v>
      </c>
      <c r="B11" s="271"/>
      <c r="C11" s="271"/>
      <c r="D11" s="271"/>
      <c r="E11" s="271"/>
      <c r="F11" s="271"/>
      <c r="G11" s="271"/>
      <c r="H11" s="296"/>
    </row>
    <row r="13" spans="1:16376" x14ac:dyDescent="0.3">
      <c r="A13" s="297" t="s">
        <v>523</v>
      </c>
      <c r="B13" s="273"/>
      <c r="C13" s="273"/>
      <c r="D13" s="273"/>
      <c r="E13" s="273"/>
      <c r="F13" s="273"/>
      <c r="G13" s="273"/>
      <c r="H13" s="298"/>
    </row>
    <row r="14" spans="1:16376" ht="120" customHeight="1" x14ac:dyDescent="0.3">
      <c r="A14" s="295" t="s">
        <v>683</v>
      </c>
      <c r="B14" s="271"/>
      <c r="C14" s="271"/>
      <c r="D14" s="271"/>
      <c r="E14" s="271"/>
      <c r="F14" s="271"/>
      <c r="G14" s="271"/>
      <c r="H14" s="296"/>
    </row>
    <row r="16" spans="1:16376" x14ac:dyDescent="0.3">
      <c r="A16" s="297" t="s">
        <v>679</v>
      </c>
      <c r="B16" s="273"/>
      <c r="C16" s="273"/>
      <c r="D16" s="273"/>
      <c r="E16" s="273"/>
      <c r="F16" s="273"/>
      <c r="G16" s="273"/>
      <c r="H16" s="298"/>
    </row>
    <row r="17" spans="1:8" ht="150" customHeight="1" x14ac:dyDescent="0.3">
      <c r="A17" s="302" t="s">
        <v>659</v>
      </c>
      <c r="B17" s="270"/>
      <c r="C17" s="270"/>
      <c r="D17" s="270"/>
      <c r="E17" s="270"/>
      <c r="F17" s="270"/>
      <c r="G17" s="270"/>
      <c r="H17" s="303"/>
    </row>
    <row r="19" spans="1:8" x14ac:dyDescent="0.3">
      <c r="A19" s="299" t="s">
        <v>521</v>
      </c>
      <c r="B19" s="300"/>
      <c r="C19" s="300"/>
      <c r="D19" s="300"/>
      <c r="E19" s="300"/>
      <c r="F19" s="300"/>
      <c r="G19" s="300"/>
      <c r="H19" s="301"/>
    </row>
    <row r="20" spans="1:8" x14ac:dyDescent="0.3">
      <c r="A20" s="177" t="s">
        <v>520</v>
      </c>
      <c r="B20" s="178" t="s">
        <v>519</v>
      </c>
      <c r="C20" s="177" t="s">
        <v>518</v>
      </c>
      <c r="D20" s="279" t="s">
        <v>517</v>
      </c>
      <c r="E20" s="279"/>
      <c r="F20" s="279"/>
      <c r="G20" s="279"/>
      <c r="H20" s="279"/>
    </row>
    <row r="21" spans="1:8" ht="92.4" x14ac:dyDescent="0.3">
      <c r="A21" s="280" t="s">
        <v>516</v>
      </c>
      <c r="B21" s="283" t="s">
        <v>515</v>
      </c>
      <c r="C21" s="174" t="s">
        <v>658</v>
      </c>
      <c r="D21" s="286" t="s">
        <v>657</v>
      </c>
      <c r="E21" s="286"/>
      <c r="F21" s="286"/>
      <c r="G21" s="286"/>
      <c r="H21" s="286"/>
    </row>
    <row r="22" spans="1:8" ht="76.5" customHeight="1" x14ac:dyDescent="0.3">
      <c r="A22" s="281"/>
      <c r="B22" s="284"/>
      <c r="C22" s="176" t="s">
        <v>513</v>
      </c>
      <c r="D22" s="286" t="s">
        <v>656</v>
      </c>
      <c r="E22" s="286"/>
      <c r="F22" s="286"/>
      <c r="G22" s="286"/>
      <c r="H22" s="286"/>
    </row>
    <row r="23" spans="1:8" ht="39.6" customHeight="1" x14ac:dyDescent="0.3">
      <c r="A23" s="281"/>
      <c r="B23" s="284"/>
      <c r="C23" s="171" t="s">
        <v>512</v>
      </c>
      <c r="D23" s="286" t="s">
        <v>655</v>
      </c>
      <c r="E23" s="286"/>
      <c r="F23" s="286"/>
      <c r="G23" s="286"/>
      <c r="H23" s="286"/>
    </row>
    <row r="24" spans="1:8" ht="54" customHeight="1" x14ac:dyDescent="0.3">
      <c r="A24" s="281"/>
      <c r="B24" s="284"/>
      <c r="C24" s="171" t="s">
        <v>511</v>
      </c>
      <c r="D24" s="286" t="s">
        <v>654</v>
      </c>
      <c r="E24" s="286"/>
      <c r="F24" s="286"/>
      <c r="G24" s="286"/>
      <c r="H24" s="286"/>
    </row>
    <row r="25" spans="1:8" ht="66" customHeight="1" x14ac:dyDescent="0.3">
      <c r="A25" s="281"/>
      <c r="B25" s="284"/>
      <c r="C25" s="171" t="s">
        <v>510</v>
      </c>
      <c r="D25" s="286" t="s">
        <v>653</v>
      </c>
      <c r="E25" s="286"/>
      <c r="F25" s="286"/>
      <c r="G25" s="286"/>
      <c r="H25" s="286"/>
    </row>
    <row r="26" spans="1:8" ht="52.8" x14ac:dyDescent="0.3">
      <c r="A26" s="281"/>
      <c r="B26" s="284"/>
      <c r="C26" s="171" t="s">
        <v>509</v>
      </c>
      <c r="D26" s="286" t="s">
        <v>652</v>
      </c>
      <c r="E26" s="286"/>
      <c r="F26" s="286"/>
      <c r="G26" s="286"/>
      <c r="H26" s="286"/>
    </row>
    <row r="27" spans="1:8" ht="80.099999999999994" customHeight="1" x14ac:dyDescent="0.3">
      <c r="A27" s="281"/>
      <c r="B27" s="284"/>
      <c r="C27" s="171" t="s">
        <v>506</v>
      </c>
      <c r="D27" s="286" t="s">
        <v>651</v>
      </c>
      <c r="E27" s="286"/>
      <c r="F27" s="286"/>
      <c r="G27" s="286"/>
      <c r="H27" s="286"/>
    </row>
    <row r="28" spans="1:8" ht="66.599999999999994" customHeight="1" x14ac:dyDescent="0.3">
      <c r="A28" s="281"/>
      <c r="B28" s="284"/>
      <c r="C28" s="171" t="s">
        <v>505</v>
      </c>
      <c r="D28" s="286" t="s">
        <v>650</v>
      </c>
      <c r="E28" s="286"/>
      <c r="F28" s="286"/>
      <c r="G28" s="286"/>
      <c r="H28" s="286"/>
    </row>
    <row r="29" spans="1:8" ht="45" customHeight="1" x14ac:dyDescent="0.3">
      <c r="A29" s="281"/>
      <c r="B29" s="284"/>
      <c r="C29" s="171" t="s">
        <v>504</v>
      </c>
      <c r="D29" s="286" t="s">
        <v>649</v>
      </c>
      <c r="E29" s="286"/>
      <c r="F29" s="286"/>
      <c r="G29" s="286"/>
      <c r="H29" s="286"/>
    </row>
    <row r="30" spans="1:8" ht="66.599999999999994" customHeight="1" x14ac:dyDescent="0.3">
      <c r="A30" s="281"/>
      <c r="B30" s="284"/>
      <c r="C30" s="171" t="s">
        <v>503</v>
      </c>
      <c r="D30" s="286" t="s">
        <v>648</v>
      </c>
      <c r="E30" s="286"/>
      <c r="F30" s="286"/>
      <c r="G30" s="286"/>
      <c r="H30" s="286"/>
    </row>
    <row r="31" spans="1:8" ht="89.1" customHeight="1" x14ac:dyDescent="0.3">
      <c r="A31" s="281"/>
      <c r="B31" s="284"/>
      <c r="C31" s="171" t="s">
        <v>502</v>
      </c>
      <c r="D31" s="286" t="s">
        <v>647</v>
      </c>
      <c r="E31" s="286"/>
      <c r="F31" s="286"/>
      <c r="G31" s="286"/>
      <c r="H31" s="286"/>
    </row>
    <row r="32" spans="1:8" ht="87.9" customHeight="1" x14ac:dyDescent="0.3">
      <c r="A32" s="281"/>
      <c r="B32" s="284"/>
      <c r="C32" s="171" t="s">
        <v>501</v>
      </c>
      <c r="D32" s="286" t="s">
        <v>500</v>
      </c>
      <c r="E32" s="286"/>
      <c r="F32" s="286"/>
      <c r="G32" s="286"/>
      <c r="H32" s="286"/>
    </row>
    <row r="33" spans="1:8" ht="65.099999999999994" customHeight="1" x14ac:dyDescent="0.3">
      <c r="A33" s="281"/>
      <c r="B33" s="284"/>
      <c r="C33" s="171" t="s">
        <v>499</v>
      </c>
      <c r="D33" s="286" t="s">
        <v>498</v>
      </c>
      <c r="E33" s="286"/>
      <c r="F33" s="286"/>
      <c r="G33" s="286"/>
      <c r="H33" s="286"/>
    </row>
    <row r="34" spans="1:8" ht="68.400000000000006" customHeight="1" x14ac:dyDescent="0.3">
      <c r="A34" s="281"/>
      <c r="B34" s="284"/>
      <c r="C34" s="171" t="s">
        <v>497</v>
      </c>
      <c r="D34" s="286" t="s">
        <v>496</v>
      </c>
      <c r="E34" s="286"/>
      <c r="F34" s="286"/>
      <c r="G34" s="286"/>
      <c r="H34" s="286"/>
    </row>
    <row r="35" spans="1:8" ht="26.4" x14ac:dyDescent="0.3">
      <c r="A35" s="281"/>
      <c r="B35" s="284"/>
      <c r="C35" s="171" t="s">
        <v>495</v>
      </c>
      <c r="D35" s="286" t="s">
        <v>646</v>
      </c>
      <c r="E35" s="286"/>
      <c r="F35" s="286"/>
      <c r="G35" s="286"/>
      <c r="H35" s="286"/>
    </row>
    <row r="36" spans="1:8" ht="41.4" customHeight="1" x14ac:dyDescent="0.3">
      <c r="A36" s="281"/>
      <c r="B36" s="284"/>
      <c r="C36" s="171" t="s">
        <v>493</v>
      </c>
      <c r="D36" s="286" t="s">
        <v>645</v>
      </c>
      <c r="E36" s="286"/>
      <c r="F36" s="286"/>
      <c r="G36" s="286"/>
      <c r="H36" s="286"/>
    </row>
    <row r="37" spans="1:8" x14ac:dyDescent="0.3">
      <c r="A37" s="282"/>
      <c r="B37" s="285"/>
      <c r="C37" s="171" t="s">
        <v>491</v>
      </c>
      <c r="D37" s="286" t="s">
        <v>490</v>
      </c>
      <c r="E37" s="286"/>
      <c r="F37" s="286"/>
      <c r="G37" s="286"/>
      <c r="H37" s="286"/>
    </row>
    <row r="38" spans="1:8" ht="39.6" x14ac:dyDescent="0.3">
      <c r="A38" s="173" t="s">
        <v>489</v>
      </c>
      <c r="B38" s="172" t="s">
        <v>488</v>
      </c>
      <c r="C38" s="175" t="s">
        <v>467</v>
      </c>
      <c r="D38" s="286" t="s">
        <v>487</v>
      </c>
      <c r="E38" s="286"/>
      <c r="F38" s="286"/>
      <c r="G38" s="286"/>
      <c r="H38" s="286"/>
    </row>
    <row r="39" spans="1:8" ht="30" customHeight="1" x14ac:dyDescent="0.3">
      <c r="A39" s="280" t="s">
        <v>486</v>
      </c>
      <c r="B39" s="283" t="s">
        <v>485</v>
      </c>
      <c r="C39" s="286" t="s">
        <v>484</v>
      </c>
      <c r="D39" s="286"/>
      <c r="E39" s="286"/>
      <c r="F39" s="286"/>
      <c r="G39" s="286"/>
      <c r="H39" s="286"/>
    </row>
    <row r="40" spans="1:8" ht="26.4" x14ac:dyDescent="0.3">
      <c r="A40" s="320"/>
      <c r="B40" s="322"/>
      <c r="C40" s="174" t="s">
        <v>483</v>
      </c>
      <c r="D40" s="288" t="s">
        <v>482</v>
      </c>
      <c r="E40" s="288"/>
      <c r="F40" s="288"/>
      <c r="G40" s="288"/>
      <c r="H40" s="288"/>
    </row>
    <row r="41" spans="1:8" ht="95.4" customHeight="1" x14ac:dyDescent="0.3">
      <c r="A41" s="320"/>
      <c r="B41" s="322"/>
      <c r="C41" s="174" t="s">
        <v>481</v>
      </c>
      <c r="D41" s="286" t="s">
        <v>480</v>
      </c>
      <c r="E41" s="288"/>
      <c r="F41" s="288"/>
      <c r="G41" s="288"/>
      <c r="H41" s="288"/>
    </row>
    <row r="42" spans="1:8" ht="90" customHeight="1" x14ac:dyDescent="0.3">
      <c r="A42" s="320"/>
      <c r="B42" s="322"/>
      <c r="C42" s="174" t="s">
        <v>479</v>
      </c>
      <c r="D42" s="286" t="s">
        <v>478</v>
      </c>
      <c r="E42" s="288"/>
      <c r="F42" s="288"/>
      <c r="G42" s="288"/>
      <c r="H42" s="288"/>
    </row>
    <row r="43" spans="1:8" ht="65.099999999999994" customHeight="1" x14ac:dyDescent="0.3">
      <c r="A43" s="320"/>
      <c r="B43" s="322"/>
      <c r="C43" s="174" t="s">
        <v>477</v>
      </c>
      <c r="D43" s="286" t="s">
        <v>476</v>
      </c>
      <c r="E43" s="288"/>
      <c r="F43" s="288"/>
      <c r="G43" s="288"/>
      <c r="H43" s="288"/>
    </row>
    <row r="44" spans="1:8" ht="65.099999999999994" customHeight="1" x14ac:dyDescent="0.3">
      <c r="A44" s="320"/>
      <c r="B44" s="322"/>
      <c r="C44" s="193" t="s">
        <v>736</v>
      </c>
      <c r="D44" s="317" t="s">
        <v>735</v>
      </c>
      <c r="E44" s="318"/>
      <c r="F44" s="318"/>
      <c r="G44" s="318"/>
      <c r="H44" s="319"/>
    </row>
    <row r="45" spans="1:8" ht="42.9" customHeight="1" x14ac:dyDescent="0.3">
      <c r="A45" s="320"/>
      <c r="B45" s="322"/>
      <c r="C45" s="174" t="s">
        <v>722</v>
      </c>
      <c r="D45" s="286" t="s">
        <v>721</v>
      </c>
      <c r="E45" s="286"/>
      <c r="F45" s="286"/>
      <c r="G45" s="286"/>
      <c r="H45" s="286"/>
    </row>
    <row r="46" spans="1:8" ht="38.25" customHeight="1" x14ac:dyDescent="0.3">
      <c r="A46" s="320"/>
      <c r="B46" s="322"/>
      <c r="C46" s="174" t="s">
        <v>473</v>
      </c>
      <c r="D46" s="286" t="s">
        <v>720</v>
      </c>
      <c r="E46" s="286"/>
      <c r="F46" s="286"/>
      <c r="G46" s="286"/>
      <c r="H46" s="286"/>
    </row>
    <row r="47" spans="1:8" ht="25.5" customHeight="1" x14ac:dyDescent="0.3">
      <c r="A47" s="321"/>
      <c r="B47" s="323"/>
      <c r="C47" s="174" t="s">
        <v>471</v>
      </c>
      <c r="D47" s="286" t="s">
        <v>470</v>
      </c>
      <c r="E47" s="286"/>
      <c r="F47" s="286"/>
      <c r="G47" s="286"/>
      <c r="H47" s="286"/>
    </row>
    <row r="48" spans="1:8" ht="39.6" x14ac:dyDescent="0.3">
      <c r="A48" s="173" t="s">
        <v>469</v>
      </c>
      <c r="B48" s="172" t="s">
        <v>468</v>
      </c>
      <c r="C48" s="171" t="s">
        <v>467</v>
      </c>
      <c r="D48" s="289" t="s">
        <v>466</v>
      </c>
      <c r="E48" s="290"/>
      <c r="F48" s="290"/>
      <c r="G48" s="290"/>
      <c r="H48" s="291"/>
    </row>
    <row r="49" spans="1:8" ht="59.1" customHeight="1" x14ac:dyDescent="0.3">
      <c r="A49" s="280" t="s">
        <v>465</v>
      </c>
      <c r="B49" s="287" t="s">
        <v>464</v>
      </c>
      <c r="C49" s="171" t="s">
        <v>643</v>
      </c>
      <c r="D49" s="286" t="s">
        <v>462</v>
      </c>
      <c r="E49" s="286"/>
      <c r="F49" s="286"/>
      <c r="G49" s="286"/>
      <c r="H49" s="286"/>
    </row>
    <row r="50" spans="1:8" ht="42.9" customHeight="1" x14ac:dyDescent="0.3">
      <c r="A50" s="281"/>
      <c r="B50" s="287"/>
      <c r="C50" s="171" t="s">
        <v>461</v>
      </c>
      <c r="D50" s="286" t="s">
        <v>642</v>
      </c>
      <c r="E50" s="286"/>
      <c r="F50" s="286"/>
      <c r="G50" s="286"/>
      <c r="H50" s="286"/>
    </row>
    <row r="51" spans="1:8" ht="39.9" customHeight="1" x14ac:dyDescent="0.3">
      <c r="A51" s="281"/>
      <c r="B51" s="287"/>
      <c r="C51" s="171" t="s">
        <v>719</v>
      </c>
      <c r="D51" s="286" t="s">
        <v>641</v>
      </c>
      <c r="E51" s="286"/>
      <c r="F51" s="286"/>
      <c r="G51" s="286"/>
      <c r="H51" s="286"/>
    </row>
    <row r="52" spans="1:8" ht="26.4" x14ac:dyDescent="0.3">
      <c r="A52" s="282"/>
      <c r="B52" s="287"/>
      <c r="C52" s="171" t="s">
        <v>457</v>
      </c>
      <c r="D52" s="289" t="s">
        <v>640</v>
      </c>
      <c r="E52" s="290"/>
      <c r="F52" s="290"/>
      <c r="G52" s="290"/>
      <c r="H52" s="291"/>
    </row>
    <row r="53" spans="1:8" ht="27.9" customHeight="1" x14ac:dyDescent="0.3">
      <c r="A53" s="173" t="s">
        <v>455</v>
      </c>
      <c r="B53" s="172" t="s">
        <v>454</v>
      </c>
      <c r="C53" s="171" t="s">
        <v>429</v>
      </c>
      <c r="D53" s="286" t="s">
        <v>453</v>
      </c>
      <c r="E53" s="286"/>
      <c r="F53" s="286"/>
      <c r="G53" s="286"/>
      <c r="H53" s="286"/>
    </row>
    <row r="54" spans="1:8" ht="52.8" x14ac:dyDescent="0.3">
      <c r="A54" s="173" t="s">
        <v>452</v>
      </c>
      <c r="B54" s="172" t="s">
        <v>451</v>
      </c>
      <c r="C54" s="172" t="s">
        <v>451</v>
      </c>
      <c r="D54" s="289" t="s">
        <v>450</v>
      </c>
      <c r="E54" s="290"/>
      <c r="F54" s="290"/>
      <c r="G54" s="290"/>
      <c r="H54" s="291"/>
    </row>
    <row r="55" spans="1:8" ht="79.5" customHeight="1" x14ac:dyDescent="0.3">
      <c r="A55" s="280" t="s">
        <v>449</v>
      </c>
      <c r="B55" s="283" t="s">
        <v>448</v>
      </c>
      <c r="C55" s="174" t="s">
        <v>447</v>
      </c>
      <c r="D55" s="286" t="s">
        <v>639</v>
      </c>
      <c r="E55" s="286"/>
      <c r="F55" s="286"/>
      <c r="G55" s="286"/>
      <c r="H55" s="286"/>
    </row>
    <row r="56" spans="1:8" ht="50.4" customHeight="1" x14ac:dyDescent="0.3">
      <c r="A56" s="281"/>
      <c r="B56" s="284"/>
      <c r="C56" s="174" t="s">
        <v>446</v>
      </c>
      <c r="D56" s="286" t="s">
        <v>684</v>
      </c>
      <c r="E56" s="286"/>
      <c r="F56" s="286"/>
      <c r="G56" s="286"/>
      <c r="H56" s="286"/>
    </row>
    <row r="57" spans="1:8" ht="39.6" x14ac:dyDescent="0.3">
      <c r="A57" s="281"/>
      <c r="B57" s="284"/>
      <c r="C57" s="174" t="s">
        <v>445</v>
      </c>
      <c r="D57" s="315" t="s">
        <v>638</v>
      </c>
      <c r="E57" s="315"/>
      <c r="F57" s="315"/>
      <c r="G57" s="315"/>
      <c r="H57" s="315"/>
    </row>
    <row r="58" spans="1:8" ht="39.6" x14ac:dyDescent="0.3">
      <c r="A58" s="281"/>
      <c r="B58" s="284"/>
      <c r="C58" s="174" t="s">
        <v>444</v>
      </c>
      <c r="D58" s="286" t="s">
        <v>443</v>
      </c>
      <c r="E58" s="286"/>
      <c r="F58" s="286"/>
      <c r="G58" s="286"/>
      <c r="H58" s="286"/>
    </row>
    <row r="59" spans="1:8" ht="30.6" customHeight="1" x14ac:dyDescent="0.3">
      <c r="A59" s="281"/>
      <c r="B59" s="284"/>
      <c r="C59" s="174" t="s">
        <v>442</v>
      </c>
      <c r="D59" s="292" t="s">
        <v>637</v>
      </c>
      <c r="E59" s="293"/>
      <c r="F59" s="293"/>
      <c r="G59" s="293"/>
      <c r="H59" s="294"/>
    </row>
    <row r="60" spans="1:8" x14ac:dyDescent="0.3">
      <c r="A60" s="282"/>
      <c r="B60" s="285"/>
      <c r="C60" s="174" t="s">
        <v>440</v>
      </c>
      <c r="D60" s="292" t="s">
        <v>636</v>
      </c>
      <c r="E60" s="293"/>
      <c r="F60" s="293"/>
      <c r="G60" s="293"/>
      <c r="H60" s="294"/>
    </row>
    <row r="61" spans="1:8" ht="26.4" x14ac:dyDescent="0.3">
      <c r="A61" s="173" t="s">
        <v>439</v>
      </c>
      <c r="B61" s="174" t="s">
        <v>438</v>
      </c>
      <c r="C61" s="171" t="s">
        <v>429</v>
      </c>
      <c r="D61" s="289" t="s">
        <v>437</v>
      </c>
      <c r="E61" s="290"/>
      <c r="F61" s="290"/>
      <c r="G61" s="290"/>
      <c r="H61" s="291"/>
    </row>
    <row r="62" spans="1:8" ht="93" customHeight="1" x14ac:dyDescent="0.3">
      <c r="A62" s="280" t="s">
        <v>436</v>
      </c>
      <c r="B62" s="283" t="s">
        <v>435</v>
      </c>
      <c r="C62" s="171" t="s">
        <v>707</v>
      </c>
      <c r="D62" s="286" t="s">
        <v>709</v>
      </c>
      <c r="E62" s="286"/>
      <c r="F62" s="286"/>
      <c r="G62" s="286"/>
      <c r="H62" s="286"/>
    </row>
    <row r="63" spans="1:8" ht="26.4" x14ac:dyDescent="0.3">
      <c r="A63" s="281"/>
      <c r="B63" s="284"/>
      <c r="C63" s="171" t="s">
        <v>434</v>
      </c>
      <c r="D63" s="286" t="s">
        <v>708</v>
      </c>
      <c r="E63" s="286"/>
      <c r="F63" s="286"/>
      <c r="G63" s="286"/>
      <c r="H63" s="286"/>
    </row>
    <row r="64" spans="1:8" ht="41.4" customHeight="1" x14ac:dyDescent="0.3">
      <c r="A64" s="281"/>
      <c r="B64" s="284"/>
      <c r="C64" s="171" t="s">
        <v>433</v>
      </c>
      <c r="D64" s="286" t="s">
        <v>635</v>
      </c>
      <c r="E64" s="286"/>
      <c r="F64" s="286"/>
      <c r="G64" s="286"/>
      <c r="H64" s="286"/>
    </row>
    <row r="65" spans="1:8" x14ac:dyDescent="0.3">
      <c r="A65" s="282"/>
      <c r="B65" s="285"/>
      <c r="C65" s="171" t="s">
        <v>532</v>
      </c>
      <c r="D65" s="292" t="s">
        <v>531</v>
      </c>
      <c r="E65" s="293"/>
      <c r="F65" s="293"/>
      <c r="G65" s="293"/>
      <c r="H65" s="294"/>
    </row>
    <row r="66" spans="1:8" ht="26.4" x14ac:dyDescent="0.3">
      <c r="A66" s="173" t="s">
        <v>431</v>
      </c>
      <c r="B66" s="172" t="s">
        <v>430</v>
      </c>
      <c r="C66" s="171" t="s">
        <v>429</v>
      </c>
      <c r="D66" s="286" t="s">
        <v>428</v>
      </c>
      <c r="E66" s="286"/>
      <c r="F66" s="286"/>
      <c r="G66" s="286"/>
      <c r="H66" s="286"/>
    </row>
    <row r="67" spans="1:8" ht="66" x14ac:dyDescent="0.3">
      <c r="A67" s="173" t="s">
        <v>427</v>
      </c>
      <c r="B67" s="172" t="s">
        <v>426</v>
      </c>
      <c r="C67" s="171" t="s">
        <v>425</v>
      </c>
      <c r="D67" s="286" t="s">
        <v>424</v>
      </c>
      <c r="E67" s="286"/>
      <c r="F67" s="286"/>
      <c r="G67" s="286"/>
      <c r="H67" s="286"/>
    </row>
    <row r="68" spans="1:8" ht="59.4" customHeight="1" x14ac:dyDescent="0.3">
      <c r="A68" s="203" t="s">
        <v>530</v>
      </c>
      <c r="B68" s="286" t="s">
        <v>634</v>
      </c>
      <c r="C68" s="286"/>
      <c r="D68" s="286" t="s">
        <v>633</v>
      </c>
      <c r="E68" s="286"/>
      <c r="F68" s="286"/>
      <c r="G68" s="286"/>
      <c r="H68" s="286"/>
    </row>
    <row r="69" spans="1:8" ht="15" thickBot="1" x14ac:dyDescent="0.35">
      <c r="A69" s="192" t="s">
        <v>718</v>
      </c>
      <c r="B69" s="324" t="s">
        <v>717</v>
      </c>
      <c r="C69" s="325"/>
      <c r="D69" s="326" t="s">
        <v>716</v>
      </c>
      <c r="E69" s="326"/>
      <c r="F69" s="326"/>
      <c r="G69" s="326"/>
      <c r="H69" s="326"/>
    </row>
  </sheetData>
  <sheetProtection algorithmName="SHA-512" hashValue="oN/UIgLPn4+jVnriwiFtCsQwjKeehBZD6bQWPod/ZWm/IVlhi5zxUn54uyidzpSKB4TR4wDYQmKKSmSji7lPrQ==" saltValue="zIpepiUFBXZlaNNcstq5sQ==" spinCount="100000" sheet="1" objects="1" scenarios="1"/>
  <mergeCells count="73">
    <mergeCell ref="B69:C69"/>
    <mergeCell ref="D69:H69"/>
    <mergeCell ref="D66:H66"/>
    <mergeCell ref="D67:H67"/>
    <mergeCell ref="B68:C68"/>
    <mergeCell ref="D68:H68"/>
    <mergeCell ref="D44:H44"/>
    <mergeCell ref="A39:A47"/>
    <mergeCell ref="B39:B47"/>
    <mergeCell ref="D60:H60"/>
    <mergeCell ref="D61:H61"/>
    <mergeCell ref="D52:H52"/>
    <mergeCell ref="D53:H53"/>
    <mergeCell ref="D54:H54"/>
    <mergeCell ref="A55:A60"/>
    <mergeCell ref="B55:B60"/>
    <mergeCell ref="D55:H55"/>
    <mergeCell ref="D56:H56"/>
    <mergeCell ref="D57:H57"/>
    <mergeCell ref="D58:H58"/>
    <mergeCell ref="D59:H59"/>
    <mergeCell ref="D43:H43"/>
    <mergeCell ref="A62:A65"/>
    <mergeCell ref="B62:B65"/>
    <mergeCell ref="D62:H62"/>
    <mergeCell ref="D63:H63"/>
    <mergeCell ref="D64:H64"/>
    <mergeCell ref="D65:H65"/>
    <mergeCell ref="D45:H45"/>
    <mergeCell ref="D46:H46"/>
    <mergeCell ref="D47:H47"/>
    <mergeCell ref="D48:H48"/>
    <mergeCell ref="A49:A52"/>
    <mergeCell ref="B49:B52"/>
    <mergeCell ref="D49:H49"/>
    <mergeCell ref="D50:H50"/>
    <mergeCell ref="D51:H51"/>
    <mergeCell ref="D40:H40"/>
    <mergeCell ref="D41:H41"/>
    <mergeCell ref="D42:H42"/>
    <mergeCell ref="D29:H29"/>
    <mergeCell ref="D30:H30"/>
    <mergeCell ref="D31:H31"/>
    <mergeCell ref="D32:H32"/>
    <mergeCell ref="D33:H33"/>
    <mergeCell ref="D34:H34"/>
    <mergeCell ref="D35:H35"/>
    <mergeCell ref="D36:H36"/>
    <mergeCell ref="D37:H37"/>
    <mergeCell ref="D38:H38"/>
    <mergeCell ref="C39:H39"/>
    <mergeCell ref="A21:A37"/>
    <mergeCell ref="B21:B37"/>
    <mergeCell ref="D21:H21"/>
    <mergeCell ref="D22:H22"/>
    <mergeCell ref="D23:H23"/>
    <mergeCell ref="D24:H24"/>
    <mergeCell ref="D25:H25"/>
    <mergeCell ref="D26:H26"/>
    <mergeCell ref="D27:H27"/>
    <mergeCell ref="D28:H28"/>
    <mergeCell ref="D20:H20"/>
    <mergeCell ref="A1:H1"/>
    <mergeCell ref="A3:H3"/>
    <mergeCell ref="A6:H6"/>
    <mergeCell ref="A8:H8"/>
    <mergeCell ref="A10:H10"/>
    <mergeCell ref="A11:H11"/>
    <mergeCell ref="A13:H13"/>
    <mergeCell ref="A14:H14"/>
    <mergeCell ref="A16:H16"/>
    <mergeCell ref="A17:H17"/>
    <mergeCell ref="A19:H19"/>
  </mergeCells>
  <pageMargins left="0.7" right="0.7" top="0.75" bottom="0.75" header="0.3" footer="0.3"/>
  <pageSetup orientation="portrait" horizontalDpi="90" verticalDpi="9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K16"/>
  <sheetViews>
    <sheetView showGridLines="0" topLeftCell="A5" zoomScaleNormal="100" workbookViewId="0">
      <selection activeCell="D15" sqref="D15"/>
    </sheetView>
  </sheetViews>
  <sheetFormatPr defaultRowHeight="14.4" x14ac:dyDescent="0.3"/>
  <cols>
    <col min="1" max="1" width="2.33203125" customWidth="1"/>
    <col min="2" max="2" width="29.33203125" bestFit="1" customWidth="1"/>
    <col min="3" max="3" width="22.6640625" customWidth="1"/>
    <col min="4" max="4" width="45.44140625" customWidth="1"/>
    <col min="5" max="5" width="27.6640625" customWidth="1"/>
    <col min="6" max="6" width="22.6640625" customWidth="1"/>
    <col min="7" max="7" width="11.5546875" customWidth="1"/>
    <col min="8" max="8" width="26" customWidth="1"/>
    <col min="10" max="10" width="48.44140625" customWidth="1"/>
    <col min="11" max="11" width="37.44140625" customWidth="1"/>
  </cols>
  <sheetData>
    <row r="1" spans="1:11" ht="56.25" customHeight="1" x14ac:dyDescent="0.3">
      <c r="B1" s="274" t="s">
        <v>754</v>
      </c>
      <c r="C1" s="274"/>
      <c r="D1" s="274"/>
      <c r="E1" s="274"/>
      <c r="F1" s="274"/>
      <c r="G1" s="274"/>
      <c r="H1" s="274"/>
      <c r="I1" s="274"/>
    </row>
    <row r="2" spans="1:11" x14ac:dyDescent="0.3">
      <c r="B2" s="16"/>
      <c r="C2" s="17"/>
      <c r="D2" s="17"/>
      <c r="E2" s="17"/>
      <c r="F2" s="17"/>
      <c r="G2" s="17"/>
      <c r="H2" s="17"/>
      <c r="I2" s="18"/>
    </row>
    <row r="3" spans="1:11" s="4" customFormat="1" x14ac:dyDescent="0.3">
      <c r="A3" s="3"/>
      <c r="B3" s="331"/>
      <c r="C3" s="332"/>
      <c r="D3" s="332"/>
      <c r="E3" s="332"/>
      <c r="F3" s="332"/>
      <c r="G3" s="332"/>
      <c r="H3" s="332"/>
      <c r="I3" s="333"/>
    </row>
    <row r="4" spans="1:11" s="4" customFormat="1" ht="15" customHeight="1" x14ac:dyDescent="0.3">
      <c r="A4" s="3"/>
      <c r="B4" s="334"/>
      <c r="C4" s="335"/>
      <c r="D4" s="335"/>
      <c r="E4" s="335"/>
      <c r="F4" s="335"/>
      <c r="G4" s="335"/>
      <c r="H4" s="335"/>
      <c r="I4" s="336"/>
    </row>
    <row r="5" spans="1:11" s="4" customFormat="1" ht="157.5" customHeight="1" x14ac:dyDescent="0.3">
      <c r="A5" s="3"/>
      <c r="B5" s="337"/>
      <c r="C5" s="338"/>
      <c r="D5" s="338"/>
      <c r="E5" s="338"/>
      <c r="F5" s="338"/>
      <c r="G5" s="338"/>
      <c r="H5" s="338"/>
      <c r="I5" s="339"/>
    </row>
    <row r="6" spans="1:11" s="4" customFormat="1" x14ac:dyDescent="0.3">
      <c r="A6" s="3"/>
      <c r="B6" s="344"/>
      <c r="C6" s="345"/>
      <c r="D6" s="345"/>
      <c r="E6" s="345"/>
      <c r="F6" s="345"/>
      <c r="G6" s="345"/>
      <c r="H6" s="345"/>
      <c r="I6" s="346"/>
    </row>
    <row r="7" spans="1:11" ht="29.25" customHeight="1" x14ac:dyDescent="0.3">
      <c r="A7" s="1"/>
      <c r="B7" s="340" t="s">
        <v>70</v>
      </c>
      <c r="C7" s="341"/>
      <c r="D7" s="341"/>
      <c r="E7" s="12"/>
      <c r="F7" s="347"/>
      <c r="G7" s="348"/>
      <c r="H7" s="348"/>
      <c r="I7" s="13"/>
      <c r="J7" s="327" t="s">
        <v>152</v>
      </c>
      <c r="K7" s="328" t="s">
        <v>153</v>
      </c>
    </row>
    <row r="8" spans="1:11" ht="15" customHeight="1" x14ac:dyDescent="0.3">
      <c r="A8" s="1"/>
      <c r="B8" s="342"/>
      <c r="C8" s="343"/>
      <c r="D8" s="343"/>
      <c r="F8" s="349"/>
      <c r="G8" s="349"/>
      <c r="H8" s="349"/>
      <c r="I8" s="14"/>
      <c r="J8" s="327"/>
      <c r="K8" s="328"/>
    </row>
    <row r="9" spans="1:11" x14ac:dyDescent="0.3">
      <c r="A9" s="1"/>
      <c r="B9" s="329" t="s">
        <v>60</v>
      </c>
      <c r="C9" s="329"/>
      <c r="D9" s="262" t="s">
        <v>757</v>
      </c>
      <c r="F9" s="11"/>
      <c r="G9" s="11"/>
      <c r="H9" s="1"/>
      <c r="I9" s="14"/>
      <c r="J9" s="133"/>
      <c r="K9" s="134"/>
    </row>
    <row r="10" spans="1:11" ht="16.8" x14ac:dyDescent="0.4">
      <c r="A10" s="1"/>
      <c r="B10" s="330" t="s">
        <v>63</v>
      </c>
      <c r="C10" s="330"/>
      <c r="D10" s="265" t="s">
        <v>711</v>
      </c>
      <c r="F10" s="11"/>
      <c r="G10" s="11"/>
      <c r="H10" s="25"/>
      <c r="I10" s="14"/>
      <c r="J10" s="133"/>
      <c r="K10" s="134"/>
    </row>
    <row r="11" spans="1:11" ht="18" customHeight="1" x14ac:dyDescent="0.3">
      <c r="B11" s="330" t="s">
        <v>143</v>
      </c>
      <c r="C11" s="330"/>
      <c r="D11" s="266" t="s">
        <v>758</v>
      </c>
      <c r="F11" s="11"/>
      <c r="G11" s="11"/>
      <c r="H11" s="26"/>
      <c r="I11" s="14"/>
      <c r="J11" s="133"/>
      <c r="K11" s="135"/>
    </row>
    <row r="12" spans="1:11" ht="18" customHeight="1" x14ac:dyDescent="0.3">
      <c r="B12" s="330" t="s">
        <v>142</v>
      </c>
      <c r="C12" s="330"/>
      <c r="D12" s="267" t="s">
        <v>759</v>
      </c>
      <c r="F12" s="350"/>
      <c r="G12" s="350"/>
      <c r="H12" s="26"/>
      <c r="I12" s="14"/>
      <c r="J12" s="133"/>
      <c r="K12" s="135"/>
    </row>
    <row r="13" spans="1:11" ht="18" customHeight="1" x14ac:dyDescent="0.3">
      <c r="B13" s="330" t="s">
        <v>420</v>
      </c>
      <c r="C13" s="330"/>
      <c r="D13" s="267" t="s">
        <v>760</v>
      </c>
      <c r="I13" s="14"/>
      <c r="J13" s="133"/>
      <c r="K13" s="135"/>
    </row>
    <row r="14" spans="1:11" s="1" customFormat="1" ht="45.75" hidden="1" customHeight="1" x14ac:dyDescent="0.3">
      <c r="B14" s="330" t="s">
        <v>132</v>
      </c>
      <c r="C14" s="330"/>
      <c r="D14" s="268"/>
      <c r="I14" s="15"/>
      <c r="J14" s="133"/>
      <c r="K14" s="135"/>
    </row>
    <row r="15" spans="1:11" s="1" customFormat="1" x14ac:dyDescent="0.3">
      <c r="B15" s="27"/>
      <c r="C15" s="28"/>
      <c r="D15" s="269"/>
      <c r="E15" s="29"/>
      <c r="F15" s="29"/>
      <c r="G15" s="29"/>
      <c r="H15" s="29"/>
      <c r="I15" s="30"/>
      <c r="J15" s="133"/>
      <c r="K15" s="134"/>
    </row>
    <row r="16" spans="1:11" ht="33" customHeight="1" x14ac:dyDescent="0.3">
      <c r="B16" s="351" t="s">
        <v>61</v>
      </c>
      <c r="C16" s="352"/>
      <c r="D16" s="352"/>
      <c r="E16" s="352"/>
      <c r="F16" s="352"/>
      <c r="G16" s="352"/>
      <c r="H16" s="352"/>
      <c r="I16" s="353"/>
    </row>
  </sheetData>
  <sheetProtection algorithmName="SHA-512" hashValue="q/3xdfqxukw1LdfKx/5C6D5eF0NY1ZH1rRt0L7hcOLQbDvGWrlMJ8a1gpNQeJtER76j4TSDg/282mKaYPvwCRg==" saltValue="c/KPwLJ4A0zbtZMyU0MLnw==" spinCount="100000" sheet="1" objects="1" scenarios="1"/>
  <mergeCells count="15">
    <mergeCell ref="F12:G12"/>
    <mergeCell ref="B16:I16"/>
    <mergeCell ref="B12:C12"/>
    <mergeCell ref="B13:C13"/>
    <mergeCell ref="B14:C14"/>
    <mergeCell ref="B11:C11"/>
    <mergeCell ref="B3:I5"/>
    <mergeCell ref="B7:D8"/>
    <mergeCell ref="B6:I6"/>
    <mergeCell ref="F7:H8"/>
    <mergeCell ref="J7:J8"/>
    <mergeCell ref="K7:K8"/>
    <mergeCell ref="B1:I1"/>
    <mergeCell ref="B9:C9"/>
    <mergeCell ref="B10:C10"/>
  </mergeCells>
  <dataValidations count="1">
    <dataValidation type="list" allowBlank="1" showInputMessage="1" showErrorMessage="1" sqref="D14" xr:uid="{00000000-0002-0000-0200-000000000000}">
      <formula1>"Yes,No"</formula1>
    </dataValidation>
  </dataValidation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D409AB9E-5AB1-4792-9256-CD2684987853}">
          <x14:formula1>
            <xm:f>Master!$A$23:$A$30</xm:f>
          </x14:formula1>
          <xm:sqref>D10</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K23"/>
  <sheetViews>
    <sheetView showGridLines="0" topLeftCell="A2" zoomScale="87" zoomScaleNormal="90" workbookViewId="0">
      <selection activeCell="H21" sqref="H21:I21"/>
    </sheetView>
  </sheetViews>
  <sheetFormatPr defaultRowHeight="14.4" x14ac:dyDescent="0.3"/>
  <cols>
    <col min="1" max="1" width="6" customWidth="1"/>
    <col min="2" max="2" width="24.6640625" customWidth="1"/>
    <col min="3" max="3" width="14.5546875" customWidth="1"/>
    <col min="4" max="5" width="23.33203125" customWidth="1"/>
    <col min="6" max="6" width="23.109375" customWidth="1"/>
    <col min="7" max="7" width="19.109375" customWidth="1"/>
    <col min="8" max="8" width="17.5546875" customWidth="1"/>
    <col min="9" max="9" width="21.88671875" customWidth="1"/>
    <col min="10" max="10" width="49.33203125" customWidth="1"/>
    <col min="11" max="11" width="37.88671875" customWidth="1"/>
    <col min="13" max="13" width="6.33203125" customWidth="1"/>
  </cols>
  <sheetData>
    <row r="1" spans="1:11" ht="26.25" customHeight="1" x14ac:dyDescent="0.3">
      <c r="A1" s="380" t="s">
        <v>62</v>
      </c>
      <c r="B1" s="380"/>
      <c r="C1" s="380"/>
      <c r="D1" s="380"/>
      <c r="E1" s="380"/>
      <c r="F1" s="380"/>
      <c r="G1" s="380"/>
      <c r="H1" s="6"/>
      <c r="I1" s="6"/>
    </row>
    <row r="2" spans="1:11" ht="22.5" customHeight="1" x14ac:dyDescent="0.3">
      <c r="A2" s="380"/>
      <c r="B2" s="380"/>
      <c r="C2" s="380"/>
      <c r="D2" s="380"/>
      <c r="E2" s="380"/>
      <c r="F2" s="380"/>
      <c r="G2" s="380"/>
      <c r="H2" s="6"/>
      <c r="I2" s="6"/>
    </row>
    <row r="3" spans="1:11" ht="61.5" customHeight="1" thickBot="1" x14ac:dyDescent="0.35">
      <c r="A3" s="7"/>
      <c r="B3" s="8"/>
      <c r="C3" s="382" t="s">
        <v>589</v>
      </c>
      <c r="D3" s="382"/>
      <c r="E3" s="382"/>
      <c r="F3" s="382"/>
      <c r="G3" s="382"/>
      <c r="H3" s="382"/>
      <c r="I3" s="8"/>
    </row>
    <row r="4" spans="1:11" ht="20.25" customHeight="1" x14ac:dyDescent="0.3">
      <c r="A4" s="55">
        <v>5</v>
      </c>
      <c r="B4" s="383" t="s">
        <v>125</v>
      </c>
      <c r="C4" s="384"/>
      <c r="D4" s="384"/>
      <c r="E4" s="384"/>
      <c r="F4" s="384"/>
      <c r="G4" s="384"/>
      <c r="H4" s="384"/>
      <c r="I4" s="385"/>
      <c r="J4" s="360" t="s">
        <v>152</v>
      </c>
      <c r="K4" s="360" t="s">
        <v>153</v>
      </c>
    </row>
    <row r="5" spans="1:11" ht="19.5" customHeight="1" x14ac:dyDescent="0.3">
      <c r="A5" s="56" t="s">
        <v>134</v>
      </c>
      <c r="B5" s="363" t="s">
        <v>24</v>
      </c>
      <c r="C5" s="363"/>
      <c r="D5" s="363"/>
      <c r="E5" s="363"/>
      <c r="F5" s="363"/>
      <c r="G5" s="363"/>
      <c r="H5" s="364" t="s">
        <v>135</v>
      </c>
      <c r="I5" s="365"/>
      <c r="J5" s="360"/>
      <c r="K5" s="360"/>
    </row>
    <row r="6" spans="1:11" ht="30" customHeight="1" x14ac:dyDescent="0.3">
      <c r="A6" s="2" t="s">
        <v>6</v>
      </c>
      <c r="B6" s="377" t="s">
        <v>126</v>
      </c>
      <c r="C6" s="377"/>
      <c r="D6" s="377"/>
      <c r="E6" s="377"/>
      <c r="F6" s="377"/>
      <c r="G6" s="377"/>
      <c r="H6" s="361">
        <v>54481882</v>
      </c>
      <c r="I6" s="362"/>
      <c r="J6" s="125"/>
      <c r="K6" s="125"/>
    </row>
    <row r="7" spans="1:11" ht="15.75" customHeight="1" x14ac:dyDescent="0.3">
      <c r="A7" s="2" t="s">
        <v>7</v>
      </c>
      <c r="B7" s="368" t="s">
        <v>144</v>
      </c>
      <c r="C7" s="369"/>
      <c r="D7" s="369"/>
      <c r="E7" s="369"/>
      <c r="F7" s="369"/>
      <c r="G7" s="370"/>
      <c r="H7" s="386"/>
      <c r="I7" s="387"/>
      <c r="J7" s="125"/>
      <c r="K7" s="125"/>
    </row>
    <row r="8" spans="1:11" ht="15.75" customHeight="1" x14ac:dyDescent="0.3">
      <c r="A8" s="2" t="s">
        <v>8</v>
      </c>
      <c r="B8" s="368" t="s">
        <v>145</v>
      </c>
      <c r="C8" s="369"/>
      <c r="D8" s="369"/>
      <c r="E8" s="369"/>
      <c r="F8" s="369"/>
      <c r="G8" s="370"/>
      <c r="H8" s="361"/>
      <c r="I8" s="362"/>
      <c r="J8" s="125"/>
      <c r="K8" s="125"/>
    </row>
    <row r="9" spans="1:11" ht="15" customHeight="1" x14ac:dyDescent="0.3">
      <c r="A9" s="2" t="s">
        <v>9</v>
      </c>
      <c r="B9" s="368" t="s">
        <v>0</v>
      </c>
      <c r="C9" s="369"/>
      <c r="D9" s="369"/>
      <c r="E9" s="369"/>
      <c r="F9" s="369"/>
      <c r="G9" s="370"/>
      <c r="H9" s="361"/>
      <c r="I9" s="362"/>
      <c r="J9" s="125"/>
      <c r="K9" s="125"/>
    </row>
    <row r="10" spans="1:11" ht="15" customHeight="1" x14ac:dyDescent="0.3">
      <c r="A10" s="2" t="s">
        <v>10</v>
      </c>
      <c r="B10" s="371" t="s">
        <v>1</v>
      </c>
      <c r="C10" s="372"/>
      <c r="D10" s="372"/>
      <c r="E10" s="372"/>
      <c r="F10" s="372"/>
      <c r="G10" s="373"/>
      <c r="H10" s="361"/>
      <c r="I10" s="362"/>
      <c r="J10" s="125"/>
      <c r="K10" s="125"/>
    </row>
    <row r="11" spans="1:11" x14ac:dyDescent="0.3">
      <c r="A11" s="46" t="s">
        <v>11</v>
      </c>
      <c r="B11" s="368" t="s">
        <v>57</v>
      </c>
      <c r="C11" s="369"/>
      <c r="D11" s="369"/>
      <c r="E11" s="369"/>
      <c r="F11" s="369"/>
      <c r="G11" s="370"/>
      <c r="H11" s="361"/>
      <c r="I11" s="362"/>
      <c r="J11" s="125"/>
      <c r="K11" s="125"/>
    </row>
    <row r="12" spans="1:11" x14ac:dyDescent="0.3">
      <c r="A12" s="2" t="s">
        <v>12</v>
      </c>
      <c r="B12" s="368" t="s">
        <v>620</v>
      </c>
      <c r="C12" s="369"/>
      <c r="D12" s="369"/>
      <c r="E12" s="369"/>
      <c r="F12" s="369"/>
      <c r="G12" s="370"/>
      <c r="H12" s="366"/>
      <c r="I12" s="367"/>
      <c r="J12" s="125"/>
      <c r="K12" s="125"/>
    </row>
    <row r="13" spans="1:11" x14ac:dyDescent="0.3">
      <c r="A13" s="2" t="s">
        <v>14</v>
      </c>
      <c r="B13" s="368" t="s">
        <v>13</v>
      </c>
      <c r="C13" s="369"/>
      <c r="D13" s="369"/>
      <c r="E13" s="369"/>
      <c r="F13" s="369"/>
      <c r="G13" s="370"/>
      <c r="H13" s="361"/>
      <c r="I13" s="362"/>
      <c r="J13" s="125"/>
      <c r="K13" s="125"/>
    </row>
    <row r="14" spans="1:11" x14ac:dyDescent="0.3">
      <c r="A14" s="2" t="s">
        <v>16</v>
      </c>
      <c r="B14" s="368" t="s">
        <v>15</v>
      </c>
      <c r="C14" s="369"/>
      <c r="D14" s="369"/>
      <c r="E14" s="369"/>
      <c r="F14" s="369"/>
      <c r="G14" s="370"/>
      <c r="H14" s="361"/>
      <c r="I14" s="362"/>
      <c r="J14" s="125"/>
      <c r="K14" s="125"/>
    </row>
    <row r="15" spans="1:11" x14ac:dyDescent="0.3">
      <c r="A15" s="2" t="s">
        <v>17</v>
      </c>
      <c r="B15" s="388" t="s">
        <v>2</v>
      </c>
      <c r="C15" s="389"/>
      <c r="D15" s="389"/>
      <c r="E15" s="389"/>
      <c r="F15" s="389"/>
      <c r="G15" s="390"/>
      <c r="H15" s="361"/>
      <c r="I15" s="362"/>
      <c r="J15" s="125"/>
      <c r="K15" s="125"/>
    </row>
    <row r="16" spans="1:11" x14ac:dyDescent="0.3">
      <c r="A16" s="2" t="s">
        <v>18</v>
      </c>
      <c r="B16" s="388" t="s">
        <v>3</v>
      </c>
      <c r="C16" s="389"/>
      <c r="D16" s="389"/>
      <c r="E16" s="389"/>
      <c r="F16" s="389"/>
      <c r="G16" s="390"/>
      <c r="H16" s="361"/>
      <c r="I16" s="362"/>
      <c r="J16" s="125"/>
      <c r="K16" s="125"/>
    </row>
    <row r="17" spans="1:11" x14ac:dyDescent="0.3">
      <c r="A17" s="2" t="s">
        <v>20</v>
      </c>
      <c r="B17" s="354" t="s">
        <v>4</v>
      </c>
      <c r="C17" s="355"/>
      <c r="D17" s="355"/>
      <c r="E17" s="355"/>
      <c r="F17" s="355"/>
      <c r="G17" s="356"/>
      <c r="H17" s="361"/>
      <c r="I17" s="362"/>
      <c r="J17" s="125"/>
      <c r="K17" s="125"/>
    </row>
    <row r="18" spans="1:11" x14ac:dyDescent="0.3">
      <c r="A18" s="2" t="s">
        <v>21</v>
      </c>
      <c r="B18" s="354" t="s">
        <v>5</v>
      </c>
      <c r="C18" s="355"/>
      <c r="D18" s="355"/>
      <c r="E18" s="355"/>
      <c r="F18" s="355"/>
      <c r="G18" s="356"/>
      <c r="H18" s="361"/>
      <c r="I18" s="362"/>
      <c r="J18" s="125"/>
      <c r="K18" s="125"/>
    </row>
    <row r="19" spans="1:11" x14ac:dyDescent="0.3">
      <c r="A19" s="2" t="s">
        <v>22</v>
      </c>
      <c r="B19" s="357" t="s">
        <v>50</v>
      </c>
      <c r="C19" s="358"/>
      <c r="D19" s="358"/>
      <c r="E19" s="358"/>
      <c r="F19" s="358"/>
      <c r="G19" s="359"/>
      <c r="H19" s="361"/>
      <c r="I19" s="362"/>
      <c r="J19" s="125"/>
      <c r="K19" s="125"/>
    </row>
    <row r="20" spans="1:11" x14ac:dyDescent="0.3">
      <c r="A20" s="2" t="s">
        <v>29</v>
      </c>
      <c r="B20" s="368" t="s">
        <v>19</v>
      </c>
      <c r="C20" s="369"/>
      <c r="D20" s="369"/>
      <c r="E20" s="369"/>
      <c r="F20" s="369"/>
      <c r="G20" s="370"/>
      <c r="H20" s="361">
        <v>108000.32000000001</v>
      </c>
      <c r="I20" s="362"/>
      <c r="J20" s="125"/>
      <c r="K20" s="125"/>
    </row>
    <row r="21" spans="1:11" x14ac:dyDescent="0.3">
      <c r="A21" s="2" t="s">
        <v>31</v>
      </c>
      <c r="B21" s="377" t="s">
        <v>343</v>
      </c>
      <c r="C21" s="377"/>
      <c r="D21" s="377"/>
      <c r="E21" s="377"/>
      <c r="F21" s="377"/>
      <c r="G21" s="377"/>
      <c r="H21" s="378">
        <f>H6+H7+H8+H9-H10+H11-H12-H13-H14+H15-H16-H17+H18+H19+H20</f>
        <v>54589882.32</v>
      </c>
      <c r="I21" s="379"/>
      <c r="J21" s="125"/>
      <c r="K21" s="129"/>
    </row>
    <row r="22" spans="1:11" x14ac:dyDescent="0.3">
      <c r="A22" s="2" t="s">
        <v>32</v>
      </c>
      <c r="B22" s="381" t="s">
        <v>127</v>
      </c>
      <c r="C22" s="381"/>
      <c r="D22" s="381"/>
      <c r="E22" s="381"/>
      <c r="F22" s="381"/>
      <c r="G22" s="381"/>
      <c r="H22" s="361">
        <v>54589882.32</v>
      </c>
      <c r="I22" s="362"/>
      <c r="J22" s="125"/>
      <c r="K22" s="129"/>
    </row>
    <row r="23" spans="1:11" ht="15" thickBot="1" x14ac:dyDescent="0.35">
      <c r="A23" s="47" t="s">
        <v>33</v>
      </c>
      <c r="B23" s="374" t="s">
        <v>344</v>
      </c>
      <c r="C23" s="374"/>
      <c r="D23" s="374"/>
      <c r="E23" s="374"/>
      <c r="F23" s="374"/>
      <c r="G23" s="374"/>
      <c r="H23" s="375">
        <f>H22-H21</f>
        <v>0</v>
      </c>
      <c r="I23" s="376"/>
      <c r="J23" s="125"/>
      <c r="K23" s="129"/>
    </row>
  </sheetData>
  <sheetProtection algorithmName="SHA-512" hashValue="NcOvWJ7VvL+fl8YGnUgIxx8tXxcAvdChZWjI5Mt6OLB5jICKo4LGNdzP4BVFIeh1rqpE42Zl2jq2ICPTNtw4jA==" saltValue="H6nXniCQHbakT8qL7YD3xw==" spinCount="100000" sheet="1" objects="1" scenarios="1"/>
  <mergeCells count="43">
    <mergeCell ref="B12:G12"/>
    <mergeCell ref="B13:G13"/>
    <mergeCell ref="B14:G14"/>
    <mergeCell ref="B15:G15"/>
    <mergeCell ref="B16:G16"/>
    <mergeCell ref="A1:G2"/>
    <mergeCell ref="B22:G22"/>
    <mergeCell ref="H22:I22"/>
    <mergeCell ref="C3:H3"/>
    <mergeCell ref="B4:I4"/>
    <mergeCell ref="B6:G6"/>
    <mergeCell ref="H6:I6"/>
    <mergeCell ref="H7:I7"/>
    <mergeCell ref="H8:I8"/>
    <mergeCell ref="H9:I9"/>
    <mergeCell ref="H11:I11"/>
    <mergeCell ref="H16:I16"/>
    <mergeCell ref="H19:I19"/>
    <mergeCell ref="H15:I15"/>
    <mergeCell ref="H18:I18"/>
    <mergeCell ref="H17:I17"/>
    <mergeCell ref="B23:G23"/>
    <mergeCell ref="H23:I23"/>
    <mergeCell ref="H20:I20"/>
    <mergeCell ref="B21:G21"/>
    <mergeCell ref="H21:I21"/>
    <mergeCell ref="B20:G20"/>
    <mergeCell ref="B17:G17"/>
    <mergeCell ref="B18:G18"/>
    <mergeCell ref="B19:G19"/>
    <mergeCell ref="J4:J5"/>
    <mergeCell ref="K4:K5"/>
    <mergeCell ref="H13:I13"/>
    <mergeCell ref="H14:I14"/>
    <mergeCell ref="B5:G5"/>
    <mergeCell ref="H5:I5"/>
    <mergeCell ref="H10:I10"/>
    <mergeCell ref="H12:I12"/>
    <mergeCell ref="B7:G7"/>
    <mergeCell ref="B8:G8"/>
    <mergeCell ref="B9:G9"/>
    <mergeCell ref="B10:G10"/>
    <mergeCell ref="B11:G11"/>
  </mergeCells>
  <dataValidations count="4">
    <dataValidation type="decimal" allowBlank="1" showInputMessage="1" showErrorMessage="1" error="Please enter values between -999999999999999.99 and 999999999999999.99_x000a_" sqref="H22:I22" xr:uid="{00000000-0002-0000-0300-000000000000}">
      <formula1>-999999999999999</formula1>
      <formula2>999999999999999</formula2>
    </dataValidation>
    <dataValidation type="decimal" allowBlank="1" showInputMessage="1" showErrorMessage="1" error="Please enter values between -9999999999999.99 and 9999999999999.99" sqref="H6:I12 H14:I17" xr:uid="{00000000-0002-0000-0300-000001000000}">
      <formula1>-9999999999999.99</formula1>
      <formula2>9999999999999.99</formula2>
    </dataValidation>
    <dataValidation type="decimal" allowBlank="1" showInputMessage="1" showErrorMessage="1" error="Please enter values between -9999999999999.99 and 9999999999999.99_x000a__x000a__x000a_" sqref="H18:I20" xr:uid="{00000000-0002-0000-0300-000002000000}">
      <formula1>-9999999999999.99</formula1>
      <formula2>9999999999999.99</formula2>
    </dataValidation>
    <dataValidation type="decimal" allowBlank="1" showInputMessage="1" showErrorMessage="1" error="Please enter values between 0 and 9999999999999.99" sqref="H13:I13" xr:uid="{00000000-0002-0000-0300-000003000000}">
      <formula1>0</formula1>
      <formula2>9999999999999.99</formula2>
    </dataValidation>
  </dataValidations>
  <pageMargins left="0.7" right="0.7" top="0.75" bottom="0.75" header="0.3" footer="0.3"/>
  <pageSetup scale="50"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K5"/>
  <sheetViews>
    <sheetView showGridLines="0" zoomScaleNormal="100" workbookViewId="0">
      <selection activeCell="F16" sqref="F16"/>
    </sheetView>
  </sheetViews>
  <sheetFormatPr defaultRowHeight="14.4" x14ac:dyDescent="0.3"/>
  <cols>
    <col min="1" max="1" width="10.109375" customWidth="1"/>
    <col min="2" max="2" width="24.6640625" customWidth="1"/>
    <col min="3" max="3" width="14.5546875" customWidth="1"/>
    <col min="4" max="5" width="23.33203125" customWidth="1"/>
    <col min="6" max="6" width="23.109375" customWidth="1"/>
    <col min="7" max="7" width="19.109375" customWidth="1"/>
    <col min="8" max="8" width="17.5546875" customWidth="1"/>
    <col min="9" max="9" width="21.88671875" customWidth="1"/>
    <col min="10" max="10" width="75" customWidth="1"/>
    <col min="11" max="11" width="23.6640625" customWidth="1"/>
  </cols>
  <sheetData>
    <row r="1" spans="1:11" ht="29.25" customHeight="1" x14ac:dyDescent="0.3">
      <c r="A1" s="391" t="s">
        <v>62</v>
      </c>
      <c r="B1" s="391"/>
      <c r="C1" s="391"/>
      <c r="D1" s="391"/>
      <c r="E1" s="391"/>
      <c r="F1" s="391"/>
      <c r="G1" s="391"/>
      <c r="H1" s="141"/>
      <c r="I1" s="143"/>
    </row>
    <row r="2" spans="1:11" ht="27.6" x14ac:dyDescent="0.3">
      <c r="A2" s="380"/>
      <c r="B2" s="380"/>
      <c r="C2" s="380"/>
      <c r="D2" s="380"/>
      <c r="E2" s="380"/>
      <c r="F2" s="380"/>
      <c r="G2" s="380"/>
      <c r="H2" s="6"/>
      <c r="I2" s="6"/>
    </row>
    <row r="3" spans="1:11" ht="55.5" customHeight="1" x14ac:dyDescent="0.3">
      <c r="A3" s="7"/>
      <c r="B3" s="5"/>
      <c r="C3" s="392" t="s">
        <v>589</v>
      </c>
      <c r="D3" s="392"/>
      <c r="E3" s="392"/>
      <c r="F3" s="392"/>
      <c r="G3" s="392"/>
      <c r="H3" s="392"/>
      <c r="I3" s="5"/>
    </row>
    <row r="4" spans="1:11" ht="33.75" customHeight="1" x14ac:dyDescent="0.3">
      <c r="A4" s="139">
        <v>6</v>
      </c>
      <c r="B4" s="393" t="s">
        <v>51</v>
      </c>
      <c r="C4" s="393"/>
      <c r="D4" s="393"/>
      <c r="E4" s="393"/>
      <c r="F4" s="393"/>
      <c r="G4" s="393"/>
      <c r="H4" s="393"/>
      <c r="I4" s="393"/>
      <c r="J4" s="140" t="s">
        <v>152</v>
      </c>
      <c r="K4" s="140" t="s">
        <v>153</v>
      </c>
    </row>
    <row r="5" spans="1:11" ht="56.25" customHeight="1" x14ac:dyDescent="0.3">
      <c r="A5" s="158" t="s">
        <v>6</v>
      </c>
      <c r="B5" s="159" t="s">
        <v>301</v>
      </c>
      <c r="C5" s="394" t="s">
        <v>761</v>
      </c>
      <c r="D5" s="394"/>
      <c r="E5" s="394"/>
      <c r="F5" s="394"/>
      <c r="G5" s="394"/>
      <c r="H5" s="394"/>
      <c r="I5" s="394"/>
      <c r="J5" s="163"/>
      <c r="K5" s="164"/>
    </row>
  </sheetData>
  <sheetProtection algorithmName="SHA-512" hashValue="EZ0hmZbdQPmSxF1Q6xQqfwlYTUFdcSHjDeLaCSM4n10hjqWHEk9BrCq5ttZEtCe5orFjPJ5XaYa6wXXIvUpA1w==" saltValue="0lzk2wQk2/L27O2bfWbNpQ==" spinCount="100000" sheet="1" objects="1" scenarios="1"/>
  <mergeCells count="4">
    <mergeCell ref="A1:G2"/>
    <mergeCell ref="C3:H3"/>
    <mergeCell ref="B4:I4"/>
    <mergeCell ref="C5:I5"/>
  </mergeCells>
  <pageMargins left="0.7" right="0.7" top="0.75" bottom="0.75" header="0.3" footer="0.3"/>
  <pageSetup scale="50"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J13"/>
  <sheetViews>
    <sheetView showGridLines="0" topLeftCell="A2" zoomScaleNormal="100" workbookViewId="0">
      <selection activeCell="G13" sqref="G13:H13"/>
    </sheetView>
  </sheetViews>
  <sheetFormatPr defaultRowHeight="14.4" x14ac:dyDescent="0.3"/>
  <cols>
    <col min="1" max="1" width="10.109375" customWidth="1"/>
    <col min="2" max="2" width="11" customWidth="1"/>
    <col min="3" max="3" width="10.109375" customWidth="1"/>
    <col min="4" max="4" width="14.33203125" customWidth="1"/>
    <col min="5" max="5" width="23.33203125" customWidth="1"/>
    <col min="6" max="6" width="19.109375" customWidth="1"/>
    <col min="7" max="7" width="17.5546875" customWidth="1"/>
    <col min="8" max="8" width="21.88671875" customWidth="1"/>
    <col min="9" max="9" width="34.5546875" customWidth="1"/>
    <col min="10" max="10" width="28" customWidth="1"/>
    <col min="11" max="11" width="12.44140625" customWidth="1"/>
    <col min="12" max="12" width="13" customWidth="1"/>
    <col min="13" max="13" width="5.5546875" customWidth="1"/>
  </cols>
  <sheetData>
    <row r="1" spans="1:10" ht="26.25" customHeight="1" x14ac:dyDescent="0.3">
      <c r="A1" s="6" t="s">
        <v>62</v>
      </c>
      <c r="B1" s="6"/>
      <c r="C1" s="6"/>
      <c r="D1" s="6"/>
      <c r="E1" s="6"/>
      <c r="F1" s="6"/>
      <c r="G1" s="6"/>
      <c r="H1" s="6"/>
    </row>
    <row r="2" spans="1:10" ht="42" customHeight="1" x14ac:dyDescent="0.3">
      <c r="A2" s="6"/>
      <c r="B2" s="6"/>
      <c r="C2" s="6"/>
      <c r="D2" s="6"/>
      <c r="E2" s="6"/>
      <c r="F2" s="6"/>
      <c r="G2" s="6"/>
      <c r="H2" s="6"/>
    </row>
    <row r="3" spans="1:10" ht="57" customHeight="1" thickBot="1" x14ac:dyDescent="0.35">
      <c r="A3" s="7"/>
      <c r="B3" s="8"/>
      <c r="C3" s="382" t="s">
        <v>589</v>
      </c>
      <c r="D3" s="382"/>
      <c r="E3" s="382"/>
      <c r="F3" s="382"/>
      <c r="G3" s="382"/>
      <c r="H3" s="8"/>
    </row>
    <row r="4" spans="1:10" ht="24" customHeight="1" x14ac:dyDescent="0.3">
      <c r="A4" s="58">
        <v>7</v>
      </c>
      <c r="B4" s="395" t="s">
        <v>67</v>
      </c>
      <c r="C4" s="396"/>
      <c r="D4" s="396"/>
      <c r="E4" s="396"/>
      <c r="F4" s="396"/>
      <c r="G4" s="396"/>
      <c r="H4" s="397"/>
      <c r="I4" s="360" t="s">
        <v>152</v>
      </c>
      <c r="J4" s="360" t="s">
        <v>153</v>
      </c>
    </row>
    <row r="5" spans="1:10" ht="24" customHeight="1" x14ac:dyDescent="0.3">
      <c r="A5" s="43" t="s">
        <v>134</v>
      </c>
      <c r="B5" s="403" t="s">
        <v>24</v>
      </c>
      <c r="C5" s="404"/>
      <c r="D5" s="404"/>
      <c r="E5" s="404"/>
      <c r="F5" s="405"/>
      <c r="G5" s="403" t="s">
        <v>135</v>
      </c>
      <c r="H5" s="406"/>
      <c r="I5" s="360"/>
      <c r="J5" s="360"/>
    </row>
    <row r="6" spans="1:10" x14ac:dyDescent="0.3">
      <c r="A6" s="41" t="s">
        <v>6</v>
      </c>
      <c r="B6" s="398" t="s">
        <v>423</v>
      </c>
      <c r="C6" s="399"/>
      <c r="D6" s="399"/>
      <c r="E6" s="399"/>
      <c r="F6" s="400"/>
      <c r="G6" s="401">
        <f>'PT II (5)'!H21</f>
        <v>54589882.32</v>
      </c>
      <c r="H6" s="402"/>
      <c r="I6" s="125"/>
      <c r="J6" s="129"/>
    </row>
    <row r="7" spans="1:10" ht="15.75" customHeight="1" x14ac:dyDescent="0.3">
      <c r="A7" s="41" t="s">
        <v>7</v>
      </c>
      <c r="B7" s="398" t="s">
        <v>34</v>
      </c>
      <c r="C7" s="399"/>
      <c r="D7" s="399"/>
      <c r="E7" s="399"/>
      <c r="F7" s="400"/>
      <c r="G7" s="361"/>
      <c r="H7" s="362"/>
      <c r="I7" s="125"/>
      <c r="J7" s="125"/>
    </row>
    <row r="8" spans="1:10" ht="15.75" customHeight="1" x14ac:dyDescent="0.3">
      <c r="A8" s="41" t="s">
        <v>8</v>
      </c>
      <c r="B8" s="398" t="s">
        <v>52</v>
      </c>
      <c r="C8" s="399"/>
      <c r="D8" s="399"/>
      <c r="E8" s="399"/>
      <c r="F8" s="400"/>
      <c r="G8" s="361"/>
      <c r="H8" s="362"/>
      <c r="I8" s="125"/>
      <c r="J8" s="125"/>
    </row>
    <row r="9" spans="1:10" ht="15.75" customHeight="1" x14ac:dyDescent="0.3">
      <c r="A9" s="41" t="s">
        <v>9</v>
      </c>
      <c r="B9" s="398" t="s">
        <v>53</v>
      </c>
      <c r="C9" s="399"/>
      <c r="D9" s="399"/>
      <c r="E9" s="399"/>
      <c r="F9" s="400"/>
      <c r="G9" s="361"/>
      <c r="H9" s="362"/>
      <c r="I9" s="125"/>
      <c r="J9" s="125"/>
    </row>
    <row r="10" spans="1:10" ht="15.75" customHeight="1" x14ac:dyDescent="0.3">
      <c r="A10" s="41" t="s">
        <v>724</v>
      </c>
      <c r="B10" s="416" t="s">
        <v>735</v>
      </c>
      <c r="C10" s="417"/>
      <c r="D10" s="417"/>
      <c r="E10" s="417"/>
      <c r="F10" s="418"/>
      <c r="G10" s="386"/>
      <c r="H10" s="387"/>
      <c r="I10" s="160"/>
      <c r="J10" s="160"/>
    </row>
    <row r="11" spans="1:10" ht="15.75" customHeight="1" x14ac:dyDescent="0.3">
      <c r="A11" s="41" t="s">
        <v>10</v>
      </c>
      <c r="B11" s="398" t="s">
        <v>750</v>
      </c>
      <c r="C11" s="399"/>
      <c r="D11" s="399"/>
      <c r="E11" s="399"/>
      <c r="F11" s="400"/>
      <c r="G11" s="401">
        <f>G6 - G7 - G8 - G9 - G10</f>
        <v>54589882.32</v>
      </c>
      <c r="H11" s="415"/>
      <c r="I11" s="125"/>
      <c r="J11" s="125"/>
    </row>
    <row r="12" spans="1:10" x14ac:dyDescent="0.3">
      <c r="A12" s="41" t="s">
        <v>11</v>
      </c>
      <c r="B12" s="407" t="s">
        <v>128</v>
      </c>
      <c r="C12" s="408"/>
      <c r="D12" s="408"/>
      <c r="E12" s="408"/>
      <c r="F12" s="409"/>
      <c r="G12" s="361">
        <v>54589882.32</v>
      </c>
      <c r="H12" s="362"/>
      <c r="I12" s="125"/>
      <c r="J12" s="129"/>
    </row>
    <row r="13" spans="1:10" ht="15" thickBot="1" x14ac:dyDescent="0.35">
      <c r="A13" s="42" t="s">
        <v>12</v>
      </c>
      <c r="B13" s="410" t="s">
        <v>345</v>
      </c>
      <c r="C13" s="411"/>
      <c r="D13" s="411"/>
      <c r="E13" s="411"/>
      <c r="F13" s="412"/>
      <c r="G13" s="413">
        <f>G12-G11</f>
        <v>0</v>
      </c>
      <c r="H13" s="414"/>
      <c r="I13" s="125"/>
      <c r="J13" s="129"/>
    </row>
  </sheetData>
  <sheetProtection algorithmName="SHA-512" hashValue="xyw6QvdD2Tf42YlPL5R58dBXtAW6nAhyiwKpWaChLb7tesDKEMBgiuMFrbvYYOBAflMpK0NlHWT5l3v7SZSgsg==" saltValue="ktnD964mueEcFadF+52boA==" spinCount="100000" sheet="1" objects="1" scenarios="1"/>
  <mergeCells count="22">
    <mergeCell ref="B12:F12"/>
    <mergeCell ref="G12:H12"/>
    <mergeCell ref="B13:F13"/>
    <mergeCell ref="G13:H13"/>
    <mergeCell ref="B7:F7"/>
    <mergeCell ref="B8:F8"/>
    <mergeCell ref="B9:F9"/>
    <mergeCell ref="B11:F11"/>
    <mergeCell ref="G11:H11"/>
    <mergeCell ref="G7:H7"/>
    <mergeCell ref="G8:H8"/>
    <mergeCell ref="G9:H9"/>
    <mergeCell ref="B10:F10"/>
    <mergeCell ref="G10:H10"/>
    <mergeCell ref="J4:J5"/>
    <mergeCell ref="C3:G3"/>
    <mergeCell ref="B4:H4"/>
    <mergeCell ref="B6:F6"/>
    <mergeCell ref="G6:H6"/>
    <mergeCell ref="B5:F5"/>
    <mergeCell ref="G5:H5"/>
    <mergeCell ref="I4:I5"/>
  </mergeCells>
  <dataValidations count="2">
    <dataValidation type="decimal" allowBlank="1" showInputMessage="1" showErrorMessage="1" error="Please enter values between -999999999999999.99 and 999999999999999.99_x000a_" sqref="G12:H12" xr:uid="{00000000-0002-0000-0500-000000000000}">
      <formula1>-999999999999999</formula1>
      <formula2>999999999999999</formula2>
    </dataValidation>
    <dataValidation type="decimal" allowBlank="1" showInputMessage="1" showErrorMessage="1" error="Please enter values between -9999999999999.99 and 9999999999999.99_x000a__x000a_" sqref="G7:G10 H7:H9" xr:uid="{00000000-0002-0000-0500-000001000000}">
      <formula1>-9999999999999.99</formula1>
      <formula2>9999999999999.99</formula2>
    </dataValidation>
  </dataValidations>
  <pageMargins left="0.7" right="0.7" top="0.75" bottom="0.75" header="0.3" footer="0.3"/>
  <pageSetup scale="50"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K5"/>
  <sheetViews>
    <sheetView showGridLines="0" zoomScaleNormal="100" workbookViewId="0">
      <selection activeCell="C5" sqref="C5:I5"/>
    </sheetView>
  </sheetViews>
  <sheetFormatPr defaultRowHeight="14.4" x14ac:dyDescent="0.3"/>
  <cols>
    <col min="1" max="1" width="10.109375" customWidth="1"/>
    <col min="2" max="2" width="24.6640625" customWidth="1"/>
    <col min="3" max="3" width="14.5546875" customWidth="1"/>
    <col min="4" max="5" width="23.33203125" customWidth="1"/>
    <col min="6" max="6" width="23.109375" customWidth="1"/>
    <col min="7" max="7" width="19.109375" customWidth="1"/>
    <col min="8" max="8" width="17.5546875" customWidth="1"/>
    <col min="9" max="9" width="21.88671875" customWidth="1"/>
    <col min="10" max="10" width="66.44140625" customWidth="1"/>
    <col min="11" max="11" width="23.109375" customWidth="1"/>
  </cols>
  <sheetData>
    <row r="1" spans="1:11" ht="29.25" customHeight="1" x14ac:dyDescent="0.3">
      <c r="A1" s="380" t="s">
        <v>62</v>
      </c>
      <c r="B1" s="380"/>
      <c r="C1" s="380"/>
      <c r="D1" s="380"/>
      <c r="E1" s="380"/>
      <c r="F1" s="380"/>
      <c r="G1" s="380"/>
      <c r="H1" s="6"/>
      <c r="I1" s="6"/>
    </row>
    <row r="2" spans="1:11" ht="27.6" x14ac:dyDescent="0.3">
      <c r="A2" s="380"/>
      <c r="B2" s="380"/>
      <c r="C2" s="380"/>
      <c r="D2" s="380"/>
      <c r="E2" s="380"/>
      <c r="F2" s="380"/>
      <c r="G2" s="380"/>
      <c r="H2" s="6"/>
      <c r="I2" s="6"/>
    </row>
    <row r="3" spans="1:11" ht="55.5" customHeight="1" thickBot="1" x14ac:dyDescent="0.35">
      <c r="A3" s="7"/>
      <c r="B3" s="5"/>
      <c r="C3" s="392" t="s">
        <v>589</v>
      </c>
      <c r="D3" s="392"/>
      <c r="E3" s="392"/>
      <c r="F3" s="392"/>
      <c r="G3" s="392"/>
      <c r="H3" s="392"/>
      <c r="I3" s="5"/>
    </row>
    <row r="4" spans="1:11" ht="22.5" customHeight="1" x14ac:dyDescent="0.3">
      <c r="A4" s="10">
        <v>8</v>
      </c>
      <c r="B4" s="395" t="s">
        <v>68</v>
      </c>
      <c r="C4" s="396"/>
      <c r="D4" s="396"/>
      <c r="E4" s="396"/>
      <c r="F4" s="396"/>
      <c r="G4" s="396"/>
      <c r="H4" s="396"/>
      <c r="I4" s="397"/>
      <c r="J4" s="140" t="s">
        <v>152</v>
      </c>
      <c r="K4" s="140" t="s">
        <v>153</v>
      </c>
    </row>
    <row r="5" spans="1:11" ht="60.75" customHeight="1" x14ac:dyDescent="0.3">
      <c r="A5" s="158" t="s">
        <v>6</v>
      </c>
      <c r="B5" s="159" t="s">
        <v>301</v>
      </c>
      <c r="C5" s="394" t="s">
        <v>755</v>
      </c>
      <c r="D5" s="394"/>
      <c r="E5" s="394"/>
      <c r="F5" s="394"/>
      <c r="G5" s="394"/>
      <c r="H5" s="394"/>
      <c r="I5" s="394"/>
      <c r="J5" s="165"/>
      <c r="K5" s="160"/>
    </row>
  </sheetData>
  <sheetProtection algorithmName="SHA-512" hashValue="2WLFsB58LwWMcDwF7AUk8Ka5VsqOlL+pcZ6PWKLMOw2tAOtG9z49dC931t+/Z6eMcMI1F7OxHj18s22XjQrTug==" saltValue="jZS/XQqUC+P4meGtHqXLrA==" spinCount="100000" sheet="1" objects="1" scenarios="1"/>
  <mergeCells count="4">
    <mergeCell ref="A1:G2"/>
    <mergeCell ref="C3:H3"/>
    <mergeCell ref="B4:I4"/>
    <mergeCell ref="C5:I5"/>
  </mergeCells>
  <pageMargins left="0.7" right="0.7" top="0.75" bottom="0.75" header="0.3" footer="0.3"/>
  <pageSetup scale="50"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K29"/>
  <sheetViews>
    <sheetView showGridLines="0" topLeftCell="A2" zoomScale="76" zoomScaleNormal="100" workbookViewId="0">
      <selection activeCell="G8" sqref="G8:H8"/>
    </sheetView>
  </sheetViews>
  <sheetFormatPr defaultColWidth="9.109375" defaultRowHeight="14.4" x14ac:dyDescent="0.3"/>
  <cols>
    <col min="1" max="1" width="10.109375" style="202" customWidth="1"/>
    <col min="2" max="2" width="30.44140625" style="202" customWidth="1"/>
    <col min="3" max="3" width="14.5546875" style="202" customWidth="1"/>
    <col min="4" max="5" width="23.33203125" style="202" customWidth="1"/>
    <col min="6" max="6" width="23.109375" style="202" customWidth="1"/>
    <col min="7" max="7" width="19.109375" style="202" customWidth="1"/>
    <col min="8" max="8" width="17.5546875" style="202" customWidth="1"/>
    <col min="9" max="9" width="23.33203125" style="202" customWidth="1"/>
    <col min="10" max="10" width="58.5546875" style="202" customWidth="1"/>
    <col min="11" max="11" width="42.44140625" style="202" customWidth="1"/>
    <col min="12" max="16384" width="9.109375" style="202"/>
  </cols>
  <sheetData>
    <row r="1" spans="1:11" ht="26.25" customHeight="1" x14ac:dyDescent="0.3">
      <c r="A1" s="431" t="s">
        <v>62</v>
      </c>
      <c r="B1" s="431"/>
      <c r="C1" s="431"/>
      <c r="D1" s="431"/>
      <c r="E1" s="431"/>
      <c r="F1" s="431"/>
      <c r="G1" s="431"/>
      <c r="H1" s="6"/>
      <c r="I1" s="6"/>
    </row>
    <row r="2" spans="1:11" ht="23.25" customHeight="1" x14ac:dyDescent="0.3">
      <c r="A2" s="431"/>
      <c r="B2" s="431"/>
      <c r="C2" s="431"/>
      <c r="D2" s="431"/>
      <c r="E2" s="431"/>
      <c r="F2" s="431"/>
      <c r="G2" s="431"/>
      <c r="H2" s="6"/>
      <c r="I2" s="6"/>
    </row>
    <row r="3" spans="1:11" ht="57" customHeight="1" x14ac:dyDescent="0.3">
      <c r="A3" s="7"/>
      <c r="B3" s="8"/>
      <c r="C3" s="434" t="s">
        <v>590</v>
      </c>
      <c r="D3" s="435"/>
      <c r="E3" s="435"/>
      <c r="F3" s="435"/>
      <c r="G3" s="435"/>
      <c r="H3" s="435"/>
      <c r="I3" s="8"/>
    </row>
    <row r="4" spans="1:11" ht="21" customHeight="1" x14ac:dyDescent="0.3">
      <c r="A4" s="204">
        <v>9</v>
      </c>
      <c r="B4" s="436" t="s">
        <v>23</v>
      </c>
      <c r="C4" s="437"/>
      <c r="D4" s="437"/>
      <c r="E4" s="437"/>
      <c r="F4" s="437"/>
      <c r="G4" s="437"/>
      <c r="H4" s="437"/>
      <c r="I4" s="438"/>
      <c r="J4" s="423" t="s">
        <v>355</v>
      </c>
      <c r="K4" s="423" t="s">
        <v>153</v>
      </c>
    </row>
    <row r="5" spans="1:11" ht="30" customHeight="1" x14ac:dyDescent="0.3">
      <c r="A5" s="426" t="s">
        <v>134</v>
      </c>
      <c r="B5" s="442" t="s">
        <v>24</v>
      </c>
      <c r="C5" s="444" t="s">
        <v>136</v>
      </c>
      <c r="D5" s="445"/>
      <c r="E5" s="439" t="s">
        <v>137</v>
      </c>
      <c r="F5" s="440"/>
      <c r="G5" s="440"/>
      <c r="H5" s="440"/>
      <c r="I5" s="441"/>
      <c r="J5" s="424"/>
      <c r="K5" s="424"/>
    </row>
    <row r="6" spans="1:11" ht="15.75" customHeight="1" x14ac:dyDescent="0.3">
      <c r="A6" s="427"/>
      <c r="B6" s="443"/>
      <c r="C6" s="446"/>
      <c r="D6" s="447"/>
      <c r="E6" s="44" t="s">
        <v>49</v>
      </c>
      <c r="F6" s="45" t="s">
        <v>58</v>
      </c>
      <c r="G6" s="432" t="s">
        <v>48</v>
      </c>
      <c r="H6" s="433"/>
      <c r="I6" s="45" t="s">
        <v>59</v>
      </c>
      <c r="J6" s="425"/>
      <c r="K6" s="425"/>
    </row>
    <row r="7" spans="1:11" x14ac:dyDescent="0.3">
      <c r="A7" s="40" t="s">
        <v>6</v>
      </c>
      <c r="B7" s="73" t="s">
        <v>382</v>
      </c>
      <c r="C7" s="386">
        <v>54481882.32</v>
      </c>
      <c r="D7" s="387"/>
      <c r="E7" s="259">
        <v>3325</v>
      </c>
      <c r="F7" s="259">
        <v>3325</v>
      </c>
      <c r="G7" s="386">
        <v>2717560.5</v>
      </c>
      <c r="H7" s="387"/>
      <c r="I7" s="259"/>
      <c r="J7" s="125"/>
      <c r="K7" s="428"/>
    </row>
    <row r="8" spans="1:11" ht="15.75" customHeight="1" x14ac:dyDescent="0.3">
      <c r="A8" s="40" t="s">
        <v>7</v>
      </c>
      <c r="B8" s="73" t="s">
        <v>356</v>
      </c>
      <c r="C8" s="386">
        <v>810</v>
      </c>
      <c r="D8" s="387"/>
      <c r="E8" s="259"/>
      <c r="F8" s="259"/>
      <c r="G8" s="386">
        <v>40.5</v>
      </c>
      <c r="H8" s="387"/>
      <c r="I8" s="259"/>
      <c r="J8" s="125"/>
      <c r="K8" s="429"/>
    </row>
    <row r="9" spans="1:11" ht="15.75" customHeight="1" x14ac:dyDescent="0.3">
      <c r="A9" s="158" t="s">
        <v>690</v>
      </c>
      <c r="B9" s="183" t="s">
        <v>688</v>
      </c>
      <c r="C9" s="386"/>
      <c r="D9" s="387"/>
      <c r="E9" s="261"/>
      <c r="F9" s="261"/>
      <c r="G9" s="386"/>
      <c r="H9" s="387"/>
      <c r="I9" s="261"/>
      <c r="J9" s="160"/>
      <c r="K9" s="429"/>
    </row>
    <row r="10" spans="1:11" ht="15.75" customHeight="1" x14ac:dyDescent="0.3">
      <c r="A10" s="40" t="s">
        <v>8</v>
      </c>
      <c r="B10" s="73" t="s">
        <v>381</v>
      </c>
      <c r="C10" s="386"/>
      <c r="D10" s="387"/>
      <c r="E10" s="259"/>
      <c r="F10" s="259"/>
      <c r="G10" s="386"/>
      <c r="H10" s="387"/>
      <c r="I10" s="259"/>
      <c r="J10" s="125"/>
      <c r="K10" s="429"/>
    </row>
    <row r="11" spans="1:11" ht="15.75" customHeight="1" x14ac:dyDescent="0.3">
      <c r="A11" s="40" t="s">
        <v>9</v>
      </c>
      <c r="B11" s="73" t="s">
        <v>357</v>
      </c>
      <c r="C11" s="386"/>
      <c r="D11" s="387"/>
      <c r="E11" s="259"/>
      <c r="F11" s="259"/>
      <c r="G11" s="386"/>
      <c r="H11" s="387"/>
      <c r="I11" s="259"/>
      <c r="J11" s="125"/>
      <c r="K11" s="429"/>
    </row>
    <row r="12" spans="1:11" ht="15.75" customHeight="1" x14ac:dyDescent="0.3">
      <c r="A12" s="40" t="s">
        <v>10</v>
      </c>
      <c r="B12" s="73" t="s">
        <v>380</v>
      </c>
      <c r="C12" s="386">
        <v>108000</v>
      </c>
      <c r="D12" s="387"/>
      <c r="E12" s="259">
        <v>9720</v>
      </c>
      <c r="F12" s="259">
        <v>9720</v>
      </c>
      <c r="G12" s="386"/>
      <c r="H12" s="387"/>
      <c r="I12" s="259"/>
      <c r="J12" s="125"/>
      <c r="K12" s="429"/>
    </row>
    <row r="13" spans="1:11" x14ac:dyDescent="0.3">
      <c r="A13" s="40" t="s">
        <v>11</v>
      </c>
      <c r="B13" s="73" t="s">
        <v>358</v>
      </c>
      <c r="C13" s="386">
        <v>120000</v>
      </c>
      <c r="D13" s="387"/>
      <c r="E13" s="259">
        <v>10800</v>
      </c>
      <c r="F13" s="259">
        <v>10800</v>
      </c>
      <c r="G13" s="386"/>
      <c r="H13" s="387"/>
      <c r="I13" s="259"/>
      <c r="J13" s="125"/>
      <c r="K13" s="429"/>
    </row>
    <row r="14" spans="1:11" x14ac:dyDescent="0.3">
      <c r="A14" s="40" t="s">
        <v>12</v>
      </c>
      <c r="B14" s="73" t="s">
        <v>379</v>
      </c>
      <c r="C14" s="386"/>
      <c r="D14" s="387"/>
      <c r="E14" s="259"/>
      <c r="F14" s="259"/>
      <c r="G14" s="386"/>
      <c r="H14" s="387"/>
      <c r="I14" s="259"/>
      <c r="J14" s="125"/>
      <c r="K14" s="429"/>
    </row>
    <row r="15" spans="1:11" x14ac:dyDescent="0.3">
      <c r="A15" s="40" t="s">
        <v>14</v>
      </c>
      <c r="B15" s="73" t="s">
        <v>359</v>
      </c>
      <c r="C15" s="386"/>
      <c r="D15" s="387"/>
      <c r="E15" s="259"/>
      <c r="F15" s="259"/>
      <c r="G15" s="386"/>
      <c r="H15" s="387"/>
      <c r="I15" s="259"/>
      <c r="J15" s="125"/>
      <c r="K15" s="429"/>
    </row>
    <row r="16" spans="1:11" x14ac:dyDescent="0.3">
      <c r="A16" s="158" t="s">
        <v>744</v>
      </c>
      <c r="B16" s="183" t="s">
        <v>746</v>
      </c>
      <c r="C16" s="386"/>
      <c r="D16" s="387"/>
      <c r="E16" s="261"/>
      <c r="F16" s="261"/>
      <c r="G16" s="386"/>
      <c r="H16" s="387"/>
      <c r="I16" s="261"/>
      <c r="J16" s="160"/>
      <c r="K16" s="429"/>
    </row>
    <row r="17" spans="1:11" x14ac:dyDescent="0.3">
      <c r="A17" s="158" t="s">
        <v>745</v>
      </c>
      <c r="B17" s="183" t="s">
        <v>747</v>
      </c>
      <c r="C17" s="386"/>
      <c r="D17" s="387"/>
      <c r="E17" s="261"/>
      <c r="F17" s="261"/>
      <c r="G17" s="386"/>
      <c r="H17" s="387"/>
      <c r="I17" s="261"/>
      <c r="J17" s="160"/>
      <c r="K17" s="429"/>
    </row>
    <row r="18" spans="1:11" x14ac:dyDescent="0.3">
      <c r="A18" s="40" t="s">
        <v>16</v>
      </c>
      <c r="B18" s="73" t="s">
        <v>378</v>
      </c>
      <c r="C18" s="386"/>
      <c r="D18" s="387"/>
      <c r="E18" s="259"/>
      <c r="F18" s="259"/>
      <c r="G18" s="386"/>
      <c r="H18" s="387"/>
      <c r="I18" s="259"/>
      <c r="J18" s="125"/>
      <c r="K18" s="429"/>
    </row>
    <row r="19" spans="1:11" x14ac:dyDescent="0.3">
      <c r="A19" s="40" t="s">
        <v>17</v>
      </c>
      <c r="B19" s="73" t="s">
        <v>376</v>
      </c>
      <c r="C19" s="386"/>
      <c r="D19" s="387"/>
      <c r="E19" s="207"/>
      <c r="F19" s="207"/>
      <c r="G19" s="421"/>
      <c r="H19" s="422"/>
      <c r="I19" s="207"/>
      <c r="J19" s="125"/>
      <c r="K19" s="429"/>
    </row>
    <row r="20" spans="1:11" x14ac:dyDescent="0.3">
      <c r="A20" s="40" t="s">
        <v>18</v>
      </c>
      <c r="B20" s="73" t="s">
        <v>377</v>
      </c>
      <c r="C20" s="386"/>
      <c r="D20" s="387"/>
      <c r="E20" s="207"/>
      <c r="F20" s="207"/>
      <c r="G20" s="421"/>
      <c r="H20" s="422"/>
      <c r="I20" s="207"/>
      <c r="J20" s="125"/>
      <c r="K20" s="430"/>
    </row>
    <row r="21" spans="1:11" x14ac:dyDescent="0.3">
      <c r="A21" s="40" t="s">
        <v>691</v>
      </c>
      <c r="B21" s="73" t="s">
        <v>625</v>
      </c>
      <c r="C21" s="386"/>
      <c r="D21" s="387"/>
      <c r="E21" s="207"/>
      <c r="F21" s="207"/>
      <c r="G21" s="421"/>
      <c r="H21" s="422"/>
      <c r="I21" s="207"/>
      <c r="J21" s="125"/>
      <c r="K21" s="147"/>
    </row>
    <row r="22" spans="1:11" ht="66" x14ac:dyDescent="0.3">
      <c r="A22" s="158" t="s">
        <v>725</v>
      </c>
      <c r="B22" s="183" t="s">
        <v>712</v>
      </c>
      <c r="C22" s="419"/>
      <c r="D22" s="420"/>
      <c r="E22" s="209"/>
      <c r="F22" s="209"/>
      <c r="G22" s="421"/>
      <c r="H22" s="422"/>
      <c r="I22" s="209"/>
      <c r="J22" s="160"/>
      <c r="K22" s="147"/>
    </row>
    <row r="23" spans="1:11" x14ac:dyDescent="0.3">
      <c r="A23" s="40" t="s">
        <v>20</v>
      </c>
      <c r="B23" s="205" t="s">
        <v>26</v>
      </c>
      <c r="C23" s="448"/>
      <c r="D23" s="449"/>
      <c r="E23" s="207"/>
      <c r="F23" s="207"/>
      <c r="G23" s="421"/>
      <c r="H23" s="422"/>
      <c r="I23" s="207"/>
      <c r="J23" s="125"/>
      <c r="K23" s="125"/>
    </row>
    <row r="24" spans="1:11" x14ac:dyDescent="0.3">
      <c r="A24" s="40" t="s">
        <v>21</v>
      </c>
      <c r="B24" s="205" t="s">
        <v>27</v>
      </c>
      <c r="C24" s="448"/>
      <c r="D24" s="449"/>
      <c r="E24" s="207"/>
      <c r="F24" s="207"/>
      <c r="G24" s="421"/>
      <c r="H24" s="422"/>
      <c r="I24" s="207"/>
      <c r="J24" s="125"/>
      <c r="K24" s="125"/>
    </row>
    <row r="25" spans="1:11" x14ac:dyDescent="0.3">
      <c r="A25" s="40" t="s">
        <v>22</v>
      </c>
      <c r="B25" s="205" t="s">
        <v>28</v>
      </c>
      <c r="C25" s="448"/>
      <c r="D25" s="449"/>
      <c r="E25" s="207"/>
      <c r="F25" s="207"/>
      <c r="G25" s="421"/>
      <c r="H25" s="422"/>
      <c r="I25" s="207"/>
      <c r="J25" s="125"/>
      <c r="K25" s="125"/>
    </row>
    <row r="26" spans="1:11" x14ac:dyDescent="0.3">
      <c r="A26" s="40" t="s">
        <v>29</v>
      </c>
      <c r="B26" s="205" t="s">
        <v>119</v>
      </c>
      <c r="C26" s="448"/>
      <c r="D26" s="449"/>
      <c r="E26" s="207"/>
      <c r="F26" s="207"/>
      <c r="G26" s="421"/>
      <c r="H26" s="422"/>
      <c r="I26" s="207"/>
      <c r="J26" s="125"/>
      <c r="K26" s="125"/>
    </row>
    <row r="27" spans="1:11" ht="26.4" x14ac:dyDescent="0.3">
      <c r="A27" s="40" t="s">
        <v>31</v>
      </c>
      <c r="B27" s="9" t="s">
        <v>732</v>
      </c>
      <c r="C27" s="452"/>
      <c r="D27" s="453"/>
      <c r="E27" s="263">
        <f>SUM(E7:E26)</f>
        <v>23845</v>
      </c>
      <c r="F27" s="263">
        <f>SUM(F7:F26)</f>
        <v>23845</v>
      </c>
      <c r="G27" s="456">
        <f>SUM(G7:G26)</f>
        <v>2717601</v>
      </c>
      <c r="H27" s="457"/>
      <c r="I27" s="263">
        <f>SUM(I7:I26)</f>
        <v>0</v>
      </c>
      <c r="J27" s="125"/>
      <c r="K27" s="129"/>
    </row>
    <row r="28" spans="1:11" ht="26.4" x14ac:dyDescent="0.3">
      <c r="A28" s="40" t="s">
        <v>32</v>
      </c>
      <c r="B28" s="9" t="s">
        <v>751</v>
      </c>
      <c r="C28" s="452"/>
      <c r="D28" s="453"/>
      <c r="E28" s="259">
        <v>23845</v>
      </c>
      <c r="F28" s="259">
        <v>23845</v>
      </c>
      <c r="G28" s="386">
        <v>2717601</v>
      </c>
      <c r="H28" s="387"/>
      <c r="I28" s="259"/>
      <c r="J28" s="129"/>
      <c r="K28" s="129"/>
    </row>
    <row r="29" spans="1:11" x14ac:dyDescent="0.3">
      <c r="A29" s="40" t="s">
        <v>33</v>
      </c>
      <c r="B29" s="206" t="s">
        <v>346</v>
      </c>
      <c r="C29" s="454"/>
      <c r="D29" s="455"/>
      <c r="E29" s="264">
        <f>E28-E27</f>
        <v>0</v>
      </c>
      <c r="F29" s="264">
        <f>F28-F27</f>
        <v>0</v>
      </c>
      <c r="G29" s="450">
        <f>G28-G27</f>
        <v>0</v>
      </c>
      <c r="H29" s="451"/>
      <c r="I29" s="260">
        <f>I28-I27</f>
        <v>0</v>
      </c>
      <c r="J29" s="125"/>
      <c r="K29" s="129"/>
    </row>
  </sheetData>
  <sheetProtection algorithmName="SHA-512" hashValue="cNdngJxynFV0QpwykW4s6IuBwXhPUnZJJPtb6SkrIXe0THfQ7LLUCollMldN/CKkxYnLwmaUcqA71LVTgiyypA==" saltValue="fnXdII0ISCpX0amUWL6Aiw==" spinCount="100000" sheet="1" objects="1" scenarios="1"/>
  <mergeCells count="57">
    <mergeCell ref="C23:D23"/>
    <mergeCell ref="G23:H23"/>
    <mergeCell ref="G29:H29"/>
    <mergeCell ref="C27:D27"/>
    <mergeCell ref="C28:D28"/>
    <mergeCell ref="C29:D29"/>
    <mergeCell ref="C24:D24"/>
    <mergeCell ref="G24:H24"/>
    <mergeCell ref="C25:D25"/>
    <mergeCell ref="G25:H25"/>
    <mergeCell ref="C26:D26"/>
    <mergeCell ref="G26:H26"/>
    <mergeCell ref="G27:H27"/>
    <mergeCell ref="G28:H28"/>
    <mergeCell ref="A1:G2"/>
    <mergeCell ref="G6:H6"/>
    <mergeCell ref="C7:D7"/>
    <mergeCell ref="G7:H7"/>
    <mergeCell ref="C3:H3"/>
    <mergeCell ref="B4:I4"/>
    <mergeCell ref="E5:I5"/>
    <mergeCell ref="B5:B6"/>
    <mergeCell ref="C5:D6"/>
    <mergeCell ref="K4:K6"/>
    <mergeCell ref="A5:A6"/>
    <mergeCell ref="G15:H15"/>
    <mergeCell ref="C21:D21"/>
    <mergeCell ref="G21:H21"/>
    <mergeCell ref="C8:D8"/>
    <mergeCell ref="C10:D10"/>
    <mergeCell ref="G10:H10"/>
    <mergeCell ref="C11:D11"/>
    <mergeCell ref="C12:D12"/>
    <mergeCell ref="G12:H12"/>
    <mergeCell ref="G8:H8"/>
    <mergeCell ref="G11:H11"/>
    <mergeCell ref="G18:H18"/>
    <mergeCell ref="G13:H13"/>
    <mergeCell ref="K7:K20"/>
    <mergeCell ref="G16:H16"/>
    <mergeCell ref="G17:H17"/>
    <mergeCell ref="J4:J6"/>
    <mergeCell ref="C13:D13"/>
    <mergeCell ref="C14:D14"/>
    <mergeCell ref="G14:H14"/>
    <mergeCell ref="C15:D15"/>
    <mergeCell ref="C9:D9"/>
    <mergeCell ref="G9:H9"/>
    <mergeCell ref="C16:D16"/>
    <mergeCell ref="C17:D17"/>
    <mergeCell ref="C22:D22"/>
    <mergeCell ref="G22:H22"/>
    <mergeCell ref="C18:D18"/>
    <mergeCell ref="C19:D19"/>
    <mergeCell ref="G19:H19"/>
    <mergeCell ref="C20:D20"/>
    <mergeCell ref="G20:H20"/>
  </mergeCells>
  <dataValidations count="5">
    <dataValidation type="decimal" allowBlank="1" showInputMessage="1" showErrorMessage="1" error="Please enter only positive values_x000a_" sqref="C28:D28" xr:uid="{00000000-0002-0000-0700-000000000000}">
      <formula1>0</formula1>
      <formula2>9999999999999.99</formula2>
    </dataValidation>
    <dataValidation type="decimal" allowBlank="1" showInputMessage="1" showErrorMessage="1" error="Please enter values between -9999999999999.99 and 9999999999999.99_x000a__x000a__x000a_" sqref="H7:H8 I7:I26 D21 H23:H26 C21:C22 H10:H21 E7:F26 G7:G21 G23:G26" xr:uid="{00000000-0002-0000-0700-000001000000}">
      <formula1>-9999999999999.99</formula1>
      <formula2>9999999999999.99</formula2>
    </dataValidation>
    <dataValidation type="decimal" allowBlank="1" showInputMessage="1" showErrorMessage="1" error="Please enter values between -9999999999999.99 and 9999999999999.99_x000a__x000a_" sqref="D7:D8 C7:C20 D10:D20" xr:uid="{00000000-0002-0000-0700-000002000000}">
      <formula1>-9999999999999.99</formula1>
      <formula2>9999999999999.99</formula2>
    </dataValidation>
    <dataValidation type="decimal" allowBlank="1" showInputMessage="1" showErrorMessage="1" error="Please enter values between -999999999999999.99 and 999999999999999.99_x000a__x000a_" sqref="E28:H28" xr:uid="{00000000-0002-0000-0700-000003000000}">
      <formula1>-999999999999999</formula1>
      <formula2>999999999999999</formula2>
    </dataValidation>
    <dataValidation type="decimal" allowBlank="1" showInputMessage="1" showErrorMessage="1" error="Please enter values between -999999999999999.99 and 999999999999999.99_x000a__x000a__x000a_" sqref="I28" xr:uid="{00000000-0002-0000-0700-000004000000}">
      <formula1>-999999999999999</formula1>
      <formula2>999999999999999</formula2>
    </dataValidation>
  </dataValidations>
  <pageMargins left="0.7" right="0.7" top="0.75" bottom="0.75" header="0.3" footer="0.3"/>
  <pageSetup scale="48"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K5"/>
  <sheetViews>
    <sheetView showGridLines="0" topLeftCell="C1" zoomScale="95" zoomScaleNormal="100" workbookViewId="0">
      <selection activeCell="C5" sqref="C5:I5"/>
    </sheetView>
  </sheetViews>
  <sheetFormatPr defaultRowHeight="14.4" x14ac:dyDescent="0.3"/>
  <cols>
    <col min="1" max="1" width="10.109375" customWidth="1"/>
    <col min="2" max="2" width="24.6640625" customWidth="1"/>
    <col min="3" max="3" width="14.5546875" customWidth="1"/>
    <col min="4" max="5" width="23.33203125" customWidth="1"/>
    <col min="6" max="6" width="23.109375" customWidth="1"/>
    <col min="7" max="7" width="19.109375" customWidth="1"/>
    <col min="8" max="8" width="17.5546875" customWidth="1"/>
    <col min="9" max="9" width="21.88671875" customWidth="1"/>
    <col min="10" max="10" width="67.33203125" customWidth="1"/>
    <col min="11" max="11" width="17.6640625" bestFit="1" customWidth="1"/>
  </cols>
  <sheetData>
    <row r="1" spans="1:11" ht="29.25" customHeight="1" x14ac:dyDescent="0.3">
      <c r="A1" s="380" t="s">
        <v>62</v>
      </c>
      <c r="B1" s="380"/>
      <c r="C1" s="380"/>
      <c r="D1" s="380"/>
      <c r="E1" s="380"/>
      <c r="F1" s="380"/>
      <c r="G1" s="380"/>
      <c r="H1" s="6"/>
      <c r="I1" s="6"/>
    </row>
    <row r="2" spans="1:11" ht="27.6" x14ac:dyDescent="0.3">
      <c r="A2" s="380"/>
      <c r="B2" s="380"/>
      <c r="C2" s="380"/>
      <c r="D2" s="380"/>
      <c r="E2" s="380"/>
      <c r="F2" s="380"/>
      <c r="G2" s="380"/>
      <c r="H2" s="6"/>
      <c r="I2" s="6"/>
    </row>
    <row r="3" spans="1:11" ht="55.5" customHeight="1" thickBot="1" x14ac:dyDescent="0.35">
      <c r="A3" s="7"/>
      <c r="B3" s="5"/>
      <c r="C3" s="458" t="s">
        <v>590</v>
      </c>
      <c r="D3" s="392"/>
      <c r="E3" s="392"/>
      <c r="F3" s="392"/>
      <c r="G3" s="392"/>
      <c r="H3" s="392"/>
      <c r="I3" s="5"/>
    </row>
    <row r="4" spans="1:11" ht="22.5" customHeight="1" x14ac:dyDescent="0.3">
      <c r="A4" s="10">
        <v>10</v>
      </c>
      <c r="B4" s="395" t="s">
        <v>69</v>
      </c>
      <c r="C4" s="396"/>
      <c r="D4" s="396"/>
      <c r="E4" s="396"/>
      <c r="F4" s="396"/>
      <c r="G4" s="396"/>
      <c r="H4" s="396"/>
      <c r="I4" s="397"/>
      <c r="J4" s="140" t="s">
        <v>152</v>
      </c>
      <c r="K4" s="144" t="s">
        <v>153</v>
      </c>
    </row>
    <row r="5" spans="1:11" ht="58.5" customHeight="1" x14ac:dyDescent="0.3">
      <c r="A5" s="158" t="s">
        <v>6</v>
      </c>
      <c r="B5" s="159" t="s">
        <v>301</v>
      </c>
      <c r="C5" s="394" t="s">
        <v>755</v>
      </c>
      <c r="D5" s="394"/>
      <c r="E5" s="394"/>
      <c r="F5" s="394"/>
      <c r="G5" s="394"/>
      <c r="H5" s="394"/>
      <c r="I5" s="394"/>
      <c r="J5" s="165"/>
      <c r="K5" s="160"/>
    </row>
  </sheetData>
  <sheetProtection algorithmName="SHA-512" hashValue="vREe0VS/5qnLe9spIms2Owep3SC4Q8tHZYsJ7dUr5TOZ6sb6kMMC5ZZNMXyCTwtfDCfDfWvknGJKD77t11zmmw==" saltValue="OfTuPGyzQYSx/l+wOpe5Sg==" spinCount="100000" sheet="1" objects="1" scenarios="1"/>
  <mergeCells count="4">
    <mergeCell ref="A1:G2"/>
    <mergeCell ref="C3:H3"/>
    <mergeCell ref="B4:I4"/>
    <mergeCell ref="C5:I5"/>
  </mergeCells>
  <pageMargins left="0.7" right="0.7" top="0.75" bottom="0.75" header="0.3" footer="0.3"/>
  <pageSetup scale="50"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K21"/>
  <sheetViews>
    <sheetView showGridLines="0" topLeftCell="B8" zoomScaleNormal="100" workbookViewId="0">
      <selection activeCell="F21" sqref="F21"/>
    </sheetView>
  </sheetViews>
  <sheetFormatPr defaultRowHeight="14.4" x14ac:dyDescent="0.3"/>
  <cols>
    <col min="1" max="1" width="10.109375" customWidth="1"/>
    <col min="2" max="2" width="24.6640625" customWidth="1"/>
    <col min="3" max="3" width="14.5546875" customWidth="1"/>
    <col min="4" max="5" width="23.33203125" customWidth="1"/>
    <col min="6" max="6" width="23.109375" customWidth="1"/>
    <col min="7" max="7" width="19.109375" customWidth="1"/>
    <col min="8" max="8" width="17.5546875" customWidth="1"/>
    <col min="9" max="9" width="21.88671875" customWidth="1"/>
    <col min="10" max="10" width="60" customWidth="1"/>
    <col min="11" max="11" width="19.88671875" customWidth="1"/>
  </cols>
  <sheetData>
    <row r="1" spans="1:11" ht="26.25" customHeight="1" x14ac:dyDescent="0.3">
      <c r="A1" s="380" t="s">
        <v>62</v>
      </c>
      <c r="B1" s="380"/>
      <c r="C1" s="380"/>
      <c r="D1" s="380"/>
      <c r="E1" s="380"/>
      <c r="F1" s="380"/>
      <c r="G1" s="380"/>
      <c r="H1" s="6"/>
      <c r="I1" s="6"/>
    </row>
    <row r="2" spans="1:11" ht="16.5" customHeight="1" x14ac:dyDescent="0.3">
      <c r="A2" s="380"/>
      <c r="B2" s="380"/>
      <c r="C2" s="380"/>
      <c r="D2" s="380"/>
      <c r="E2" s="380"/>
      <c r="F2" s="380"/>
      <c r="G2" s="380"/>
      <c r="H2" s="6"/>
      <c r="I2" s="6"/>
    </row>
    <row r="3" spans="1:11" ht="57" customHeight="1" thickBot="1" x14ac:dyDescent="0.35">
      <c r="A3" s="7"/>
      <c r="B3" s="8"/>
      <c r="C3" s="470" t="s">
        <v>590</v>
      </c>
      <c r="D3" s="382"/>
      <c r="E3" s="382"/>
      <c r="F3" s="382"/>
      <c r="G3" s="382"/>
      <c r="H3" s="382"/>
      <c r="I3" s="8"/>
    </row>
    <row r="4" spans="1:11" ht="18.75" customHeight="1" x14ac:dyDescent="0.3">
      <c r="A4" s="10">
        <v>11</v>
      </c>
      <c r="B4" s="466" t="s">
        <v>54</v>
      </c>
      <c r="C4" s="466"/>
      <c r="D4" s="466"/>
      <c r="E4" s="466"/>
      <c r="F4" s="466"/>
      <c r="G4" s="466"/>
      <c r="H4" s="466"/>
      <c r="I4" s="467"/>
      <c r="J4" s="423" t="s">
        <v>355</v>
      </c>
      <c r="K4" s="423" t="s">
        <v>153</v>
      </c>
    </row>
    <row r="5" spans="1:11" ht="30" customHeight="1" x14ac:dyDescent="0.3">
      <c r="A5" s="460" t="s">
        <v>134</v>
      </c>
      <c r="B5" s="463" t="s">
        <v>24</v>
      </c>
      <c r="C5" s="471" t="s">
        <v>136</v>
      </c>
      <c r="D5" s="471"/>
      <c r="E5" s="468" t="s">
        <v>734</v>
      </c>
      <c r="F5" s="468"/>
      <c r="G5" s="468"/>
      <c r="H5" s="468"/>
      <c r="I5" s="469"/>
      <c r="J5" s="424"/>
      <c r="K5" s="424"/>
    </row>
    <row r="6" spans="1:11" ht="15.75" customHeight="1" x14ac:dyDescent="0.3">
      <c r="A6" s="460"/>
      <c r="B6" s="463"/>
      <c r="C6" s="472"/>
      <c r="D6" s="471"/>
      <c r="E6" s="44" t="s">
        <v>49</v>
      </c>
      <c r="F6" s="45" t="s">
        <v>58</v>
      </c>
      <c r="G6" s="474" t="s">
        <v>48</v>
      </c>
      <c r="H6" s="474"/>
      <c r="I6" s="57" t="s">
        <v>59</v>
      </c>
      <c r="J6" s="425"/>
      <c r="K6" s="425"/>
    </row>
    <row r="7" spans="1:11" x14ac:dyDescent="0.3">
      <c r="A7" s="2" t="s">
        <v>6</v>
      </c>
      <c r="B7" s="80" t="s">
        <v>382</v>
      </c>
      <c r="C7" s="361">
        <v>0</v>
      </c>
      <c r="D7" s="362"/>
      <c r="E7" s="259">
        <v>0</v>
      </c>
      <c r="F7" s="259">
        <v>0</v>
      </c>
      <c r="G7" s="361">
        <v>0</v>
      </c>
      <c r="H7" s="362"/>
      <c r="I7" s="259">
        <v>0</v>
      </c>
      <c r="J7" s="125"/>
      <c r="K7" s="428"/>
    </row>
    <row r="8" spans="1:11" x14ac:dyDescent="0.3">
      <c r="A8" s="2" t="s">
        <v>692</v>
      </c>
      <c r="B8" s="184" t="s">
        <v>688</v>
      </c>
      <c r="C8" s="386">
        <v>0</v>
      </c>
      <c r="D8" s="387"/>
      <c r="E8" s="261">
        <v>0</v>
      </c>
      <c r="F8" s="261">
        <v>0</v>
      </c>
      <c r="G8" s="386">
        <v>0</v>
      </c>
      <c r="H8" s="387"/>
      <c r="I8" s="261">
        <v>0</v>
      </c>
      <c r="J8" s="160"/>
      <c r="K8" s="429"/>
    </row>
    <row r="9" spans="1:11" ht="15.75" customHeight="1" x14ac:dyDescent="0.3">
      <c r="A9" s="2" t="s">
        <v>7</v>
      </c>
      <c r="B9" s="80" t="s">
        <v>381</v>
      </c>
      <c r="C9" s="361">
        <v>0</v>
      </c>
      <c r="D9" s="362"/>
      <c r="E9" s="259">
        <v>0</v>
      </c>
      <c r="F9" s="259">
        <v>0</v>
      </c>
      <c r="G9" s="361">
        <v>0</v>
      </c>
      <c r="H9" s="362"/>
      <c r="I9" s="259">
        <v>0</v>
      </c>
      <c r="J9" s="125"/>
      <c r="K9" s="429"/>
    </row>
    <row r="10" spans="1:11" ht="15.75" customHeight="1" x14ac:dyDescent="0.3">
      <c r="A10" s="2" t="s">
        <v>8</v>
      </c>
      <c r="B10" s="80" t="s">
        <v>380</v>
      </c>
      <c r="C10" s="361">
        <v>0</v>
      </c>
      <c r="D10" s="362"/>
      <c r="E10" s="259">
        <v>0</v>
      </c>
      <c r="F10" s="259">
        <v>0</v>
      </c>
      <c r="G10" s="361">
        <v>0</v>
      </c>
      <c r="H10" s="362"/>
      <c r="I10" s="259">
        <v>0</v>
      </c>
      <c r="J10" s="125"/>
      <c r="K10" s="429"/>
    </row>
    <row r="11" spans="1:11" ht="15.75" customHeight="1" x14ac:dyDescent="0.3">
      <c r="A11" s="2" t="s">
        <v>9</v>
      </c>
      <c r="B11" s="80" t="s">
        <v>379</v>
      </c>
      <c r="C11" s="361">
        <v>0</v>
      </c>
      <c r="D11" s="362"/>
      <c r="E11" s="259">
        <v>0</v>
      </c>
      <c r="F11" s="259">
        <v>0</v>
      </c>
      <c r="G11" s="361">
        <v>0</v>
      </c>
      <c r="H11" s="362"/>
      <c r="I11" s="259">
        <v>0</v>
      </c>
      <c r="J11" s="125"/>
      <c r="K11" s="429"/>
    </row>
    <row r="12" spans="1:11" ht="15.75" customHeight="1" x14ac:dyDescent="0.3">
      <c r="A12" s="2" t="s">
        <v>724</v>
      </c>
      <c r="B12" s="184" t="s">
        <v>746</v>
      </c>
      <c r="C12" s="361">
        <v>0</v>
      </c>
      <c r="D12" s="362"/>
      <c r="E12" s="261">
        <v>0</v>
      </c>
      <c r="F12" s="261">
        <v>0</v>
      </c>
      <c r="G12" s="361">
        <v>0</v>
      </c>
      <c r="H12" s="362"/>
      <c r="I12" s="261">
        <v>0</v>
      </c>
      <c r="J12" s="160"/>
      <c r="K12" s="429"/>
    </row>
    <row r="13" spans="1:11" ht="15.75" customHeight="1" x14ac:dyDescent="0.3">
      <c r="A13" s="2" t="s">
        <v>10</v>
      </c>
      <c r="B13" s="80" t="s">
        <v>378</v>
      </c>
      <c r="C13" s="361">
        <v>0</v>
      </c>
      <c r="D13" s="362"/>
      <c r="E13" s="259">
        <v>0</v>
      </c>
      <c r="F13" s="259">
        <v>0</v>
      </c>
      <c r="G13" s="361">
        <v>0</v>
      </c>
      <c r="H13" s="362"/>
      <c r="I13" s="259">
        <v>0</v>
      </c>
      <c r="J13" s="125"/>
      <c r="K13" s="429"/>
    </row>
    <row r="14" spans="1:11" x14ac:dyDescent="0.3">
      <c r="A14" s="2" t="s">
        <v>11</v>
      </c>
      <c r="B14" s="80" t="s">
        <v>376</v>
      </c>
      <c r="C14" s="361">
        <v>0</v>
      </c>
      <c r="D14" s="362"/>
      <c r="E14" s="259">
        <v>0</v>
      </c>
      <c r="F14" s="259">
        <v>0</v>
      </c>
      <c r="G14" s="361">
        <v>0</v>
      </c>
      <c r="H14" s="362"/>
      <c r="I14" s="259">
        <v>0</v>
      </c>
      <c r="J14" s="125"/>
      <c r="K14" s="429"/>
    </row>
    <row r="15" spans="1:11" x14ac:dyDescent="0.3">
      <c r="A15" s="2" t="s">
        <v>12</v>
      </c>
      <c r="B15" s="80" t="s">
        <v>377</v>
      </c>
      <c r="C15" s="361">
        <v>0</v>
      </c>
      <c r="D15" s="362"/>
      <c r="E15" s="259">
        <v>0</v>
      </c>
      <c r="F15" s="259">
        <v>0</v>
      </c>
      <c r="G15" s="361">
        <v>0</v>
      </c>
      <c r="H15" s="362"/>
      <c r="I15" s="259">
        <v>0</v>
      </c>
      <c r="J15" s="125"/>
      <c r="K15" s="430"/>
    </row>
    <row r="16" spans="1:11" ht="15" customHeight="1" x14ac:dyDescent="0.3">
      <c r="A16" s="2" t="s">
        <v>693</v>
      </c>
      <c r="B16" s="73" t="s">
        <v>625</v>
      </c>
      <c r="C16" s="473">
        <v>0</v>
      </c>
      <c r="D16" s="362"/>
      <c r="E16" s="259">
        <v>0</v>
      </c>
      <c r="F16" s="259">
        <v>0</v>
      </c>
      <c r="G16" s="361">
        <v>0</v>
      </c>
      <c r="H16" s="362"/>
      <c r="I16" s="259">
        <v>0</v>
      </c>
      <c r="J16" s="125"/>
      <c r="K16" s="147"/>
    </row>
    <row r="17" spans="1:11" ht="79.2" x14ac:dyDescent="0.3">
      <c r="A17" s="2" t="s">
        <v>726</v>
      </c>
      <c r="B17" s="183" t="s">
        <v>712</v>
      </c>
      <c r="C17" s="464"/>
      <c r="D17" s="465"/>
      <c r="E17" s="261">
        <v>0</v>
      </c>
      <c r="F17" s="261">
        <v>0</v>
      </c>
      <c r="G17" s="386">
        <v>0</v>
      </c>
      <c r="H17" s="387">
        <v>1111</v>
      </c>
      <c r="I17" s="261">
        <v>0</v>
      </c>
      <c r="J17" s="160"/>
      <c r="K17" s="147"/>
    </row>
    <row r="18" spans="1:11" x14ac:dyDescent="0.3">
      <c r="A18" s="2" t="s">
        <v>14</v>
      </c>
      <c r="B18" s="9" t="s">
        <v>26</v>
      </c>
      <c r="C18" s="461"/>
      <c r="D18" s="462"/>
      <c r="E18" s="259">
        <v>0</v>
      </c>
      <c r="F18" s="259">
        <v>0</v>
      </c>
      <c r="G18" s="361">
        <v>0</v>
      </c>
      <c r="H18" s="362"/>
      <c r="I18" s="259">
        <v>0</v>
      </c>
      <c r="J18" s="125"/>
      <c r="K18" s="125"/>
    </row>
    <row r="19" spans="1:11" x14ac:dyDescent="0.3">
      <c r="A19" s="2" t="s">
        <v>16</v>
      </c>
      <c r="B19" s="9" t="s">
        <v>27</v>
      </c>
      <c r="C19" s="461"/>
      <c r="D19" s="462"/>
      <c r="E19" s="259">
        <v>0</v>
      </c>
      <c r="F19" s="259">
        <v>0</v>
      </c>
      <c r="G19" s="361">
        <v>0</v>
      </c>
      <c r="H19" s="362"/>
      <c r="I19" s="259">
        <v>0</v>
      </c>
      <c r="J19" s="125"/>
      <c r="K19" s="125"/>
    </row>
    <row r="20" spans="1:11" x14ac:dyDescent="0.3">
      <c r="A20" s="2" t="s">
        <v>17</v>
      </c>
      <c r="B20" s="9" t="s">
        <v>28</v>
      </c>
      <c r="C20" s="461"/>
      <c r="D20" s="462"/>
      <c r="E20" s="259">
        <v>0</v>
      </c>
      <c r="F20" s="259">
        <v>0</v>
      </c>
      <c r="G20" s="361">
        <v>0</v>
      </c>
      <c r="H20" s="362"/>
      <c r="I20" s="259">
        <v>0</v>
      </c>
      <c r="J20" s="125"/>
      <c r="K20" s="125"/>
    </row>
    <row r="21" spans="1:11" ht="15" thickBot="1" x14ac:dyDescent="0.35">
      <c r="A21" s="47" t="s">
        <v>18</v>
      </c>
      <c r="B21" s="52" t="s">
        <v>30</v>
      </c>
      <c r="C21" s="459"/>
      <c r="D21" s="459"/>
      <c r="E21" s="259">
        <v>0</v>
      </c>
      <c r="F21" s="259">
        <v>0</v>
      </c>
      <c r="G21" s="361">
        <v>0</v>
      </c>
      <c r="H21" s="362"/>
      <c r="I21" s="259">
        <v>0</v>
      </c>
      <c r="J21" s="125"/>
      <c r="K21" s="125"/>
    </row>
  </sheetData>
  <sheetProtection algorithmName="SHA-512" hashValue="K4bv12Sznwb2awdRgSmkImrzLNHHDz7/USDMPtfWNKxstX3U7Dcd/Z2QewDihWp+e/KqgOmjsQDPdfzSQ65Ydw==" saltValue="42MsR7qRzpaqCl8kSRbTVw==" spinCount="100000" sheet="1" objects="1" scenarios="1"/>
  <mergeCells count="41">
    <mergeCell ref="C3:H3"/>
    <mergeCell ref="C5:D6"/>
    <mergeCell ref="C16:D16"/>
    <mergeCell ref="G16:H16"/>
    <mergeCell ref="C15:D15"/>
    <mergeCell ref="G15:H15"/>
    <mergeCell ref="G6:H6"/>
    <mergeCell ref="G7:H7"/>
    <mergeCell ref="C9:D9"/>
    <mergeCell ref="C10:D10"/>
    <mergeCell ref="G10:H10"/>
    <mergeCell ref="G9:H9"/>
    <mergeCell ref="C8:D8"/>
    <mergeCell ref="G8:H8"/>
    <mergeCell ref="G14:H14"/>
    <mergeCell ref="C11:D11"/>
    <mergeCell ref="G11:H11"/>
    <mergeCell ref="C7:D7"/>
    <mergeCell ref="J4:J6"/>
    <mergeCell ref="K4:K6"/>
    <mergeCell ref="B4:I4"/>
    <mergeCell ref="E5:I5"/>
    <mergeCell ref="K7:K15"/>
    <mergeCell ref="C12:D12"/>
    <mergeCell ref="G12:H12"/>
    <mergeCell ref="A1:G2"/>
    <mergeCell ref="G21:H21"/>
    <mergeCell ref="C21:D21"/>
    <mergeCell ref="A5:A6"/>
    <mergeCell ref="C18:D18"/>
    <mergeCell ref="C19:D19"/>
    <mergeCell ref="C20:D20"/>
    <mergeCell ref="G19:H19"/>
    <mergeCell ref="G18:H18"/>
    <mergeCell ref="G20:H20"/>
    <mergeCell ref="C13:D13"/>
    <mergeCell ref="G13:H13"/>
    <mergeCell ref="C14:D14"/>
    <mergeCell ref="B5:B6"/>
    <mergeCell ref="C17:D17"/>
    <mergeCell ref="G17:H17"/>
  </mergeCells>
  <dataValidations count="2">
    <dataValidation type="decimal" allowBlank="1" showInputMessage="1" showErrorMessage="1" error="Please enter values between -9999999999999.99 and 9999999999999.99_x000a__x000a_" sqref="D7 H7 C7:C17 I7:I21 D9:D16 F7:G21 H9:H16 H18:H21" xr:uid="{00000000-0002-0000-0900-000000000000}">
      <formula1>-9999999999999.99</formula1>
      <formula2>9999999999999.99</formula2>
    </dataValidation>
    <dataValidation type="decimal" allowBlank="1" showInputMessage="1" showErrorMessage="1" error="Please enter values between -9999999999999.99 and 9999999999999.99_x000a_" sqref="E7:E21" xr:uid="{00000000-0002-0000-0900-000001000000}">
      <formula1>-9999999999999.99</formula1>
      <formula2>9999999999999.99</formula2>
    </dataValidation>
  </dataValidations>
  <pageMargins left="0.7" right="0.7" top="0.75" bottom="0.75" header="0.3" footer="0.3"/>
  <pageSetup scale="50"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A1:K11"/>
  <sheetViews>
    <sheetView showGridLines="0" topLeftCell="D5" zoomScaleNormal="100" workbookViewId="0">
      <selection activeCell="H7" sqref="H7:I7"/>
    </sheetView>
  </sheetViews>
  <sheetFormatPr defaultRowHeight="14.4" x14ac:dyDescent="0.3"/>
  <cols>
    <col min="1" max="1" width="10.109375" customWidth="1"/>
    <col min="2" max="2" width="24.6640625" customWidth="1"/>
    <col min="3" max="3" width="14.5546875" customWidth="1"/>
    <col min="4" max="5" width="23.33203125" customWidth="1"/>
    <col min="6" max="6" width="23.109375" customWidth="1"/>
    <col min="7" max="7" width="19.109375" customWidth="1"/>
    <col min="8" max="8" width="17.5546875" customWidth="1"/>
    <col min="9" max="9" width="21.88671875" customWidth="1"/>
    <col min="10" max="10" width="35.5546875" customWidth="1"/>
    <col min="11" max="11" width="37.33203125" customWidth="1"/>
    <col min="12" max="12" width="9.33203125" customWidth="1"/>
    <col min="13" max="13" width="4.6640625" customWidth="1"/>
  </cols>
  <sheetData>
    <row r="1" spans="1:11" ht="26.25" customHeight="1" x14ac:dyDescent="0.3">
      <c r="A1" s="380" t="s">
        <v>62</v>
      </c>
      <c r="B1" s="380"/>
      <c r="C1" s="380"/>
      <c r="D1" s="380"/>
      <c r="E1" s="380"/>
      <c r="F1" s="380"/>
      <c r="G1" s="380"/>
      <c r="H1" s="6"/>
      <c r="I1" s="6"/>
    </row>
    <row r="2" spans="1:11" ht="16.5" customHeight="1" x14ac:dyDescent="0.3">
      <c r="A2" s="380"/>
      <c r="B2" s="380"/>
      <c r="C2" s="380"/>
      <c r="D2" s="380"/>
      <c r="E2" s="380"/>
      <c r="F2" s="380"/>
      <c r="G2" s="380"/>
      <c r="H2" s="6"/>
      <c r="I2" s="6"/>
    </row>
    <row r="3" spans="1:11" ht="57" customHeight="1" thickBot="1" x14ac:dyDescent="0.35">
      <c r="A3" s="7"/>
      <c r="B3" s="8"/>
      <c r="C3" s="470" t="s">
        <v>591</v>
      </c>
      <c r="D3" s="382"/>
      <c r="E3" s="382"/>
      <c r="F3" s="382"/>
      <c r="G3" s="382"/>
      <c r="H3" s="382"/>
      <c r="I3" s="8"/>
    </row>
    <row r="4" spans="1:11" ht="30" customHeight="1" x14ac:dyDescent="0.3">
      <c r="A4" s="53">
        <v>12</v>
      </c>
      <c r="B4" s="476" t="s">
        <v>129</v>
      </c>
      <c r="C4" s="477"/>
      <c r="D4" s="477"/>
      <c r="E4" s="477"/>
      <c r="F4" s="477"/>
      <c r="G4" s="477"/>
      <c r="H4" s="477"/>
      <c r="I4" s="478"/>
      <c r="J4" s="360" t="s">
        <v>152</v>
      </c>
      <c r="K4" s="360" t="s">
        <v>153</v>
      </c>
    </row>
    <row r="5" spans="1:11" ht="18" customHeight="1" x14ac:dyDescent="0.3">
      <c r="A5" s="49" t="s">
        <v>134</v>
      </c>
      <c r="B5" s="475" t="s">
        <v>24</v>
      </c>
      <c r="C5" s="475"/>
      <c r="D5" s="475"/>
      <c r="E5" s="475"/>
      <c r="F5" s="475"/>
      <c r="G5" s="475"/>
      <c r="H5" s="479" t="s">
        <v>135</v>
      </c>
      <c r="I5" s="480"/>
      <c r="J5" s="360"/>
      <c r="K5" s="360"/>
    </row>
    <row r="6" spans="1:11" ht="39.9" customHeight="1" x14ac:dyDescent="0.3">
      <c r="A6" s="2" t="s">
        <v>6</v>
      </c>
      <c r="B6" s="487" t="s">
        <v>130</v>
      </c>
      <c r="C6" s="488"/>
      <c r="D6" s="488"/>
      <c r="E6" s="488"/>
      <c r="F6" s="488"/>
      <c r="G6" s="489"/>
      <c r="H6" s="361">
        <v>2595897.09</v>
      </c>
      <c r="I6" s="362"/>
      <c r="J6" s="125"/>
      <c r="K6" s="125"/>
    </row>
    <row r="7" spans="1:11" ht="15.75" customHeight="1" x14ac:dyDescent="0.3">
      <c r="A7" s="2" t="s">
        <v>7</v>
      </c>
      <c r="B7" s="481" t="s">
        <v>621</v>
      </c>
      <c r="C7" s="482"/>
      <c r="D7" s="482"/>
      <c r="E7" s="482"/>
      <c r="F7" s="482"/>
      <c r="G7" s="483"/>
      <c r="H7" s="361">
        <v>0</v>
      </c>
      <c r="I7" s="362"/>
      <c r="J7" s="125"/>
      <c r="K7" s="125"/>
    </row>
    <row r="8" spans="1:11" ht="15.75" customHeight="1" x14ac:dyDescent="0.3">
      <c r="A8" s="2" t="s">
        <v>8</v>
      </c>
      <c r="B8" s="481" t="s">
        <v>622</v>
      </c>
      <c r="C8" s="482"/>
      <c r="D8" s="482"/>
      <c r="E8" s="482"/>
      <c r="F8" s="482"/>
      <c r="G8" s="483"/>
      <c r="H8" s="361">
        <v>0</v>
      </c>
      <c r="I8" s="362"/>
      <c r="J8" s="125"/>
      <c r="K8" s="125"/>
    </row>
    <row r="9" spans="1:11" x14ac:dyDescent="0.3">
      <c r="A9" s="2" t="s">
        <v>9</v>
      </c>
      <c r="B9" s="490" t="s">
        <v>275</v>
      </c>
      <c r="C9" s="490"/>
      <c r="D9" s="490"/>
      <c r="E9" s="490"/>
      <c r="F9" s="490"/>
      <c r="G9" s="490"/>
      <c r="H9" s="491">
        <f>H6+H7-H8</f>
        <v>2595897.09</v>
      </c>
      <c r="I9" s="492"/>
      <c r="J9" s="125"/>
      <c r="K9" s="129"/>
    </row>
    <row r="10" spans="1:11" x14ac:dyDescent="0.3">
      <c r="A10" s="2" t="s">
        <v>10</v>
      </c>
      <c r="B10" s="493" t="s">
        <v>131</v>
      </c>
      <c r="C10" s="493"/>
      <c r="D10" s="493"/>
      <c r="E10" s="493"/>
      <c r="F10" s="493"/>
      <c r="G10" s="493"/>
      <c r="H10" s="361">
        <v>2595897.09</v>
      </c>
      <c r="I10" s="362"/>
      <c r="J10" s="125"/>
      <c r="K10" s="129"/>
    </row>
    <row r="11" spans="1:11" ht="15" thickBot="1" x14ac:dyDescent="0.35">
      <c r="A11" s="47" t="s">
        <v>11</v>
      </c>
      <c r="B11" s="484" t="s">
        <v>347</v>
      </c>
      <c r="C11" s="484"/>
      <c r="D11" s="484"/>
      <c r="E11" s="484"/>
      <c r="F11" s="484"/>
      <c r="G11" s="484"/>
      <c r="H11" s="485">
        <f>H10-H9</f>
        <v>0</v>
      </c>
      <c r="I11" s="486"/>
      <c r="J11" s="125"/>
      <c r="K11" s="129"/>
    </row>
  </sheetData>
  <sheetProtection algorithmName="SHA-512" hashValue="PLppPqd627r95VGrIb1ti9BJ0JwSnv5+dc6xKK+s0c4xbGdLHvQplxgkZVypAwSQkNFt/KGydPdH74ef8WPbqQ==" saltValue="5UGByd/IKZA5f6KDgs4Dzg==" spinCount="100000" sheet="1" objects="1" scenarios="1"/>
  <mergeCells count="19">
    <mergeCell ref="B11:G11"/>
    <mergeCell ref="H11:I11"/>
    <mergeCell ref="B6:G6"/>
    <mergeCell ref="H6:I6"/>
    <mergeCell ref="H7:I7"/>
    <mergeCell ref="H8:I8"/>
    <mergeCell ref="B9:G9"/>
    <mergeCell ref="H9:I9"/>
    <mergeCell ref="B10:G10"/>
    <mergeCell ref="J4:J5"/>
    <mergeCell ref="K4:K5"/>
    <mergeCell ref="A1:G2"/>
    <mergeCell ref="B5:G5"/>
    <mergeCell ref="H10:I10"/>
    <mergeCell ref="C3:H3"/>
    <mergeCell ref="B4:I4"/>
    <mergeCell ref="H5:I5"/>
    <mergeCell ref="B7:G7"/>
    <mergeCell ref="B8:G8"/>
  </mergeCells>
  <dataValidations count="2">
    <dataValidation type="decimal" allowBlank="1" showInputMessage="1" showErrorMessage="1" error="Please enter a number between -999999999999999.99 and 999999999999999.99_x000a__x000a__x000a_" sqref="H10:I10" xr:uid="{00000000-0002-0000-0A00-000000000000}">
      <formula1>-999999999999999</formula1>
      <formula2>999999999999999</formula2>
    </dataValidation>
    <dataValidation type="decimal" allowBlank="1" showInputMessage="1" showErrorMessage="1" error="Please enter values between -9999999999999.99 and 9999999999999.99_x000a__x000a_" sqref="H6:I8" xr:uid="{00000000-0002-0000-0A00-000001000000}">
      <formula1>-9999999999999.99</formula1>
      <formula2>9999999999999.99</formula2>
    </dataValidation>
  </dataValidations>
  <pageMargins left="0.7" right="0.7" top="0.75" bottom="0.75" header="0.3" footer="0.3"/>
  <pageSetup scale="50"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K5"/>
  <sheetViews>
    <sheetView showGridLines="0" tabSelected="1" zoomScaleNormal="100" workbookViewId="0">
      <selection activeCell="G15" sqref="G15"/>
    </sheetView>
  </sheetViews>
  <sheetFormatPr defaultRowHeight="14.4" x14ac:dyDescent="0.3"/>
  <cols>
    <col min="1" max="1" width="10.109375" customWidth="1"/>
    <col min="2" max="2" width="24.6640625" customWidth="1"/>
    <col min="3" max="3" width="14.5546875" customWidth="1"/>
    <col min="4" max="5" width="23.33203125" customWidth="1"/>
    <col min="6" max="6" width="23.109375" customWidth="1"/>
    <col min="7" max="7" width="19.109375" customWidth="1"/>
    <col min="8" max="8" width="17.5546875" customWidth="1"/>
    <col min="9" max="9" width="21.88671875" customWidth="1"/>
    <col min="10" max="10" width="68.33203125" style="117" customWidth="1"/>
    <col min="11" max="11" width="17.6640625" bestFit="1" customWidth="1"/>
  </cols>
  <sheetData>
    <row r="1" spans="1:11" ht="29.25" customHeight="1" x14ac:dyDescent="0.3">
      <c r="A1" s="380" t="s">
        <v>62</v>
      </c>
      <c r="B1" s="380"/>
      <c r="C1" s="380"/>
      <c r="D1" s="380"/>
      <c r="E1" s="380"/>
      <c r="F1" s="380"/>
      <c r="G1" s="380"/>
      <c r="H1" s="6"/>
      <c r="I1" s="6"/>
    </row>
    <row r="2" spans="1:11" ht="27.6" x14ac:dyDescent="0.3">
      <c r="A2" s="380"/>
      <c r="B2" s="380"/>
      <c r="C2" s="380"/>
      <c r="D2" s="380"/>
      <c r="E2" s="380"/>
      <c r="F2" s="380"/>
      <c r="G2" s="380"/>
      <c r="H2" s="6"/>
      <c r="I2" s="6"/>
    </row>
    <row r="3" spans="1:11" ht="55.5" customHeight="1" thickBot="1" x14ac:dyDescent="0.35">
      <c r="A3" s="7"/>
      <c r="B3" s="5"/>
      <c r="C3" s="458" t="s">
        <v>592</v>
      </c>
      <c r="D3" s="392"/>
      <c r="E3" s="392"/>
      <c r="F3" s="392"/>
      <c r="G3" s="392"/>
      <c r="H3" s="392"/>
      <c r="I3" s="5"/>
    </row>
    <row r="4" spans="1:11" ht="22.5" customHeight="1" x14ac:dyDescent="0.3">
      <c r="A4" s="10">
        <v>13</v>
      </c>
      <c r="B4" s="395" t="s">
        <v>66</v>
      </c>
      <c r="C4" s="396"/>
      <c r="D4" s="396"/>
      <c r="E4" s="396"/>
      <c r="F4" s="396"/>
      <c r="G4" s="396"/>
      <c r="H4" s="396"/>
      <c r="I4" s="397"/>
      <c r="J4" s="140" t="s">
        <v>152</v>
      </c>
      <c r="K4" s="140" t="s">
        <v>153</v>
      </c>
    </row>
    <row r="5" spans="1:11" ht="58.5" customHeight="1" x14ac:dyDescent="0.3">
      <c r="A5" s="158" t="s">
        <v>6</v>
      </c>
      <c r="B5" s="159" t="s">
        <v>301</v>
      </c>
      <c r="C5" s="394" t="s">
        <v>755</v>
      </c>
      <c r="D5" s="394"/>
      <c r="E5" s="394"/>
      <c r="F5" s="394"/>
      <c r="G5" s="394"/>
      <c r="H5" s="394"/>
      <c r="I5" s="394"/>
      <c r="J5" s="160"/>
      <c r="K5" s="160"/>
    </row>
  </sheetData>
  <sheetProtection algorithmName="SHA-512" hashValue="d3CojrQKg3kIW0erG91KkHt9ZnVw0r/+Xp9zVbb2QyTnwB86gKRMpPjDMCkhpa2lSvBoGAxKHB1t2qZ53xZIiw==" saltValue="fgmGYdbNTSg4VzNjQEZodQ==" spinCount="100000" sheet="1" objects="1" scenarios="1"/>
  <mergeCells count="4">
    <mergeCell ref="A1:G2"/>
    <mergeCell ref="C3:H3"/>
    <mergeCell ref="B4:I4"/>
    <mergeCell ref="C5:I5"/>
  </mergeCells>
  <pageMargins left="0.7" right="0.7" top="0.75" bottom="0.75" header="0.3" footer="0.3"/>
  <pageSetup scale="50"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A1:K27"/>
  <sheetViews>
    <sheetView showGridLines="0" topLeftCell="B12" zoomScaleNormal="100" workbookViewId="0">
      <selection activeCell="H24" sqref="H24:I24"/>
    </sheetView>
  </sheetViews>
  <sheetFormatPr defaultRowHeight="14.4" x14ac:dyDescent="0.3"/>
  <cols>
    <col min="1" max="1" width="10.109375" customWidth="1"/>
    <col min="2" max="2" width="24.6640625" customWidth="1"/>
    <col min="3" max="3" width="14.5546875" customWidth="1"/>
    <col min="4" max="5" width="23.33203125" customWidth="1"/>
    <col min="6" max="6" width="23.109375" customWidth="1"/>
    <col min="7" max="7" width="19.109375" customWidth="1"/>
    <col min="8" max="8" width="17.5546875" customWidth="1"/>
    <col min="9" max="9" width="21.88671875" customWidth="1"/>
    <col min="10" max="10" width="89.5546875" customWidth="1"/>
    <col min="11" max="11" width="40.6640625" customWidth="1"/>
    <col min="12" max="12" width="27.109375" customWidth="1"/>
  </cols>
  <sheetData>
    <row r="1" spans="1:11" ht="26.25" customHeight="1" x14ac:dyDescent="0.3">
      <c r="A1" s="380" t="s">
        <v>62</v>
      </c>
      <c r="B1" s="380"/>
      <c r="C1" s="380"/>
      <c r="D1" s="380"/>
      <c r="E1" s="380"/>
      <c r="F1" s="380"/>
      <c r="G1" s="380"/>
      <c r="H1" s="6"/>
      <c r="I1" s="6"/>
    </row>
    <row r="2" spans="1:11" ht="16.5" customHeight="1" x14ac:dyDescent="0.3">
      <c r="A2" s="380"/>
      <c r="B2" s="380"/>
      <c r="C2" s="380"/>
      <c r="D2" s="380"/>
      <c r="E2" s="380"/>
      <c r="F2" s="380"/>
      <c r="G2" s="380"/>
      <c r="H2" s="6"/>
      <c r="I2" s="6"/>
    </row>
    <row r="3" spans="1:11" ht="57" customHeight="1" thickBot="1" x14ac:dyDescent="0.35">
      <c r="A3" s="7"/>
      <c r="B3" s="8"/>
      <c r="C3" s="470" t="s">
        <v>593</v>
      </c>
      <c r="D3" s="382"/>
      <c r="E3" s="382"/>
      <c r="F3" s="382"/>
      <c r="G3" s="382"/>
      <c r="H3" s="382"/>
      <c r="I3" s="8"/>
    </row>
    <row r="4" spans="1:11" ht="15.75" customHeight="1" x14ac:dyDescent="0.3">
      <c r="A4" s="53">
        <v>14</v>
      </c>
      <c r="B4" s="466" t="s">
        <v>55</v>
      </c>
      <c r="C4" s="466"/>
      <c r="D4" s="466"/>
      <c r="E4" s="466"/>
      <c r="F4" s="466"/>
      <c r="G4" s="466"/>
      <c r="H4" s="466"/>
      <c r="I4" s="395"/>
      <c r="J4" s="360" t="s">
        <v>355</v>
      </c>
      <c r="K4" s="423" t="s">
        <v>153</v>
      </c>
    </row>
    <row r="5" spans="1:11" ht="30" customHeight="1" x14ac:dyDescent="0.3">
      <c r="A5" s="49" t="s">
        <v>134</v>
      </c>
      <c r="B5" s="497" t="s">
        <v>24</v>
      </c>
      <c r="C5" s="497"/>
      <c r="D5" s="497" t="s">
        <v>138</v>
      </c>
      <c r="E5" s="497"/>
      <c r="F5" s="497" t="s">
        <v>139</v>
      </c>
      <c r="G5" s="497"/>
      <c r="H5" s="497" t="s">
        <v>140</v>
      </c>
      <c r="I5" s="498"/>
      <c r="J5" s="360"/>
      <c r="K5" s="425"/>
    </row>
    <row r="6" spans="1:11" x14ac:dyDescent="0.3">
      <c r="A6" s="2" t="s">
        <v>6</v>
      </c>
      <c r="B6" s="495" t="s">
        <v>247</v>
      </c>
      <c r="C6" s="495"/>
      <c r="D6" s="361"/>
      <c r="E6" s="362"/>
      <c r="F6" s="361"/>
      <c r="G6" s="362"/>
      <c r="H6" s="361"/>
      <c r="I6" s="362"/>
      <c r="J6" s="125"/>
      <c r="K6" s="428"/>
    </row>
    <row r="7" spans="1:11" ht="15.75" customHeight="1" x14ac:dyDescent="0.3">
      <c r="A7" s="2" t="s">
        <v>7</v>
      </c>
      <c r="B7" s="496" t="s">
        <v>56</v>
      </c>
      <c r="C7" s="496"/>
      <c r="D7" s="361"/>
      <c r="E7" s="362"/>
      <c r="F7" s="361"/>
      <c r="G7" s="362"/>
      <c r="H7" s="361"/>
      <c r="I7" s="362"/>
      <c r="J7" s="125"/>
      <c r="K7" s="429"/>
    </row>
    <row r="8" spans="1:11" ht="15.75" customHeight="1" x14ac:dyDescent="0.3">
      <c r="A8" s="2" t="s">
        <v>8</v>
      </c>
      <c r="B8" s="496" t="s">
        <v>146</v>
      </c>
      <c r="C8" s="496"/>
      <c r="D8" s="361"/>
      <c r="E8" s="362"/>
      <c r="F8" s="361"/>
      <c r="G8" s="362"/>
      <c r="H8" s="361"/>
      <c r="I8" s="362"/>
      <c r="J8" s="125"/>
      <c r="K8" s="429"/>
    </row>
    <row r="9" spans="1:11" ht="15.75" customHeight="1" x14ac:dyDescent="0.3">
      <c r="A9" s="2" t="s">
        <v>9</v>
      </c>
      <c r="B9" s="495" t="s">
        <v>147</v>
      </c>
      <c r="C9" s="495"/>
      <c r="D9" s="361"/>
      <c r="E9" s="362"/>
      <c r="F9" s="361"/>
      <c r="G9" s="362"/>
      <c r="H9" s="361"/>
      <c r="I9" s="362"/>
      <c r="J9" s="125"/>
      <c r="K9" s="429"/>
    </row>
    <row r="10" spans="1:11" ht="15.75" customHeight="1" x14ac:dyDescent="0.3">
      <c r="A10" s="2" t="s">
        <v>10</v>
      </c>
      <c r="B10" s="496" t="s">
        <v>35</v>
      </c>
      <c r="C10" s="496"/>
      <c r="D10" s="361"/>
      <c r="E10" s="362"/>
      <c r="F10" s="361"/>
      <c r="G10" s="362"/>
      <c r="H10" s="361"/>
      <c r="I10" s="362"/>
      <c r="J10" s="125"/>
      <c r="K10" s="429"/>
    </row>
    <row r="11" spans="1:11" ht="37.5" customHeight="1" x14ac:dyDescent="0.3">
      <c r="A11" s="2" t="s">
        <v>11</v>
      </c>
      <c r="B11" s="496" t="s">
        <v>36</v>
      </c>
      <c r="C11" s="496"/>
      <c r="D11" s="361"/>
      <c r="E11" s="362"/>
      <c r="F11" s="361"/>
      <c r="G11" s="362"/>
      <c r="H11" s="361"/>
      <c r="I11" s="362"/>
      <c r="J11" s="125"/>
      <c r="K11" s="429"/>
    </row>
    <row r="12" spans="1:11" x14ac:dyDescent="0.3">
      <c r="A12" s="2" t="s">
        <v>12</v>
      </c>
      <c r="B12" s="496" t="s">
        <v>37</v>
      </c>
      <c r="C12" s="496"/>
      <c r="D12" s="361"/>
      <c r="E12" s="362"/>
      <c r="F12" s="361"/>
      <c r="G12" s="362"/>
      <c r="H12" s="361"/>
      <c r="I12" s="362"/>
      <c r="J12" s="125"/>
      <c r="K12" s="429"/>
    </row>
    <row r="13" spans="1:11" ht="24" customHeight="1" x14ac:dyDescent="0.3">
      <c r="A13" s="2" t="s">
        <v>14</v>
      </c>
      <c r="B13" s="496" t="s">
        <v>354</v>
      </c>
      <c r="C13" s="496"/>
      <c r="D13" s="361"/>
      <c r="E13" s="362"/>
      <c r="F13" s="361"/>
      <c r="G13" s="362"/>
      <c r="H13" s="361"/>
      <c r="I13" s="362"/>
      <c r="J13" s="125"/>
      <c r="K13" s="429"/>
    </row>
    <row r="14" spans="1:11" x14ac:dyDescent="0.3">
      <c r="A14" s="2" t="s">
        <v>16</v>
      </c>
      <c r="B14" s="496" t="s">
        <v>38</v>
      </c>
      <c r="C14" s="496"/>
      <c r="D14" s="361"/>
      <c r="E14" s="362"/>
      <c r="F14" s="361"/>
      <c r="G14" s="362"/>
      <c r="H14" s="361"/>
      <c r="I14" s="362"/>
      <c r="J14" s="125"/>
      <c r="K14" s="429"/>
    </row>
    <row r="15" spans="1:11" x14ac:dyDescent="0.3">
      <c r="A15" s="2" t="s">
        <v>17</v>
      </c>
      <c r="B15" s="496" t="s">
        <v>39</v>
      </c>
      <c r="C15" s="496"/>
      <c r="D15" s="361"/>
      <c r="E15" s="362"/>
      <c r="F15" s="361"/>
      <c r="G15" s="362"/>
      <c r="H15" s="361"/>
      <c r="I15" s="362"/>
      <c r="J15" s="125"/>
      <c r="K15" s="429"/>
    </row>
    <row r="16" spans="1:11" x14ac:dyDescent="0.3">
      <c r="A16" s="2" t="s">
        <v>18</v>
      </c>
      <c r="B16" s="496" t="s">
        <v>40</v>
      </c>
      <c r="C16" s="496"/>
      <c r="D16" s="361"/>
      <c r="E16" s="362"/>
      <c r="F16" s="361"/>
      <c r="G16" s="362"/>
      <c r="H16" s="361"/>
      <c r="I16" s="362"/>
      <c r="J16" s="125"/>
      <c r="K16" s="429"/>
    </row>
    <row r="17" spans="1:11" x14ac:dyDescent="0.3">
      <c r="A17" s="2" t="s">
        <v>20</v>
      </c>
      <c r="B17" s="496" t="s">
        <v>41</v>
      </c>
      <c r="C17" s="496"/>
      <c r="D17" s="361"/>
      <c r="E17" s="362"/>
      <c r="F17" s="361"/>
      <c r="G17" s="362"/>
      <c r="H17" s="361"/>
      <c r="I17" s="362"/>
      <c r="J17" s="125"/>
      <c r="K17" s="429"/>
    </row>
    <row r="18" spans="1:11" x14ac:dyDescent="0.3">
      <c r="A18" s="2" t="s">
        <v>21</v>
      </c>
      <c r="B18" s="496" t="s">
        <v>42</v>
      </c>
      <c r="C18" s="496"/>
      <c r="D18" s="361"/>
      <c r="E18" s="362"/>
      <c r="F18" s="361"/>
      <c r="G18" s="362"/>
      <c r="H18" s="361"/>
      <c r="I18" s="362"/>
      <c r="J18" s="125"/>
      <c r="K18" s="429"/>
    </row>
    <row r="19" spans="1:11" x14ac:dyDescent="0.3">
      <c r="A19" s="2" t="s">
        <v>22</v>
      </c>
      <c r="B19" s="496" t="s">
        <v>248</v>
      </c>
      <c r="C19" s="496"/>
      <c r="D19" s="361"/>
      <c r="E19" s="362"/>
      <c r="F19" s="361"/>
      <c r="G19" s="362"/>
      <c r="H19" s="361"/>
      <c r="I19" s="362"/>
      <c r="J19" s="125"/>
      <c r="K19" s="429"/>
    </row>
    <row r="20" spans="1:11" x14ac:dyDescent="0.3">
      <c r="A20" s="54" t="s">
        <v>29</v>
      </c>
      <c r="B20" s="495" t="s">
        <v>43</v>
      </c>
      <c r="C20" s="495"/>
      <c r="D20" s="361"/>
      <c r="E20" s="362"/>
      <c r="F20" s="361"/>
      <c r="G20" s="362"/>
      <c r="H20" s="361"/>
      <c r="I20" s="362"/>
      <c r="J20" s="125"/>
      <c r="K20" s="430"/>
    </row>
    <row r="21" spans="1:11" x14ac:dyDescent="0.3">
      <c r="A21" s="54" t="s">
        <v>31</v>
      </c>
      <c r="B21" s="495" t="s">
        <v>44</v>
      </c>
      <c r="C21" s="495"/>
      <c r="D21" s="361"/>
      <c r="E21" s="362"/>
      <c r="F21" s="361"/>
      <c r="G21" s="362"/>
      <c r="H21" s="361"/>
      <c r="I21" s="362"/>
      <c r="J21" s="129"/>
      <c r="K21" s="125"/>
    </row>
    <row r="22" spans="1:11" x14ac:dyDescent="0.3">
      <c r="A22" s="54" t="s">
        <v>32</v>
      </c>
      <c r="B22" s="512" t="s">
        <v>45</v>
      </c>
      <c r="C22" s="512"/>
      <c r="D22" s="494"/>
      <c r="E22" s="494"/>
      <c r="F22" s="494"/>
      <c r="G22" s="494"/>
      <c r="H22" s="494"/>
      <c r="I22" s="494"/>
      <c r="J22" s="161"/>
      <c r="K22" s="162"/>
    </row>
    <row r="23" spans="1:11" ht="25.5" customHeight="1" x14ac:dyDescent="0.3">
      <c r="A23" s="54" t="s">
        <v>33</v>
      </c>
      <c r="B23" s="481" t="s">
        <v>695</v>
      </c>
      <c r="C23" s="506"/>
      <c r="D23" s="507"/>
      <c r="E23" s="508"/>
      <c r="F23" s="509" t="s">
        <v>714</v>
      </c>
      <c r="G23" s="508"/>
      <c r="H23" s="510">
        <f>SUM(H6:H22)</f>
        <v>0</v>
      </c>
      <c r="I23" s="511"/>
      <c r="J23" s="130"/>
      <c r="K23" s="131"/>
    </row>
    <row r="24" spans="1:11" x14ac:dyDescent="0.3">
      <c r="A24" s="54" t="s">
        <v>46</v>
      </c>
      <c r="B24" s="501" t="s">
        <v>574</v>
      </c>
      <c r="C24" s="502"/>
      <c r="D24" s="69"/>
      <c r="E24" s="68"/>
      <c r="F24" s="69"/>
      <c r="G24" s="68"/>
      <c r="H24" s="361"/>
      <c r="I24" s="362"/>
      <c r="J24" s="129"/>
      <c r="K24" s="129"/>
    </row>
    <row r="25" spans="1:11" x14ac:dyDescent="0.3">
      <c r="A25" s="70" t="s">
        <v>47</v>
      </c>
      <c r="B25" s="503" t="s">
        <v>348</v>
      </c>
      <c r="C25" s="503"/>
      <c r="D25" s="504" t="s">
        <v>714</v>
      </c>
      <c r="E25" s="505"/>
      <c r="F25" s="504" t="s">
        <v>714</v>
      </c>
      <c r="G25" s="505"/>
      <c r="H25" s="499">
        <f>H24-H23</f>
        <v>0</v>
      </c>
      <c r="I25" s="500"/>
      <c r="J25" s="132"/>
      <c r="K25" s="132"/>
    </row>
    <row r="27" spans="1:11" x14ac:dyDescent="0.3">
      <c r="B27" s="351" t="s">
        <v>696</v>
      </c>
      <c r="C27" s="352"/>
      <c r="D27" s="352"/>
      <c r="E27" s="352"/>
      <c r="F27" s="352"/>
      <c r="G27" s="352"/>
      <c r="H27" s="352"/>
      <c r="I27" s="353"/>
    </row>
  </sheetData>
  <sheetProtection algorithmName="SHA-512" hashValue="xHrGBOGnriYVR5NkU/wTTBtHpg7GncdL2snuTSV/trW0vBvsOe2aoJ+Kn1Y7bO8jkHVb6nPI4GtbWyLDMImRJw==" saltValue="aqsn3GMOY1LJ5TJfTiweKw==" spinCount="100000" sheet="1" objects="1" scenarios="1"/>
  <mergeCells count="89">
    <mergeCell ref="B27:I27"/>
    <mergeCell ref="B9:C9"/>
    <mergeCell ref="D9:E9"/>
    <mergeCell ref="F9:G9"/>
    <mergeCell ref="H25:I25"/>
    <mergeCell ref="B24:C24"/>
    <mergeCell ref="B25:C25"/>
    <mergeCell ref="D25:E25"/>
    <mergeCell ref="F25:G25"/>
    <mergeCell ref="H24:I24"/>
    <mergeCell ref="B23:C23"/>
    <mergeCell ref="D23:E23"/>
    <mergeCell ref="F23:G23"/>
    <mergeCell ref="H23:I23"/>
    <mergeCell ref="B22:C22"/>
    <mergeCell ref="D22:E22"/>
    <mergeCell ref="B10:C10"/>
    <mergeCell ref="D10:E10"/>
    <mergeCell ref="F10:G10"/>
    <mergeCell ref="F12:G12"/>
    <mergeCell ref="B13:C13"/>
    <mergeCell ref="D13:E13"/>
    <mergeCell ref="F13:G13"/>
    <mergeCell ref="B11:C11"/>
    <mergeCell ref="D11:E11"/>
    <mergeCell ref="F11:G11"/>
    <mergeCell ref="A1:G2"/>
    <mergeCell ref="C3:H3"/>
    <mergeCell ref="B4:I4"/>
    <mergeCell ref="B5:C5"/>
    <mergeCell ref="D5:E5"/>
    <mergeCell ref="F5:G5"/>
    <mergeCell ref="H5:I5"/>
    <mergeCell ref="K4:K5"/>
    <mergeCell ref="H10:I10"/>
    <mergeCell ref="H7:I7"/>
    <mergeCell ref="H8:I8"/>
    <mergeCell ref="H9:I9"/>
    <mergeCell ref="J4:J5"/>
    <mergeCell ref="H6:I6"/>
    <mergeCell ref="K6:K20"/>
    <mergeCell ref="H20:I20"/>
    <mergeCell ref="H18:I18"/>
    <mergeCell ref="H14:I14"/>
    <mergeCell ref="H19:I19"/>
    <mergeCell ref="H16:I16"/>
    <mergeCell ref="H17:I17"/>
    <mergeCell ref="F6:G6"/>
    <mergeCell ref="F8:G8"/>
    <mergeCell ref="B7:C7"/>
    <mergeCell ref="B6:C6"/>
    <mergeCell ref="D6:E6"/>
    <mergeCell ref="D7:E7"/>
    <mergeCell ref="F7:G7"/>
    <mergeCell ref="B8:C8"/>
    <mergeCell ref="D8:E8"/>
    <mergeCell ref="B18:C18"/>
    <mergeCell ref="D18:E18"/>
    <mergeCell ref="F18:G18"/>
    <mergeCell ref="F15:G15"/>
    <mergeCell ref="H11:I11"/>
    <mergeCell ref="H12:I12"/>
    <mergeCell ref="B12:C12"/>
    <mergeCell ref="D12:E12"/>
    <mergeCell ref="H13:I13"/>
    <mergeCell ref="H15:I15"/>
    <mergeCell ref="B14:C14"/>
    <mergeCell ref="D14:E14"/>
    <mergeCell ref="F14:G14"/>
    <mergeCell ref="B15:C15"/>
    <mergeCell ref="D15:E15"/>
    <mergeCell ref="B16:C16"/>
    <mergeCell ref="D16:E16"/>
    <mergeCell ref="F16:G16"/>
    <mergeCell ref="B17:C17"/>
    <mergeCell ref="D17:E17"/>
    <mergeCell ref="F17:G17"/>
    <mergeCell ref="B20:C20"/>
    <mergeCell ref="B21:C21"/>
    <mergeCell ref="D21:E21"/>
    <mergeCell ref="F21:G21"/>
    <mergeCell ref="B19:C19"/>
    <mergeCell ref="D19:E19"/>
    <mergeCell ref="F19:G19"/>
    <mergeCell ref="H21:I21"/>
    <mergeCell ref="F22:G22"/>
    <mergeCell ref="H22:I22"/>
    <mergeCell ref="D20:E20"/>
    <mergeCell ref="F20:G20"/>
  </mergeCells>
  <dataValidations count="2">
    <dataValidation type="decimal" allowBlank="1" showInputMessage="1" showErrorMessage="1" error="Please enter values between -999999999999999.99 and 999999999999999.99_x000a__x000a__x000a_" sqref="H24:I24" xr:uid="{00000000-0002-0000-0C00-000000000000}">
      <formula1>-999999999999999</formula1>
      <formula2>999999999999999</formula2>
    </dataValidation>
    <dataValidation type="decimal" allowBlank="1" showInputMessage="1" showErrorMessage="1" error="Please enter values between -9999999999999.99 and 9999999999999.99_x000a__x000a__x000a__x000a_" sqref="D6:I22" xr:uid="{00000000-0002-0000-0C00-000001000000}">
      <formula1>-9999999999999.99</formula1>
      <formula2>9999999999999.99</formula2>
    </dataValidation>
  </dataValidations>
  <pageMargins left="0.7" right="0.7" top="0.75" bottom="0.75" header="0.3" footer="0.3"/>
  <pageSetup scale="48"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K5"/>
  <sheetViews>
    <sheetView showGridLines="0" zoomScaleNormal="100" workbookViewId="0">
      <selection activeCell="G11" sqref="G11"/>
    </sheetView>
  </sheetViews>
  <sheetFormatPr defaultRowHeight="14.4" x14ac:dyDescent="0.3"/>
  <cols>
    <col min="1" max="1" width="10.109375" customWidth="1"/>
    <col min="2" max="2" width="24.6640625" customWidth="1"/>
    <col min="3" max="3" width="14.5546875" customWidth="1"/>
    <col min="4" max="5" width="23.33203125" customWidth="1"/>
    <col min="6" max="6" width="23.109375" customWidth="1"/>
    <col min="7" max="7" width="19.109375" customWidth="1"/>
    <col min="8" max="8" width="17.5546875" customWidth="1"/>
    <col min="9" max="9" width="21.88671875" customWidth="1"/>
    <col min="10" max="10" width="73.33203125" style="117" customWidth="1"/>
    <col min="11" max="11" width="17.6640625" bestFit="1" customWidth="1"/>
  </cols>
  <sheetData>
    <row r="1" spans="1:11" ht="29.25" customHeight="1" x14ac:dyDescent="0.3">
      <c r="A1" s="380" t="s">
        <v>62</v>
      </c>
      <c r="B1" s="380"/>
      <c r="C1" s="380"/>
      <c r="D1" s="380"/>
      <c r="E1" s="380"/>
      <c r="F1" s="380"/>
      <c r="G1" s="380"/>
      <c r="H1" s="6"/>
      <c r="I1" s="6"/>
    </row>
    <row r="2" spans="1:11" ht="27.6" x14ac:dyDescent="0.3">
      <c r="A2" s="380"/>
      <c r="B2" s="380"/>
      <c r="C2" s="380"/>
      <c r="D2" s="380"/>
      <c r="E2" s="380"/>
      <c r="F2" s="380"/>
      <c r="G2" s="380"/>
      <c r="H2" s="6"/>
      <c r="I2" s="6"/>
    </row>
    <row r="3" spans="1:11" ht="55.5" customHeight="1" thickBot="1" x14ac:dyDescent="0.35">
      <c r="A3" s="7"/>
      <c r="B3" s="5"/>
      <c r="C3" s="458" t="s">
        <v>592</v>
      </c>
      <c r="D3" s="392"/>
      <c r="E3" s="392"/>
      <c r="F3" s="392"/>
      <c r="G3" s="392"/>
      <c r="H3" s="392"/>
      <c r="I3" s="5"/>
    </row>
    <row r="4" spans="1:11" ht="22.5" customHeight="1" x14ac:dyDescent="0.3">
      <c r="A4" s="10">
        <v>15</v>
      </c>
      <c r="B4" s="395" t="s">
        <v>66</v>
      </c>
      <c r="C4" s="396"/>
      <c r="D4" s="396"/>
      <c r="E4" s="396"/>
      <c r="F4" s="396"/>
      <c r="G4" s="396"/>
      <c r="H4" s="396"/>
      <c r="I4" s="397"/>
      <c r="J4" s="140" t="s">
        <v>152</v>
      </c>
      <c r="K4" s="140" t="s">
        <v>153</v>
      </c>
    </row>
    <row r="5" spans="1:11" ht="58.5" customHeight="1" x14ac:dyDescent="0.3">
      <c r="A5" s="158" t="s">
        <v>6</v>
      </c>
      <c r="B5" s="159" t="s">
        <v>301</v>
      </c>
      <c r="C5" s="394" t="s">
        <v>755</v>
      </c>
      <c r="D5" s="394"/>
      <c r="E5" s="394"/>
      <c r="F5" s="394"/>
      <c r="G5" s="394"/>
      <c r="H5" s="394"/>
      <c r="I5" s="394"/>
      <c r="J5" s="160"/>
      <c r="K5" s="160"/>
    </row>
  </sheetData>
  <sheetProtection algorithmName="SHA-512" hashValue="3cG/QccJQ4T1lT8i8+DxbaSuj5l3tq7GbtRuSn77ZpDGlun68ZiIiLx8z7o6owqfYCp7MltplVjNC+BT8bh2PA==" saltValue="LPNDkyIoCFNYoT0ghOnsQA==" spinCount="100000" sheet="1" objects="1" scenarios="1"/>
  <mergeCells count="4">
    <mergeCell ref="A1:G2"/>
    <mergeCell ref="C3:H3"/>
    <mergeCell ref="B4:I4"/>
    <mergeCell ref="C5:I5"/>
  </mergeCells>
  <pageMargins left="0.7" right="0.7" top="0.75" bottom="0.75" header="0.3" footer="0.3"/>
  <pageSetup scale="50"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4"/>
  <dimension ref="A1:I11"/>
  <sheetViews>
    <sheetView showGridLines="0" topLeftCell="A3" zoomScaleNormal="100" workbookViewId="0">
      <selection activeCell="C11" sqref="C11:G11"/>
    </sheetView>
  </sheetViews>
  <sheetFormatPr defaultRowHeight="14.4" x14ac:dyDescent="0.3"/>
  <cols>
    <col min="1" max="1" width="10.109375" customWidth="1"/>
    <col min="2" max="2" width="23.33203125" customWidth="1"/>
    <col min="3" max="3" width="14.5546875" customWidth="1"/>
    <col min="4" max="4" width="23.109375" hidden="1" customWidth="1"/>
    <col min="5" max="5" width="19.109375" customWidth="1"/>
    <col min="6" max="6" width="17.5546875" customWidth="1"/>
    <col min="7" max="7" width="19.88671875" customWidth="1"/>
    <col min="8" max="8" width="27" customWidth="1"/>
    <col min="9" max="9" width="23.33203125" customWidth="1"/>
  </cols>
  <sheetData>
    <row r="1" spans="1:9" ht="39" customHeight="1" x14ac:dyDescent="0.3">
      <c r="A1" s="6" t="s">
        <v>62</v>
      </c>
      <c r="B1" s="6"/>
      <c r="C1" s="6"/>
      <c r="D1" s="6"/>
      <c r="E1" s="6"/>
      <c r="F1" s="6"/>
      <c r="G1" s="6"/>
    </row>
    <row r="2" spans="1:9" ht="38.25" customHeight="1" x14ac:dyDescent="0.3">
      <c r="A2" s="6"/>
      <c r="B2" s="6"/>
      <c r="C2" s="6"/>
      <c r="D2" s="6"/>
      <c r="E2" s="6"/>
      <c r="F2" s="6"/>
      <c r="G2" s="6"/>
    </row>
    <row r="3" spans="1:9" ht="57" customHeight="1" thickBot="1" x14ac:dyDescent="0.35">
      <c r="A3" s="513" t="s">
        <v>594</v>
      </c>
      <c r="B3" s="513"/>
      <c r="C3" s="513"/>
      <c r="D3" s="513"/>
      <c r="E3" s="513"/>
      <c r="F3" s="513"/>
      <c r="G3" s="8"/>
    </row>
    <row r="4" spans="1:9" ht="26.25" customHeight="1" x14ac:dyDescent="0.3">
      <c r="A4" s="51">
        <v>16</v>
      </c>
      <c r="B4" s="466" t="s">
        <v>121</v>
      </c>
      <c r="C4" s="466"/>
      <c r="D4" s="466"/>
      <c r="E4" s="466"/>
      <c r="F4" s="466"/>
      <c r="G4" s="467"/>
      <c r="H4" s="360" t="s">
        <v>152</v>
      </c>
      <c r="I4" s="360" t="s">
        <v>153</v>
      </c>
    </row>
    <row r="5" spans="1:9" x14ac:dyDescent="0.3">
      <c r="A5" s="49" t="s">
        <v>134</v>
      </c>
      <c r="B5" s="50" t="s">
        <v>24</v>
      </c>
      <c r="C5" s="497" t="s">
        <v>141</v>
      </c>
      <c r="D5" s="497"/>
      <c r="E5" s="497"/>
      <c r="F5" s="497"/>
      <c r="G5" s="515"/>
      <c r="H5" s="360"/>
      <c r="I5" s="360"/>
    </row>
    <row r="6" spans="1:9" x14ac:dyDescent="0.3">
      <c r="A6" s="211" t="s">
        <v>6</v>
      </c>
      <c r="B6" s="212" t="s">
        <v>49</v>
      </c>
      <c r="C6" s="361">
        <v>0</v>
      </c>
      <c r="D6" s="361"/>
      <c r="E6" s="361"/>
      <c r="F6" s="361"/>
      <c r="G6" s="514"/>
      <c r="H6" s="125"/>
      <c r="I6" s="125"/>
    </row>
    <row r="7" spans="1:9" x14ac:dyDescent="0.3">
      <c r="A7" s="211" t="s">
        <v>7</v>
      </c>
      <c r="B7" s="212" t="s">
        <v>120</v>
      </c>
      <c r="C7" s="361">
        <v>0</v>
      </c>
      <c r="D7" s="361"/>
      <c r="E7" s="361"/>
      <c r="F7" s="361"/>
      <c r="G7" s="514"/>
      <c r="H7" s="125"/>
      <c r="I7" s="125"/>
    </row>
    <row r="8" spans="1:9" x14ac:dyDescent="0.3">
      <c r="A8" s="211" t="s">
        <v>8</v>
      </c>
      <c r="B8" s="212" t="s">
        <v>48</v>
      </c>
      <c r="C8" s="361">
        <v>0</v>
      </c>
      <c r="D8" s="361"/>
      <c r="E8" s="361"/>
      <c r="F8" s="361"/>
      <c r="G8" s="514"/>
      <c r="H8" s="125"/>
      <c r="I8" s="125"/>
    </row>
    <row r="9" spans="1:9" x14ac:dyDescent="0.3">
      <c r="A9" s="211" t="s">
        <v>9</v>
      </c>
      <c r="B9" s="212" t="s">
        <v>25</v>
      </c>
      <c r="C9" s="361">
        <v>0</v>
      </c>
      <c r="D9" s="361"/>
      <c r="E9" s="361"/>
      <c r="F9" s="361"/>
      <c r="G9" s="514"/>
      <c r="H9" s="125"/>
      <c r="I9" s="125"/>
    </row>
    <row r="10" spans="1:9" x14ac:dyDescent="0.3">
      <c r="A10" s="211" t="s">
        <v>10</v>
      </c>
      <c r="B10" s="212" t="s">
        <v>26</v>
      </c>
      <c r="C10" s="361">
        <v>0</v>
      </c>
      <c r="D10" s="361"/>
      <c r="E10" s="361"/>
      <c r="F10" s="361"/>
      <c r="G10" s="514"/>
      <c r="H10" s="125"/>
      <c r="I10" s="125"/>
    </row>
    <row r="11" spans="1:9" ht="15" thickBot="1" x14ac:dyDescent="0.35">
      <c r="A11" s="213" t="s">
        <v>11</v>
      </c>
      <c r="B11" s="214" t="s">
        <v>28</v>
      </c>
      <c r="C11" s="361">
        <v>0</v>
      </c>
      <c r="D11" s="361"/>
      <c r="E11" s="361"/>
      <c r="F11" s="361"/>
      <c r="G11" s="514"/>
      <c r="H11" s="125"/>
      <c r="I11" s="125"/>
    </row>
  </sheetData>
  <sheetProtection algorithmName="SHA-512" hashValue="e9R61OALlD9mHir5lyVUDgAT846OvGkxYR8iT//NbB18cl1GQPu67UZYjA+YpnJ43uecVtyOZ8C95YG4eo8X7w==" saltValue="c2jMc/6Ojqg7rcajhfdctQ==" spinCount="100000" sheet="1" objects="1" scenarios="1"/>
  <mergeCells count="11">
    <mergeCell ref="C11:G11"/>
    <mergeCell ref="B4:G4"/>
    <mergeCell ref="C5:G5"/>
    <mergeCell ref="C6:G6"/>
    <mergeCell ref="C7:G7"/>
    <mergeCell ref="C8:G8"/>
    <mergeCell ref="H4:H5"/>
    <mergeCell ref="I4:I5"/>
    <mergeCell ref="A3:F3"/>
    <mergeCell ref="C9:G9"/>
    <mergeCell ref="C10:G10"/>
  </mergeCells>
  <dataValidations count="1">
    <dataValidation type="decimal" allowBlank="1" showInputMessage="1" showErrorMessage="1" error="Please enter values between -9999999999999.99 and 9999999999999.99_x000a__x000a_" sqref="C6:G11" xr:uid="{00000000-0002-0000-0E00-000000000000}">
      <formula1>-9999999999999.99</formula1>
      <formula2>9999999999999.99</formula2>
    </dataValidation>
  </dataValidations>
  <pageMargins left="0.7" right="0.7" top="0.75" bottom="0.75" header="0.3" footer="0.3"/>
  <pageSetup scale="50"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5"/>
  <dimension ref="B1:L52"/>
  <sheetViews>
    <sheetView showGridLines="0" topLeftCell="A12" zoomScale="87" zoomScaleNormal="100" workbookViewId="0">
      <selection activeCell="J16" sqref="J16"/>
    </sheetView>
  </sheetViews>
  <sheetFormatPr defaultRowHeight="14.4" x14ac:dyDescent="0.3"/>
  <cols>
    <col min="1" max="1" width="1.88671875" customWidth="1"/>
    <col min="2" max="2" width="10.109375" customWidth="1"/>
    <col min="3" max="3" width="24.6640625" customWidth="1"/>
    <col min="4" max="4" width="29.33203125" customWidth="1"/>
    <col min="5" max="5" width="37.109375" customWidth="1"/>
    <col min="6" max="6" width="23.33203125" customWidth="1"/>
    <col min="7" max="7" width="40.88671875" customWidth="1"/>
    <col min="8" max="8" width="19.109375" customWidth="1"/>
    <col min="9" max="9" width="17.5546875" customWidth="1"/>
    <col min="10" max="10" width="21.88671875" customWidth="1"/>
    <col min="11" max="11" width="73" customWidth="1"/>
    <col min="12" max="12" width="23.33203125" customWidth="1"/>
  </cols>
  <sheetData>
    <row r="1" spans="2:12" ht="26.25" customHeight="1" x14ac:dyDescent="0.3">
      <c r="B1" s="380" t="s">
        <v>62</v>
      </c>
      <c r="C1" s="380"/>
      <c r="D1" s="380"/>
      <c r="E1" s="380"/>
      <c r="F1" s="380"/>
      <c r="G1" s="380"/>
      <c r="H1" s="380"/>
      <c r="I1" s="6"/>
      <c r="J1" s="6"/>
    </row>
    <row r="2" spans="2:12" ht="16.5" customHeight="1" x14ac:dyDescent="0.3">
      <c r="B2" s="380"/>
      <c r="C2" s="380"/>
      <c r="D2" s="380"/>
      <c r="E2" s="380"/>
      <c r="F2" s="380"/>
      <c r="G2" s="380"/>
      <c r="H2" s="380"/>
      <c r="I2" s="6"/>
      <c r="J2" s="6"/>
    </row>
    <row r="3" spans="2:12" ht="57" customHeight="1" x14ac:dyDescent="0.3">
      <c r="B3" s="7"/>
      <c r="C3" s="8"/>
      <c r="D3" s="525" t="s">
        <v>733</v>
      </c>
      <c r="E3" s="382"/>
      <c r="F3" s="382"/>
      <c r="G3" s="382"/>
      <c r="H3" s="382"/>
      <c r="I3" s="382"/>
      <c r="J3" s="8"/>
    </row>
    <row r="4" spans="2:12" ht="14.25" customHeight="1" x14ac:dyDescent="0.3">
      <c r="B4" s="426" t="s">
        <v>134</v>
      </c>
      <c r="C4" s="442" t="s">
        <v>24</v>
      </c>
      <c r="D4" s="520" t="s">
        <v>138</v>
      </c>
      <c r="E4" s="521"/>
      <c r="F4" s="526" t="s">
        <v>734</v>
      </c>
      <c r="G4" s="527"/>
      <c r="H4" s="527"/>
      <c r="I4" s="527"/>
      <c r="J4" s="528"/>
      <c r="K4" s="360" t="s">
        <v>152</v>
      </c>
      <c r="L4" s="360" t="s">
        <v>153</v>
      </c>
    </row>
    <row r="5" spans="2:12" ht="15" customHeight="1" x14ac:dyDescent="0.3">
      <c r="B5" s="524"/>
      <c r="C5" s="443"/>
      <c r="D5" s="522"/>
      <c r="E5" s="523"/>
      <c r="F5" s="44" t="s">
        <v>49</v>
      </c>
      <c r="G5" s="45" t="s">
        <v>352</v>
      </c>
      <c r="H5" s="529" t="s">
        <v>353</v>
      </c>
      <c r="I5" s="530"/>
      <c r="J5" s="45" t="s">
        <v>25</v>
      </c>
      <c r="K5" s="360"/>
      <c r="L5" s="360"/>
    </row>
    <row r="6" spans="2:12" x14ac:dyDescent="0.3">
      <c r="B6" s="40" t="s">
        <v>6</v>
      </c>
      <c r="C6" s="80" t="s">
        <v>382</v>
      </c>
      <c r="D6" s="361"/>
      <c r="E6" s="362"/>
      <c r="F6" s="259"/>
      <c r="G6" s="259"/>
      <c r="H6" s="361"/>
      <c r="I6" s="362"/>
      <c r="J6" s="259"/>
      <c r="K6" s="125"/>
      <c r="L6" s="428"/>
    </row>
    <row r="7" spans="2:12" x14ac:dyDescent="0.3">
      <c r="B7" s="158" t="s">
        <v>692</v>
      </c>
      <c r="C7" s="184" t="s">
        <v>688</v>
      </c>
      <c r="D7" s="361"/>
      <c r="E7" s="362"/>
      <c r="F7" s="259"/>
      <c r="G7" s="261"/>
      <c r="H7" s="386"/>
      <c r="I7" s="387"/>
      <c r="J7" s="261"/>
      <c r="K7" s="160"/>
      <c r="L7" s="429"/>
    </row>
    <row r="8" spans="2:12" x14ac:dyDescent="0.3">
      <c r="B8" s="40" t="s">
        <v>7</v>
      </c>
      <c r="C8" s="80" t="s">
        <v>381</v>
      </c>
      <c r="D8" s="361"/>
      <c r="E8" s="362"/>
      <c r="F8" s="259"/>
      <c r="G8" s="259"/>
      <c r="H8" s="361"/>
      <c r="I8" s="362"/>
      <c r="J8" s="259"/>
      <c r="K8" s="125"/>
      <c r="L8" s="429"/>
    </row>
    <row r="9" spans="2:12" ht="15" customHeight="1" x14ac:dyDescent="0.3">
      <c r="B9" s="40" t="s">
        <v>8</v>
      </c>
      <c r="C9" s="80" t="s">
        <v>380</v>
      </c>
      <c r="D9" s="361"/>
      <c r="E9" s="362"/>
      <c r="F9" s="259"/>
      <c r="G9" s="259"/>
      <c r="H9" s="361"/>
      <c r="I9" s="362"/>
      <c r="J9" s="259"/>
      <c r="K9" s="125"/>
      <c r="L9" s="429"/>
    </row>
    <row r="10" spans="2:12" x14ac:dyDescent="0.3">
      <c r="B10" s="40" t="s">
        <v>9</v>
      </c>
      <c r="C10" s="80" t="s">
        <v>379</v>
      </c>
      <c r="D10" s="361"/>
      <c r="E10" s="362"/>
      <c r="F10" s="259"/>
      <c r="G10" s="259"/>
      <c r="H10" s="361"/>
      <c r="I10" s="362"/>
      <c r="J10" s="259"/>
      <c r="K10" s="125"/>
      <c r="L10" s="429"/>
    </row>
    <row r="11" spans="2:12" x14ac:dyDescent="0.3">
      <c r="B11" s="158" t="s">
        <v>724</v>
      </c>
      <c r="C11" s="184" t="s">
        <v>746</v>
      </c>
      <c r="D11" s="361"/>
      <c r="E11" s="362"/>
      <c r="F11" s="261"/>
      <c r="G11" s="261"/>
      <c r="H11" s="361"/>
      <c r="I11" s="362"/>
      <c r="J11" s="261"/>
      <c r="K11" s="160"/>
      <c r="L11" s="429"/>
    </row>
    <row r="12" spans="2:12" x14ac:dyDescent="0.3">
      <c r="B12" s="40" t="s">
        <v>10</v>
      </c>
      <c r="C12" s="80" t="s">
        <v>378</v>
      </c>
      <c r="D12" s="361"/>
      <c r="E12" s="362"/>
      <c r="F12" s="259"/>
      <c r="G12" s="259"/>
      <c r="H12" s="361"/>
      <c r="I12" s="362"/>
      <c r="J12" s="259"/>
      <c r="K12" s="125"/>
      <c r="L12" s="429"/>
    </row>
    <row r="13" spans="2:12" x14ac:dyDescent="0.3">
      <c r="B13" s="40" t="s">
        <v>11</v>
      </c>
      <c r="C13" s="80" t="s">
        <v>376</v>
      </c>
      <c r="D13" s="361"/>
      <c r="E13" s="362"/>
      <c r="F13" s="259"/>
      <c r="G13" s="259"/>
      <c r="H13" s="361"/>
      <c r="I13" s="362"/>
      <c r="J13" s="259"/>
      <c r="K13" s="125"/>
      <c r="L13" s="429"/>
    </row>
    <row r="14" spans="2:12" x14ac:dyDescent="0.3">
      <c r="B14" s="40" t="s">
        <v>12</v>
      </c>
      <c r="C14" s="80" t="s">
        <v>377</v>
      </c>
      <c r="D14" s="518"/>
      <c r="E14" s="519"/>
      <c r="F14" s="259"/>
      <c r="G14" s="259"/>
      <c r="H14" s="361"/>
      <c r="I14" s="362"/>
      <c r="J14" s="259"/>
      <c r="K14" s="125"/>
      <c r="L14" s="430"/>
    </row>
    <row r="15" spans="2:12" x14ac:dyDescent="0.3">
      <c r="B15" s="40" t="s">
        <v>693</v>
      </c>
      <c r="C15" s="73" t="s">
        <v>625</v>
      </c>
      <c r="D15" s="361"/>
      <c r="E15" s="362"/>
      <c r="F15" s="259"/>
      <c r="G15" s="259"/>
      <c r="H15" s="361"/>
      <c r="I15" s="362"/>
      <c r="J15" s="259"/>
      <c r="K15" s="125"/>
      <c r="L15" s="147"/>
    </row>
    <row r="16" spans="2:12" ht="79.2" x14ac:dyDescent="0.3">
      <c r="B16" s="158" t="s">
        <v>726</v>
      </c>
      <c r="C16" s="183" t="s">
        <v>712</v>
      </c>
      <c r="D16" s="419"/>
      <c r="E16" s="420"/>
      <c r="F16" s="261"/>
      <c r="G16" s="261"/>
      <c r="H16" s="386"/>
      <c r="I16" s="387"/>
      <c r="J16" s="261"/>
      <c r="K16" s="160"/>
      <c r="L16" s="147"/>
    </row>
    <row r="17" spans="2:12" x14ac:dyDescent="0.3">
      <c r="B17" s="40" t="s">
        <v>14</v>
      </c>
      <c r="C17" s="39" t="s">
        <v>360</v>
      </c>
      <c r="D17" s="361"/>
      <c r="E17" s="362"/>
      <c r="F17" s="259"/>
      <c r="G17" s="259"/>
      <c r="H17" s="361"/>
      <c r="I17" s="362"/>
      <c r="J17" s="259"/>
      <c r="K17" s="125"/>
      <c r="L17" s="125"/>
    </row>
    <row r="18" spans="2:12" ht="15" customHeight="1" x14ac:dyDescent="0.3">
      <c r="B18" s="40" t="s">
        <v>16</v>
      </c>
      <c r="C18" s="9" t="s">
        <v>361</v>
      </c>
      <c r="D18" s="361"/>
      <c r="E18" s="362"/>
      <c r="F18" s="259"/>
      <c r="G18" s="259"/>
      <c r="H18" s="361"/>
      <c r="I18" s="362"/>
      <c r="J18" s="259"/>
      <c r="K18" s="125"/>
      <c r="L18" s="125"/>
    </row>
    <row r="19" spans="2:12" x14ac:dyDescent="0.3">
      <c r="B19" s="40" t="s">
        <v>17</v>
      </c>
      <c r="C19" s="9" t="s">
        <v>366</v>
      </c>
      <c r="D19" s="361"/>
      <c r="E19" s="362"/>
      <c r="F19" s="259"/>
      <c r="G19" s="259"/>
      <c r="H19" s="361"/>
      <c r="I19" s="362"/>
      <c r="J19" s="259"/>
      <c r="K19" s="125"/>
      <c r="L19" s="125"/>
    </row>
    <row r="20" spans="2:12" x14ac:dyDescent="0.3">
      <c r="B20" s="40" t="s">
        <v>18</v>
      </c>
      <c r="C20" s="9" t="s">
        <v>362</v>
      </c>
      <c r="D20" s="361"/>
      <c r="E20" s="362"/>
      <c r="F20" s="259"/>
      <c r="G20" s="259"/>
      <c r="H20" s="361"/>
      <c r="I20" s="362"/>
      <c r="J20" s="259"/>
      <c r="K20" s="125"/>
      <c r="L20" s="125"/>
    </row>
    <row r="21" spans="2:12" ht="39.6" x14ac:dyDescent="0.3">
      <c r="B21" s="40" t="s">
        <v>20</v>
      </c>
      <c r="C21" s="48" t="s">
        <v>363</v>
      </c>
      <c r="D21" s="361"/>
      <c r="E21" s="362"/>
      <c r="F21" s="259"/>
      <c r="G21" s="259"/>
      <c r="H21" s="361"/>
      <c r="I21" s="362"/>
      <c r="J21" s="259"/>
      <c r="K21" s="125"/>
      <c r="L21" s="125"/>
    </row>
    <row r="22" spans="2:12" ht="26.4" x14ac:dyDescent="0.3">
      <c r="B22" s="40" t="s">
        <v>21</v>
      </c>
      <c r="C22" s="9" t="s">
        <v>364</v>
      </c>
      <c r="D22" s="361"/>
      <c r="E22" s="362"/>
      <c r="F22" s="259"/>
      <c r="G22" s="259"/>
      <c r="H22" s="361"/>
      <c r="I22" s="362"/>
      <c r="J22" s="259"/>
      <c r="K22" s="125"/>
      <c r="L22" s="125"/>
    </row>
    <row r="23" spans="2:12" ht="39" customHeight="1" x14ac:dyDescent="0.3">
      <c r="B23" s="40" t="s">
        <v>22</v>
      </c>
      <c r="C23" s="9" t="s">
        <v>365</v>
      </c>
      <c r="D23" s="361"/>
      <c r="E23" s="362"/>
      <c r="F23" s="259"/>
      <c r="G23" s="259"/>
      <c r="H23" s="361"/>
      <c r="I23" s="362"/>
      <c r="J23" s="259"/>
      <c r="K23" s="125"/>
      <c r="L23" s="125"/>
    </row>
    <row r="24" spans="2:12" ht="18.75" hidden="1" customHeight="1" x14ac:dyDescent="0.3">
      <c r="B24" s="40" t="s">
        <v>29</v>
      </c>
      <c r="C24" s="146" t="s">
        <v>393</v>
      </c>
      <c r="D24" s="361"/>
      <c r="E24" s="362"/>
      <c r="F24" s="259"/>
      <c r="G24" s="259"/>
      <c r="H24" s="361"/>
      <c r="I24" s="362"/>
      <c r="J24" s="259"/>
      <c r="K24" s="126"/>
      <c r="L24" s="126"/>
    </row>
    <row r="25" spans="2:12" hidden="1" x14ac:dyDescent="0.3">
      <c r="K25" s="126"/>
      <c r="L25" s="126"/>
    </row>
    <row r="26" spans="2:12" hidden="1" x14ac:dyDescent="0.3">
      <c r="K26" s="126"/>
      <c r="L26" s="126"/>
    </row>
    <row r="27" spans="2:12" hidden="1" x14ac:dyDescent="0.3">
      <c r="B27" s="531" t="s">
        <v>124</v>
      </c>
      <c r="C27" s="531"/>
      <c r="D27" s="531"/>
      <c r="E27" s="531"/>
      <c r="F27" s="531"/>
      <c r="G27" s="531"/>
      <c r="H27" s="531"/>
      <c r="I27" s="531"/>
      <c r="J27" s="531"/>
      <c r="K27" s="126"/>
      <c r="L27" s="126"/>
    </row>
    <row r="28" spans="2:12" hidden="1" x14ac:dyDescent="0.3">
      <c r="K28" s="126"/>
      <c r="L28" s="126"/>
    </row>
    <row r="29" spans="2:12" hidden="1" x14ac:dyDescent="0.3">
      <c r="B29" t="s">
        <v>312</v>
      </c>
      <c r="E29" s="517"/>
      <c r="F29" s="517"/>
      <c r="K29" s="127"/>
      <c r="L29" s="127"/>
    </row>
    <row r="30" spans="2:12" hidden="1" x14ac:dyDescent="0.3">
      <c r="B30" t="s">
        <v>313</v>
      </c>
      <c r="E30" s="517" t="s">
        <v>597</v>
      </c>
      <c r="F30" s="517"/>
      <c r="K30" s="127"/>
      <c r="L30" s="127"/>
    </row>
    <row r="31" spans="2:12" hidden="1" x14ac:dyDescent="0.3">
      <c r="B31" t="s">
        <v>314</v>
      </c>
      <c r="E31" s="517"/>
      <c r="F31" s="517"/>
      <c r="K31" s="127"/>
      <c r="L31" s="127"/>
    </row>
    <row r="32" spans="2:12" hidden="1" x14ac:dyDescent="0.3">
      <c r="B32" t="s">
        <v>315</v>
      </c>
      <c r="E32" s="517"/>
      <c r="F32" s="517"/>
      <c r="K32" s="127"/>
      <c r="L32" s="127"/>
    </row>
    <row r="33" spans="2:12" hidden="1" x14ac:dyDescent="0.3">
      <c r="B33" t="s">
        <v>316</v>
      </c>
      <c r="D33" s="106" t="s">
        <v>317</v>
      </c>
      <c r="E33" s="208"/>
      <c r="F33" s="106" t="s">
        <v>148</v>
      </c>
      <c r="G33" s="208"/>
      <c r="K33" s="127"/>
      <c r="L33" s="127"/>
    </row>
    <row r="34" spans="2:12" hidden="1" x14ac:dyDescent="0.3">
      <c r="D34" s="106" t="s">
        <v>151</v>
      </c>
      <c r="E34" s="208"/>
      <c r="F34" s="106" t="s">
        <v>318</v>
      </c>
      <c r="G34" s="208"/>
      <c r="K34" s="127"/>
      <c r="L34" s="127"/>
    </row>
    <row r="35" spans="2:12" hidden="1" x14ac:dyDescent="0.3">
      <c r="D35" s="106" t="s">
        <v>319</v>
      </c>
      <c r="E35" s="208"/>
      <c r="F35" s="106" t="s">
        <v>320</v>
      </c>
      <c r="G35" s="208"/>
      <c r="K35" s="127"/>
      <c r="L35" s="127"/>
    </row>
    <row r="36" spans="2:12" hidden="1" x14ac:dyDescent="0.3">
      <c r="D36" s="106" t="s">
        <v>321</v>
      </c>
      <c r="E36" s="249"/>
      <c r="F36" s="106" t="s">
        <v>322</v>
      </c>
      <c r="G36" s="201"/>
      <c r="K36" s="128"/>
      <c r="L36" s="128"/>
    </row>
    <row r="37" spans="2:12" hidden="1" x14ac:dyDescent="0.3">
      <c r="K37" s="128"/>
      <c r="L37" s="128"/>
    </row>
    <row r="38" spans="2:12" ht="14.1" hidden="1" customHeight="1" x14ac:dyDescent="0.3">
      <c r="B38" s="516" t="s">
        <v>341</v>
      </c>
      <c r="C38" s="516"/>
      <c r="E38" s="517"/>
      <c r="F38" s="517"/>
      <c r="K38" s="128"/>
      <c r="L38" s="128"/>
    </row>
    <row r="39" spans="2:12" hidden="1" x14ac:dyDescent="0.3">
      <c r="K39" s="117"/>
      <c r="L39" s="117"/>
    </row>
    <row r="40" spans="2:12" x14ac:dyDescent="0.3">
      <c r="K40" s="117"/>
      <c r="L40" s="117"/>
    </row>
    <row r="41" spans="2:12" x14ac:dyDescent="0.3">
      <c r="K41" s="117"/>
      <c r="L41" s="117"/>
    </row>
    <row r="42" spans="2:12" x14ac:dyDescent="0.3">
      <c r="K42" s="117"/>
      <c r="L42" s="117"/>
    </row>
    <row r="43" spans="2:12" x14ac:dyDescent="0.3">
      <c r="K43" s="117"/>
      <c r="L43" s="117"/>
    </row>
    <row r="44" spans="2:12" x14ac:dyDescent="0.3">
      <c r="K44" s="117"/>
      <c r="L44" s="117"/>
    </row>
    <row r="45" spans="2:12" x14ac:dyDescent="0.3">
      <c r="K45" s="117"/>
      <c r="L45" s="117"/>
    </row>
    <row r="46" spans="2:12" x14ac:dyDescent="0.3">
      <c r="K46" s="117"/>
      <c r="L46" s="117"/>
    </row>
    <row r="47" spans="2:12" x14ac:dyDescent="0.3">
      <c r="K47" s="117"/>
      <c r="L47" s="117"/>
    </row>
    <row r="48" spans="2:12" x14ac:dyDescent="0.3">
      <c r="L48" s="117"/>
    </row>
    <row r="49" spans="12:12" x14ac:dyDescent="0.3">
      <c r="L49" s="117"/>
    </row>
    <row r="50" spans="12:12" x14ac:dyDescent="0.3">
      <c r="L50" s="117"/>
    </row>
    <row r="51" spans="12:12" x14ac:dyDescent="0.3">
      <c r="L51" s="117"/>
    </row>
    <row r="52" spans="12:12" x14ac:dyDescent="0.3">
      <c r="L52" s="117"/>
    </row>
  </sheetData>
  <sheetProtection algorithmName="SHA-512" hashValue="TlUcZ9a1Fh4K2MZMTahI/kxGyf3MyaXlIMRn+2oZZnxboLyLpRGyII7QzVmKljmFltzkW9j/5wYnQ2ENKJ2ljA==" saltValue="4/xseAk6cEpp+2tj6+rVeQ==" spinCount="100000" sheet="1" objects="1" scenarios="1"/>
  <mergeCells count="55">
    <mergeCell ref="E32:F32"/>
    <mergeCell ref="D17:E17"/>
    <mergeCell ref="D24:E24"/>
    <mergeCell ref="D20:E20"/>
    <mergeCell ref="D19:E19"/>
    <mergeCell ref="D18:E18"/>
    <mergeCell ref="D23:E23"/>
    <mergeCell ref="B27:J27"/>
    <mergeCell ref="E29:F29"/>
    <mergeCell ref="E30:F30"/>
    <mergeCell ref="E31:F31"/>
    <mergeCell ref="H19:I19"/>
    <mergeCell ref="H20:I20"/>
    <mergeCell ref="H24:I24"/>
    <mergeCell ref="H23:I23"/>
    <mergeCell ref="H21:I21"/>
    <mergeCell ref="B1:H2"/>
    <mergeCell ref="D4:E5"/>
    <mergeCell ref="C4:C5"/>
    <mergeCell ref="B4:B5"/>
    <mergeCell ref="D13:E13"/>
    <mergeCell ref="H10:I10"/>
    <mergeCell ref="D12:E12"/>
    <mergeCell ref="H12:I12"/>
    <mergeCell ref="D3:I3"/>
    <mergeCell ref="F4:J4"/>
    <mergeCell ref="D8:E8"/>
    <mergeCell ref="H8:I8"/>
    <mergeCell ref="H5:I5"/>
    <mergeCell ref="H22:I22"/>
    <mergeCell ref="H9:I9"/>
    <mergeCell ref="D10:E10"/>
    <mergeCell ref="D21:E21"/>
    <mergeCell ref="H13:I13"/>
    <mergeCell ref="H18:I18"/>
    <mergeCell ref="D9:E9"/>
    <mergeCell ref="D16:E16"/>
    <mergeCell ref="H16:I16"/>
    <mergeCell ref="D14:E14"/>
    <mergeCell ref="B38:C38"/>
    <mergeCell ref="E38:F38"/>
    <mergeCell ref="K4:K5"/>
    <mergeCell ref="L4:L5"/>
    <mergeCell ref="D6:E6"/>
    <mergeCell ref="H6:I6"/>
    <mergeCell ref="H17:I17"/>
    <mergeCell ref="H15:I15"/>
    <mergeCell ref="D7:E7"/>
    <mergeCell ref="H7:I7"/>
    <mergeCell ref="D11:E11"/>
    <mergeCell ref="H11:I11"/>
    <mergeCell ref="L6:L14"/>
    <mergeCell ref="D22:E22"/>
    <mergeCell ref="D15:E15"/>
    <mergeCell ref="H14:I14"/>
  </mergeCells>
  <dataValidations count="3">
    <dataValidation type="decimal" allowBlank="1" showInputMessage="1" showErrorMessage="1" error="Please enter values between -9999999999999.99 and 9999999999999.99_x000a_" sqref="I6 J6:J24 I17:I24 I8:I15 H6:H15 H17:H24" xr:uid="{00000000-0002-0000-0F00-000000000000}">
      <formula1>-9999999999999.99</formula1>
      <formula2>9999999999999.99</formula2>
    </dataValidation>
    <dataValidation type="decimal" allowBlank="1" showInputMessage="1" showErrorMessage="1" error="Please enter values between -9999999999999.99 and 9999999999999.99_x000a__x000a_" sqref="E6 D6:D12 E17:E24 F6:G24 D15:D24 E15 E8:E12 D13:E13" xr:uid="{00000000-0002-0000-0F00-000001000000}">
      <formula1>-9999999999999.99</formula1>
      <formula2>9999999999999.99</formula2>
    </dataValidation>
    <dataValidation type="decimal" allowBlank="1" showInputMessage="1" showErrorMessage="1" error="Please enter values between -9999999999999.99 and 9999999999999.99" sqref="D14:E14" xr:uid="{8BC56FDE-5E43-41EF-AC22-A86780E2B1F3}">
      <formula1>-9999999999999.99</formula1>
      <formula2>9999999999999.99</formula2>
    </dataValidation>
  </dataValidations>
  <pageMargins left="0.7" right="0.7" top="0.75" bottom="0.75" header="0.3" footer="0.3"/>
  <pageSetup scale="50"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F00-000002000000}">
          <x14:formula1>
            <xm:f>'State dropdown'!$A$1:$A$37</xm:f>
          </x14:formula1>
          <xm:sqref>E36</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6"/>
  <dimension ref="A1:L78"/>
  <sheetViews>
    <sheetView showGridLines="0" topLeftCell="C1" zoomScale="90" zoomScaleNormal="100" workbookViewId="0">
      <selection activeCell="D72" sqref="D72"/>
    </sheetView>
  </sheetViews>
  <sheetFormatPr defaultColWidth="9.109375" defaultRowHeight="14.4" x14ac:dyDescent="0.3"/>
  <cols>
    <col min="1" max="1" width="6.5546875" customWidth="1"/>
    <col min="2" max="2" width="4.6640625" customWidth="1"/>
    <col min="3" max="3" width="29" customWidth="1"/>
    <col min="4" max="4" width="30.6640625" customWidth="1"/>
    <col min="5" max="5" width="36.5546875" customWidth="1"/>
    <col min="6" max="6" width="29.88671875" customWidth="1"/>
    <col min="7" max="7" width="50" customWidth="1"/>
    <col min="8" max="8" width="22.44140625" customWidth="1"/>
    <col min="9" max="9" width="24.5546875" customWidth="1"/>
    <col min="10" max="10" width="9.109375" customWidth="1"/>
    <col min="11" max="11" width="74.6640625" style="117" customWidth="1"/>
    <col min="12" max="12" width="28.6640625" customWidth="1"/>
  </cols>
  <sheetData>
    <row r="1" spans="1:12" ht="26.25" customHeight="1" x14ac:dyDescent="0.3">
      <c r="A1" s="137" t="s">
        <v>62</v>
      </c>
      <c r="B1" s="137"/>
      <c r="C1" s="137"/>
      <c r="D1" s="137"/>
      <c r="E1" s="137"/>
      <c r="F1" s="137"/>
      <c r="G1" s="137"/>
      <c r="H1" s="6"/>
      <c r="I1" s="6"/>
      <c r="J1" s="6"/>
    </row>
    <row r="2" spans="1:12" ht="16.5" customHeight="1" thickBot="1" x14ac:dyDescent="0.35">
      <c r="A2" s="138"/>
      <c r="B2" s="138"/>
      <c r="C2" s="138"/>
      <c r="D2" s="138"/>
      <c r="E2" s="138"/>
      <c r="F2" s="138"/>
      <c r="G2" s="138"/>
      <c r="H2" s="6"/>
      <c r="I2" s="6"/>
      <c r="J2" s="6"/>
    </row>
    <row r="3" spans="1:12" ht="57" customHeight="1" thickBot="1" x14ac:dyDescent="0.35">
      <c r="A3" s="34"/>
      <c r="B3" s="35"/>
      <c r="C3" s="542" t="s">
        <v>596</v>
      </c>
      <c r="D3" s="542"/>
      <c r="E3" s="542"/>
      <c r="F3" s="542"/>
      <c r="G3" s="543"/>
      <c r="H3" s="542"/>
      <c r="I3" s="35"/>
      <c r="J3" s="36"/>
    </row>
    <row r="4" spans="1:12" ht="25.5" customHeight="1" x14ac:dyDescent="0.3">
      <c r="A4" s="19"/>
      <c r="B4" s="33"/>
      <c r="C4" s="20"/>
      <c r="D4" s="20"/>
      <c r="E4" s="20"/>
      <c r="F4" s="20"/>
      <c r="G4" s="20"/>
      <c r="H4" s="20"/>
      <c r="I4" s="20"/>
      <c r="J4" s="20"/>
      <c r="K4" s="140" t="s">
        <v>152</v>
      </c>
      <c r="L4" s="140" t="s">
        <v>153</v>
      </c>
    </row>
    <row r="5" spans="1:12" x14ac:dyDescent="0.3">
      <c r="A5" s="37">
        <v>1</v>
      </c>
      <c r="B5" s="215" t="s">
        <v>16</v>
      </c>
      <c r="C5" s="216" t="s">
        <v>82</v>
      </c>
      <c r="J5" s="217"/>
      <c r="K5" s="120"/>
      <c r="L5" s="544"/>
    </row>
    <row r="6" spans="1:12" x14ac:dyDescent="0.3">
      <c r="A6" s="31"/>
      <c r="B6" s="216"/>
      <c r="J6" s="217"/>
      <c r="K6" s="136"/>
      <c r="L6" s="545"/>
    </row>
    <row r="7" spans="1:12" x14ac:dyDescent="0.3">
      <c r="A7" s="31"/>
      <c r="C7" s="216" t="s">
        <v>323</v>
      </c>
      <c r="D7" s="218" t="s">
        <v>597</v>
      </c>
      <c r="J7" s="217"/>
      <c r="K7" s="136"/>
      <c r="L7" s="545"/>
    </row>
    <row r="8" spans="1:12" x14ac:dyDescent="0.3">
      <c r="A8" s="31"/>
      <c r="B8" s="216"/>
      <c r="D8" s="219"/>
      <c r="J8" s="217"/>
      <c r="K8" s="136"/>
      <c r="L8" s="545"/>
    </row>
    <row r="9" spans="1:12" x14ac:dyDescent="0.3">
      <c r="A9" s="31"/>
      <c r="C9" s="216" t="s">
        <v>324</v>
      </c>
      <c r="D9" s="220" t="s">
        <v>527</v>
      </c>
      <c r="J9" s="217"/>
      <c r="K9" s="136"/>
      <c r="L9" s="545"/>
    </row>
    <row r="10" spans="1:12" x14ac:dyDescent="0.3">
      <c r="A10" s="31"/>
      <c r="C10" s="216" t="s">
        <v>325</v>
      </c>
      <c r="D10" s="218" t="s">
        <v>597</v>
      </c>
      <c r="J10" s="217"/>
      <c r="K10" s="136"/>
      <c r="L10" s="545"/>
    </row>
    <row r="11" spans="1:12" x14ac:dyDescent="0.3">
      <c r="A11" s="31"/>
      <c r="C11" s="216" t="s">
        <v>326</v>
      </c>
      <c r="D11" s="218" t="s">
        <v>597</v>
      </c>
      <c r="J11" s="217"/>
      <c r="K11" s="136"/>
      <c r="L11" s="545"/>
    </row>
    <row r="12" spans="1:12" x14ac:dyDescent="0.3">
      <c r="A12" s="31"/>
      <c r="C12" s="216"/>
      <c r="J12" s="217"/>
      <c r="K12" s="136"/>
      <c r="L12" s="545"/>
    </row>
    <row r="13" spans="1:12" x14ac:dyDescent="0.3">
      <c r="A13" s="31"/>
      <c r="C13" s="216" t="s">
        <v>72</v>
      </c>
      <c r="J13" s="217"/>
      <c r="K13" s="136"/>
      <c r="L13" s="545"/>
    </row>
    <row r="14" spans="1:12" x14ac:dyDescent="0.3">
      <c r="A14" s="31"/>
      <c r="C14" s="216" t="s">
        <v>606</v>
      </c>
      <c r="D14" s="218" t="s">
        <v>597</v>
      </c>
      <c r="E14" s="219"/>
      <c r="F14" s="219"/>
      <c r="J14" s="217"/>
      <c r="K14" s="136"/>
      <c r="L14" s="545"/>
    </row>
    <row r="15" spans="1:12" x14ac:dyDescent="0.3">
      <c r="A15" s="31"/>
      <c r="C15" s="216" t="s">
        <v>563</v>
      </c>
      <c r="D15" s="218" t="s">
        <v>597</v>
      </c>
      <c r="E15" s="219"/>
      <c r="F15" s="219"/>
      <c r="J15" s="217"/>
      <c r="K15" s="136"/>
      <c r="L15" s="545"/>
    </row>
    <row r="16" spans="1:12" x14ac:dyDescent="0.3">
      <c r="A16" s="31"/>
      <c r="B16" s="216"/>
      <c r="D16" s="219"/>
      <c r="E16" s="219"/>
      <c r="F16" s="219"/>
      <c r="J16" s="217"/>
      <c r="K16" s="136"/>
      <c r="L16" s="545"/>
    </row>
    <row r="17" spans="1:12" x14ac:dyDescent="0.3">
      <c r="A17" s="31"/>
      <c r="B17" s="216" t="s">
        <v>73</v>
      </c>
      <c r="D17" s="219"/>
      <c r="E17" s="219"/>
      <c r="F17" s="219"/>
      <c r="J17" s="217"/>
      <c r="K17" s="136"/>
      <c r="L17" s="545"/>
    </row>
    <row r="18" spans="1:12" x14ac:dyDescent="0.3">
      <c r="A18" s="31"/>
      <c r="B18" s="221"/>
      <c r="D18" s="219"/>
      <c r="E18" s="219"/>
      <c r="F18" s="219"/>
      <c r="J18" s="217"/>
      <c r="K18" s="136"/>
      <c r="L18" s="545"/>
    </row>
    <row r="19" spans="1:12" x14ac:dyDescent="0.3">
      <c r="A19" s="31"/>
      <c r="C19" s="216" t="s">
        <v>327</v>
      </c>
      <c r="D19" s="222" t="s">
        <v>83</v>
      </c>
      <c r="E19" s="223"/>
      <c r="F19" s="224"/>
      <c r="J19" s="217"/>
      <c r="K19" s="136"/>
      <c r="L19" s="545"/>
    </row>
    <row r="20" spans="1:12" x14ac:dyDescent="0.3">
      <c r="A20" s="31"/>
      <c r="B20" s="221"/>
      <c r="D20" s="219"/>
      <c r="E20" s="219"/>
      <c r="F20" s="219"/>
      <c r="J20" s="217"/>
      <c r="K20" s="136"/>
      <c r="L20" s="545"/>
    </row>
    <row r="21" spans="1:12" x14ac:dyDescent="0.3">
      <c r="A21" s="31"/>
      <c r="B21" s="216"/>
      <c r="C21" t="s">
        <v>328</v>
      </c>
      <c r="D21" s="225" t="s">
        <v>421</v>
      </c>
      <c r="E21" s="223"/>
      <c r="F21" s="225" t="s">
        <v>148</v>
      </c>
      <c r="G21" s="223"/>
      <c r="J21" s="217"/>
      <c r="K21" s="136"/>
      <c r="L21" s="545"/>
    </row>
    <row r="22" spans="1:12" x14ac:dyDescent="0.3">
      <c r="A22" s="31"/>
      <c r="B22" s="216"/>
      <c r="D22" s="225" t="s">
        <v>149</v>
      </c>
      <c r="E22" s="223"/>
      <c r="F22" s="225" t="s">
        <v>318</v>
      </c>
      <c r="G22" s="223"/>
      <c r="J22" s="217"/>
      <c r="K22" s="136"/>
      <c r="L22" s="545"/>
    </row>
    <row r="23" spans="1:12" x14ac:dyDescent="0.3">
      <c r="A23" s="31"/>
      <c r="B23" s="216"/>
      <c r="D23" s="225" t="s">
        <v>319</v>
      </c>
      <c r="E23" s="223"/>
      <c r="F23" s="225" t="s">
        <v>320</v>
      </c>
      <c r="G23" s="223"/>
      <c r="J23" s="217"/>
      <c r="K23" s="136"/>
      <c r="L23" s="545"/>
    </row>
    <row r="24" spans="1:12" x14ac:dyDescent="0.3">
      <c r="A24" s="31"/>
      <c r="B24" s="221"/>
      <c r="D24" s="225" t="s">
        <v>321</v>
      </c>
      <c r="E24" s="226"/>
      <c r="F24" s="225" t="s">
        <v>322</v>
      </c>
      <c r="G24" s="227"/>
      <c r="J24" s="217"/>
      <c r="K24" s="136"/>
      <c r="L24" s="545"/>
    </row>
    <row r="25" spans="1:12" x14ac:dyDescent="0.3">
      <c r="A25" s="31"/>
      <c r="B25" s="221"/>
      <c r="D25" s="219"/>
      <c r="E25" s="219"/>
      <c r="F25" s="219"/>
      <c r="J25" s="217"/>
      <c r="K25" s="136"/>
      <c r="L25" s="545"/>
    </row>
    <row r="26" spans="1:12" x14ac:dyDescent="0.3">
      <c r="A26" s="31"/>
      <c r="B26" s="221"/>
      <c r="J26" s="217"/>
      <c r="K26" s="136"/>
      <c r="L26" s="545"/>
    </row>
    <row r="27" spans="1:12" x14ac:dyDescent="0.3">
      <c r="A27" s="31"/>
      <c r="B27" s="216"/>
      <c r="C27" t="s">
        <v>342</v>
      </c>
      <c r="D27" s="547" t="s">
        <v>543</v>
      </c>
      <c r="E27" s="548"/>
      <c r="F27" s="549"/>
      <c r="J27" s="217"/>
      <c r="K27" s="136"/>
      <c r="L27" s="545"/>
    </row>
    <row r="28" spans="1:12" x14ac:dyDescent="0.3">
      <c r="A28" s="31"/>
      <c r="B28" s="221"/>
      <c r="D28" s="219"/>
      <c r="E28" s="219"/>
      <c r="F28" s="219"/>
      <c r="J28" s="217"/>
      <c r="K28" s="136"/>
      <c r="L28" s="545"/>
    </row>
    <row r="29" spans="1:12" x14ac:dyDescent="0.3">
      <c r="A29" s="31"/>
      <c r="B29" s="216"/>
      <c r="C29" s="216" t="s">
        <v>329</v>
      </c>
      <c r="D29" s="228" t="s">
        <v>330</v>
      </c>
      <c r="E29" s="223"/>
      <c r="F29" s="228" t="s">
        <v>148</v>
      </c>
      <c r="G29" s="223"/>
      <c r="J29" s="217"/>
      <c r="K29" s="136"/>
      <c r="L29" s="545"/>
    </row>
    <row r="30" spans="1:12" x14ac:dyDescent="0.3">
      <c r="A30" s="31"/>
      <c r="B30" s="216"/>
      <c r="C30" s="216"/>
      <c r="D30" s="228" t="s">
        <v>151</v>
      </c>
      <c r="E30" s="223"/>
      <c r="F30" s="228" t="s">
        <v>318</v>
      </c>
      <c r="G30" s="223"/>
      <c r="J30" s="217"/>
      <c r="K30" s="136"/>
      <c r="L30" s="545"/>
    </row>
    <row r="31" spans="1:12" x14ac:dyDescent="0.3">
      <c r="A31" s="31"/>
      <c r="B31" s="216"/>
      <c r="C31" s="216"/>
      <c r="D31" s="228" t="s">
        <v>319</v>
      </c>
      <c r="E31" s="223"/>
      <c r="F31" s="228" t="s">
        <v>320</v>
      </c>
      <c r="G31" s="223"/>
      <c r="J31" s="217"/>
      <c r="K31" s="136"/>
      <c r="L31" s="545"/>
    </row>
    <row r="32" spans="1:12" x14ac:dyDescent="0.3">
      <c r="A32" s="31"/>
      <c r="B32" s="216"/>
      <c r="D32" s="228" t="s">
        <v>321</v>
      </c>
      <c r="E32" s="226"/>
      <c r="F32" s="228" t="s">
        <v>322</v>
      </c>
      <c r="G32" s="229"/>
      <c r="J32" s="217"/>
      <c r="K32" s="136"/>
      <c r="L32" s="545"/>
    </row>
    <row r="33" spans="1:12" x14ac:dyDescent="0.3">
      <c r="A33" s="31"/>
      <c r="B33" s="216"/>
      <c r="D33" s="219"/>
      <c r="E33" s="219"/>
      <c r="F33" s="219"/>
      <c r="J33" s="217"/>
      <c r="K33" s="136"/>
      <c r="L33" s="545"/>
    </row>
    <row r="34" spans="1:12" x14ac:dyDescent="0.3">
      <c r="A34" s="31"/>
      <c r="B34" s="230"/>
      <c r="C34" t="s">
        <v>84</v>
      </c>
      <c r="D34" s="228" t="s">
        <v>608</v>
      </c>
      <c r="E34" s="223"/>
      <c r="F34" s="228" t="s">
        <v>148</v>
      </c>
      <c r="G34" s="223"/>
      <c r="J34" s="217"/>
      <c r="K34" s="136"/>
      <c r="L34" s="545"/>
    </row>
    <row r="35" spans="1:12" x14ac:dyDescent="0.3">
      <c r="A35" s="31"/>
      <c r="B35" s="230"/>
      <c r="D35" s="228" t="s">
        <v>151</v>
      </c>
      <c r="E35" s="223"/>
      <c r="F35" s="228" t="s">
        <v>611</v>
      </c>
      <c r="G35" s="223"/>
      <c r="J35" s="217"/>
      <c r="K35" s="136"/>
      <c r="L35" s="545"/>
    </row>
    <row r="36" spans="1:12" x14ac:dyDescent="0.3">
      <c r="A36" s="31"/>
      <c r="B36" s="230"/>
      <c r="D36" s="228" t="s">
        <v>609</v>
      </c>
      <c r="E36" s="223"/>
      <c r="F36" s="228" t="s">
        <v>612</v>
      </c>
      <c r="G36" s="223"/>
      <c r="J36" s="217"/>
      <c r="K36" s="136"/>
      <c r="L36" s="545"/>
    </row>
    <row r="37" spans="1:12" x14ac:dyDescent="0.3">
      <c r="A37" s="31"/>
      <c r="D37" s="228" t="s">
        <v>610</v>
      </c>
      <c r="E37" s="226"/>
      <c r="F37" s="228" t="s">
        <v>613</v>
      </c>
      <c r="G37" s="229"/>
      <c r="J37" s="217"/>
      <c r="K37" s="136"/>
      <c r="L37" s="545"/>
    </row>
    <row r="38" spans="1:12" x14ac:dyDescent="0.3">
      <c r="A38" s="31"/>
      <c r="J38" s="217"/>
      <c r="K38" s="136"/>
      <c r="L38" s="545"/>
    </row>
    <row r="39" spans="1:12" x14ac:dyDescent="0.3">
      <c r="A39" s="31"/>
      <c r="J39" s="217"/>
      <c r="K39" s="136"/>
      <c r="L39" s="545"/>
    </row>
    <row r="40" spans="1:12" x14ac:dyDescent="0.3">
      <c r="A40" s="37">
        <v>2</v>
      </c>
      <c r="B40" s="531" t="s">
        <v>85</v>
      </c>
      <c r="C40" s="550"/>
      <c r="D40" s="231" t="str">
        <f>B5</f>
        <v>I</v>
      </c>
      <c r="E40" t="s">
        <v>86</v>
      </c>
      <c r="J40" s="217"/>
      <c r="K40" s="136"/>
      <c r="L40" s="545"/>
    </row>
    <row r="41" spans="1:12" x14ac:dyDescent="0.3">
      <c r="A41" s="31"/>
      <c r="B41" s="551" t="s">
        <v>581</v>
      </c>
      <c r="C41" s="551"/>
      <c r="D41" s="551"/>
      <c r="E41" s="551"/>
      <c r="F41" s="531" t="s">
        <v>108</v>
      </c>
      <c r="G41" s="531"/>
      <c r="H41" s="531"/>
      <c r="I41" s="531"/>
      <c r="J41" s="533"/>
      <c r="K41" s="136"/>
      <c r="L41" s="545"/>
    </row>
    <row r="42" spans="1:12" x14ac:dyDescent="0.3">
      <c r="A42" s="31"/>
      <c r="B42" s="210" t="s">
        <v>94</v>
      </c>
      <c r="C42" s="210"/>
      <c r="D42" s="210"/>
      <c r="J42" s="217"/>
      <c r="K42" s="136"/>
      <c r="L42" s="545"/>
    </row>
    <row r="43" spans="1:12" x14ac:dyDescent="0.3">
      <c r="A43" s="31"/>
      <c r="B43" s="210"/>
      <c r="C43" s="210"/>
      <c r="D43" s="210"/>
      <c r="J43" s="217"/>
      <c r="K43" s="136"/>
      <c r="L43" s="545"/>
    </row>
    <row r="44" spans="1:12" x14ac:dyDescent="0.3">
      <c r="A44" s="38" t="s">
        <v>89</v>
      </c>
      <c r="B44" s="142" t="str">
        <f>B5</f>
        <v>I</v>
      </c>
      <c r="C44" s="536" t="s">
        <v>88</v>
      </c>
      <c r="D44" s="531"/>
      <c r="E44" s="531"/>
      <c r="F44" s="531"/>
      <c r="J44" s="217"/>
      <c r="K44" s="136"/>
      <c r="L44" s="545"/>
    </row>
    <row r="45" spans="1:12" x14ac:dyDescent="0.3">
      <c r="A45" s="32"/>
      <c r="C45" s="232"/>
      <c r="D45" s="232"/>
      <c r="E45" s="232"/>
      <c r="J45" s="217"/>
      <c r="K45" s="136"/>
      <c r="L45" s="545"/>
    </row>
    <row r="46" spans="1:12" x14ac:dyDescent="0.3">
      <c r="A46" s="38" t="s">
        <v>90</v>
      </c>
      <c r="B46" s="233" t="str">
        <f>B5</f>
        <v>I</v>
      </c>
      <c r="C46" s="210" t="s">
        <v>91</v>
      </c>
      <c r="D46" s="210"/>
      <c r="J46" s="217"/>
      <c r="K46" s="136"/>
      <c r="L46" s="545"/>
    </row>
    <row r="47" spans="1:12" x14ac:dyDescent="0.3">
      <c r="A47" s="31"/>
      <c r="B47" t="s">
        <v>92</v>
      </c>
      <c r="C47" s="142" t="str">
        <f>B5</f>
        <v>I</v>
      </c>
      <c r="D47" s="234" t="s">
        <v>599</v>
      </c>
      <c r="E47" s="535" t="s">
        <v>598</v>
      </c>
      <c r="F47" s="541"/>
      <c r="G47" s="142" t="str">
        <f>IF($B5="I","my"," our")</f>
        <v>my</v>
      </c>
      <c r="H47" t="s">
        <v>93</v>
      </c>
      <c r="J47" s="217"/>
      <c r="K47" s="136"/>
      <c r="L47" s="545"/>
    </row>
    <row r="48" spans="1:12" x14ac:dyDescent="0.3">
      <c r="A48" s="31"/>
      <c r="C48" s="531" t="s">
        <v>604</v>
      </c>
      <c r="D48" s="531"/>
      <c r="E48" s="531"/>
      <c r="G48" s="531"/>
      <c r="H48" s="531"/>
      <c r="I48" s="531"/>
      <c r="J48" s="533"/>
      <c r="K48" s="136"/>
      <c r="L48" s="545"/>
    </row>
    <row r="49" spans="1:12" x14ac:dyDescent="0.3">
      <c r="A49" s="31"/>
      <c r="C49" s="531"/>
      <c r="D49" s="531"/>
      <c r="J49" s="217"/>
      <c r="K49" s="136"/>
      <c r="L49" s="545"/>
    </row>
    <row r="50" spans="1:12" ht="15" customHeight="1" x14ac:dyDescent="0.3">
      <c r="A50" s="31"/>
      <c r="B50" t="s">
        <v>95</v>
      </c>
      <c r="C50" t="s">
        <v>96</v>
      </c>
      <c r="D50" s="142" t="str">
        <f>IF($B5="I","my"," our")</f>
        <v>my</v>
      </c>
      <c r="E50" s="534" t="s">
        <v>349</v>
      </c>
      <c r="F50" s="535"/>
      <c r="G50" s="235" t="s">
        <v>587</v>
      </c>
      <c r="H50" s="531" t="s">
        <v>350</v>
      </c>
      <c r="I50" s="550"/>
      <c r="J50" s="142" t="str">
        <f>IF($B5="I","my"," our")</f>
        <v>my</v>
      </c>
      <c r="K50" s="136"/>
      <c r="L50" s="545"/>
    </row>
    <row r="51" spans="1:12" ht="15" customHeight="1" x14ac:dyDescent="0.3">
      <c r="A51" s="31"/>
      <c r="C51" t="s">
        <v>97</v>
      </c>
      <c r="E51" s="236"/>
      <c r="F51" s="236"/>
      <c r="G51" s="236"/>
      <c r="H51" s="236"/>
      <c r="I51" s="236"/>
      <c r="J51" s="217"/>
      <c r="K51" s="136"/>
      <c r="L51" s="545"/>
    </row>
    <row r="52" spans="1:12" ht="15" customHeight="1" x14ac:dyDescent="0.3">
      <c r="A52" s="31"/>
      <c r="B52" t="s">
        <v>98</v>
      </c>
      <c r="C52" s="142" t="str">
        <f>B5</f>
        <v>I</v>
      </c>
      <c r="D52" s="534" t="s">
        <v>99</v>
      </c>
      <c r="E52" s="535"/>
      <c r="F52" s="237" t="str">
        <f>D9</f>
        <v>profit and loss account</v>
      </c>
      <c r="G52" s="535" t="s">
        <v>100</v>
      </c>
      <c r="H52" s="535"/>
      <c r="I52" s="538" t="s">
        <v>580</v>
      </c>
      <c r="J52" s="539"/>
      <c r="K52" s="136"/>
      <c r="L52" s="545"/>
    </row>
    <row r="53" spans="1:12" ht="15" customHeight="1" x14ac:dyDescent="0.3">
      <c r="A53" s="31"/>
      <c r="C53" s="531" t="s">
        <v>101</v>
      </c>
      <c r="D53" s="531"/>
      <c r="E53" s="531"/>
      <c r="F53" s="540" t="str">
        <f>CONCATENATE(E29,", ",G29,", ",E30,", ",G30,", ",E31,", ",G31,", ",E32,", ",G32)</f>
        <v xml:space="preserve">, , , , , , , </v>
      </c>
      <c r="G53" s="540"/>
      <c r="H53" s="540"/>
      <c r="I53" s="238" t="s">
        <v>102</v>
      </c>
      <c r="K53" s="136"/>
      <c r="L53" s="545"/>
    </row>
    <row r="54" spans="1:12" ht="15" customHeight="1" x14ac:dyDescent="0.3">
      <c r="A54" s="31"/>
      <c r="C54" s="540" t="str">
        <f>CONCATENATE(E34,", ",G34,", ",E35,", ",G35,", ",E36,", ",G36,", ",E37,", ",G37)</f>
        <v xml:space="preserve">, , , , , , , </v>
      </c>
      <c r="D54" s="540"/>
      <c r="E54" s="540"/>
      <c r="F54" s="534" t="s">
        <v>118</v>
      </c>
      <c r="G54" s="535"/>
      <c r="J54" s="217"/>
      <c r="K54" s="136"/>
      <c r="L54" s="545"/>
    </row>
    <row r="55" spans="1:12" ht="15" customHeight="1" x14ac:dyDescent="0.3">
      <c r="A55" s="31"/>
      <c r="C55" s="210"/>
      <c r="D55" s="210"/>
      <c r="E55" s="210"/>
      <c r="F55" s="236"/>
      <c r="G55" s="236"/>
      <c r="H55" s="236"/>
      <c r="J55" s="217"/>
      <c r="K55" s="136"/>
      <c r="L55" s="545"/>
    </row>
    <row r="56" spans="1:12" ht="15" customHeight="1" x14ac:dyDescent="0.3">
      <c r="A56" s="37">
        <v>4</v>
      </c>
      <c r="B56" s="531" t="s">
        <v>103</v>
      </c>
      <c r="C56" s="531"/>
      <c r="D56" s="531"/>
      <c r="E56" s="531"/>
      <c r="F56" s="531"/>
      <c r="G56" s="531"/>
      <c r="H56" s="531"/>
      <c r="I56" s="531"/>
      <c r="J56" s="533"/>
      <c r="K56" s="136"/>
      <c r="L56" s="545"/>
    </row>
    <row r="57" spans="1:12" ht="15" customHeight="1" x14ac:dyDescent="0.3">
      <c r="A57" s="31"/>
      <c r="B57" s="531" t="s">
        <v>104</v>
      </c>
      <c r="C57" s="531"/>
      <c r="D57" s="210"/>
      <c r="E57" s="210"/>
      <c r="F57" s="236"/>
      <c r="G57" s="236"/>
      <c r="H57" s="236"/>
      <c r="J57" s="217"/>
      <c r="K57" s="136"/>
      <c r="L57" s="545"/>
    </row>
    <row r="58" spans="1:12" ht="15" customHeight="1" x14ac:dyDescent="0.3">
      <c r="A58" s="31"/>
      <c r="C58" s="210"/>
      <c r="D58" s="210"/>
      <c r="E58" s="210"/>
      <c r="F58" s="236"/>
      <c r="G58" s="236"/>
      <c r="H58" s="236"/>
      <c r="J58" s="217"/>
      <c r="K58" s="136"/>
      <c r="L58" s="545"/>
    </row>
    <row r="59" spans="1:12" ht="15" customHeight="1" x14ac:dyDescent="0.3">
      <c r="A59" s="37">
        <v>5</v>
      </c>
      <c r="B59" t="s">
        <v>96</v>
      </c>
      <c r="C59" s="142" t="str">
        <f>IF($B5="I","my"," our")</f>
        <v>my</v>
      </c>
      <c r="D59" t="s">
        <v>105</v>
      </c>
      <c r="E59" s="142" t="str">
        <f>IF($B5="I","my"," our")</f>
        <v>my</v>
      </c>
      <c r="F59" s="534" t="s">
        <v>106</v>
      </c>
      <c r="G59" s="535"/>
      <c r="H59" s="142" t="str">
        <f>IF($B5="I","me"," us")</f>
        <v>me</v>
      </c>
      <c r="I59" s="536" t="s">
        <v>107</v>
      </c>
      <c r="J59" s="533"/>
      <c r="K59" s="136"/>
      <c r="L59" s="545"/>
    </row>
    <row r="60" spans="1:12" ht="15" customHeight="1" x14ac:dyDescent="0.3">
      <c r="A60" s="31"/>
      <c r="B60" s="535" t="s">
        <v>605</v>
      </c>
      <c r="C60" s="535"/>
      <c r="D60" s="535"/>
      <c r="E60" s="535"/>
      <c r="F60" s="535"/>
      <c r="G60" s="236"/>
      <c r="H60" s="236"/>
      <c r="J60" s="217"/>
      <c r="K60" s="136"/>
      <c r="L60" s="545"/>
    </row>
    <row r="61" spans="1:12" ht="15" customHeight="1" x14ac:dyDescent="0.3">
      <c r="A61" s="31"/>
      <c r="B61" s="232"/>
      <c r="C61" s="232"/>
      <c r="D61" s="232"/>
      <c r="E61" s="232"/>
      <c r="F61" s="232"/>
      <c r="G61" s="236"/>
      <c r="H61" s="236"/>
      <c r="J61" s="217"/>
      <c r="K61" s="136"/>
      <c r="L61" s="545"/>
    </row>
    <row r="62" spans="1:12" x14ac:dyDescent="0.3">
      <c r="A62" s="31"/>
      <c r="B62" s="239" t="s">
        <v>81</v>
      </c>
      <c r="J62" s="217"/>
      <c r="K62" s="136"/>
      <c r="L62" s="545"/>
    </row>
    <row r="63" spans="1:12" x14ac:dyDescent="0.3">
      <c r="A63" s="31"/>
      <c r="J63" s="217"/>
      <c r="K63" s="136"/>
      <c r="L63" s="545"/>
    </row>
    <row r="64" spans="1:12" x14ac:dyDescent="0.3">
      <c r="A64" s="31"/>
      <c r="J64" s="217"/>
      <c r="K64" s="136"/>
      <c r="L64" s="545"/>
    </row>
    <row r="65" spans="1:12" x14ac:dyDescent="0.3">
      <c r="A65" s="31"/>
      <c r="B65" s="240" t="s">
        <v>74</v>
      </c>
      <c r="C65" s="537" t="s">
        <v>75</v>
      </c>
      <c r="D65" s="537"/>
      <c r="E65" s="537"/>
      <c r="F65" s="537"/>
      <c r="G65" s="240" t="s">
        <v>76</v>
      </c>
      <c r="J65" s="217"/>
      <c r="K65" s="136"/>
      <c r="L65" s="546"/>
    </row>
    <row r="66" spans="1:12" x14ac:dyDescent="0.3">
      <c r="A66" s="21"/>
      <c r="B66" s="241">
        <v>1</v>
      </c>
      <c r="C66" s="532" t="s">
        <v>77</v>
      </c>
      <c r="D66" s="532"/>
      <c r="E66" s="532"/>
      <c r="F66" s="532"/>
      <c r="G66" s="242"/>
      <c r="H66" s="243"/>
      <c r="I66" s="243"/>
      <c r="J66" s="217"/>
      <c r="K66" s="136"/>
      <c r="L66" s="142"/>
    </row>
    <row r="67" spans="1:12" x14ac:dyDescent="0.3">
      <c r="A67" s="21"/>
      <c r="J67" s="217"/>
      <c r="K67" s="136"/>
      <c r="L67" s="142"/>
    </row>
    <row r="68" spans="1:12" x14ac:dyDescent="0.3">
      <c r="A68" s="21"/>
      <c r="B68" s="239" t="s">
        <v>80</v>
      </c>
      <c r="J68" s="217"/>
      <c r="K68" s="136"/>
      <c r="L68" s="142"/>
    </row>
    <row r="69" spans="1:12" x14ac:dyDescent="0.3">
      <c r="A69" s="21"/>
      <c r="B69" s="239"/>
      <c r="J69" s="217"/>
      <c r="K69" s="136"/>
      <c r="L69" s="142"/>
    </row>
    <row r="70" spans="1:12" x14ac:dyDescent="0.3">
      <c r="A70" s="21"/>
      <c r="B70" t="s">
        <v>312</v>
      </c>
      <c r="D70" s="223"/>
      <c r="J70" s="217"/>
      <c r="K70" s="136"/>
      <c r="L70" s="142"/>
    </row>
    <row r="71" spans="1:12" x14ac:dyDescent="0.3">
      <c r="A71" s="21"/>
      <c r="B71" t="s">
        <v>313</v>
      </c>
      <c r="D71" s="218"/>
      <c r="J71" s="217"/>
      <c r="K71" s="136"/>
      <c r="L71" s="142"/>
    </row>
    <row r="72" spans="1:12" x14ac:dyDescent="0.3">
      <c r="A72" s="21"/>
      <c r="B72" t="s">
        <v>314</v>
      </c>
      <c r="D72" s="223"/>
      <c r="J72" s="217"/>
      <c r="K72" s="136"/>
      <c r="L72" s="142"/>
    </row>
    <row r="73" spans="1:12" x14ac:dyDescent="0.3">
      <c r="A73" s="21"/>
      <c r="B73" t="s">
        <v>315</v>
      </c>
      <c r="D73" s="218" t="s">
        <v>597</v>
      </c>
      <c r="J73" s="217"/>
      <c r="K73" s="136"/>
      <c r="L73" s="142"/>
    </row>
    <row r="74" spans="1:12" x14ac:dyDescent="0.3">
      <c r="A74" s="21"/>
      <c r="B74" t="s">
        <v>316</v>
      </c>
      <c r="D74" s="244" t="s">
        <v>330</v>
      </c>
      <c r="E74" s="223"/>
      <c r="F74" s="228" t="s">
        <v>148</v>
      </c>
      <c r="G74" s="223"/>
      <c r="J74" s="217"/>
      <c r="K74" s="136"/>
      <c r="L74" s="142"/>
    </row>
    <row r="75" spans="1:12" x14ac:dyDescent="0.3">
      <c r="A75" s="21"/>
      <c r="D75" s="228" t="s">
        <v>151</v>
      </c>
      <c r="E75" s="223"/>
      <c r="F75" s="228" t="s">
        <v>318</v>
      </c>
      <c r="G75" s="223"/>
      <c r="J75" s="217"/>
      <c r="K75" s="136"/>
      <c r="L75" s="142"/>
    </row>
    <row r="76" spans="1:12" x14ac:dyDescent="0.3">
      <c r="A76" s="21"/>
      <c r="D76" s="228" t="s">
        <v>319</v>
      </c>
      <c r="E76" s="223"/>
      <c r="F76" s="228" t="s">
        <v>320</v>
      </c>
      <c r="G76" s="223"/>
      <c r="J76" s="217"/>
      <c r="K76" s="136"/>
      <c r="L76" s="142"/>
    </row>
    <row r="77" spans="1:12" x14ac:dyDescent="0.3">
      <c r="A77" s="21"/>
      <c r="D77" s="228" t="s">
        <v>321</v>
      </c>
      <c r="E77" s="226"/>
      <c r="F77" s="228" t="s">
        <v>322</v>
      </c>
      <c r="G77" s="227"/>
      <c r="J77" s="217"/>
      <c r="K77" s="136"/>
      <c r="L77" s="142"/>
    </row>
    <row r="78" spans="1:12" ht="15" thickBot="1" x14ac:dyDescent="0.35">
      <c r="A78" s="22"/>
      <c r="B78" s="23"/>
      <c r="C78" s="23"/>
      <c r="D78" s="23"/>
      <c r="E78" s="23"/>
      <c r="F78" s="23"/>
      <c r="G78" s="23"/>
      <c r="H78" s="23"/>
      <c r="I78" s="23"/>
      <c r="J78" s="24"/>
      <c r="K78" s="136"/>
      <c r="L78" s="142"/>
    </row>
  </sheetData>
  <sheetProtection algorithmName="SHA-512" hashValue="hcQJ+JLQSz6Jw7BUGOLsDS6dIDmLfm4GC7sY76yifoGcSZ0iK8QpJE8C8M8vuO7mEsNm26V64X8LpkqBKNtiWA==" saltValue="DVCOjrmb8REXtSfM1dKljQ==" spinCount="100000" sheet="1" objects="1" scenarios="1"/>
  <mergeCells count="27">
    <mergeCell ref="E47:F47"/>
    <mergeCell ref="C3:H3"/>
    <mergeCell ref="L5:L65"/>
    <mergeCell ref="D27:F27"/>
    <mergeCell ref="B40:C40"/>
    <mergeCell ref="B41:E41"/>
    <mergeCell ref="F41:J41"/>
    <mergeCell ref="C44:F44"/>
    <mergeCell ref="C48:E48"/>
    <mergeCell ref="G48:J48"/>
    <mergeCell ref="B57:C57"/>
    <mergeCell ref="C49:D49"/>
    <mergeCell ref="E50:F50"/>
    <mergeCell ref="H50:I50"/>
    <mergeCell ref="D52:E52"/>
    <mergeCell ref="G52:H52"/>
    <mergeCell ref="I52:J52"/>
    <mergeCell ref="C53:E53"/>
    <mergeCell ref="F53:H53"/>
    <mergeCell ref="C54:E54"/>
    <mergeCell ref="F54:G54"/>
    <mergeCell ref="C66:F66"/>
    <mergeCell ref="B56:J56"/>
    <mergeCell ref="F59:G59"/>
    <mergeCell ref="I59:J59"/>
    <mergeCell ref="B60:F60"/>
    <mergeCell ref="C65:F65"/>
  </mergeCells>
  <dataValidations count="3">
    <dataValidation type="list" allowBlank="1" showInputMessage="1" showErrorMessage="1" sqref="G50" xr:uid="{00000000-0002-0000-1000-000000000000}">
      <formula1>"have been,have not been"</formula1>
    </dataValidation>
    <dataValidation type="list" allowBlank="1" showInputMessage="1" showErrorMessage="1" sqref="B5" xr:uid="{00000000-0002-0000-1000-000001000000}">
      <formula1>"I,We"</formula1>
    </dataValidation>
    <dataValidation type="list" allowBlank="1" showInputMessage="1" showErrorMessage="1" sqref="I52:J52" xr:uid="{00000000-0002-0000-1000-000002000000}">
      <formula1>"in agreement, not in agreement"</formula1>
    </dataValidation>
  </dataValidations>
  <pageMargins left="0.7" right="0.7" top="0.75" bottom="0.75" header="0.3" footer="0.3"/>
  <pageSetup scale="49" orientation="portrait" r:id="rId1"/>
  <drawing r:id="rId2"/>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1000-000003000000}">
          <x14:formula1>
            <xm:f>Master!$A$30:$A$31</xm:f>
          </x14:formula1>
          <xm:sqref>D9</xm:sqref>
        </x14:dataValidation>
        <x14:dataValidation type="list" allowBlank="1" showInputMessage="1" showErrorMessage="1" xr:uid="{00000000-0002-0000-1000-000004000000}">
          <x14:formula1>
            <xm:f>Master!$A$1:$A$2</xm:f>
          </x14:formula1>
          <xm:sqref>B41:E41</xm:sqref>
        </x14:dataValidation>
        <x14:dataValidation type="list" allowBlank="1" showInputMessage="1" showErrorMessage="1" xr:uid="{00000000-0002-0000-1000-000005000000}">
          <x14:formula1>
            <xm:f>'State dropdown'!$A$1:$A$37</xm:f>
          </x14:formula1>
          <xm:sqref>E77 E24 E32 E37</xm:sqref>
        </x14:dataValidation>
        <x14:dataValidation type="list" allowBlank="1" showInputMessage="1" showErrorMessage="1" xr:uid="{00000000-0002-0000-1000-000006000000}">
          <x14:formula1>
            <xm:f>Master!$A$7:$A$9</xm:f>
          </x14:formula1>
          <xm:sqref>C66 D66:F66</xm:sqref>
        </x14:dataValidation>
        <x14:dataValidation type="list" allowBlank="1" showInputMessage="1" showErrorMessage="1" xr:uid="{00000000-0002-0000-1000-000007000000}">
          <x14:formula1>
            <xm:f>Master!$J$32:$J$36</xm:f>
          </x14:formula1>
          <xm:sqref>D47</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1:L79"/>
  <sheetViews>
    <sheetView showGridLines="0" zoomScaleNormal="100" zoomScaleSheetLayoutView="40" zoomScalePageLayoutView="40" workbookViewId="0">
      <selection activeCell="G65" sqref="G65"/>
    </sheetView>
  </sheetViews>
  <sheetFormatPr defaultColWidth="9.109375" defaultRowHeight="14.4" x14ac:dyDescent="0.3"/>
  <cols>
    <col min="1" max="1" width="6.5546875" customWidth="1"/>
    <col min="2" max="2" width="28.33203125" customWidth="1"/>
    <col min="3" max="3" width="29.33203125" customWidth="1"/>
    <col min="4" max="4" width="52.33203125" customWidth="1"/>
    <col min="5" max="5" width="42.33203125" customWidth="1"/>
    <col min="6" max="6" width="49.5546875" customWidth="1"/>
    <col min="7" max="7" width="48.44140625" customWidth="1"/>
    <col min="8" max="8" width="22.44140625" customWidth="1"/>
    <col min="9" max="9" width="16.109375" customWidth="1"/>
    <col min="10" max="10" width="9.109375" customWidth="1"/>
    <col min="11" max="11" width="67.109375" style="116" customWidth="1"/>
    <col min="12" max="12" width="26.6640625" style="116" customWidth="1"/>
  </cols>
  <sheetData>
    <row r="1" spans="1:12" ht="26.25" customHeight="1" x14ac:dyDescent="0.3">
      <c r="A1" s="380" t="s">
        <v>62</v>
      </c>
      <c r="B1" s="380"/>
      <c r="C1" s="380"/>
      <c r="D1" s="380"/>
      <c r="E1" s="380"/>
      <c r="F1" s="380"/>
      <c r="G1" s="380"/>
      <c r="H1" s="6"/>
      <c r="I1" s="6"/>
      <c r="J1" s="6"/>
    </row>
    <row r="2" spans="1:12" ht="16.5" customHeight="1" thickBot="1" x14ac:dyDescent="0.35">
      <c r="A2" s="552"/>
      <c r="B2" s="552"/>
      <c r="C2" s="552"/>
      <c r="D2" s="552"/>
      <c r="E2" s="552"/>
      <c r="F2" s="552"/>
      <c r="G2" s="552"/>
      <c r="H2" s="6"/>
      <c r="I2" s="6"/>
      <c r="J2" s="6"/>
    </row>
    <row r="3" spans="1:12" ht="74.25" customHeight="1" thickBot="1" x14ac:dyDescent="0.35">
      <c r="A3" s="34"/>
      <c r="B3" s="35"/>
      <c r="C3" s="542" t="s">
        <v>595</v>
      </c>
      <c r="D3" s="542"/>
      <c r="E3" s="542"/>
      <c r="F3" s="542"/>
      <c r="G3" s="542"/>
      <c r="H3" s="542"/>
      <c r="I3" s="35"/>
      <c r="J3" s="36"/>
    </row>
    <row r="4" spans="1:12" ht="26.25" customHeight="1" x14ac:dyDescent="0.3">
      <c r="A4" s="19"/>
      <c r="B4" s="33"/>
      <c r="C4" s="20"/>
      <c r="D4" s="20"/>
      <c r="E4" s="20"/>
      <c r="F4" s="20"/>
      <c r="G4" s="20"/>
      <c r="H4" s="20"/>
      <c r="I4" s="20"/>
      <c r="J4" s="20"/>
      <c r="K4" s="124" t="s">
        <v>152</v>
      </c>
      <c r="L4" s="124" t="s">
        <v>153</v>
      </c>
    </row>
    <row r="5" spans="1:12" x14ac:dyDescent="0.3">
      <c r="A5" s="37">
        <v>1</v>
      </c>
      <c r="B5" s="245" t="s">
        <v>16</v>
      </c>
      <c r="C5" s="536" t="s">
        <v>109</v>
      </c>
      <c r="D5" s="531"/>
      <c r="E5" s="531"/>
      <c r="J5" s="217"/>
      <c r="K5" s="118"/>
      <c r="L5" s="555"/>
    </row>
    <row r="6" spans="1:12" x14ac:dyDescent="0.3">
      <c r="A6" s="21"/>
      <c r="B6" s="221"/>
      <c r="J6" s="217"/>
      <c r="K6" s="119"/>
      <c r="L6" s="556"/>
    </row>
    <row r="7" spans="1:12" x14ac:dyDescent="0.3">
      <c r="A7" s="21"/>
      <c r="B7" s="216" t="s">
        <v>327</v>
      </c>
      <c r="C7" s="246" t="s">
        <v>83</v>
      </c>
      <c r="D7" s="247"/>
      <c r="E7" s="224"/>
      <c r="J7" s="217"/>
      <c r="K7" s="119"/>
      <c r="L7" s="556"/>
    </row>
    <row r="8" spans="1:12" x14ac:dyDescent="0.3">
      <c r="A8" s="21"/>
      <c r="C8" s="219"/>
      <c r="D8" s="219"/>
      <c r="E8" s="219"/>
      <c r="J8" s="217"/>
      <c r="K8" s="119"/>
      <c r="L8" s="556"/>
    </row>
    <row r="9" spans="1:12" x14ac:dyDescent="0.3">
      <c r="A9" s="21"/>
      <c r="B9" t="s">
        <v>328</v>
      </c>
      <c r="C9" s="248" t="s">
        <v>330</v>
      </c>
      <c r="D9" s="208"/>
      <c r="E9" s="248" t="s">
        <v>148</v>
      </c>
      <c r="F9" s="208"/>
      <c r="J9" s="217"/>
      <c r="K9" s="119"/>
      <c r="L9" s="556"/>
    </row>
    <row r="10" spans="1:12" x14ac:dyDescent="0.3">
      <c r="A10" s="21"/>
      <c r="C10" s="248" t="s">
        <v>151</v>
      </c>
      <c r="D10" s="208"/>
      <c r="E10" s="248" t="s">
        <v>318</v>
      </c>
      <c r="F10" s="208"/>
      <c r="J10" s="217"/>
      <c r="K10" s="119"/>
      <c r="L10" s="556"/>
    </row>
    <row r="11" spans="1:12" x14ac:dyDescent="0.3">
      <c r="A11" s="21"/>
      <c r="C11" s="248" t="s">
        <v>319</v>
      </c>
      <c r="D11" s="208"/>
      <c r="E11" s="248" t="s">
        <v>320</v>
      </c>
      <c r="F11" s="208"/>
      <c r="J11" s="217"/>
      <c r="K11" s="119"/>
      <c r="L11" s="556"/>
    </row>
    <row r="12" spans="1:12" x14ac:dyDescent="0.3">
      <c r="A12" s="21"/>
      <c r="C12" s="248" t="s">
        <v>321</v>
      </c>
      <c r="D12" s="249"/>
      <c r="E12" s="248" t="s">
        <v>322</v>
      </c>
      <c r="F12" s="201"/>
      <c r="J12" s="217"/>
      <c r="K12" s="119"/>
      <c r="L12" s="556"/>
    </row>
    <row r="13" spans="1:12" x14ac:dyDescent="0.3">
      <c r="A13" s="21"/>
      <c r="B13" s="221"/>
      <c r="J13" s="217"/>
      <c r="K13" s="119"/>
      <c r="L13" s="556"/>
    </row>
    <row r="14" spans="1:12" x14ac:dyDescent="0.3">
      <c r="A14" s="21"/>
      <c r="B14" s="531" t="s">
        <v>110</v>
      </c>
      <c r="C14" s="531"/>
      <c r="J14" s="217"/>
      <c r="K14" s="119"/>
      <c r="L14" s="556"/>
    </row>
    <row r="15" spans="1:12" x14ac:dyDescent="0.3">
      <c r="A15" s="21"/>
      <c r="J15" s="217"/>
      <c r="K15" s="119"/>
      <c r="L15" s="556"/>
    </row>
    <row r="16" spans="1:12" x14ac:dyDescent="0.3">
      <c r="A16" s="21"/>
      <c r="B16" s="216" t="s">
        <v>327</v>
      </c>
      <c r="C16" s="246" t="s">
        <v>83</v>
      </c>
      <c r="D16" s="247"/>
      <c r="E16" s="224"/>
      <c r="J16" s="217"/>
      <c r="K16" s="119"/>
      <c r="L16" s="556"/>
    </row>
    <row r="17" spans="1:12" x14ac:dyDescent="0.3">
      <c r="A17" s="21"/>
      <c r="C17" s="219"/>
      <c r="D17" s="219"/>
      <c r="E17" s="219"/>
      <c r="J17" s="217"/>
      <c r="K17" s="119"/>
      <c r="L17" s="556"/>
    </row>
    <row r="18" spans="1:12" x14ac:dyDescent="0.3">
      <c r="A18" s="21"/>
      <c r="B18" t="s">
        <v>328</v>
      </c>
      <c r="C18" s="248" t="s">
        <v>330</v>
      </c>
      <c r="D18" s="208"/>
      <c r="E18" s="248" t="s">
        <v>148</v>
      </c>
      <c r="F18" s="208"/>
      <c r="J18" s="217"/>
      <c r="K18" s="119"/>
      <c r="L18" s="556"/>
    </row>
    <row r="19" spans="1:12" x14ac:dyDescent="0.3">
      <c r="A19" s="21"/>
      <c r="C19" s="248" t="s">
        <v>151</v>
      </c>
      <c r="D19" s="208"/>
      <c r="E19" s="248" t="s">
        <v>318</v>
      </c>
      <c r="F19" s="208"/>
      <c r="J19" s="217"/>
      <c r="K19" s="119"/>
      <c r="L19" s="556"/>
    </row>
    <row r="20" spans="1:12" x14ac:dyDescent="0.3">
      <c r="A20" s="21"/>
      <c r="C20" s="248" t="s">
        <v>319</v>
      </c>
      <c r="D20" s="208"/>
      <c r="E20" s="248" t="s">
        <v>320</v>
      </c>
      <c r="F20" s="208"/>
      <c r="J20" s="217"/>
      <c r="K20" s="119"/>
      <c r="L20" s="556"/>
    </row>
    <row r="21" spans="1:12" x14ac:dyDescent="0.3">
      <c r="A21" s="21"/>
      <c r="C21" s="248" t="s">
        <v>321</v>
      </c>
      <c r="D21" s="249"/>
      <c r="E21" s="248" t="s">
        <v>322</v>
      </c>
      <c r="F21" s="201"/>
      <c r="J21" s="217"/>
      <c r="K21" s="119"/>
      <c r="L21" s="556"/>
    </row>
    <row r="22" spans="1:12" x14ac:dyDescent="0.3">
      <c r="A22" s="21"/>
      <c r="B22" s="221"/>
      <c r="J22" s="217"/>
      <c r="K22" s="119"/>
      <c r="L22" s="556"/>
    </row>
    <row r="23" spans="1:12" x14ac:dyDescent="0.3">
      <c r="A23" s="21"/>
      <c r="B23" t="s">
        <v>607</v>
      </c>
      <c r="C23" s="234">
        <v>123456</v>
      </c>
      <c r="D23" s="250" t="s">
        <v>614</v>
      </c>
      <c r="E23" s="553"/>
      <c r="F23" s="554"/>
      <c r="G23" s="232" t="s">
        <v>113</v>
      </c>
      <c r="H23" s="251" t="str">
        <f>B5</f>
        <v>I</v>
      </c>
      <c r="J23" s="217"/>
      <c r="K23" s="119"/>
      <c r="L23" s="556"/>
    </row>
    <row r="24" spans="1:12" x14ac:dyDescent="0.3">
      <c r="A24" s="21"/>
      <c r="B24" s="210"/>
      <c r="C24" s="210"/>
      <c r="D24" s="210"/>
      <c r="F24" s="232"/>
      <c r="G24" s="232"/>
      <c r="H24" s="232"/>
      <c r="J24" s="217"/>
      <c r="K24" s="119"/>
      <c r="L24" s="556"/>
    </row>
    <row r="25" spans="1:12" x14ac:dyDescent="0.3">
      <c r="A25" s="21"/>
      <c r="B25" s="531" t="s">
        <v>114</v>
      </c>
      <c r="C25" s="531"/>
      <c r="D25" s="252" t="s">
        <v>597</v>
      </c>
      <c r="E25" t="s">
        <v>115</v>
      </c>
      <c r="F25" s="232"/>
      <c r="G25" s="219"/>
      <c r="J25" s="217"/>
      <c r="K25" s="119"/>
      <c r="L25" s="556"/>
    </row>
    <row r="26" spans="1:12" x14ac:dyDescent="0.3">
      <c r="A26" s="31"/>
      <c r="B26" s="216"/>
      <c r="J26" s="217"/>
      <c r="K26" s="119"/>
      <c r="L26" s="556"/>
    </row>
    <row r="27" spans="1:12" x14ac:dyDescent="0.3">
      <c r="A27" s="31"/>
      <c r="B27" s="216" t="s">
        <v>323</v>
      </c>
      <c r="D27" s="252" t="s">
        <v>597</v>
      </c>
      <c r="J27" s="217"/>
      <c r="K27" s="119"/>
      <c r="L27" s="556"/>
    </row>
    <row r="28" spans="1:12" x14ac:dyDescent="0.3">
      <c r="A28" s="31"/>
      <c r="D28" s="219"/>
      <c r="J28" s="217"/>
      <c r="K28" s="119"/>
      <c r="L28" s="556"/>
    </row>
    <row r="29" spans="1:12" x14ac:dyDescent="0.3">
      <c r="A29" s="31"/>
      <c r="B29" s="216" t="s">
        <v>324</v>
      </c>
      <c r="D29" s="253" t="s">
        <v>527</v>
      </c>
      <c r="J29" s="217"/>
      <c r="K29" s="119"/>
      <c r="L29" s="556"/>
    </row>
    <row r="30" spans="1:12" x14ac:dyDescent="0.3">
      <c r="A30" s="31"/>
      <c r="B30" s="216" t="s">
        <v>325</v>
      </c>
      <c r="D30" s="252" t="s">
        <v>597</v>
      </c>
      <c r="J30" s="217"/>
      <c r="K30" s="119"/>
      <c r="L30" s="556"/>
    </row>
    <row r="31" spans="1:12" x14ac:dyDescent="0.3">
      <c r="A31" s="31"/>
      <c r="B31" s="216" t="s">
        <v>326</v>
      </c>
      <c r="D31" s="252" t="s">
        <v>597</v>
      </c>
      <c r="J31" s="217"/>
      <c r="K31" s="119"/>
      <c r="L31" s="556"/>
    </row>
    <row r="32" spans="1:12" x14ac:dyDescent="0.3">
      <c r="A32" s="31"/>
      <c r="C32" s="216"/>
      <c r="J32" s="217"/>
      <c r="K32" s="119"/>
      <c r="L32" s="556"/>
    </row>
    <row r="33" spans="1:12" x14ac:dyDescent="0.3">
      <c r="A33" s="31"/>
      <c r="B33" s="216" t="s">
        <v>72</v>
      </c>
      <c r="J33" s="217"/>
      <c r="K33" s="119"/>
      <c r="L33" s="556"/>
    </row>
    <row r="34" spans="1:12" x14ac:dyDescent="0.3">
      <c r="A34" s="31"/>
      <c r="B34" s="216" t="s">
        <v>606</v>
      </c>
      <c r="D34" s="252" t="s">
        <v>597</v>
      </c>
      <c r="E34" s="219"/>
      <c r="F34" s="219"/>
      <c r="J34" s="217"/>
      <c r="K34" s="119"/>
      <c r="L34" s="556"/>
    </row>
    <row r="35" spans="1:12" x14ac:dyDescent="0.3">
      <c r="A35" s="31"/>
      <c r="B35" s="216" t="s">
        <v>563</v>
      </c>
      <c r="D35" s="252" t="s">
        <v>597</v>
      </c>
      <c r="E35" s="232" t="s">
        <v>113</v>
      </c>
      <c r="F35" s="219"/>
      <c r="J35" s="217"/>
      <c r="K35" s="119"/>
      <c r="L35" s="556"/>
    </row>
    <row r="36" spans="1:12" x14ac:dyDescent="0.3">
      <c r="A36" s="31"/>
      <c r="D36" s="219"/>
      <c r="E36" s="219"/>
      <c r="F36" s="219"/>
      <c r="J36" s="217"/>
      <c r="K36" s="119"/>
      <c r="L36" s="556"/>
    </row>
    <row r="37" spans="1:12" x14ac:dyDescent="0.3">
      <c r="A37" s="31"/>
      <c r="B37" s="531" t="s">
        <v>116</v>
      </c>
      <c r="C37" s="531"/>
      <c r="D37" s="531"/>
      <c r="E37" s="251" t="str">
        <f>D29</f>
        <v>profit and loss account</v>
      </c>
      <c r="F37" t="s">
        <v>117</v>
      </c>
      <c r="J37" s="217"/>
      <c r="K37" s="119"/>
      <c r="L37" s="556"/>
    </row>
    <row r="38" spans="1:12" x14ac:dyDescent="0.3">
      <c r="A38" s="31"/>
      <c r="J38" s="217"/>
      <c r="K38" s="119"/>
      <c r="L38" s="556"/>
    </row>
    <row r="39" spans="1:12" x14ac:dyDescent="0.3">
      <c r="A39" s="31"/>
      <c r="J39" s="217"/>
      <c r="K39" s="119"/>
      <c r="L39" s="556"/>
    </row>
    <row r="40" spans="1:12" x14ac:dyDescent="0.3">
      <c r="A40" s="37">
        <v>2</v>
      </c>
      <c r="B40" s="558" t="str">
        <f>B5</f>
        <v>I</v>
      </c>
      <c r="C40" s="558"/>
      <c r="D40" s="559" t="s">
        <v>86</v>
      </c>
      <c r="E40" s="560"/>
      <c r="J40" s="217"/>
      <c r="K40" s="119"/>
      <c r="L40" s="556"/>
    </row>
    <row r="41" spans="1:12" x14ac:dyDescent="0.3">
      <c r="A41" s="31"/>
      <c r="B41" s="561" t="s">
        <v>581</v>
      </c>
      <c r="C41" s="562"/>
      <c r="D41" s="562"/>
      <c r="E41" s="563"/>
      <c r="F41" s="531" t="s">
        <v>108</v>
      </c>
      <c r="G41" s="531"/>
      <c r="H41" s="531"/>
      <c r="I41" s="531"/>
      <c r="J41" s="533"/>
      <c r="K41" s="119"/>
      <c r="L41" s="556"/>
    </row>
    <row r="42" spans="1:12" x14ac:dyDescent="0.3">
      <c r="A42" s="31"/>
      <c r="B42" s="210" t="s">
        <v>94</v>
      </c>
      <c r="C42" s="210"/>
      <c r="D42" s="210"/>
      <c r="J42" s="217"/>
      <c r="K42" s="119"/>
      <c r="L42" s="556"/>
    </row>
    <row r="43" spans="1:12" ht="15" customHeight="1" x14ac:dyDescent="0.3">
      <c r="A43" s="31"/>
      <c r="C43" s="210"/>
      <c r="D43" s="210"/>
      <c r="E43" s="210"/>
      <c r="F43" s="236"/>
      <c r="G43" s="236"/>
      <c r="H43" s="236"/>
      <c r="J43" s="217"/>
      <c r="K43" s="119"/>
      <c r="L43" s="556"/>
    </row>
    <row r="44" spans="1:12" ht="15" customHeight="1" x14ac:dyDescent="0.3">
      <c r="A44" s="37">
        <v>3</v>
      </c>
      <c r="B44" s="531" t="s">
        <v>103</v>
      </c>
      <c r="C44" s="531"/>
      <c r="D44" s="531"/>
      <c r="E44" s="531"/>
      <c r="F44" s="531"/>
      <c r="G44" s="531"/>
      <c r="H44" s="531"/>
      <c r="I44" s="531"/>
      <c r="J44" s="533"/>
      <c r="K44" s="119"/>
      <c r="L44" s="556"/>
    </row>
    <row r="45" spans="1:12" ht="15" customHeight="1" x14ac:dyDescent="0.3">
      <c r="A45" s="31"/>
      <c r="B45" s="531" t="s">
        <v>104</v>
      </c>
      <c r="C45" s="531"/>
      <c r="D45" s="210"/>
      <c r="E45" s="210"/>
      <c r="F45" s="236"/>
      <c r="G45" s="236"/>
      <c r="H45" s="236"/>
      <c r="J45" s="217"/>
      <c r="K45" s="119"/>
      <c r="L45" s="556"/>
    </row>
    <row r="46" spans="1:12" ht="15" customHeight="1" x14ac:dyDescent="0.3">
      <c r="A46" s="31"/>
      <c r="C46" s="210"/>
      <c r="D46" s="210"/>
      <c r="E46" s="210"/>
      <c r="F46" s="236"/>
      <c r="G46" s="236"/>
      <c r="H46" s="236"/>
      <c r="J46" s="217"/>
      <c r="K46" s="119"/>
      <c r="L46" s="556"/>
    </row>
    <row r="47" spans="1:12" ht="15" customHeight="1" x14ac:dyDescent="0.3">
      <c r="A47" s="37">
        <v>4</v>
      </c>
      <c r="B47" t="s">
        <v>96</v>
      </c>
      <c r="C47" s="251" t="str">
        <f>IF($B5="I", "my","our")</f>
        <v>my</v>
      </c>
      <c r="D47" t="s">
        <v>105</v>
      </c>
      <c r="E47" s="251" t="str">
        <f>IF($B5="I", "my","our")</f>
        <v>my</v>
      </c>
      <c r="F47" s="534" t="s">
        <v>106</v>
      </c>
      <c r="G47" s="535"/>
      <c r="H47" s="251" t="str">
        <f>IF($B5="I", "my","our")</f>
        <v>my</v>
      </c>
      <c r="I47" s="536" t="s">
        <v>107</v>
      </c>
      <c r="J47" s="533"/>
      <c r="K47" s="119"/>
      <c r="L47" s="556"/>
    </row>
    <row r="48" spans="1:12" ht="15" customHeight="1" x14ac:dyDescent="0.3">
      <c r="A48" s="31"/>
      <c r="B48" s="531" t="s">
        <v>605</v>
      </c>
      <c r="C48" s="531"/>
      <c r="D48" s="531"/>
      <c r="E48" s="531"/>
      <c r="F48" s="531"/>
      <c r="G48" s="236"/>
      <c r="H48" s="236"/>
      <c r="J48" s="217"/>
      <c r="K48" s="119"/>
      <c r="L48" s="556"/>
    </row>
    <row r="49" spans="1:12" ht="15" customHeight="1" x14ac:dyDescent="0.3">
      <c r="A49" s="31"/>
      <c r="B49" s="232"/>
      <c r="C49" s="232"/>
      <c r="D49" s="232"/>
      <c r="E49" s="232"/>
      <c r="F49" s="232"/>
      <c r="G49" s="236"/>
      <c r="H49" s="236"/>
      <c r="J49" s="217"/>
      <c r="K49" s="119"/>
      <c r="L49" s="556"/>
    </row>
    <row r="50" spans="1:12" x14ac:dyDescent="0.3">
      <c r="A50" s="31"/>
      <c r="B50" s="239" t="s">
        <v>81</v>
      </c>
      <c r="J50" s="217"/>
      <c r="K50" s="119"/>
      <c r="L50" s="556"/>
    </row>
    <row r="51" spans="1:12" x14ac:dyDescent="0.3">
      <c r="A51" s="31"/>
      <c r="J51" s="217"/>
      <c r="K51" s="119"/>
      <c r="L51" s="556"/>
    </row>
    <row r="52" spans="1:12" x14ac:dyDescent="0.3">
      <c r="A52" s="31"/>
      <c r="J52" s="217"/>
      <c r="K52" s="119"/>
      <c r="L52" s="556"/>
    </row>
    <row r="53" spans="1:12" x14ac:dyDescent="0.3">
      <c r="A53" s="31"/>
      <c r="B53" s="254" t="s">
        <v>74</v>
      </c>
      <c r="C53" s="564" t="s">
        <v>75</v>
      </c>
      <c r="D53" s="565"/>
      <c r="E53" s="565"/>
      <c r="F53" s="566"/>
      <c r="G53" s="254" t="s">
        <v>76</v>
      </c>
      <c r="J53" s="217"/>
      <c r="K53" s="119"/>
      <c r="L53" s="557"/>
    </row>
    <row r="54" spans="1:12" x14ac:dyDescent="0.3">
      <c r="A54" s="21"/>
      <c r="B54" s="241">
        <v>1</v>
      </c>
      <c r="C54" s="532" t="s">
        <v>77</v>
      </c>
      <c r="D54" s="532"/>
      <c r="E54" s="532"/>
      <c r="F54" s="532"/>
      <c r="G54" s="255"/>
      <c r="H54" s="243"/>
      <c r="I54" s="243"/>
      <c r="J54" s="217"/>
      <c r="K54" s="119"/>
      <c r="L54" s="119"/>
    </row>
    <row r="55" spans="1:12" x14ac:dyDescent="0.3">
      <c r="A55" s="21"/>
      <c r="J55" s="217"/>
      <c r="K55" s="119"/>
      <c r="L55" s="119"/>
    </row>
    <row r="56" spans="1:12" x14ac:dyDescent="0.3">
      <c r="A56" s="21"/>
      <c r="B56" s="239" t="s">
        <v>80</v>
      </c>
      <c r="J56" s="217"/>
      <c r="K56" s="119"/>
      <c r="L56" s="119"/>
    </row>
    <row r="57" spans="1:12" x14ac:dyDescent="0.3">
      <c r="A57" s="21"/>
      <c r="B57" s="239"/>
      <c r="J57" s="217"/>
      <c r="K57" s="119"/>
      <c r="L57" s="119"/>
    </row>
    <row r="58" spans="1:12" x14ac:dyDescent="0.3">
      <c r="A58" s="21"/>
      <c r="B58" t="s">
        <v>312</v>
      </c>
      <c r="D58" s="247"/>
      <c r="J58" s="217"/>
      <c r="K58" s="119"/>
      <c r="L58" s="119"/>
    </row>
    <row r="59" spans="1:12" x14ac:dyDescent="0.3">
      <c r="A59" s="21"/>
      <c r="B59" t="s">
        <v>313</v>
      </c>
      <c r="D59" s="247"/>
      <c r="J59" s="217"/>
      <c r="K59" s="119"/>
      <c r="L59" s="119"/>
    </row>
    <row r="60" spans="1:12" x14ac:dyDescent="0.3">
      <c r="A60" s="21"/>
      <c r="B60" t="s">
        <v>314</v>
      </c>
      <c r="D60" s="247"/>
      <c r="J60" s="217"/>
      <c r="K60" s="119"/>
      <c r="L60" s="119"/>
    </row>
    <row r="61" spans="1:12" x14ac:dyDescent="0.3">
      <c r="A61" s="21"/>
      <c r="B61" t="s">
        <v>315</v>
      </c>
      <c r="D61" s="256" t="s">
        <v>597</v>
      </c>
      <c r="J61" s="217"/>
      <c r="K61" s="119"/>
      <c r="L61" s="119"/>
    </row>
    <row r="62" spans="1:12" x14ac:dyDescent="0.3">
      <c r="A62" s="21"/>
      <c r="B62" t="s">
        <v>316</v>
      </c>
      <c r="D62" s="257" t="s">
        <v>330</v>
      </c>
      <c r="E62" s="208"/>
      <c r="F62" s="248" t="s">
        <v>148</v>
      </c>
      <c r="G62" s="208"/>
      <c r="J62" s="217"/>
      <c r="K62" s="119"/>
      <c r="L62" s="119"/>
    </row>
    <row r="63" spans="1:12" x14ac:dyDescent="0.3">
      <c r="A63" s="21"/>
      <c r="D63" s="248" t="s">
        <v>151</v>
      </c>
      <c r="E63" s="208"/>
      <c r="F63" s="248" t="s">
        <v>318</v>
      </c>
      <c r="G63" s="208"/>
      <c r="J63" s="217"/>
      <c r="K63" s="119"/>
      <c r="L63" s="119"/>
    </row>
    <row r="64" spans="1:12" x14ac:dyDescent="0.3">
      <c r="A64" s="21"/>
      <c r="D64" s="248" t="s">
        <v>319</v>
      </c>
      <c r="E64" s="208"/>
      <c r="F64" s="248" t="s">
        <v>320</v>
      </c>
      <c r="G64" s="208"/>
      <c r="J64" s="217"/>
      <c r="K64" s="119"/>
      <c r="L64" s="119"/>
    </row>
    <row r="65" spans="1:12" x14ac:dyDescent="0.3">
      <c r="A65" s="21"/>
      <c r="D65" s="248" t="s">
        <v>321</v>
      </c>
      <c r="E65" s="249"/>
      <c r="F65" s="248" t="s">
        <v>322</v>
      </c>
      <c r="G65" s="258"/>
      <c r="J65" s="217"/>
      <c r="K65" s="119"/>
      <c r="L65" s="119"/>
    </row>
    <row r="66" spans="1:12" ht="15" thickBot="1" x14ac:dyDescent="0.35">
      <c r="A66" s="22"/>
      <c r="B66" s="23"/>
      <c r="C66" s="23"/>
      <c r="D66" s="23"/>
      <c r="E66" s="23"/>
      <c r="F66" s="23"/>
      <c r="G66" s="23"/>
      <c r="H66" s="23"/>
      <c r="I66" s="23"/>
      <c r="J66" s="24"/>
      <c r="K66" s="121"/>
      <c r="L66" s="123"/>
    </row>
    <row r="67" spans="1:12" x14ac:dyDescent="0.3">
      <c r="K67" s="122"/>
      <c r="L67" s="122"/>
    </row>
    <row r="68" spans="1:12" x14ac:dyDescent="0.3">
      <c r="K68" s="122"/>
      <c r="L68" s="122"/>
    </row>
    <row r="69" spans="1:12" x14ac:dyDescent="0.3">
      <c r="K69" s="122"/>
      <c r="L69" s="122"/>
    </row>
    <row r="70" spans="1:12" x14ac:dyDescent="0.3">
      <c r="K70" s="122"/>
      <c r="L70" s="122"/>
    </row>
    <row r="71" spans="1:12" x14ac:dyDescent="0.3">
      <c r="K71" s="122"/>
      <c r="L71" s="122"/>
    </row>
    <row r="72" spans="1:12" x14ac:dyDescent="0.3">
      <c r="K72" s="122"/>
      <c r="L72" s="122"/>
    </row>
    <row r="73" spans="1:12" x14ac:dyDescent="0.3">
      <c r="K73" s="122"/>
      <c r="L73" s="122"/>
    </row>
    <row r="74" spans="1:12" x14ac:dyDescent="0.3">
      <c r="K74" s="122"/>
      <c r="L74" s="122"/>
    </row>
    <row r="75" spans="1:12" x14ac:dyDescent="0.3">
      <c r="K75" s="122"/>
      <c r="L75" s="122"/>
    </row>
    <row r="76" spans="1:12" x14ac:dyDescent="0.3">
      <c r="K76" s="122"/>
      <c r="L76" s="122"/>
    </row>
    <row r="77" spans="1:12" x14ac:dyDescent="0.3">
      <c r="K77" s="122"/>
      <c r="L77" s="122"/>
    </row>
    <row r="78" spans="1:12" x14ac:dyDescent="0.3">
      <c r="K78" s="122"/>
      <c r="L78" s="122"/>
    </row>
    <row r="79" spans="1:12" x14ac:dyDescent="0.3">
      <c r="K79" s="122"/>
      <c r="L79" s="122"/>
    </row>
  </sheetData>
  <sheetProtection algorithmName="SHA-512" hashValue="pAlUQJMvAe5QannpsHF+ak9kuJYTZNEIsaXINYBAIMQ6H46BtArqH2kHEsYAZ7sZgk+4LF+olsYAN1C+YKJxvw==" saltValue="fmUwk6dWBDvgONTmwT+oIQ==" spinCount="100000" sheet="1" objects="1" scenarios="1"/>
  <mergeCells count="19">
    <mergeCell ref="L5:L53"/>
    <mergeCell ref="F41:J41"/>
    <mergeCell ref="B25:C25"/>
    <mergeCell ref="B37:D37"/>
    <mergeCell ref="B40:C40"/>
    <mergeCell ref="D40:E40"/>
    <mergeCell ref="B41:E41"/>
    <mergeCell ref="B48:F48"/>
    <mergeCell ref="C53:F53"/>
    <mergeCell ref="B44:J44"/>
    <mergeCell ref="B45:C45"/>
    <mergeCell ref="F47:G47"/>
    <mergeCell ref="I47:J47"/>
    <mergeCell ref="C54:F54"/>
    <mergeCell ref="A1:G2"/>
    <mergeCell ref="C3:H3"/>
    <mergeCell ref="C5:E5"/>
    <mergeCell ref="B14:C14"/>
    <mergeCell ref="E23:F23"/>
  </mergeCells>
  <dataValidations count="1">
    <dataValidation type="list" allowBlank="1" showInputMessage="1" showErrorMessage="1" sqref="B5" xr:uid="{00000000-0002-0000-1100-000000000000}">
      <formula1>"I,We"</formula1>
    </dataValidation>
  </dataValidations>
  <pageMargins left="0.7" right="0.7" top="0.75" bottom="0.75" header="0.3" footer="0.3"/>
  <pageSetup scale="29" orientation="portrait" r:id="rId1"/>
  <colBreaks count="1" manualBreakCount="1">
    <brk id="10" max="1048575" man="1"/>
  </colBreaks>
  <drawing r:id="rId2"/>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1100-000001000000}">
          <x14:formula1>
            <xm:f>Master!$A$30:$A$31</xm:f>
          </x14:formula1>
          <xm:sqref>D29</xm:sqref>
        </x14:dataValidation>
        <x14:dataValidation type="list" allowBlank="1" showInputMessage="1" showErrorMessage="1" xr:uid="{00000000-0002-0000-1100-000002000000}">
          <x14:formula1>
            <xm:f>'D:\Users\Administrator\Downloads\[GSTR 9C_Offline utility_071218_v2 (1).xlsm]Master'!#REF!</xm:f>
          </x14:formula1>
          <xm:sqref>F24</xm:sqref>
        </x14:dataValidation>
        <x14:dataValidation type="list" allowBlank="1" showInputMessage="1" showErrorMessage="1" xr:uid="{00000000-0002-0000-1100-000003000000}">
          <x14:formula1>
            <xm:f>'State dropdown'!$A$1:$A$37</xm:f>
          </x14:formula1>
          <xm:sqref>D12 D21 E65</xm:sqref>
        </x14:dataValidation>
        <x14:dataValidation type="list" allowBlank="1" showInputMessage="1" showErrorMessage="1" xr:uid="{00000000-0002-0000-1100-000004000000}">
          <x14:formula1>
            <xm:f>Master!$A$1:$A$2</xm:f>
          </x14:formula1>
          <xm:sqref>B41:E41</xm:sqref>
        </x14:dataValidation>
        <x14:dataValidation type="list" allowBlank="1" showInputMessage="1" showErrorMessage="1" xr:uid="{00000000-0002-0000-1100-000005000000}">
          <x14:formula1>
            <xm:f>Master!$B$7:$B$8</xm:f>
          </x14:formula1>
          <xm:sqref>C54 D54:F54</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5"/>
  <dimension ref="A1:L233"/>
  <sheetViews>
    <sheetView topLeftCell="A159" zoomScaleNormal="100" workbookViewId="0">
      <selection activeCell="A142" sqref="A142"/>
    </sheetView>
  </sheetViews>
  <sheetFormatPr defaultColWidth="9.109375" defaultRowHeight="13.2" x14ac:dyDescent="0.3"/>
  <cols>
    <col min="1" max="1" width="6.88671875" style="64" customWidth="1"/>
    <col min="2" max="2" width="6" style="64" customWidth="1"/>
    <col min="3" max="3" width="9" style="64" customWidth="1"/>
    <col min="4" max="4" width="9.88671875" style="64" customWidth="1"/>
    <col min="5" max="5" width="5.5546875" style="64" customWidth="1"/>
    <col min="6" max="6" width="16.5546875" style="64" customWidth="1"/>
    <col min="7" max="7" width="15.6640625" style="64" customWidth="1"/>
    <col min="8" max="8" width="6.88671875" style="64" customWidth="1"/>
    <col min="9" max="9" width="9.109375" style="64" customWidth="1"/>
    <col min="10" max="10" width="3.44140625" style="64" customWidth="1"/>
    <col min="11" max="11" width="12.33203125" style="64" customWidth="1"/>
    <col min="12" max="12" width="9.88671875" style="64" customWidth="1"/>
    <col min="13" max="16384" width="9.109375" style="64"/>
  </cols>
  <sheetData>
    <row r="1" spans="1:12" x14ac:dyDescent="0.3">
      <c r="D1" s="60"/>
    </row>
    <row r="2" spans="1:12" ht="66.75" customHeight="1" x14ac:dyDescent="0.3">
      <c r="E2" s="631" t="s">
        <v>305</v>
      </c>
      <c r="F2" s="631"/>
      <c r="G2" s="631"/>
    </row>
    <row r="3" spans="1:12" ht="16.5" customHeight="1" x14ac:dyDescent="0.3">
      <c r="A3" s="107" t="s">
        <v>672</v>
      </c>
      <c r="B3" s="585" t="s">
        <v>304</v>
      </c>
      <c r="C3" s="585"/>
      <c r="D3" s="585"/>
      <c r="E3" s="585"/>
      <c r="F3" s="585"/>
      <c r="G3" s="585"/>
      <c r="H3" s="585"/>
      <c r="I3" s="585"/>
      <c r="J3" s="585"/>
      <c r="K3" s="585"/>
      <c r="L3" s="66"/>
    </row>
    <row r="4" spans="1:12" ht="19.5" customHeight="1" x14ac:dyDescent="0.3">
      <c r="A4" s="108">
        <v>1</v>
      </c>
      <c r="B4" s="575" t="s">
        <v>677</v>
      </c>
      <c r="C4" s="576"/>
      <c r="D4" s="576"/>
      <c r="E4" s="576"/>
      <c r="F4" s="577"/>
      <c r="G4" s="580"/>
      <c r="H4" s="576"/>
      <c r="I4" s="576"/>
      <c r="J4" s="576"/>
      <c r="K4" s="577"/>
    </row>
    <row r="5" spans="1:12" ht="16.5" customHeight="1" x14ac:dyDescent="0.25">
      <c r="A5" s="108">
        <v>2</v>
      </c>
      <c r="B5" s="575" t="s">
        <v>154</v>
      </c>
      <c r="C5" s="578"/>
      <c r="D5" s="578"/>
      <c r="E5" s="578"/>
      <c r="F5" s="579"/>
      <c r="G5" s="639"/>
      <c r="H5" s="640"/>
      <c r="I5" s="640"/>
      <c r="J5" s="640"/>
      <c r="K5" s="641"/>
    </row>
    <row r="6" spans="1:12" ht="16.5" customHeight="1" x14ac:dyDescent="0.3">
      <c r="A6" s="110" t="s">
        <v>89</v>
      </c>
      <c r="B6" s="575" t="s">
        <v>155</v>
      </c>
      <c r="C6" s="578"/>
      <c r="D6" s="578"/>
      <c r="E6" s="578"/>
      <c r="F6" s="579"/>
      <c r="G6" s="637"/>
      <c r="H6" s="638"/>
      <c r="I6" s="638"/>
      <c r="J6" s="638"/>
      <c r="K6" s="623"/>
    </row>
    <row r="7" spans="1:12" ht="21" customHeight="1" x14ac:dyDescent="0.3">
      <c r="A7" s="110" t="s">
        <v>90</v>
      </c>
      <c r="B7" s="575" t="s">
        <v>678</v>
      </c>
      <c r="C7" s="576"/>
      <c r="D7" s="576"/>
      <c r="E7" s="576"/>
      <c r="F7" s="577"/>
      <c r="G7" s="575"/>
      <c r="H7" s="578"/>
      <c r="I7" s="578"/>
      <c r="J7" s="578"/>
      <c r="K7" s="579"/>
    </row>
    <row r="8" spans="1:12" ht="23.25" customHeight="1" x14ac:dyDescent="0.3">
      <c r="A8" s="110" t="s">
        <v>535</v>
      </c>
      <c r="B8" s="580" t="s">
        <v>537</v>
      </c>
      <c r="C8" s="576"/>
      <c r="D8" s="576"/>
      <c r="E8" s="576"/>
      <c r="F8" s="577"/>
      <c r="G8" s="575" t="s">
        <v>540</v>
      </c>
      <c r="H8" s="578"/>
      <c r="I8" s="578"/>
      <c r="J8" s="578"/>
      <c r="K8" s="579"/>
    </row>
    <row r="9" spans="1:12" ht="21.75" customHeight="1" x14ac:dyDescent="0.3">
      <c r="A9" s="110" t="s">
        <v>536</v>
      </c>
      <c r="B9" s="634" t="s">
        <v>538</v>
      </c>
      <c r="C9" s="635"/>
      <c r="D9" s="635"/>
      <c r="E9" s="635"/>
      <c r="F9" s="636"/>
      <c r="G9" s="575" t="s">
        <v>540</v>
      </c>
      <c r="H9" s="578"/>
      <c r="I9" s="578"/>
      <c r="J9" s="578"/>
      <c r="K9" s="579"/>
    </row>
    <row r="10" spans="1:12" ht="21.75" customHeight="1" x14ac:dyDescent="0.3">
      <c r="A10" s="108">
        <v>4</v>
      </c>
      <c r="B10" s="575" t="s">
        <v>541</v>
      </c>
      <c r="C10" s="578"/>
      <c r="D10" s="578"/>
      <c r="E10" s="578"/>
      <c r="F10" s="579"/>
      <c r="G10" s="637"/>
      <c r="H10" s="638"/>
      <c r="I10" s="638"/>
      <c r="J10" s="638"/>
      <c r="K10" s="623"/>
    </row>
    <row r="11" spans="1:12" ht="48.75" customHeight="1" x14ac:dyDescent="0.3">
      <c r="A11" s="109" t="s">
        <v>276</v>
      </c>
      <c r="B11" s="637" t="s">
        <v>539</v>
      </c>
      <c r="C11" s="638"/>
      <c r="D11" s="638"/>
      <c r="E11" s="638"/>
      <c r="F11" s="623"/>
      <c r="G11" s="637"/>
      <c r="H11" s="638"/>
      <c r="I11" s="638"/>
      <c r="J11" s="638"/>
      <c r="K11" s="623"/>
    </row>
    <row r="12" spans="1:12" ht="16.5" customHeight="1" x14ac:dyDescent="0.25">
      <c r="A12" s="89"/>
      <c r="B12" s="632"/>
      <c r="C12" s="632"/>
      <c r="D12" s="632"/>
      <c r="E12" s="632"/>
      <c r="F12" s="632"/>
      <c r="G12" s="633" t="s">
        <v>156</v>
      </c>
      <c r="H12" s="633"/>
      <c r="I12" s="633"/>
      <c r="J12" s="633"/>
      <c r="K12" s="633"/>
    </row>
    <row r="13" spans="1:12" ht="33" customHeight="1" x14ac:dyDescent="0.3">
      <c r="A13" s="107" t="s">
        <v>673</v>
      </c>
      <c r="B13" s="618" t="s">
        <v>306</v>
      </c>
      <c r="C13" s="618"/>
      <c r="D13" s="618"/>
      <c r="E13" s="618"/>
      <c r="F13" s="618"/>
      <c r="G13" s="618"/>
      <c r="H13" s="618"/>
      <c r="I13" s="618"/>
      <c r="J13" s="618"/>
      <c r="K13" s="618"/>
    </row>
    <row r="14" spans="1:12" ht="16.5" customHeight="1" x14ac:dyDescent="0.3">
      <c r="A14" s="109">
        <v>5</v>
      </c>
      <c r="B14" s="620" t="s">
        <v>157</v>
      </c>
      <c r="C14" s="620"/>
      <c r="D14" s="620"/>
      <c r="E14" s="620"/>
      <c r="F14" s="620"/>
      <c r="G14" s="620"/>
      <c r="H14" s="620"/>
      <c r="I14" s="620"/>
      <c r="J14" s="620"/>
      <c r="K14" s="620"/>
    </row>
    <row r="15" spans="1:12" ht="16.5" customHeight="1" x14ac:dyDescent="0.3">
      <c r="A15" s="109" t="s">
        <v>542</v>
      </c>
      <c r="B15" s="585" t="s">
        <v>24</v>
      </c>
      <c r="C15" s="620"/>
      <c r="D15" s="620"/>
      <c r="E15" s="620"/>
      <c r="F15" s="620"/>
      <c r="G15" s="620"/>
      <c r="H15" s="620"/>
      <c r="I15" s="585" t="s">
        <v>570</v>
      </c>
      <c r="J15" s="620"/>
      <c r="K15" s="620"/>
    </row>
    <row r="16" spans="1:12" ht="68.25" customHeight="1" x14ac:dyDescent="0.3">
      <c r="A16" s="110" t="s">
        <v>158</v>
      </c>
      <c r="B16" s="626" t="s">
        <v>159</v>
      </c>
      <c r="C16" s="626"/>
      <c r="D16" s="626"/>
      <c r="E16" s="626"/>
      <c r="F16" s="626"/>
      <c r="G16" s="626"/>
      <c r="H16" s="626"/>
      <c r="I16" s="568"/>
      <c r="J16" s="568"/>
      <c r="K16" s="568"/>
    </row>
    <row r="17" spans="1:11" ht="16.5" customHeight="1" x14ac:dyDescent="0.3">
      <c r="A17" s="107" t="s">
        <v>160</v>
      </c>
      <c r="B17" s="611" t="s">
        <v>161</v>
      </c>
      <c r="C17" s="611"/>
      <c r="D17" s="611"/>
      <c r="E17" s="611"/>
      <c r="F17" s="611"/>
      <c r="G17" s="611"/>
      <c r="H17" s="112" t="s">
        <v>544</v>
      </c>
      <c r="I17" s="568"/>
      <c r="J17" s="568"/>
      <c r="K17" s="568"/>
    </row>
    <row r="18" spans="1:11" ht="16.5" customHeight="1" x14ac:dyDescent="0.3">
      <c r="A18" s="107" t="s">
        <v>162</v>
      </c>
      <c r="B18" s="611" t="s">
        <v>163</v>
      </c>
      <c r="C18" s="611"/>
      <c r="D18" s="611"/>
      <c r="E18" s="611"/>
      <c r="F18" s="611"/>
      <c r="G18" s="611"/>
      <c r="H18" s="112" t="s">
        <v>544</v>
      </c>
      <c r="I18" s="568"/>
      <c r="J18" s="568"/>
      <c r="K18" s="568"/>
    </row>
    <row r="19" spans="1:11" ht="16.5" customHeight="1" x14ac:dyDescent="0.3">
      <c r="A19" s="107" t="s">
        <v>164</v>
      </c>
      <c r="B19" s="611" t="s">
        <v>165</v>
      </c>
      <c r="C19" s="611"/>
      <c r="D19" s="611"/>
      <c r="E19" s="611"/>
      <c r="F19" s="611"/>
      <c r="G19" s="611"/>
      <c r="H19" s="112" t="s">
        <v>544</v>
      </c>
      <c r="I19" s="568"/>
      <c r="J19" s="568"/>
      <c r="K19" s="568"/>
    </row>
    <row r="20" spans="1:11" ht="33" customHeight="1" x14ac:dyDescent="0.3">
      <c r="A20" s="107" t="s">
        <v>166</v>
      </c>
      <c r="B20" s="626" t="s">
        <v>167</v>
      </c>
      <c r="C20" s="626"/>
      <c r="D20" s="626"/>
      <c r="E20" s="626"/>
      <c r="F20" s="626"/>
      <c r="G20" s="626"/>
      <c r="H20" s="112" t="s">
        <v>544</v>
      </c>
      <c r="I20" s="568"/>
      <c r="J20" s="568"/>
      <c r="K20" s="568"/>
    </row>
    <row r="21" spans="1:11" ht="34.5" customHeight="1" x14ac:dyDescent="0.3">
      <c r="A21" s="107" t="s">
        <v>168</v>
      </c>
      <c r="B21" s="611" t="s">
        <v>277</v>
      </c>
      <c r="C21" s="611"/>
      <c r="D21" s="611"/>
      <c r="E21" s="611"/>
      <c r="F21" s="611"/>
      <c r="G21" s="611"/>
      <c r="H21" s="112" t="s">
        <v>544</v>
      </c>
      <c r="I21" s="568"/>
      <c r="J21" s="568"/>
      <c r="K21" s="568"/>
    </row>
    <row r="22" spans="1:11" ht="16.5" customHeight="1" x14ac:dyDescent="0.3">
      <c r="A22" s="107" t="s">
        <v>169</v>
      </c>
      <c r="B22" s="611" t="s">
        <v>170</v>
      </c>
      <c r="C22" s="611"/>
      <c r="D22" s="611"/>
      <c r="E22" s="611"/>
      <c r="F22" s="611"/>
      <c r="G22" s="611"/>
      <c r="H22" s="111" t="s">
        <v>545</v>
      </c>
      <c r="I22" s="568"/>
      <c r="J22" s="568"/>
      <c r="K22" s="568"/>
    </row>
    <row r="23" spans="1:11" ht="16.5" customHeight="1" x14ac:dyDescent="0.3">
      <c r="A23" s="107" t="s">
        <v>171</v>
      </c>
      <c r="B23" s="611" t="s">
        <v>172</v>
      </c>
      <c r="C23" s="611"/>
      <c r="D23" s="611"/>
      <c r="E23" s="611"/>
      <c r="F23" s="611"/>
      <c r="G23" s="611"/>
      <c r="H23" s="111" t="s">
        <v>545</v>
      </c>
      <c r="I23" s="568"/>
      <c r="J23" s="568"/>
      <c r="K23" s="568"/>
    </row>
    <row r="24" spans="1:11" ht="33" customHeight="1" x14ac:dyDescent="0.3">
      <c r="A24" s="107" t="s">
        <v>173</v>
      </c>
      <c r="B24" s="626" t="s">
        <v>174</v>
      </c>
      <c r="C24" s="626"/>
      <c r="D24" s="626"/>
      <c r="E24" s="626"/>
      <c r="F24" s="626"/>
      <c r="G24" s="626"/>
      <c r="H24" s="111" t="s">
        <v>545</v>
      </c>
      <c r="I24" s="568"/>
      <c r="J24" s="568"/>
      <c r="K24" s="568"/>
    </row>
    <row r="25" spans="1:11" ht="33" customHeight="1" x14ac:dyDescent="0.3">
      <c r="A25" s="107" t="s">
        <v>175</v>
      </c>
      <c r="B25" s="626" t="s">
        <v>176</v>
      </c>
      <c r="C25" s="626"/>
      <c r="D25" s="626"/>
      <c r="E25" s="626"/>
      <c r="F25" s="626"/>
      <c r="G25" s="626"/>
      <c r="H25" s="111" t="s">
        <v>545</v>
      </c>
      <c r="I25" s="568"/>
      <c r="J25" s="568"/>
      <c r="K25" s="568"/>
    </row>
    <row r="26" spans="1:11" ht="33" customHeight="1" x14ac:dyDescent="0.3">
      <c r="A26" s="107" t="s">
        <v>177</v>
      </c>
      <c r="B26" s="626" t="s">
        <v>178</v>
      </c>
      <c r="C26" s="626"/>
      <c r="D26" s="626"/>
      <c r="E26" s="626"/>
      <c r="F26" s="626"/>
      <c r="G26" s="626"/>
      <c r="H26" s="111" t="s">
        <v>545</v>
      </c>
      <c r="I26" s="568"/>
      <c r="J26" s="568"/>
      <c r="K26" s="568"/>
    </row>
    <row r="27" spans="1:11" ht="16.5" customHeight="1" x14ac:dyDescent="0.3">
      <c r="A27" s="107" t="s">
        <v>179</v>
      </c>
      <c r="B27" s="611" t="s">
        <v>180</v>
      </c>
      <c r="C27" s="611"/>
      <c r="D27" s="611"/>
      <c r="E27" s="611"/>
      <c r="F27" s="611"/>
      <c r="G27" s="611"/>
      <c r="H27" s="111" t="s">
        <v>545</v>
      </c>
      <c r="I27" s="568"/>
      <c r="J27" s="568"/>
      <c r="K27" s="568"/>
    </row>
    <row r="28" spans="1:11" ht="33" customHeight="1" x14ac:dyDescent="0.3">
      <c r="A28" s="107" t="s">
        <v>181</v>
      </c>
      <c r="B28" s="626" t="s">
        <v>182</v>
      </c>
      <c r="C28" s="626"/>
      <c r="D28" s="626"/>
      <c r="E28" s="626"/>
      <c r="F28" s="626"/>
      <c r="G28" s="626"/>
      <c r="H28" s="111" t="s">
        <v>546</v>
      </c>
      <c r="I28" s="568"/>
      <c r="J28" s="568"/>
      <c r="K28" s="568"/>
    </row>
    <row r="29" spans="1:11" ht="33" customHeight="1" x14ac:dyDescent="0.3">
      <c r="A29" s="107" t="s">
        <v>183</v>
      </c>
      <c r="B29" s="626" t="s">
        <v>184</v>
      </c>
      <c r="C29" s="626"/>
      <c r="D29" s="626"/>
      <c r="E29" s="626"/>
      <c r="F29" s="626"/>
      <c r="G29" s="626"/>
      <c r="H29" s="111" t="s">
        <v>546</v>
      </c>
      <c r="I29" s="568"/>
      <c r="J29" s="568"/>
      <c r="K29" s="568"/>
    </row>
    <row r="30" spans="1:11" ht="33" customHeight="1" x14ac:dyDescent="0.3">
      <c r="A30" s="107" t="s">
        <v>185</v>
      </c>
      <c r="B30" s="628" t="s">
        <v>588</v>
      </c>
      <c r="C30" s="628"/>
      <c r="D30" s="628"/>
      <c r="E30" s="628"/>
      <c r="F30" s="628"/>
      <c r="G30" s="628"/>
      <c r="H30" s="111" t="s">
        <v>546</v>
      </c>
      <c r="I30" s="568"/>
      <c r="J30" s="568"/>
      <c r="K30" s="568"/>
    </row>
    <row r="31" spans="1:11" ht="16.5" customHeight="1" x14ac:dyDescent="0.3">
      <c r="A31" s="107" t="s">
        <v>187</v>
      </c>
      <c r="B31" s="629" t="s">
        <v>582</v>
      </c>
      <c r="C31" s="629"/>
      <c r="D31" s="629"/>
      <c r="E31" s="629"/>
      <c r="F31" s="629"/>
      <c r="G31" s="629"/>
      <c r="H31" s="629"/>
      <c r="I31" s="614"/>
      <c r="J31" s="614"/>
      <c r="K31" s="614"/>
    </row>
    <row r="32" spans="1:11" ht="16.5" customHeight="1" x14ac:dyDescent="0.3">
      <c r="A32" s="107" t="s">
        <v>188</v>
      </c>
      <c r="B32" s="611" t="s">
        <v>189</v>
      </c>
      <c r="C32" s="611"/>
      <c r="D32" s="611"/>
      <c r="E32" s="611"/>
      <c r="F32" s="611"/>
      <c r="G32" s="611"/>
      <c r="H32" s="611"/>
      <c r="I32" s="568"/>
      <c r="J32" s="568"/>
      <c r="K32" s="568"/>
    </row>
    <row r="33" spans="1:11" ht="16.5" customHeight="1" x14ac:dyDescent="0.3">
      <c r="A33" s="107" t="s">
        <v>190</v>
      </c>
      <c r="B33" s="611" t="s">
        <v>191</v>
      </c>
      <c r="C33" s="611"/>
      <c r="D33" s="611"/>
      <c r="E33" s="611"/>
      <c r="F33" s="611"/>
      <c r="G33" s="611"/>
      <c r="H33" s="611"/>
      <c r="I33" s="614"/>
      <c r="J33" s="614"/>
      <c r="K33" s="614"/>
    </row>
    <row r="34" spans="1:11" ht="16.5" customHeight="1" x14ac:dyDescent="0.3">
      <c r="A34" s="109">
        <v>6</v>
      </c>
      <c r="B34" s="627" t="s">
        <v>192</v>
      </c>
      <c r="C34" s="627"/>
      <c r="D34" s="627"/>
      <c r="E34" s="627"/>
      <c r="F34" s="627"/>
      <c r="G34" s="627"/>
      <c r="H34" s="627"/>
      <c r="I34" s="627"/>
      <c r="J34" s="627"/>
      <c r="K34" s="627"/>
    </row>
    <row r="35" spans="1:11" ht="219.9" customHeight="1" x14ac:dyDescent="0.3">
      <c r="A35" s="107" t="s">
        <v>6</v>
      </c>
      <c r="B35" s="569" t="s">
        <v>301</v>
      </c>
      <c r="C35" s="569"/>
      <c r="D35" s="569"/>
      <c r="E35" s="569"/>
      <c r="F35" s="569"/>
      <c r="G35" s="569"/>
      <c r="H35" s="569"/>
      <c r="I35" s="569"/>
      <c r="J35" s="569"/>
      <c r="K35" s="569"/>
    </row>
    <row r="36" spans="1:11" ht="16.5" customHeight="1" x14ac:dyDescent="0.3">
      <c r="A36" s="109">
        <v>7</v>
      </c>
      <c r="B36" s="630" t="s">
        <v>193</v>
      </c>
      <c r="C36" s="630"/>
      <c r="D36" s="630"/>
      <c r="E36" s="630"/>
      <c r="F36" s="630"/>
      <c r="G36" s="630"/>
      <c r="H36" s="630"/>
      <c r="I36" s="630"/>
      <c r="J36" s="630"/>
      <c r="K36" s="630"/>
    </row>
    <row r="37" spans="1:11" ht="16.5" customHeight="1" x14ac:dyDescent="0.3">
      <c r="A37" s="109" t="s">
        <v>542</v>
      </c>
      <c r="B37" s="585" t="s">
        <v>24</v>
      </c>
      <c r="C37" s="620"/>
      <c r="D37" s="620"/>
      <c r="E37" s="620"/>
      <c r="F37" s="620"/>
      <c r="G37" s="620"/>
      <c r="H37" s="620"/>
      <c r="I37" s="585" t="s">
        <v>570</v>
      </c>
      <c r="J37" s="620"/>
      <c r="K37" s="620"/>
    </row>
    <row r="38" spans="1:11" ht="33" customHeight="1" x14ac:dyDescent="0.3">
      <c r="A38" s="110" t="s">
        <v>158</v>
      </c>
      <c r="B38" s="628" t="s">
        <v>194</v>
      </c>
      <c r="C38" s="628"/>
      <c r="D38" s="628"/>
      <c r="E38" s="628"/>
      <c r="F38" s="628"/>
      <c r="G38" s="628"/>
      <c r="H38" s="628"/>
      <c r="I38" s="614"/>
      <c r="J38" s="614"/>
      <c r="K38" s="614"/>
    </row>
    <row r="39" spans="1:11" ht="33" customHeight="1" x14ac:dyDescent="0.3">
      <c r="A39" s="110" t="s">
        <v>160</v>
      </c>
      <c r="B39" s="626" t="s">
        <v>195</v>
      </c>
      <c r="C39" s="626"/>
      <c r="D39" s="626"/>
      <c r="E39" s="626"/>
      <c r="F39" s="626"/>
      <c r="G39" s="626"/>
      <c r="H39" s="626"/>
      <c r="I39" s="568"/>
      <c r="J39" s="568"/>
      <c r="K39" s="568"/>
    </row>
    <row r="40" spans="1:11" ht="16.5" customHeight="1" x14ac:dyDescent="0.3">
      <c r="A40" s="107" t="s">
        <v>162</v>
      </c>
      <c r="B40" s="611" t="s">
        <v>196</v>
      </c>
      <c r="C40" s="611"/>
      <c r="D40" s="611"/>
      <c r="E40" s="611"/>
      <c r="F40" s="611"/>
      <c r="G40" s="611"/>
      <c r="H40" s="611"/>
      <c r="I40" s="568"/>
      <c r="J40" s="568"/>
      <c r="K40" s="568"/>
    </row>
    <row r="41" spans="1:11" ht="33" customHeight="1" x14ac:dyDescent="0.3">
      <c r="A41" s="107" t="s">
        <v>164</v>
      </c>
      <c r="B41" s="626" t="s">
        <v>197</v>
      </c>
      <c r="C41" s="626"/>
      <c r="D41" s="626"/>
      <c r="E41" s="626"/>
      <c r="F41" s="626"/>
      <c r="G41" s="626"/>
      <c r="H41" s="626"/>
      <c r="I41" s="568"/>
      <c r="J41" s="568"/>
      <c r="K41" s="568"/>
    </row>
    <row r="42" spans="1:11" ht="16.5" customHeight="1" x14ac:dyDescent="0.3">
      <c r="A42" s="107" t="s">
        <v>166</v>
      </c>
      <c r="B42" s="611" t="s">
        <v>198</v>
      </c>
      <c r="C42" s="611"/>
      <c r="D42" s="611"/>
      <c r="E42" s="611"/>
      <c r="F42" s="611"/>
      <c r="G42" s="611"/>
      <c r="H42" s="611"/>
      <c r="I42" s="614"/>
      <c r="J42" s="614"/>
      <c r="K42" s="614"/>
    </row>
    <row r="43" spans="1:11" ht="33" customHeight="1" x14ac:dyDescent="0.3">
      <c r="A43" s="107" t="s">
        <v>168</v>
      </c>
      <c r="B43" s="626" t="s">
        <v>199</v>
      </c>
      <c r="C43" s="626"/>
      <c r="D43" s="626"/>
      <c r="E43" s="626"/>
      <c r="F43" s="626"/>
      <c r="G43" s="626"/>
      <c r="H43" s="626"/>
      <c r="I43" s="568"/>
      <c r="J43" s="568"/>
      <c r="K43" s="568"/>
    </row>
    <row r="44" spans="1:11" ht="16.5" customHeight="1" x14ac:dyDescent="0.3">
      <c r="A44" s="107" t="s">
        <v>169</v>
      </c>
      <c r="B44" s="611" t="s">
        <v>200</v>
      </c>
      <c r="C44" s="611"/>
      <c r="D44" s="611"/>
      <c r="E44" s="611"/>
      <c r="F44" s="611"/>
      <c r="G44" s="611"/>
      <c r="H44" s="611"/>
      <c r="I44" s="614"/>
      <c r="J44" s="614"/>
      <c r="K44" s="614"/>
    </row>
    <row r="45" spans="1:11" ht="16.5" customHeight="1" x14ac:dyDescent="0.3">
      <c r="A45" s="109">
        <v>8</v>
      </c>
      <c r="B45" s="625" t="s">
        <v>201</v>
      </c>
      <c r="C45" s="625"/>
      <c r="D45" s="625"/>
      <c r="E45" s="625"/>
      <c r="F45" s="625"/>
      <c r="G45" s="625"/>
      <c r="H45" s="625"/>
      <c r="I45" s="625"/>
      <c r="J45" s="625"/>
      <c r="K45" s="625"/>
    </row>
    <row r="46" spans="1:11" ht="219.9" customHeight="1" x14ac:dyDescent="0.3">
      <c r="A46" s="107" t="s">
        <v>6</v>
      </c>
      <c r="B46" s="569" t="s">
        <v>301</v>
      </c>
      <c r="C46" s="569"/>
      <c r="D46" s="569"/>
      <c r="E46" s="569"/>
      <c r="F46" s="569"/>
      <c r="G46" s="569"/>
      <c r="H46" s="569"/>
      <c r="I46" s="569"/>
      <c r="J46" s="569"/>
      <c r="K46" s="569"/>
    </row>
    <row r="47" spans="1:11" ht="33" customHeight="1" x14ac:dyDescent="0.3">
      <c r="A47" s="107" t="s">
        <v>674</v>
      </c>
      <c r="B47" s="583" t="s">
        <v>307</v>
      </c>
      <c r="C47" s="583"/>
      <c r="D47" s="583"/>
      <c r="E47" s="583"/>
      <c r="F47" s="583"/>
      <c r="G47" s="583"/>
      <c r="H47" s="583"/>
      <c r="I47" s="583"/>
      <c r="J47" s="583"/>
      <c r="K47" s="583"/>
    </row>
    <row r="48" spans="1:11" ht="16.5" customHeight="1" x14ac:dyDescent="0.3">
      <c r="A48" s="109">
        <v>9</v>
      </c>
      <c r="B48" s="627" t="s">
        <v>202</v>
      </c>
      <c r="C48" s="627"/>
      <c r="D48" s="627"/>
      <c r="E48" s="627"/>
      <c r="F48" s="627"/>
      <c r="G48" s="627"/>
      <c r="H48" s="627"/>
      <c r="I48" s="627"/>
      <c r="J48" s="627"/>
      <c r="K48" s="627"/>
    </row>
    <row r="49" spans="1:11" ht="16.5" customHeight="1" x14ac:dyDescent="0.3">
      <c r="A49" s="624" t="s">
        <v>542</v>
      </c>
      <c r="B49" s="585" t="s">
        <v>204</v>
      </c>
      <c r="C49" s="585"/>
      <c r="D49" s="585" t="s">
        <v>205</v>
      </c>
      <c r="E49" s="585"/>
      <c r="F49" s="585" t="s">
        <v>203</v>
      </c>
      <c r="G49" s="585"/>
      <c r="H49" s="585"/>
      <c r="I49" s="585"/>
      <c r="J49" s="585"/>
      <c r="K49" s="585"/>
    </row>
    <row r="50" spans="1:11" ht="42" customHeight="1" x14ac:dyDescent="0.3">
      <c r="A50" s="624"/>
      <c r="B50" s="585"/>
      <c r="C50" s="585"/>
      <c r="D50" s="585"/>
      <c r="E50" s="585"/>
      <c r="F50" s="107" t="s">
        <v>49</v>
      </c>
      <c r="G50" s="107" t="s">
        <v>547</v>
      </c>
      <c r="H50" s="585" t="s">
        <v>206</v>
      </c>
      <c r="I50" s="585"/>
      <c r="J50" s="585" t="s">
        <v>571</v>
      </c>
      <c r="K50" s="610"/>
    </row>
    <row r="51" spans="1:11" ht="16.5" customHeight="1" x14ac:dyDescent="0.3">
      <c r="A51" s="107" t="s">
        <v>158</v>
      </c>
      <c r="B51" s="567">
        <v>0.05</v>
      </c>
      <c r="C51" s="567"/>
      <c r="D51" s="568"/>
      <c r="E51" s="568"/>
      <c r="F51" s="156"/>
      <c r="G51" s="156"/>
      <c r="H51" s="568"/>
      <c r="I51" s="568"/>
      <c r="J51" s="568"/>
      <c r="K51" s="568"/>
    </row>
    <row r="52" spans="1:11" ht="16.5" customHeight="1" x14ac:dyDescent="0.3">
      <c r="A52" s="107" t="s">
        <v>160</v>
      </c>
      <c r="B52" s="569" t="s">
        <v>207</v>
      </c>
      <c r="C52" s="569"/>
      <c r="D52" s="568"/>
      <c r="E52" s="568"/>
      <c r="F52" s="156"/>
      <c r="G52" s="156"/>
      <c r="H52" s="568"/>
      <c r="I52" s="568"/>
      <c r="J52" s="568"/>
      <c r="K52" s="568"/>
    </row>
    <row r="53" spans="1:11" ht="16.5" customHeight="1" x14ac:dyDescent="0.3">
      <c r="A53" s="185" t="s">
        <v>690</v>
      </c>
      <c r="B53" s="622">
        <v>0.06</v>
      </c>
      <c r="C53" s="623"/>
      <c r="D53" s="573"/>
      <c r="E53" s="574"/>
      <c r="F53" s="186"/>
      <c r="G53" s="186"/>
      <c r="H53" s="573"/>
      <c r="I53" s="574"/>
      <c r="J53" s="573"/>
      <c r="K53" s="574"/>
    </row>
    <row r="54" spans="1:11" ht="16.5" customHeight="1" x14ac:dyDescent="0.3">
      <c r="A54" s="107" t="s">
        <v>8</v>
      </c>
      <c r="B54" s="567">
        <v>0.12</v>
      </c>
      <c r="C54" s="567"/>
      <c r="D54" s="568"/>
      <c r="E54" s="568"/>
      <c r="F54" s="156"/>
      <c r="G54" s="156"/>
      <c r="H54" s="568"/>
      <c r="I54" s="568"/>
      <c r="J54" s="568"/>
      <c r="K54" s="568"/>
    </row>
    <row r="55" spans="1:11" ht="16.5" customHeight="1" x14ac:dyDescent="0.3">
      <c r="A55" s="107" t="s">
        <v>9</v>
      </c>
      <c r="B55" s="569" t="s">
        <v>208</v>
      </c>
      <c r="C55" s="569"/>
      <c r="D55" s="568"/>
      <c r="E55" s="568"/>
      <c r="F55" s="156"/>
      <c r="G55" s="156"/>
      <c r="H55" s="568"/>
      <c r="I55" s="568"/>
      <c r="J55" s="568"/>
      <c r="K55" s="568"/>
    </row>
    <row r="56" spans="1:11" ht="16.5" customHeight="1" x14ac:dyDescent="0.3">
      <c r="A56" s="107" t="s">
        <v>10</v>
      </c>
      <c r="B56" s="567">
        <v>0.18</v>
      </c>
      <c r="C56" s="567"/>
      <c r="D56" s="568"/>
      <c r="E56" s="568"/>
      <c r="F56" s="156"/>
      <c r="G56" s="156"/>
      <c r="H56" s="568"/>
      <c r="I56" s="568"/>
      <c r="J56" s="568"/>
      <c r="K56" s="568"/>
    </row>
    <row r="57" spans="1:11" ht="16.5" customHeight="1" x14ac:dyDescent="0.3">
      <c r="A57" s="107" t="s">
        <v>11</v>
      </c>
      <c r="B57" s="569" t="s">
        <v>209</v>
      </c>
      <c r="C57" s="569"/>
      <c r="D57" s="568"/>
      <c r="E57" s="568"/>
      <c r="F57" s="156"/>
      <c r="G57" s="156"/>
      <c r="H57" s="568"/>
      <c r="I57" s="568"/>
      <c r="J57" s="568"/>
      <c r="K57" s="568"/>
    </row>
    <row r="58" spans="1:11" ht="16.5" customHeight="1" x14ac:dyDescent="0.3">
      <c r="A58" s="107" t="s">
        <v>12</v>
      </c>
      <c r="B58" s="567">
        <v>0.28000000000000003</v>
      </c>
      <c r="C58" s="567"/>
      <c r="D58" s="568"/>
      <c r="E58" s="568"/>
      <c r="F58" s="156"/>
      <c r="G58" s="156"/>
      <c r="H58" s="568"/>
      <c r="I58" s="568"/>
      <c r="J58" s="568"/>
      <c r="K58" s="568"/>
    </row>
    <row r="59" spans="1:11" ht="16.5" customHeight="1" x14ac:dyDescent="0.3">
      <c r="A59" s="107" t="s">
        <v>14</v>
      </c>
      <c r="B59" s="569" t="s">
        <v>210</v>
      </c>
      <c r="C59" s="569"/>
      <c r="D59" s="568"/>
      <c r="E59" s="568"/>
      <c r="F59" s="156"/>
      <c r="G59" s="156"/>
      <c r="H59" s="568"/>
      <c r="I59" s="568"/>
      <c r="J59" s="568"/>
      <c r="K59" s="568"/>
    </row>
    <row r="60" spans="1:11" ht="16.5" customHeight="1" x14ac:dyDescent="0.3">
      <c r="A60" s="107" t="s">
        <v>744</v>
      </c>
      <c r="B60" s="570">
        <v>0.4</v>
      </c>
      <c r="C60" s="569"/>
      <c r="D60" s="568"/>
      <c r="E60" s="568"/>
      <c r="F60" s="156"/>
      <c r="G60" s="156"/>
      <c r="H60" s="568"/>
      <c r="I60" s="568"/>
      <c r="J60" s="568"/>
      <c r="K60" s="568"/>
    </row>
    <row r="61" spans="1:11" ht="16.5" customHeight="1" x14ac:dyDescent="0.3">
      <c r="A61" s="107" t="s">
        <v>745</v>
      </c>
      <c r="B61" s="569" t="s">
        <v>752</v>
      </c>
      <c r="C61" s="569"/>
      <c r="D61" s="568"/>
      <c r="E61" s="568"/>
      <c r="F61" s="156"/>
      <c r="G61" s="156"/>
      <c r="H61" s="568"/>
      <c r="I61" s="568"/>
      <c r="J61" s="568"/>
      <c r="K61" s="568"/>
    </row>
    <row r="62" spans="1:11" ht="16.5" customHeight="1" x14ac:dyDescent="0.3">
      <c r="A62" s="107" t="s">
        <v>16</v>
      </c>
      <c r="B62" s="567">
        <v>0.03</v>
      </c>
      <c r="C62" s="567"/>
      <c r="D62" s="568"/>
      <c r="E62" s="568"/>
      <c r="F62" s="156"/>
      <c r="G62" s="156"/>
      <c r="H62" s="568"/>
      <c r="I62" s="568"/>
      <c r="J62" s="568"/>
      <c r="K62" s="568"/>
    </row>
    <row r="63" spans="1:11" ht="16.5" customHeight="1" x14ac:dyDescent="0.3">
      <c r="A63" s="107" t="s">
        <v>17</v>
      </c>
      <c r="B63" s="581">
        <v>2.5000000000000001E-3</v>
      </c>
      <c r="C63" s="581"/>
      <c r="D63" s="568"/>
      <c r="E63" s="568"/>
      <c r="F63" s="156"/>
      <c r="G63" s="156"/>
      <c r="H63" s="568"/>
      <c r="I63" s="568"/>
      <c r="J63" s="568"/>
      <c r="K63" s="568"/>
    </row>
    <row r="64" spans="1:11" ht="16.5" customHeight="1" x14ac:dyDescent="0.3">
      <c r="A64" s="107" t="s">
        <v>18</v>
      </c>
      <c r="B64" s="581">
        <v>1E-3</v>
      </c>
      <c r="C64" s="581"/>
      <c r="D64" s="568"/>
      <c r="E64" s="568"/>
      <c r="F64" s="156"/>
      <c r="G64" s="156"/>
      <c r="H64" s="568"/>
      <c r="I64" s="568"/>
      <c r="J64" s="568"/>
      <c r="K64" s="568"/>
    </row>
    <row r="65" spans="1:11" ht="16.5" customHeight="1" x14ac:dyDescent="0.3">
      <c r="A65" s="107" t="s">
        <v>20</v>
      </c>
      <c r="B65" s="569" t="s">
        <v>211</v>
      </c>
      <c r="C65" s="569"/>
      <c r="D65" s="619"/>
      <c r="E65" s="619"/>
      <c r="F65" s="156"/>
      <c r="G65" s="156"/>
      <c r="H65" s="568"/>
      <c r="I65" s="568"/>
      <c r="J65" s="568"/>
      <c r="K65" s="568"/>
    </row>
    <row r="66" spans="1:11" ht="16.5" customHeight="1" x14ac:dyDescent="0.3">
      <c r="A66" s="107" t="s">
        <v>21</v>
      </c>
      <c r="B66" s="569" t="s">
        <v>212</v>
      </c>
      <c r="C66" s="569"/>
      <c r="D66" s="619"/>
      <c r="E66" s="619"/>
      <c r="F66" s="156"/>
      <c r="G66" s="156"/>
      <c r="H66" s="568"/>
      <c r="I66" s="568"/>
      <c r="J66" s="568"/>
      <c r="K66" s="568"/>
    </row>
    <row r="67" spans="1:11" ht="49.5" customHeight="1" x14ac:dyDescent="0.3">
      <c r="A67" s="107" t="s">
        <v>22</v>
      </c>
      <c r="B67" s="569" t="s">
        <v>213</v>
      </c>
      <c r="C67" s="569"/>
      <c r="D67" s="619"/>
      <c r="E67" s="619"/>
      <c r="F67" s="156"/>
      <c r="G67" s="156"/>
      <c r="H67" s="568"/>
      <c r="I67" s="568"/>
      <c r="J67" s="568"/>
      <c r="K67" s="568"/>
    </row>
    <row r="68" spans="1:11" ht="81" customHeight="1" x14ac:dyDescent="0.3">
      <c r="A68" s="107" t="s">
        <v>29</v>
      </c>
      <c r="B68" s="569" t="s">
        <v>214</v>
      </c>
      <c r="C68" s="569"/>
      <c r="D68" s="619"/>
      <c r="E68" s="619"/>
      <c r="F68" s="156"/>
      <c r="G68" s="156"/>
      <c r="H68" s="568"/>
      <c r="I68" s="568"/>
      <c r="J68" s="568"/>
      <c r="K68" s="568"/>
    </row>
    <row r="69" spans="1:11" ht="47.25" customHeight="1" x14ac:dyDescent="0.3">
      <c r="A69" s="107" t="s">
        <v>31</v>
      </c>
      <c r="B69" s="582" t="s">
        <v>215</v>
      </c>
      <c r="C69" s="582"/>
      <c r="D69" s="619"/>
      <c r="E69" s="619"/>
      <c r="F69" s="157"/>
      <c r="G69" s="157"/>
      <c r="H69" s="614"/>
      <c r="I69" s="614"/>
      <c r="J69" s="614"/>
      <c r="K69" s="614"/>
    </row>
    <row r="70" spans="1:11" ht="16.5" customHeight="1" x14ac:dyDescent="0.3">
      <c r="A70" s="107" t="s">
        <v>32</v>
      </c>
      <c r="B70" s="569" t="s">
        <v>216</v>
      </c>
      <c r="C70" s="582"/>
      <c r="D70" s="619"/>
      <c r="E70" s="619"/>
      <c r="F70" s="156"/>
      <c r="G70" s="156"/>
      <c r="H70" s="568"/>
      <c r="I70" s="568"/>
      <c r="J70" s="568"/>
      <c r="K70" s="568"/>
    </row>
    <row r="71" spans="1:11" ht="219.9" customHeight="1" x14ac:dyDescent="0.3">
      <c r="A71" s="107" t="s">
        <v>33</v>
      </c>
      <c r="B71" s="569" t="s">
        <v>217</v>
      </c>
      <c r="C71" s="569"/>
      <c r="D71" s="613"/>
      <c r="E71" s="613"/>
      <c r="F71" s="157"/>
      <c r="G71" s="157"/>
      <c r="H71" s="621"/>
      <c r="I71" s="621"/>
      <c r="J71" s="621"/>
      <c r="K71" s="621"/>
    </row>
    <row r="72" spans="1:11" ht="33" customHeight="1" x14ac:dyDescent="0.3">
      <c r="A72" s="109">
        <v>10</v>
      </c>
      <c r="B72" s="585" t="s">
        <v>218</v>
      </c>
      <c r="C72" s="620"/>
      <c r="D72" s="620"/>
      <c r="E72" s="620"/>
      <c r="F72" s="620"/>
      <c r="G72" s="620"/>
      <c r="H72" s="620"/>
      <c r="I72" s="620"/>
      <c r="J72" s="620"/>
      <c r="K72" s="620"/>
    </row>
    <row r="73" spans="1:11" ht="16.5" customHeight="1" x14ac:dyDescent="0.3">
      <c r="A73" s="107" t="s">
        <v>6</v>
      </c>
      <c r="B73" s="611" t="s">
        <v>301</v>
      </c>
      <c r="C73" s="611"/>
      <c r="D73" s="611"/>
      <c r="E73" s="569"/>
      <c r="F73" s="569"/>
      <c r="G73" s="569"/>
      <c r="H73" s="569"/>
      <c r="I73" s="569"/>
      <c r="J73" s="569"/>
      <c r="K73" s="569"/>
    </row>
    <row r="74" spans="1:11" ht="48.9" customHeight="1" x14ac:dyDescent="0.3">
      <c r="A74" s="109">
        <v>11</v>
      </c>
      <c r="B74" s="618" t="s">
        <v>219</v>
      </c>
      <c r="C74" s="618"/>
      <c r="D74" s="618"/>
      <c r="E74" s="618"/>
      <c r="F74" s="618"/>
      <c r="G74" s="618"/>
      <c r="H74" s="618"/>
      <c r="I74" s="618"/>
      <c r="J74" s="618"/>
      <c r="K74" s="618"/>
    </row>
    <row r="75" spans="1:11" ht="16.5" customHeight="1" x14ac:dyDescent="0.25">
      <c r="A75" s="114"/>
      <c r="B75" s="609"/>
      <c r="C75" s="609"/>
      <c r="D75" s="609"/>
      <c r="E75" s="609"/>
      <c r="F75" s="584" t="s">
        <v>220</v>
      </c>
      <c r="G75" s="584"/>
      <c r="H75" s="584"/>
      <c r="I75" s="584"/>
      <c r="J75" s="584"/>
      <c r="K75" s="584"/>
    </row>
    <row r="76" spans="1:11" ht="16.5" customHeight="1" x14ac:dyDescent="0.3">
      <c r="A76" s="113" t="s">
        <v>542</v>
      </c>
      <c r="B76" s="585" t="s">
        <v>204</v>
      </c>
      <c r="C76" s="585"/>
      <c r="D76" s="585" t="s">
        <v>205</v>
      </c>
      <c r="E76" s="585"/>
      <c r="F76" s="107" t="s">
        <v>49</v>
      </c>
      <c r="G76" s="107" t="s">
        <v>547</v>
      </c>
      <c r="H76" s="585" t="s">
        <v>48</v>
      </c>
      <c r="I76" s="585"/>
      <c r="J76" s="585" t="s">
        <v>572</v>
      </c>
      <c r="K76" s="610"/>
    </row>
    <row r="77" spans="1:11" ht="16.5" customHeight="1" x14ac:dyDescent="0.3">
      <c r="A77" s="113" t="s">
        <v>6</v>
      </c>
      <c r="B77" s="567">
        <v>0.05</v>
      </c>
      <c r="C77" s="567"/>
      <c r="D77" s="568"/>
      <c r="E77" s="568"/>
      <c r="F77" s="156"/>
      <c r="G77" s="156"/>
      <c r="H77" s="568"/>
      <c r="I77" s="568"/>
      <c r="J77" s="568"/>
      <c r="K77" s="568"/>
    </row>
    <row r="78" spans="1:11" ht="16.5" customHeight="1" x14ac:dyDescent="0.3">
      <c r="A78" s="187" t="s">
        <v>692</v>
      </c>
      <c r="B78" s="571">
        <v>0.06</v>
      </c>
      <c r="C78" s="572"/>
      <c r="D78" s="573"/>
      <c r="E78" s="574"/>
      <c r="F78" s="186"/>
      <c r="G78" s="186"/>
      <c r="H78" s="573"/>
      <c r="I78" s="574"/>
      <c r="J78" s="573"/>
      <c r="K78" s="574"/>
    </row>
    <row r="79" spans="1:11" ht="16.5" customHeight="1" x14ac:dyDescent="0.3">
      <c r="A79" s="113" t="s">
        <v>7</v>
      </c>
      <c r="B79" s="567">
        <v>0.12</v>
      </c>
      <c r="C79" s="567"/>
      <c r="D79" s="568"/>
      <c r="E79" s="568"/>
      <c r="F79" s="156"/>
      <c r="G79" s="156"/>
      <c r="H79" s="568"/>
      <c r="I79" s="568"/>
      <c r="J79" s="568"/>
      <c r="K79" s="568"/>
    </row>
    <row r="80" spans="1:11" ht="16.5" customHeight="1" x14ac:dyDescent="0.3">
      <c r="A80" s="113" t="s">
        <v>8</v>
      </c>
      <c r="B80" s="567">
        <v>0.18</v>
      </c>
      <c r="C80" s="567"/>
      <c r="D80" s="568"/>
      <c r="E80" s="568"/>
      <c r="F80" s="156"/>
      <c r="G80" s="156"/>
      <c r="H80" s="568"/>
      <c r="I80" s="568"/>
      <c r="J80" s="568"/>
      <c r="K80" s="568"/>
    </row>
    <row r="81" spans="1:11" ht="16.5" customHeight="1" x14ac:dyDescent="0.3">
      <c r="A81" s="113" t="s">
        <v>9</v>
      </c>
      <c r="B81" s="567">
        <v>0.28000000000000003</v>
      </c>
      <c r="C81" s="567"/>
      <c r="D81" s="568"/>
      <c r="E81" s="568"/>
      <c r="F81" s="156"/>
      <c r="G81" s="156"/>
      <c r="H81" s="568"/>
      <c r="I81" s="568"/>
      <c r="J81" s="568"/>
      <c r="K81" s="568"/>
    </row>
    <row r="82" spans="1:11" ht="16.5" customHeight="1" x14ac:dyDescent="0.3">
      <c r="A82" s="113" t="s">
        <v>724</v>
      </c>
      <c r="B82" s="567">
        <v>0.4</v>
      </c>
      <c r="C82" s="567"/>
      <c r="D82" s="568"/>
      <c r="E82" s="568"/>
      <c r="F82" s="156"/>
      <c r="G82" s="156"/>
      <c r="H82" s="568"/>
      <c r="I82" s="568"/>
      <c r="J82" s="568"/>
      <c r="K82" s="568"/>
    </row>
    <row r="83" spans="1:11" ht="16.5" customHeight="1" x14ac:dyDescent="0.3">
      <c r="A83" s="113" t="s">
        <v>10</v>
      </c>
      <c r="B83" s="567">
        <v>0.03</v>
      </c>
      <c r="C83" s="567"/>
      <c r="D83" s="568"/>
      <c r="E83" s="568"/>
      <c r="F83" s="156"/>
      <c r="G83" s="156"/>
      <c r="H83" s="568"/>
      <c r="I83" s="568"/>
      <c r="J83" s="568"/>
      <c r="K83" s="568"/>
    </row>
    <row r="84" spans="1:11" ht="16.5" customHeight="1" x14ac:dyDescent="0.3">
      <c r="A84" s="113" t="s">
        <v>11</v>
      </c>
      <c r="B84" s="581">
        <v>2.5000000000000001E-3</v>
      </c>
      <c r="C84" s="581"/>
      <c r="D84" s="568"/>
      <c r="E84" s="568"/>
      <c r="F84" s="156"/>
      <c r="G84" s="156"/>
      <c r="H84" s="568"/>
      <c r="I84" s="568"/>
      <c r="J84" s="568"/>
      <c r="K84" s="568"/>
    </row>
    <row r="85" spans="1:11" ht="16.5" customHeight="1" x14ac:dyDescent="0.3">
      <c r="A85" s="113" t="s">
        <v>12</v>
      </c>
      <c r="B85" s="581">
        <v>1E-3</v>
      </c>
      <c r="C85" s="581"/>
      <c r="D85" s="568"/>
      <c r="E85" s="568"/>
      <c r="F85" s="156"/>
      <c r="G85" s="156"/>
      <c r="H85" s="568"/>
      <c r="I85" s="568"/>
      <c r="J85" s="568"/>
      <c r="K85" s="568"/>
    </row>
    <row r="86" spans="1:11" ht="45" customHeight="1" x14ac:dyDescent="0.3">
      <c r="A86" s="113" t="s">
        <v>14</v>
      </c>
      <c r="B86" s="569" t="s">
        <v>211</v>
      </c>
      <c r="C86" s="569"/>
      <c r="D86" s="619"/>
      <c r="E86" s="619"/>
      <c r="F86" s="156"/>
      <c r="G86" s="156"/>
      <c r="H86" s="568"/>
      <c r="I86" s="568"/>
      <c r="J86" s="568"/>
      <c r="K86" s="568"/>
    </row>
    <row r="87" spans="1:11" ht="16.5" customHeight="1" x14ac:dyDescent="0.3">
      <c r="A87" s="113" t="s">
        <v>16</v>
      </c>
      <c r="B87" s="569" t="s">
        <v>212</v>
      </c>
      <c r="C87" s="569"/>
      <c r="D87" s="619"/>
      <c r="E87" s="619"/>
      <c r="F87" s="156"/>
      <c r="G87" s="156"/>
      <c r="H87" s="568"/>
      <c r="I87" s="568"/>
      <c r="J87" s="568"/>
      <c r="K87" s="568"/>
    </row>
    <row r="88" spans="1:11" ht="15" customHeight="1" x14ac:dyDescent="0.3">
      <c r="A88" s="113" t="s">
        <v>17</v>
      </c>
      <c r="B88" s="569" t="s">
        <v>213</v>
      </c>
      <c r="C88" s="569"/>
      <c r="D88" s="619"/>
      <c r="E88" s="619"/>
      <c r="F88" s="156"/>
      <c r="G88" s="156"/>
      <c r="H88" s="568"/>
      <c r="I88" s="568"/>
      <c r="J88" s="568"/>
      <c r="K88" s="568"/>
    </row>
    <row r="89" spans="1:11" ht="16.5" customHeight="1" x14ac:dyDescent="0.3">
      <c r="A89" s="113" t="s">
        <v>18</v>
      </c>
      <c r="B89" s="582" t="s">
        <v>221</v>
      </c>
      <c r="C89" s="582"/>
      <c r="D89" s="619"/>
      <c r="E89" s="619"/>
      <c r="F89" s="156"/>
      <c r="G89" s="156"/>
      <c r="H89" s="568"/>
      <c r="I89" s="568"/>
      <c r="J89" s="568"/>
      <c r="K89" s="568"/>
    </row>
    <row r="90" spans="1:11" ht="16.5" customHeight="1" x14ac:dyDescent="0.3">
      <c r="A90" s="585" t="s">
        <v>675</v>
      </c>
      <c r="B90" s="620" t="s">
        <v>309</v>
      </c>
      <c r="C90" s="620"/>
      <c r="D90" s="620"/>
      <c r="E90" s="620"/>
      <c r="F90" s="620"/>
      <c r="G90" s="620"/>
      <c r="H90" s="620"/>
      <c r="I90" s="620"/>
      <c r="J90" s="620"/>
      <c r="K90" s="620"/>
    </row>
    <row r="91" spans="1:11" ht="48.9" customHeight="1" x14ac:dyDescent="0.3">
      <c r="A91" s="585"/>
      <c r="B91" s="620"/>
      <c r="C91" s="620"/>
      <c r="D91" s="620"/>
      <c r="E91" s="620"/>
      <c r="F91" s="620"/>
      <c r="G91" s="620"/>
      <c r="H91" s="620"/>
      <c r="I91" s="620"/>
      <c r="J91" s="620"/>
      <c r="K91" s="620"/>
    </row>
    <row r="92" spans="1:11" ht="33" customHeight="1" x14ac:dyDescent="0.3">
      <c r="A92" s="109">
        <v>12</v>
      </c>
      <c r="B92" s="620" t="s">
        <v>222</v>
      </c>
      <c r="C92" s="620"/>
      <c r="D92" s="620"/>
      <c r="E92" s="620"/>
      <c r="F92" s="620"/>
      <c r="G92" s="620"/>
      <c r="H92" s="620"/>
      <c r="I92" s="620"/>
      <c r="J92" s="620"/>
      <c r="K92" s="620"/>
    </row>
    <row r="93" spans="1:11" ht="33" customHeight="1" x14ac:dyDescent="0.3">
      <c r="A93" s="109" t="s">
        <v>542</v>
      </c>
      <c r="B93" s="585" t="s">
        <v>24</v>
      </c>
      <c r="C93" s="620"/>
      <c r="D93" s="620"/>
      <c r="E93" s="620"/>
      <c r="F93" s="620"/>
      <c r="G93" s="620"/>
      <c r="H93" s="620"/>
      <c r="I93" s="585" t="s">
        <v>570</v>
      </c>
      <c r="J93" s="620"/>
      <c r="K93" s="620"/>
    </row>
    <row r="94" spans="1:11" ht="33" customHeight="1" x14ac:dyDescent="0.3">
      <c r="A94" s="110" t="s">
        <v>158</v>
      </c>
      <c r="B94" s="582" t="s">
        <v>223</v>
      </c>
      <c r="C94" s="582"/>
      <c r="D94" s="582"/>
      <c r="E94" s="582"/>
      <c r="F94" s="582"/>
      <c r="G94" s="582"/>
      <c r="H94" s="582"/>
      <c r="I94" s="568"/>
      <c r="J94" s="568"/>
      <c r="K94" s="568"/>
    </row>
    <row r="95" spans="1:11" ht="16.5" customHeight="1" x14ac:dyDescent="0.3">
      <c r="A95" s="110" t="s">
        <v>160</v>
      </c>
      <c r="B95" s="582" t="s">
        <v>224</v>
      </c>
      <c r="C95" s="582"/>
      <c r="D95" s="582"/>
      <c r="E95" s="582"/>
      <c r="F95" s="582"/>
      <c r="G95" s="582"/>
      <c r="H95" s="582"/>
      <c r="I95" s="568"/>
      <c r="J95" s="568"/>
      <c r="K95" s="568"/>
    </row>
    <row r="96" spans="1:11" ht="16.5" customHeight="1" x14ac:dyDescent="0.3">
      <c r="A96" s="110" t="s">
        <v>162</v>
      </c>
      <c r="B96" s="582" t="s">
        <v>225</v>
      </c>
      <c r="C96" s="582"/>
      <c r="D96" s="582"/>
      <c r="E96" s="582"/>
      <c r="F96" s="582"/>
      <c r="G96" s="582"/>
      <c r="H96" s="582"/>
      <c r="I96" s="568"/>
      <c r="J96" s="568"/>
      <c r="K96" s="568"/>
    </row>
    <row r="97" spans="1:11" ht="16.5" customHeight="1" x14ac:dyDescent="0.3">
      <c r="A97" s="110" t="s">
        <v>164</v>
      </c>
      <c r="B97" s="582" t="s">
        <v>226</v>
      </c>
      <c r="C97" s="582"/>
      <c r="D97" s="582"/>
      <c r="E97" s="582"/>
      <c r="F97" s="582"/>
      <c r="G97" s="582"/>
      <c r="H97" s="582"/>
      <c r="I97" s="614"/>
      <c r="J97" s="614"/>
      <c r="K97" s="614"/>
    </row>
    <row r="98" spans="1:11" ht="219.9" customHeight="1" x14ac:dyDescent="0.3">
      <c r="A98" s="107" t="s">
        <v>166</v>
      </c>
      <c r="B98" s="569" t="s">
        <v>227</v>
      </c>
      <c r="C98" s="569"/>
      <c r="D98" s="569"/>
      <c r="E98" s="569"/>
      <c r="F98" s="569"/>
      <c r="G98" s="569"/>
      <c r="H98" s="569"/>
      <c r="I98" s="568"/>
      <c r="J98" s="568"/>
      <c r="K98" s="568"/>
    </row>
    <row r="99" spans="1:11" ht="43.5" customHeight="1" x14ac:dyDescent="0.3">
      <c r="A99" s="107" t="s">
        <v>168</v>
      </c>
      <c r="B99" s="569" t="s">
        <v>228</v>
      </c>
      <c r="C99" s="569"/>
      <c r="D99" s="569"/>
      <c r="E99" s="569"/>
      <c r="F99" s="569"/>
      <c r="G99" s="569"/>
      <c r="H99" s="569"/>
      <c r="I99" s="614"/>
      <c r="J99" s="614"/>
      <c r="K99" s="614"/>
    </row>
    <row r="100" spans="1:11" ht="39.6" customHeight="1" x14ac:dyDescent="0.3">
      <c r="A100" s="109">
        <v>13</v>
      </c>
      <c r="B100" s="620" t="s">
        <v>229</v>
      </c>
      <c r="C100" s="620"/>
      <c r="D100" s="620"/>
      <c r="E100" s="620"/>
      <c r="F100" s="620"/>
      <c r="G100" s="620"/>
      <c r="H100" s="620"/>
      <c r="I100" s="620"/>
      <c r="J100" s="620"/>
      <c r="K100" s="620"/>
    </row>
    <row r="101" spans="1:11" ht="16.5" customHeight="1" x14ac:dyDescent="0.3">
      <c r="A101" s="107" t="s">
        <v>6</v>
      </c>
      <c r="B101" s="569" t="s">
        <v>301</v>
      </c>
      <c r="C101" s="569"/>
      <c r="D101" s="569"/>
      <c r="E101" s="569"/>
      <c r="F101" s="569"/>
      <c r="G101" s="569"/>
      <c r="H101" s="569"/>
      <c r="I101" s="569"/>
      <c r="J101" s="569"/>
      <c r="K101" s="569"/>
    </row>
    <row r="102" spans="1:11" ht="16.5" customHeight="1" x14ac:dyDescent="0.3">
      <c r="A102" s="109">
        <v>14</v>
      </c>
      <c r="B102" s="618" t="s">
        <v>230</v>
      </c>
      <c r="C102" s="618"/>
      <c r="D102" s="618"/>
      <c r="E102" s="618"/>
      <c r="F102" s="618"/>
      <c r="G102" s="618"/>
      <c r="H102" s="618"/>
      <c r="I102" s="618"/>
      <c r="J102" s="618"/>
      <c r="K102" s="618"/>
    </row>
    <row r="103" spans="1:11" ht="16.5" customHeight="1" x14ac:dyDescent="0.3">
      <c r="A103" s="115" t="s">
        <v>542</v>
      </c>
      <c r="B103" s="585" t="s">
        <v>204</v>
      </c>
      <c r="C103" s="585"/>
      <c r="D103" s="585"/>
      <c r="E103" s="585" t="s">
        <v>231</v>
      </c>
      <c r="F103" s="585"/>
      <c r="G103" s="616" t="s">
        <v>232</v>
      </c>
      <c r="H103" s="616"/>
      <c r="I103" s="617" t="s">
        <v>233</v>
      </c>
      <c r="J103" s="617"/>
      <c r="K103" s="617"/>
    </row>
    <row r="104" spans="1:11" ht="50.25" customHeight="1" x14ac:dyDescent="0.3">
      <c r="A104" s="107" t="s">
        <v>6</v>
      </c>
      <c r="B104" s="611" t="s">
        <v>247</v>
      </c>
      <c r="C104" s="611"/>
      <c r="D104" s="611"/>
      <c r="E104" s="568"/>
      <c r="F104" s="568"/>
      <c r="G104" s="568"/>
      <c r="H104" s="568"/>
      <c r="I104" s="568"/>
      <c r="J104" s="568"/>
      <c r="K104" s="568"/>
    </row>
    <row r="105" spans="1:11" ht="16.5" customHeight="1" x14ac:dyDescent="0.3">
      <c r="A105" s="107" t="s">
        <v>7</v>
      </c>
      <c r="B105" s="611" t="s">
        <v>56</v>
      </c>
      <c r="C105" s="611"/>
      <c r="D105" s="611"/>
      <c r="E105" s="568"/>
      <c r="F105" s="568"/>
      <c r="G105" s="568"/>
      <c r="H105" s="568"/>
      <c r="I105" s="568"/>
      <c r="J105" s="568"/>
      <c r="K105" s="568"/>
    </row>
    <row r="106" spans="1:11" ht="73.5" customHeight="1" x14ac:dyDescent="0.3">
      <c r="A106" s="107" t="s">
        <v>8</v>
      </c>
      <c r="B106" s="611" t="s">
        <v>146</v>
      </c>
      <c r="C106" s="611"/>
      <c r="D106" s="611"/>
      <c r="E106" s="568"/>
      <c r="F106" s="568"/>
      <c r="G106" s="568"/>
      <c r="H106" s="568"/>
      <c r="I106" s="568"/>
      <c r="J106" s="568"/>
      <c r="K106" s="568"/>
    </row>
    <row r="107" spans="1:11" ht="16.5" customHeight="1" x14ac:dyDescent="0.3">
      <c r="A107" s="107" t="s">
        <v>9</v>
      </c>
      <c r="B107" s="615" t="s">
        <v>147</v>
      </c>
      <c r="C107" s="615"/>
      <c r="D107" s="615"/>
      <c r="E107" s="568"/>
      <c r="F107" s="568"/>
      <c r="G107" s="568"/>
      <c r="H107" s="568"/>
      <c r="I107" s="568"/>
      <c r="J107" s="568"/>
      <c r="K107" s="568"/>
    </row>
    <row r="108" spans="1:11" ht="55.5" customHeight="1" x14ac:dyDescent="0.3">
      <c r="A108" s="107" t="s">
        <v>10</v>
      </c>
      <c r="B108" s="611" t="s">
        <v>35</v>
      </c>
      <c r="C108" s="611"/>
      <c r="D108" s="611"/>
      <c r="E108" s="568"/>
      <c r="F108" s="568"/>
      <c r="G108" s="568"/>
      <c r="H108" s="568"/>
      <c r="I108" s="568"/>
      <c r="J108" s="568"/>
      <c r="K108" s="568"/>
    </row>
    <row r="109" spans="1:11" ht="16.5" customHeight="1" x14ac:dyDescent="0.3">
      <c r="A109" s="110" t="s">
        <v>11</v>
      </c>
      <c r="B109" s="615" t="s">
        <v>36</v>
      </c>
      <c r="C109" s="615"/>
      <c r="D109" s="615"/>
      <c r="E109" s="568"/>
      <c r="F109" s="568"/>
      <c r="G109" s="568"/>
      <c r="H109" s="568"/>
      <c r="I109" s="568"/>
      <c r="J109" s="568"/>
      <c r="K109" s="568"/>
    </row>
    <row r="110" spans="1:11" ht="16.5" customHeight="1" x14ac:dyDescent="0.3">
      <c r="A110" s="107" t="s">
        <v>12</v>
      </c>
      <c r="B110" s="611" t="s">
        <v>37</v>
      </c>
      <c r="C110" s="611"/>
      <c r="D110" s="611"/>
      <c r="E110" s="568"/>
      <c r="F110" s="568"/>
      <c r="G110" s="568"/>
      <c r="H110" s="568"/>
      <c r="I110" s="568"/>
      <c r="J110" s="568"/>
      <c r="K110" s="568"/>
    </row>
    <row r="111" spans="1:11" ht="16.5" customHeight="1" x14ac:dyDescent="0.3">
      <c r="A111" s="107" t="s">
        <v>14</v>
      </c>
      <c r="B111" s="615" t="s">
        <v>311</v>
      </c>
      <c r="C111" s="615"/>
      <c r="D111" s="615"/>
      <c r="E111" s="568"/>
      <c r="F111" s="568"/>
      <c r="G111" s="568"/>
      <c r="H111" s="568"/>
      <c r="I111" s="568"/>
      <c r="J111" s="568"/>
      <c r="K111" s="568"/>
    </row>
    <row r="112" spans="1:11" ht="42" customHeight="1" x14ac:dyDescent="0.3">
      <c r="A112" s="107" t="s">
        <v>16</v>
      </c>
      <c r="B112" s="611" t="s">
        <v>38</v>
      </c>
      <c r="C112" s="611"/>
      <c r="D112" s="611"/>
      <c r="E112" s="568"/>
      <c r="F112" s="568"/>
      <c r="G112" s="568"/>
      <c r="H112" s="568"/>
      <c r="I112" s="568"/>
      <c r="J112" s="568"/>
      <c r="K112" s="568"/>
    </row>
    <row r="113" spans="1:11" ht="33" customHeight="1" x14ac:dyDescent="0.3">
      <c r="A113" s="107" t="s">
        <v>17</v>
      </c>
      <c r="B113" s="611" t="s">
        <v>39</v>
      </c>
      <c r="C113" s="611"/>
      <c r="D113" s="611"/>
      <c r="E113" s="568"/>
      <c r="F113" s="568"/>
      <c r="G113" s="568"/>
      <c r="H113" s="568"/>
      <c r="I113" s="568"/>
      <c r="J113" s="568"/>
      <c r="K113" s="568"/>
    </row>
    <row r="114" spans="1:11" ht="33" customHeight="1" x14ac:dyDescent="0.3">
      <c r="A114" s="107" t="s">
        <v>18</v>
      </c>
      <c r="B114" s="611" t="s">
        <v>40</v>
      </c>
      <c r="C114" s="611"/>
      <c r="D114" s="611"/>
      <c r="E114" s="568"/>
      <c r="F114" s="568"/>
      <c r="G114" s="568"/>
      <c r="H114" s="568"/>
      <c r="I114" s="568"/>
      <c r="J114" s="568"/>
      <c r="K114" s="568"/>
    </row>
    <row r="115" spans="1:11" ht="16.5" customHeight="1" x14ac:dyDescent="0.3">
      <c r="A115" s="107" t="s">
        <v>20</v>
      </c>
      <c r="B115" s="615" t="s">
        <v>41</v>
      </c>
      <c r="C115" s="615"/>
      <c r="D115" s="615"/>
      <c r="E115" s="568"/>
      <c r="F115" s="568"/>
      <c r="G115" s="568"/>
      <c r="H115" s="568"/>
      <c r="I115" s="568"/>
      <c r="J115" s="568"/>
      <c r="K115" s="568"/>
    </row>
    <row r="116" spans="1:11" ht="16.5" customHeight="1" x14ac:dyDescent="0.3">
      <c r="A116" s="107" t="s">
        <v>21</v>
      </c>
      <c r="B116" s="615" t="s">
        <v>42</v>
      </c>
      <c r="C116" s="615"/>
      <c r="D116" s="615"/>
      <c r="E116" s="568"/>
      <c r="F116" s="568"/>
      <c r="G116" s="568"/>
      <c r="H116" s="568"/>
      <c r="I116" s="568"/>
      <c r="J116" s="568"/>
      <c r="K116" s="568"/>
    </row>
    <row r="117" spans="1:11" ht="16.5" customHeight="1" x14ac:dyDescent="0.3">
      <c r="A117" s="107" t="s">
        <v>22</v>
      </c>
      <c r="B117" s="615" t="s">
        <v>248</v>
      </c>
      <c r="C117" s="615"/>
      <c r="D117" s="615"/>
      <c r="E117" s="568"/>
      <c r="F117" s="568"/>
      <c r="G117" s="568"/>
      <c r="H117" s="568"/>
      <c r="I117" s="568"/>
      <c r="J117" s="568"/>
      <c r="K117" s="568"/>
    </row>
    <row r="118" spans="1:11" ht="33.75" customHeight="1" x14ac:dyDescent="0.3">
      <c r="A118" s="107" t="s">
        <v>29</v>
      </c>
      <c r="B118" s="611" t="s">
        <v>43</v>
      </c>
      <c r="C118" s="611"/>
      <c r="D118" s="611"/>
      <c r="E118" s="568"/>
      <c r="F118" s="568"/>
      <c r="G118" s="568"/>
      <c r="H118" s="568"/>
      <c r="I118" s="568"/>
      <c r="J118" s="568"/>
      <c r="K118" s="568"/>
    </row>
    <row r="119" spans="1:11" ht="32.25" customHeight="1" x14ac:dyDescent="0.3">
      <c r="A119" s="107" t="s">
        <v>31</v>
      </c>
      <c r="B119" s="611" t="s">
        <v>44</v>
      </c>
      <c r="C119" s="611"/>
      <c r="D119" s="611"/>
      <c r="E119" s="568"/>
      <c r="F119" s="568"/>
      <c r="G119" s="568"/>
      <c r="H119" s="568"/>
      <c r="I119" s="568"/>
      <c r="J119" s="568"/>
      <c r="K119" s="568"/>
    </row>
    <row r="120" spans="1:11" ht="15.75" customHeight="1" x14ac:dyDescent="0.3">
      <c r="A120" s="107" t="s">
        <v>32</v>
      </c>
      <c r="B120" s="611" t="s">
        <v>45</v>
      </c>
      <c r="C120" s="611"/>
      <c r="D120" s="611"/>
      <c r="E120" s="568"/>
      <c r="F120" s="568"/>
      <c r="G120" s="568"/>
      <c r="H120" s="568"/>
      <c r="I120" s="568"/>
      <c r="J120" s="568"/>
      <c r="K120" s="568"/>
    </row>
    <row r="121" spans="1:11" ht="16.5" customHeight="1" x14ac:dyDescent="0.3">
      <c r="A121" s="107" t="s">
        <v>190</v>
      </c>
      <c r="B121" s="611" t="s">
        <v>573</v>
      </c>
      <c r="C121" s="611"/>
      <c r="D121" s="611"/>
      <c r="E121" s="613"/>
      <c r="F121" s="613"/>
      <c r="G121" s="613"/>
      <c r="H121" s="613"/>
      <c r="I121" s="614"/>
      <c r="J121" s="614"/>
      <c r="K121" s="614"/>
    </row>
    <row r="122" spans="1:11" ht="219.9" customHeight="1" x14ac:dyDescent="0.3">
      <c r="A122" s="107" t="s">
        <v>234</v>
      </c>
      <c r="B122" s="611" t="s">
        <v>574</v>
      </c>
      <c r="C122" s="611"/>
      <c r="D122" s="611"/>
      <c r="E122" s="613"/>
      <c r="F122" s="613"/>
      <c r="G122" s="613"/>
      <c r="H122" s="613"/>
      <c r="I122" s="568"/>
      <c r="J122" s="568"/>
      <c r="K122" s="568"/>
    </row>
    <row r="123" spans="1:11" ht="33" customHeight="1" x14ac:dyDescent="0.3">
      <c r="A123" s="107" t="s">
        <v>235</v>
      </c>
      <c r="B123" s="611" t="s">
        <v>228</v>
      </c>
      <c r="C123" s="611"/>
      <c r="D123" s="611"/>
      <c r="E123" s="613"/>
      <c r="F123" s="613"/>
      <c r="G123" s="613"/>
      <c r="H123" s="613"/>
      <c r="I123" s="614"/>
      <c r="J123" s="614"/>
      <c r="K123" s="614"/>
    </row>
    <row r="124" spans="1:11" ht="16.5" customHeight="1" x14ac:dyDescent="0.3">
      <c r="A124" s="109">
        <v>15</v>
      </c>
      <c r="B124" s="612" t="s">
        <v>236</v>
      </c>
      <c r="C124" s="612"/>
      <c r="D124" s="612"/>
      <c r="E124" s="612"/>
      <c r="F124" s="612"/>
      <c r="G124" s="612"/>
      <c r="H124" s="612"/>
      <c r="I124" s="612"/>
      <c r="J124" s="612"/>
      <c r="K124" s="612"/>
    </row>
    <row r="125" spans="1:11" ht="16.5" customHeight="1" x14ac:dyDescent="0.3">
      <c r="A125" s="107" t="s">
        <v>6</v>
      </c>
      <c r="B125" s="611" t="s">
        <v>301</v>
      </c>
      <c r="C125" s="611"/>
      <c r="D125" s="611"/>
      <c r="E125" s="569"/>
      <c r="F125" s="569"/>
      <c r="G125" s="569"/>
      <c r="H125" s="569"/>
      <c r="I125" s="569"/>
      <c r="J125" s="569"/>
      <c r="K125" s="569"/>
    </row>
    <row r="126" spans="1:11" ht="33" customHeight="1" x14ac:dyDescent="0.3">
      <c r="A126" s="108">
        <v>16</v>
      </c>
      <c r="B126" s="610" t="s">
        <v>237</v>
      </c>
      <c r="C126" s="610"/>
      <c r="D126" s="610"/>
      <c r="E126" s="610"/>
      <c r="F126" s="610"/>
      <c r="G126" s="610"/>
      <c r="H126" s="610"/>
      <c r="I126" s="610"/>
      <c r="J126" s="610"/>
      <c r="K126" s="610"/>
    </row>
    <row r="127" spans="1:11" ht="33" customHeight="1" x14ac:dyDescent="0.3">
      <c r="A127" s="113" t="s">
        <v>542</v>
      </c>
      <c r="B127" s="585" t="s">
        <v>204</v>
      </c>
      <c r="C127" s="585"/>
      <c r="D127" s="585" t="s">
        <v>238</v>
      </c>
      <c r="E127" s="585"/>
      <c r="F127" s="585"/>
      <c r="G127" s="585"/>
      <c r="H127" s="585"/>
      <c r="I127" s="585"/>
      <c r="J127" s="585"/>
      <c r="K127" s="585"/>
    </row>
    <row r="128" spans="1:11" ht="16.5" customHeight="1" x14ac:dyDescent="0.3">
      <c r="A128" s="113" t="s">
        <v>6</v>
      </c>
      <c r="B128" s="569" t="s">
        <v>239</v>
      </c>
      <c r="C128" s="569"/>
      <c r="D128" s="568"/>
      <c r="E128" s="568"/>
      <c r="F128" s="568"/>
      <c r="G128" s="568"/>
      <c r="H128" s="568"/>
      <c r="I128" s="568"/>
      <c r="J128" s="568"/>
      <c r="K128" s="568"/>
    </row>
    <row r="129" spans="1:11" ht="16.5" customHeight="1" x14ac:dyDescent="0.3">
      <c r="A129" s="113" t="s">
        <v>7</v>
      </c>
      <c r="B129" s="582" t="s">
        <v>240</v>
      </c>
      <c r="C129" s="582"/>
      <c r="D129" s="568"/>
      <c r="E129" s="568"/>
      <c r="F129" s="568"/>
      <c r="G129" s="568"/>
      <c r="H129" s="568"/>
      <c r="I129" s="568"/>
      <c r="J129" s="568"/>
      <c r="K129" s="568"/>
    </row>
    <row r="130" spans="1:11" ht="16.5" customHeight="1" x14ac:dyDescent="0.3">
      <c r="A130" s="113" t="s">
        <v>8</v>
      </c>
      <c r="B130" s="582" t="s">
        <v>241</v>
      </c>
      <c r="C130" s="582"/>
      <c r="D130" s="568"/>
      <c r="E130" s="568"/>
      <c r="F130" s="568"/>
      <c r="G130" s="568"/>
      <c r="H130" s="568"/>
      <c r="I130" s="568"/>
      <c r="J130" s="568"/>
      <c r="K130" s="568"/>
    </row>
    <row r="131" spans="1:11" ht="32.4" customHeight="1" x14ac:dyDescent="0.3">
      <c r="A131" s="113" t="s">
        <v>9</v>
      </c>
      <c r="B131" s="569" t="s">
        <v>242</v>
      </c>
      <c r="C131" s="569"/>
      <c r="D131" s="568"/>
      <c r="E131" s="568"/>
      <c r="F131" s="568"/>
      <c r="G131" s="568"/>
      <c r="H131" s="568"/>
      <c r="I131" s="568"/>
      <c r="J131" s="568"/>
      <c r="K131" s="568"/>
    </row>
    <row r="132" spans="1:11" ht="16.5" customHeight="1" x14ac:dyDescent="0.3">
      <c r="A132" s="113" t="s">
        <v>10</v>
      </c>
      <c r="B132" s="569" t="s">
        <v>211</v>
      </c>
      <c r="C132" s="569"/>
      <c r="D132" s="568"/>
      <c r="E132" s="568"/>
      <c r="F132" s="568"/>
      <c r="G132" s="568"/>
      <c r="H132" s="568"/>
      <c r="I132" s="568"/>
      <c r="J132" s="568"/>
      <c r="K132" s="568"/>
    </row>
    <row r="133" spans="1:11" ht="48.9" customHeight="1" x14ac:dyDescent="0.3">
      <c r="A133" s="113" t="s">
        <v>11</v>
      </c>
      <c r="B133" s="569" t="s">
        <v>213</v>
      </c>
      <c r="C133" s="569"/>
      <c r="D133" s="568"/>
      <c r="E133" s="568"/>
      <c r="F133" s="568"/>
      <c r="G133" s="568"/>
      <c r="H133" s="568"/>
      <c r="I133" s="568"/>
      <c r="J133" s="568"/>
      <c r="K133" s="568"/>
    </row>
    <row r="134" spans="1:11" ht="16.5" customHeight="1" x14ac:dyDescent="0.3">
      <c r="A134" s="107" t="s">
        <v>676</v>
      </c>
      <c r="B134" s="583" t="s">
        <v>302</v>
      </c>
      <c r="C134" s="583"/>
      <c r="D134" s="583"/>
      <c r="E134" s="583"/>
      <c r="F134" s="583"/>
      <c r="G134" s="583"/>
      <c r="H134" s="583"/>
      <c r="I134" s="583"/>
      <c r="J134" s="583"/>
      <c r="K134" s="583"/>
    </row>
    <row r="135" spans="1:11" ht="16.5" customHeight="1" x14ac:dyDescent="0.25">
      <c r="A135" s="114"/>
      <c r="B135" s="609"/>
      <c r="C135" s="609"/>
      <c r="D135" s="609"/>
      <c r="E135" s="609"/>
      <c r="F135" s="584" t="s">
        <v>220</v>
      </c>
      <c r="G135" s="584"/>
      <c r="H135" s="584"/>
      <c r="I135" s="584"/>
      <c r="J135" s="584"/>
      <c r="K135" s="584"/>
    </row>
    <row r="136" spans="1:11" ht="16.5" customHeight="1" x14ac:dyDescent="0.3">
      <c r="A136" s="113" t="s">
        <v>542</v>
      </c>
      <c r="B136" s="585" t="s">
        <v>204</v>
      </c>
      <c r="C136" s="585"/>
      <c r="D136" s="585" t="s">
        <v>231</v>
      </c>
      <c r="E136" s="585"/>
      <c r="F136" s="107" t="s">
        <v>49</v>
      </c>
      <c r="G136" s="107" t="s">
        <v>547</v>
      </c>
      <c r="H136" s="585" t="s">
        <v>48</v>
      </c>
      <c r="I136" s="585"/>
      <c r="J136" s="585" t="s">
        <v>308</v>
      </c>
      <c r="K136" s="610"/>
    </row>
    <row r="137" spans="1:11" ht="16.5" customHeight="1" x14ac:dyDescent="0.3">
      <c r="A137" s="113" t="s">
        <v>6</v>
      </c>
      <c r="B137" s="567">
        <v>0.05</v>
      </c>
      <c r="C137" s="567"/>
      <c r="D137" s="568"/>
      <c r="E137" s="568"/>
      <c r="F137" s="156"/>
      <c r="G137" s="156"/>
      <c r="H137" s="568"/>
      <c r="I137" s="568"/>
      <c r="J137" s="568"/>
      <c r="K137" s="568"/>
    </row>
    <row r="138" spans="1:11" ht="16.5" customHeight="1" x14ac:dyDescent="0.3">
      <c r="A138" s="187" t="s">
        <v>692</v>
      </c>
      <c r="B138" s="571">
        <v>0.06</v>
      </c>
      <c r="C138" s="572"/>
      <c r="D138" s="573"/>
      <c r="E138" s="574"/>
      <c r="F138" s="186"/>
      <c r="G138" s="186"/>
      <c r="H138" s="573"/>
      <c r="I138" s="574"/>
      <c r="J138" s="573"/>
      <c r="K138" s="574"/>
    </row>
    <row r="139" spans="1:11" ht="16.5" customHeight="1" x14ac:dyDescent="0.3">
      <c r="A139" s="113" t="s">
        <v>7</v>
      </c>
      <c r="B139" s="567">
        <v>0.12</v>
      </c>
      <c r="C139" s="567"/>
      <c r="D139" s="568"/>
      <c r="E139" s="568"/>
      <c r="F139" s="156"/>
      <c r="G139" s="156"/>
      <c r="H139" s="568"/>
      <c r="I139" s="568"/>
      <c r="J139" s="568"/>
      <c r="K139" s="568"/>
    </row>
    <row r="140" spans="1:11" ht="16.5" customHeight="1" x14ac:dyDescent="0.3">
      <c r="A140" s="113" t="s">
        <v>8</v>
      </c>
      <c r="B140" s="567">
        <v>0.18</v>
      </c>
      <c r="C140" s="567"/>
      <c r="D140" s="568"/>
      <c r="E140" s="568"/>
      <c r="F140" s="156"/>
      <c r="G140" s="156"/>
      <c r="H140" s="568"/>
      <c r="I140" s="568"/>
      <c r="J140" s="568"/>
      <c r="K140" s="568"/>
    </row>
    <row r="141" spans="1:11" ht="16.5" customHeight="1" x14ac:dyDescent="0.3">
      <c r="A141" s="113" t="s">
        <v>9</v>
      </c>
      <c r="B141" s="567">
        <v>0.28000000000000003</v>
      </c>
      <c r="C141" s="567"/>
      <c r="D141" s="568"/>
      <c r="E141" s="568"/>
      <c r="F141" s="156"/>
      <c r="G141" s="156"/>
      <c r="H141" s="568"/>
      <c r="I141" s="568"/>
      <c r="J141" s="568"/>
      <c r="K141" s="568"/>
    </row>
    <row r="142" spans="1:11" ht="33" customHeight="1" x14ac:dyDescent="0.3">
      <c r="A142" s="113" t="s">
        <v>724</v>
      </c>
      <c r="B142" s="567">
        <v>0.4</v>
      </c>
      <c r="C142" s="567"/>
      <c r="D142" s="568"/>
      <c r="E142" s="568"/>
      <c r="F142" s="156"/>
      <c r="G142" s="156"/>
      <c r="H142" s="568"/>
      <c r="I142" s="568"/>
      <c r="J142" s="568"/>
      <c r="K142" s="568"/>
    </row>
    <row r="143" spans="1:11" ht="16.5" customHeight="1" x14ac:dyDescent="0.3">
      <c r="A143" s="113" t="s">
        <v>10</v>
      </c>
      <c r="B143" s="567">
        <v>0.03</v>
      </c>
      <c r="C143" s="567"/>
      <c r="D143" s="568"/>
      <c r="E143" s="568"/>
      <c r="F143" s="156"/>
      <c r="G143" s="156"/>
      <c r="H143" s="568"/>
      <c r="I143" s="568"/>
      <c r="J143" s="568"/>
      <c r="K143" s="568"/>
    </row>
    <row r="144" spans="1:11" ht="16.5" customHeight="1" x14ac:dyDescent="0.3">
      <c r="A144" s="113" t="s">
        <v>11</v>
      </c>
      <c r="B144" s="581">
        <v>2.5000000000000001E-3</v>
      </c>
      <c r="C144" s="581"/>
      <c r="D144" s="568"/>
      <c r="E144" s="568"/>
      <c r="F144" s="156"/>
      <c r="G144" s="156"/>
      <c r="H144" s="568"/>
      <c r="I144" s="568"/>
      <c r="J144" s="568"/>
      <c r="K144" s="568"/>
    </row>
    <row r="145" spans="1:12" ht="16.5" customHeight="1" x14ac:dyDescent="0.3">
      <c r="A145" s="113" t="s">
        <v>12</v>
      </c>
      <c r="B145" s="581">
        <v>1E-3</v>
      </c>
      <c r="C145" s="581"/>
      <c r="D145" s="568"/>
      <c r="E145" s="568"/>
      <c r="F145" s="156"/>
      <c r="G145" s="156"/>
      <c r="H145" s="568"/>
      <c r="I145" s="568"/>
      <c r="J145" s="568"/>
      <c r="K145" s="568"/>
    </row>
    <row r="146" spans="1:12" ht="114" customHeight="1" x14ac:dyDescent="0.3">
      <c r="A146" s="113" t="s">
        <v>14</v>
      </c>
      <c r="B146" s="582" t="s">
        <v>243</v>
      </c>
      <c r="C146" s="582"/>
      <c r="D146" s="568"/>
      <c r="E146" s="568"/>
      <c r="F146" s="156"/>
      <c r="G146" s="156"/>
      <c r="H146" s="568"/>
      <c r="I146" s="568"/>
      <c r="J146" s="568"/>
      <c r="K146" s="568"/>
    </row>
    <row r="147" spans="1:12" ht="55.5" customHeight="1" x14ac:dyDescent="0.3">
      <c r="A147" s="113" t="s">
        <v>16</v>
      </c>
      <c r="B147" s="569" t="s">
        <v>211</v>
      </c>
      <c r="C147" s="569"/>
      <c r="D147" s="568"/>
      <c r="E147" s="568"/>
      <c r="F147" s="156"/>
      <c r="G147" s="156"/>
      <c r="H147" s="568"/>
      <c r="I147" s="568"/>
      <c r="J147" s="568"/>
      <c r="K147" s="568"/>
    </row>
    <row r="148" spans="1:12" ht="48" customHeight="1" x14ac:dyDescent="0.3">
      <c r="A148" s="113" t="s">
        <v>17</v>
      </c>
      <c r="B148" s="569" t="s">
        <v>212</v>
      </c>
      <c r="C148" s="569"/>
      <c r="D148" s="568"/>
      <c r="E148" s="568"/>
      <c r="F148" s="156"/>
      <c r="G148" s="156"/>
      <c r="H148" s="568"/>
      <c r="I148" s="568"/>
      <c r="J148" s="568"/>
      <c r="K148" s="568"/>
    </row>
    <row r="149" spans="1:12" ht="33" customHeight="1" x14ac:dyDescent="0.3">
      <c r="A149" s="113" t="s">
        <v>18</v>
      </c>
      <c r="B149" s="569" t="s">
        <v>213</v>
      </c>
      <c r="C149" s="569"/>
      <c r="D149" s="568"/>
      <c r="E149" s="568"/>
      <c r="F149" s="156"/>
      <c r="G149" s="156"/>
      <c r="H149" s="568"/>
      <c r="I149" s="568"/>
      <c r="J149" s="568"/>
      <c r="K149" s="568"/>
    </row>
    <row r="150" spans="1:12" ht="17.25" customHeight="1" x14ac:dyDescent="0.3">
      <c r="A150" s="113" t="s">
        <v>20</v>
      </c>
      <c r="B150" s="569" t="s">
        <v>310</v>
      </c>
      <c r="C150" s="582"/>
      <c r="D150" s="568"/>
      <c r="E150" s="568"/>
      <c r="F150" s="156"/>
      <c r="G150" s="156"/>
      <c r="H150" s="568"/>
      <c r="I150" s="568"/>
      <c r="J150" s="568"/>
      <c r="K150" s="568"/>
    </row>
    <row r="151" spans="1:12" ht="17.25" customHeight="1" x14ac:dyDescent="0.3">
      <c r="A151" s="113" t="s">
        <v>21</v>
      </c>
      <c r="B151" s="582" t="s">
        <v>244</v>
      </c>
      <c r="C151" s="582"/>
      <c r="D151" s="568"/>
      <c r="E151" s="568"/>
      <c r="F151" s="156"/>
      <c r="G151" s="156"/>
      <c r="H151" s="568"/>
      <c r="I151" s="568"/>
      <c r="J151" s="568"/>
      <c r="K151" s="568"/>
      <c r="L151" s="63"/>
    </row>
    <row r="152" spans="1:12" ht="17.25" customHeight="1" x14ac:dyDescent="0.3">
      <c r="A152" s="113" t="s">
        <v>22</v>
      </c>
      <c r="B152" s="582" t="s">
        <v>245</v>
      </c>
      <c r="C152" s="582"/>
      <c r="D152" s="568"/>
      <c r="E152" s="568"/>
      <c r="F152" s="156"/>
      <c r="G152" s="156"/>
      <c r="H152" s="568"/>
      <c r="I152" s="568"/>
      <c r="J152" s="568"/>
      <c r="K152" s="568"/>
      <c r="L152" s="63"/>
    </row>
    <row r="153" spans="1:12" ht="17.25" customHeight="1" x14ac:dyDescent="0.3">
      <c r="A153" s="113" t="s">
        <v>29</v>
      </c>
      <c r="B153" s="582" t="s">
        <v>246</v>
      </c>
      <c r="C153" s="582"/>
      <c r="D153" s="568"/>
      <c r="E153" s="568"/>
      <c r="F153" s="156"/>
      <c r="G153" s="156"/>
      <c r="H153" s="568"/>
      <c r="I153" s="568"/>
      <c r="J153" s="568"/>
      <c r="K153" s="568"/>
      <c r="L153" s="63"/>
    </row>
    <row r="154" spans="1:12" ht="15.6" x14ac:dyDescent="0.3">
      <c r="A154" s="59"/>
    </row>
    <row r="155" spans="1:12" ht="38.25" customHeight="1" x14ac:dyDescent="0.3">
      <c r="A155" s="608" t="s">
        <v>300</v>
      </c>
      <c r="B155" s="608"/>
      <c r="C155" s="608"/>
      <c r="D155" s="608"/>
      <c r="E155" s="608"/>
      <c r="F155" s="608"/>
      <c r="G155" s="608"/>
      <c r="H155" s="608"/>
      <c r="I155" s="608"/>
      <c r="J155" s="608"/>
      <c r="K155" s="608"/>
    </row>
    <row r="156" spans="1:12" ht="43.5" customHeight="1" x14ac:dyDescent="0.3">
      <c r="A156" s="608"/>
      <c r="B156" s="608"/>
      <c r="C156" s="608"/>
      <c r="D156" s="608"/>
      <c r="E156" s="608"/>
      <c r="F156" s="608"/>
      <c r="G156" s="608"/>
      <c r="H156" s="608"/>
      <c r="I156" s="608"/>
      <c r="J156" s="608"/>
      <c r="K156" s="608"/>
    </row>
    <row r="157" spans="1:12" ht="49.5" customHeight="1" x14ac:dyDescent="0.3">
      <c r="A157" s="608"/>
      <c r="B157" s="608"/>
      <c r="C157" s="608"/>
      <c r="D157" s="608"/>
      <c r="E157" s="608"/>
      <c r="F157" s="608"/>
      <c r="G157" s="608"/>
      <c r="H157" s="608"/>
      <c r="I157" s="608"/>
      <c r="J157" s="608"/>
      <c r="K157" s="608"/>
    </row>
    <row r="158" spans="1:12" ht="15.6" x14ac:dyDescent="0.3">
      <c r="A158" s="90"/>
      <c r="B158" s="90"/>
      <c r="C158" s="90"/>
      <c r="D158" s="90"/>
      <c r="E158" s="90"/>
      <c r="F158" s="90"/>
      <c r="G158" s="90"/>
      <c r="H158" s="90"/>
      <c r="I158" s="90"/>
      <c r="J158" s="90"/>
      <c r="K158" s="90"/>
    </row>
    <row r="159" spans="1:12" ht="85.5" customHeight="1" x14ac:dyDescent="0.3">
      <c r="A159" s="592" t="s">
        <v>548</v>
      </c>
      <c r="B159" s="592"/>
      <c r="C159" s="592"/>
      <c r="D159" s="90"/>
      <c r="E159" s="90"/>
      <c r="F159" s="589" t="str">
        <f>IF('PT V'!E29="","",'PT V'!E29)</f>
        <v/>
      </c>
      <c r="G159" s="589"/>
      <c r="H159" s="589"/>
      <c r="I159" s="90"/>
      <c r="J159" s="90"/>
      <c r="K159" s="90"/>
    </row>
    <row r="160" spans="1:12" ht="85.5" customHeight="1" x14ac:dyDescent="0.3">
      <c r="A160" s="592" t="s">
        <v>549</v>
      </c>
      <c r="B160" s="592"/>
      <c r="C160" s="592"/>
      <c r="D160" s="90"/>
      <c r="E160" s="90"/>
      <c r="F160" s="589" t="str">
        <f>IF('PT V'!E30="","",'PT V'!E30)</f>
        <v>DD/MM/YYYY</v>
      </c>
      <c r="G160" s="589"/>
      <c r="H160" s="589"/>
      <c r="I160" s="90"/>
      <c r="J160" s="90"/>
      <c r="K160" s="90"/>
    </row>
    <row r="161" spans="1:11" ht="85.5" customHeight="1" x14ac:dyDescent="0.3">
      <c r="A161" s="592" t="s">
        <v>550</v>
      </c>
      <c r="B161" s="592"/>
      <c r="C161" s="592"/>
      <c r="D161" s="90"/>
      <c r="E161" s="90"/>
      <c r="F161" s="589" t="str">
        <f>IF('PT V'!E31="","",'PT V'!E31)</f>
        <v/>
      </c>
      <c r="G161" s="589"/>
      <c r="H161" s="589"/>
      <c r="I161" s="90"/>
      <c r="J161" s="90"/>
      <c r="K161" s="90"/>
    </row>
    <row r="162" spans="1:11" ht="14.25" customHeight="1" x14ac:dyDescent="0.3">
      <c r="A162" s="592" t="s">
        <v>551</v>
      </c>
      <c r="B162" s="592"/>
      <c r="C162" s="592"/>
      <c r="D162" s="90"/>
      <c r="E162" s="90"/>
      <c r="F162" s="594" t="str">
        <f>IF('PT V'!E32="","",'PT V'!E32)</f>
        <v/>
      </c>
      <c r="G162" s="594"/>
      <c r="H162" s="594"/>
      <c r="I162" s="90"/>
      <c r="J162" s="90"/>
      <c r="K162" s="90"/>
    </row>
    <row r="163" spans="1:11" ht="15.6" x14ac:dyDescent="0.3">
      <c r="A163" s="90" t="s">
        <v>553</v>
      </c>
      <c r="B163" s="90"/>
      <c r="C163" s="586" t="s">
        <v>552</v>
      </c>
      <c r="D163" s="587"/>
      <c r="E163" s="588"/>
      <c r="F163" s="589">
        <f>'PT V'!E33</f>
        <v>0</v>
      </c>
      <c r="G163" s="589"/>
      <c r="H163" s="590" t="s">
        <v>148</v>
      </c>
      <c r="I163" s="590"/>
      <c r="J163" s="604" t="str">
        <f>IF('PT V'!G33="","",'PT V'!G33)</f>
        <v/>
      </c>
      <c r="K163" s="589"/>
    </row>
    <row r="164" spans="1:11" ht="15.6" x14ac:dyDescent="0.3">
      <c r="A164" s="90"/>
      <c r="B164" s="90"/>
      <c r="C164" s="591" t="s">
        <v>579</v>
      </c>
      <c r="D164" s="590"/>
      <c r="E164" s="590"/>
      <c r="F164" s="589" t="str">
        <f>IF('PT V'!E34="","",'PT V'!E34)</f>
        <v/>
      </c>
      <c r="G164" s="589"/>
      <c r="H164" s="590" t="s">
        <v>556</v>
      </c>
      <c r="I164" s="590"/>
      <c r="J164" s="589">
        <f>'PT V'!G34</f>
        <v>0</v>
      </c>
      <c r="K164" s="589"/>
    </row>
    <row r="165" spans="1:11" ht="15.6" x14ac:dyDescent="0.3">
      <c r="A165" s="90"/>
      <c r="B165" s="90"/>
      <c r="C165" s="590" t="s">
        <v>566</v>
      </c>
      <c r="D165" s="590"/>
      <c r="E165" s="590"/>
      <c r="F165" s="589">
        <f>'PT V'!E35</f>
        <v>0</v>
      </c>
      <c r="G165" s="589"/>
      <c r="H165" s="590" t="s">
        <v>555</v>
      </c>
      <c r="I165" s="590"/>
      <c r="J165" s="589">
        <f>'PT V'!G35</f>
        <v>0</v>
      </c>
      <c r="K165" s="589"/>
    </row>
    <row r="166" spans="1:11" ht="48" customHeight="1" x14ac:dyDescent="0.3">
      <c r="A166" s="90"/>
      <c r="B166" s="90"/>
      <c r="C166" s="586" t="s">
        <v>554</v>
      </c>
      <c r="D166" s="587"/>
      <c r="E166" s="588"/>
      <c r="F166" s="589">
        <f>'PT V'!E36</f>
        <v>0</v>
      </c>
      <c r="G166" s="589"/>
      <c r="H166" s="590" t="s">
        <v>557</v>
      </c>
      <c r="I166" s="590"/>
      <c r="J166" s="589">
        <f>'PT V'!G36</f>
        <v>0</v>
      </c>
      <c r="K166" s="589"/>
    </row>
    <row r="167" spans="1:11" ht="15.6" x14ac:dyDescent="0.3">
      <c r="A167" s="90"/>
      <c r="B167" s="90"/>
      <c r="C167" s="93"/>
      <c r="D167" s="93"/>
      <c r="E167" s="93"/>
      <c r="F167" s="94"/>
      <c r="G167" s="94"/>
      <c r="H167" s="93"/>
      <c r="I167" s="93"/>
      <c r="J167" s="94"/>
      <c r="K167" s="94"/>
    </row>
    <row r="168" spans="1:11" ht="15.6" x14ac:dyDescent="0.3">
      <c r="A168" s="592" t="s">
        <v>583</v>
      </c>
      <c r="B168" s="592"/>
      <c r="C168" s="592"/>
      <c r="D168" s="592"/>
      <c r="E168" s="90"/>
      <c r="F168" s="607">
        <f>'PT V'!E38</f>
        <v>0</v>
      </c>
      <c r="G168" s="607"/>
      <c r="H168" s="90"/>
      <c r="I168" s="90"/>
      <c r="J168" s="90"/>
      <c r="K168" s="90"/>
    </row>
    <row r="169" spans="1:11" ht="15.6" x14ac:dyDescent="0.3">
      <c r="A169" s="95"/>
      <c r="B169" s="95"/>
      <c r="C169" s="90"/>
      <c r="D169" s="90"/>
      <c r="E169" s="90"/>
      <c r="F169" s="95"/>
      <c r="G169" s="95"/>
      <c r="H169" s="90"/>
      <c r="I169" s="90"/>
      <c r="J169" s="90"/>
      <c r="K169" s="90"/>
    </row>
    <row r="170" spans="1:11" ht="15.6" x14ac:dyDescent="0.3">
      <c r="A170" s="606" t="s">
        <v>568</v>
      </c>
      <c r="B170" s="606"/>
      <c r="C170" s="606"/>
      <c r="D170" s="606"/>
      <c r="E170" s="606"/>
      <c r="F170" s="606"/>
      <c r="G170" s="606"/>
      <c r="H170" s="606"/>
      <c r="I170" s="606"/>
      <c r="J170" s="606"/>
      <c r="K170" s="606"/>
    </row>
    <row r="171" spans="1:11" ht="15.6" x14ac:dyDescent="0.3">
      <c r="A171" s="90"/>
      <c r="B171" s="90"/>
      <c r="C171" s="90"/>
      <c r="D171" s="90"/>
      <c r="E171" s="90"/>
      <c r="F171" s="90"/>
      <c r="G171" s="90"/>
      <c r="H171" s="90"/>
      <c r="I171" s="90"/>
      <c r="J171" s="90"/>
      <c r="K171" s="90"/>
    </row>
    <row r="172" spans="1:11" ht="85.5" customHeight="1" x14ac:dyDescent="0.3">
      <c r="A172" s="92" t="str">
        <f>'Part B (ii)'!B5</f>
        <v>I</v>
      </c>
      <c r="B172" s="90" t="s">
        <v>109</v>
      </c>
      <c r="C172" s="90"/>
      <c r="D172" s="90"/>
      <c r="E172" s="90"/>
      <c r="F172" s="90"/>
      <c r="G172" s="90"/>
      <c r="H172" s="90"/>
      <c r="I172" s="90"/>
      <c r="J172" s="90"/>
      <c r="K172" s="90"/>
    </row>
    <row r="173" spans="1:11" ht="85.5" customHeight="1" x14ac:dyDescent="0.3">
      <c r="A173" s="96"/>
      <c r="B173" s="90"/>
      <c r="C173" s="90"/>
      <c r="D173" s="90"/>
      <c r="E173" s="90"/>
      <c r="F173" s="90"/>
      <c r="G173" s="90"/>
      <c r="H173" s="90"/>
      <c r="I173" s="90"/>
      <c r="J173" s="90"/>
      <c r="K173" s="90"/>
    </row>
    <row r="174" spans="1:11" ht="85.5" customHeight="1" x14ac:dyDescent="0.3">
      <c r="A174" s="98" t="s">
        <v>564</v>
      </c>
      <c r="B174" s="90"/>
      <c r="C174" s="594" t="str">
        <f>'Part B (ii)'!C7</f>
        <v>M/S</v>
      </c>
      <c r="D174" s="594"/>
      <c r="E174" s="589">
        <f>'Part B (ii)'!D7</f>
        <v>0</v>
      </c>
      <c r="F174" s="589"/>
      <c r="G174" s="589"/>
      <c r="H174" s="90"/>
      <c r="I174" s="90"/>
      <c r="J174" s="90"/>
      <c r="K174" s="90"/>
    </row>
    <row r="175" spans="1:11" ht="15.6" x14ac:dyDescent="0.3">
      <c r="A175" s="90"/>
      <c r="B175" s="90"/>
      <c r="C175" s="90"/>
      <c r="D175" s="90"/>
      <c r="E175" s="90"/>
      <c r="F175" s="90"/>
      <c r="G175" s="90"/>
      <c r="H175" s="90"/>
      <c r="I175" s="90"/>
      <c r="J175" s="90"/>
      <c r="K175" s="90"/>
    </row>
    <row r="176" spans="1:11" ht="15.6" x14ac:dyDescent="0.3">
      <c r="A176" s="592" t="s">
        <v>565</v>
      </c>
      <c r="B176" s="592"/>
      <c r="C176" s="586" t="s">
        <v>552</v>
      </c>
      <c r="D176" s="587"/>
      <c r="E176" s="588"/>
      <c r="F176" s="604">
        <f>'Part B (ii)'!D9</f>
        <v>0</v>
      </c>
      <c r="G176" s="604"/>
      <c r="H176" s="590" t="s">
        <v>148</v>
      </c>
      <c r="I176" s="590"/>
      <c r="J176" s="589" t="str">
        <f>IF('Part B (ii)'!F9="","",'Part B (ii)'!F9)</f>
        <v/>
      </c>
      <c r="K176" s="589"/>
    </row>
    <row r="177" spans="1:11" ht="15.6" x14ac:dyDescent="0.3">
      <c r="A177" s="90"/>
      <c r="B177" s="90"/>
      <c r="C177" s="591" t="s">
        <v>579</v>
      </c>
      <c r="D177" s="590"/>
      <c r="E177" s="590"/>
      <c r="F177" s="589" t="str">
        <f>IF('Part B (ii)'!D10="","",'Part B (ii)'!D10)</f>
        <v/>
      </c>
      <c r="G177" s="589"/>
      <c r="H177" s="590" t="s">
        <v>556</v>
      </c>
      <c r="I177" s="590"/>
      <c r="J177" s="589" t="str">
        <f>IF('Part B (ii)'!F10="","",'Part B (ii)'!F10)</f>
        <v/>
      </c>
      <c r="K177" s="589"/>
    </row>
    <row r="178" spans="1:11" ht="15.6" x14ac:dyDescent="0.3">
      <c r="A178" s="90"/>
      <c r="B178" s="90"/>
      <c r="C178" s="590" t="s">
        <v>566</v>
      </c>
      <c r="D178" s="590"/>
      <c r="E178" s="590"/>
      <c r="F178" s="604">
        <f>'Part B (ii)'!D11</f>
        <v>0</v>
      </c>
      <c r="G178" s="604"/>
      <c r="H178" s="590" t="s">
        <v>555</v>
      </c>
      <c r="I178" s="590"/>
      <c r="J178" s="604">
        <f>'Part B (ii)'!F11</f>
        <v>0</v>
      </c>
      <c r="K178" s="604"/>
    </row>
    <row r="179" spans="1:11" ht="15.6" x14ac:dyDescent="0.3">
      <c r="A179" s="90"/>
      <c r="B179" s="90"/>
      <c r="C179" s="586" t="s">
        <v>554</v>
      </c>
      <c r="D179" s="587"/>
      <c r="E179" s="588"/>
      <c r="F179" s="589">
        <f>'Part B (ii)'!D12</f>
        <v>0</v>
      </c>
      <c r="G179" s="589"/>
      <c r="H179" s="590" t="s">
        <v>557</v>
      </c>
      <c r="I179" s="590"/>
      <c r="J179" s="589">
        <f>'Part B (ii)'!F12</f>
        <v>0</v>
      </c>
      <c r="K179" s="589"/>
    </row>
    <row r="180" spans="1:11" ht="15.6" x14ac:dyDescent="0.3">
      <c r="A180" s="90"/>
      <c r="B180" s="90"/>
      <c r="C180" s="90"/>
      <c r="D180" s="90"/>
      <c r="E180" s="90"/>
      <c r="F180" s="90"/>
      <c r="G180" s="90"/>
      <c r="H180" s="90"/>
      <c r="I180" s="90"/>
      <c r="J180" s="90"/>
      <c r="K180" s="90"/>
    </row>
    <row r="181" spans="1:11" ht="85.5" customHeight="1" x14ac:dyDescent="0.3">
      <c r="A181" s="598" t="s">
        <v>110</v>
      </c>
      <c r="B181" s="598"/>
      <c r="C181" s="598"/>
      <c r="D181" s="90"/>
      <c r="E181" s="90"/>
      <c r="F181" s="90"/>
      <c r="G181" s="90"/>
      <c r="H181" s="90"/>
      <c r="I181" s="90"/>
      <c r="J181" s="90"/>
      <c r="K181" s="90"/>
    </row>
    <row r="182" spans="1:11" ht="85.5" customHeight="1" x14ac:dyDescent="0.3">
      <c r="A182" s="90"/>
      <c r="B182" s="90"/>
      <c r="C182" s="90"/>
      <c r="D182" s="90"/>
      <c r="E182" s="90"/>
      <c r="F182" s="90"/>
      <c r="G182" s="90"/>
      <c r="H182" s="90"/>
      <c r="I182" s="90"/>
      <c r="J182" s="90"/>
      <c r="K182" s="90"/>
    </row>
    <row r="183" spans="1:11" ht="85.5" customHeight="1" x14ac:dyDescent="0.3">
      <c r="A183" s="96" t="s">
        <v>564</v>
      </c>
      <c r="B183" s="90"/>
      <c r="C183" s="594" t="str">
        <f>'Part B (ii)'!C16</f>
        <v>M/S</v>
      </c>
      <c r="D183" s="594"/>
      <c r="E183" s="589">
        <f>'Part B (ii)'!D16</f>
        <v>0</v>
      </c>
      <c r="F183" s="589"/>
      <c r="G183" s="589"/>
      <c r="H183" s="90"/>
      <c r="I183" s="90"/>
      <c r="J183" s="90"/>
      <c r="K183" s="90"/>
    </row>
    <row r="184" spans="1:11" ht="15.6" x14ac:dyDescent="0.3">
      <c r="A184" s="90"/>
      <c r="B184" s="90"/>
      <c r="C184" s="90"/>
      <c r="D184" s="90"/>
      <c r="E184" s="90"/>
      <c r="F184" s="90"/>
      <c r="G184" s="90"/>
      <c r="H184" s="90"/>
      <c r="I184" s="90"/>
      <c r="J184" s="90"/>
      <c r="K184" s="90"/>
    </row>
    <row r="185" spans="1:11" ht="15.6" x14ac:dyDescent="0.3">
      <c r="A185" s="592" t="s">
        <v>565</v>
      </c>
      <c r="B185" s="592"/>
      <c r="C185" s="586" t="s">
        <v>552</v>
      </c>
      <c r="D185" s="587"/>
      <c r="E185" s="588"/>
      <c r="F185" s="604">
        <f>'Part B (ii)'!D18</f>
        <v>0</v>
      </c>
      <c r="G185" s="604"/>
      <c r="H185" s="590" t="s">
        <v>148</v>
      </c>
      <c r="I185" s="590"/>
      <c r="J185" s="589" t="str">
        <f>IF('Part B (ii)'!F18="","",'Part B (ii)'!F18)</f>
        <v/>
      </c>
      <c r="K185" s="589"/>
    </row>
    <row r="186" spans="1:11" ht="15.6" x14ac:dyDescent="0.3">
      <c r="A186" s="90"/>
      <c r="B186" s="90"/>
      <c r="C186" s="591" t="s">
        <v>579</v>
      </c>
      <c r="D186" s="590"/>
      <c r="E186" s="590"/>
      <c r="F186" s="589" t="str">
        <f>IF('Part B (ii)'!D19="","",'Part B (ii)'!D19)</f>
        <v/>
      </c>
      <c r="G186" s="589"/>
      <c r="H186" s="590" t="s">
        <v>556</v>
      </c>
      <c r="I186" s="590"/>
      <c r="J186" s="589" t="str">
        <f>IF('Part B (ii)'!F19="","",'Part B (ii)'!F19)</f>
        <v/>
      </c>
      <c r="K186" s="589"/>
    </row>
    <row r="187" spans="1:11" ht="15.6" x14ac:dyDescent="0.3">
      <c r="A187" s="90"/>
      <c r="B187" s="90"/>
      <c r="C187" s="590" t="s">
        <v>566</v>
      </c>
      <c r="D187" s="590"/>
      <c r="E187" s="590"/>
      <c r="F187" s="604">
        <f>'Part B (ii)'!D20</f>
        <v>0</v>
      </c>
      <c r="G187" s="604"/>
      <c r="H187" s="590" t="s">
        <v>555</v>
      </c>
      <c r="I187" s="590"/>
      <c r="J187" s="604">
        <f>'Part B (ii)'!F20</f>
        <v>0</v>
      </c>
      <c r="K187" s="604"/>
    </row>
    <row r="188" spans="1:11" ht="15.6" x14ac:dyDescent="0.3">
      <c r="A188" s="90"/>
      <c r="B188" s="90"/>
      <c r="C188" s="586" t="s">
        <v>554</v>
      </c>
      <c r="D188" s="587"/>
      <c r="E188" s="588"/>
      <c r="F188" s="589">
        <f>'Part B (ii)'!D21</f>
        <v>0</v>
      </c>
      <c r="G188" s="589"/>
      <c r="H188" s="590" t="s">
        <v>557</v>
      </c>
      <c r="I188" s="590"/>
      <c r="J188" s="589">
        <f>'Part B (ii)'!F21</f>
        <v>0</v>
      </c>
      <c r="K188" s="589"/>
    </row>
    <row r="189" spans="1:11" ht="15.6" x14ac:dyDescent="0.3">
      <c r="A189" s="90"/>
      <c r="B189" s="90"/>
      <c r="C189" s="90"/>
      <c r="D189" s="90"/>
      <c r="E189" s="90"/>
      <c r="F189" s="90"/>
      <c r="G189" s="90"/>
      <c r="H189" s="90"/>
      <c r="I189" s="90"/>
      <c r="J189" s="90"/>
      <c r="K189" s="90"/>
    </row>
    <row r="190" spans="1:11" ht="15.6" x14ac:dyDescent="0.3">
      <c r="A190" s="90" t="s">
        <v>615</v>
      </c>
      <c r="B190" s="90"/>
      <c r="C190" s="90"/>
      <c r="D190" s="90"/>
      <c r="E190" s="605">
        <f>'Part B (ii)'!C23</f>
        <v>123456</v>
      </c>
      <c r="F190" s="605"/>
      <c r="G190" s="90" t="s">
        <v>616</v>
      </c>
      <c r="H190" s="90"/>
      <c r="I190" s="90"/>
      <c r="J190" s="90"/>
      <c r="K190" s="90"/>
    </row>
    <row r="191" spans="1:11" ht="15.6" x14ac:dyDescent="0.3">
      <c r="A191" s="597">
        <f>'Part B (ii)'!E23</f>
        <v>0</v>
      </c>
      <c r="B191" s="597"/>
      <c r="C191" s="597"/>
      <c r="D191" s="597"/>
      <c r="E191" s="597"/>
      <c r="F191" s="90" t="s">
        <v>102</v>
      </c>
      <c r="G191" s="90" t="str">
        <f>'Part B (ii)'!H23</f>
        <v>I</v>
      </c>
      <c r="H191" s="90" t="s">
        <v>289</v>
      </c>
      <c r="I191" s="90"/>
      <c r="J191" s="90"/>
      <c r="K191" s="90"/>
    </row>
    <row r="192" spans="1:11" ht="15.6" x14ac:dyDescent="0.3">
      <c r="A192" s="90" t="s">
        <v>288</v>
      </c>
      <c r="B192" s="90"/>
      <c r="C192" s="98"/>
      <c r="D192" s="602" t="str">
        <f>'Part B (ii)'!D25</f>
        <v>DD/MM/YYYY</v>
      </c>
      <c r="E192" s="603"/>
      <c r="F192" s="91" t="s">
        <v>115</v>
      </c>
      <c r="G192" s="90"/>
      <c r="H192" s="90"/>
      <c r="I192" s="90"/>
      <c r="J192" s="90"/>
      <c r="K192" s="90"/>
    </row>
    <row r="193" spans="1:11" ht="15.6" x14ac:dyDescent="0.3">
      <c r="A193" s="90"/>
      <c r="B193" s="90"/>
      <c r="C193" s="90"/>
      <c r="D193" s="90"/>
      <c r="E193" s="90"/>
      <c r="F193" s="90"/>
      <c r="G193" s="90"/>
      <c r="H193" s="90"/>
      <c r="I193" s="90"/>
      <c r="J193" s="90"/>
      <c r="K193" s="90"/>
    </row>
    <row r="194" spans="1:11" ht="15.6" x14ac:dyDescent="0.3">
      <c r="A194" s="595" t="s">
        <v>558</v>
      </c>
      <c r="B194" s="595"/>
      <c r="C194" s="595"/>
      <c r="D194" s="595"/>
      <c r="E194" s="596" t="str">
        <f>'Part B (ii)'!D27</f>
        <v>DD/MM/YYYY</v>
      </c>
      <c r="F194" s="597"/>
      <c r="G194" s="597"/>
      <c r="H194" s="90"/>
      <c r="I194" s="90"/>
      <c r="J194" s="90"/>
      <c r="K194" s="90"/>
    </row>
    <row r="195" spans="1:11" ht="15.6" x14ac:dyDescent="0.3">
      <c r="A195" s="90"/>
      <c r="B195" s="90"/>
      <c r="C195" s="90"/>
      <c r="D195" s="90"/>
      <c r="E195" s="90"/>
      <c r="F195" s="90"/>
      <c r="G195" s="90"/>
      <c r="H195" s="90"/>
      <c r="I195" s="90"/>
      <c r="J195" s="90"/>
      <c r="K195" s="90"/>
    </row>
    <row r="196" spans="1:11" ht="15.6" x14ac:dyDescent="0.3">
      <c r="A196" s="595" t="s">
        <v>567</v>
      </c>
      <c r="B196" s="595"/>
      <c r="C196" s="595"/>
      <c r="D196" s="595"/>
      <c r="E196" s="597" t="str">
        <f>'Part B (ii)'!D29</f>
        <v>profit and loss account</v>
      </c>
      <c r="F196" s="597"/>
      <c r="G196" s="597"/>
      <c r="H196" s="597"/>
      <c r="I196" s="90"/>
      <c r="J196" s="90"/>
      <c r="K196" s="90"/>
    </row>
    <row r="197" spans="1:11" ht="15.6" x14ac:dyDescent="0.3">
      <c r="A197" s="595" t="s">
        <v>560</v>
      </c>
      <c r="B197" s="595"/>
      <c r="C197" s="595"/>
      <c r="D197" s="595"/>
      <c r="E197" s="596" t="str">
        <f>'Part B (ii)'!D30</f>
        <v>DD/MM/YYYY</v>
      </c>
      <c r="F197" s="597"/>
      <c r="G197" s="597"/>
      <c r="H197" s="90"/>
      <c r="I197" s="90"/>
      <c r="J197" s="90"/>
      <c r="K197" s="90"/>
    </row>
    <row r="198" spans="1:11" ht="15.6" x14ac:dyDescent="0.3">
      <c r="A198" s="601" t="s">
        <v>561</v>
      </c>
      <c r="B198" s="601"/>
      <c r="C198" s="601"/>
      <c r="D198" s="601"/>
      <c r="E198" s="596" t="str">
        <f>'Part B (ii)'!D31</f>
        <v>DD/MM/YYYY</v>
      </c>
      <c r="F198" s="597"/>
      <c r="G198" s="597"/>
      <c r="H198" s="90"/>
      <c r="I198" s="90"/>
      <c r="J198" s="90"/>
      <c r="K198" s="90"/>
    </row>
    <row r="199" spans="1:11" ht="15.6" x14ac:dyDescent="0.3">
      <c r="A199" s="90"/>
      <c r="B199" s="90"/>
      <c r="C199" s="90"/>
      <c r="D199" s="90"/>
      <c r="E199" s="90"/>
      <c r="F199" s="90"/>
      <c r="G199" s="90"/>
      <c r="H199" s="90"/>
      <c r="I199" s="90"/>
      <c r="J199" s="90"/>
      <c r="K199" s="90"/>
    </row>
    <row r="200" spans="1:11" ht="15.6" x14ac:dyDescent="0.3">
      <c r="A200" s="595" t="s">
        <v>72</v>
      </c>
      <c r="B200" s="595"/>
      <c r="C200" s="595"/>
      <c r="D200" s="595"/>
      <c r="E200" s="595"/>
      <c r="F200" s="595"/>
      <c r="G200" s="90"/>
      <c r="H200" s="90"/>
      <c r="I200" s="90"/>
      <c r="J200" s="90"/>
      <c r="K200" s="90"/>
    </row>
    <row r="201" spans="1:11" ht="15.6" x14ac:dyDescent="0.3">
      <c r="A201" s="601" t="s">
        <v>562</v>
      </c>
      <c r="B201" s="601"/>
      <c r="C201" s="601"/>
      <c r="D201" s="601"/>
      <c r="E201" s="596" t="str">
        <f>'Part B (ii)'!D34</f>
        <v>DD/MM/YYYY</v>
      </c>
      <c r="F201" s="597"/>
      <c r="G201" s="597"/>
      <c r="H201" s="90"/>
      <c r="I201" s="90"/>
      <c r="J201" s="90"/>
      <c r="K201" s="90"/>
    </row>
    <row r="202" spans="1:11" ht="15.6" x14ac:dyDescent="0.3">
      <c r="A202" s="595" t="s">
        <v>563</v>
      </c>
      <c r="B202" s="595"/>
      <c r="C202" s="595"/>
      <c r="D202" s="595"/>
      <c r="E202" s="596" t="str">
        <f>'Part B (ii)'!D35</f>
        <v>DD/MM/YYYY</v>
      </c>
      <c r="F202" s="597"/>
      <c r="G202" s="597"/>
      <c r="H202" s="90"/>
      <c r="I202" s="90"/>
      <c r="J202" s="90"/>
      <c r="K202" s="90"/>
    </row>
    <row r="203" spans="1:11" ht="15.6" x14ac:dyDescent="0.3">
      <c r="A203" s="90"/>
      <c r="B203" s="90"/>
      <c r="C203" s="90"/>
      <c r="D203" s="90"/>
      <c r="E203" s="90"/>
      <c r="F203" s="90"/>
      <c r="G203" s="90"/>
      <c r="H203" s="90"/>
      <c r="I203" s="90"/>
      <c r="J203" s="90"/>
      <c r="K203" s="90"/>
    </row>
    <row r="204" spans="1:11" ht="15.6" x14ac:dyDescent="0.3">
      <c r="A204" s="90" t="s">
        <v>303</v>
      </c>
      <c r="B204" s="90"/>
      <c r="C204" s="90"/>
      <c r="D204" s="90"/>
      <c r="E204" s="90"/>
      <c r="F204" s="90"/>
      <c r="G204" s="90"/>
      <c r="H204" s="597" t="str">
        <f>'Part B (ii)'!E37</f>
        <v>profit and loss account</v>
      </c>
      <c r="I204" s="597"/>
      <c r="J204" s="597"/>
      <c r="K204" s="597"/>
    </row>
    <row r="205" spans="1:11" ht="15.6" x14ac:dyDescent="0.3">
      <c r="A205" s="90" t="s">
        <v>117</v>
      </c>
      <c r="B205" s="90"/>
      <c r="C205" s="90"/>
      <c r="D205" s="90"/>
      <c r="E205" s="90"/>
      <c r="F205" s="90"/>
      <c r="G205" s="90"/>
      <c r="H205" s="90"/>
      <c r="I205" s="90"/>
      <c r="J205" s="90"/>
      <c r="K205" s="90"/>
    </row>
    <row r="206" spans="1:11" ht="15.6" x14ac:dyDescent="0.3">
      <c r="A206" s="90"/>
      <c r="B206" s="90"/>
      <c r="C206" s="90"/>
      <c r="D206" s="90"/>
      <c r="E206" s="90"/>
      <c r="F206" s="90"/>
      <c r="G206" s="90"/>
      <c r="H206" s="90"/>
      <c r="I206" s="90"/>
      <c r="J206" s="90"/>
      <c r="K206" s="90"/>
    </row>
    <row r="207" spans="1:11" ht="15.6" x14ac:dyDescent="0.3">
      <c r="A207" s="97">
        <v>2</v>
      </c>
      <c r="B207" s="97" t="str">
        <f>'Part B (ii)'!B40:C40</f>
        <v>I</v>
      </c>
      <c r="C207" s="91" t="s">
        <v>86</v>
      </c>
      <c r="D207" s="90"/>
      <c r="E207" s="90"/>
      <c r="F207" s="91"/>
      <c r="G207" s="91"/>
      <c r="H207" s="91"/>
      <c r="I207" s="90"/>
      <c r="J207" s="90"/>
      <c r="K207" s="90"/>
    </row>
    <row r="208" spans="1:11" ht="15.6" x14ac:dyDescent="0.3">
      <c r="A208" s="592" t="str">
        <f>'Part B (ii)'!B41</f>
        <v>has maintained the books of accounts, records and documents</v>
      </c>
      <c r="B208" s="592"/>
      <c r="C208" s="592"/>
      <c r="D208" s="592"/>
      <c r="E208" s="592"/>
      <c r="F208" s="592"/>
      <c r="G208" s="592"/>
      <c r="H208" s="592"/>
      <c r="I208" s="98" t="s">
        <v>287</v>
      </c>
      <c r="J208" s="90"/>
      <c r="K208" s="90"/>
    </row>
    <row r="209" spans="1:11" ht="15.6" x14ac:dyDescent="0.3">
      <c r="A209" s="598" t="s">
        <v>286</v>
      </c>
      <c r="B209" s="598"/>
      <c r="C209" s="598"/>
      <c r="D209" s="598"/>
      <c r="E209" s="598"/>
      <c r="F209" s="598"/>
      <c r="G209" s="598"/>
      <c r="H209" s="598"/>
      <c r="I209" s="598"/>
      <c r="J209" s="598"/>
      <c r="K209" s="90"/>
    </row>
    <row r="210" spans="1:11" ht="15.6" x14ac:dyDescent="0.3">
      <c r="A210" s="90"/>
      <c r="B210" s="90"/>
      <c r="C210" s="90"/>
      <c r="D210" s="90"/>
      <c r="E210" s="90"/>
      <c r="F210" s="90"/>
      <c r="G210" s="90"/>
      <c r="H210" s="90"/>
      <c r="I210" s="90"/>
      <c r="J210" s="90"/>
      <c r="K210" s="90"/>
    </row>
    <row r="211" spans="1:11" ht="15.6" x14ac:dyDescent="0.3">
      <c r="A211" s="90" t="s">
        <v>285</v>
      </c>
      <c r="B211" s="90"/>
      <c r="C211" s="90"/>
      <c r="D211" s="90"/>
      <c r="E211" s="90"/>
      <c r="F211" s="90"/>
      <c r="G211" s="90"/>
      <c r="H211" s="90"/>
      <c r="I211" s="90"/>
      <c r="J211" s="90"/>
      <c r="K211" s="90"/>
    </row>
    <row r="212" spans="1:11" ht="15.6" x14ac:dyDescent="0.3">
      <c r="A212" s="90" t="s">
        <v>284</v>
      </c>
      <c r="B212" s="90"/>
      <c r="C212" s="90"/>
      <c r="D212" s="90"/>
      <c r="E212" s="90"/>
      <c r="F212" s="90"/>
      <c r="G212" s="90"/>
      <c r="H212" s="90"/>
      <c r="I212" s="90"/>
      <c r="J212" s="90"/>
      <c r="K212" s="90"/>
    </row>
    <row r="213" spans="1:11" ht="15.6" x14ac:dyDescent="0.3">
      <c r="A213" s="90" t="s">
        <v>104</v>
      </c>
      <c r="B213" s="90"/>
      <c r="C213" s="90"/>
      <c r="D213" s="90"/>
      <c r="E213" s="90"/>
      <c r="F213" s="90"/>
      <c r="G213" s="90"/>
      <c r="H213" s="90"/>
      <c r="I213" s="90"/>
      <c r="J213" s="90"/>
      <c r="K213" s="90"/>
    </row>
    <row r="214" spans="1:11" ht="15.6" x14ac:dyDescent="0.3">
      <c r="A214" s="90"/>
      <c r="B214" s="90"/>
      <c r="C214" s="90"/>
      <c r="D214" s="90"/>
      <c r="E214" s="90"/>
      <c r="F214" s="90"/>
      <c r="G214" s="90"/>
      <c r="H214" s="90"/>
      <c r="I214" s="90"/>
      <c r="J214" s="90"/>
      <c r="K214" s="90"/>
    </row>
    <row r="215" spans="1:11" ht="15.6" x14ac:dyDescent="0.3">
      <c r="A215" s="90" t="s">
        <v>283</v>
      </c>
      <c r="B215" s="90" t="str">
        <f>'Part B (ii)'!C47</f>
        <v>my</v>
      </c>
      <c r="C215" s="91" t="s">
        <v>105</v>
      </c>
      <c r="D215" s="90"/>
      <c r="E215" s="90"/>
      <c r="F215" s="90" t="str">
        <f>'Part B (ii)'!E47</f>
        <v>my</v>
      </c>
      <c r="G215" s="90" t="s">
        <v>282</v>
      </c>
      <c r="H215" s="90"/>
      <c r="I215" s="90"/>
      <c r="J215" s="90"/>
      <c r="K215" s="90"/>
    </row>
    <row r="216" spans="1:11" ht="15.6" x14ac:dyDescent="0.3">
      <c r="A216" s="90" t="s">
        <v>281</v>
      </c>
      <c r="B216" s="90"/>
      <c r="C216" s="90" t="str">
        <f>'Part B (ii)'!H47</f>
        <v>my</v>
      </c>
      <c r="D216" s="90" t="s">
        <v>619</v>
      </c>
      <c r="E216" s="90"/>
      <c r="F216" s="90"/>
      <c r="G216" s="90"/>
      <c r="H216" s="90"/>
      <c r="I216" s="90"/>
      <c r="J216" s="90"/>
      <c r="K216" s="90"/>
    </row>
    <row r="217" spans="1:11" ht="15.6" x14ac:dyDescent="0.3">
      <c r="A217" s="90" t="s">
        <v>280</v>
      </c>
      <c r="B217" s="90"/>
      <c r="C217" s="90"/>
      <c r="D217" s="90"/>
      <c r="E217" s="90"/>
      <c r="F217" s="90"/>
      <c r="G217" s="90"/>
      <c r="H217" s="90"/>
      <c r="I217" s="90"/>
      <c r="J217" s="90"/>
      <c r="K217" s="90"/>
    </row>
    <row r="218" spans="1:11" ht="395.25" customHeight="1" x14ac:dyDescent="0.3">
      <c r="A218" s="90"/>
      <c r="B218" s="90"/>
      <c r="C218" s="90"/>
      <c r="D218" s="90"/>
      <c r="E218" s="90"/>
      <c r="F218" s="90"/>
      <c r="G218" s="90"/>
      <c r="H218" s="90"/>
      <c r="I218" s="90"/>
      <c r="J218" s="90"/>
      <c r="K218" s="90"/>
    </row>
    <row r="219" spans="1:11" ht="15.6" x14ac:dyDescent="0.3">
      <c r="A219" s="99" t="s">
        <v>81</v>
      </c>
      <c r="B219" s="90"/>
      <c r="C219" s="90"/>
      <c r="D219" s="90"/>
      <c r="E219" s="90"/>
      <c r="F219" s="90"/>
      <c r="G219" s="90"/>
      <c r="H219" s="90"/>
      <c r="I219" s="90"/>
      <c r="J219" s="90"/>
      <c r="K219" s="90"/>
    </row>
    <row r="220" spans="1:11" ht="15.6" x14ac:dyDescent="0.3">
      <c r="A220" s="90"/>
      <c r="B220" s="90"/>
      <c r="C220" s="90"/>
      <c r="D220" s="90"/>
      <c r="E220" s="90"/>
      <c r="F220" s="90"/>
      <c r="G220" s="90"/>
      <c r="H220" s="90"/>
      <c r="I220" s="90"/>
      <c r="J220" s="90"/>
      <c r="K220" s="90"/>
    </row>
    <row r="221" spans="1:11" ht="15.6" x14ac:dyDescent="0.3">
      <c r="A221" s="90"/>
      <c r="B221" s="100" t="s">
        <v>74</v>
      </c>
      <c r="C221" s="599" t="s">
        <v>75</v>
      </c>
      <c r="D221" s="599"/>
      <c r="E221" s="599"/>
      <c r="F221" s="599"/>
      <c r="G221" s="600" t="s">
        <v>76</v>
      </c>
      <c r="H221" s="600"/>
      <c r="I221" s="600"/>
      <c r="J221" s="90"/>
      <c r="K221" s="90"/>
    </row>
    <row r="222" spans="1:11" ht="40.5" customHeight="1" x14ac:dyDescent="0.3">
      <c r="A222" s="90"/>
      <c r="B222" s="92">
        <v>1</v>
      </c>
      <c r="C222" s="589"/>
      <c r="D222" s="589"/>
      <c r="E222" s="589"/>
      <c r="F222" s="589"/>
      <c r="G222" s="589"/>
      <c r="H222" s="589"/>
      <c r="I222" s="589"/>
      <c r="J222" s="90"/>
      <c r="K222" s="90"/>
    </row>
    <row r="223" spans="1:11" ht="33" customHeight="1" x14ac:dyDescent="0.3">
      <c r="A223" s="90"/>
      <c r="B223" s="90"/>
      <c r="C223" s="90"/>
      <c r="D223" s="90"/>
      <c r="E223" s="90"/>
      <c r="F223" s="90"/>
      <c r="G223" s="90"/>
      <c r="H223" s="90"/>
      <c r="I223" s="90"/>
      <c r="J223" s="90"/>
      <c r="K223" s="90"/>
    </row>
    <row r="224" spans="1:11" ht="38.25" customHeight="1" x14ac:dyDescent="0.3">
      <c r="A224" s="101" t="s">
        <v>80</v>
      </c>
      <c r="B224" s="90"/>
      <c r="C224" s="90"/>
      <c r="D224" s="90"/>
      <c r="E224" s="90"/>
      <c r="F224" s="90"/>
      <c r="G224" s="90"/>
      <c r="H224" s="90"/>
      <c r="I224" s="90"/>
      <c r="J224" s="90"/>
      <c r="K224" s="90"/>
    </row>
    <row r="225" spans="1:11" ht="15.6" x14ac:dyDescent="0.3">
      <c r="A225" s="90"/>
      <c r="B225" s="90"/>
      <c r="C225" s="90"/>
      <c r="D225" s="90"/>
      <c r="E225" s="90"/>
      <c r="F225" s="90"/>
      <c r="G225" s="90"/>
      <c r="H225" s="90"/>
      <c r="I225" s="90"/>
      <c r="J225" s="90"/>
      <c r="K225" s="90"/>
    </row>
    <row r="226" spans="1:11" ht="85.5" customHeight="1" x14ac:dyDescent="0.3">
      <c r="A226" s="592" t="s">
        <v>548</v>
      </c>
      <c r="B226" s="592"/>
      <c r="C226" s="592"/>
      <c r="D226" s="90"/>
      <c r="E226" s="90"/>
      <c r="F226" s="589">
        <f>'Part B (ii)'!D58</f>
        <v>0</v>
      </c>
      <c r="G226" s="589"/>
      <c r="H226" s="589"/>
      <c r="I226" s="90"/>
      <c r="J226" s="90"/>
      <c r="K226" s="90"/>
    </row>
    <row r="227" spans="1:11" ht="85.5" customHeight="1" x14ac:dyDescent="0.3">
      <c r="A227" s="592" t="s">
        <v>549</v>
      </c>
      <c r="B227" s="592"/>
      <c r="C227" s="592"/>
      <c r="D227" s="90"/>
      <c r="E227" s="90"/>
      <c r="F227" s="589">
        <f>'Part B (ii)'!D59</f>
        <v>0</v>
      </c>
      <c r="G227" s="589"/>
      <c r="H227" s="589"/>
      <c r="I227" s="90"/>
      <c r="J227" s="90"/>
      <c r="K227" s="90"/>
    </row>
    <row r="228" spans="1:11" ht="85.5" customHeight="1" x14ac:dyDescent="0.3">
      <c r="A228" s="592" t="s">
        <v>550</v>
      </c>
      <c r="B228" s="592"/>
      <c r="C228" s="592"/>
      <c r="D228" s="90"/>
      <c r="E228" s="90"/>
      <c r="F228" s="589">
        <f>'Part B (ii)'!D60</f>
        <v>0</v>
      </c>
      <c r="G228" s="589"/>
      <c r="H228" s="589"/>
      <c r="I228" s="90"/>
      <c r="J228" s="90"/>
      <c r="K228" s="90"/>
    </row>
    <row r="229" spans="1:11" ht="15.6" x14ac:dyDescent="0.3">
      <c r="A229" s="592" t="s">
        <v>551</v>
      </c>
      <c r="B229" s="592"/>
      <c r="C229" s="592"/>
      <c r="D229" s="90"/>
      <c r="E229" s="90"/>
      <c r="F229" s="593" t="str">
        <f>'Part B (ii)'!D61</f>
        <v>DD/MM/YYYY</v>
      </c>
      <c r="G229" s="594"/>
      <c r="H229" s="594"/>
      <c r="I229" s="90"/>
      <c r="J229" s="90"/>
      <c r="K229" s="90"/>
    </row>
    <row r="230" spans="1:11" ht="15.6" x14ac:dyDescent="0.3">
      <c r="A230" s="90" t="s">
        <v>553</v>
      </c>
      <c r="B230" s="90"/>
      <c r="C230" s="586" t="s">
        <v>552</v>
      </c>
      <c r="D230" s="587"/>
      <c r="E230" s="588"/>
      <c r="F230" s="589">
        <f>'Part B (ii)'!E62</f>
        <v>0</v>
      </c>
      <c r="G230" s="589"/>
      <c r="H230" s="590" t="s">
        <v>148</v>
      </c>
      <c r="I230" s="590"/>
      <c r="J230" s="589" t="str">
        <f>IF('Part B (ii)'!G62="","",'Part B (ii)'!G62)</f>
        <v/>
      </c>
      <c r="K230" s="589"/>
    </row>
    <row r="231" spans="1:11" ht="15.6" x14ac:dyDescent="0.3">
      <c r="A231" s="90"/>
      <c r="B231" s="90"/>
      <c r="C231" s="591" t="s">
        <v>569</v>
      </c>
      <c r="D231" s="590"/>
      <c r="E231" s="590"/>
      <c r="F231" s="589" t="str">
        <f>IF('Part B (ii)'!E63="","",'Part B (ii)'!E63)</f>
        <v/>
      </c>
      <c r="G231" s="589"/>
      <c r="H231" s="590" t="s">
        <v>556</v>
      </c>
      <c r="I231" s="590"/>
      <c r="J231" s="589">
        <f>'Part B (ii)'!G63</f>
        <v>0</v>
      </c>
      <c r="K231" s="589"/>
    </row>
    <row r="232" spans="1:11" ht="15.6" x14ac:dyDescent="0.3">
      <c r="A232" s="90"/>
      <c r="B232" s="90"/>
      <c r="C232" s="590" t="s">
        <v>566</v>
      </c>
      <c r="D232" s="590"/>
      <c r="E232" s="590"/>
      <c r="F232" s="589">
        <f>'Part B (ii)'!E64</f>
        <v>0</v>
      </c>
      <c r="G232" s="589"/>
      <c r="H232" s="590" t="s">
        <v>555</v>
      </c>
      <c r="I232" s="590"/>
      <c r="J232" s="589">
        <f>'Part B (ii)'!G64</f>
        <v>0</v>
      </c>
      <c r="K232" s="589"/>
    </row>
    <row r="233" spans="1:11" ht="15.6" x14ac:dyDescent="0.3">
      <c r="A233" s="90"/>
      <c r="B233" s="90"/>
      <c r="C233" s="586" t="s">
        <v>554</v>
      </c>
      <c r="D233" s="587"/>
      <c r="E233" s="588"/>
      <c r="F233" s="589">
        <f>'Part B (ii)'!E65</f>
        <v>0</v>
      </c>
      <c r="G233" s="589"/>
      <c r="H233" s="590" t="s">
        <v>557</v>
      </c>
      <c r="I233" s="590"/>
      <c r="J233" s="589">
        <f>'Part B (ii)'!G65</f>
        <v>0</v>
      </c>
      <c r="K233" s="589"/>
    </row>
  </sheetData>
  <mergeCells count="551">
    <mergeCell ref="E2:G2"/>
    <mergeCell ref="B3:K3"/>
    <mergeCell ref="I16:K16"/>
    <mergeCell ref="B17:G17"/>
    <mergeCell ref="I17:K17"/>
    <mergeCell ref="B12:F12"/>
    <mergeCell ref="G12:K12"/>
    <mergeCell ref="B13:K13"/>
    <mergeCell ref="B14:K14"/>
    <mergeCell ref="B16:H16"/>
    <mergeCell ref="B15:H15"/>
    <mergeCell ref="I15:K15"/>
    <mergeCell ref="B9:F9"/>
    <mergeCell ref="G9:K9"/>
    <mergeCell ref="B10:F10"/>
    <mergeCell ref="G10:K10"/>
    <mergeCell ref="B11:F11"/>
    <mergeCell ref="G11:K11"/>
    <mergeCell ref="B4:F4"/>
    <mergeCell ref="G4:K4"/>
    <mergeCell ref="B5:F5"/>
    <mergeCell ref="G5:K5"/>
    <mergeCell ref="B6:F6"/>
    <mergeCell ref="G6:K6"/>
    <mergeCell ref="I21:K21"/>
    <mergeCell ref="B22:G22"/>
    <mergeCell ref="I22:K22"/>
    <mergeCell ref="B23:G23"/>
    <mergeCell ref="I23:K23"/>
    <mergeCell ref="B18:G18"/>
    <mergeCell ref="I18:K18"/>
    <mergeCell ref="B19:G19"/>
    <mergeCell ref="I19:K19"/>
    <mergeCell ref="B20:G20"/>
    <mergeCell ref="I20:K20"/>
    <mergeCell ref="B21:G21"/>
    <mergeCell ref="B27:G27"/>
    <mergeCell ref="I27:K27"/>
    <mergeCell ref="B28:G28"/>
    <mergeCell ref="I28:K28"/>
    <mergeCell ref="I29:K29"/>
    <mergeCell ref="B24:G24"/>
    <mergeCell ref="I24:K24"/>
    <mergeCell ref="B25:G25"/>
    <mergeCell ref="I25:K25"/>
    <mergeCell ref="B26:G26"/>
    <mergeCell ref="I26:K26"/>
    <mergeCell ref="B29:G29"/>
    <mergeCell ref="B34:K34"/>
    <mergeCell ref="B38:H38"/>
    <mergeCell ref="I38:K38"/>
    <mergeCell ref="I30:K30"/>
    <mergeCell ref="B31:H31"/>
    <mergeCell ref="I31:K31"/>
    <mergeCell ref="B30:G30"/>
    <mergeCell ref="B32:H32"/>
    <mergeCell ref="I32:K32"/>
    <mergeCell ref="B33:H33"/>
    <mergeCell ref="I33:K33"/>
    <mergeCell ref="B35:D35"/>
    <mergeCell ref="E35:K35"/>
    <mergeCell ref="B36:K36"/>
    <mergeCell ref="B37:H37"/>
    <mergeCell ref="I37:K37"/>
    <mergeCell ref="A49:A50"/>
    <mergeCell ref="B42:H42"/>
    <mergeCell ref="I42:K42"/>
    <mergeCell ref="B45:K45"/>
    <mergeCell ref="B39:H39"/>
    <mergeCell ref="I39:K39"/>
    <mergeCell ref="B40:H40"/>
    <mergeCell ref="I40:K40"/>
    <mergeCell ref="B41:H41"/>
    <mergeCell ref="I41:K41"/>
    <mergeCell ref="B43:H43"/>
    <mergeCell ref="I43:K43"/>
    <mergeCell ref="B44:H44"/>
    <mergeCell ref="I44:K44"/>
    <mergeCell ref="H50:I50"/>
    <mergeCell ref="J50:K50"/>
    <mergeCell ref="B49:C50"/>
    <mergeCell ref="D49:E50"/>
    <mergeCell ref="F49:K49"/>
    <mergeCell ref="B46:D46"/>
    <mergeCell ref="E46:K46"/>
    <mergeCell ref="B47:K47"/>
    <mergeCell ref="B48:K48"/>
    <mergeCell ref="B52:C52"/>
    <mergeCell ref="D52:E52"/>
    <mergeCell ref="H52:I52"/>
    <mergeCell ref="J52:K52"/>
    <mergeCell ref="B54:C54"/>
    <mergeCell ref="D54:E54"/>
    <mergeCell ref="H54:I54"/>
    <mergeCell ref="J54:K54"/>
    <mergeCell ref="B51:C51"/>
    <mergeCell ref="D51:E51"/>
    <mergeCell ref="H51:I51"/>
    <mergeCell ref="J51:K51"/>
    <mergeCell ref="D53:E53"/>
    <mergeCell ref="B53:C53"/>
    <mergeCell ref="H53:I53"/>
    <mergeCell ref="J53:K53"/>
    <mergeCell ref="B57:C57"/>
    <mergeCell ref="D57:E57"/>
    <mergeCell ref="H57:I57"/>
    <mergeCell ref="J57:K57"/>
    <mergeCell ref="B58:C58"/>
    <mergeCell ref="D58:E58"/>
    <mergeCell ref="H58:I58"/>
    <mergeCell ref="J58:K58"/>
    <mergeCell ref="B55:C55"/>
    <mergeCell ref="D55:E55"/>
    <mergeCell ref="H55:I55"/>
    <mergeCell ref="J55:K55"/>
    <mergeCell ref="B56:C56"/>
    <mergeCell ref="D56:E56"/>
    <mergeCell ref="H56:I56"/>
    <mergeCell ref="J56:K56"/>
    <mergeCell ref="B63:C63"/>
    <mergeCell ref="D63:E63"/>
    <mergeCell ref="H63:I63"/>
    <mergeCell ref="J63:K63"/>
    <mergeCell ref="B64:C64"/>
    <mergeCell ref="D64:E64"/>
    <mergeCell ref="H64:I64"/>
    <mergeCell ref="J64:K64"/>
    <mergeCell ref="B61:C61"/>
    <mergeCell ref="D61:E61"/>
    <mergeCell ref="H61:I61"/>
    <mergeCell ref="J61:K61"/>
    <mergeCell ref="B62:C62"/>
    <mergeCell ref="D62:E62"/>
    <mergeCell ref="H62:I62"/>
    <mergeCell ref="J62:K62"/>
    <mergeCell ref="B65:C65"/>
    <mergeCell ref="D65:E65"/>
    <mergeCell ref="H65:I65"/>
    <mergeCell ref="J65:K65"/>
    <mergeCell ref="B66:C66"/>
    <mergeCell ref="D66:E66"/>
    <mergeCell ref="H66:I66"/>
    <mergeCell ref="J66:K66"/>
    <mergeCell ref="B69:C69"/>
    <mergeCell ref="D69:E69"/>
    <mergeCell ref="B67:C67"/>
    <mergeCell ref="D67:E67"/>
    <mergeCell ref="H67:I67"/>
    <mergeCell ref="J67:K67"/>
    <mergeCell ref="B68:C68"/>
    <mergeCell ref="D68:E68"/>
    <mergeCell ref="H68:I68"/>
    <mergeCell ref="J68:K68"/>
    <mergeCell ref="H69:I69"/>
    <mergeCell ref="J69:K69"/>
    <mergeCell ref="J80:K80"/>
    <mergeCell ref="J70:K70"/>
    <mergeCell ref="B71:C71"/>
    <mergeCell ref="D71:E71"/>
    <mergeCell ref="H71:I71"/>
    <mergeCell ref="J71:K71"/>
    <mergeCell ref="B77:C77"/>
    <mergeCell ref="D77:E77"/>
    <mergeCell ref="H77:I77"/>
    <mergeCell ref="J77:K77"/>
    <mergeCell ref="D75:E75"/>
    <mergeCell ref="B76:C76"/>
    <mergeCell ref="D76:E76"/>
    <mergeCell ref="H76:I76"/>
    <mergeCell ref="B72:K72"/>
    <mergeCell ref="B75:C75"/>
    <mergeCell ref="B73:D73"/>
    <mergeCell ref="E73:K73"/>
    <mergeCell ref="J76:K76"/>
    <mergeCell ref="B74:K74"/>
    <mergeCell ref="F75:K75"/>
    <mergeCell ref="B70:C70"/>
    <mergeCell ref="D70:E70"/>
    <mergeCell ref="H70:I70"/>
    <mergeCell ref="A90:A91"/>
    <mergeCell ref="B90:K91"/>
    <mergeCell ref="B92:K92"/>
    <mergeCell ref="B94:H94"/>
    <mergeCell ref="B88:C88"/>
    <mergeCell ref="D88:E88"/>
    <mergeCell ref="H88:I88"/>
    <mergeCell ref="J88:K88"/>
    <mergeCell ref="B89:C89"/>
    <mergeCell ref="D89:E89"/>
    <mergeCell ref="H89:I89"/>
    <mergeCell ref="J89:K89"/>
    <mergeCell ref="I94:K94"/>
    <mergeCell ref="B93:H93"/>
    <mergeCell ref="I93:K93"/>
    <mergeCell ref="B102:K102"/>
    <mergeCell ref="B86:C86"/>
    <mergeCell ref="D86:E86"/>
    <mergeCell ref="H86:I86"/>
    <mergeCell ref="J86:K86"/>
    <mergeCell ref="B87:C87"/>
    <mergeCell ref="D87:E87"/>
    <mergeCell ref="B85:C85"/>
    <mergeCell ref="D85:E85"/>
    <mergeCell ref="H85:I85"/>
    <mergeCell ref="J85:K85"/>
    <mergeCell ref="H87:I87"/>
    <mergeCell ref="J87:K87"/>
    <mergeCell ref="B101:D101"/>
    <mergeCell ref="B97:H97"/>
    <mergeCell ref="I97:K97"/>
    <mergeCell ref="B100:K100"/>
    <mergeCell ref="B98:H98"/>
    <mergeCell ref="I98:K98"/>
    <mergeCell ref="B99:H99"/>
    <mergeCell ref="I99:K99"/>
    <mergeCell ref="E101:K101"/>
    <mergeCell ref="I95:K95"/>
    <mergeCell ref="I96:K96"/>
    <mergeCell ref="B104:D104"/>
    <mergeCell ref="E104:F104"/>
    <mergeCell ref="G104:H104"/>
    <mergeCell ref="I104:K104"/>
    <mergeCell ref="B105:D105"/>
    <mergeCell ref="E105:F105"/>
    <mergeCell ref="G105:H105"/>
    <mergeCell ref="I105:K105"/>
    <mergeCell ref="B103:D103"/>
    <mergeCell ref="E103:F103"/>
    <mergeCell ref="G103:H103"/>
    <mergeCell ref="I103:K103"/>
    <mergeCell ref="B108:D108"/>
    <mergeCell ref="E108:F108"/>
    <mergeCell ref="G108:H108"/>
    <mergeCell ref="I108:K108"/>
    <mergeCell ref="B109:D109"/>
    <mergeCell ref="E109:F109"/>
    <mergeCell ref="G109:H109"/>
    <mergeCell ref="I109:K109"/>
    <mergeCell ref="B106:D106"/>
    <mergeCell ref="E106:F106"/>
    <mergeCell ref="G106:H106"/>
    <mergeCell ref="I106:K106"/>
    <mergeCell ref="B107:D107"/>
    <mergeCell ref="E107:F107"/>
    <mergeCell ref="G107:H107"/>
    <mergeCell ref="I107:K107"/>
    <mergeCell ref="B112:D112"/>
    <mergeCell ref="E112:F112"/>
    <mergeCell ref="G112:H112"/>
    <mergeCell ref="I112:K112"/>
    <mergeCell ref="B113:D113"/>
    <mergeCell ref="E113:F113"/>
    <mergeCell ref="G113:H113"/>
    <mergeCell ref="I113:K113"/>
    <mergeCell ref="B110:D110"/>
    <mergeCell ref="E110:F110"/>
    <mergeCell ref="G110:H110"/>
    <mergeCell ref="I110:K110"/>
    <mergeCell ref="B111:D111"/>
    <mergeCell ref="E111:F111"/>
    <mergeCell ref="G111:H111"/>
    <mergeCell ref="I111:K111"/>
    <mergeCell ref="B116:D116"/>
    <mergeCell ref="E116:F116"/>
    <mergeCell ref="G116:H116"/>
    <mergeCell ref="I116:K116"/>
    <mergeCell ref="B117:D117"/>
    <mergeCell ref="E117:F117"/>
    <mergeCell ref="G117:H117"/>
    <mergeCell ref="I117:K117"/>
    <mergeCell ref="B114:D114"/>
    <mergeCell ref="E114:F114"/>
    <mergeCell ref="G114:H114"/>
    <mergeCell ref="I114:K114"/>
    <mergeCell ref="B115:D115"/>
    <mergeCell ref="E115:F115"/>
    <mergeCell ref="G115:H115"/>
    <mergeCell ref="I115:K115"/>
    <mergeCell ref="B120:D120"/>
    <mergeCell ref="E120:F120"/>
    <mergeCell ref="G120:H120"/>
    <mergeCell ref="I120:K120"/>
    <mergeCell ref="B121:D121"/>
    <mergeCell ref="E121:F121"/>
    <mergeCell ref="G121:H121"/>
    <mergeCell ref="I121:K121"/>
    <mergeCell ref="B118:D118"/>
    <mergeCell ref="E118:F118"/>
    <mergeCell ref="G118:H118"/>
    <mergeCell ref="I118:K118"/>
    <mergeCell ref="B119:D119"/>
    <mergeCell ref="E119:F119"/>
    <mergeCell ref="G119:H119"/>
    <mergeCell ref="I119:K119"/>
    <mergeCell ref="D129:K129"/>
    <mergeCell ref="B130:C130"/>
    <mergeCell ref="D130:K130"/>
    <mergeCell ref="B123:D123"/>
    <mergeCell ref="B124:K124"/>
    <mergeCell ref="B127:C127"/>
    <mergeCell ref="E125:K125"/>
    <mergeCell ref="B126:K126"/>
    <mergeCell ref="B122:D122"/>
    <mergeCell ref="E122:F122"/>
    <mergeCell ref="G122:H122"/>
    <mergeCell ref="I122:K122"/>
    <mergeCell ref="E123:F123"/>
    <mergeCell ref="G123:H123"/>
    <mergeCell ref="I123:K123"/>
    <mergeCell ref="B125:D125"/>
    <mergeCell ref="B139:C139"/>
    <mergeCell ref="D139:E139"/>
    <mergeCell ref="H139:I139"/>
    <mergeCell ref="J139:K139"/>
    <mergeCell ref="B140:C140"/>
    <mergeCell ref="D140:E140"/>
    <mergeCell ref="H140:I140"/>
    <mergeCell ref="J140:K140"/>
    <mergeCell ref="B131:C131"/>
    <mergeCell ref="D131:K131"/>
    <mergeCell ref="B133:C133"/>
    <mergeCell ref="B137:C137"/>
    <mergeCell ref="D137:E137"/>
    <mergeCell ref="H137:I137"/>
    <mergeCell ref="J137:K137"/>
    <mergeCell ref="B135:C135"/>
    <mergeCell ref="D135:E135"/>
    <mergeCell ref="B136:C136"/>
    <mergeCell ref="D136:E136"/>
    <mergeCell ref="H136:I136"/>
    <mergeCell ref="J136:K136"/>
    <mergeCell ref="B132:C132"/>
    <mergeCell ref="D132:K132"/>
    <mergeCell ref="D133:K133"/>
    <mergeCell ref="A155:K157"/>
    <mergeCell ref="A159:C159"/>
    <mergeCell ref="F159:H159"/>
    <mergeCell ref="A160:C160"/>
    <mergeCell ref="F160:H160"/>
    <mergeCell ref="A161:C161"/>
    <mergeCell ref="F161:H161"/>
    <mergeCell ref="B148:C148"/>
    <mergeCell ref="D148:E148"/>
    <mergeCell ref="H148:I148"/>
    <mergeCell ref="J148:K148"/>
    <mergeCell ref="B149:C149"/>
    <mergeCell ref="D149:E149"/>
    <mergeCell ref="H149:I149"/>
    <mergeCell ref="J149:K149"/>
    <mergeCell ref="B150:C150"/>
    <mergeCell ref="B153:C153"/>
    <mergeCell ref="D153:E153"/>
    <mergeCell ref="H153:I153"/>
    <mergeCell ref="J153:K153"/>
    <mergeCell ref="B152:C152"/>
    <mergeCell ref="D152:E152"/>
    <mergeCell ref="H152:I152"/>
    <mergeCell ref="J152:K152"/>
    <mergeCell ref="C164:E164"/>
    <mergeCell ref="F164:G164"/>
    <mergeCell ref="H164:I164"/>
    <mergeCell ref="J164:K164"/>
    <mergeCell ref="C165:E165"/>
    <mergeCell ref="F165:G165"/>
    <mergeCell ref="H165:I165"/>
    <mergeCell ref="J165:K165"/>
    <mergeCell ref="A162:C162"/>
    <mergeCell ref="F162:H162"/>
    <mergeCell ref="C163:E163"/>
    <mergeCell ref="F163:G163"/>
    <mergeCell ref="H163:I163"/>
    <mergeCell ref="J163:K163"/>
    <mergeCell ref="A170:K170"/>
    <mergeCell ref="C174:D174"/>
    <mergeCell ref="E174:G174"/>
    <mergeCell ref="A176:B176"/>
    <mergeCell ref="C176:E176"/>
    <mergeCell ref="F176:G176"/>
    <mergeCell ref="H176:I176"/>
    <mergeCell ref="J176:K176"/>
    <mergeCell ref="C166:E166"/>
    <mergeCell ref="F166:G166"/>
    <mergeCell ref="H166:I166"/>
    <mergeCell ref="J166:K166"/>
    <mergeCell ref="F168:G168"/>
    <mergeCell ref="A168:D168"/>
    <mergeCell ref="C179:E179"/>
    <mergeCell ref="F179:G179"/>
    <mergeCell ref="H179:I179"/>
    <mergeCell ref="J179:K179"/>
    <mergeCell ref="A181:C181"/>
    <mergeCell ref="C183:D183"/>
    <mergeCell ref="E183:G183"/>
    <mergeCell ref="C177:E177"/>
    <mergeCell ref="F177:G177"/>
    <mergeCell ref="H177:I177"/>
    <mergeCell ref="J177:K177"/>
    <mergeCell ref="C178:E178"/>
    <mergeCell ref="F178:G178"/>
    <mergeCell ref="H178:I178"/>
    <mergeCell ref="J178:K178"/>
    <mergeCell ref="J187:K187"/>
    <mergeCell ref="C188:E188"/>
    <mergeCell ref="F188:G188"/>
    <mergeCell ref="H188:I188"/>
    <mergeCell ref="J188:K188"/>
    <mergeCell ref="A185:B185"/>
    <mergeCell ref="C185:E185"/>
    <mergeCell ref="F185:G185"/>
    <mergeCell ref="H185:I185"/>
    <mergeCell ref="J185:K185"/>
    <mergeCell ref="C186:E186"/>
    <mergeCell ref="F186:G186"/>
    <mergeCell ref="H186:I186"/>
    <mergeCell ref="J186:K186"/>
    <mergeCell ref="A191:E191"/>
    <mergeCell ref="D192:E192"/>
    <mergeCell ref="A194:D194"/>
    <mergeCell ref="E194:G194"/>
    <mergeCell ref="A196:D196"/>
    <mergeCell ref="E196:H196"/>
    <mergeCell ref="C187:E187"/>
    <mergeCell ref="F187:G187"/>
    <mergeCell ref="H187:I187"/>
    <mergeCell ref="E190:F190"/>
    <mergeCell ref="A202:D202"/>
    <mergeCell ref="E202:G202"/>
    <mergeCell ref="H204:K204"/>
    <mergeCell ref="A208:H208"/>
    <mergeCell ref="A209:J209"/>
    <mergeCell ref="C221:F221"/>
    <mergeCell ref="G221:I221"/>
    <mergeCell ref="A197:D197"/>
    <mergeCell ref="E197:G197"/>
    <mergeCell ref="A198:D198"/>
    <mergeCell ref="E198:G198"/>
    <mergeCell ref="A200:F200"/>
    <mergeCell ref="A201:D201"/>
    <mergeCell ref="E201:G201"/>
    <mergeCell ref="A228:C228"/>
    <mergeCell ref="F228:H228"/>
    <mergeCell ref="A229:C229"/>
    <mergeCell ref="F229:H229"/>
    <mergeCell ref="C230:E230"/>
    <mergeCell ref="F230:G230"/>
    <mergeCell ref="H230:I230"/>
    <mergeCell ref="C222:F222"/>
    <mergeCell ref="G222:I222"/>
    <mergeCell ref="A226:C226"/>
    <mergeCell ref="F226:H226"/>
    <mergeCell ref="A227:C227"/>
    <mergeCell ref="F227:H227"/>
    <mergeCell ref="C233:E233"/>
    <mergeCell ref="F233:G233"/>
    <mergeCell ref="H233:I233"/>
    <mergeCell ref="J233:K233"/>
    <mergeCell ref="J230:K230"/>
    <mergeCell ref="C231:E231"/>
    <mergeCell ref="F231:G231"/>
    <mergeCell ref="H231:I231"/>
    <mergeCell ref="J231:K231"/>
    <mergeCell ref="C232:E232"/>
    <mergeCell ref="F232:G232"/>
    <mergeCell ref="H232:I232"/>
    <mergeCell ref="J232:K232"/>
    <mergeCell ref="H144:I144"/>
    <mergeCell ref="J144:K144"/>
    <mergeCell ref="B145:C145"/>
    <mergeCell ref="D145:E145"/>
    <mergeCell ref="H145:I145"/>
    <mergeCell ref="J145:K145"/>
    <mergeCell ref="B142:C142"/>
    <mergeCell ref="D142:E142"/>
    <mergeCell ref="H142:I142"/>
    <mergeCell ref="J142:K142"/>
    <mergeCell ref="B143:C143"/>
    <mergeCell ref="D143:E143"/>
    <mergeCell ref="H143:I143"/>
    <mergeCell ref="J143:K143"/>
    <mergeCell ref="B96:H96"/>
    <mergeCell ref="B134:K134"/>
    <mergeCell ref="F135:K135"/>
    <mergeCell ref="D127:K127"/>
    <mergeCell ref="B128:C128"/>
    <mergeCell ref="D128:K128"/>
    <mergeCell ref="B129:C129"/>
    <mergeCell ref="B151:C151"/>
    <mergeCell ref="D151:E151"/>
    <mergeCell ref="H151:I151"/>
    <mergeCell ref="J151:K151"/>
    <mergeCell ref="B146:C146"/>
    <mergeCell ref="D146:E146"/>
    <mergeCell ref="H146:I146"/>
    <mergeCell ref="J146:K146"/>
    <mergeCell ref="B147:C147"/>
    <mergeCell ref="D147:E147"/>
    <mergeCell ref="H147:I147"/>
    <mergeCell ref="J147:K147"/>
    <mergeCell ref="D150:E150"/>
    <mergeCell ref="H150:I150"/>
    <mergeCell ref="J150:K150"/>
    <mergeCell ref="B144:C144"/>
    <mergeCell ref="D144:E144"/>
    <mergeCell ref="B7:F7"/>
    <mergeCell ref="G7:K7"/>
    <mergeCell ref="B8:F8"/>
    <mergeCell ref="G8:K8"/>
    <mergeCell ref="B84:C84"/>
    <mergeCell ref="D84:E84"/>
    <mergeCell ref="H84:I84"/>
    <mergeCell ref="J84:K84"/>
    <mergeCell ref="B95:H95"/>
    <mergeCell ref="B82:C82"/>
    <mergeCell ref="D82:E82"/>
    <mergeCell ref="H82:I82"/>
    <mergeCell ref="J82:K82"/>
    <mergeCell ref="B83:C83"/>
    <mergeCell ref="D83:E83"/>
    <mergeCell ref="H83:I83"/>
    <mergeCell ref="J83:K83"/>
    <mergeCell ref="B79:C79"/>
    <mergeCell ref="D79:E79"/>
    <mergeCell ref="H79:I79"/>
    <mergeCell ref="J79:K79"/>
    <mergeCell ref="B80:C80"/>
    <mergeCell ref="D80:E80"/>
    <mergeCell ref="H80:I80"/>
    <mergeCell ref="B141:C141"/>
    <mergeCell ref="D141:E141"/>
    <mergeCell ref="H141:I141"/>
    <mergeCell ref="J141:K141"/>
    <mergeCell ref="B59:C59"/>
    <mergeCell ref="D59:E59"/>
    <mergeCell ref="H59:I59"/>
    <mergeCell ref="J59:K59"/>
    <mergeCell ref="B60:C60"/>
    <mergeCell ref="D60:E60"/>
    <mergeCell ref="H60:I60"/>
    <mergeCell ref="J60:K60"/>
    <mergeCell ref="B81:C81"/>
    <mergeCell ref="D81:E81"/>
    <mergeCell ref="H81:I81"/>
    <mergeCell ref="J81:K81"/>
    <mergeCell ref="B78:C78"/>
    <mergeCell ref="D78:E78"/>
    <mergeCell ref="H78:I78"/>
    <mergeCell ref="J78:K78"/>
    <mergeCell ref="B138:C138"/>
    <mergeCell ref="D138:E138"/>
    <mergeCell ref="H138:I138"/>
    <mergeCell ref="J138:K138"/>
  </mergeCells>
  <pageMargins left="0.7" right="0.4"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200-000000000000}">
          <x14:formula1>
            <xm:f>'D:\Users\Administrator\Downloads\[GSTR 9C_Offline utility_071218_v2 (1).xlsm]Master'!#REF!</xm:f>
          </x14:formula1>
          <xm:sqref>C222</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3"/>
  <dimension ref="A1:L254"/>
  <sheetViews>
    <sheetView topLeftCell="A133" zoomScaleNormal="100" workbookViewId="0">
      <selection activeCell="H140" sqref="H140:I140"/>
    </sheetView>
  </sheetViews>
  <sheetFormatPr defaultColWidth="9.109375" defaultRowHeight="13.2" x14ac:dyDescent="0.3"/>
  <cols>
    <col min="1" max="1" width="6.88671875" style="64" customWidth="1"/>
    <col min="2" max="2" width="6" style="64" customWidth="1"/>
    <col min="3" max="3" width="9" style="64" customWidth="1"/>
    <col min="4" max="4" width="9.88671875" style="64" customWidth="1"/>
    <col min="5" max="5" width="5.5546875" style="64" customWidth="1"/>
    <col min="6" max="6" width="16.5546875" style="64" customWidth="1"/>
    <col min="7" max="7" width="15.6640625" style="64" customWidth="1"/>
    <col min="8" max="8" width="6.88671875" style="64" customWidth="1"/>
    <col min="9" max="9" width="9.109375" style="64" customWidth="1"/>
    <col min="10" max="10" width="3.44140625" style="64" customWidth="1"/>
    <col min="11" max="11" width="12.33203125" style="64" customWidth="1"/>
    <col min="12" max="12" width="9.88671875" style="64" customWidth="1"/>
    <col min="13" max="16384" width="9.109375" style="64"/>
  </cols>
  <sheetData>
    <row r="1" spans="1:12" x14ac:dyDescent="0.3">
      <c r="D1" s="60"/>
    </row>
    <row r="2" spans="1:12" ht="66.75" customHeight="1" x14ac:dyDescent="0.3">
      <c r="E2" s="631" t="s">
        <v>305</v>
      </c>
      <c r="F2" s="631"/>
      <c r="G2" s="631"/>
    </row>
    <row r="3" spans="1:12" ht="16.5" customHeight="1" x14ac:dyDescent="0.3">
      <c r="A3" s="107" t="s">
        <v>672</v>
      </c>
      <c r="B3" s="585" t="s">
        <v>304</v>
      </c>
      <c r="C3" s="585"/>
      <c r="D3" s="585"/>
      <c r="E3" s="585"/>
      <c r="F3" s="585"/>
      <c r="G3" s="585"/>
      <c r="H3" s="585"/>
      <c r="I3" s="585"/>
      <c r="J3" s="585"/>
      <c r="K3" s="585"/>
      <c r="L3" s="66"/>
    </row>
    <row r="4" spans="1:12" ht="20.25" customHeight="1" x14ac:dyDescent="0.3">
      <c r="A4" s="108">
        <v>1</v>
      </c>
      <c r="B4" s="575" t="s">
        <v>677</v>
      </c>
      <c r="C4" s="576"/>
      <c r="D4" s="576"/>
      <c r="E4" s="576"/>
      <c r="F4" s="577"/>
      <c r="G4" s="580"/>
      <c r="H4" s="576"/>
      <c r="I4" s="576"/>
      <c r="J4" s="576"/>
      <c r="K4" s="577"/>
    </row>
    <row r="5" spans="1:12" ht="16.5" customHeight="1" x14ac:dyDescent="0.25">
      <c r="A5" s="108">
        <v>2</v>
      </c>
      <c r="B5" s="575" t="s">
        <v>154</v>
      </c>
      <c r="C5" s="578"/>
      <c r="D5" s="578"/>
      <c r="E5" s="578"/>
      <c r="F5" s="579"/>
      <c r="G5" s="639"/>
      <c r="H5" s="640"/>
      <c r="I5" s="640"/>
      <c r="J5" s="640"/>
      <c r="K5" s="641"/>
    </row>
    <row r="6" spans="1:12" ht="16.5" customHeight="1" x14ac:dyDescent="0.3">
      <c r="A6" s="110" t="s">
        <v>89</v>
      </c>
      <c r="B6" s="575" t="s">
        <v>155</v>
      </c>
      <c r="C6" s="578"/>
      <c r="D6" s="578"/>
      <c r="E6" s="578"/>
      <c r="F6" s="579"/>
      <c r="G6" s="637"/>
      <c r="H6" s="638"/>
      <c r="I6" s="638"/>
      <c r="J6" s="638"/>
      <c r="K6" s="623"/>
    </row>
    <row r="7" spans="1:12" ht="18.75" customHeight="1" x14ac:dyDescent="0.3">
      <c r="A7" s="110" t="s">
        <v>90</v>
      </c>
      <c r="B7" s="575" t="s">
        <v>678</v>
      </c>
      <c r="C7" s="576"/>
      <c r="D7" s="576"/>
      <c r="E7" s="576"/>
      <c r="F7" s="577"/>
      <c r="G7" s="575"/>
      <c r="H7" s="578"/>
      <c r="I7" s="578"/>
      <c r="J7" s="578"/>
      <c r="K7" s="579"/>
    </row>
    <row r="8" spans="1:12" ht="18" customHeight="1" x14ac:dyDescent="0.3">
      <c r="A8" s="110" t="s">
        <v>535</v>
      </c>
      <c r="B8" s="580" t="s">
        <v>537</v>
      </c>
      <c r="C8" s="576"/>
      <c r="D8" s="576"/>
      <c r="E8" s="576"/>
      <c r="F8" s="577"/>
      <c r="G8" s="575" t="s">
        <v>540</v>
      </c>
      <c r="H8" s="578"/>
      <c r="I8" s="578"/>
      <c r="J8" s="578"/>
      <c r="K8" s="579"/>
    </row>
    <row r="9" spans="1:12" ht="16.5" customHeight="1" x14ac:dyDescent="0.3">
      <c r="A9" s="110" t="s">
        <v>536</v>
      </c>
      <c r="B9" s="634" t="s">
        <v>538</v>
      </c>
      <c r="C9" s="635"/>
      <c r="D9" s="635"/>
      <c r="E9" s="635"/>
      <c r="F9" s="636"/>
      <c r="G9" s="575" t="s">
        <v>540</v>
      </c>
      <c r="H9" s="578"/>
      <c r="I9" s="578"/>
      <c r="J9" s="578"/>
      <c r="K9" s="579"/>
    </row>
    <row r="10" spans="1:12" ht="21.75" customHeight="1" x14ac:dyDescent="0.3">
      <c r="A10" s="108">
        <v>4</v>
      </c>
      <c r="B10" s="575" t="s">
        <v>541</v>
      </c>
      <c r="C10" s="578"/>
      <c r="D10" s="578"/>
      <c r="E10" s="578"/>
      <c r="F10" s="579"/>
      <c r="G10" s="637"/>
      <c r="H10" s="638"/>
      <c r="I10" s="638"/>
      <c r="J10" s="638"/>
      <c r="K10" s="623"/>
    </row>
    <row r="11" spans="1:12" ht="48.75" customHeight="1" x14ac:dyDescent="0.3">
      <c r="A11" s="109" t="s">
        <v>276</v>
      </c>
      <c r="B11" s="637" t="s">
        <v>539</v>
      </c>
      <c r="C11" s="638"/>
      <c r="D11" s="638"/>
      <c r="E11" s="638"/>
      <c r="F11" s="623"/>
      <c r="G11" s="637"/>
      <c r="H11" s="638"/>
      <c r="I11" s="638"/>
      <c r="J11" s="638"/>
      <c r="K11" s="623"/>
    </row>
    <row r="12" spans="1:12" ht="16.5" customHeight="1" x14ac:dyDescent="0.25">
      <c r="A12" s="89"/>
      <c r="B12" s="632"/>
      <c r="C12" s="632"/>
      <c r="D12" s="632"/>
      <c r="E12" s="632"/>
      <c r="F12" s="632"/>
      <c r="G12" s="633" t="s">
        <v>156</v>
      </c>
      <c r="H12" s="633"/>
      <c r="I12" s="633"/>
      <c r="J12" s="633"/>
      <c r="K12" s="633"/>
    </row>
    <row r="13" spans="1:12" ht="33" customHeight="1" x14ac:dyDescent="0.3">
      <c r="A13" s="107" t="s">
        <v>673</v>
      </c>
      <c r="B13" s="618" t="s">
        <v>306</v>
      </c>
      <c r="C13" s="618"/>
      <c r="D13" s="618"/>
      <c r="E13" s="618"/>
      <c r="F13" s="618"/>
      <c r="G13" s="618"/>
      <c r="H13" s="618"/>
      <c r="I13" s="618"/>
      <c r="J13" s="618"/>
      <c r="K13" s="618"/>
    </row>
    <row r="14" spans="1:12" ht="16.5" customHeight="1" x14ac:dyDescent="0.3">
      <c r="A14" s="109">
        <v>5</v>
      </c>
      <c r="B14" s="620" t="s">
        <v>157</v>
      </c>
      <c r="C14" s="620"/>
      <c r="D14" s="620"/>
      <c r="E14" s="620"/>
      <c r="F14" s="620"/>
      <c r="G14" s="620"/>
      <c r="H14" s="620"/>
      <c r="I14" s="620"/>
      <c r="J14" s="620"/>
      <c r="K14" s="620"/>
    </row>
    <row r="15" spans="1:12" ht="16.5" customHeight="1" x14ac:dyDescent="0.3">
      <c r="A15" s="109" t="s">
        <v>542</v>
      </c>
      <c r="B15" s="585" t="s">
        <v>24</v>
      </c>
      <c r="C15" s="620"/>
      <c r="D15" s="620"/>
      <c r="E15" s="620"/>
      <c r="F15" s="620"/>
      <c r="G15" s="620"/>
      <c r="H15" s="620"/>
      <c r="I15" s="585" t="s">
        <v>570</v>
      </c>
      <c r="J15" s="620"/>
      <c r="K15" s="620"/>
    </row>
    <row r="16" spans="1:12" ht="68.25" customHeight="1" x14ac:dyDescent="0.3">
      <c r="A16" s="110" t="s">
        <v>158</v>
      </c>
      <c r="B16" s="626" t="s">
        <v>159</v>
      </c>
      <c r="C16" s="626"/>
      <c r="D16" s="626"/>
      <c r="E16" s="626"/>
      <c r="F16" s="626"/>
      <c r="G16" s="626"/>
      <c r="H16" s="626"/>
      <c r="I16" s="568"/>
      <c r="J16" s="568"/>
      <c r="K16" s="568"/>
    </row>
    <row r="17" spans="1:11" ht="16.5" customHeight="1" x14ac:dyDescent="0.3">
      <c r="A17" s="107" t="s">
        <v>160</v>
      </c>
      <c r="B17" s="611" t="s">
        <v>161</v>
      </c>
      <c r="C17" s="611"/>
      <c r="D17" s="611"/>
      <c r="E17" s="611"/>
      <c r="F17" s="611"/>
      <c r="G17" s="611"/>
      <c r="H17" s="112" t="s">
        <v>544</v>
      </c>
      <c r="I17" s="568"/>
      <c r="J17" s="568"/>
      <c r="K17" s="568"/>
    </row>
    <row r="18" spans="1:11" ht="16.5" customHeight="1" x14ac:dyDescent="0.3">
      <c r="A18" s="107" t="s">
        <v>162</v>
      </c>
      <c r="B18" s="611" t="s">
        <v>163</v>
      </c>
      <c r="C18" s="611"/>
      <c r="D18" s="611"/>
      <c r="E18" s="611"/>
      <c r="F18" s="611"/>
      <c r="G18" s="611"/>
      <c r="H18" s="112" t="s">
        <v>544</v>
      </c>
      <c r="I18" s="568"/>
      <c r="J18" s="568"/>
      <c r="K18" s="568"/>
    </row>
    <row r="19" spans="1:11" ht="16.5" customHeight="1" x14ac:dyDescent="0.3">
      <c r="A19" s="107" t="s">
        <v>164</v>
      </c>
      <c r="B19" s="611" t="s">
        <v>165</v>
      </c>
      <c r="C19" s="611"/>
      <c r="D19" s="611"/>
      <c r="E19" s="611"/>
      <c r="F19" s="611"/>
      <c r="G19" s="611"/>
      <c r="H19" s="112" t="s">
        <v>544</v>
      </c>
      <c r="I19" s="568"/>
      <c r="J19" s="568"/>
      <c r="K19" s="568"/>
    </row>
    <row r="20" spans="1:11" ht="33" customHeight="1" x14ac:dyDescent="0.3">
      <c r="A20" s="107" t="s">
        <v>166</v>
      </c>
      <c r="B20" s="626" t="s">
        <v>167</v>
      </c>
      <c r="C20" s="626"/>
      <c r="D20" s="626"/>
      <c r="E20" s="626"/>
      <c r="F20" s="626"/>
      <c r="G20" s="626"/>
      <c r="H20" s="112" t="s">
        <v>544</v>
      </c>
      <c r="I20" s="568"/>
      <c r="J20" s="568"/>
      <c r="K20" s="568"/>
    </row>
    <row r="21" spans="1:11" ht="34.5" customHeight="1" x14ac:dyDescent="0.3">
      <c r="A21" s="107" t="s">
        <v>168</v>
      </c>
      <c r="B21" s="611" t="s">
        <v>277</v>
      </c>
      <c r="C21" s="611"/>
      <c r="D21" s="611"/>
      <c r="E21" s="611"/>
      <c r="F21" s="611"/>
      <c r="G21" s="611"/>
      <c r="H21" s="112" t="s">
        <v>544</v>
      </c>
      <c r="I21" s="568"/>
      <c r="J21" s="568"/>
      <c r="K21" s="568"/>
    </row>
    <row r="22" spans="1:11" ht="16.5" customHeight="1" x14ac:dyDescent="0.3">
      <c r="A22" s="107" t="s">
        <v>169</v>
      </c>
      <c r="B22" s="611" t="s">
        <v>170</v>
      </c>
      <c r="C22" s="611"/>
      <c r="D22" s="611"/>
      <c r="E22" s="611"/>
      <c r="F22" s="611"/>
      <c r="G22" s="611"/>
      <c r="H22" s="111" t="s">
        <v>545</v>
      </c>
      <c r="I22" s="568"/>
      <c r="J22" s="568"/>
      <c r="K22" s="568"/>
    </row>
    <row r="23" spans="1:11" ht="16.5" customHeight="1" x14ac:dyDescent="0.3">
      <c r="A23" s="107" t="s">
        <v>171</v>
      </c>
      <c r="B23" s="611" t="s">
        <v>172</v>
      </c>
      <c r="C23" s="611"/>
      <c r="D23" s="611"/>
      <c r="E23" s="611"/>
      <c r="F23" s="611"/>
      <c r="G23" s="611"/>
      <c r="H23" s="111" t="s">
        <v>545</v>
      </c>
      <c r="I23" s="568"/>
      <c r="J23" s="568"/>
      <c r="K23" s="568"/>
    </row>
    <row r="24" spans="1:11" ht="33" customHeight="1" x14ac:dyDescent="0.3">
      <c r="A24" s="107" t="s">
        <v>173</v>
      </c>
      <c r="B24" s="626" t="s">
        <v>174</v>
      </c>
      <c r="C24" s="626"/>
      <c r="D24" s="626"/>
      <c r="E24" s="626"/>
      <c r="F24" s="626"/>
      <c r="G24" s="626"/>
      <c r="H24" s="111" t="s">
        <v>545</v>
      </c>
      <c r="I24" s="568"/>
      <c r="J24" s="568"/>
      <c r="K24" s="568"/>
    </row>
    <row r="25" spans="1:11" ht="33" customHeight="1" x14ac:dyDescent="0.3">
      <c r="A25" s="107" t="s">
        <v>175</v>
      </c>
      <c r="B25" s="626" t="s">
        <v>176</v>
      </c>
      <c r="C25" s="626"/>
      <c r="D25" s="626"/>
      <c r="E25" s="626"/>
      <c r="F25" s="626"/>
      <c r="G25" s="626"/>
      <c r="H25" s="111" t="s">
        <v>545</v>
      </c>
      <c r="I25" s="568"/>
      <c r="J25" s="568"/>
      <c r="K25" s="568"/>
    </row>
    <row r="26" spans="1:11" ht="33" customHeight="1" x14ac:dyDescent="0.3">
      <c r="A26" s="107" t="s">
        <v>177</v>
      </c>
      <c r="B26" s="626" t="s">
        <v>178</v>
      </c>
      <c r="C26" s="626"/>
      <c r="D26" s="626"/>
      <c r="E26" s="626"/>
      <c r="F26" s="626"/>
      <c r="G26" s="626"/>
      <c r="H26" s="111" t="s">
        <v>545</v>
      </c>
      <c r="I26" s="568"/>
      <c r="J26" s="568"/>
      <c r="K26" s="568"/>
    </row>
    <row r="27" spans="1:11" ht="16.5" customHeight="1" x14ac:dyDescent="0.3">
      <c r="A27" s="107" t="s">
        <v>179</v>
      </c>
      <c r="B27" s="611" t="s">
        <v>180</v>
      </c>
      <c r="C27" s="611"/>
      <c r="D27" s="611"/>
      <c r="E27" s="611"/>
      <c r="F27" s="611"/>
      <c r="G27" s="611"/>
      <c r="H27" s="111" t="s">
        <v>545</v>
      </c>
      <c r="I27" s="568"/>
      <c r="J27" s="568"/>
      <c r="K27" s="568"/>
    </row>
    <row r="28" spans="1:11" ht="33" customHeight="1" x14ac:dyDescent="0.3">
      <c r="A28" s="107" t="s">
        <v>181</v>
      </c>
      <c r="B28" s="626" t="s">
        <v>182</v>
      </c>
      <c r="C28" s="626"/>
      <c r="D28" s="626"/>
      <c r="E28" s="626"/>
      <c r="F28" s="626"/>
      <c r="G28" s="626"/>
      <c r="H28" s="111" t="s">
        <v>546</v>
      </c>
      <c r="I28" s="568"/>
      <c r="J28" s="568"/>
      <c r="K28" s="568"/>
    </row>
    <row r="29" spans="1:11" ht="33" customHeight="1" x14ac:dyDescent="0.3">
      <c r="A29" s="107" t="s">
        <v>183</v>
      </c>
      <c r="B29" s="626" t="s">
        <v>184</v>
      </c>
      <c r="C29" s="626"/>
      <c r="D29" s="626"/>
      <c r="E29" s="626"/>
      <c r="F29" s="626"/>
      <c r="G29" s="626"/>
      <c r="H29" s="111" t="s">
        <v>546</v>
      </c>
      <c r="I29" s="568"/>
      <c r="J29" s="568"/>
      <c r="K29" s="568"/>
    </row>
    <row r="30" spans="1:11" ht="33" customHeight="1" x14ac:dyDescent="0.3">
      <c r="A30" s="107" t="s">
        <v>185</v>
      </c>
      <c r="B30" s="628" t="s">
        <v>186</v>
      </c>
      <c r="C30" s="628"/>
      <c r="D30" s="628"/>
      <c r="E30" s="628"/>
      <c r="F30" s="628"/>
      <c r="G30" s="628"/>
      <c r="H30" s="111" t="s">
        <v>546</v>
      </c>
      <c r="I30" s="568"/>
      <c r="J30" s="568"/>
      <c r="K30" s="568"/>
    </row>
    <row r="31" spans="1:11" ht="16.5" customHeight="1" x14ac:dyDescent="0.3">
      <c r="A31" s="107" t="s">
        <v>187</v>
      </c>
      <c r="B31" s="629" t="s">
        <v>582</v>
      </c>
      <c r="C31" s="629"/>
      <c r="D31" s="629"/>
      <c r="E31" s="629"/>
      <c r="F31" s="629"/>
      <c r="G31" s="629"/>
      <c r="H31" s="629"/>
      <c r="I31" s="614"/>
      <c r="J31" s="614"/>
      <c r="K31" s="614"/>
    </row>
    <row r="32" spans="1:11" ht="16.5" customHeight="1" x14ac:dyDescent="0.3">
      <c r="A32" s="107" t="s">
        <v>188</v>
      </c>
      <c r="B32" s="611" t="s">
        <v>189</v>
      </c>
      <c r="C32" s="611"/>
      <c r="D32" s="611"/>
      <c r="E32" s="611"/>
      <c r="F32" s="611"/>
      <c r="G32" s="611"/>
      <c r="H32" s="611"/>
      <c r="I32" s="568"/>
      <c r="J32" s="568"/>
      <c r="K32" s="568"/>
    </row>
    <row r="33" spans="1:11" ht="16.5" customHeight="1" x14ac:dyDescent="0.3">
      <c r="A33" s="107" t="s">
        <v>190</v>
      </c>
      <c r="B33" s="611" t="s">
        <v>191</v>
      </c>
      <c r="C33" s="611"/>
      <c r="D33" s="611"/>
      <c r="E33" s="611"/>
      <c r="F33" s="611"/>
      <c r="G33" s="611"/>
      <c r="H33" s="611"/>
      <c r="I33" s="614"/>
      <c r="J33" s="614"/>
      <c r="K33" s="614"/>
    </row>
    <row r="34" spans="1:11" ht="16.5" customHeight="1" x14ac:dyDescent="0.3">
      <c r="A34" s="109">
        <v>6</v>
      </c>
      <c r="B34" s="627" t="s">
        <v>192</v>
      </c>
      <c r="C34" s="627"/>
      <c r="D34" s="627"/>
      <c r="E34" s="627"/>
      <c r="F34" s="627"/>
      <c r="G34" s="627"/>
      <c r="H34" s="627"/>
      <c r="I34" s="627"/>
      <c r="J34" s="627"/>
      <c r="K34" s="627"/>
    </row>
    <row r="35" spans="1:11" ht="219.9" customHeight="1" x14ac:dyDescent="0.3">
      <c r="A35" s="107" t="s">
        <v>6</v>
      </c>
      <c r="B35" s="569" t="s">
        <v>301</v>
      </c>
      <c r="C35" s="569"/>
      <c r="D35" s="569"/>
      <c r="E35" s="569"/>
      <c r="F35" s="569"/>
      <c r="G35" s="569"/>
      <c r="H35" s="569"/>
      <c r="I35" s="569"/>
      <c r="J35" s="569"/>
      <c r="K35" s="569"/>
    </row>
    <row r="36" spans="1:11" ht="16.5" customHeight="1" x14ac:dyDescent="0.3">
      <c r="A36" s="109">
        <v>7</v>
      </c>
      <c r="B36" s="630" t="s">
        <v>193</v>
      </c>
      <c r="C36" s="630"/>
      <c r="D36" s="630"/>
      <c r="E36" s="630"/>
      <c r="F36" s="630"/>
      <c r="G36" s="630"/>
      <c r="H36" s="630"/>
      <c r="I36" s="630"/>
      <c r="J36" s="630"/>
      <c r="K36" s="630"/>
    </row>
    <row r="37" spans="1:11" ht="16.5" customHeight="1" x14ac:dyDescent="0.3">
      <c r="A37" s="109" t="s">
        <v>542</v>
      </c>
      <c r="B37" s="585" t="s">
        <v>24</v>
      </c>
      <c r="C37" s="620"/>
      <c r="D37" s="620"/>
      <c r="E37" s="620"/>
      <c r="F37" s="620"/>
      <c r="G37" s="620"/>
      <c r="H37" s="620"/>
      <c r="I37" s="585" t="s">
        <v>570</v>
      </c>
      <c r="J37" s="620"/>
      <c r="K37" s="620"/>
    </row>
    <row r="38" spans="1:11" ht="33" customHeight="1" x14ac:dyDescent="0.3">
      <c r="A38" s="110" t="s">
        <v>158</v>
      </c>
      <c r="B38" s="628" t="s">
        <v>194</v>
      </c>
      <c r="C38" s="628"/>
      <c r="D38" s="628"/>
      <c r="E38" s="628"/>
      <c r="F38" s="628"/>
      <c r="G38" s="628"/>
      <c r="H38" s="628"/>
      <c r="I38" s="614"/>
      <c r="J38" s="568"/>
      <c r="K38" s="568"/>
    </row>
    <row r="39" spans="1:11" ht="33" customHeight="1" x14ac:dyDescent="0.3">
      <c r="A39" s="110" t="s">
        <v>160</v>
      </c>
      <c r="B39" s="626" t="s">
        <v>195</v>
      </c>
      <c r="C39" s="626"/>
      <c r="D39" s="626"/>
      <c r="E39" s="626"/>
      <c r="F39" s="626"/>
      <c r="G39" s="626"/>
      <c r="H39" s="626"/>
      <c r="I39" s="568"/>
      <c r="J39" s="568"/>
      <c r="K39" s="568"/>
    </row>
    <row r="40" spans="1:11" ht="16.5" customHeight="1" x14ac:dyDescent="0.3">
      <c r="A40" s="107" t="s">
        <v>162</v>
      </c>
      <c r="B40" s="611" t="s">
        <v>196</v>
      </c>
      <c r="C40" s="611"/>
      <c r="D40" s="611"/>
      <c r="E40" s="611"/>
      <c r="F40" s="611"/>
      <c r="G40" s="611"/>
      <c r="H40" s="611"/>
      <c r="I40" s="568"/>
      <c r="J40" s="568"/>
      <c r="K40" s="568"/>
    </row>
    <row r="41" spans="1:11" ht="33" customHeight="1" x14ac:dyDescent="0.3">
      <c r="A41" s="107" t="s">
        <v>164</v>
      </c>
      <c r="B41" s="626" t="s">
        <v>197</v>
      </c>
      <c r="C41" s="626"/>
      <c r="D41" s="626"/>
      <c r="E41" s="626"/>
      <c r="F41" s="626"/>
      <c r="G41" s="626"/>
      <c r="H41" s="626"/>
      <c r="I41" s="568"/>
      <c r="J41" s="568"/>
      <c r="K41" s="568"/>
    </row>
    <row r="42" spans="1:11" ht="16.5" customHeight="1" x14ac:dyDescent="0.3">
      <c r="A42" s="107" t="s">
        <v>166</v>
      </c>
      <c r="B42" s="611" t="s">
        <v>198</v>
      </c>
      <c r="C42" s="611"/>
      <c r="D42" s="611"/>
      <c r="E42" s="611"/>
      <c r="F42" s="611"/>
      <c r="G42" s="611"/>
      <c r="H42" s="611"/>
      <c r="I42" s="614"/>
      <c r="J42" s="614"/>
      <c r="K42" s="614"/>
    </row>
    <row r="43" spans="1:11" ht="33" customHeight="1" x14ac:dyDescent="0.3">
      <c r="A43" s="107" t="s">
        <v>168</v>
      </c>
      <c r="B43" s="626" t="s">
        <v>199</v>
      </c>
      <c r="C43" s="626"/>
      <c r="D43" s="626"/>
      <c r="E43" s="626"/>
      <c r="F43" s="626"/>
      <c r="G43" s="626"/>
      <c r="H43" s="626"/>
      <c r="I43" s="568"/>
      <c r="J43" s="568"/>
      <c r="K43" s="568"/>
    </row>
    <row r="44" spans="1:11" ht="16.5" customHeight="1" x14ac:dyDescent="0.3">
      <c r="A44" s="107" t="s">
        <v>169</v>
      </c>
      <c r="B44" s="611" t="s">
        <v>200</v>
      </c>
      <c r="C44" s="611"/>
      <c r="D44" s="611"/>
      <c r="E44" s="611"/>
      <c r="F44" s="611"/>
      <c r="G44" s="611"/>
      <c r="H44" s="611"/>
      <c r="I44" s="614"/>
      <c r="J44" s="614"/>
      <c r="K44" s="614"/>
    </row>
    <row r="45" spans="1:11" ht="16.5" customHeight="1" x14ac:dyDescent="0.3">
      <c r="A45" s="109">
        <v>8</v>
      </c>
      <c r="B45" s="625" t="s">
        <v>201</v>
      </c>
      <c r="C45" s="625"/>
      <c r="D45" s="625"/>
      <c r="E45" s="625"/>
      <c r="F45" s="625"/>
      <c r="G45" s="625"/>
      <c r="H45" s="625"/>
      <c r="I45" s="625"/>
      <c r="J45" s="625"/>
      <c r="K45" s="625"/>
    </row>
    <row r="46" spans="1:11" ht="219.9" customHeight="1" x14ac:dyDescent="0.3">
      <c r="A46" s="107" t="s">
        <v>6</v>
      </c>
      <c r="B46" s="569" t="s">
        <v>301</v>
      </c>
      <c r="C46" s="569"/>
      <c r="D46" s="569"/>
      <c r="E46" s="569"/>
      <c r="F46" s="569"/>
      <c r="G46" s="569"/>
      <c r="H46" s="569"/>
      <c r="I46" s="569"/>
      <c r="J46" s="569"/>
      <c r="K46" s="569"/>
    </row>
    <row r="47" spans="1:11" ht="33" customHeight="1" x14ac:dyDescent="0.3">
      <c r="A47" s="107" t="s">
        <v>674</v>
      </c>
      <c r="B47" s="583" t="s">
        <v>307</v>
      </c>
      <c r="C47" s="583"/>
      <c r="D47" s="583"/>
      <c r="E47" s="583"/>
      <c r="F47" s="583"/>
      <c r="G47" s="583"/>
      <c r="H47" s="583"/>
      <c r="I47" s="583"/>
      <c r="J47" s="583"/>
      <c r="K47" s="583"/>
    </row>
    <row r="48" spans="1:11" ht="16.5" customHeight="1" x14ac:dyDescent="0.3">
      <c r="A48" s="109">
        <v>9</v>
      </c>
      <c r="B48" s="627" t="s">
        <v>202</v>
      </c>
      <c r="C48" s="627"/>
      <c r="D48" s="627"/>
      <c r="E48" s="627"/>
      <c r="F48" s="627"/>
      <c r="G48" s="627"/>
      <c r="H48" s="627"/>
      <c r="I48" s="627"/>
      <c r="J48" s="627"/>
      <c r="K48" s="627"/>
    </row>
    <row r="49" spans="1:11" ht="16.5" customHeight="1" x14ac:dyDescent="0.3">
      <c r="A49" s="624" t="s">
        <v>542</v>
      </c>
      <c r="B49" s="585" t="s">
        <v>204</v>
      </c>
      <c r="C49" s="585"/>
      <c r="D49" s="585" t="s">
        <v>205</v>
      </c>
      <c r="E49" s="585"/>
      <c r="F49" s="585" t="s">
        <v>203</v>
      </c>
      <c r="G49" s="585"/>
      <c r="H49" s="585"/>
      <c r="I49" s="585"/>
      <c r="J49" s="585"/>
      <c r="K49" s="585"/>
    </row>
    <row r="50" spans="1:11" ht="42" customHeight="1" x14ac:dyDescent="0.3">
      <c r="A50" s="624"/>
      <c r="B50" s="585"/>
      <c r="C50" s="585"/>
      <c r="D50" s="585"/>
      <c r="E50" s="585"/>
      <c r="F50" s="107" t="s">
        <v>49</v>
      </c>
      <c r="G50" s="107" t="s">
        <v>547</v>
      </c>
      <c r="H50" s="585" t="s">
        <v>206</v>
      </c>
      <c r="I50" s="585"/>
      <c r="J50" s="585" t="s">
        <v>571</v>
      </c>
      <c r="K50" s="610"/>
    </row>
    <row r="51" spans="1:11" ht="16.5" customHeight="1" x14ac:dyDescent="0.3">
      <c r="A51" s="107" t="s">
        <v>158</v>
      </c>
      <c r="B51" s="567">
        <v>0.05</v>
      </c>
      <c r="C51" s="567"/>
      <c r="D51" s="568"/>
      <c r="E51" s="568"/>
      <c r="F51" s="156"/>
      <c r="G51" s="156"/>
      <c r="H51" s="568"/>
      <c r="I51" s="568"/>
      <c r="J51" s="568"/>
      <c r="K51" s="568"/>
    </row>
    <row r="52" spans="1:11" ht="16.5" customHeight="1" x14ac:dyDescent="0.3">
      <c r="A52" s="107" t="s">
        <v>160</v>
      </c>
      <c r="B52" s="569" t="s">
        <v>207</v>
      </c>
      <c r="C52" s="569"/>
      <c r="D52" s="568"/>
      <c r="E52" s="568"/>
      <c r="F52" s="156"/>
      <c r="G52" s="156"/>
      <c r="H52" s="568"/>
      <c r="I52" s="568"/>
      <c r="J52" s="568"/>
      <c r="K52" s="568"/>
    </row>
    <row r="53" spans="1:11" ht="16.5" customHeight="1" x14ac:dyDescent="0.3">
      <c r="A53" s="185" t="s">
        <v>690</v>
      </c>
      <c r="B53" s="622">
        <v>0.06</v>
      </c>
      <c r="C53" s="623"/>
      <c r="D53" s="573"/>
      <c r="E53" s="574"/>
      <c r="F53" s="186"/>
      <c r="G53" s="186"/>
      <c r="H53" s="573"/>
      <c r="I53" s="574"/>
      <c r="J53" s="573"/>
      <c r="K53" s="574"/>
    </row>
    <row r="54" spans="1:11" ht="16.5" customHeight="1" x14ac:dyDescent="0.3">
      <c r="A54" s="107" t="s">
        <v>8</v>
      </c>
      <c r="B54" s="567">
        <v>0.12</v>
      </c>
      <c r="C54" s="567"/>
      <c r="D54" s="568"/>
      <c r="E54" s="568"/>
      <c r="F54" s="156"/>
      <c r="G54" s="156"/>
      <c r="H54" s="568"/>
      <c r="I54" s="568"/>
      <c r="J54" s="568"/>
      <c r="K54" s="568"/>
    </row>
    <row r="55" spans="1:11" ht="16.5" customHeight="1" x14ac:dyDescent="0.3">
      <c r="A55" s="107" t="s">
        <v>9</v>
      </c>
      <c r="B55" s="569" t="s">
        <v>208</v>
      </c>
      <c r="C55" s="569"/>
      <c r="D55" s="568"/>
      <c r="E55" s="568"/>
      <c r="F55" s="156"/>
      <c r="G55" s="156"/>
      <c r="H55" s="568"/>
      <c r="I55" s="568"/>
      <c r="J55" s="568"/>
      <c r="K55" s="568"/>
    </row>
    <row r="56" spans="1:11" ht="16.5" customHeight="1" x14ac:dyDescent="0.3">
      <c r="A56" s="107" t="s">
        <v>10</v>
      </c>
      <c r="B56" s="567">
        <v>0.18</v>
      </c>
      <c r="C56" s="567"/>
      <c r="D56" s="568"/>
      <c r="E56" s="568"/>
      <c r="F56" s="156"/>
      <c r="G56" s="156"/>
      <c r="H56" s="568"/>
      <c r="I56" s="568"/>
      <c r="J56" s="568"/>
      <c r="K56" s="568"/>
    </row>
    <row r="57" spans="1:11" ht="16.5" customHeight="1" x14ac:dyDescent="0.3">
      <c r="A57" s="107" t="s">
        <v>11</v>
      </c>
      <c r="B57" s="569" t="s">
        <v>209</v>
      </c>
      <c r="C57" s="569"/>
      <c r="D57" s="568"/>
      <c r="E57" s="568"/>
      <c r="F57" s="156"/>
      <c r="G57" s="156"/>
      <c r="H57" s="568"/>
      <c r="I57" s="568"/>
      <c r="J57" s="568"/>
      <c r="K57" s="568"/>
    </row>
    <row r="58" spans="1:11" ht="16.5" customHeight="1" x14ac:dyDescent="0.3">
      <c r="A58" s="107" t="s">
        <v>12</v>
      </c>
      <c r="B58" s="567">
        <v>0.28000000000000003</v>
      </c>
      <c r="C58" s="567"/>
      <c r="D58" s="568"/>
      <c r="E58" s="568"/>
      <c r="F58" s="156"/>
      <c r="G58" s="156"/>
      <c r="H58" s="568"/>
      <c r="I58" s="568"/>
      <c r="J58" s="568"/>
      <c r="K58" s="568"/>
    </row>
    <row r="59" spans="1:11" ht="16.5" customHeight="1" x14ac:dyDescent="0.3">
      <c r="A59" s="107" t="s">
        <v>14</v>
      </c>
      <c r="B59" s="637" t="s">
        <v>210</v>
      </c>
      <c r="C59" s="623"/>
      <c r="D59" s="573"/>
      <c r="E59" s="574"/>
      <c r="F59" s="156"/>
      <c r="G59" s="156"/>
      <c r="H59" s="573"/>
      <c r="I59" s="574"/>
      <c r="J59" s="573"/>
      <c r="K59" s="574"/>
    </row>
    <row r="60" spans="1:11" ht="16.5" customHeight="1" x14ac:dyDescent="0.3">
      <c r="A60" s="107" t="s">
        <v>744</v>
      </c>
      <c r="B60" s="622">
        <v>0.4</v>
      </c>
      <c r="C60" s="623"/>
      <c r="D60" s="573"/>
      <c r="E60" s="574"/>
      <c r="F60" s="156"/>
      <c r="G60" s="156"/>
      <c r="H60" s="573"/>
      <c r="I60" s="574"/>
      <c r="J60" s="573"/>
      <c r="K60" s="574"/>
    </row>
    <row r="61" spans="1:11" ht="16.5" customHeight="1" x14ac:dyDescent="0.3">
      <c r="A61" s="107" t="s">
        <v>745</v>
      </c>
      <c r="B61" s="569" t="s">
        <v>752</v>
      </c>
      <c r="C61" s="569"/>
      <c r="D61" s="568"/>
      <c r="E61" s="568"/>
      <c r="F61" s="156"/>
      <c r="G61" s="156"/>
      <c r="H61" s="568"/>
      <c r="I61" s="568"/>
      <c r="J61" s="568"/>
      <c r="K61" s="568"/>
    </row>
    <row r="62" spans="1:11" ht="16.5" customHeight="1" x14ac:dyDescent="0.3">
      <c r="A62" s="107" t="s">
        <v>16</v>
      </c>
      <c r="B62" s="567">
        <v>0.03</v>
      </c>
      <c r="C62" s="567"/>
      <c r="D62" s="568"/>
      <c r="E62" s="568"/>
      <c r="F62" s="156"/>
      <c r="G62" s="156"/>
      <c r="H62" s="568"/>
      <c r="I62" s="568"/>
      <c r="J62" s="568"/>
      <c r="K62" s="568"/>
    </row>
    <row r="63" spans="1:11" ht="16.5" customHeight="1" x14ac:dyDescent="0.3">
      <c r="A63" s="107" t="s">
        <v>17</v>
      </c>
      <c r="B63" s="581">
        <v>2.5000000000000001E-3</v>
      </c>
      <c r="C63" s="581"/>
      <c r="D63" s="568"/>
      <c r="E63" s="568"/>
      <c r="F63" s="156"/>
      <c r="G63" s="156"/>
      <c r="H63" s="568"/>
      <c r="I63" s="568"/>
      <c r="J63" s="568"/>
      <c r="K63" s="568"/>
    </row>
    <row r="64" spans="1:11" ht="16.5" customHeight="1" x14ac:dyDescent="0.3">
      <c r="A64" s="107" t="s">
        <v>18</v>
      </c>
      <c r="B64" s="581">
        <v>1E-3</v>
      </c>
      <c r="C64" s="581"/>
      <c r="D64" s="568"/>
      <c r="E64" s="568"/>
      <c r="F64" s="156"/>
      <c r="G64" s="156"/>
      <c r="H64" s="568"/>
      <c r="I64" s="568"/>
      <c r="J64" s="568"/>
      <c r="K64" s="568"/>
    </row>
    <row r="65" spans="1:11" ht="16.5" customHeight="1" x14ac:dyDescent="0.3">
      <c r="A65" s="107" t="s">
        <v>20</v>
      </c>
      <c r="B65" s="569" t="s">
        <v>211</v>
      </c>
      <c r="C65" s="569"/>
      <c r="D65" s="619"/>
      <c r="E65" s="619"/>
      <c r="F65" s="156"/>
      <c r="G65" s="156"/>
      <c r="H65" s="568"/>
      <c r="I65" s="568"/>
      <c r="J65" s="568"/>
      <c r="K65" s="568"/>
    </row>
    <row r="66" spans="1:11" ht="16.5" customHeight="1" x14ac:dyDescent="0.3">
      <c r="A66" s="107" t="s">
        <v>21</v>
      </c>
      <c r="B66" s="569" t="s">
        <v>212</v>
      </c>
      <c r="C66" s="569"/>
      <c r="D66" s="619"/>
      <c r="E66" s="619"/>
      <c r="F66" s="156"/>
      <c r="G66" s="156"/>
      <c r="H66" s="568"/>
      <c r="I66" s="568"/>
      <c r="J66" s="568"/>
      <c r="K66" s="568"/>
    </row>
    <row r="67" spans="1:11" ht="49.5" customHeight="1" x14ac:dyDescent="0.3">
      <c r="A67" s="107" t="s">
        <v>22</v>
      </c>
      <c r="B67" s="569" t="s">
        <v>213</v>
      </c>
      <c r="C67" s="569"/>
      <c r="D67" s="619"/>
      <c r="E67" s="619"/>
      <c r="F67" s="156"/>
      <c r="G67" s="156"/>
      <c r="H67" s="568"/>
      <c r="I67" s="568"/>
      <c r="J67" s="568"/>
      <c r="K67" s="568"/>
    </row>
    <row r="68" spans="1:11" ht="81.75" customHeight="1" x14ac:dyDescent="0.3">
      <c r="A68" s="107" t="s">
        <v>29</v>
      </c>
      <c r="B68" s="569" t="s">
        <v>214</v>
      </c>
      <c r="C68" s="569"/>
      <c r="D68" s="619"/>
      <c r="E68" s="619"/>
      <c r="F68" s="156"/>
      <c r="G68" s="156"/>
      <c r="H68" s="568"/>
      <c r="I68" s="568"/>
      <c r="J68" s="568"/>
      <c r="K68" s="568"/>
    </row>
    <row r="69" spans="1:11" ht="47.25" customHeight="1" x14ac:dyDescent="0.3">
      <c r="A69" s="107" t="s">
        <v>31</v>
      </c>
      <c r="B69" s="582" t="s">
        <v>215</v>
      </c>
      <c r="C69" s="582"/>
      <c r="D69" s="619"/>
      <c r="E69" s="619"/>
      <c r="F69" s="157"/>
      <c r="G69" s="157"/>
      <c r="H69" s="614"/>
      <c r="I69" s="614"/>
      <c r="J69" s="614"/>
      <c r="K69" s="614"/>
    </row>
    <row r="70" spans="1:11" ht="16.5" customHeight="1" x14ac:dyDescent="0.3">
      <c r="A70" s="107" t="s">
        <v>32</v>
      </c>
      <c r="B70" s="569" t="s">
        <v>216</v>
      </c>
      <c r="C70" s="582"/>
      <c r="D70" s="619"/>
      <c r="E70" s="619"/>
      <c r="F70" s="156"/>
      <c r="G70" s="156"/>
      <c r="H70" s="568"/>
      <c r="I70" s="568"/>
      <c r="J70" s="568"/>
      <c r="K70" s="568"/>
    </row>
    <row r="71" spans="1:11" ht="219.9" customHeight="1" x14ac:dyDescent="0.3">
      <c r="A71" s="107" t="s">
        <v>33</v>
      </c>
      <c r="B71" s="569" t="s">
        <v>217</v>
      </c>
      <c r="C71" s="569"/>
      <c r="D71" s="613"/>
      <c r="E71" s="613"/>
      <c r="F71" s="157"/>
      <c r="G71" s="157"/>
      <c r="H71" s="614"/>
      <c r="I71" s="614"/>
      <c r="J71" s="614"/>
      <c r="K71" s="614"/>
    </row>
    <row r="72" spans="1:11" ht="33" customHeight="1" x14ac:dyDescent="0.3">
      <c r="A72" s="109">
        <v>10</v>
      </c>
      <c r="B72" s="585" t="s">
        <v>218</v>
      </c>
      <c r="C72" s="620"/>
      <c r="D72" s="620"/>
      <c r="E72" s="620"/>
      <c r="F72" s="620"/>
      <c r="G72" s="620"/>
      <c r="H72" s="620"/>
      <c r="I72" s="620"/>
      <c r="J72" s="620"/>
      <c r="K72" s="620"/>
    </row>
    <row r="73" spans="1:11" ht="16.5" customHeight="1" x14ac:dyDescent="0.3">
      <c r="A73" s="107" t="s">
        <v>6</v>
      </c>
      <c r="B73" s="611" t="s">
        <v>301</v>
      </c>
      <c r="C73" s="611"/>
      <c r="D73" s="611"/>
      <c r="E73" s="569"/>
      <c r="F73" s="569"/>
      <c r="G73" s="569"/>
      <c r="H73" s="569"/>
      <c r="I73" s="569"/>
      <c r="J73" s="569"/>
      <c r="K73" s="569"/>
    </row>
    <row r="74" spans="1:11" ht="48.9" customHeight="1" x14ac:dyDescent="0.3">
      <c r="A74" s="109">
        <v>11</v>
      </c>
      <c r="B74" s="618" t="s">
        <v>219</v>
      </c>
      <c r="C74" s="618"/>
      <c r="D74" s="618"/>
      <c r="E74" s="618"/>
      <c r="F74" s="618"/>
      <c r="G74" s="618"/>
      <c r="H74" s="618"/>
      <c r="I74" s="618"/>
      <c r="J74" s="618"/>
      <c r="K74" s="618"/>
    </row>
    <row r="75" spans="1:11" ht="16.5" customHeight="1" x14ac:dyDescent="0.25">
      <c r="A75" s="114"/>
      <c r="B75" s="609"/>
      <c r="C75" s="609"/>
      <c r="D75" s="609"/>
      <c r="E75" s="609"/>
      <c r="F75" s="584" t="s">
        <v>220</v>
      </c>
      <c r="G75" s="584"/>
      <c r="H75" s="584"/>
      <c r="I75" s="584"/>
      <c r="J75" s="584"/>
      <c r="K75" s="584"/>
    </row>
    <row r="76" spans="1:11" ht="16.5" customHeight="1" x14ac:dyDescent="0.3">
      <c r="A76" s="113" t="s">
        <v>542</v>
      </c>
      <c r="B76" s="585" t="s">
        <v>204</v>
      </c>
      <c r="C76" s="585"/>
      <c r="D76" s="585" t="s">
        <v>205</v>
      </c>
      <c r="E76" s="585"/>
      <c r="F76" s="107" t="s">
        <v>49</v>
      </c>
      <c r="G76" s="107" t="s">
        <v>547</v>
      </c>
      <c r="H76" s="585" t="s">
        <v>48</v>
      </c>
      <c r="I76" s="585"/>
      <c r="J76" s="585" t="s">
        <v>572</v>
      </c>
      <c r="K76" s="610"/>
    </row>
    <row r="77" spans="1:11" ht="16.5" customHeight="1" x14ac:dyDescent="0.3">
      <c r="A77" s="113" t="s">
        <v>6</v>
      </c>
      <c r="B77" s="567">
        <v>0.05</v>
      </c>
      <c r="C77" s="567"/>
      <c r="D77" s="568"/>
      <c r="E77" s="568"/>
      <c r="F77" s="156"/>
      <c r="G77" s="156"/>
      <c r="H77" s="568"/>
      <c r="I77" s="568"/>
      <c r="J77" s="568"/>
      <c r="K77" s="568"/>
    </row>
    <row r="78" spans="1:11" ht="16.5" customHeight="1" x14ac:dyDescent="0.3">
      <c r="A78" s="187" t="s">
        <v>692</v>
      </c>
      <c r="B78" s="571">
        <v>0.06</v>
      </c>
      <c r="C78" s="572"/>
      <c r="D78" s="573"/>
      <c r="E78" s="574"/>
      <c r="F78" s="186"/>
      <c r="G78" s="186"/>
      <c r="H78" s="573"/>
      <c r="I78" s="574"/>
      <c r="J78" s="573"/>
      <c r="K78" s="574"/>
    </row>
    <row r="79" spans="1:11" ht="16.5" customHeight="1" x14ac:dyDescent="0.3">
      <c r="A79" s="113" t="s">
        <v>7</v>
      </c>
      <c r="B79" s="567">
        <v>0.12</v>
      </c>
      <c r="C79" s="567"/>
      <c r="D79" s="568"/>
      <c r="E79" s="568"/>
      <c r="F79" s="156"/>
      <c r="G79" s="156"/>
      <c r="H79" s="568"/>
      <c r="I79" s="568"/>
      <c r="J79" s="568"/>
      <c r="K79" s="568"/>
    </row>
    <row r="80" spans="1:11" ht="16.5" customHeight="1" x14ac:dyDescent="0.3">
      <c r="A80" s="113" t="s">
        <v>8</v>
      </c>
      <c r="B80" s="567">
        <v>0.18</v>
      </c>
      <c r="C80" s="567"/>
      <c r="D80" s="568"/>
      <c r="E80" s="568"/>
      <c r="F80" s="156"/>
      <c r="G80" s="156"/>
      <c r="H80" s="568"/>
      <c r="I80" s="568"/>
      <c r="J80" s="568"/>
      <c r="K80" s="568"/>
    </row>
    <row r="81" spans="1:11" ht="16.5" customHeight="1" x14ac:dyDescent="0.3">
      <c r="A81" s="113" t="s">
        <v>9</v>
      </c>
      <c r="B81" s="567">
        <v>0.28000000000000003</v>
      </c>
      <c r="C81" s="567"/>
      <c r="D81" s="568"/>
      <c r="E81" s="568"/>
      <c r="F81" s="156"/>
      <c r="G81" s="156"/>
      <c r="H81" s="568"/>
      <c r="I81" s="568"/>
      <c r="J81" s="568"/>
      <c r="K81" s="568"/>
    </row>
    <row r="82" spans="1:11" ht="16.5" customHeight="1" x14ac:dyDescent="0.3">
      <c r="A82" s="113" t="s">
        <v>724</v>
      </c>
      <c r="B82" s="567">
        <v>0.4</v>
      </c>
      <c r="C82" s="567"/>
      <c r="D82" s="568"/>
      <c r="E82" s="568"/>
      <c r="F82" s="156"/>
      <c r="G82" s="156"/>
      <c r="H82" s="568"/>
      <c r="I82" s="568"/>
      <c r="J82" s="568"/>
      <c r="K82" s="568"/>
    </row>
    <row r="83" spans="1:11" ht="16.5" customHeight="1" x14ac:dyDescent="0.3">
      <c r="A83" s="113" t="s">
        <v>10</v>
      </c>
      <c r="B83" s="567">
        <v>0.03</v>
      </c>
      <c r="C83" s="567"/>
      <c r="D83" s="568"/>
      <c r="E83" s="568"/>
      <c r="F83" s="156"/>
      <c r="G83" s="156"/>
      <c r="H83" s="568"/>
      <c r="I83" s="568"/>
      <c r="J83" s="568"/>
      <c r="K83" s="568"/>
    </row>
    <row r="84" spans="1:11" ht="16.5" customHeight="1" x14ac:dyDescent="0.3">
      <c r="A84" s="113" t="s">
        <v>11</v>
      </c>
      <c r="B84" s="581">
        <v>2.5000000000000001E-3</v>
      </c>
      <c r="C84" s="581"/>
      <c r="D84" s="568"/>
      <c r="E84" s="568"/>
      <c r="F84" s="156"/>
      <c r="G84" s="156"/>
      <c r="H84" s="568"/>
      <c r="I84" s="568"/>
      <c r="J84" s="568"/>
      <c r="K84" s="568"/>
    </row>
    <row r="85" spans="1:11" ht="16.5" customHeight="1" x14ac:dyDescent="0.3">
      <c r="A85" s="113" t="s">
        <v>12</v>
      </c>
      <c r="B85" s="581">
        <v>1E-3</v>
      </c>
      <c r="C85" s="581"/>
      <c r="D85" s="568"/>
      <c r="E85" s="568"/>
      <c r="F85" s="156"/>
      <c r="G85" s="156"/>
      <c r="H85" s="568"/>
      <c r="I85" s="568"/>
      <c r="J85" s="568"/>
      <c r="K85" s="568"/>
    </row>
    <row r="86" spans="1:11" ht="45" customHeight="1" x14ac:dyDescent="0.3">
      <c r="A86" s="113" t="s">
        <v>14</v>
      </c>
      <c r="B86" s="569" t="s">
        <v>211</v>
      </c>
      <c r="C86" s="569"/>
      <c r="D86" s="619"/>
      <c r="E86" s="619"/>
      <c r="F86" s="156"/>
      <c r="G86" s="156"/>
      <c r="H86" s="568"/>
      <c r="I86" s="568"/>
      <c r="J86" s="568"/>
      <c r="K86" s="568"/>
    </row>
    <row r="87" spans="1:11" ht="16.5" customHeight="1" x14ac:dyDescent="0.3">
      <c r="A87" s="113" t="s">
        <v>16</v>
      </c>
      <c r="B87" s="569" t="s">
        <v>212</v>
      </c>
      <c r="C87" s="569"/>
      <c r="D87" s="619"/>
      <c r="E87" s="619"/>
      <c r="F87" s="156"/>
      <c r="G87" s="156"/>
      <c r="H87" s="568"/>
      <c r="I87" s="568"/>
      <c r="J87" s="568"/>
      <c r="K87" s="568"/>
    </row>
    <row r="88" spans="1:11" ht="15" customHeight="1" x14ac:dyDescent="0.3">
      <c r="A88" s="113" t="s">
        <v>17</v>
      </c>
      <c r="B88" s="569" t="s">
        <v>213</v>
      </c>
      <c r="C88" s="569"/>
      <c r="D88" s="619"/>
      <c r="E88" s="619"/>
      <c r="F88" s="156"/>
      <c r="G88" s="156"/>
      <c r="H88" s="568"/>
      <c r="I88" s="568"/>
      <c r="J88" s="568"/>
      <c r="K88" s="568"/>
    </row>
    <row r="89" spans="1:11" ht="16.5" customHeight="1" x14ac:dyDescent="0.3">
      <c r="A89" s="113" t="s">
        <v>18</v>
      </c>
      <c r="B89" s="582" t="s">
        <v>221</v>
      </c>
      <c r="C89" s="582"/>
      <c r="D89" s="619"/>
      <c r="E89" s="619"/>
      <c r="F89" s="156"/>
      <c r="G89" s="156"/>
      <c r="H89" s="568"/>
      <c r="I89" s="568"/>
      <c r="J89" s="568"/>
      <c r="K89" s="568"/>
    </row>
    <row r="90" spans="1:11" ht="16.5" customHeight="1" x14ac:dyDescent="0.3">
      <c r="A90" s="585" t="s">
        <v>675</v>
      </c>
      <c r="B90" s="620" t="s">
        <v>309</v>
      </c>
      <c r="C90" s="620"/>
      <c r="D90" s="620"/>
      <c r="E90" s="620"/>
      <c r="F90" s="620"/>
      <c r="G90" s="620"/>
      <c r="H90" s="620"/>
      <c r="I90" s="620"/>
      <c r="J90" s="620"/>
      <c r="K90" s="620"/>
    </row>
    <row r="91" spans="1:11" ht="48.9" customHeight="1" x14ac:dyDescent="0.3">
      <c r="A91" s="585"/>
      <c r="B91" s="620"/>
      <c r="C91" s="620"/>
      <c r="D91" s="620"/>
      <c r="E91" s="620"/>
      <c r="F91" s="620"/>
      <c r="G91" s="620"/>
      <c r="H91" s="620"/>
      <c r="I91" s="620"/>
      <c r="J91" s="620"/>
      <c r="K91" s="620"/>
    </row>
    <row r="92" spans="1:11" ht="33" customHeight="1" x14ac:dyDescent="0.3">
      <c r="A92" s="109">
        <v>12</v>
      </c>
      <c r="B92" s="620" t="s">
        <v>222</v>
      </c>
      <c r="C92" s="620"/>
      <c r="D92" s="620"/>
      <c r="E92" s="620"/>
      <c r="F92" s="620"/>
      <c r="G92" s="620"/>
      <c r="H92" s="620"/>
      <c r="I92" s="620"/>
      <c r="J92" s="620"/>
      <c r="K92" s="620"/>
    </row>
    <row r="93" spans="1:11" ht="33" customHeight="1" x14ac:dyDescent="0.3">
      <c r="A93" s="109" t="s">
        <v>542</v>
      </c>
      <c r="B93" s="585" t="s">
        <v>24</v>
      </c>
      <c r="C93" s="620"/>
      <c r="D93" s="620"/>
      <c r="E93" s="620"/>
      <c r="F93" s="620"/>
      <c r="G93" s="620"/>
      <c r="H93" s="620"/>
      <c r="I93" s="585" t="s">
        <v>570</v>
      </c>
      <c r="J93" s="620"/>
      <c r="K93" s="620"/>
    </row>
    <row r="94" spans="1:11" ht="33" customHeight="1" x14ac:dyDescent="0.3">
      <c r="A94" s="110" t="s">
        <v>158</v>
      </c>
      <c r="B94" s="582" t="s">
        <v>223</v>
      </c>
      <c r="C94" s="582"/>
      <c r="D94" s="582"/>
      <c r="E94" s="582"/>
      <c r="F94" s="582"/>
      <c r="G94" s="582"/>
      <c r="H94" s="582"/>
      <c r="I94" s="568"/>
      <c r="J94" s="568"/>
      <c r="K94" s="568"/>
    </row>
    <row r="95" spans="1:11" ht="16.5" customHeight="1" x14ac:dyDescent="0.3">
      <c r="A95" s="110" t="s">
        <v>160</v>
      </c>
      <c r="B95" s="582" t="s">
        <v>224</v>
      </c>
      <c r="C95" s="582"/>
      <c r="D95" s="582"/>
      <c r="E95" s="582"/>
      <c r="F95" s="582"/>
      <c r="G95" s="582"/>
      <c r="H95" s="582"/>
      <c r="I95" s="568"/>
      <c r="J95" s="568"/>
      <c r="K95" s="568"/>
    </row>
    <row r="96" spans="1:11" ht="16.5" customHeight="1" x14ac:dyDescent="0.3">
      <c r="A96" s="110" t="s">
        <v>162</v>
      </c>
      <c r="B96" s="626" t="s">
        <v>225</v>
      </c>
      <c r="C96" s="626"/>
      <c r="D96" s="626"/>
      <c r="E96" s="626"/>
      <c r="F96" s="626"/>
      <c r="G96" s="626"/>
      <c r="H96" s="626"/>
      <c r="I96" s="568"/>
      <c r="J96" s="568"/>
      <c r="K96" s="568"/>
    </row>
    <row r="97" spans="1:11" ht="16.5" customHeight="1" x14ac:dyDescent="0.3">
      <c r="A97" s="110" t="s">
        <v>164</v>
      </c>
      <c r="B97" s="582" t="s">
        <v>226</v>
      </c>
      <c r="C97" s="582"/>
      <c r="D97" s="582"/>
      <c r="E97" s="582"/>
      <c r="F97" s="582"/>
      <c r="G97" s="582"/>
      <c r="H97" s="582"/>
      <c r="I97" s="614"/>
      <c r="J97" s="614"/>
      <c r="K97" s="614"/>
    </row>
    <row r="98" spans="1:11" ht="219.9" customHeight="1" x14ac:dyDescent="0.3">
      <c r="A98" s="107" t="s">
        <v>166</v>
      </c>
      <c r="B98" s="569" t="s">
        <v>227</v>
      </c>
      <c r="C98" s="569"/>
      <c r="D98" s="569"/>
      <c r="E98" s="569"/>
      <c r="F98" s="569"/>
      <c r="G98" s="569"/>
      <c r="H98" s="569"/>
      <c r="I98" s="568"/>
      <c r="J98" s="568"/>
      <c r="K98" s="568"/>
    </row>
    <row r="99" spans="1:11" ht="43.5" customHeight="1" x14ac:dyDescent="0.3">
      <c r="A99" s="107" t="s">
        <v>168</v>
      </c>
      <c r="B99" s="569" t="s">
        <v>228</v>
      </c>
      <c r="C99" s="569"/>
      <c r="D99" s="569"/>
      <c r="E99" s="569"/>
      <c r="F99" s="569"/>
      <c r="G99" s="569"/>
      <c r="H99" s="569"/>
      <c r="I99" s="614"/>
      <c r="J99" s="614"/>
      <c r="K99" s="614"/>
    </row>
    <row r="100" spans="1:11" ht="39.6" customHeight="1" x14ac:dyDescent="0.3">
      <c r="A100" s="109">
        <v>13</v>
      </c>
      <c r="B100" s="620" t="s">
        <v>229</v>
      </c>
      <c r="C100" s="620"/>
      <c r="D100" s="620"/>
      <c r="E100" s="620"/>
      <c r="F100" s="620"/>
      <c r="G100" s="620"/>
      <c r="H100" s="620"/>
      <c r="I100" s="620"/>
      <c r="J100" s="620"/>
      <c r="K100" s="620"/>
    </row>
    <row r="101" spans="1:11" ht="16.5" customHeight="1" x14ac:dyDescent="0.3">
      <c r="A101" s="107" t="s">
        <v>6</v>
      </c>
      <c r="B101" s="569" t="s">
        <v>301</v>
      </c>
      <c r="C101" s="569"/>
      <c r="D101" s="569"/>
      <c r="E101" s="569"/>
      <c r="F101" s="569"/>
      <c r="G101" s="569"/>
      <c r="H101" s="569"/>
      <c r="I101" s="569"/>
      <c r="J101" s="569"/>
      <c r="K101" s="569"/>
    </row>
    <row r="102" spans="1:11" ht="16.5" customHeight="1" x14ac:dyDescent="0.3">
      <c r="A102" s="109">
        <v>14</v>
      </c>
      <c r="B102" s="618" t="s">
        <v>230</v>
      </c>
      <c r="C102" s="618"/>
      <c r="D102" s="618"/>
      <c r="E102" s="618"/>
      <c r="F102" s="618"/>
      <c r="G102" s="618"/>
      <c r="H102" s="618"/>
      <c r="I102" s="618"/>
      <c r="J102" s="618"/>
      <c r="K102" s="618"/>
    </row>
    <row r="103" spans="1:11" ht="16.5" customHeight="1" x14ac:dyDescent="0.3">
      <c r="A103" s="115" t="s">
        <v>542</v>
      </c>
      <c r="B103" s="585" t="s">
        <v>204</v>
      </c>
      <c r="C103" s="585"/>
      <c r="D103" s="585"/>
      <c r="E103" s="585" t="s">
        <v>231</v>
      </c>
      <c r="F103" s="585"/>
      <c r="G103" s="616" t="s">
        <v>232</v>
      </c>
      <c r="H103" s="616"/>
      <c r="I103" s="617" t="s">
        <v>233</v>
      </c>
      <c r="J103" s="617"/>
      <c r="K103" s="617"/>
    </row>
    <row r="104" spans="1:11" ht="50.25" customHeight="1" x14ac:dyDescent="0.3">
      <c r="A104" s="107" t="s">
        <v>6</v>
      </c>
      <c r="B104" s="611" t="s">
        <v>247</v>
      </c>
      <c r="C104" s="611"/>
      <c r="D104" s="611"/>
      <c r="E104" s="568"/>
      <c r="F104" s="568"/>
      <c r="G104" s="568"/>
      <c r="H104" s="568"/>
      <c r="I104" s="568"/>
      <c r="J104" s="568"/>
      <c r="K104" s="568"/>
    </row>
    <row r="105" spans="1:11" ht="16.5" customHeight="1" x14ac:dyDescent="0.3">
      <c r="A105" s="107" t="s">
        <v>7</v>
      </c>
      <c r="B105" s="611" t="s">
        <v>56</v>
      </c>
      <c r="C105" s="611"/>
      <c r="D105" s="611"/>
      <c r="E105" s="568"/>
      <c r="F105" s="568"/>
      <c r="G105" s="568"/>
      <c r="H105" s="568"/>
      <c r="I105" s="568"/>
      <c r="J105" s="568"/>
      <c r="K105" s="568"/>
    </row>
    <row r="106" spans="1:11" ht="73.5" customHeight="1" x14ac:dyDescent="0.3">
      <c r="A106" s="107" t="s">
        <v>8</v>
      </c>
      <c r="B106" s="611" t="s">
        <v>146</v>
      </c>
      <c r="C106" s="611"/>
      <c r="D106" s="611"/>
      <c r="E106" s="568"/>
      <c r="F106" s="568"/>
      <c r="G106" s="568"/>
      <c r="H106" s="568"/>
      <c r="I106" s="568"/>
      <c r="J106" s="568"/>
      <c r="K106" s="568"/>
    </row>
    <row r="107" spans="1:11" ht="16.5" customHeight="1" x14ac:dyDescent="0.3">
      <c r="A107" s="107" t="s">
        <v>9</v>
      </c>
      <c r="B107" s="615" t="s">
        <v>147</v>
      </c>
      <c r="C107" s="615"/>
      <c r="D107" s="615"/>
      <c r="E107" s="568"/>
      <c r="F107" s="568"/>
      <c r="G107" s="568"/>
      <c r="H107" s="568"/>
      <c r="I107" s="568"/>
      <c r="J107" s="568"/>
      <c r="K107" s="568"/>
    </row>
    <row r="108" spans="1:11" ht="55.5" customHeight="1" x14ac:dyDescent="0.3">
      <c r="A108" s="107" t="s">
        <v>10</v>
      </c>
      <c r="B108" s="611" t="s">
        <v>35</v>
      </c>
      <c r="C108" s="611"/>
      <c r="D108" s="611"/>
      <c r="E108" s="568"/>
      <c r="F108" s="568"/>
      <c r="G108" s="568"/>
      <c r="H108" s="568"/>
      <c r="I108" s="568"/>
      <c r="J108" s="568"/>
      <c r="K108" s="568"/>
    </row>
    <row r="109" spans="1:11" ht="16.5" customHeight="1" x14ac:dyDescent="0.3">
      <c r="A109" s="110" t="s">
        <v>11</v>
      </c>
      <c r="B109" s="615" t="s">
        <v>36</v>
      </c>
      <c r="C109" s="615"/>
      <c r="D109" s="615"/>
      <c r="E109" s="568"/>
      <c r="F109" s="568"/>
      <c r="G109" s="568"/>
      <c r="H109" s="568"/>
      <c r="I109" s="568"/>
      <c r="J109" s="568"/>
      <c r="K109" s="568"/>
    </row>
    <row r="110" spans="1:11" ht="16.5" customHeight="1" x14ac:dyDescent="0.3">
      <c r="A110" s="107" t="s">
        <v>12</v>
      </c>
      <c r="B110" s="611" t="s">
        <v>37</v>
      </c>
      <c r="C110" s="611"/>
      <c r="D110" s="611"/>
      <c r="E110" s="568"/>
      <c r="F110" s="568"/>
      <c r="G110" s="568"/>
      <c r="H110" s="568"/>
      <c r="I110" s="568"/>
      <c r="J110" s="568"/>
      <c r="K110" s="568"/>
    </row>
    <row r="111" spans="1:11" ht="16.5" customHeight="1" x14ac:dyDescent="0.3">
      <c r="A111" s="107" t="s">
        <v>14</v>
      </c>
      <c r="B111" s="615" t="s">
        <v>311</v>
      </c>
      <c r="C111" s="615"/>
      <c r="D111" s="615"/>
      <c r="E111" s="568"/>
      <c r="F111" s="568"/>
      <c r="G111" s="568"/>
      <c r="H111" s="568"/>
      <c r="I111" s="568"/>
      <c r="J111" s="568"/>
      <c r="K111" s="568"/>
    </row>
    <row r="112" spans="1:11" ht="42" customHeight="1" x14ac:dyDescent="0.3">
      <c r="A112" s="107" t="s">
        <v>16</v>
      </c>
      <c r="B112" s="611" t="s">
        <v>38</v>
      </c>
      <c r="C112" s="611"/>
      <c r="D112" s="611"/>
      <c r="E112" s="568"/>
      <c r="F112" s="568"/>
      <c r="G112" s="568"/>
      <c r="H112" s="568"/>
      <c r="I112" s="568"/>
      <c r="J112" s="568"/>
      <c r="K112" s="568"/>
    </row>
    <row r="113" spans="1:11" ht="33" customHeight="1" x14ac:dyDescent="0.3">
      <c r="A113" s="107" t="s">
        <v>17</v>
      </c>
      <c r="B113" s="611" t="s">
        <v>39</v>
      </c>
      <c r="C113" s="611"/>
      <c r="D113" s="611"/>
      <c r="E113" s="568"/>
      <c r="F113" s="568"/>
      <c r="G113" s="568"/>
      <c r="H113" s="568"/>
      <c r="I113" s="568"/>
      <c r="J113" s="568"/>
      <c r="K113" s="568"/>
    </row>
    <row r="114" spans="1:11" ht="33" customHeight="1" x14ac:dyDescent="0.3">
      <c r="A114" s="107" t="s">
        <v>18</v>
      </c>
      <c r="B114" s="611" t="s">
        <v>40</v>
      </c>
      <c r="C114" s="611"/>
      <c r="D114" s="611"/>
      <c r="E114" s="568"/>
      <c r="F114" s="568"/>
      <c r="G114" s="568"/>
      <c r="H114" s="568"/>
      <c r="I114" s="568"/>
      <c r="J114" s="568"/>
      <c r="K114" s="568"/>
    </row>
    <row r="115" spans="1:11" ht="16.5" customHeight="1" x14ac:dyDescent="0.3">
      <c r="A115" s="107" t="s">
        <v>20</v>
      </c>
      <c r="B115" s="615" t="s">
        <v>41</v>
      </c>
      <c r="C115" s="615"/>
      <c r="D115" s="615"/>
      <c r="E115" s="568"/>
      <c r="F115" s="568"/>
      <c r="G115" s="568"/>
      <c r="H115" s="568"/>
      <c r="I115" s="568"/>
      <c r="J115" s="568"/>
      <c r="K115" s="568"/>
    </row>
    <row r="116" spans="1:11" ht="16.5" customHeight="1" x14ac:dyDescent="0.3">
      <c r="A116" s="107" t="s">
        <v>21</v>
      </c>
      <c r="B116" s="615" t="s">
        <v>42</v>
      </c>
      <c r="C116" s="615"/>
      <c r="D116" s="615"/>
      <c r="E116" s="568"/>
      <c r="F116" s="568"/>
      <c r="G116" s="568"/>
      <c r="H116" s="568"/>
      <c r="I116" s="568"/>
      <c r="J116" s="568"/>
      <c r="K116" s="568"/>
    </row>
    <row r="117" spans="1:11" ht="16.5" customHeight="1" x14ac:dyDescent="0.3">
      <c r="A117" s="107" t="s">
        <v>22</v>
      </c>
      <c r="B117" s="615" t="s">
        <v>248</v>
      </c>
      <c r="C117" s="615"/>
      <c r="D117" s="615"/>
      <c r="E117" s="568"/>
      <c r="F117" s="568"/>
      <c r="G117" s="568"/>
      <c r="H117" s="568"/>
      <c r="I117" s="568"/>
      <c r="J117" s="568"/>
      <c r="K117" s="568"/>
    </row>
    <row r="118" spans="1:11" ht="33.75" customHeight="1" x14ac:dyDescent="0.3">
      <c r="A118" s="107" t="s">
        <v>29</v>
      </c>
      <c r="B118" s="611" t="s">
        <v>43</v>
      </c>
      <c r="C118" s="611"/>
      <c r="D118" s="611"/>
      <c r="E118" s="568"/>
      <c r="F118" s="568"/>
      <c r="G118" s="568"/>
      <c r="H118" s="568"/>
      <c r="I118" s="568"/>
      <c r="J118" s="568"/>
      <c r="K118" s="568"/>
    </row>
    <row r="119" spans="1:11" ht="32.25" customHeight="1" x14ac:dyDescent="0.3">
      <c r="A119" s="107" t="s">
        <v>31</v>
      </c>
      <c r="B119" s="611" t="s">
        <v>44</v>
      </c>
      <c r="C119" s="611"/>
      <c r="D119" s="611"/>
      <c r="E119" s="568"/>
      <c r="F119" s="568"/>
      <c r="G119" s="568"/>
      <c r="H119" s="568"/>
      <c r="I119" s="568"/>
      <c r="J119" s="568"/>
      <c r="K119" s="568"/>
    </row>
    <row r="120" spans="1:11" ht="15.75" customHeight="1" x14ac:dyDescent="0.3">
      <c r="A120" s="107" t="s">
        <v>32</v>
      </c>
      <c r="B120" s="611" t="s">
        <v>45</v>
      </c>
      <c r="C120" s="611"/>
      <c r="D120" s="611"/>
      <c r="E120" s="568"/>
      <c r="F120" s="568"/>
      <c r="G120" s="568"/>
      <c r="H120" s="568"/>
      <c r="I120" s="568"/>
      <c r="J120" s="568"/>
      <c r="K120" s="568"/>
    </row>
    <row r="121" spans="1:11" ht="16.5" customHeight="1" x14ac:dyDescent="0.3">
      <c r="A121" s="107" t="s">
        <v>190</v>
      </c>
      <c r="B121" s="611" t="s">
        <v>573</v>
      </c>
      <c r="C121" s="611"/>
      <c r="D121" s="611"/>
      <c r="E121" s="613"/>
      <c r="F121" s="613"/>
      <c r="G121" s="613"/>
      <c r="H121" s="613"/>
      <c r="I121" s="614"/>
      <c r="J121" s="614"/>
      <c r="K121" s="614"/>
    </row>
    <row r="122" spans="1:11" ht="219.9" customHeight="1" x14ac:dyDescent="0.3">
      <c r="A122" s="107" t="s">
        <v>234</v>
      </c>
      <c r="B122" s="611" t="s">
        <v>574</v>
      </c>
      <c r="C122" s="611"/>
      <c r="D122" s="611"/>
      <c r="E122" s="613"/>
      <c r="F122" s="613"/>
      <c r="G122" s="613"/>
      <c r="H122" s="613"/>
      <c r="I122" s="568"/>
      <c r="J122" s="568"/>
      <c r="K122" s="568"/>
    </row>
    <row r="123" spans="1:11" ht="33" customHeight="1" x14ac:dyDescent="0.3">
      <c r="A123" s="107" t="s">
        <v>235</v>
      </c>
      <c r="B123" s="611" t="s">
        <v>575</v>
      </c>
      <c r="C123" s="611"/>
      <c r="D123" s="611"/>
      <c r="E123" s="613"/>
      <c r="F123" s="613"/>
      <c r="G123" s="613"/>
      <c r="H123" s="613"/>
      <c r="I123" s="614"/>
      <c r="J123" s="614"/>
      <c r="K123" s="614"/>
    </row>
    <row r="124" spans="1:11" ht="16.5" customHeight="1" x14ac:dyDescent="0.3">
      <c r="A124" s="109">
        <v>15</v>
      </c>
      <c r="B124" s="612" t="s">
        <v>236</v>
      </c>
      <c r="C124" s="612"/>
      <c r="D124" s="612"/>
      <c r="E124" s="612"/>
      <c r="F124" s="612"/>
      <c r="G124" s="612"/>
      <c r="H124" s="612"/>
      <c r="I124" s="612"/>
      <c r="J124" s="612"/>
      <c r="K124" s="612"/>
    </row>
    <row r="125" spans="1:11" ht="16.5" customHeight="1" x14ac:dyDescent="0.3">
      <c r="A125" s="107" t="s">
        <v>6</v>
      </c>
      <c r="B125" s="569" t="s">
        <v>279</v>
      </c>
      <c r="C125" s="569"/>
      <c r="D125" s="569"/>
      <c r="E125" s="569"/>
      <c r="F125" s="569"/>
      <c r="G125" s="569"/>
      <c r="H125" s="569"/>
      <c r="I125" s="569"/>
      <c r="J125" s="569"/>
      <c r="K125" s="569"/>
    </row>
    <row r="126" spans="1:11" ht="33" customHeight="1" x14ac:dyDescent="0.3">
      <c r="A126" s="108">
        <v>16</v>
      </c>
      <c r="B126" s="610" t="s">
        <v>237</v>
      </c>
      <c r="C126" s="610"/>
      <c r="D126" s="610"/>
      <c r="E126" s="610"/>
      <c r="F126" s="610"/>
      <c r="G126" s="610"/>
      <c r="H126" s="610"/>
      <c r="I126" s="610"/>
      <c r="J126" s="610"/>
      <c r="K126" s="610"/>
    </row>
    <row r="127" spans="1:11" ht="33" customHeight="1" x14ac:dyDescent="0.3">
      <c r="A127" s="113" t="s">
        <v>542</v>
      </c>
      <c r="B127" s="585" t="s">
        <v>204</v>
      </c>
      <c r="C127" s="585"/>
      <c r="D127" s="585" t="s">
        <v>238</v>
      </c>
      <c r="E127" s="585"/>
      <c r="F127" s="585"/>
      <c r="G127" s="585"/>
      <c r="H127" s="585"/>
      <c r="I127" s="585"/>
      <c r="J127" s="585"/>
      <c r="K127" s="585"/>
    </row>
    <row r="128" spans="1:11" ht="16.5" customHeight="1" x14ac:dyDescent="0.3">
      <c r="A128" s="113" t="s">
        <v>6</v>
      </c>
      <c r="B128" s="569" t="s">
        <v>239</v>
      </c>
      <c r="C128" s="569"/>
      <c r="D128" s="568"/>
      <c r="E128" s="568"/>
      <c r="F128" s="568"/>
      <c r="G128" s="568"/>
      <c r="H128" s="568"/>
      <c r="I128" s="568"/>
      <c r="J128" s="568"/>
      <c r="K128" s="568"/>
    </row>
    <row r="129" spans="1:11" ht="16.5" customHeight="1" x14ac:dyDescent="0.3">
      <c r="A129" s="113" t="s">
        <v>7</v>
      </c>
      <c r="B129" s="582" t="s">
        <v>240</v>
      </c>
      <c r="C129" s="582"/>
      <c r="D129" s="568"/>
      <c r="E129" s="568"/>
      <c r="F129" s="568"/>
      <c r="G129" s="568"/>
      <c r="H129" s="568"/>
      <c r="I129" s="568"/>
      <c r="J129" s="568"/>
      <c r="K129" s="568"/>
    </row>
    <row r="130" spans="1:11" ht="16.5" customHeight="1" x14ac:dyDescent="0.3">
      <c r="A130" s="113" t="s">
        <v>8</v>
      </c>
      <c r="B130" s="582" t="s">
        <v>241</v>
      </c>
      <c r="C130" s="582"/>
      <c r="D130" s="568"/>
      <c r="E130" s="568"/>
      <c r="F130" s="568"/>
      <c r="G130" s="568"/>
      <c r="H130" s="568"/>
      <c r="I130" s="568"/>
      <c r="J130" s="568"/>
      <c r="K130" s="568"/>
    </row>
    <row r="131" spans="1:11" ht="32.4" customHeight="1" x14ac:dyDescent="0.3">
      <c r="A131" s="113" t="s">
        <v>9</v>
      </c>
      <c r="B131" s="569" t="s">
        <v>242</v>
      </c>
      <c r="C131" s="569"/>
      <c r="D131" s="568"/>
      <c r="E131" s="568"/>
      <c r="F131" s="568"/>
      <c r="G131" s="568"/>
      <c r="H131" s="568"/>
      <c r="I131" s="568"/>
      <c r="J131" s="568"/>
      <c r="K131" s="568"/>
    </row>
    <row r="132" spans="1:11" ht="16.5" customHeight="1" x14ac:dyDescent="0.3">
      <c r="A132" s="113" t="s">
        <v>10</v>
      </c>
      <c r="B132" s="569" t="s">
        <v>211</v>
      </c>
      <c r="C132" s="569"/>
      <c r="D132" s="568"/>
      <c r="E132" s="568"/>
      <c r="F132" s="568"/>
      <c r="G132" s="568"/>
      <c r="H132" s="568"/>
      <c r="I132" s="568"/>
      <c r="J132" s="568"/>
      <c r="K132" s="568"/>
    </row>
    <row r="133" spans="1:11" ht="48.9" customHeight="1" x14ac:dyDescent="0.3">
      <c r="A133" s="113" t="s">
        <v>11</v>
      </c>
      <c r="B133" s="569" t="s">
        <v>213</v>
      </c>
      <c r="C133" s="569"/>
      <c r="D133" s="568"/>
      <c r="E133" s="568"/>
      <c r="F133" s="568"/>
      <c r="G133" s="568"/>
      <c r="H133" s="568"/>
      <c r="I133" s="568"/>
      <c r="J133" s="568"/>
      <c r="K133" s="568"/>
    </row>
    <row r="134" spans="1:11" ht="16.5" customHeight="1" x14ac:dyDescent="0.3">
      <c r="A134" s="107" t="s">
        <v>676</v>
      </c>
      <c r="B134" s="583" t="s">
        <v>302</v>
      </c>
      <c r="C134" s="583"/>
      <c r="D134" s="583"/>
      <c r="E134" s="583"/>
      <c r="F134" s="583"/>
      <c r="G134" s="583"/>
      <c r="H134" s="583"/>
      <c r="I134" s="583"/>
      <c r="J134" s="583"/>
      <c r="K134" s="583"/>
    </row>
    <row r="135" spans="1:11" ht="16.5" customHeight="1" x14ac:dyDescent="0.25">
      <c r="A135" s="114"/>
      <c r="B135" s="609"/>
      <c r="C135" s="609"/>
      <c r="D135" s="609"/>
      <c r="E135" s="609"/>
      <c r="F135" s="584" t="s">
        <v>220</v>
      </c>
      <c r="G135" s="584"/>
      <c r="H135" s="584"/>
      <c r="I135" s="584"/>
      <c r="J135" s="584"/>
      <c r="K135" s="584"/>
    </row>
    <row r="136" spans="1:11" ht="16.5" customHeight="1" x14ac:dyDescent="0.3">
      <c r="A136" s="113" t="s">
        <v>542</v>
      </c>
      <c r="B136" s="585" t="s">
        <v>204</v>
      </c>
      <c r="C136" s="585"/>
      <c r="D136" s="585" t="s">
        <v>231</v>
      </c>
      <c r="E136" s="585"/>
      <c r="F136" s="107" t="s">
        <v>49</v>
      </c>
      <c r="G136" s="107" t="s">
        <v>547</v>
      </c>
      <c r="H136" s="585" t="s">
        <v>48</v>
      </c>
      <c r="I136" s="585"/>
      <c r="J136" s="585" t="s">
        <v>308</v>
      </c>
      <c r="K136" s="610"/>
    </row>
    <row r="137" spans="1:11" ht="16.5" customHeight="1" x14ac:dyDescent="0.3">
      <c r="A137" s="113" t="s">
        <v>6</v>
      </c>
      <c r="B137" s="567">
        <v>0.05</v>
      </c>
      <c r="C137" s="567"/>
      <c r="D137" s="568"/>
      <c r="E137" s="568"/>
      <c r="F137" s="156"/>
      <c r="G137" s="156"/>
      <c r="H137" s="568"/>
      <c r="I137" s="568"/>
      <c r="J137" s="568"/>
      <c r="K137" s="568"/>
    </row>
    <row r="138" spans="1:11" ht="16.5" customHeight="1" x14ac:dyDescent="0.3">
      <c r="A138" s="187" t="s">
        <v>692</v>
      </c>
      <c r="B138" s="571">
        <v>0.06</v>
      </c>
      <c r="C138" s="572"/>
      <c r="D138" s="573"/>
      <c r="E138" s="574"/>
      <c r="F138" s="186"/>
      <c r="G138" s="186"/>
      <c r="H138" s="573"/>
      <c r="I138" s="574"/>
      <c r="J138" s="573"/>
      <c r="K138" s="574"/>
    </row>
    <row r="139" spans="1:11" ht="16.5" customHeight="1" x14ac:dyDescent="0.3">
      <c r="A139" s="113" t="s">
        <v>7</v>
      </c>
      <c r="B139" s="567">
        <v>0.12</v>
      </c>
      <c r="C139" s="567"/>
      <c r="D139" s="568"/>
      <c r="E139" s="568"/>
      <c r="F139" s="156"/>
      <c r="G139" s="156"/>
      <c r="H139" s="568"/>
      <c r="I139" s="568"/>
      <c r="J139" s="568"/>
      <c r="K139" s="568"/>
    </row>
    <row r="140" spans="1:11" ht="16.5" customHeight="1" x14ac:dyDescent="0.3">
      <c r="A140" s="113" t="s">
        <v>8</v>
      </c>
      <c r="B140" s="567">
        <v>0.18</v>
      </c>
      <c r="C140" s="567"/>
      <c r="D140" s="568"/>
      <c r="E140" s="568"/>
      <c r="F140" s="156"/>
      <c r="G140" s="156"/>
      <c r="H140" s="568"/>
      <c r="I140" s="568"/>
      <c r="J140" s="568"/>
      <c r="K140" s="568"/>
    </row>
    <row r="141" spans="1:11" ht="16.5" customHeight="1" x14ac:dyDescent="0.3">
      <c r="A141" s="113" t="s">
        <v>9</v>
      </c>
      <c r="B141" s="567">
        <v>0.28000000000000003</v>
      </c>
      <c r="C141" s="567"/>
      <c r="D141" s="568"/>
      <c r="E141" s="568"/>
      <c r="F141" s="156"/>
      <c r="G141" s="156"/>
      <c r="H141" s="568"/>
      <c r="I141" s="568"/>
      <c r="J141" s="568"/>
      <c r="K141" s="568"/>
    </row>
    <row r="142" spans="1:11" ht="33" customHeight="1" x14ac:dyDescent="0.3">
      <c r="A142" s="113" t="s">
        <v>724</v>
      </c>
      <c r="B142" s="567">
        <v>0.4</v>
      </c>
      <c r="C142" s="567"/>
      <c r="D142" s="568"/>
      <c r="E142" s="568"/>
      <c r="F142" s="156"/>
      <c r="G142" s="156"/>
      <c r="H142" s="568"/>
      <c r="I142" s="568"/>
      <c r="J142" s="568"/>
      <c r="K142" s="568"/>
    </row>
    <row r="143" spans="1:11" ht="16.5" customHeight="1" x14ac:dyDescent="0.3">
      <c r="A143" s="113" t="s">
        <v>10</v>
      </c>
      <c r="B143" s="567">
        <v>0.03</v>
      </c>
      <c r="C143" s="567"/>
      <c r="D143" s="568"/>
      <c r="E143" s="568"/>
      <c r="F143" s="156"/>
      <c r="G143" s="156"/>
      <c r="H143" s="568"/>
      <c r="I143" s="568"/>
      <c r="J143" s="568"/>
      <c r="K143" s="568"/>
    </row>
    <row r="144" spans="1:11" ht="16.5" customHeight="1" x14ac:dyDescent="0.3">
      <c r="A144" s="113" t="s">
        <v>11</v>
      </c>
      <c r="B144" s="581">
        <v>2.5000000000000001E-3</v>
      </c>
      <c r="C144" s="581"/>
      <c r="D144" s="568"/>
      <c r="E144" s="568"/>
      <c r="F144" s="156"/>
      <c r="G144" s="156"/>
      <c r="H144" s="568"/>
      <c r="I144" s="568"/>
      <c r="J144" s="568"/>
      <c r="K144" s="568"/>
    </row>
    <row r="145" spans="1:12" ht="16.5" customHeight="1" x14ac:dyDescent="0.3">
      <c r="A145" s="113" t="s">
        <v>12</v>
      </c>
      <c r="B145" s="581">
        <v>1E-3</v>
      </c>
      <c r="C145" s="581"/>
      <c r="D145" s="568"/>
      <c r="E145" s="568"/>
      <c r="F145" s="156"/>
      <c r="G145" s="156"/>
      <c r="H145" s="568"/>
      <c r="I145" s="568"/>
      <c r="J145" s="568"/>
      <c r="K145" s="568"/>
    </row>
    <row r="146" spans="1:12" ht="110.25" customHeight="1" x14ac:dyDescent="0.3">
      <c r="A146" s="113" t="s">
        <v>14</v>
      </c>
      <c r="B146" s="582" t="s">
        <v>243</v>
      </c>
      <c r="C146" s="582"/>
      <c r="D146" s="568"/>
      <c r="E146" s="568"/>
      <c r="F146" s="156"/>
      <c r="G146" s="156"/>
      <c r="H146" s="568"/>
      <c r="I146" s="568"/>
      <c r="J146" s="568"/>
      <c r="K146" s="568"/>
    </row>
    <row r="147" spans="1:12" ht="55.5" customHeight="1" x14ac:dyDescent="0.3">
      <c r="A147" s="113" t="s">
        <v>16</v>
      </c>
      <c r="B147" s="569" t="s">
        <v>211</v>
      </c>
      <c r="C147" s="569"/>
      <c r="D147" s="568"/>
      <c r="E147" s="568"/>
      <c r="F147" s="156"/>
      <c r="G147" s="156"/>
      <c r="H147" s="568"/>
      <c r="I147" s="568"/>
      <c r="J147" s="568"/>
      <c r="K147" s="568"/>
    </row>
    <row r="148" spans="1:12" ht="48" customHeight="1" x14ac:dyDescent="0.3">
      <c r="A148" s="113" t="s">
        <v>17</v>
      </c>
      <c r="B148" s="569" t="s">
        <v>212</v>
      </c>
      <c r="C148" s="569"/>
      <c r="D148" s="568"/>
      <c r="E148" s="568"/>
      <c r="F148" s="156"/>
      <c r="G148" s="156"/>
      <c r="H148" s="568"/>
      <c r="I148" s="568"/>
      <c r="J148" s="568"/>
      <c r="K148" s="568"/>
    </row>
    <row r="149" spans="1:12" ht="33" customHeight="1" x14ac:dyDescent="0.3">
      <c r="A149" s="113" t="s">
        <v>18</v>
      </c>
      <c r="B149" s="569" t="s">
        <v>213</v>
      </c>
      <c r="C149" s="569"/>
      <c r="D149" s="568"/>
      <c r="E149" s="568"/>
      <c r="F149" s="156"/>
      <c r="G149" s="156"/>
      <c r="H149" s="568"/>
      <c r="I149" s="568"/>
      <c r="J149" s="568"/>
      <c r="K149" s="568"/>
    </row>
    <row r="150" spans="1:12" ht="17.25" customHeight="1" x14ac:dyDescent="0.3">
      <c r="A150" s="113" t="s">
        <v>20</v>
      </c>
      <c r="B150" s="569" t="s">
        <v>310</v>
      </c>
      <c r="C150" s="582"/>
      <c r="D150" s="568"/>
      <c r="E150" s="568"/>
      <c r="F150" s="156"/>
      <c r="G150" s="156"/>
      <c r="H150" s="568"/>
      <c r="I150" s="568"/>
      <c r="J150" s="568"/>
      <c r="K150" s="568"/>
    </row>
    <row r="151" spans="1:12" ht="17.25" customHeight="1" x14ac:dyDescent="0.3">
      <c r="A151" s="113" t="s">
        <v>21</v>
      </c>
      <c r="B151" s="582" t="s">
        <v>244</v>
      </c>
      <c r="C151" s="582"/>
      <c r="D151" s="568"/>
      <c r="E151" s="568"/>
      <c r="F151" s="156"/>
      <c r="G151" s="156"/>
      <c r="H151" s="568"/>
      <c r="I151" s="568"/>
      <c r="J151" s="568"/>
      <c r="K151" s="568"/>
      <c r="L151" s="63"/>
    </row>
    <row r="152" spans="1:12" ht="17.25" customHeight="1" x14ac:dyDescent="0.3">
      <c r="A152" s="113" t="s">
        <v>22</v>
      </c>
      <c r="B152" s="582" t="s">
        <v>245</v>
      </c>
      <c r="C152" s="582"/>
      <c r="D152" s="568"/>
      <c r="E152" s="568"/>
      <c r="F152" s="156"/>
      <c r="G152" s="156"/>
      <c r="H152" s="568"/>
      <c r="I152" s="568"/>
      <c r="J152" s="568"/>
      <c r="K152" s="568"/>
      <c r="L152" s="63"/>
    </row>
    <row r="153" spans="1:12" ht="17.25" customHeight="1" x14ac:dyDescent="0.3">
      <c r="A153" s="113" t="s">
        <v>29</v>
      </c>
      <c r="B153" s="582" t="s">
        <v>246</v>
      </c>
      <c r="C153" s="582"/>
      <c r="D153" s="568"/>
      <c r="E153" s="568"/>
      <c r="F153" s="156"/>
      <c r="G153" s="156"/>
      <c r="H153" s="568"/>
      <c r="I153" s="568"/>
      <c r="J153" s="568"/>
      <c r="K153" s="568"/>
      <c r="L153" s="63"/>
    </row>
    <row r="154" spans="1:12" ht="15.6" x14ac:dyDescent="0.3">
      <c r="A154" s="59"/>
    </row>
    <row r="155" spans="1:12" x14ac:dyDescent="0.3">
      <c r="A155" s="608" t="s">
        <v>300</v>
      </c>
      <c r="B155" s="608"/>
      <c r="C155" s="608"/>
      <c r="D155" s="608"/>
      <c r="E155" s="608"/>
      <c r="F155" s="608"/>
      <c r="G155" s="608"/>
      <c r="H155" s="608"/>
      <c r="I155" s="608"/>
      <c r="J155" s="608"/>
      <c r="K155" s="608"/>
    </row>
    <row r="156" spans="1:12" x14ac:dyDescent="0.3">
      <c r="A156" s="608"/>
      <c r="B156" s="608"/>
      <c r="C156" s="608"/>
      <c r="D156" s="608"/>
      <c r="E156" s="608"/>
      <c r="F156" s="608"/>
      <c r="G156" s="608"/>
      <c r="H156" s="608"/>
      <c r="I156" s="608"/>
      <c r="J156" s="608"/>
      <c r="K156" s="608"/>
    </row>
    <row r="157" spans="1:12" x14ac:dyDescent="0.3">
      <c r="A157" s="608"/>
      <c r="B157" s="608"/>
      <c r="C157" s="608"/>
      <c r="D157" s="608"/>
      <c r="E157" s="608"/>
      <c r="F157" s="608"/>
      <c r="G157" s="608"/>
      <c r="H157" s="608"/>
      <c r="I157" s="608"/>
      <c r="J157" s="608"/>
      <c r="K157" s="608"/>
    </row>
    <row r="158" spans="1:12" ht="15.6" x14ac:dyDescent="0.3">
      <c r="A158" s="90"/>
      <c r="B158" s="90"/>
      <c r="C158" s="90"/>
      <c r="D158" s="90"/>
      <c r="E158" s="90"/>
      <c r="F158" s="90"/>
      <c r="G158" s="90"/>
      <c r="H158" s="90"/>
      <c r="I158" s="90"/>
      <c r="J158" s="90"/>
      <c r="K158" s="90"/>
    </row>
    <row r="159" spans="1:12" ht="85.5" customHeight="1" x14ac:dyDescent="0.3">
      <c r="A159" s="592" t="s">
        <v>548</v>
      </c>
      <c r="B159" s="592"/>
      <c r="C159" s="592"/>
      <c r="D159" s="90"/>
      <c r="E159" s="90"/>
      <c r="F159" s="589" t="str">
        <f>IF('PT V'!E29="","",'PT V'!E29)</f>
        <v/>
      </c>
      <c r="G159" s="589"/>
      <c r="H159" s="589"/>
      <c r="I159" s="90"/>
      <c r="J159" s="90"/>
      <c r="K159" s="90"/>
    </row>
    <row r="160" spans="1:12" ht="85.5" customHeight="1" x14ac:dyDescent="0.3">
      <c r="A160" s="592" t="s">
        <v>549</v>
      </c>
      <c r="B160" s="592"/>
      <c r="C160" s="592"/>
      <c r="D160" s="90"/>
      <c r="E160" s="90"/>
      <c r="F160" s="589" t="str">
        <f>IF('PT V'!E30="","",'PT V'!E30)</f>
        <v>DD/MM/YYYY</v>
      </c>
      <c r="G160" s="589"/>
      <c r="H160" s="589"/>
      <c r="I160" s="90"/>
      <c r="J160" s="90"/>
      <c r="K160" s="90"/>
    </row>
    <row r="161" spans="1:11" ht="85.5" customHeight="1" x14ac:dyDescent="0.3">
      <c r="A161" s="592" t="s">
        <v>550</v>
      </c>
      <c r="B161" s="592"/>
      <c r="C161" s="592"/>
      <c r="D161" s="90"/>
      <c r="E161" s="90"/>
      <c r="F161" s="604" t="str">
        <f>IF('PT V'!E31="","",'PT V'!E31)</f>
        <v/>
      </c>
      <c r="G161" s="589"/>
      <c r="H161" s="589"/>
      <c r="I161" s="90"/>
      <c r="J161" s="90"/>
      <c r="K161" s="90"/>
    </row>
    <row r="162" spans="1:11" ht="85.5" customHeight="1" x14ac:dyDescent="0.3">
      <c r="A162" s="592" t="s">
        <v>551</v>
      </c>
      <c r="B162" s="592"/>
      <c r="C162" s="592"/>
      <c r="D162" s="90"/>
      <c r="E162" s="90"/>
      <c r="F162" s="594" t="str">
        <f>IF('PT V'!E32="","",'PT V'!E32)</f>
        <v/>
      </c>
      <c r="G162" s="594"/>
      <c r="H162" s="594"/>
      <c r="I162" s="90"/>
      <c r="J162" s="90"/>
      <c r="K162" s="90"/>
    </row>
    <row r="163" spans="1:11" ht="15.6" x14ac:dyDescent="0.3">
      <c r="A163" s="90" t="s">
        <v>553</v>
      </c>
      <c r="B163" s="90"/>
      <c r="C163" s="586" t="s">
        <v>552</v>
      </c>
      <c r="D163" s="587"/>
      <c r="E163" s="588"/>
      <c r="F163" s="589">
        <f>'PT V'!E33</f>
        <v>0</v>
      </c>
      <c r="G163" s="589"/>
      <c r="H163" s="590" t="s">
        <v>148</v>
      </c>
      <c r="I163" s="590"/>
      <c r="J163" s="589" t="str">
        <f>IF('PT V'!G33="","",'PT V'!G33)</f>
        <v/>
      </c>
      <c r="K163" s="589"/>
    </row>
    <row r="164" spans="1:11" ht="15.6" x14ac:dyDescent="0.3">
      <c r="A164" s="90"/>
      <c r="B164" s="90"/>
      <c r="C164" s="591" t="s">
        <v>569</v>
      </c>
      <c r="D164" s="590"/>
      <c r="E164" s="590"/>
      <c r="F164" s="589" t="str">
        <f>IF('PT V'!E34="","",'PT V'!E34)</f>
        <v/>
      </c>
      <c r="G164" s="589"/>
      <c r="H164" s="590" t="s">
        <v>556</v>
      </c>
      <c r="I164" s="590"/>
      <c r="J164" s="589">
        <f>'PT V'!G34</f>
        <v>0</v>
      </c>
      <c r="K164" s="589"/>
    </row>
    <row r="165" spans="1:11" ht="15.6" x14ac:dyDescent="0.3">
      <c r="A165" s="90"/>
      <c r="B165" s="90"/>
      <c r="C165" s="590" t="s">
        <v>566</v>
      </c>
      <c r="D165" s="590"/>
      <c r="E165" s="590"/>
      <c r="F165" s="589">
        <f>'PT V'!E35</f>
        <v>0</v>
      </c>
      <c r="G165" s="589"/>
      <c r="H165" s="590" t="s">
        <v>555</v>
      </c>
      <c r="I165" s="590"/>
      <c r="J165" s="589">
        <f>'PT V'!G35</f>
        <v>0</v>
      </c>
      <c r="K165" s="589"/>
    </row>
    <row r="166" spans="1:11" ht="12.75" customHeight="1" x14ac:dyDescent="0.3">
      <c r="A166" s="90"/>
      <c r="B166" s="90"/>
      <c r="C166" s="586" t="s">
        <v>554</v>
      </c>
      <c r="D166" s="587"/>
      <c r="E166" s="588"/>
      <c r="F166" s="589">
        <f>'PT V'!E36</f>
        <v>0</v>
      </c>
      <c r="G166" s="589"/>
      <c r="H166" s="590" t="s">
        <v>557</v>
      </c>
      <c r="I166" s="590"/>
      <c r="J166" s="589">
        <f>'PT V'!G36</f>
        <v>0</v>
      </c>
      <c r="K166" s="589"/>
    </row>
    <row r="167" spans="1:11" ht="15.6" x14ac:dyDescent="0.3">
      <c r="A167" s="90"/>
      <c r="B167" s="90"/>
      <c r="C167" s="93"/>
      <c r="D167" s="93"/>
      <c r="E167" s="93"/>
      <c r="F167" s="94"/>
      <c r="G167" s="94"/>
      <c r="H167" s="93"/>
      <c r="I167" s="93"/>
      <c r="J167" s="94"/>
      <c r="K167" s="94"/>
    </row>
    <row r="168" spans="1:11" ht="15.6" x14ac:dyDescent="0.3">
      <c r="A168" s="90" t="s">
        <v>583</v>
      </c>
      <c r="B168" s="98"/>
      <c r="C168" s="93"/>
      <c r="D168" s="93"/>
      <c r="E168" s="93"/>
      <c r="F168" s="656">
        <f>'PT V'!E38</f>
        <v>0</v>
      </c>
      <c r="G168" s="656"/>
      <c r="H168" s="93"/>
      <c r="I168" s="93"/>
      <c r="J168" s="94"/>
      <c r="K168" s="94"/>
    </row>
    <row r="169" spans="1:11" ht="15.6" x14ac:dyDescent="0.3">
      <c r="A169" s="90"/>
      <c r="B169" s="90"/>
      <c r="C169" s="90"/>
      <c r="D169" s="90"/>
      <c r="E169" s="90"/>
      <c r="F169" s="90"/>
      <c r="G169" s="90"/>
      <c r="H169" s="90"/>
      <c r="I169" s="90"/>
      <c r="J169" s="90"/>
      <c r="K169" s="90"/>
    </row>
    <row r="170" spans="1:11" ht="15.6" x14ac:dyDescent="0.3">
      <c r="A170" s="90"/>
      <c r="B170" s="90"/>
      <c r="C170" s="655" t="s">
        <v>299</v>
      </c>
      <c r="D170" s="655"/>
      <c r="E170" s="655"/>
      <c r="F170" s="655"/>
      <c r="G170" s="655"/>
      <c r="H170" s="655"/>
      <c r="I170" s="655"/>
      <c r="J170" s="90"/>
      <c r="K170" s="90"/>
    </row>
    <row r="171" spans="1:11" ht="15.6" x14ac:dyDescent="0.3">
      <c r="A171" s="90"/>
      <c r="B171" s="90"/>
      <c r="C171" s="655"/>
      <c r="D171" s="655"/>
      <c r="E171" s="655"/>
      <c r="F171" s="655"/>
      <c r="G171" s="655"/>
      <c r="H171" s="655"/>
      <c r="I171" s="655"/>
      <c r="J171" s="90"/>
      <c r="K171" s="90"/>
    </row>
    <row r="172" spans="1:11" ht="15.6" x14ac:dyDescent="0.3">
      <c r="A172" s="90"/>
      <c r="B172" s="90"/>
      <c r="C172" s="655"/>
      <c r="D172" s="655"/>
      <c r="E172" s="655"/>
      <c r="F172" s="655"/>
      <c r="G172" s="655"/>
      <c r="H172" s="655"/>
      <c r="I172" s="655"/>
      <c r="J172" s="90"/>
      <c r="K172" s="90"/>
    </row>
    <row r="173" spans="1:11" ht="15.6" x14ac:dyDescent="0.3">
      <c r="A173" s="90"/>
      <c r="B173" s="90"/>
      <c r="C173" s="655"/>
      <c r="D173" s="655"/>
      <c r="E173" s="655"/>
      <c r="F173" s="655"/>
      <c r="G173" s="655"/>
      <c r="H173" s="655"/>
      <c r="I173" s="655"/>
      <c r="J173" s="90"/>
      <c r="K173" s="90"/>
    </row>
    <row r="174" spans="1:11" ht="15.6" x14ac:dyDescent="0.3">
      <c r="A174" s="90"/>
      <c r="B174" s="90"/>
      <c r="C174" s="102"/>
      <c r="D174" s="102"/>
      <c r="E174" s="102"/>
      <c r="F174" s="102"/>
      <c r="G174" s="102"/>
      <c r="H174" s="102"/>
      <c r="I174" s="102"/>
      <c r="J174" s="90"/>
      <c r="K174" s="90"/>
    </row>
    <row r="175" spans="1:11" ht="15.6" x14ac:dyDescent="0.3">
      <c r="A175" s="90" t="str">
        <f>'Part B (i)'!B5</f>
        <v>I</v>
      </c>
      <c r="B175" s="595" t="s">
        <v>82</v>
      </c>
      <c r="C175" s="595"/>
      <c r="D175" s="595"/>
      <c r="E175" s="90"/>
      <c r="F175" s="90"/>
      <c r="G175" s="90"/>
      <c r="H175" s="90"/>
      <c r="I175" s="90"/>
      <c r="J175" s="90"/>
      <c r="K175" s="90"/>
    </row>
    <row r="176" spans="1:11" ht="15.6" x14ac:dyDescent="0.3">
      <c r="A176" s="90"/>
      <c r="B176" s="90"/>
      <c r="C176" s="90"/>
      <c r="D176" s="90"/>
      <c r="E176" s="90"/>
      <c r="F176" s="90"/>
      <c r="G176" s="90"/>
      <c r="H176" s="90"/>
      <c r="I176" s="90"/>
      <c r="J176" s="90"/>
      <c r="K176" s="90"/>
    </row>
    <row r="177" spans="1:11" ht="15.6" x14ac:dyDescent="0.3">
      <c r="A177" s="595" t="s">
        <v>558</v>
      </c>
      <c r="B177" s="595"/>
      <c r="C177" s="595"/>
      <c r="D177" s="595"/>
      <c r="E177" s="654" t="str">
        <f>'Part B (i)'!D7</f>
        <v>DD/MM/YYYY</v>
      </c>
      <c r="F177" s="597"/>
      <c r="G177" s="597"/>
      <c r="H177" s="90"/>
      <c r="I177" s="90"/>
      <c r="J177" s="90"/>
      <c r="K177" s="90"/>
    </row>
    <row r="178" spans="1:11" ht="15.6" x14ac:dyDescent="0.3">
      <c r="A178" s="90"/>
      <c r="B178" s="90"/>
      <c r="C178" s="90"/>
      <c r="D178" s="90"/>
      <c r="E178" s="90"/>
      <c r="F178" s="90"/>
      <c r="G178" s="90"/>
      <c r="H178" s="90"/>
      <c r="I178" s="90"/>
      <c r="J178" s="90"/>
      <c r="K178" s="90"/>
    </row>
    <row r="179" spans="1:11" ht="15.6" x14ac:dyDescent="0.3">
      <c r="A179" s="595" t="s">
        <v>559</v>
      </c>
      <c r="B179" s="595"/>
      <c r="C179" s="595"/>
      <c r="D179" s="595"/>
      <c r="E179" s="597" t="str">
        <f>'Part B (i)'!D9</f>
        <v>profit and loss account</v>
      </c>
      <c r="F179" s="597"/>
      <c r="G179" s="597"/>
      <c r="H179" s="597"/>
      <c r="I179" s="90"/>
      <c r="J179" s="90"/>
      <c r="K179" s="90"/>
    </row>
    <row r="180" spans="1:11" ht="15.6" x14ac:dyDescent="0.3">
      <c r="A180" s="595" t="s">
        <v>560</v>
      </c>
      <c r="B180" s="595"/>
      <c r="C180" s="595"/>
      <c r="D180" s="595"/>
      <c r="E180" s="654" t="str">
        <f>'Part B (i)'!D10</f>
        <v>DD/MM/YYYY</v>
      </c>
      <c r="F180" s="597"/>
      <c r="G180" s="597"/>
      <c r="H180" s="90"/>
      <c r="I180" s="90"/>
      <c r="J180" s="90"/>
      <c r="K180" s="90"/>
    </row>
    <row r="181" spans="1:11" ht="15.6" x14ac:dyDescent="0.3">
      <c r="A181" s="601" t="s">
        <v>561</v>
      </c>
      <c r="B181" s="601"/>
      <c r="C181" s="601"/>
      <c r="D181" s="601"/>
      <c r="E181" s="654" t="str">
        <f>'Part B (i)'!D11</f>
        <v>DD/MM/YYYY</v>
      </c>
      <c r="F181" s="597"/>
      <c r="G181" s="597"/>
      <c r="H181" s="90"/>
      <c r="I181" s="90"/>
      <c r="J181" s="90"/>
      <c r="K181" s="90"/>
    </row>
    <row r="182" spans="1:11" ht="15.6" x14ac:dyDescent="0.3">
      <c r="A182" s="90"/>
      <c r="B182" s="90"/>
      <c r="C182" s="90"/>
      <c r="D182" s="90"/>
      <c r="E182" s="90"/>
      <c r="F182" s="90"/>
      <c r="G182" s="90"/>
      <c r="H182" s="90"/>
      <c r="I182" s="90"/>
      <c r="J182" s="90"/>
      <c r="K182" s="90"/>
    </row>
    <row r="183" spans="1:11" ht="15.6" x14ac:dyDescent="0.3">
      <c r="A183" s="595" t="s">
        <v>72</v>
      </c>
      <c r="B183" s="595"/>
      <c r="C183" s="595"/>
      <c r="D183" s="595"/>
      <c r="E183" s="595"/>
      <c r="F183" s="595"/>
      <c r="G183" s="90"/>
      <c r="H183" s="90"/>
      <c r="I183" s="90"/>
      <c r="J183" s="90"/>
      <c r="K183" s="90"/>
    </row>
    <row r="184" spans="1:11" ht="15.6" x14ac:dyDescent="0.3">
      <c r="A184" s="601" t="s">
        <v>562</v>
      </c>
      <c r="B184" s="601"/>
      <c r="C184" s="601"/>
      <c r="D184" s="601"/>
      <c r="E184" s="654" t="str">
        <f>'Part B (i)'!D14</f>
        <v>DD/MM/YYYY</v>
      </c>
      <c r="F184" s="597"/>
      <c r="G184" s="597"/>
      <c r="H184" s="90"/>
      <c r="I184" s="90"/>
      <c r="J184" s="90"/>
      <c r="K184" s="90"/>
    </row>
    <row r="185" spans="1:11" ht="15.6" x14ac:dyDescent="0.3">
      <c r="A185" s="595" t="s">
        <v>563</v>
      </c>
      <c r="B185" s="595"/>
      <c r="C185" s="595"/>
      <c r="D185" s="595"/>
      <c r="E185" s="654" t="str">
        <f>'Part B (i)'!D15</f>
        <v>DD/MM/YYYY</v>
      </c>
      <c r="F185" s="597"/>
      <c r="G185" s="597"/>
      <c r="H185" s="90"/>
      <c r="I185" s="90"/>
      <c r="J185" s="90"/>
      <c r="K185" s="90"/>
    </row>
    <row r="186" spans="1:11" ht="85.5" customHeight="1" x14ac:dyDescent="0.3">
      <c r="A186" s="595" t="s">
        <v>73</v>
      </c>
      <c r="B186" s="595"/>
      <c r="C186" s="595"/>
      <c r="D186" s="90"/>
      <c r="E186" s="90"/>
      <c r="F186" s="90"/>
      <c r="G186" s="90"/>
      <c r="H186" s="90"/>
      <c r="I186" s="90"/>
      <c r="J186" s="90"/>
      <c r="K186" s="90"/>
    </row>
    <row r="187" spans="1:11" ht="85.5" customHeight="1" x14ac:dyDescent="0.3">
      <c r="A187" s="90"/>
      <c r="B187" s="90"/>
      <c r="C187" s="90"/>
      <c r="D187" s="90"/>
      <c r="E187" s="90"/>
      <c r="F187" s="90"/>
      <c r="G187" s="90"/>
      <c r="H187" s="90"/>
      <c r="I187" s="90"/>
      <c r="J187" s="90"/>
      <c r="K187" s="90"/>
    </row>
    <row r="188" spans="1:11" ht="85.5" customHeight="1" x14ac:dyDescent="0.3">
      <c r="A188" s="96" t="s">
        <v>564</v>
      </c>
      <c r="B188" s="90"/>
      <c r="C188" s="594" t="str">
        <f>'Part B (i)'!D19</f>
        <v>M/S</v>
      </c>
      <c r="D188" s="594"/>
      <c r="E188" s="604">
        <f>'Part B (i)'!E19</f>
        <v>0</v>
      </c>
      <c r="F188" s="589"/>
      <c r="G188" s="589"/>
      <c r="H188" s="90"/>
      <c r="I188" s="90"/>
      <c r="J188" s="90"/>
      <c r="K188" s="90"/>
    </row>
    <row r="189" spans="1:11" ht="15.6" x14ac:dyDescent="0.3">
      <c r="A189" s="90"/>
      <c r="B189" s="90"/>
      <c r="C189" s="90"/>
      <c r="D189" s="90"/>
      <c r="E189" s="90"/>
      <c r="F189" s="90"/>
      <c r="G189" s="90"/>
      <c r="H189" s="90"/>
      <c r="I189" s="90"/>
      <c r="J189" s="90"/>
      <c r="K189" s="90"/>
    </row>
    <row r="190" spans="1:11" ht="15.6" x14ac:dyDescent="0.3">
      <c r="A190" s="592" t="s">
        <v>565</v>
      </c>
      <c r="B190" s="592"/>
      <c r="C190" s="586" t="s">
        <v>552</v>
      </c>
      <c r="D190" s="587"/>
      <c r="E190" s="588"/>
      <c r="F190" s="604">
        <f>'Part B (i)'!E21</f>
        <v>0</v>
      </c>
      <c r="G190" s="589"/>
      <c r="H190" s="590" t="s">
        <v>148</v>
      </c>
      <c r="I190" s="590"/>
      <c r="J190" s="589" t="str">
        <f>IF('Part B (i)'!G21="","",'Part B (i)'!G21)</f>
        <v/>
      </c>
      <c r="K190" s="589"/>
    </row>
    <row r="191" spans="1:11" ht="15.6" x14ac:dyDescent="0.3">
      <c r="A191" s="90"/>
      <c r="B191" s="90"/>
      <c r="C191" s="591" t="s">
        <v>569</v>
      </c>
      <c r="D191" s="590"/>
      <c r="E191" s="590"/>
      <c r="F191" s="589" t="str">
        <f>IF('Part B (i)'!E22="","",'Part B (i)'!E22)</f>
        <v/>
      </c>
      <c r="G191" s="589"/>
      <c r="H191" s="590" t="s">
        <v>556</v>
      </c>
      <c r="I191" s="590"/>
      <c r="J191" s="604">
        <f>'Part B (i)'!G22</f>
        <v>0</v>
      </c>
      <c r="K191" s="589"/>
    </row>
    <row r="192" spans="1:11" ht="30" customHeight="1" x14ac:dyDescent="0.3">
      <c r="A192" s="90"/>
      <c r="B192" s="90"/>
      <c r="C192" s="590" t="s">
        <v>566</v>
      </c>
      <c r="D192" s="590"/>
      <c r="E192" s="590"/>
      <c r="F192" s="604">
        <f>'Part B (i)'!E23</f>
        <v>0</v>
      </c>
      <c r="G192" s="589"/>
      <c r="H192" s="590" t="s">
        <v>555</v>
      </c>
      <c r="I192" s="590"/>
      <c r="J192" s="604">
        <f>'Part B (i)'!G23</f>
        <v>0</v>
      </c>
      <c r="K192" s="589"/>
    </row>
    <row r="193" spans="1:11" ht="15.75" customHeight="1" x14ac:dyDescent="0.3">
      <c r="A193" s="90"/>
      <c r="B193" s="90"/>
      <c r="C193" s="586" t="s">
        <v>554</v>
      </c>
      <c r="D193" s="587"/>
      <c r="E193" s="588"/>
      <c r="F193" s="589">
        <f>'Part B (i)'!E24</f>
        <v>0</v>
      </c>
      <c r="G193" s="589"/>
      <c r="H193" s="590" t="s">
        <v>557</v>
      </c>
      <c r="I193" s="590"/>
      <c r="J193" s="589">
        <f>'Part B (i)'!G24</f>
        <v>0</v>
      </c>
      <c r="K193" s="589"/>
    </row>
    <row r="194" spans="1:11" ht="85.5" customHeight="1" x14ac:dyDescent="0.3">
      <c r="A194" s="90"/>
      <c r="B194" s="90"/>
      <c r="C194" s="90"/>
      <c r="D194" s="90"/>
      <c r="E194" s="90"/>
      <c r="F194" s="90"/>
      <c r="G194" s="90"/>
      <c r="H194" s="90"/>
      <c r="I194" s="90"/>
      <c r="J194" s="90"/>
      <c r="K194" s="90"/>
    </row>
    <row r="195" spans="1:11" ht="85.5" customHeight="1" x14ac:dyDescent="0.3">
      <c r="A195" s="643" t="s">
        <v>543</v>
      </c>
      <c r="B195" s="643"/>
      <c r="C195" s="651" t="str">
        <f>'Part B (i)'!D27</f>
        <v>GSTIN</v>
      </c>
      <c r="D195" s="652"/>
      <c r="E195" s="652"/>
      <c r="F195" s="652"/>
      <c r="G195" s="653"/>
      <c r="H195" s="90"/>
      <c r="I195" s="90"/>
      <c r="J195" s="90"/>
      <c r="K195" s="90"/>
    </row>
    <row r="196" spans="1:11" ht="85.5" customHeight="1" x14ac:dyDescent="0.3">
      <c r="A196" s="90"/>
      <c r="B196" s="90"/>
      <c r="C196" s="90"/>
      <c r="D196" s="90"/>
      <c r="E196" s="90"/>
      <c r="F196" s="90"/>
      <c r="G196" s="90"/>
      <c r="H196" s="90"/>
      <c r="I196" s="90"/>
      <c r="J196" s="90"/>
      <c r="K196" s="90"/>
    </row>
    <row r="197" spans="1:11" ht="15.6" x14ac:dyDescent="0.3">
      <c r="A197" s="104"/>
      <c r="B197" s="104"/>
      <c r="C197" s="90"/>
      <c r="D197" s="90"/>
      <c r="E197" s="90"/>
      <c r="F197" s="90"/>
      <c r="G197" s="90"/>
      <c r="H197" s="90"/>
      <c r="I197" s="90"/>
      <c r="J197" s="90"/>
      <c r="K197" s="90"/>
    </row>
    <row r="198" spans="1:11" ht="15.6" x14ac:dyDescent="0.3">
      <c r="A198" s="605" t="s">
        <v>576</v>
      </c>
      <c r="B198" s="648"/>
      <c r="C198" s="586" t="s">
        <v>552</v>
      </c>
      <c r="D198" s="587"/>
      <c r="E198" s="588"/>
      <c r="F198" s="604">
        <f>'Part B (i)'!E29</f>
        <v>0</v>
      </c>
      <c r="G198" s="589"/>
      <c r="H198" s="647" t="s">
        <v>148</v>
      </c>
      <c r="I198" s="647"/>
      <c r="J198" s="589" t="str">
        <f>IF('Part B (i)'!G29="","",'Part B (i)'!G29)</f>
        <v/>
      </c>
      <c r="K198" s="589"/>
    </row>
    <row r="199" spans="1:11" ht="15.75" customHeight="1" x14ac:dyDescent="0.3">
      <c r="A199" s="105"/>
      <c r="B199" s="105"/>
      <c r="C199" s="591" t="s">
        <v>569</v>
      </c>
      <c r="D199" s="590"/>
      <c r="E199" s="590"/>
      <c r="F199" s="589" t="str">
        <f>IF('Part B (i)'!E30="","",'Part B (i)'!E30)</f>
        <v/>
      </c>
      <c r="G199" s="589"/>
      <c r="H199" s="647" t="s">
        <v>556</v>
      </c>
      <c r="I199" s="647"/>
      <c r="J199" s="604">
        <f>'Part B (i)'!G30</f>
        <v>0</v>
      </c>
      <c r="K199" s="589"/>
    </row>
    <row r="200" spans="1:11" ht="85.5" customHeight="1" x14ac:dyDescent="0.3">
      <c r="A200" s="90"/>
      <c r="B200" s="90"/>
      <c r="C200" s="647" t="s">
        <v>566</v>
      </c>
      <c r="D200" s="647"/>
      <c r="E200" s="647"/>
      <c r="F200" s="604">
        <f>'Part B (i)'!E31</f>
        <v>0</v>
      </c>
      <c r="G200" s="589"/>
      <c r="H200" s="647" t="s">
        <v>555</v>
      </c>
      <c r="I200" s="647"/>
      <c r="J200" s="649">
        <f>'Part B (i)'!G31</f>
        <v>0</v>
      </c>
      <c r="K200" s="650"/>
    </row>
    <row r="201" spans="1:11" ht="85.5" customHeight="1" x14ac:dyDescent="0.3">
      <c r="A201" s="90"/>
      <c r="B201" s="90"/>
      <c r="C201" s="644" t="s">
        <v>554</v>
      </c>
      <c r="D201" s="645"/>
      <c r="E201" s="646"/>
      <c r="F201" s="589">
        <f>'Part B (i)'!E32</f>
        <v>0</v>
      </c>
      <c r="G201" s="589"/>
      <c r="H201" s="647" t="s">
        <v>557</v>
      </c>
      <c r="I201" s="647"/>
      <c r="J201" s="589">
        <f>'Part B (i)'!G32</f>
        <v>0</v>
      </c>
      <c r="K201" s="589"/>
    </row>
    <row r="202" spans="1:11" ht="85.5" customHeight="1" x14ac:dyDescent="0.3">
      <c r="A202" s="90"/>
      <c r="B202" s="90"/>
      <c r="C202" s="90"/>
      <c r="D202" s="90"/>
      <c r="E202" s="90"/>
      <c r="F202" s="90"/>
      <c r="G202" s="90"/>
      <c r="H202" s="90"/>
      <c r="I202" s="90"/>
      <c r="J202" s="90"/>
      <c r="K202" s="90"/>
    </row>
    <row r="203" spans="1:11" ht="15.6" x14ac:dyDescent="0.3">
      <c r="A203" s="105" t="s">
        <v>577</v>
      </c>
      <c r="B203" s="105"/>
      <c r="C203" s="90"/>
      <c r="D203" s="90"/>
      <c r="E203" s="90"/>
      <c r="F203" s="90"/>
      <c r="G203" s="90"/>
      <c r="H203" s="90"/>
      <c r="I203" s="90"/>
      <c r="J203" s="90"/>
      <c r="K203" s="90"/>
    </row>
    <row r="204" spans="1:11" ht="15.6" x14ac:dyDescent="0.3">
      <c r="A204" s="605" t="s">
        <v>578</v>
      </c>
      <c r="B204" s="648"/>
      <c r="C204" s="586" t="s">
        <v>552</v>
      </c>
      <c r="D204" s="587"/>
      <c r="E204" s="588"/>
      <c r="F204" s="604">
        <f>'Part B (i)'!E34</f>
        <v>0</v>
      </c>
      <c r="G204" s="589"/>
      <c r="H204" s="590" t="s">
        <v>148</v>
      </c>
      <c r="I204" s="590"/>
      <c r="J204" s="589" t="str">
        <f>IF('Part B (i)'!G34="","",'Part B (i)'!G34)</f>
        <v/>
      </c>
      <c r="K204" s="589"/>
    </row>
    <row r="205" spans="1:11" ht="15.6" x14ac:dyDescent="0.3">
      <c r="A205" s="94"/>
      <c r="B205" s="94"/>
      <c r="C205" s="591" t="s">
        <v>569</v>
      </c>
      <c r="D205" s="590"/>
      <c r="E205" s="590"/>
      <c r="F205" s="589" t="str">
        <f>IF('Part B (i)'!E35="","",'Part B (i)'!E35)</f>
        <v/>
      </c>
      <c r="G205" s="589"/>
      <c r="H205" s="590" t="s">
        <v>556</v>
      </c>
      <c r="I205" s="590"/>
      <c r="J205" s="604">
        <f>'Part B (i)'!G35</f>
        <v>0</v>
      </c>
      <c r="K205" s="589"/>
    </row>
    <row r="206" spans="1:11" ht="15.6" x14ac:dyDescent="0.3">
      <c r="A206" s="90"/>
      <c r="B206" s="90"/>
      <c r="C206" s="590" t="s">
        <v>566</v>
      </c>
      <c r="D206" s="590"/>
      <c r="E206" s="590"/>
      <c r="F206" s="604">
        <f>'Part B (i)'!E36</f>
        <v>0</v>
      </c>
      <c r="G206" s="589"/>
      <c r="H206" s="590" t="s">
        <v>555</v>
      </c>
      <c r="I206" s="590"/>
      <c r="J206" s="604">
        <f>'Part B (i)'!G36</f>
        <v>0</v>
      </c>
      <c r="K206" s="589"/>
    </row>
    <row r="207" spans="1:11" ht="15.6" x14ac:dyDescent="0.3">
      <c r="A207" s="90"/>
      <c r="B207" s="90"/>
      <c r="C207" s="586" t="s">
        <v>554</v>
      </c>
      <c r="D207" s="587"/>
      <c r="E207" s="588"/>
      <c r="F207" s="589">
        <f>'Part B (i)'!E37</f>
        <v>0</v>
      </c>
      <c r="G207" s="589"/>
      <c r="H207" s="590" t="s">
        <v>557</v>
      </c>
      <c r="I207" s="590"/>
      <c r="J207" s="589">
        <f>'Part B (i)'!G37</f>
        <v>0</v>
      </c>
      <c r="K207" s="589"/>
    </row>
    <row r="208" spans="1:11" ht="15.6" x14ac:dyDescent="0.3">
      <c r="A208" s="90"/>
      <c r="B208" s="90"/>
      <c r="C208" s="90"/>
      <c r="D208" s="90"/>
      <c r="E208" s="90"/>
      <c r="F208" s="90"/>
      <c r="G208" s="90"/>
      <c r="H208" s="90"/>
      <c r="I208" s="90"/>
      <c r="J208" s="90"/>
      <c r="K208" s="90"/>
    </row>
    <row r="209" spans="1:11" ht="15.6" x14ac:dyDescent="0.3">
      <c r="A209" s="97" t="s">
        <v>298</v>
      </c>
      <c r="B209" s="97"/>
      <c r="C209" s="97"/>
      <c r="D209" s="90" t="str">
        <f>A175</f>
        <v>I</v>
      </c>
      <c r="E209" s="643" t="s">
        <v>86</v>
      </c>
      <c r="F209" s="643"/>
      <c r="G209" s="643"/>
      <c r="H209" s="643"/>
      <c r="I209" s="90"/>
      <c r="J209" s="90"/>
      <c r="K209" s="90"/>
    </row>
    <row r="210" spans="1:11" ht="15.6" x14ac:dyDescent="0.3">
      <c r="A210" s="592" t="str">
        <f>'Part B (i)'!B41</f>
        <v>has maintained the books of accounts, records and documents</v>
      </c>
      <c r="B210" s="592"/>
      <c r="C210" s="592"/>
      <c r="D210" s="592"/>
      <c r="E210" s="592"/>
      <c r="F210" s="592"/>
      <c r="G210" s="592"/>
      <c r="H210" s="592"/>
      <c r="I210" s="98" t="s">
        <v>287</v>
      </c>
      <c r="J210" s="90"/>
      <c r="K210" s="90"/>
    </row>
    <row r="211" spans="1:11" ht="15.6" x14ac:dyDescent="0.3">
      <c r="A211" s="598" t="s">
        <v>286</v>
      </c>
      <c r="B211" s="598"/>
      <c r="C211" s="598"/>
      <c r="D211" s="598"/>
      <c r="E211" s="598"/>
      <c r="F211" s="598"/>
      <c r="G211" s="598"/>
      <c r="H211" s="598"/>
      <c r="I211" s="598"/>
      <c r="J211" s="598"/>
      <c r="K211" s="90"/>
    </row>
    <row r="212" spans="1:11" ht="15.6" x14ac:dyDescent="0.3">
      <c r="A212" s="90"/>
      <c r="B212" s="90"/>
      <c r="C212" s="90"/>
      <c r="D212" s="90"/>
      <c r="E212" s="90"/>
      <c r="F212" s="90"/>
      <c r="G212" s="90"/>
      <c r="H212" s="90"/>
      <c r="I212" s="90"/>
      <c r="J212" s="90"/>
      <c r="K212" s="90"/>
    </row>
    <row r="213" spans="1:11" ht="15.6" x14ac:dyDescent="0.3">
      <c r="A213" s="90"/>
      <c r="B213" s="90"/>
      <c r="C213" s="90"/>
      <c r="D213" s="90"/>
      <c r="E213" s="90"/>
      <c r="F213" s="90"/>
      <c r="G213" s="90"/>
      <c r="H213" s="90"/>
      <c r="I213" s="90"/>
      <c r="J213" s="90"/>
      <c r="K213" s="90"/>
    </row>
    <row r="214" spans="1:11" ht="15.6" x14ac:dyDescent="0.3">
      <c r="A214" s="103" t="s">
        <v>89</v>
      </c>
      <c r="B214" s="90" t="str">
        <f>A175</f>
        <v>I</v>
      </c>
      <c r="C214" s="598" t="s">
        <v>297</v>
      </c>
      <c r="D214" s="598"/>
      <c r="E214" s="598"/>
      <c r="F214" s="598"/>
      <c r="G214" s="598"/>
      <c r="H214" s="598"/>
      <c r="I214" s="598"/>
      <c r="J214" s="598"/>
      <c r="K214" s="598"/>
    </row>
    <row r="215" spans="1:11" ht="15.6" x14ac:dyDescent="0.3">
      <c r="A215" s="592" t="s">
        <v>296</v>
      </c>
      <c r="B215" s="592"/>
      <c r="C215" s="592"/>
      <c r="D215" s="90"/>
      <c r="E215" s="90"/>
      <c r="F215" s="90"/>
      <c r="G215" s="90"/>
      <c r="H215" s="90"/>
      <c r="I215" s="90"/>
      <c r="J215" s="90"/>
      <c r="K215" s="90"/>
    </row>
    <row r="216" spans="1:11" ht="15.6" x14ac:dyDescent="0.3">
      <c r="A216" s="90"/>
      <c r="B216" s="90"/>
      <c r="C216" s="90"/>
      <c r="D216" s="90"/>
      <c r="E216" s="90"/>
      <c r="F216" s="90"/>
      <c r="G216" s="90"/>
      <c r="H216" s="90"/>
      <c r="I216" s="90"/>
      <c r="J216" s="90"/>
      <c r="K216" s="90"/>
    </row>
    <row r="217" spans="1:11" ht="15.6" x14ac:dyDescent="0.3">
      <c r="A217" s="90" t="s">
        <v>90</v>
      </c>
      <c r="B217" s="90" t="str">
        <f>A175</f>
        <v>I</v>
      </c>
      <c r="C217" s="598" t="s">
        <v>91</v>
      </c>
      <c r="D217" s="598"/>
      <c r="E217" s="90"/>
      <c r="F217" s="90"/>
      <c r="G217" s="90"/>
      <c r="H217" s="90"/>
      <c r="I217" s="90"/>
      <c r="J217" s="90"/>
      <c r="K217" s="90"/>
    </row>
    <row r="218" spans="1:11" ht="15.6" x14ac:dyDescent="0.3">
      <c r="A218" s="91" t="s">
        <v>92</v>
      </c>
      <c r="B218" s="90" t="str">
        <f>A175</f>
        <v>I</v>
      </c>
      <c r="C218" s="597" t="str">
        <f>'Part B (i)'!D47</f>
        <v>were not provided</v>
      </c>
      <c r="D218" s="597"/>
      <c r="E218" s="597"/>
      <c r="F218" s="91" t="s">
        <v>617</v>
      </c>
      <c r="G218" s="91"/>
      <c r="H218" s="91"/>
      <c r="I218" s="91"/>
      <c r="J218" s="91"/>
      <c r="K218" s="97" t="str">
        <f>IF($A175="I","my"," our")</f>
        <v>my</v>
      </c>
    </row>
    <row r="219" spans="1:11" ht="15.6" x14ac:dyDescent="0.3">
      <c r="A219" s="98" t="s">
        <v>618</v>
      </c>
      <c r="B219" s="98"/>
      <c r="C219" s="98"/>
      <c r="D219" s="98"/>
      <c r="E219" s="98"/>
      <c r="F219" s="98"/>
      <c r="G219" s="98"/>
      <c r="H219" s="98"/>
      <c r="I219" s="98"/>
      <c r="J219" s="91"/>
      <c r="K219" s="91"/>
    </row>
    <row r="220" spans="1:11" ht="15.6" x14ac:dyDescent="0.3">
      <c r="A220" s="592"/>
      <c r="B220" s="592"/>
      <c r="C220" s="592"/>
      <c r="D220" s="90"/>
      <c r="E220" s="598"/>
      <c r="F220" s="598"/>
      <c r="G220" s="598"/>
      <c r="H220" s="598"/>
      <c r="I220" s="598"/>
      <c r="J220" s="598"/>
      <c r="K220" s="598"/>
    </row>
    <row r="221" spans="1:11" ht="15.6" x14ac:dyDescent="0.3">
      <c r="A221" s="592"/>
      <c r="B221" s="592"/>
      <c r="C221" s="592"/>
      <c r="D221" s="592"/>
      <c r="E221" s="592"/>
      <c r="F221" s="592"/>
      <c r="G221" s="90"/>
      <c r="H221" s="90"/>
      <c r="I221" s="90"/>
      <c r="J221" s="90"/>
      <c r="K221" s="90"/>
    </row>
    <row r="222" spans="1:11" ht="15.6" x14ac:dyDescent="0.3">
      <c r="A222" s="90" t="s">
        <v>295</v>
      </c>
      <c r="B222" s="90" t="str">
        <f>IF($A175="I","my"," our")</f>
        <v>my</v>
      </c>
      <c r="C222" s="98" t="s">
        <v>584</v>
      </c>
      <c r="D222" s="98"/>
      <c r="E222" s="98"/>
      <c r="F222" s="98"/>
      <c r="G222" s="597" t="str">
        <f>'Part B (i)'!G50</f>
        <v>have been</v>
      </c>
      <c r="H222" s="597"/>
      <c r="I222" s="597"/>
      <c r="J222" s="592" t="s">
        <v>585</v>
      </c>
      <c r="K222" s="592"/>
    </row>
    <row r="223" spans="1:11" ht="15.6" x14ac:dyDescent="0.3">
      <c r="A223" s="90" t="s">
        <v>586</v>
      </c>
      <c r="E223" s="90"/>
      <c r="F223" s="90" t="str">
        <f>IF($A176="I","my"," our")</f>
        <v xml:space="preserve"> our</v>
      </c>
      <c r="G223" s="592" t="s">
        <v>97</v>
      </c>
      <c r="H223" s="592"/>
      <c r="I223" s="592"/>
      <c r="J223" s="90"/>
      <c r="K223" s="90"/>
    </row>
    <row r="224" spans="1:11" ht="15.6" x14ac:dyDescent="0.3">
      <c r="A224" s="90" t="s">
        <v>294</v>
      </c>
      <c r="B224" s="90" t="str">
        <f>A175</f>
        <v>I</v>
      </c>
      <c r="C224" s="592" t="s">
        <v>99</v>
      </c>
      <c r="D224" s="592"/>
      <c r="E224" s="592"/>
      <c r="F224" s="592"/>
      <c r="G224" s="597" t="str">
        <f>E179</f>
        <v>profit and loss account</v>
      </c>
      <c r="H224" s="597"/>
      <c r="I224" s="597"/>
      <c r="J224" s="597"/>
      <c r="K224" s="597"/>
    </row>
    <row r="225" spans="1:11" ht="15.6" x14ac:dyDescent="0.3">
      <c r="A225" s="592" t="s">
        <v>100</v>
      </c>
      <c r="B225" s="592"/>
      <c r="C225" s="592"/>
      <c r="D225" s="592"/>
      <c r="E225" s="597" t="str">
        <f>'Part B (i)'!I52</f>
        <v>in agreement</v>
      </c>
      <c r="F225" s="597"/>
      <c r="G225" s="597"/>
      <c r="H225" s="592" t="s">
        <v>293</v>
      </c>
      <c r="I225" s="592"/>
      <c r="J225" s="592"/>
      <c r="K225" s="592"/>
    </row>
    <row r="226" spans="1:11" ht="15.6" x14ac:dyDescent="0.3">
      <c r="A226" s="592" t="s">
        <v>292</v>
      </c>
      <c r="B226" s="592"/>
      <c r="C226" s="592"/>
      <c r="D226" s="592"/>
      <c r="E226" s="592"/>
      <c r="F226" s="592"/>
      <c r="G226" s="98"/>
      <c r="H226" s="98"/>
      <c r="I226" s="98"/>
      <c r="J226" s="98"/>
      <c r="K226" s="98"/>
    </row>
    <row r="227" spans="1:11" ht="15.6" x14ac:dyDescent="0.3">
      <c r="A227" s="597" t="str">
        <f>'Part B (i)'!F53</f>
        <v xml:space="preserve">, , , , , , , </v>
      </c>
      <c r="B227" s="597"/>
      <c r="C227" s="597"/>
      <c r="D227" s="597"/>
      <c r="E227" s="597"/>
      <c r="F227" s="597"/>
      <c r="G227" s="597"/>
      <c r="H227" s="597"/>
      <c r="I227" s="597"/>
      <c r="J227" s="597"/>
      <c r="K227" s="597"/>
    </row>
    <row r="228" spans="1:11" ht="15.6" x14ac:dyDescent="0.3">
      <c r="A228" s="90" t="s">
        <v>113</v>
      </c>
      <c r="B228" s="597" t="str">
        <f>'Part B (i)'!C54</f>
        <v xml:space="preserve">, , , , , , , </v>
      </c>
      <c r="C228" s="597"/>
      <c r="D228" s="597"/>
      <c r="E228" s="597"/>
      <c r="F228" s="597"/>
      <c r="G228" s="597"/>
      <c r="H228" s="597"/>
      <c r="I228" s="597"/>
      <c r="J228" s="597"/>
      <c r="K228" s="597"/>
    </row>
    <row r="229" spans="1:11" ht="15.6" x14ac:dyDescent="0.3">
      <c r="A229" s="592" t="s">
        <v>118</v>
      </c>
      <c r="B229" s="592"/>
      <c r="C229" s="592"/>
      <c r="D229" s="592"/>
      <c r="E229" s="592"/>
      <c r="F229" s="90"/>
      <c r="G229" s="90"/>
      <c r="H229" s="90"/>
      <c r="I229" s="90"/>
      <c r="J229" s="90"/>
      <c r="K229" s="90"/>
    </row>
    <row r="230" spans="1:11" ht="15.6" x14ac:dyDescent="0.3">
      <c r="A230" s="90"/>
      <c r="B230" s="90"/>
      <c r="C230" s="90"/>
      <c r="D230" s="90"/>
      <c r="E230" s="90"/>
      <c r="F230" s="90"/>
      <c r="G230" s="90"/>
      <c r="H230" s="90"/>
      <c r="I230" s="90"/>
      <c r="J230" s="90"/>
      <c r="K230" s="90"/>
    </row>
    <row r="231" spans="1:11" ht="15.6" x14ac:dyDescent="0.3">
      <c r="A231" s="90" t="s">
        <v>291</v>
      </c>
      <c r="B231" s="90"/>
      <c r="C231" s="90"/>
      <c r="D231" s="90"/>
      <c r="E231" s="90"/>
      <c r="F231" s="90"/>
      <c r="G231" s="90"/>
      <c r="H231" s="90"/>
      <c r="I231" s="90"/>
      <c r="J231" s="90"/>
      <c r="K231" s="90"/>
    </row>
    <row r="232" spans="1:11" ht="15.6" x14ac:dyDescent="0.3">
      <c r="A232" s="90" t="s">
        <v>284</v>
      </c>
      <c r="B232" s="90"/>
      <c r="C232" s="90"/>
      <c r="D232" s="90"/>
      <c r="E232" s="90"/>
      <c r="F232" s="90"/>
      <c r="G232" s="90"/>
      <c r="H232" s="90"/>
      <c r="I232" s="90"/>
      <c r="J232" s="90"/>
      <c r="K232" s="90"/>
    </row>
    <row r="233" spans="1:11" ht="15.6" x14ac:dyDescent="0.3">
      <c r="A233" s="90" t="s">
        <v>104</v>
      </c>
      <c r="B233" s="90"/>
      <c r="C233" s="90"/>
      <c r="D233" s="90"/>
      <c r="E233" s="90"/>
      <c r="F233" s="90"/>
      <c r="G233" s="90"/>
      <c r="H233" s="90"/>
      <c r="I233" s="90"/>
      <c r="J233" s="90"/>
      <c r="K233" s="90"/>
    </row>
    <row r="234" spans="1:11" ht="15.6" x14ac:dyDescent="0.3">
      <c r="A234" s="90"/>
      <c r="B234" s="90"/>
      <c r="C234" s="90"/>
      <c r="D234" s="90"/>
      <c r="E234" s="90"/>
      <c r="F234" s="90"/>
      <c r="G234" s="90"/>
      <c r="H234" s="90"/>
      <c r="I234" s="90"/>
      <c r="J234" s="90"/>
      <c r="K234" s="90"/>
    </row>
    <row r="235" spans="1:11" ht="15.6" x14ac:dyDescent="0.3">
      <c r="A235" s="90" t="s">
        <v>290</v>
      </c>
      <c r="B235" s="90" t="str">
        <f>'Part B (i)'!C59</f>
        <v>my</v>
      </c>
      <c r="C235" s="91" t="s">
        <v>105</v>
      </c>
      <c r="D235" s="90"/>
      <c r="E235" s="90"/>
      <c r="F235" s="90" t="str">
        <f>'Part B (i)'!E59</f>
        <v>my</v>
      </c>
      <c r="G235" s="90" t="s">
        <v>282</v>
      </c>
      <c r="H235" s="90"/>
      <c r="I235" s="90"/>
      <c r="J235" s="90"/>
      <c r="K235" s="90"/>
    </row>
    <row r="236" spans="1:11" ht="15.6" x14ac:dyDescent="0.3">
      <c r="A236" s="90" t="s">
        <v>281</v>
      </c>
      <c r="B236" s="90"/>
      <c r="C236" s="90" t="str">
        <f>'Part B (i)'!H59</f>
        <v>me</v>
      </c>
      <c r="D236" s="90" t="s">
        <v>619</v>
      </c>
      <c r="E236" s="90"/>
      <c r="F236" s="90"/>
      <c r="G236" s="90"/>
      <c r="H236" s="90"/>
      <c r="I236" s="90"/>
      <c r="J236" s="90"/>
      <c r="K236" s="90"/>
    </row>
    <row r="237" spans="1:11" ht="15.6" x14ac:dyDescent="0.3">
      <c r="A237" s="90" t="s">
        <v>280</v>
      </c>
      <c r="B237" s="90"/>
      <c r="C237" s="90"/>
      <c r="D237" s="90"/>
      <c r="E237" s="90"/>
      <c r="F237" s="90"/>
      <c r="G237" s="90"/>
      <c r="H237" s="90"/>
      <c r="I237" s="90"/>
      <c r="J237" s="90"/>
      <c r="K237" s="90"/>
    </row>
    <row r="238" spans="1:11" ht="409.6" customHeight="1" x14ac:dyDescent="0.3">
      <c r="A238" s="90"/>
      <c r="B238" s="90"/>
      <c r="C238" s="90"/>
      <c r="D238" s="90"/>
      <c r="E238" s="90"/>
      <c r="F238" s="90"/>
      <c r="G238" s="90"/>
      <c r="H238" s="90"/>
      <c r="I238" s="90"/>
      <c r="J238" s="90"/>
      <c r="K238" s="90"/>
    </row>
    <row r="239" spans="1:11" ht="15.6" x14ac:dyDescent="0.3">
      <c r="A239" s="99" t="s">
        <v>81</v>
      </c>
      <c r="B239" s="90"/>
      <c r="C239" s="90"/>
      <c r="D239" s="90"/>
      <c r="E239" s="90"/>
      <c r="F239" s="90"/>
      <c r="G239" s="90"/>
      <c r="H239" s="90"/>
      <c r="I239" s="90"/>
      <c r="J239" s="90"/>
      <c r="K239" s="90"/>
    </row>
    <row r="240" spans="1:11" ht="15.6" x14ac:dyDescent="0.3">
      <c r="A240" s="90"/>
      <c r="B240" s="90"/>
      <c r="C240" s="90"/>
      <c r="D240" s="90"/>
      <c r="E240" s="90"/>
      <c r="F240" s="90"/>
      <c r="G240" s="90"/>
      <c r="H240" s="90"/>
      <c r="I240" s="90"/>
      <c r="J240" s="90"/>
      <c r="K240" s="90"/>
    </row>
    <row r="241" spans="1:11" ht="15.6" x14ac:dyDescent="0.3">
      <c r="A241" s="90"/>
      <c r="B241" s="100" t="s">
        <v>74</v>
      </c>
      <c r="C241" s="599" t="s">
        <v>75</v>
      </c>
      <c r="D241" s="599"/>
      <c r="E241" s="599"/>
      <c r="F241" s="599"/>
      <c r="G241" s="600" t="s">
        <v>76</v>
      </c>
      <c r="H241" s="600"/>
      <c r="I241" s="600"/>
      <c r="J241" s="90"/>
      <c r="K241" s="90"/>
    </row>
    <row r="242" spans="1:11" ht="31.5" customHeight="1" x14ac:dyDescent="0.3">
      <c r="A242" s="90"/>
      <c r="B242" s="92">
        <v>1</v>
      </c>
      <c r="C242" s="589"/>
      <c r="D242" s="589"/>
      <c r="E242" s="589"/>
      <c r="F242" s="589"/>
      <c r="G242" s="589"/>
      <c r="H242" s="589"/>
      <c r="I242" s="589"/>
      <c r="J242" s="90"/>
      <c r="K242" s="90"/>
    </row>
    <row r="243" spans="1:11" ht="30.75" customHeight="1" x14ac:dyDescent="0.3">
      <c r="A243" s="90"/>
      <c r="B243" s="90"/>
      <c r="C243" s="90"/>
      <c r="D243" s="90"/>
      <c r="E243" s="90"/>
      <c r="F243" s="90"/>
      <c r="G243" s="90"/>
      <c r="H243" s="90"/>
      <c r="I243" s="90"/>
      <c r="J243" s="90"/>
      <c r="K243" s="90"/>
    </row>
    <row r="244" spans="1:11" ht="33" customHeight="1" x14ac:dyDescent="0.3">
      <c r="A244" s="101" t="s">
        <v>80</v>
      </c>
      <c r="B244" s="90"/>
      <c r="C244" s="90"/>
      <c r="D244" s="90"/>
      <c r="E244" s="90"/>
      <c r="F244" s="90"/>
      <c r="G244" s="90"/>
      <c r="H244" s="90"/>
      <c r="I244" s="90"/>
      <c r="J244" s="90"/>
      <c r="K244" s="90"/>
    </row>
    <row r="245" spans="1:11" ht="15.6" x14ac:dyDescent="0.3">
      <c r="A245" s="90"/>
      <c r="B245" s="90"/>
      <c r="C245" s="90"/>
      <c r="D245" s="90"/>
      <c r="E245" s="90"/>
      <c r="F245" s="90"/>
      <c r="G245" s="90"/>
      <c r="H245" s="90"/>
      <c r="I245" s="90"/>
      <c r="J245" s="90"/>
      <c r="K245" s="90"/>
    </row>
    <row r="246" spans="1:11" ht="85.5" customHeight="1" x14ac:dyDescent="0.3">
      <c r="A246" s="592" t="s">
        <v>548</v>
      </c>
      <c r="B246" s="592"/>
      <c r="C246" s="592"/>
      <c r="D246" s="90"/>
      <c r="E246" s="90"/>
      <c r="F246" s="604">
        <f>'Part B (i)'!D70</f>
        <v>0</v>
      </c>
      <c r="G246" s="589"/>
      <c r="H246" s="589"/>
      <c r="I246" s="90"/>
      <c r="J246" s="90"/>
      <c r="K246" s="90"/>
    </row>
    <row r="247" spans="1:11" ht="85.5" customHeight="1" x14ac:dyDescent="0.3">
      <c r="A247" s="592" t="s">
        <v>549</v>
      </c>
      <c r="B247" s="592"/>
      <c r="C247" s="592"/>
      <c r="D247" s="90"/>
      <c r="E247" s="90"/>
      <c r="F247" s="604">
        <f>'Part B (i)'!D71</f>
        <v>0</v>
      </c>
      <c r="G247" s="589"/>
      <c r="H247" s="589"/>
      <c r="I247" s="90"/>
      <c r="J247" s="90"/>
      <c r="K247" s="90"/>
    </row>
    <row r="248" spans="1:11" ht="85.5" customHeight="1" x14ac:dyDescent="0.3">
      <c r="A248" s="592" t="s">
        <v>550</v>
      </c>
      <c r="B248" s="592"/>
      <c r="C248" s="592"/>
      <c r="D248" s="90"/>
      <c r="E248" s="90"/>
      <c r="F248" s="604">
        <f>'Part B (i)'!D72</f>
        <v>0</v>
      </c>
      <c r="G248" s="589"/>
      <c r="H248" s="589"/>
      <c r="I248" s="90"/>
      <c r="J248" s="90"/>
      <c r="K248" s="90"/>
    </row>
    <row r="249" spans="1:11" ht="15.6" x14ac:dyDescent="0.3">
      <c r="A249" s="592" t="s">
        <v>551</v>
      </c>
      <c r="B249" s="592"/>
      <c r="C249" s="592"/>
      <c r="D249" s="90"/>
      <c r="E249" s="90"/>
      <c r="F249" s="642" t="str">
        <f>'Part B (i)'!D73</f>
        <v>DD/MM/YYYY</v>
      </c>
      <c r="G249" s="594"/>
      <c r="H249" s="594"/>
      <c r="I249" s="90"/>
      <c r="J249" s="90"/>
      <c r="K249" s="90"/>
    </row>
    <row r="250" spans="1:11" ht="15.6" x14ac:dyDescent="0.3">
      <c r="A250" s="90" t="s">
        <v>553</v>
      </c>
      <c r="B250" s="90"/>
      <c r="C250" s="586" t="s">
        <v>552</v>
      </c>
      <c r="D250" s="587"/>
      <c r="E250" s="588"/>
      <c r="F250" s="604">
        <f>'Part B (i)'!E74</f>
        <v>0</v>
      </c>
      <c r="G250" s="589"/>
      <c r="H250" s="590" t="s">
        <v>148</v>
      </c>
      <c r="I250" s="590"/>
      <c r="J250" s="604">
        <f>'Part B (i)'!G74</f>
        <v>0</v>
      </c>
      <c r="K250" s="589"/>
    </row>
    <row r="251" spans="1:11" ht="15.6" x14ac:dyDescent="0.3">
      <c r="A251" s="90"/>
      <c r="B251" s="90"/>
      <c r="C251" s="591" t="s">
        <v>569</v>
      </c>
      <c r="D251" s="590"/>
      <c r="E251" s="590"/>
      <c r="F251" s="604">
        <f>'Part B (i)'!E75</f>
        <v>0</v>
      </c>
      <c r="G251" s="589"/>
      <c r="H251" s="590" t="s">
        <v>556</v>
      </c>
      <c r="I251" s="590"/>
      <c r="J251" s="604">
        <f>'Part B (i)'!G75</f>
        <v>0</v>
      </c>
      <c r="K251" s="589"/>
    </row>
    <row r="252" spans="1:11" ht="15.6" x14ac:dyDescent="0.3">
      <c r="A252" s="90"/>
      <c r="B252" s="90"/>
      <c r="C252" s="590" t="s">
        <v>566</v>
      </c>
      <c r="D252" s="590"/>
      <c r="E252" s="590"/>
      <c r="F252" s="604">
        <f>'Part B (i)'!E76</f>
        <v>0</v>
      </c>
      <c r="G252" s="589"/>
      <c r="H252" s="590" t="s">
        <v>555</v>
      </c>
      <c r="I252" s="590"/>
      <c r="J252" s="604">
        <f>'Part B (i)'!G76</f>
        <v>0</v>
      </c>
      <c r="K252" s="589"/>
    </row>
    <row r="253" spans="1:11" ht="15.6" x14ac:dyDescent="0.3">
      <c r="A253" s="90"/>
      <c r="B253" s="90"/>
      <c r="C253" s="586" t="s">
        <v>554</v>
      </c>
      <c r="D253" s="587"/>
      <c r="E253" s="588"/>
      <c r="F253" s="589">
        <f>'Part B (i)'!E77</f>
        <v>0</v>
      </c>
      <c r="G253" s="589"/>
      <c r="H253" s="590" t="s">
        <v>557</v>
      </c>
      <c r="I253" s="590"/>
      <c r="J253" s="604">
        <f>'Part B (i)'!G77</f>
        <v>0</v>
      </c>
      <c r="K253" s="589"/>
    </row>
    <row r="254" spans="1:11" ht="14.4" x14ac:dyDescent="0.3">
      <c r="A254" s="65"/>
      <c r="B254" s="65"/>
      <c r="C254" s="65"/>
      <c r="D254" s="65"/>
      <c r="E254" s="65"/>
      <c r="F254" s="65"/>
      <c r="G254" s="65"/>
      <c r="H254" s="65"/>
      <c r="I254" s="65"/>
      <c r="J254" s="65"/>
      <c r="K254" s="65"/>
    </row>
  </sheetData>
  <mergeCells count="584">
    <mergeCell ref="B37:H37"/>
    <mergeCell ref="I37:K37"/>
    <mergeCell ref="B93:H93"/>
    <mergeCell ref="I93:K93"/>
    <mergeCell ref="B13:K13"/>
    <mergeCell ref="B14:K14"/>
    <mergeCell ref="B16:H16"/>
    <mergeCell ref="I16:K16"/>
    <mergeCell ref="B17:G17"/>
    <mergeCell ref="I17:K17"/>
    <mergeCell ref="B21:G21"/>
    <mergeCell ref="I21:K21"/>
    <mergeCell ref="B22:G22"/>
    <mergeCell ref="I22:K22"/>
    <mergeCell ref="B23:G23"/>
    <mergeCell ref="I23:K23"/>
    <mergeCell ref="B18:G18"/>
    <mergeCell ref="I18:K18"/>
    <mergeCell ref="B19:G19"/>
    <mergeCell ref="I19:K19"/>
    <mergeCell ref="B20:G20"/>
    <mergeCell ref="I20:K20"/>
    <mergeCell ref="B27:G27"/>
    <mergeCell ref="I27:K27"/>
    <mergeCell ref="E2:G2"/>
    <mergeCell ref="B3:K3"/>
    <mergeCell ref="B12:F12"/>
    <mergeCell ref="G12:K12"/>
    <mergeCell ref="B4:F4"/>
    <mergeCell ref="G4:K4"/>
    <mergeCell ref="B5:F5"/>
    <mergeCell ref="G5:K5"/>
    <mergeCell ref="B15:H15"/>
    <mergeCell ref="I15:K15"/>
    <mergeCell ref="B11:F11"/>
    <mergeCell ref="G11:K11"/>
    <mergeCell ref="B6:F6"/>
    <mergeCell ref="G6:K6"/>
    <mergeCell ref="B7:F7"/>
    <mergeCell ref="G7:K7"/>
    <mergeCell ref="B8:F8"/>
    <mergeCell ref="G8:K8"/>
    <mergeCell ref="B9:F9"/>
    <mergeCell ref="G9:K9"/>
    <mergeCell ref="B10:F10"/>
    <mergeCell ref="G10:K10"/>
    <mergeCell ref="B28:G28"/>
    <mergeCell ref="I28:K28"/>
    <mergeCell ref="B29:G29"/>
    <mergeCell ref="I29:K29"/>
    <mergeCell ref="B24:G24"/>
    <mergeCell ref="I24:K24"/>
    <mergeCell ref="B25:G25"/>
    <mergeCell ref="I25:K25"/>
    <mergeCell ref="B26:G26"/>
    <mergeCell ref="I26:K26"/>
    <mergeCell ref="B33:H33"/>
    <mergeCell ref="I33:K33"/>
    <mergeCell ref="B34:K34"/>
    <mergeCell ref="B35:D35"/>
    <mergeCell ref="E35:K35"/>
    <mergeCell ref="B36:K36"/>
    <mergeCell ref="B30:G30"/>
    <mergeCell ref="I30:K30"/>
    <mergeCell ref="B31:H31"/>
    <mergeCell ref="I31:K31"/>
    <mergeCell ref="B32:H32"/>
    <mergeCell ref="I32:K32"/>
    <mergeCell ref="B41:H41"/>
    <mergeCell ref="I41:K41"/>
    <mergeCell ref="B42:H42"/>
    <mergeCell ref="I42:K42"/>
    <mergeCell ref="B43:H43"/>
    <mergeCell ref="I43:K43"/>
    <mergeCell ref="B38:H38"/>
    <mergeCell ref="I38:K38"/>
    <mergeCell ref="B39:H39"/>
    <mergeCell ref="I39:K39"/>
    <mergeCell ref="B40:H40"/>
    <mergeCell ref="I40:K40"/>
    <mergeCell ref="A49:A50"/>
    <mergeCell ref="F49:K49"/>
    <mergeCell ref="H50:I50"/>
    <mergeCell ref="J50:K50"/>
    <mergeCell ref="B44:H44"/>
    <mergeCell ref="I44:K44"/>
    <mergeCell ref="B45:K45"/>
    <mergeCell ref="B46:D46"/>
    <mergeCell ref="E46:K46"/>
    <mergeCell ref="B47:K47"/>
    <mergeCell ref="B49:C50"/>
    <mergeCell ref="D49:E50"/>
    <mergeCell ref="B51:C51"/>
    <mergeCell ref="D51:E51"/>
    <mergeCell ref="H51:I51"/>
    <mergeCell ref="J51:K51"/>
    <mergeCell ref="B53:C53"/>
    <mergeCell ref="D53:E53"/>
    <mergeCell ref="H53:I53"/>
    <mergeCell ref="J53:K53"/>
    <mergeCell ref="B48:K48"/>
    <mergeCell ref="B55:C55"/>
    <mergeCell ref="D55:E55"/>
    <mergeCell ref="H55:I55"/>
    <mergeCell ref="J55:K55"/>
    <mergeCell ref="B56:C56"/>
    <mergeCell ref="D56:E56"/>
    <mergeCell ref="H56:I56"/>
    <mergeCell ref="J56:K56"/>
    <mergeCell ref="B52:C52"/>
    <mergeCell ref="D52:E52"/>
    <mergeCell ref="H52:I52"/>
    <mergeCell ref="J52:K52"/>
    <mergeCell ref="B54:C54"/>
    <mergeCell ref="D54:E54"/>
    <mergeCell ref="H54:I54"/>
    <mergeCell ref="J54:K54"/>
    <mergeCell ref="B61:C61"/>
    <mergeCell ref="D61:E61"/>
    <mergeCell ref="H61:I61"/>
    <mergeCell ref="J61:K61"/>
    <mergeCell ref="B62:C62"/>
    <mergeCell ref="D62:E62"/>
    <mergeCell ref="H62:I62"/>
    <mergeCell ref="J62:K62"/>
    <mergeCell ref="B57:C57"/>
    <mergeCell ref="D57:E57"/>
    <mergeCell ref="H57:I57"/>
    <mergeCell ref="J57:K57"/>
    <mergeCell ref="B58:C58"/>
    <mergeCell ref="D58:E58"/>
    <mergeCell ref="H58:I58"/>
    <mergeCell ref="J58:K58"/>
    <mergeCell ref="B59:C59"/>
    <mergeCell ref="D59:E59"/>
    <mergeCell ref="H59:I59"/>
    <mergeCell ref="J59:K59"/>
    <mergeCell ref="B60:C60"/>
    <mergeCell ref="D60:E60"/>
    <mergeCell ref="H60:I60"/>
    <mergeCell ref="J60:K60"/>
    <mergeCell ref="B65:C65"/>
    <mergeCell ref="D65:E65"/>
    <mergeCell ref="H65:I65"/>
    <mergeCell ref="J65:K65"/>
    <mergeCell ref="B66:C66"/>
    <mergeCell ref="D66:E66"/>
    <mergeCell ref="H66:I66"/>
    <mergeCell ref="J66:K66"/>
    <mergeCell ref="B63:C63"/>
    <mergeCell ref="D63:E63"/>
    <mergeCell ref="H63:I63"/>
    <mergeCell ref="J63:K63"/>
    <mergeCell ref="B64:C64"/>
    <mergeCell ref="D64:E64"/>
    <mergeCell ref="H64:I64"/>
    <mergeCell ref="J64:K64"/>
    <mergeCell ref="B72:K72"/>
    <mergeCell ref="B73:D73"/>
    <mergeCell ref="E73:K73"/>
    <mergeCell ref="B74:K74"/>
    <mergeCell ref="B67:C67"/>
    <mergeCell ref="D67:E67"/>
    <mergeCell ref="H67:I67"/>
    <mergeCell ref="J67:K67"/>
    <mergeCell ref="B68:C68"/>
    <mergeCell ref="D68:E68"/>
    <mergeCell ref="H68:I68"/>
    <mergeCell ref="J68:K68"/>
    <mergeCell ref="H69:I69"/>
    <mergeCell ref="J69:K69"/>
    <mergeCell ref="H70:I70"/>
    <mergeCell ref="J70:K70"/>
    <mergeCell ref="B69:C69"/>
    <mergeCell ref="B70:C70"/>
    <mergeCell ref="D69:E69"/>
    <mergeCell ref="D70:E70"/>
    <mergeCell ref="B71:C71"/>
    <mergeCell ref="D71:E71"/>
    <mergeCell ref="H71:I71"/>
    <mergeCell ref="J71:K71"/>
    <mergeCell ref="B75:C75"/>
    <mergeCell ref="D75:E75"/>
    <mergeCell ref="F75:K75"/>
    <mergeCell ref="B76:C76"/>
    <mergeCell ref="D76:E76"/>
    <mergeCell ref="H76:I76"/>
    <mergeCell ref="J76:K76"/>
    <mergeCell ref="B82:C82"/>
    <mergeCell ref="D82:E82"/>
    <mergeCell ref="H82:I82"/>
    <mergeCell ref="J82:K82"/>
    <mergeCell ref="B79:C79"/>
    <mergeCell ref="D79:E79"/>
    <mergeCell ref="H79:I79"/>
    <mergeCell ref="J79:K79"/>
    <mergeCell ref="B77:C77"/>
    <mergeCell ref="D77:E77"/>
    <mergeCell ref="H77:I77"/>
    <mergeCell ref="J77:K77"/>
    <mergeCell ref="B83:C83"/>
    <mergeCell ref="D83:E83"/>
    <mergeCell ref="H83:I83"/>
    <mergeCell ref="J83:K83"/>
    <mergeCell ref="H85:I85"/>
    <mergeCell ref="J85:K85"/>
    <mergeCell ref="H84:I84"/>
    <mergeCell ref="J84:K84"/>
    <mergeCell ref="B80:C80"/>
    <mergeCell ref="D80:E80"/>
    <mergeCell ref="H80:I80"/>
    <mergeCell ref="J80:K80"/>
    <mergeCell ref="B97:H97"/>
    <mergeCell ref="I97:K97"/>
    <mergeCell ref="B98:H98"/>
    <mergeCell ref="I98:K98"/>
    <mergeCell ref="B92:K92"/>
    <mergeCell ref="B94:H94"/>
    <mergeCell ref="I94:K94"/>
    <mergeCell ref="I95:K95"/>
    <mergeCell ref="B95:H95"/>
    <mergeCell ref="B96:H96"/>
    <mergeCell ref="I96:K96"/>
    <mergeCell ref="B103:D103"/>
    <mergeCell ref="E103:F103"/>
    <mergeCell ref="G103:H103"/>
    <mergeCell ref="I103:K103"/>
    <mergeCell ref="B99:H99"/>
    <mergeCell ref="I99:K99"/>
    <mergeCell ref="B100:K100"/>
    <mergeCell ref="B101:D101"/>
    <mergeCell ref="E101:K101"/>
    <mergeCell ref="B102:K102"/>
    <mergeCell ref="B106:D106"/>
    <mergeCell ref="E106:F106"/>
    <mergeCell ref="G106:H106"/>
    <mergeCell ref="I106:K106"/>
    <mergeCell ref="B107:D107"/>
    <mergeCell ref="E107:F107"/>
    <mergeCell ref="G107:H107"/>
    <mergeCell ref="I107:K107"/>
    <mergeCell ref="B104:D104"/>
    <mergeCell ref="E104:F104"/>
    <mergeCell ref="G104:H104"/>
    <mergeCell ref="I104:K104"/>
    <mergeCell ref="B105:D105"/>
    <mergeCell ref="E105:F105"/>
    <mergeCell ref="G105:H105"/>
    <mergeCell ref="I105:K105"/>
    <mergeCell ref="B110:D110"/>
    <mergeCell ref="E110:F110"/>
    <mergeCell ref="G110:H110"/>
    <mergeCell ref="I110:K110"/>
    <mergeCell ref="B111:D111"/>
    <mergeCell ref="E111:F111"/>
    <mergeCell ref="G111:H111"/>
    <mergeCell ref="I111:K111"/>
    <mergeCell ref="B108:D108"/>
    <mergeCell ref="E108:F108"/>
    <mergeCell ref="G108:H108"/>
    <mergeCell ref="I108:K108"/>
    <mergeCell ref="B109:D109"/>
    <mergeCell ref="E109:F109"/>
    <mergeCell ref="G109:H109"/>
    <mergeCell ref="I109:K109"/>
    <mergeCell ref="G118:H118"/>
    <mergeCell ref="I118:K118"/>
    <mergeCell ref="B112:D112"/>
    <mergeCell ref="E112:F112"/>
    <mergeCell ref="G112:H112"/>
    <mergeCell ref="I112:K112"/>
    <mergeCell ref="B113:D113"/>
    <mergeCell ref="E113:F113"/>
    <mergeCell ref="G113:H113"/>
    <mergeCell ref="I113:K113"/>
    <mergeCell ref="E123:F123"/>
    <mergeCell ref="G121:H121"/>
    <mergeCell ref="B119:D119"/>
    <mergeCell ref="E119:F119"/>
    <mergeCell ref="G119:H119"/>
    <mergeCell ref="I119:K119"/>
    <mergeCell ref="B114:D114"/>
    <mergeCell ref="E114:F114"/>
    <mergeCell ref="G114:H114"/>
    <mergeCell ref="I114:K114"/>
    <mergeCell ref="B115:D115"/>
    <mergeCell ref="E115:F115"/>
    <mergeCell ref="G115:H115"/>
    <mergeCell ref="I115:K115"/>
    <mergeCell ref="B116:D116"/>
    <mergeCell ref="E116:F116"/>
    <mergeCell ref="G116:H116"/>
    <mergeCell ref="I116:K116"/>
    <mergeCell ref="B117:D117"/>
    <mergeCell ref="E117:F117"/>
    <mergeCell ref="G117:H117"/>
    <mergeCell ref="I117:K117"/>
    <mergeCell ref="B118:D118"/>
    <mergeCell ref="E118:F118"/>
    <mergeCell ref="H142:I142"/>
    <mergeCell ref="J142:K142"/>
    <mergeCell ref="B124:K124"/>
    <mergeCell ref="B125:D125"/>
    <mergeCell ref="E125:K125"/>
    <mergeCell ref="B126:K126"/>
    <mergeCell ref="B143:C143"/>
    <mergeCell ref="D143:E143"/>
    <mergeCell ref="B136:C136"/>
    <mergeCell ref="D136:E136"/>
    <mergeCell ref="H136:I136"/>
    <mergeCell ref="J136:K136"/>
    <mergeCell ref="J137:K137"/>
    <mergeCell ref="B139:C139"/>
    <mergeCell ref="B129:C129"/>
    <mergeCell ref="D129:K129"/>
    <mergeCell ref="B130:C130"/>
    <mergeCell ref="D130:K130"/>
    <mergeCell ref="B141:C141"/>
    <mergeCell ref="D141:E141"/>
    <mergeCell ref="H141:I141"/>
    <mergeCell ref="J141:K141"/>
    <mergeCell ref="B127:C127"/>
    <mergeCell ref="D127:K127"/>
    <mergeCell ref="B144:C144"/>
    <mergeCell ref="D144:E144"/>
    <mergeCell ref="H144:I144"/>
    <mergeCell ref="J144:K144"/>
    <mergeCell ref="B145:C145"/>
    <mergeCell ref="D145:E145"/>
    <mergeCell ref="H145:I145"/>
    <mergeCell ref="J145:K145"/>
    <mergeCell ref="D135:E135"/>
    <mergeCell ref="F135:K135"/>
    <mergeCell ref="H143:I143"/>
    <mergeCell ref="J143:K143"/>
    <mergeCell ref="J140:K140"/>
    <mergeCell ref="B137:C137"/>
    <mergeCell ref="D137:E137"/>
    <mergeCell ref="H137:I137"/>
    <mergeCell ref="D139:E139"/>
    <mergeCell ref="H139:I139"/>
    <mergeCell ref="J139:K139"/>
    <mergeCell ref="B140:C140"/>
    <mergeCell ref="D140:E140"/>
    <mergeCell ref="H140:I140"/>
    <mergeCell ref="B142:C142"/>
    <mergeCell ref="D142:E142"/>
    <mergeCell ref="B149:C149"/>
    <mergeCell ref="D149:E149"/>
    <mergeCell ref="H149:I149"/>
    <mergeCell ref="J149:K149"/>
    <mergeCell ref="B146:C146"/>
    <mergeCell ref="D146:E146"/>
    <mergeCell ref="H146:I146"/>
    <mergeCell ref="J146:K146"/>
    <mergeCell ref="B147:C147"/>
    <mergeCell ref="D147:E147"/>
    <mergeCell ref="H147:I147"/>
    <mergeCell ref="J147:K147"/>
    <mergeCell ref="B148:C148"/>
    <mergeCell ref="D148:E148"/>
    <mergeCell ref="H148:I148"/>
    <mergeCell ref="J148:K148"/>
    <mergeCell ref="D151:E151"/>
    <mergeCell ref="H151:I151"/>
    <mergeCell ref="J151:K151"/>
    <mergeCell ref="B152:C152"/>
    <mergeCell ref="D152:E152"/>
    <mergeCell ref="H152:I152"/>
    <mergeCell ref="J152:K152"/>
    <mergeCell ref="B150:C150"/>
    <mergeCell ref="D150:E150"/>
    <mergeCell ref="H150:I150"/>
    <mergeCell ref="J150:K150"/>
    <mergeCell ref="B151:C151"/>
    <mergeCell ref="A160:C160"/>
    <mergeCell ref="F160:H160"/>
    <mergeCell ref="A161:C161"/>
    <mergeCell ref="F161:H161"/>
    <mergeCell ref="A162:C162"/>
    <mergeCell ref="F162:H162"/>
    <mergeCell ref="B153:C153"/>
    <mergeCell ref="D153:E153"/>
    <mergeCell ref="H153:I153"/>
    <mergeCell ref="A155:K157"/>
    <mergeCell ref="A159:C159"/>
    <mergeCell ref="F159:H159"/>
    <mergeCell ref="J153:K153"/>
    <mergeCell ref="J165:K165"/>
    <mergeCell ref="C166:E166"/>
    <mergeCell ref="F166:G166"/>
    <mergeCell ref="H166:I166"/>
    <mergeCell ref="J166:K166"/>
    <mergeCell ref="C163:E163"/>
    <mergeCell ref="F163:G163"/>
    <mergeCell ref="H163:I163"/>
    <mergeCell ref="J163:K163"/>
    <mergeCell ref="C164:E164"/>
    <mergeCell ref="F164:G164"/>
    <mergeCell ref="H164:I164"/>
    <mergeCell ref="J164:K164"/>
    <mergeCell ref="C170:I173"/>
    <mergeCell ref="B175:D175"/>
    <mergeCell ref="A177:D177"/>
    <mergeCell ref="E177:G177"/>
    <mergeCell ref="A179:D179"/>
    <mergeCell ref="E179:H179"/>
    <mergeCell ref="C165:E165"/>
    <mergeCell ref="F165:G165"/>
    <mergeCell ref="H165:I165"/>
    <mergeCell ref="F168:G168"/>
    <mergeCell ref="A185:D185"/>
    <mergeCell ref="E185:G185"/>
    <mergeCell ref="A186:C186"/>
    <mergeCell ref="C188:D188"/>
    <mergeCell ref="E188:G188"/>
    <mergeCell ref="A190:B190"/>
    <mergeCell ref="C190:E190"/>
    <mergeCell ref="F190:G190"/>
    <mergeCell ref="A180:D180"/>
    <mergeCell ref="E180:G180"/>
    <mergeCell ref="A181:D181"/>
    <mergeCell ref="E181:G181"/>
    <mergeCell ref="A183:F183"/>
    <mergeCell ref="A184:D184"/>
    <mergeCell ref="E184:G184"/>
    <mergeCell ref="J192:K192"/>
    <mergeCell ref="C193:E193"/>
    <mergeCell ref="F193:G193"/>
    <mergeCell ref="H193:I193"/>
    <mergeCell ref="J193:K193"/>
    <mergeCell ref="H190:I190"/>
    <mergeCell ref="J190:K190"/>
    <mergeCell ref="C191:E191"/>
    <mergeCell ref="F191:G191"/>
    <mergeCell ref="H191:I191"/>
    <mergeCell ref="J191:K191"/>
    <mergeCell ref="A195:B195"/>
    <mergeCell ref="C195:G195"/>
    <mergeCell ref="C198:E198"/>
    <mergeCell ref="F198:G198"/>
    <mergeCell ref="H198:I198"/>
    <mergeCell ref="C192:E192"/>
    <mergeCell ref="F192:G192"/>
    <mergeCell ref="H192:I192"/>
    <mergeCell ref="A198:B198"/>
    <mergeCell ref="J198:K198"/>
    <mergeCell ref="C199:E199"/>
    <mergeCell ref="F199:G199"/>
    <mergeCell ref="H199:I199"/>
    <mergeCell ref="J199:K199"/>
    <mergeCell ref="C200:E200"/>
    <mergeCell ref="F200:G200"/>
    <mergeCell ref="H200:I200"/>
    <mergeCell ref="J200:K200"/>
    <mergeCell ref="C206:E206"/>
    <mergeCell ref="F206:G206"/>
    <mergeCell ref="H206:I206"/>
    <mergeCell ref="J206:K206"/>
    <mergeCell ref="C201:E201"/>
    <mergeCell ref="F201:G201"/>
    <mergeCell ref="H201:I201"/>
    <mergeCell ref="J201:K201"/>
    <mergeCell ref="A211:J211"/>
    <mergeCell ref="C204:E204"/>
    <mergeCell ref="F204:G204"/>
    <mergeCell ref="H204:I204"/>
    <mergeCell ref="J204:K204"/>
    <mergeCell ref="C205:E205"/>
    <mergeCell ref="F205:G205"/>
    <mergeCell ref="H205:I205"/>
    <mergeCell ref="J205:K205"/>
    <mergeCell ref="A204:B204"/>
    <mergeCell ref="C214:K214"/>
    <mergeCell ref="A215:C215"/>
    <mergeCell ref="C217:D217"/>
    <mergeCell ref="C207:E207"/>
    <mergeCell ref="F207:G207"/>
    <mergeCell ref="H207:I207"/>
    <mergeCell ref="J207:K207"/>
    <mergeCell ref="E209:H209"/>
    <mergeCell ref="A210:H210"/>
    <mergeCell ref="C218:E218"/>
    <mergeCell ref="A225:D225"/>
    <mergeCell ref="E225:G225"/>
    <mergeCell ref="H225:K225"/>
    <mergeCell ref="A226:F226"/>
    <mergeCell ref="A227:K227"/>
    <mergeCell ref="B228:K228"/>
    <mergeCell ref="A220:C220"/>
    <mergeCell ref="E220:K220"/>
    <mergeCell ref="A221:F221"/>
    <mergeCell ref="G223:I223"/>
    <mergeCell ref="C224:F224"/>
    <mergeCell ref="G224:K224"/>
    <mergeCell ref="G222:I222"/>
    <mergeCell ref="J222:K222"/>
    <mergeCell ref="A247:C247"/>
    <mergeCell ref="F247:H247"/>
    <mergeCell ref="A248:C248"/>
    <mergeCell ref="F248:H248"/>
    <mergeCell ref="A249:C249"/>
    <mergeCell ref="F249:H249"/>
    <mergeCell ref="A229:E229"/>
    <mergeCell ref="C241:F241"/>
    <mergeCell ref="G241:I241"/>
    <mergeCell ref="C242:F242"/>
    <mergeCell ref="G242:I242"/>
    <mergeCell ref="A246:C246"/>
    <mergeCell ref="F246:H246"/>
    <mergeCell ref="C252:E252"/>
    <mergeCell ref="F252:G252"/>
    <mergeCell ref="H252:I252"/>
    <mergeCell ref="J252:K252"/>
    <mergeCell ref="C253:E253"/>
    <mergeCell ref="F253:G253"/>
    <mergeCell ref="H253:I253"/>
    <mergeCell ref="J253:K253"/>
    <mergeCell ref="C250:E250"/>
    <mergeCell ref="F250:G250"/>
    <mergeCell ref="H250:I250"/>
    <mergeCell ref="J250:K250"/>
    <mergeCell ref="C251:E251"/>
    <mergeCell ref="F251:G251"/>
    <mergeCell ref="H251:I251"/>
    <mergeCell ref="J251:K251"/>
    <mergeCell ref="A90:A91"/>
    <mergeCell ref="B90:K91"/>
    <mergeCell ref="B88:C88"/>
    <mergeCell ref="D88:E88"/>
    <mergeCell ref="H88:I88"/>
    <mergeCell ref="J88:K88"/>
    <mergeCell ref="B89:C89"/>
    <mergeCell ref="D89:E89"/>
    <mergeCell ref="H89:I89"/>
    <mergeCell ref="J89:K89"/>
    <mergeCell ref="B138:C138"/>
    <mergeCell ref="D138:E138"/>
    <mergeCell ref="H138:I138"/>
    <mergeCell ref="J138:K138"/>
    <mergeCell ref="B86:C86"/>
    <mergeCell ref="D86:E86"/>
    <mergeCell ref="H86:I86"/>
    <mergeCell ref="J86:K86"/>
    <mergeCell ref="B87:C87"/>
    <mergeCell ref="D87:E87"/>
    <mergeCell ref="H87:I87"/>
    <mergeCell ref="J87:K87"/>
    <mergeCell ref="B128:C128"/>
    <mergeCell ref="D128:K128"/>
    <mergeCell ref="B120:D120"/>
    <mergeCell ref="E120:F120"/>
    <mergeCell ref="G120:H120"/>
    <mergeCell ref="I120:K120"/>
    <mergeCell ref="G122:H122"/>
    <mergeCell ref="G123:H123"/>
    <mergeCell ref="I122:K122"/>
    <mergeCell ref="I123:K123"/>
    <mergeCell ref="I121:K121"/>
    <mergeCell ref="B121:D121"/>
    <mergeCell ref="B131:C131"/>
    <mergeCell ref="D131:K131"/>
    <mergeCell ref="B132:C132"/>
    <mergeCell ref="D132:K132"/>
    <mergeCell ref="B133:C133"/>
    <mergeCell ref="D133:K133"/>
    <mergeCell ref="B134:K134"/>
    <mergeCell ref="B135:C135"/>
    <mergeCell ref="B78:C78"/>
    <mergeCell ref="D78:E78"/>
    <mergeCell ref="H78:I78"/>
    <mergeCell ref="J78:K78"/>
    <mergeCell ref="B84:C84"/>
    <mergeCell ref="D84:E84"/>
    <mergeCell ref="B85:C85"/>
    <mergeCell ref="D85:E85"/>
    <mergeCell ref="B81:C81"/>
    <mergeCell ref="D81:E81"/>
    <mergeCell ref="H81:I81"/>
    <mergeCell ref="J81:K81"/>
    <mergeCell ref="B122:D122"/>
    <mergeCell ref="B123:D123"/>
    <mergeCell ref="E121:F121"/>
    <mergeCell ref="E122:F122"/>
  </mergeCells>
  <pageMargins left="0.7" right="0.4"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0000000}">
          <x14:formula1>
            <xm:f>'D:\Users\Administrator\Downloads\[GSTR 9C_Offline utility_071218_v2 (1).xlsm]Master'!#REF!</xm:f>
          </x14:formula1>
          <xm:sqref>C242</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102A9B-AF95-4376-B8E0-C9987B87664F}">
  <sheetPr codeName="Sheet24"/>
  <dimension ref="A1:L254"/>
  <sheetViews>
    <sheetView topLeftCell="A133" zoomScaleNormal="100" workbookViewId="0">
      <selection activeCell="H140" sqref="H140:I140"/>
    </sheetView>
  </sheetViews>
  <sheetFormatPr defaultColWidth="9.109375" defaultRowHeight="13.2" x14ac:dyDescent="0.3"/>
  <cols>
    <col min="1" max="1" width="6.88671875" style="64" customWidth="1"/>
    <col min="2" max="2" width="6" style="64" customWidth="1"/>
    <col min="3" max="3" width="9" style="64" customWidth="1"/>
    <col min="4" max="4" width="9.88671875" style="64" customWidth="1"/>
    <col min="5" max="5" width="5.5546875" style="64" customWidth="1"/>
    <col min="6" max="6" width="16.5546875" style="64" customWidth="1"/>
    <col min="7" max="7" width="15.6640625" style="64" customWidth="1"/>
    <col min="8" max="8" width="6.88671875" style="64" customWidth="1"/>
    <col min="9" max="9" width="9.109375" style="64" customWidth="1"/>
    <col min="10" max="10" width="3.44140625" style="64" customWidth="1"/>
    <col min="11" max="11" width="12.33203125" style="64" customWidth="1"/>
    <col min="12" max="12" width="9.88671875" style="64" customWidth="1"/>
    <col min="13" max="16384" width="9.109375" style="64"/>
  </cols>
  <sheetData>
    <row r="1" spans="1:12" x14ac:dyDescent="0.3">
      <c r="D1" s="60"/>
    </row>
    <row r="2" spans="1:12" ht="66.75" customHeight="1" x14ac:dyDescent="0.3">
      <c r="E2" s="631" t="s">
        <v>305</v>
      </c>
      <c r="F2" s="631"/>
      <c r="G2" s="631"/>
    </row>
    <row r="3" spans="1:12" ht="16.5" customHeight="1" x14ac:dyDescent="0.3">
      <c r="A3" s="107" t="s">
        <v>672</v>
      </c>
      <c r="B3" s="585" t="s">
        <v>304</v>
      </c>
      <c r="C3" s="585"/>
      <c r="D3" s="585"/>
      <c r="E3" s="585"/>
      <c r="F3" s="585"/>
      <c r="G3" s="585"/>
      <c r="H3" s="585"/>
      <c r="I3" s="585"/>
      <c r="J3" s="585"/>
      <c r="K3" s="585"/>
      <c r="L3" s="66"/>
    </row>
    <row r="4" spans="1:12" ht="20.25" customHeight="1" x14ac:dyDescent="0.3">
      <c r="A4" s="108">
        <v>1</v>
      </c>
      <c r="B4" s="575" t="s">
        <v>677</v>
      </c>
      <c r="C4" s="576"/>
      <c r="D4" s="576"/>
      <c r="E4" s="576"/>
      <c r="F4" s="577"/>
      <c r="G4" s="580"/>
      <c r="H4" s="576"/>
      <c r="I4" s="576"/>
      <c r="J4" s="576"/>
      <c r="K4" s="577"/>
    </row>
    <row r="5" spans="1:12" ht="16.5" customHeight="1" x14ac:dyDescent="0.25">
      <c r="A5" s="108">
        <v>2</v>
      </c>
      <c r="B5" s="575" t="s">
        <v>154</v>
      </c>
      <c r="C5" s="578"/>
      <c r="D5" s="578"/>
      <c r="E5" s="578"/>
      <c r="F5" s="579"/>
      <c r="G5" s="639"/>
      <c r="H5" s="640"/>
      <c r="I5" s="640"/>
      <c r="J5" s="640"/>
      <c r="K5" s="641"/>
    </row>
    <row r="6" spans="1:12" ht="16.5" customHeight="1" x14ac:dyDescent="0.3">
      <c r="A6" s="110" t="s">
        <v>89</v>
      </c>
      <c r="B6" s="575" t="s">
        <v>155</v>
      </c>
      <c r="C6" s="578"/>
      <c r="D6" s="578"/>
      <c r="E6" s="578"/>
      <c r="F6" s="579"/>
      <c r="G6" s="637"/>
      <c r="H6" s="638"/>
      <c r="I6" s="638"/>
      <c r="J6" s="638"/>
      <c r="K6" s="623"/>
    </row>
    <row r="7" spans="1:12" ht="18.75" customHeight="1" x14ac:dyDescent="0.3">
      <c r="A7" s="110" t="s">
        <v>90</v>
      </c>
      <c r="B7" s="575" t="s">
        <v>678</v>
      </c>
      <c r="C7" s="576"/>
      <c r="D7" s="576"/>
      <c r="E7" s="576"/>
      <c r="F7" s="577"/>
      <c r="G7" s="575"/>
      <c r="H7" s="578"/>
      <c r="I7" s="578"/>
      <c r="J7" s="578"/>
      <c r="K7" s="579"/>
    </row>
    <row r="8" spans="1:12" ht="18" customHeight="1" x14ac:dyDescent="0.3">
      <c r="A8" s="110" t="s">
        <v>535</v>
      </c>
      <c r="B8" s="580" t="s">
        <v>537</v>
      </c>
      <c r="C8" s="576"/>
      <c r="D8" s="576"/>
      <c r="E8" s="576"/>
      <c r="F8" s="577"/>
      <c r="G8" s="575" t="s">
        <v>540</v>
      </c>
      <c r="H8" s="578"/>
      <c r="I8" s="578"/>
      <c r="J8" s="578"/>
      <c r="K8" s="579"/>
    </row>
    <row r="9" spans="1:12" ht="16.5" customHeight="1" x14ac:dyDescent="0.3">
      <c r="A9" s="110" t="s">
        <v>536</v>
      </c>
      <c r="B9" s="634" t="s">
        <v>538</v>
      </c>
      <c r="C9" s="635"/>
      <c r="D9" s="635"/>
      <c r="E9" s="635"/>
      <c r="F9" s="636"/>
      <c r="G9" s="575" t="s">
        <v>540</v>
      </c>
      <c r="H9" s="578"/>
      <c r="I9" s="578"/>
      <c r="J9" s="578"/>
      <c r="K9" s="579"/>
    </row>
    <row r="10" spans="1:12" ht="21.75" customHeight="1" x14ac:dyDescent="0.3">
      <c r="A10" s="108">
        <v>4</v>
      </c>
      <c r="B10" s="575" t="s">
        <v>541</v>
      </c>
      <c r="C10" s="578"/>
      <c r="D10" s="578"/>
      <c r="E10" s="578"/>
      <c r="F10" s="579"/>
      <c r="G10" s="637"/>
      <c r="H10" s="638"/>
      <c r="I10" s="638"/>
      <c r="J10" s="638"/>
      <c r="K10" s="623"/>
    </row>
    <row r="11" spans="1:12" ht="48.75" customHeight="1" x14ac:dyDescent="0.3">
      <c r="A11" s="109" t="s">
        <v>276</v>
      </c>
      <c r="B11" s="637" t="s">
        <v>539</v>
      </c>
      <c r="C11" s="638"/>
      <c r="D11" s="638"/>
      <c r="E11" s="638"/>
      <c r="F11" s="623"/>
      <c r="G11" s="637"/>
      <c r="H11" s="638"/>
      <c r="I11" s="638"/>
      <c r="J11" s="638"/>
      <c r="K11" s="623"/>
    </row>
    <row r="12" spans="1:12" ht="16.5" customHeight="1" x14ac:dyDescent="0.25">
      <c r="A12" s="89"/>
      <c r="B12" s="632"/>
      <c r="C12" s="632"/>
      <c r="D12" s="632"/>
      <c r="E12" s="632"/>
      <c r="F12" s="632"/>
      <c r="G12" s="633" t="s">
        <v>156</v>
      </c>
      <c r="H12" s="633"/>
      <c r="I12" s="633"/>
      <c r="J12" s="633"/>
      <c r="K12" s="633"/>
    </row>
    <row r="13" spans="1:12" ht="33" customHeight="1" x14ac:dyDescent="0.3">
      <c r="A13" s="107" t="s">
        <v>673</v>
      </c>
      <c r="B13" s="618" t="s">
        <v>306</v>
      </c>
      <c r="C13" s="618"/>
      <c r="D13" s="618"/>
      <c r="E13" s="618"/>
      <c r="F13" s="618"/>
      <c r="G13" s="618"/>
      <c r="H13" s="618"/>
      <c r="I13" s="618"/>
      <c r="J13" s="618"/>
      <c r="K13" s="618"/>
    </row>
    <row r="14" spans="1:12" ht="16.5" customHeight="1" x14ac:dyDescent="0.3">
      <c r="A14" s="109">
        <v>5</v>
      </c>
      <c r="B14" s="620" t="s">
        <v>157</v>
      </c>
      <c r="C14" s="620"/>
      <c r="D14" s="620"/>
      <c r="E14" s="620"/>
      <c r="F14" s="620"/>
      <c r="G14" s="620"/>
      <c r="H14" s="620"/>
      <c r="I14" s="620"/>
      <c r="J14" s="620"/>
      <c r="K14" s="620"/>
    </row>
    <row r="15" spans="1:12" ht="16.5" customHeight="1" x14ac:dyDescent="0.3">
      <c r="A15" s="109" t="s">
        <v>542</v>
      </c>
      <c r="B15" s="585" t="s">
        <v>24</v>
      </c>
      <c r="C15" s="620"/>
      <c r="D15" s="620"/>
      <c r="E15" s="620"/>
      <c r="F15" s="620"/>
      <c r="G15" s="620"/>
      <c r="H15" s="620"/>
      <c r="I15" s="585" t="s">
        <v>570</v>
      </c>
      <c r="J15" s="620"/>
      <c r="K15" s="620"/>
    </row>
    <row r="16" spans="1:12" ht="68.25" customHeight="1" x14ac:dyDescent="0.3">
      <c r="A16" s="110" t="s">
        <v>158</v>
      </c>
      <c r="B16" s="626" t="s">
        <v>159</v>
      </c>
      <c r="C16" s="626"/>
      <c r="D16" s="626"/>
      <c r="E16" s="626"/>
      <c r="F16" s="626"/>
      <c r="G16" s="626"/>
      <c r="H16" s="626"/>
      <c r="I16" s="568"/>
      <c r="J16" s="568"/>
      <c r="K16" s="568"/>
    </row>
    <row r="17" spans="1:11" ht="16.5" customHeight="1" x14ac:dyDescent="0.3">
      <c r="A17" s="107" t="s">
        <v>160</v>
      </c>
      <c r="B17" s="611" t="s">
        <v>161</v>
      </c>
      <c r="C17" s="611"/>
      <c r="D17" s="611"/>
      <c r="E17" s="611"/>
      <c r="F17" s="611"/>
      <c r="G17" s="611"/>
      <c r="H17" s="112" t="s">
        <v>544</v>
      </c>
      <c r="I17" s="568"/>
      <c r="J17" s="568"/>
      <c r="K17" s="568"/>
    </row>
    <row r="18" spans="1:11" ht="16.5" customHeight="1" x14ac:dyDescent="0.3">
      <c r="A18" s="107" t="s">
        <v>162</v>
      </c>
      <c r="B18" s="611" t="s">
        <v>163</v>
      </c>
      <c r="C18" s="611"/>
      <c r="D18" s="611"/>
      <c r="E18" s="611"/>
      <c r="F18" s="611"/>
      <c r="G18" s="611"/>
      <c r="H18" s="112" t="s">
        <v>544</v>
      </c>
      <c r="I18" s="568"/>
      <c r="J18" s="568"/>
      <c r="K18" s="568"/>
    </row>
    <row r="19" spans="1:11" ht="16.5" customHeight="1" x14ac:dyDescent="0.3">
      <c r="A19" s="107" t="s">
        <v>164</v>
      </c>
      <c r="B19" s="611" t="s">
        <v>165</v>
      </c>
      <c r="C19" s="611"/>
      <c r="D19" s="611"/>
      <c r="E19" s="611"/>
      <c r="F19" s="611"/>
      <c r="G19" s="611"/>
      <c r="H19" s="112" t="s">
        <v>544</v>
      </c>
      <c r="I19" s="568"/>
      <c r="J19" s="568"/>
      <c r="K19" s="568"/>
    </row>
    <row r="20" spans="1:11" ht="33" customHeight="1" x14ac:dyDescent="0.3">
      <c r="A20" s="107" t="s">
        <v>166</v>
      </c>
      <c r="B20" s="626" t="s">
        <v>167</v>
      </c>
      <c r="C20" s="626"/>
      <c r="D20" s="626"/>
      <c r="E20" s="626"/>
      <c r="F20" s="626"/>
      <c r="G20" s="626"/>
      <c r="H20" s="112" t="s">
        <v>544</v>
      </c>
      <c r="I20" s="568"/>
      <c r="J20" s="568"/>
      <c r="K20" s="568"/>
    </row>
    <row r="21" spans="1:11" ht="34.5" customHeight="1" x14ac:dyDescent="0.3">
      <c r="A21" s="107" t="s">
        <v>168</v>
      </c>
      <c r="B21" s="611" t="s">
        <v>277</v>
      </c>
      <c r="C21" s="611"/>
      <c r="D21" s="611"/>
      <c r="E21" s="611"/>
      <c r="F21" s="611"/>
      <c r="G21" s="611"/>
      <c r="H21" s="112" t="s">
        <v>544</v>
      </c>
      <c r="I21" s="568"/>
      <c r="J21" s="568"/>
      <c r="K21" s="568"/>
    </row>
    <row r="22" spans="1:11" ht="16.5" customHeight="1" x14ac:dyDescent="0.3">
      <c r="A22" s="107" t="s">
        <v>169</v>
      </c>
      <c r="B22" s="611" t="s">
        <v>170</v>
      </c>
      <c r="C22" s="611"/>
      <c r="D22" s="611"/>
      <c r="E22" s="611"/>
      <c r="F22" s="611"/>
      <c r="G22" s="611"/>
      <c r="H22" s="111" t="s">
        <v>545</v>
      </c>
      <c r="I22" s="568"/>
      <c r="J22" s="568"/>
      <c r="K22" s="568"/>
    </row>
    <row r="23" spans="1:11" ht="16.5" customHeight="1" x14ac:dyDescent="0.3">
      <c r="A23" s="107" t="s">
        <v>171</v>
      </c>
      <c r="B23" s="611" t="s">
        <v>172</v>
      </c>
      <c r="C23" s="611"/>
      <c r="D23" s="611"/>
      <c r="E23" s="611"/>
      <c r="F23" s="611"/>
      <c r="G23" s="611"/>
      <c r="H23" s="111" t="s">
        <v>545</v>
      </c>
      <c r="I23" s="568"/>
      <c r="J23" s="568"/>
      <c r="K23" s="568"/>
    </row>
    <row r="24" spans="1:11" ht="33" customHeight="1" x14ac:dyDescent="0.3">
      <c r="A24" s="107" t="s">
        <v>173</v>
      </c>
      <c r="B24" s="626" t="s">
        <v>174</v>
      </c>
      <c r="C24" s="626"/>
      <c r="D24" s="626"/>
      <c r="E24" s="626"/>
      <c r="F24" s="626"/>
      <c r="G24" s="626"/>
      <c r="H24" s="111" t="s">
        <v>545</v>
      </c>
      <c r="I24" s="568"/>
      <c r="J24" s="568"/>
      <c r="K24" s="568"/>
    </row>
    <row r="25" spans="1:11" ht="33" customHeight="1" x14ac:dyDescent="0.3">
      <c r="A25" s="107" t="s">
        <v>175</v>
      </c>
      <c r="B25" s="626" t="s">
        <v>176</v>
      </c>
      <c r="C25" s="626"/>
      <c r="D25" s="626"/>
      <c r="E25" s="626"/>
      <c r="F25" s="626"/>
      <c r="G25" s="626"/>
      <c r="H25" s="111" t="s">
        <v>545</v>
      </c>
      <c r="I25" s="568"/>
      <c r="J25" s="568"/>
      <c r="K25" s="568"/>
    </row>
    <row r="26" spans="1:11" ht="33" customHeight="1" x14ac:dyDescent="0.3">
      <c r="A26" s="107" t="s">
        <v>177</v>
      </c>
      <c r="B26" s="626" t="s">
        <v>178</v>
      </c>
      <c r="C26" s="626"/>
      <c r="D26" s="626"/>
      <c r="E26" s="626"/>
      <c r="F26" s="626"/>
      <c r="G26" s="626"/>
      <c r="H26" s="111" t="s">
        <v>545</v>
      </c>
      <c r="I26" s="568"/>
      <c r="J26" s="568"/>
      <c r="K26" s="568"/>
    </row>
    <row r="27" spans="1:11" ht="16.5" customHeight="1" x14ac:dyDescent="0.3">
      <c r="A27" s="107" t="s">
        <v>179</v>
      </c>
      <c r="B27" s="611" t="s">
        <v>180</v>
      </c>
      <c r="C27" s="611"/>
      <c r="D27" s="611"/>
      <c r="E27" s="611"/>
      <c r="F27" s="611"/>
      <c r="G27" s="611"/>
      <c r="H27" s="111" t="s">
        <v>545</v>
      </c>
      <c r="I27" s="568"/>
      <c r="J27" s="568"/>
      <c r="K27" s="568"/>
    </row>
    <row r="28" spans="1:11" ht="33" customHeight="1" x14ac:dyDescent="0.3">
      <c r="A28" s="107" t="s">
        <v>181</v>
      </c>
      <c r="B28" s="626" t="s">
        <v>182</v>
      </c>
      <c r="C28" s="626"/>
      <c r="D28" s="626"/>
      <c r="E28" s="626"/>
      <c r="F28" s="626"/>
      <c r="G28" s="626"/>
      <c r="H28" s="111" t="s">
        <v>546</v>
      </c>
      <c r="I28" s="568"/>
      <c r="J28" s="568"/>
      <c r="K28" s="568"/>
    </row>
    <row r="29" spans="1:11" ht="33" customHeight="1" x14ac:dyDescent="0.3">
      <c r="A29" s="107" t="s">
        <v>183</v>
      </c>
      <c r="B29" s="626" t="s">
        <v>184</v>
      </c>
      <c r="C29" s="626"/>
      <c r="D29" s="626"/>
      <c r="E29" s="626"/>
      <c r="F29" s="626"/>
      <c r="G29" s="626"/>
      <c r="H29" s="111" t="s">
        <v>546</v>
      </c>
      <c r="I29" s="568"/>
      <c r="J29" s="568"/>
      <c r="K29" s="568"/>
    </row>
    <row r="30" spans="1:11" ht="33" customHeight="1" x14ac:dyDescent="0.3">
      <c r="A30" s="107" t="s">
        <v>185</v>
      </c>
      <c r="B30" s="628" t="s">
        <v>186</v>
      </c>
      <c r="C30" s="628"/>
      <c r="D30" s="628"/>
      <c r="E30" s="628"/>
      <c r="F30" s="628"/>
      <c r="G30" s="628"/>
      <c r="H30" s="111" t="s">
        <v>546</v>
      </c>
      <c r="I30" s="568"/>
      <c r="J30" s="568"/>
      <c r="K30" s="568"/>
    </row>
    <row r="31" spans="1:11" ht="16.5" customHeight="1" x14ac:dyDescent="0.3">
      <c r="A31" s="107" t="s">
        <v>187</v>
      </c>
      <c r="B31" s="629" t="s">
        <v>582</v>
      </c>
      <c r="C31" s="629"/>
      <c r="D31" s="629"/>
      <c r="E31" s="629"/>
      <c r="F31" s="629"/>
      <c r="G31" s="629"/>
      <c r="H31" s="629"/>
      <c r="I31" s="614"/>
      <c r="J31" s="614"/>
      <c r="K31" s="614"/>
    </row>
    <row r="32" spans="1:11" ht="16.5" customHeight="1" x14ac:dyDescent="0.3">
      <c r="A32" s="107" t="s">
        <v>188</v>
      </c>
      <c r="B32" s="611" t="s">
        <v>189</v>
      </c>
      <c r="C32" s="611"/>
      <c r="D32" s="611"/>
      <c r="E32" s="611"/>
      <c r="F32" s="611"/>
      <c r="G32" s="611"/>
      <c r="H32" s="611"/>
      <c r="I32" s="568"/>
      <c r="J32" s="568"/>
      <c r="K32" s="568"/>
    </row>
    <row r="33" spans="1:11" ht="16.5" customHeight="1" x14ac:dyDescent="0.3">
      <c r="A33" s="107" t="s">
        <v>190</v>
      </c>
      <c r="B33" s="611" t="s">
        <v>191</v>
      </c>
      <c r="C33" s="611"/>
      <c r="D33" s="611"/>
      <c r="E33" s="611"/>
      <c r="F33" s="611"/>
      <c r="G33" s="611"/>
      <c r="H33" s="611"/>
      <c r="I33" s="614"/>
      <c r="J33" s="614"/>
      <c r="K33" s="614"/>
    </row>
    <row r="34" spans="1:11" ht="16.5" customHeight="1" x14ac:dyDescent="0.3">
      <c r="A34" s="109">
        <v>6</v>
      </c>
      <c r="B34" s="627" t="s">
        <v>192</v>
      </c>
      <c r="C34" s="627"/>
      <c r="D34" s="627"/>
      <c r="E34" s="627"/>
      <c r="F34" s="627"/>
      <c r="G34" s="627"/>
      <c r="H34" s="627"/>
      <c r="I34" s="627"/>
      <c r="J34" s="627"/>
      <c r="K34" s="627"/>
    </row>
    <row r="35" spans="1:11" ht="219.9" customHeight="1" x14ac:dyDescent="0.3">
      <c r="A35" s="107" t="s">
        <v>6</v>
      </c>
      <c r="B35" s="569" t="s">
        <v>301</v>
      </c>
      <c r="C35" s="569"/>
      <c r="D35" s="569"/>
      <c r="E35" s="569"/>
      <c r="F35" s="569"/>
      <c r="G35" s="569"/>
      <c r="H35" s="569"/>
      <c r="I35" s="569"/>
      <c r="J35" s="569"/>
      <c r="K35" s="569"/>
    </row>
    <row r="36" spans="1:11" ht="16.5" customHeight="1" x14ac:dyDescent="0.3">
      <c r="A36" s="109">
        <v>7</v>
      </c>
      <c r="B36" s="630" t="s">
        <v>193</v>
      </c>
      <c r="C36" s="630"/>
      <c r="D36" s="630"/>
      <c r="E36" s="630"/>
      <c r="F36" s="630"/>
      <c r="G36" s="630"/>
      <c r="H36" s="630"/>
      <c r="I36" s="630"/>
      <c r="J36" s="630"/>
      <c r="K36" s="630"/>
    </row>
    <row r="37" spans="1:11" ht="16.5" customHeight="1" x14ac:dyDescent="0.3">
      <c r="A37" s="109" t="s">
        <v>542</v>
      </c>
      <c r="B37" s="585" t="s">
        <v>24</v>
      </c>
      <c r="C37" s="620"/>
      <c r="D37" s="620"/>
      <c r="E37" s="620"/>
      <c r="F37" s="620"/>
      <c r="G37" s="620"/>
      <c r="H37" s="620"/>
      <c r="I37" s="585" t="s">
        <v>570</v>
      </c>
      <c r="J37" s="620"/>
      <c r="K37" s="620"/>
    </row>
    <row r="38" spans="1:11" ht="33" customHeight="1" x14ac:dyDescent="0.3">
      <c r="A38" s="110" t="s">
        <v>158</v>
      </c>
      <c r="B38" s="628" t="s">
        <v>194</v>
      </c>
      <c r="C38" s="628"/>
      <c r="D38" s="628"/>
      <c r="E38" s="628"/>
      <c r="F38" s="628"/>
      <c r="G38" s="628"/>
      <c r="H38" s="628"/>
      <c r="I38" s="614"/>
      <c r="J38" s="568"/>
      <c r="K38" s="568"/>
    </row>
    <row r="39" spans="1:11" ht="33" customHeight="1" x14ac:dyDescent="0.3">
      <c r="A39" s="110" t="s">
        <v>160</v>
      </c>
      <c r="B39" s="626" t="s">
        <v>195</v>
      </c>
      <c r="C39" s="626"/>
      <c r="D39" s="626"/>
      <c r="E39" s="626"/>
      <c r="F39" s="626"/>
      <c r="G39" s="626"/>
      <c r="H39" s="626"/>
      <c r="I39" s="568"/>
      <c r="J39" s="568"/>
      <c r="K39" s="568"/>
    </row>
    <row r="40" spans="1:11" ht="16.5" customHeight="1" x14ac:dyDescent="0.3">
      <c r="A40" s="107" t="s">
        <v>162</v>
      </c>
      <c r="B40" s="611" t="s">
        <v>196</v>
      </c>
      <c r="C40" s="611"/>
      <c r="D40" s="611"/>
      <c r="E40" s="611"/>
      <c r="F40" s="611"/>
      <c r="G40" s="611"/>
      <c r="H40" s="611"/>
      <c r="I40" s="568"/>
      <c r="J40" s="568"/>
      <c r="K40" s="568"/>
    </row>
    <row r="41" spans="1:11" ht="33" customHeight="1" x14ac:dyDescent="0.3">
      <c r="A41" s="107" t="s">
        <v>164</v>
      </c>
      <c r="B41" s="626" t="s">
        <v>197</v>
      </c>
      <c r="C41" s="626"/>
      <c r="D41" s="626"/>
      <c r="E41" s="626"/>
      <c r="F41" s="626"/>
      <c r="G41" s="626"/>
      <c r="H41" s="626"/>
      <c r="I41" s="568"/>
      <c r="J41" s="568"/>
      <c r="K41" s="568"/>
    </row>
    <row r="42" spans="1:11" ht="16.5" customHeight="1" x14ac:dyDescent="0.3">
      <c r="A42" s="107" t="s">
        <v>166</v>
      </c>
      <c r="B42" s="611" t="s">
        <v>198</v>
      </c>
      <c r="C42" s="611"/>
      <c r="D42" s="611"/>
      <c r="E42" s="611"/>
      <c r="F42" s="611"/>
      <c r="G42" s="611"/>
      <c r="H42" s="611"/>
      <c r="I42" s="614"/>
      <c r="J42" s="614"/>
      <c r="K42" s="614"/>
    </row>
    <row r="43" spans="1:11" ht="33" customHeight="1" x14ac:dyDescent="0.3">
      <c r="A43" s="107" t="s">
        <v>168</v>
      </c>
      <c r="B43" s="626" t="s">
        <v>199</v>
      </c>
      <c r="C43" s="626"/>
      <c r="D43" s="626"/>
      <c r="E43" s="626"/>
      <c r="F43" s="626"/>
      <c r="G43" s="626"/>
      <c r="H43" s="626"/>
      <c r="I43" s="568"/>
      <c r="J43" s="568"/>
      <c r="K43" s="568"/>
    </row>
    <row r="44" spans="1:11" ht="16.5" customHeight="1" x14ac:dyDescent="0.3">
      <c r="A44" s="107" t="s">
        <v>169</v>
      </c>
      <c r="B44" s="611" t="s">
        <v>200</v>
      </c>
      <c r="C44" s="611"/>
      <c r="D44" s="611"/>
      <c r="E44" s="611"/>
      <c r="F44" s="611"/>
      <c r="G44" s="611"/>
      <c r="H44" s="611"/>
      <c r="I44" s="614"/>
      <c r="J44" s="614"/>
      <c r="K44" s="614"/>
    </row>
    <row r="45" spans="1:11" ht="16.5" customHeight="1" x14ac:dyDescent="0.3">
      <c r="A45" s="109">
        <v>8</v>
      </c>
      <c r="B45" s="625" t="s">
        <v>201</v>
      </c>
      <c r="C45" s="625"/>
      <c r="D45" s="625"/>
      <c r="E45" s="625"/>
      <c r="F45" s="625"/>
      <c r="G45" s="625"/>
      <c r="H45" s="625"/>
      <c r="I45" s="625"/>
      <c r="J45" s="625"/>
      <c r="K45" s="625"/>
    </row>
    <row r="46" spans="1:11" ht="219.9" customHeight="1" x14ac:dyDescent="0.3">
      <c r="A46" s="107" t="s">
        <v>6</v>
      </c>
      <c r="B46" s="569" t="s">
        <v>301</v>
      </c>
      <c r="C46" s="569"/>
      <c r="D46" s="569"/>
      <c r="E46" s="569"/>
      <c r="F46" s="569"/>
      <c r="G46" s="569"/>
      <c r="H46" s="569"/>
      <c r="I46" s="569"/>
      <c r="J46" s="569"/>
      <c r="K46" s="569"/>
    </row>
    <row r="47" spans="1:11" ht="33" customHeight="1" x14ac:dyDescent="0.3">
      <c r="A47" s="107" t="s">
        <v>674</v>
      </c>
      <c r="B47" s="583" t="s">
        <v>307</v>
      </c>
      <c r="C47" s="583"/>
      <c r="D47" s="583"/>
      <c r="E47" s="583"/>
      <c r="F47" s="583"/>
      <c r="G47" s="583"/>
      <c r="H47" s="583"/>
      <c r="I47" s="583"/>
      <c r="J47" s="583"/>
      <c r="K47" s="583"/>
    </row>
    <row r="48" spans="1:11" ht="16.5" customHeight="1" x14ac:dyDescent="0.3">
      <c r="A48" s="109">
        <v>9</v>
      </c>
      <c r="B48" s="627" t="s">
        <v>202</v>
      </c>
      <c r="C48" s="627"/>
      <c r="D48" s="627"/>
      <c r="E48" s="627"/>
      <c r="F48" s="627"/>
      <c r="G48" s="627"/>
      <c r="H48" s="627"/>
      <c r="I48" s="627"/>
      <c r="J48" s="627"/>
      <c r="K48" s="627"/>
    </row>
    <row r="49" spans="1:11" ht="16.5" customHeight="1" x14ac:dyDescent="0.3">
      <c r="A49" s="624" t="s">
        <v>542</v>
      </c>
      <c r="B49" s="585" t="s">
        <v>204</v>
      </c>
      <c r="C49" s="585"/>
      <c r="D49" s="585" t="s">
        <v>205</v>
      </c>
      <c r="E49" s="585"/>
      <c r="F49" s="585" t="s">
        <v>203</v>
      </c>
      <c r="G49" s="585"/>
      <c r="H49" s="585"/>
      <c r="I49" s="585"/>
      <c r="J49" s="585"/>
      <c r="K49" s="585"/>
    </row>
    <row r="50" spans="1:11" ht="42" customHeight="1" x14ac:dyDescent="0.3">
      <c r="A50" s="624"/>
      <c r="B50" s="585"/>
      <c r="C50" s="585"/>
      <c r="D50" s="585"/>
      <c r="E50" s="585"/>
      <c r="F50" s="107" t="s">
        <v>49</v>
      </c>
      <c r="G50" s="107" t="s">
        <v>547</v>
      </c>
      <c r="H50" s="585" t="s">
        <v>206</v>
      </c>
      <c r="I50" s="585"/>
      <c r="J50" s="585" t="s">
        <v>571</v>
      </c>
      <c r="K50" s="610"/>
    </row>
    <row r="51" spans="1:11" ht="16.5" customHeight="1" x14ac:dyDescent="0.3">
      <c r="A51" s="107" t="s">
        <v>158</v>
      </c>
      <c r="B51" s="567">
        <v>0.05</v>
      </c>
      <c r="C51" s="567"/>
      <c r="D51" s="568"/>
      <c r="E51" s="568"/>
      <c r="F51" s="156"/>
      <c r="G51" s="156"/>
      <c r="H51" s="568"/>
      <c r="I51" s="568"/>
      <c r="J51" s="568"/>
      <c r="K51" s="568"/>
    </row>
    <row r="52" spans="1:11" ht="16.5" customHeight="1" x14ac:dyDescent="0.3">
      <c r="A52" s="107" t="s">
        <v>160</v>
      </c>
      <c r="B52" s="569" t="s">
        <v>207</v>
      </c>
      <c r="C52" s="569"/>
      <c r="D52" s="568"/>
      <c r="E52" s="568"/>
      <c r="F52" s="156"/>
      <c r="G52" s="156"/>
      <c r="H52" s="568"/>
      <c r="I52" s="568"/>
      <c r="J52" s="568"/>
      <c r="K52" s="568"/>
    </row>
    <row r="53" spans="1:11" ht="16.5" customHeight="1" x14ac:dyDescent="0.3">
      <c r="A53" s="185" t="s">
        <v>690</v>
      </c>
      <c r="B53" s="622">
        <v>0.06</v>
      </c>
      <c r="C53" s="623"/>
      <c r="D53" s="573"/>
      <c r="E53" s="574"/>
      <c r="F53" s="186"/>
      <c r="G53" s="186"/>
      <c r="H53" s="573"/>
      <c r="I53" s="574"/>
      <c r="J53" s="573"/>
      <c r="K53" s="574"/>
    </row>
    <row r="54" spans="1:11" ht="16.5" customHeight="1" x14ac:dyDescent="0.3">
      <c r="A54" s="107" t="s">
        <v>8</v>
      </c>
      <c r="B54" s="567">
        <v>0.12</v>
      </c>
      <c r="C54" s="567"/>
      <c r="D54" s="568"/>
      <c r="E54" s="568"/>
      <c r="F54" s="156"/>
      <c r="G54" s="156"/>
      <c r="H54" s="568"/>
      <c r="I54" s="568"/>
      <c r="J54" s="568"/>
      <c r="K54" s="568"/>
    </row>
    <row r="55" spans="1:11" ht="16.5" customHeight="1" x14ac:dyDescent="0.3">
      <c r="A55" s="107" t="s">
        <v>9</v>
      </c>
      <c r="B55" s="569" t="s">
        <v>208</v>
      </c>
      <c r="C55" s="569"/>
      <c r="D55" s="568"/>
      <c r="E55" s="568"/>
      <c r="F55" s="156"/>
      <c r="G55" s="156"/>
      <c r="H55" s="568"/>
      <c r="I55" s="568"/>
      <c r="J55" s="568"/>
      <c r="K55" s="568"/>
    </row>
    <row r="56" spans="1:11" ht="16.5" customHeight="1" x14ac:dyDescent="0.3">
      <c r="A56" s="107" t="s">
        <v>10</v>
      </c>
      <c r="B56" s="567">
        <v>0.18</v>
      </c>
      <c r="C56" s="567"/>
      <c r="D56" s="568"/>
      <c r="E56" s="568"/>
      <c r="F56" s="156"/>
      <c r="G56" s="156"/>
      <c r="H56" s="568"/>
      <c r="I56" s="568"/>
      <c r="J56" s="568"/>
      <c r="K56" s="568"/>
    </row>
    <row r="57" spans="1:11" ht="16.5" customHeight="1" x14ac:dyDescent="0.3">
      <c r="A57" s="107" t="s">
        <v>11</v>
      </c>
      <c r="B57" s="569" t="s">
        <v>209</v>
      </c>
      <c r="C57" s="569"/>
      <c r="D57" s="568"/>
      <c r="E57" s="568"/>
      <c r="F57" s="156"/>
      <c r="G57" s="156"/>
      <c r="H57" s="568"/>
      <c r="I57" s="568"/>
      <c r="J57" s="568"/>
      <c r="K57" s="568"/>
    </row>
    <row r="58" spans="1:11" ht="16.5" customHeight="1" x14ac:dyDescent="0.3">
      <c r="A58" s="107" t="s">
        <v>12</v>
      </c>
      <c r="B58" s="567">
        <v>0.28000000000000003</v>
      </c>
      <c r="C58" s="567"/>
      <c r="D58" s="568"/>
      <c r="E58" s="568"/>
      <c r="F58" s="156"/>
      <c r="G58" s="156"/>
      <c r="H58" s="568"/>
      <c r="I58" s="568"/>
      <c r="J58" s="568"/>
      <c r="K58" s="568"/>
    </row>
    <row r="59" spans="1:11" ht="16.5" customHeight="1" x14ac:dyDescent="0.3">
      <c r="A59" s="107" t="s">
        <v>14</v>
      </c>
      <c r="B59" s="637" t="s">
        <v>210</v>
      </c>
      <c r="C59" s="623"/>
      <c r="D59" s="573"/>
      <c r="E59" s="574"/>
      <c r="F59" s="156"/>
      <c r="G59" s="156"/>
      <c r="H59" s="573"/>
      <c r="I59" s="574"/>
      <c r="J59" s="573"/>
      <c r="K59" s="574"/>
    </row>
    <row r="60" spans="1:11" ht="16.5" customHeight="1" x14ac:dyDescent="0.3">
      <c r="A60" s="107" t="s">
        <v>744</v>
      </c>
      <c r="B60" s="622">
        <v>0.4</v>
      </c>
      <c r="C60" s="623"/>
      <c r="D60" s="573"/>
      <c r="E60" s="574"/>
      <c r="F60" s="156"/>
      <c r="G60" s="156"/>
      <c r="H60" s="573"/>
      <c r="I60" s="574"/>
      <c r="J60" s="573"/>
      <c r="K60" s="574"/>
    </row>
    <row r="61" spans="1:11" ht="16.5" customHeight="1" x14ac:dyDescent="0.3">
      <c r="A61" s="107" t="s">
        <v>745</v>
      </c>
      <c r="B61" s="569" t="s">
        <v>752</v>
      </c>
      <c r="C61" s="569"/>
      <c r="D61" s="568"/>
      <c r="E61" s="568"/>
      <c r="F61" s="156"/>
      <c r="G61" s="156"/>
      <c r="H61" s="568"/>
      <c r="I61" s="568"/>
      <c r="J61" s="568"/>
      <c r="K61" s="568"/>
    </row>
    <row r="62" spans="1:11" ht="16.5" customHeight="1" x14ac:dyDescent="0.3">
      <c r="A62" s="107" t="s">
        <v>16</v>
      </c>
      <c r="B62" s="567">
        <v>0.03</v>
      </c>
      <c r="C62" s="567"/>
      <c r="D62" s="568"/>
      <c r="E62" s="568"/>
      <c r="F62" s="156"/>
      <c r="G62" s="156"/>
      <c r="H62" s="568"/>
      <c r="I62" s="568"/>
      <c r="J62" s="568"/>
      <c r="K62" s="568"/>
    </row>
    <row r="63" spans="1:11" ht="16.5" customHeight="1" x14ac:dyDescent="0.3">
      <c r="A63" s="107" t="s">
        <v>17</v>
      </c>
      <c r="B63" s="581">
        <v>2.5000000000000001E-3</v>
      </c>
      <c r="C63" s="581"/>
      <c r="D63" s="568"/>
      <c r="E63" s="568"/>
      <c r="F63" s="156"/>
      <c r="G63" s="156"/>
      <c r="H63" s="568"/>
      <c r="I63" s="568"/>
      <c r="J63" s="568"/>
      <c r="K63" s="568"/>
    </row>
    <row r="64" spans="1:11" ht="16.5" customHeight="1" x14ac:dyDescent="0.3">
      <c r="A64" s="107" t="s">
        <v>18</v>
      </c>
      <c r="B64" s="581">
        <v>1E-3</v>
      </c>
      <c r="C64" s="581"/>
      <c r="D64" s="568"/>
      <c r="E64" s="568"/>
      <c r="F64" s="156"/>
      <c r="G64" s="156"/>
      <c r="H64" s="568"/>
      <c r="I64" s="568"/>
      <c r="J64" s="568"/>
      <c r="K64" s="568"/>
    </row>
    <row r="65" spans="1:11" ht="16.5" customHeight="1" x14ac:dyDescent="0.3">
      <c r="A65" s="107" t="s">
        <v>20</v>
      </c>
      <c r="B65" s="569" t="s">
        <v>211</v>
      </c>
      <c r="C65" s="569"/>
      <c r="D65" s="619"/>
      <c r="E65" s="619"/>
      <c r="F65" s="156"/>
      <c r="G65" s="156"/>
      <c r="H65" s="568"/>
      <c r="I65" s="568"/>
      <c r="J65" s="568"/>
      <c r="K65" s="568"/>
    </row>
    <row r="66" spans="1:11" ht="16.5" customHeight="1" x14ac:dyDescent="0.3">
      <c r="A66" s="107" t="s">
        <v>21</v>
      </c>
      <c r="B66" s="569" t="s">
        <v>212</v>
      </c>
      <c r="C66" s="569"/>
      <c r="D66" s="619"/>
      <c r="E66" s="619"/>
      <c r="F66" s="156"/>
      <c r="G66" s="156"/>
      <c r="H66" s="568"/>
      <c r="I66" s="568"/>
      <c r="J66" s="568"/>
      <c r="K66" s="568"/>
    </row>
    <row r="67" spans="1:11" ht="49.5" customHeight="1" x14ac:dyDescent="0.3">
      <c r="A67" s="107" t="s">
        <v>22</v>
      </c>
      <c r="B67" s="569" t="s">
        <v>213</v>
      </c>
      <c r="C67" s="569"/>
      <c r="D67" s="619"/>
      <c r="E67" s="619"/>
      <c r="F67" s="156"/>
      <c r="G67" s="156"/>
      <c r="H67" s="568"/>
      <c r="I67" s="568"/>
      <c r="J67" s="568"/>
      <c r="K67" s="568"/>
    </row>
    <row r="68" spans="1:11" ht="81.75" customHeight="1" x14ac:dyDescent="0.3">
      <c r="A68" s="107" t="s">
        <v>29</v>
      </c>
      <c r="B68" s="569" t="s">
        <v>214</v>
      </c>
      <c r="C68" s="569"/>
      <c r="D68" s="619"/>
      <c r="E68" s="619"/>
      <c r="F68" s="156"/>
      <c r="G68" s="156"/>
      <c r="H68" s="568"/>
      <c r="I68" s="568"/>
      <c r="J68" s="568"/>
      <c r="K68" s="568"/>
    </row>
    <row r="69" spans="1:11" ht="47.25" customHeight="1" x14ac:dyDescent="0.3">
      <c r="A69" s="107" t="s">
        <v>31</v>
      </c>
      <c r="B69" s="582" t="s">
        <v>215</v>
      </c>
      <c r="C69" s="582"/>
      <c r="D69" s="619"/>
      <c r="E69" s="619"/>
      <c r="F69" s="157"/>
      <c r="G69" s="157"/>
      <c r="H69" s="614"/>
      <c r="I69" s="614"/>
      <c r="J69" s="614"/>
      <c r="K69" s="614"/>
    </row>
    <row r="70" spans="1:11" ht="16.5" customHeight="1" x14ac:dyDescent="0.3">
      <c r="A70" s="107" t="s">
        <v>32</v>
      </c>
      <c r="B70" s="569" t="s">
        <v>216</v>
      </c>
      <c r="C70" s="582"/>
      <c r="D70" s="619"/>
      <c r="E70" s="619"/>
      <c r="F70" s="156"/>
      <c r="G70" s="156"/>
      <c r="H70" s="568"/>
      <c r="I70" s="568"/>
      <c r="J70" s="568"/>
      <c r="K70" s="568"/>
    </row>
    <row r="71" spans="1:11" ht="219.9" customHeight="1" x14ac:dyDescent="0.3">
      <c r="A71" s="107" t="s">
        <v>33</v>
      </c>
      <c r="B71" s="569" t="s">
        <v>217</v>
      </c>
      <c r="C71" s="569"/>
      <c r="D71" s="613"/>
      <c r="E71" s="613"/>
      <c r="F71" s="157"/>
      <c r="G71" s="157"/>
      <c r="H71" s="614"/>
      <c r="I71" s="614"/>
      <c r="J71" s="614"/>
      <c r="K71" s="614"/>
    </row>
    <row r="72" spans="1:11" ht="33" customHeight="1" x14ac:dyDescent="0.3">
      <c r="A72" s="109">
        <v>10</v>
      </c>
      <c r="B72" s="585" t="s">
        <v>218</v>
      </c>
      <c r="C72" s="620"/>
      <c r="D72" s="620"/>
      <c r="E72" s="620"/>
      <c r="F72" s="620"/>
      <c r="G72" s="620"/>
      <c r="H72" s="620"/>
      <c r="I72" s="620"/>
      <c r="J72" s="620"/>
      <c r="K72" s="620"/>
    </row>
    <row r="73" spans="1:11" ht="16.5" customHeight="1" x14ac:dyDescent="0.3">
      <c r="A73" s="107" t="s">
        <v>6</v>
      </c>
      <c r="B73" s="611" t="s">
        <v>301</v>
      </c>
      <c r="C73" s="611"/>
      <c r="D73" s="611"/>
      <c r="E73" s="569"/>
      <c r="F73" s="569"/>
      <c r="G73" s="569"/>
      <c r="H73" s="569"/>
      <c r="I73" s="569"/>
      <c r="J73" s="569"/>
      <c r="K73" s="569"/>
    </row>
    <row r="74" spans="1:11" ht="48.9" customHeight="1" x14ac:dyDescent="0.3">
      <c r="A74" s="109">
        <v>11</v>
      </c>
      <c r="B74" s="618" t="s">
        <v>219</v>
      </c>
      <c r="C74" s="618"/>
      <c r="D74" s="618"/>
      <c r="E74" s="618"/>
      <c r="F74" s="618"/>
      <c r="G74" s="618"/>
      <c r="H74" s="618"/>
      <c r="I74" s="618"/>
      <c r="J74" s="618"/>
      <c r="K74" s="618"/>
    </row>
    <row r="75" spans="1:11" ht="16.5" customHeight="1" x14ac:dyDescent="0.25">
      <c r="A75" s="114"/>
      <c r="B75" s="609"/>
      <c r="C75" s="609"/>
      <c r="D75" s="609"/>
      <c r="E75" s="609"/>
      <c r="F75" s="584" t="s">
        <v>220</v>
      </c>
      <c r="G75" s="584"/>
      <c r="H75" s="584"/>
      <c r="I75" s="584"/>
      <c r="J75" s="584"/>
      <c r="K75" s="584"/>
    </row>
    <row r="76" spans="1:11" ht="16.5" customHeight="1" x14ac:dyDescent="0.3">
      <c r="A76" s="113" t="s">
        <v>542</v>
      </c>
      <c r="B76" s="585" t="s">
        <v>204</v>
      </c>
      <c r="C76" s="585"/>
      <c r="D76" s="585" t="s">
        <v>205</v>
      </c>
      <c r="E76" s="585"/>
      <c r="F76" s="107" t="s">
        <v>49</v>
      </c>
      <c r="G76" s="107" t="s">
        <v>547</v>
      </c>
      <c r="H76" s="585" t="s">
        <v>48</v>
      </c>
      <c r="I76" s="585"/>
      <c r="J76" s="585" t="s">
        <v>572</v>
      </c>
      <c r="K76" s="610"/>
    </row>
    <row r="77" spans="1:11" ht="16.5" customHeight="1" x14ac:dyDescent="0.3">
      <c r="A77" s="113" t="s">
        <v>6</v>
      </c>
      <c r="B77" s="567">
        <v>0.05</v>
      </c>
      <c r="C77" s="567"/>
      <c r="D77" s="568"/>
      <c r="E77" s="568"/>
      <c r="F77" s="156"/>
      <c r="G77" s="156"/>
      <c r="H77" s="568"/>
      <c r="I77" s="568"/>
      <c r="J77" s="568"/>
      <c r="K77" s="568"/>
    </row>
    <row r="78" spans="1:11" ht="16.5" customHeight="1" x14ac:dyDescent="0.3">
      <c r="A78" s="187" t="s">
        <v>692</v>
      </c>
      <c r="B78" s="571">
        <v>0.06</v>
      </c>
      <c r="C78" s="572"/>
      <c r="D78" s="573"/>
      <c r="E78" s="574"/>
      <c r="F78" s="186"/>
      <c r="G78" s="186"/>
      <c r="H78" s="573"/>
      <c r="I78" s="574"/>
      <c r="J78" s="573"/>
      <c r="K78" s="574"/>
    </row>
    <row r="79" spans="1:11" ht="16.5" customHeight="1" x14ac:dyDescent="0.3">
      <c r="A79" s="113" t="s">
        <v>7</v>
      </c>
      <c r="B79" s="567">
        <v>0.12</v>
      </c>
      <c r="C79" s="567"/>
      <c r="D79" s="568"/>
      <c r="E79" s="568"/>
      <c r="F79" s="156"/>
      <c r="G79" s="156"/>
      <c r="H79" s="568"/>
      <c r="I79" s="568"/>
      <c r="J79" s="568"/>
      <c r="K79" s="568"/>
    </row>
    <row r="80" spans="1:11" ht="16.5" customHeight="1" x14ac:dyDescent="0.3">
      <c r="A80" s="113" t="s">
        <v>8</v>
      </c>
      <c r="B80" s="567">
        <v>0.18</v>
      </c>
      <c r="C80" s="567"/>
      <c r="D80" s="568"/>
      <c r="E80" s="568"/>
      <c r="F80" s="156"/>
      <c r="G80" s="156"/>
      <c r="H80" s="568"/>
      <c r="I80" s="568"/>
      <c r="J80" s="568"/>
      <c r="K80" s="568"/>
    </row>
    <row r="81" spans="1:11" ht="16.5" customHeight="1" x14ac:dyDescent="0.3">
      <c r="A81" s="113" t="s">
        <v>9</v>
      </c>
      <c r="B81" s="567">
        <v>0.28000000000000003</v>
      </c>
      <c r="C81" s="567"/>
      <c r="D81" s="568"/>
      <c r="E81" s="568"/>
      <c r="F81" s="156"/>
      <c r="G81" s="156"/>
      <c r="H81" s="568"/>
      <c r="I81" s="568"/>
      <c r="J81" s="568"/>
      <c r="K81" s="568"/>
    </row>
    <row r="82" spans="1:11" ht="16.5" customHeight="1" x14ac:dyDescent="0.3">
      <c r="A82" s="113" t="s">
        <v>724</v>
      </c>
      <c r="B82" s="567">
        <v>0.4</v>
      </c>
      <c r="C82" s="567"/>
      <c r="D82" s="568"/>
      <c r="E82" s="568"/>
      <c r="F82" s="156"/>
      <c r="G82" s="156"/>
      <c r="H82" s="568"/>
      <c r="I82" s="568"/>
      <c r="J82" s="568"/>
      <c r="K82" s="568"/>
    </row>
    <row r="83" spans="1:11" ht="16.5" customHeight="1" x14ac:dyDescent="0.3">
      <c r="A83" s="113" t="s">
        <v>10</v>
      </c>
      <c r="B83" s="567">
        <v>0.03</v>
      </c>
      <c r="C83" s="567"/>
      <c r="D83" s="568"/>
      <c r="E83" s="568"/>
      <c r="F83" s="156"/>
      <c r="G83" s="156"/>
      <c r="H83" s="568"/>
      <c r="I83" s="568"/>
      <c r="J83" s="568"/>
      <c r="K83" s="568"/>
    </row>
    <row r="84" spans="1:11" ht="16.5" customHeight="1" x14ac:dyDescent="0.3">
      <c r="A84" s="113" t="s">
        <v>11</v>
      </c>
      <c r="B84" s="581">
        <v>2.5000000000000001E-3</v>
      </c>
      <c r="C84" s="581"/>
      <c r="D84" s="568"/>
      <c r="E84" s="568"/>
      <c r="F84" s="156"/>
      <c r="G84" s="156"/>
      <c r="H84" s="568"/>
      <c r="I84" s="568"/>
      <c r="J84" s="568"/>
      <c r="K84" s="568"/>
    </row>
    <row r="85" spans="1:11" ht="16.5" customHeight="1" x14ac:dyDescent="0.3">
      <c r="A85" s="113" t="s">
        <v>12</v>
      </c>
      <c r="B85" s="581">
        <v>1E-3</v>
      </c>
      <c r="C85" s="581"/>
      <c r="D85" s="568"/>
      <c r="E85" s="568"/>
      <c r="F85" s="156"/>
      <c r="G85" s="156"/>
      <c r="H85" s="568"/>
      <c r="I85" s="568"/>
      <c r="J85" s="568"/>
      <c r="K85" s="568"/>
    </row>
    <row r="86" spans="1:11" ht="45" customHeight="1" x14ac:dyDescent="0.3">
      <c r="A86" s="113" t="s">
        <v>14</v>
      </c>
      <c r="B86" s="569" t="s">
        <v>211</v>
      </c>
      <c r="C86" s="569"/>
      <c r="D86" s="619"/>
      <c r="E86" s="619"/>
      <c r="F86" s="156"/>
      <c r="G86" s="156"/>
      <c r="H86" s="568"/>
      <c r="I86" s="568"/>
      <c r="J86" s="568"/>
      <c r="K86" s="568"/>
    </row>
    <row r="87" spans="1:11" ht="16.5" customHeight="1" x14ac:dyDescent="0.3">
      <c r="A87" s="113" t="s">
        <v>16</v>
      </c>
      <c r="B87" s="569" t="s">
        <v>212</v>
      </c>
      <c r="C87" s="569"/>
      <c r="D87" s="619"/>
      <c r="E87" s="619"/>
      <c r="F87" s="156"/>
      <c r="G87" s="156"/>
      <c r="H87" s="568"/>
      <c r="I87" s="568"/>
      <c r="J87" s="568"/>
      <c r="K87" s="568"/>
    </row>
    <row r="88" spans="1:11" ht="15" customHeight="1" x14ac:dyDescent="0.3">
      <c r="A88" s="113" t="s">
        <v>17</v>
      </c>
      <c r="B88" s="569" t="s">
        <v>213</v>
      </c>
      <c r="C88" s="569"/>
      <c r="D88" s="619"/>
      <c r="E88" s="619"/>
      <c r="F88" s="156"/>
      <c r="G88" s="156"/>
      <c r="H88" s="568"/>
      <c r="I88" s="568"/>
      <c r="J88" s="568"/>
      <c r="K88" s="568"/>
    </row>
    <row r="89" spans="1:11" ht="16.5" customHeight="1" x14ac:dyDescent="0.3">
      <c r="A89" s="113" t="s">
        <v>18</v>
      </c>
      <c r="B89" s="582" t="s">
        <v>221</v>
      </c>
      <c r="C89" s="582"/>
      <c r="D89" s="619"/>
      <c r="E89" s="619"/>
      <c r="F89" s="156"/>
      <c r="G89" s="156"/>
      <c r="H89" s="568"/>
      <c r="I89" s="568"/>
      <c r="J89" s="568"/>
      <c r="K89" s="568"/>
    </row>
    <row r="90" spans="1:11" ht="16.5" customHeight="1" x14ac:dyDescent="0.3">
      <c r="A90" s="585" t="s">
        <v>675</v>
      </c>
      <c r="B90" s="620" t="s">
        <v>309</v>
      </c>
      <c r="C90" s="620"/>
      <c r="D90" s="620"/>
      <c r="E90" s="620"/>
      <c r="F90" s="620"/>
      <c r="G90" s="620"/>
      <c r="H90" s="620"/>
      <c r="I90" s="620"/>
      <c r="J90" s="620"/>
      <c r="K90" s="620"/>
    </row>
    <row r="91" spans="1:11" ht="48.9" customHeight="1" x14ac:dyDescent="0.3">
      <c r="A91" s="585"/>
      <c r="B91" s="620"/>
      <c r="C91" s="620"/>
      <c r="D91" s="620"/>
      <c r="E91" s="620"/>
      <c r="F91" s="620"/>
      <c r="G91" s="620"/>
      <c r="H91" s="620"/>
      <c r="I91" s="620"/>
      <c r="J91" s="620"/>
      <c r="K91" s="620"/>
    </row>
    <row r="92" spans="1:11" ht="33" customHeight="1" x14ac:dyDescent="0.3">
      <c r="A92" s="109">
        <v>12</v>
      </c>
      <c r="B92" s="620" t="s">
        <v>222</v>
      </c>
      <c r="C92" s="620"/>
      <c r="D92" s="620"/>
      <c r="E92" s="620"/>
      <c r="F92" s="620"/>
      <c r="G92" s="620"/>
      <c r="H92" s="620"/>
      <c r="I92" s="620"/>
      <c r="J92" s="620"/>
      <c r="K92" s="620"/>
    </row>
    <row r="93" spans="1:11" ht="33" customHeight="1" x14ac:dyDescent="0.3">
      <c r="A93" s="109" t="s">
        <v>542</v>
      </c>
      <c r="B93" s="585" t="s">
        <v>24</v>
      </c>
      <c r="C93" s="620"/>
      <c r="D93" s="620"/>
      <c r="E93" s="620"/>
      <c r="F93" s="620"/>
      <c r="G93" s="620"/>
      <c r="H93" s="620"/>
      <c r="I93" s="585" t="s">
        <v>570</v>
      </c>
      <c r="J93" s="620"/>
      <c r="K93" s="620"/>
    </row>
    <row r="94" spans="1:11" ht="33" customHeight="1" x14ac:dyDescent="0.3">
      <c r="A94" s="110" t="s">
        <v>158</v>
      </c>
      <c r="B94" s="582" t="s">
        <v>223</v>
      </c>
      <c r="C94" s="582"/>
      <c r="D94" s="582"/>
      <c r="E94" s="582"/>
      <c r="F94" s="582"/>
      <c r="G94" s="582"/>
      <c r="H94" s="582"/>
      <c r="I94" s="568"/>
      <c r="J94" s="568"/>
      <c r="K94" s="568"/>
    </row>
    <row r="95" spans="1:11" ht="16.5" customHeight="1" x14ac:dyDescent="0.3">
      <c r="A95" s="110" t="s">
        <v>160</v>
      </c>
      <c r="B95" s="582" t="s">
        <v>224</v>
      </c>
      <c r="C95" s="582"/>
      <c r="D95" s="582"/>
      <c r="E95" s="582"/>
      <c r="F95" s="582"/>
      <c r="G95" s="582"/>
      <c r="H95" s="582"/>
      <c r="I95" s="568"/>
      <c r="J95" s="568"/>
      <c r="K95" s="568"/>
    </row>
    <row r="96" spans="1:11" ht="16.5" customHeight="1" x14ac:dyDescent="0.3">
      <c r="A96" s="110" t="s">
        <v>162</v>
      </c>
      <c r="B96" s="626" t="s">
        <v>225</v>
      </c>
      <c r="C96" s="626"/>
      <c r="D96" s="626"/>
      <c r="E96" s="626"/>
      <c r="F96" s="626"/>
      <c r="G96" s="626"/>
      <c r="H96" s="626"/>
      <c r="I96" s="568"/>
      <c r="J96" s="568"/>
      <c r="K96" s="568"/>
    </row>
    <row r="97" spans="1:11" ht="16.5" customHeight="1" x14ac:dyDescent="0.3">
      <c r="A97" s="110" t="s">
        <v>164</v>
      </c>
      <c r="B97" s="582" t="s">
        <v>226</v>
      </c>
      <c r="C97" s="582"/>
      <c r="D97" s="582"/>
      <c r="E97" s="582"/>
      <c r="F97" s="582"/>
      <c r="G97" s="582"/>
      <c r="H97" s="582"/>
      <c r="I97" s="614"/>
      <c r="J97" s="614"/>
      <c r="K97" s="614"/>
    </row>
    <row r="98" spans="1:11" ht="219.9" customHeight="1" x14ac:dyDescent="0.3">
      <c r="A98" s="107" t="s">
        <v>166</v>
      </c>
      <c r="B98" s="569" t="s">
        <v>227</v>
      </c>
      <c r="C98" s="569"/>
      <c r="D98" s="569"/>
      <c r="E98" s="569"/>
      <c r="F98" s="569"/>
      <c r="G98" s="569"/>
      <c r="H98" s="569"/>
      <c r="I98" s="568"/>
      <c r="J98" s="568"/>
      <c r="K98" s="568"/>
    </row>
    <row r="99" spans="1:11" ht="43.5" customHeight="1" x14ac:dyDescent="0.3">
      <c r="A99" s="107" t="s">
        <v>168</v>
      </c>
      <c r="B99" s="569" t="s">
        <v>228</v>
      </c>
      <c r="C99" s="569"/>
      <c r="D99" s="569"/>
      <c r="E99" s="569"/>
      <c r="F99" s="569"/>
      <c r="G99" s="569"/>
      <c r="H99" s="569"/>
      <c r="I99" s="614"/>
      <c r="J99" s="614"/>
      <c r="K99" s="614"/>
    </row>
    <row r="100" spans="1:11" ht="39.6" customHeight="1" x14ac:dyDescent="0.3">
      <c r="A100" s="109">
        <v>13</v>
      </c>
      <c r="B100" s="620" t="s">
        <v>229</v>
      </c>
      <c r="C100" s="620"/>
      <c r="D100" s="620"/>
      <c r="E100" s="620"/>
      <c r="F100" s="620"/>
      <c r="G100" s="620"/>
      <c r="H100" s="620"/>
      <c r="I100" s="620"/>
      <c r="J100" s="620"/>
      <c r="K100" s="620"/>
    </row>
    <row r="101" spans="1:11" ht="16.5" customHeight="1" x14ac:dyDescent="0.3">
      <c r="A101" s="107" t="s">
        <v>6</v>
      </c>
      <c r="B101" s="569" t="s">
        <v>301</v>
      </c>
      <c r="C101" s="569"/>
      <c r="D101" s="569"/>
      <c r="E101" s="569"/>
      <c r="F101" s="569"/>
      <c r="G101" s="569"/>
      <c r="H101" s="569"/>
      <c r="I101" s="569"/>
      <c r="J101" s="569"/>
      <c r="K101" s="569"/>
    </row>
    <row r="102" spans="1:11" ht="16.5" customHeight="1" x14ac:dyDescent="0.3">
      <c r="A102" s="109">
        <v>14</v>
      </c>
      <c r="B102" s="618" t="s">
        <v>230</v>
      </c>
      <c r="C102" s="618"/>
      <c r="D102" s="618"/>
      <c r="E102" s="618"/>
      <c r="F102" s="618"/>
      <c r="G102" s="618"/>
      <c r="H102" s="618"/>
      <c r="I102" s="618"/>
      <c r="J102" s="618"/>
      <c r="K102" s="618"/>
    </row>
    <row r="103" spans="1:11" ht="16.5" customHeight="1" x14ac:dyDescent="0.3">
      <c r="A103" s="115" t="s">
        <v>542</v>
      </c>
      <c r="B103" s="585" t="s">
        <v>204</v>
      </c>
      <c r="C103" s="585"/>
      <c r="D103" s="585"/>
      <c r="E103" s="585" t="s">
        <v>231</v>
      </c>
      <c r="F103" s="585"/>
      <c r="G103" s="616" t="s">
        <v>232</v>
      </c>
      <c r="H103" s="616"/>
      <c r="I103" s="617" t="s">
        <v>233</v>
      </c>
      <c r="J103" s="617"/>
      <c r="K103" s="617"/>
    </row>
    <row r="104" spans="1:11" ht="50.25" customHeight="1" x14ac:dyDescent="0.3">
      <c r="A104" s="107" t="s">
        <v>6</v>
      </c>
      <c r="B104" s="611" t="s">
        <v>247</v>
      </c>
      <c r="C104" s="611"/>
      <c r="D104" s="611"/>
      <c r="E104" s="568"/>
      <c r="F104" s="568"/>
      <c r="G104" s="568"/>
      <c r="H104" s="568"/>
      <c r="I104" s="568"/>
      <c r="J104" s="568"/>
      <c r="K104" s="568"/>
    </row>
    <row r="105" spans="1:11" ht="16.5" customHeight="1" x14ac:dyDescent="0.3">
      <c r="A105" s="107" t="s">
        <v>7</v>
      </c>
      <c r="B105" s="611" t="s">
        <v>56</v>
      </c>
      <c r="C105" s="611"/>
      <c r="D105" s="611"/>
      <c r="E105" s="568"/>
      <c r="F105" s="568"/>
      <c r="G105" s="568"/>
      <c r="H105" s="568"/>
      <c r="I105" s="568"/>
      <c r="J105" s="568"/>
      <c r="K105" s="568"/>
    </row>
    <row r="106" spans="1:11" ht="73.5" customHeight="1" x14ac:dyDescent="0.3">
      <c r="A106" s="107" t="s">
        <v>8</v>
      </c>
      <c r="B106" s="611" t="s">
        <v>146</v>
      </c>
      <c r="C106" s="611"/>
      <c r="D106" s="611"/>
      <c r="E106" s="568"/>
      <c r="F106" s="568"/>
      <c r="G106" s="568"/>
      <c r="H106" s="568"/>
      <c r="I106" s="568"/>
      <c r="J106" s="568"/>
      <c r="K106" s="568"/>
    </row>
    <row r="107" spans="1:11" ht="16.5" customHeight="1" x14ac:dyDescent="0.3">
      <c r="A107" s="107" t="s">
        <v>9</v>
      </c>
      <c r="B107" s="615" t="s">
        <v>147</v>
      </c>
      <c r="C107" s="615"/>
      <c r="D107" s="615"/>
      <c r="E107" s="568"/>
      <c r="F107" s="568"/>
      <c r="G107" s="568"/>
      <c r="H107" s="568"/>
      <c r="I107" s="568"/>
      <c r="J107" s="568"/>
      <c r="K107" s="568"/>
    </row>
    <row r="108" spans="1:11" ht="55.5" customHeight="1" x14ac:dyDescent="0.3">
      <c r="A108" s="107" t="s">
        <v>10</v>
      </c>
      <c r="B108" s="611" t="s">
        <v>35</v>
      </c>
      <c r="C108" s="611"/>
      <c r="D108" s="611"/>
      <c r="E108" s="568"/>
      <c r="F108" s="568"/>
      <c r="G108" s="568"/>
      <c r="H108" s="568"/>
      <c r="I108" s="568"/>
      <c r="J108" s="568"/>
      <c r="K108" s="568"/>
    </row>
    <row r="109" spans="1:11" ht="16.5" customHeight="1" x14ac:dyDescent="0.3">
      <c r="A109" s="110" t="s">
        <v>11</v>
      </c>
      <c r="B109" s="615" t="s">
        <v>36</v>
      </c>
      <c r="C109" s="615"/>
      <c r="D109" s="615"/>
      <c r="E109" s="568"/>
      <c r="F109" s="568"/>
      <c r="G109" s="568"/>
      <c r="H109" s="568"/>
      <c r="I109" s="568"/>
      <c r="J109" s="568"/>
      <c r="K109" s="568"/>
    </row>
    <row r="110" spans="1:11" ht="16.5" customHeight="1" x14ac:dyDescent="0.3">
      <c r="A110" s="107" t="s">
        <v>12</v>
      </c>
      <c r="B110" s="611" t="s">
        <v>37</v>
      </c>
      <c r="C110" s="611"/>
      <c r="D110" s="611"/>
      <c r="E110" s="568"/>
      <c r="F110" s="568"/>
      <c r="G110" s="568"/>
      <c r="H110" s="568"/>
      <c r="I110" s="568"/>
      <c r="J110" s="568"/>
      <c r="K110" s="568"/>
    </row>
    <row r="111" spans="1:11" ht="16.5" customHeight="1" x14ac:dyDescent="0.3">
      <c r="A111" s="107" t="s">
        <v>14</v>
      </c>
      <c r="B111" s="615" t="s">
        <v>311</v>
      </c>
      <c r="C111" s="615"/>
      <c r="D111" s="615"/>
      <c r="E111" s="568"/>
      <c r="F111" s="568"/>
      <c r="G111" s="568"/>
      <c r="H111" s="568"/>
      <c r="I111" s="568"/>
      <c r="J111" s="568"/>
      <c r="K111" s="568"/>
    </row>
    <row r="112" spans="1:11" ht="42" customHeight="1" x14ac:dyDescent="0.3">
      <c r="A112" s="107" t="s">
        <v>16</v>
      </c>
      <c r="B112" s="611" t="s">
        <v>38</v>
      </c>
      <c r="C112" s="611"/>
      <c r="D112" s="611"/>
      <c r="E112" s="568"/>
      <c r="F112" s="568"/>
      <c r="G112" s="568"/>
      <c r="H112" s="568"/>
      <c r="I112" s="568"/>
      <c r="J112" s="568"/>
      <c r="K112" s="568"/>
    </row>
    <row r="113" spans="1:11" ht="33" customHeight="1" x14ac:dyDescent="0.3">
      <c r="A113" s="107" t="s">
        <v>17</v>
      </c>
      <c r="B113" s="611" t="s">
        <v>39</v>
      </c>
      <c r="C113" s="611"/>
      <c r="D113" s="611"/>
      <c r="E113" s="568"/>
      <c r="F113" s="568"/>
      <c r="G113" s="568"/>
      <c r="H113" s="568"/>
      <c r="I113" s="568"/>
      <c r="J113" s="568"/>
      <c r="K113" s="568"/>
    </row>
    <row r="114" spans="1:11" ht="33" customHeight="1" x14ac:dyDescent="0.3">
      <c r="A114" s="107" t="s">
        <v>18</v>
      </c>
      <c r="B114" s="611" t="s">
        <v>40</v>
      </c>
      <c r="C114" s="611"/>
      <c r="D114" s="611"/>
      <c r="E114" s="568"/>
      <c r="F114" s="568"/>
      <c r="G114" s="568"/>
      <c r="H114" s="568"/>
      <c r="I114" s="568"/>
      <c r="J114" s="568"/>
      <c r="K114" s="568"/>
    </row>
    <row r="115" spans="1:11" ht="16.5" customHeight="1" x14ac:dyDescent="0.3">
      <c r="A115" s="107" t="s">
        <v>20</v>
      </c>
      <c r="B115" s="615" t="s">
        <v>41</v>
      </c>
      <c r="C115" s="615"/>
      <c r="D115" s="615"/>
      <c r="E115" s="568"/>
      <c r="F115" s="568"/>
      <c r="G115" s="568"/>
      <c r="H115" s="568"/>
      <c r="I115" s="568"/>
      <c r="J115" s="568"/>
      <c r="K115" s="568"/>
    </row>
    <row r="116" spans="1:11" ht="16.5" customHeight="1" x14ac:dyDescent="0.3">
      <c r="A116" s="107" t="s">
        <v>21</v>
      </c>
      <c r="B116" s="615" t="s">
        <v>42</v>
      </c>
      <c r="C116" s="615"/>
      <c r="D116" s="615"/>
      <c r="E116" s="568"/>
      <c r="F116" s="568"/>
      <c r="G116" s="568"/>
      <c r="H116" s="568"/>
      <c r="I116" s="568"/>
      <c r="J116" s="568"/>
      <c r="K116" s="568"/>
    </row>
    <row r="117" spans="1:11" ht="16.5" customHeight="1" x14ac:dyDescent="0.3">
      <c r="A117" s="107" t="s">
        <v>22</v>
      </c>
      <c r="B117" s="615" t="s">
        <v>248</v>
      </c>
      <c r="C117" s="615"/>
      <c r="D117" s="615"/>
      <c r="E117" s="568"/>
      <c r="F117" s="568"/>
      <c r="G117" s="568"/>
      <c r="H117" s="568"/>
      <c r="I117" s="568"/>
      <c r="J117" s="568"/>
      <c r="K117" s="568"/>
    </row>
    <row r="118" spans="1:11" ht="33.75" customHeight="1" x14ac:dyDescent="0.3">
      <c r="A118" s="107" t="s">
        <v>29</v>
      </c>
      <c r="B118" s="611" t="s">
        <v>43</v>
      </c>
      <c r="C118" s="611"/>
      <c r="D118" s="611"/>
      <c r="E118" s="568"/>
      <c r="F118" s="568"/>
      <c r="G118" s="568"/>
      <c r="H118" s="568"/>
      <c r="I118" s="568"/>
      <c r="J118" s="568"/>
      <c r="K118" s="568"/>
    </row>
    <row r="119" spans="1:11" ht="32.25" customHeight="1" x14ac:dyDescent="0.3">
      <c r="A119" s="107" t="s">
        <v>31</v>
      </c>
      <c r="B119" s="611" t="s">
        <v>44</v>
      </c>
      <c r="C119" s="611"/>
      <c r="D119" s="611"/>
      <c r="E119" s="568"/>
      <c r="F119" s="568"/>
      <c r="G119" s="568"/>
      <c r="H119" s="568"/>
      <c r="I119" s="568"/>
      <c r="J119" s="568"/>
      <c r="K119" s="568"/>
    </row>
    <row r="120" spans="1:11" ht="15.75" customHeight="1" x14ac:dyDescent="0.3">
      <c r="A120" s="107" t="s">
        <v>32</v>
      </c>
      <c r="B120" s="611" t="s">
        <v>45</v>
      </c>
      <c r="C120" s="611"/>
      <c r="D120" s="611"/>
      <c r="E120" s="568"/>
      <c r="F120" s="568"/>
      <c r="G120" s="568"/>
      <c r="H120" s="568"/>
      <c r="I120" s="568"/>
      <c r="J120" s="568"/>
      <c r="K120" s="568"/>
    </row>
    <row r="121" spans="1:11" ht="16.5" customHeight="1" x14ac:dyDescent="0.3">
      <c r="A121" s="107" t="s">
        <v>190</v>
      </c>
      <c r="B121" s="611" t="s">
        <v>573</v>
      </c>
      <c r="C121" s="611"/>
      <c r="D121" s="611"/>
      <c r="E121" s="613"/>
      <c r="F121" s="613"/>
      <c r="G121" s="613"/>
      <c r="H121" s="613"/>
      <c r="I121" s="614"/>
      <c r="J121" s="614"/>
      <c r="K121" s="614"/>
    </row>
    <row r="122" spans="1:11" ht="219.9" customHeight="1" x14ac:dyDescent="0.3">
      <c r="A122" s="107" t="s">
        <v>234</v>
      </c>
      <c r="B122" s="611" t="s">
        <v>574</v>
      </c>
      <c r="C122" s="611"/>
      <c r="D122" s="611"/>
      <c r="E122" s="613"/>
      <c r="F122" s="613"/>
      <c r="G122" s="613"/>
      <c r="H122" s="613"/>
      <c r="I122" s="568"/>
      <c r="J122" s="568"/>
      <c r="K122" s="568"/>
    </row>
    <row r="123" spans="1:11" ht="33" customHeight="1" x14ac:dyDescent="0.3">
      <c r="A123" s="107" t="s">
        <v>235</v>
      </c>
      <c r="B123" s="611" t="s">
        <v>575</v>
      </c>
      <c r="C123" s="611"/>
      <c r="D123" s="611"/>
      <c r="E123" s="613"/>
      <c r="F123" s="613"/>
      <c r="G123" s="613"/>
      <c r="H123" s="613"/>
      <c r="I123" s="614"/>
      <c r="J123" s="614"/>
      <c r="K123" s="614"/>
    </row>
    <row r="124" spans="1:11" ht="16.5" customHeight="1" x14ac:dyDescent="0.3">
      <c r="A124" s="109">
        <v>15</v>
      </c>
      <c r="B124" s="612" t="s">
        <v>236</v>
      </c>
      <c r="C124" s="612"/>
      <c r="D124" s="612"/>
      <c r="E124" s="612"/>
      <c r="F124" s="612"/>
      <c r="G124" s="612"/>
      <c r="H124" s="612"/>
      <c r="I124" s="612"/>
      <c r="J124" s="612"/>
      <c r="K124" s="612"/>
    </row>
    <row r="125" spans="1:11" ht="16.5" customHeight="1" x14ac:dyDescent="0.3">
      <c r="A125" s="107" t="s">
        <v>6</v>
      </c>
      <c r="B125" s="569" t="s">
        <v>279</v>
      </c>
      <c r="C125" s="569"/>
      <c r="D125" s="569"/>
      <c r="E125" s="569"/>
      <c r="F125" s="569"/>
      <c r="G125" s="569"/>
      <c r="H125" s="569"/>
      <c r="I125" s="569"/>
      <c r="J125" s="569"/>
      <c r="K125" s="569"/>
    </row>
    <row r="126" spans="1:11" ht="33" customHeight="1" x14ac:dyDescent="0.3">
      <c r="A126" s="108">
        <v>16</v>
      </c>
      <c r="B126" s="610" t="s">
        <v>237</v>
      </c>
      <c r="C126" s="610"/>
      <c r="D126" s="610"/>
      <c r="E126" s="610"/>
      <c r="F126" s="610"/>
      <c r="G126" s="610"/>
      <c r="H126" s="610"/>
      <c r="I126" s="610"/>
      <c r="J126" s="610"/>
      <c r="K126" s="610"/>
    </row>
    <row r="127" spans="1:11" ht="33" customHeight="1" x14ac:dyDescent="0.3">
      <c r="A127" s="113" t="s">
        <v>542</v>
      </c>
      <c r="B127" s="585" t="s">
        <v>204</v>
      </c>
      <c r="C127" s="585"/>
      <c r="D127" s="585" t="s">
        <v>238</v>
      </c>
      <c r="E127" s="585"/>
      <c r="F127" s="585"/>
      <c r="G127" s="585"/>
      <c r="H127" s="585"/>
      <c r="I127" s="585"/>
      <c r="J127" s="585"/>
      <c r="K127" s="585"/>
    </row>
    <row r="128" spans="1:11" ht="16.5" customHeight="1" x14ac:dyDescent="0.3">
      <c r="A128" s="113" t="s">
        <v>6</v>
      </c>
      <c r="B128" s="569" t="s">
        <v>239</v>
      </c>
      <c r="C128" s="569"/>
      <c r="D128" s="568"/>
      <c r="E128" s="568"/>
      <c r="F128" s="568"/>
      <c r="G128" s="568"/>
      <c r="H128" s="568"/>
      <c r="I128" s="568"/>
      <c r="J128" s="568"/>
      <c r="K128" s="568"/>
    </row>
    <row r="129" spans="1:11" ht="16.5" customHeight="1" x14ac:dyDescent="0.3">
      <c r="A129" s="113" t="s">
        <v>7</v>
      </c>
      <c r="B129" s="582" t="s">
        <v>240</v>
      </c>
      <c r="C129" s="582"/>
      <c r="D129" s="568"/>
      <c r="E129" s="568"/>
      <c r="F129" s="568"/>
      <c r="G129" s="568"/>
      <c r="H129" s="568"/>
      <c r="I129" s="568"/>
      <c r="J129" s="568"/>
      <c r="K129" s="568"/>
    </row>
    <row r="130" spans="1:11" ht="16.5" customHeight="1" x14ac:dyDescent="0.3">
      <c r="A130" s="113" t="s">
        <v>8</v>
      </c>
      <c r="B130" s="582" t="s">
        <v>241</v>
      </c>
      <c r="C130" s="582"/>
      <c r="D130" s="568"/>
      <c r="E130" s="568"/>
      <c r="F130" s="568"/>
      <c r="G130" s="568"/>
      <c r="H130" s="568"/>
      <c r="I130" s="568"/>
      <c r="J130" s="568"/>
      <c r="K130" s="568"/>
    </row>
    <row r="131" spans="1:11" ht="32.4" customHeight="1" x14ac:dyDescent="0.3">
      <c r="A131" s="113" t="s">
        <v>9</v>
      </c>
      <c r="B131" s="569" t="s">
        <v>242</v>
      </c>
      <c r="C131" s="569"/>
      <c r="D131" s="568"/>
      <c r="E131" s="568"/>
      <c r="F131" s="568"/>
      <c r="G131" s="568"/>
      <c r="H131" s="568"/>
      <c r="I131" s="568"/>
      <c r="J131" s="568"/>
      <c r="K131" s="568"/>
    </row>
    <row r="132" spans="1:11" ht="16.5" customHeight="1" x14ac:dyDescent="0.3">
      <c r="A132" s="113" t="s">
        <v>10</v>
      </c>
      <c r="B132" s="569" t="s">
        <v>211</v>
      </c>
      <c r="C132" s="569"/>
      <c r="D132" s="568"/>
      <c r="E132" s="568"/>
      <c r="F132" s="568"/>
      <c r="G132" s="568"/>
      <c r="H132" s="568"/>
      <c r="I132" s="568"/>
      <c r="J132" s="568"/>
      <c r="K132" s="568"/>
    </row>
    <row r="133" spans="1:11" ht="48.9" customHeight="1" x14ac:dyDescent="0.3">
      <c r="A133" s="113" t="s">
        <v>11</v>
      </c>
      <c r="B133" s="569" t="s">
        <v>213</v>
      </c>
      <c r="C133" s="569"/>
      <c r="D133" s="568"/>
      <c r="E133" s="568"/>
      <c r="F133" s="568"/>
      <c r="G133" s="568"/>
      <c r="H133" s="568"/>
      <c r="I133" s="568"/>
      <c r="J133" s="568"/>
      <c r="K133" s="568"/>
    </row>
    <row r="134" spans="1:11" ht="16.5" customHeight="1" x14ac:dyDescent="0.3">
      <c r="A134" s="107" t="s">
        <v>676</v>
      </c>
      <c r="B134" s="583" t="s">
        <v>302</v>
      </c>
      <c r="C134" s="583"/>
      <c r="D134" s="583"/>
      <c r="E134" s="583"/>
      <c r="F134" s="583"/>
      <c r="G134" s="583"/>
      <c r="H134" s="583"/>
      <c r="I134" s="583"/>
      <c r="J134" s="583"/>
      <c r="K134" s="583"/>
    </row>
    <row r="135" spans="1:11" ht="16.5" customHeight="1" x14ac:dyDescent="0.25">
      <c r="A135" s="114"/>
      <c r="B135" s="609"/>
      <c r="C135" s="609"/>
      <c r="D135" s="609"/>
      <c r="E135" s="609"/>
      <c r="F135" s="584" t="s">
        <v>220</v>
      </c>
      <c r="G135" s="584"/>
      <c r="H135" s="584"/>
      <c r="I135" s="584"/>
      <c r="J135" s="584"/>
      <c r="K135" s="584"/>
    </row>
    <row r="136" spans="1:11" ht="16.5" customHeight="1" x14ac:dyDescent="0.3">
      <c r="A136" s="113" t="s">
        <v>542</v>
      </c>
      <c r="B136" s="585" t="s">
        <v>204</v>
      </c>
      <c r="C136" s="585"/>
      <c r="D136" s="585" t="s">
        <v>231</v>
      </c>
      <c r="E136" s="585"/>
      <c r="F136" s="107" t="s">
        <v>49</v>
      </c>
      <c r="G136" s="107" t="s">
        <v>547</v>
      </c>
      <c r="H136" s="585" t="s">
        <v>48</v>
      </c>
      <c r="I136" s="585"/>
      <c r="J136" s="585" t="s">
        <v>308</v>
      </c>
      <c r="K136" s="610"/>
    </row>
    <row r="137" spans="1:11" ht="16.5" customHeight="1" x14ac:dyDescent="0.3">
      <c r="A137" s="113" t="s">
        <v>6</v>
      </c>
      <c r="B137" s="567">
        <v>0.05</v>
      </c>
      <c r="C137" s="567"/>
      <c r="D137" s="568"/>
      <c r="E137" s="568"/>
      <c r="F137" s="156"/>
      <c r="G137" s="156"/>
      <c r="H137" s="568"/>
      <c r="I137" s="568"/>
      <c r="J137" s="568"/>
      <c r="K137" s="568"/>
    </row>
    <row r="138" spans="1:11" ht="16.5" customHeight="1" x14ac:dyDescent="0.3">
      <c r="A138" s="187" t="s">
        <v>692</v>
      </c>
      <c r="B138" s="571">
        <v>0.06</v>
      </c>
      <c r="C138" s="572"/>
      <c r="D138" s="573"/>
      <c r="E138" s="574"/>
      <c r="F138" s="186"/>
      <c r="G138" s="186"/>
      <c r="H138" s="573"/>
      <c r="I138" s="574"/>
      <c r="J138" s="573"/>
      <c r="K138" s="574"/>
    </row>
    <row r="139" spans="1:11" ht="16.5" customHeight="1" x14ac:dyDescent="0.3">
      <c r="A139" s="113" t="s">
        <v>7</v>
      </c>
      <c r="B139" s="567">
        <v>0.12</v>
      </c>
      <c r="C139" s="567"/>
      <c r="D139" s="568"/>
      <c r="E139" s="568"/>
      <c r="F139" s="156"/>
      <c r="G139" s="156"/>
      <c r="H139" s="568"/>
      <c r="I139" s="568"/>
      <c r="J139" s="568"/>
      <c r="K139" s="568"/>
    </row>
    <row r="140" spans="1:11" ht="16.5" customHeight="1" x14ac:dyDescent="0.3">
      <c r="A140" s="113" t="s">
        <v>8</v>
      </c>
      <c r="B140" s="567">
        <v>0.18</v>
      </c>
      <c r="C140" s="567"/>
      <c r="D140" s="568"/>
      <c r="E140" s="568"/>
      <c r="F140" s="156"/>
      <c r="G140" s="156"/>
      <c r="H140" s="568"/>
      <c r="I140" s="568"/>
      <c r="J140" s="568"/>
      <c r="K140" s="568"/>
    </row>
    <row r="141" spans="1:11" ht="16.5" customHeight="1" x14ac:dyDescent="0.3">
      <c r="A141" s="113" t="s">
        <v>9</v>
      </c>
      <c r="B141" s="567">
        <v>0.28000000000000003</v>
      </c>
      <c r="C141" s="567"/>
      <c r="D141" s="568"/>
      <c r="E141" s="568"/>
      <c r="F141" s="156"/>
      <c r="G141" s="156"/>
      <c r="H141" s="568"/>
      <c r="I141" s="568"/>
      <c r="J141" s="568"/>
      <c r="K141" s="568"/>
    </row>
    <row r="142" spans="1:11" ht="33" customHeight="1" x14ac:dyDescent="0.3">
      <c r="A142" s="113" t="s">
        <v>724</v>
      </c>
      <c r="B142" s="567">
        <v>0.4</v>
      </c>
      <c r="C142" s="567"/>
      <c r="D142" s="568"/>
      <c r="E142" s="568"/>
      <c r="F142" s="156"/>
      <c r="G142" s="156"/>
      <c r="H142" s="568"/>
      <c r="I142" s="568"/>
      <c r="J142" s="568"/>
      <c r="K142" s="568"/>
    </row>
    <row r="143" spans="1:11" ht="16.5" customHeight="1" x14ac:dyDescent="0.3">
      <c r="A143" s="113" t="s">
        <v>10</v>
      </c>
      <c r="B143" s="567">
        <v>0.03</v>
      </c>
      <c r="C143" s="567"/>
      <c r="D143" s="568"/>
      <c r="E143" s="568"/>
      <c r="F143" s="156"/>
      <c r="G143" s="156"/>
      <c r="H143" s="568"/>
      <c r="I143" s="568"/>
      <c r="J143" s="568"/>
      <c r="K143" s="568"/>
    </row>
    <row r="144" spans="1:11" ht="16.5" customHeight="1" x14ac:dyDescent="0.3">
      <c r="A144" s="113" t="s">
        <v>11</v>
      </c>
      <c r="B144" s="581">
        <v>2.5000000000000001E-3</v>
      </c>
      <c r="C144" s="581"/>
      <c r="D144" s="568"/>
      <c r="E144" s="568"/>
      <c r="F144" s="156"/>
      <c r="G144" s="156"/>
      <c r="H144" s="568"/>
      <c r="I144" s="568"/>
      <c r="J144" s="568"/>
      <c r="K144" s="568"/>
    </row>
    <row r="145" spans="1:12" ht="16.5" customHeight="1" x14ac:dyDescent="0.3">
      <c r="A145" s="113" t="s">
        <v>12</v>
      </c>
      <c r="B145" s="581">
        <v>1E-3</v>
      </c>
      <c r="C145" s="581"/>
      <c r="D145" s="568"/>
      <c r="E145" s="568"/>
      <c r="F145" s="156"/>
      <c r="G145" s="156"/>
      <c r="H145" s="568"/>
      <c r="I145" s="568"/>
      <c r="J145" s="568"/>
      <c r="K145" s="568"/>
    </row>
    <row r="146" spans="1:12" ht="110.25" customHeight="1" x14ac:dyDescent="0.3">
      <c r="A146" s="113" t="s">
        <v>14</v>
      </c>
      <c r="B146" s="582" t="s">
        <v>243</v>
      </c>
      <c r="C146" s="582"/>
      <c r="D146" s="568"/>
      <c r="E146" s="568"/>
      <c r="F146" s="156"/>
      <c r="G146" s="156"/>
      <c r="H146" s="568"/>
      <c r="I146" s="568"/>
      <c r="J146" s="568"/>
      <c r="K146" s="568"/>
    </row>
    <row r="147" spans="1:12" ht="55.5" customHeight="1" x14ac:dyDescent="0.3">
      <c r="A147" s="113" t="s">
        <v>16</v>
      </c>
      <c r="B147" s="569" t="s">
        <v>211</v>
      </c>
      <c r="C147" s="569"/>
      <c r="D147" s="568"/>
      <c r="E147" s="568"/>
      <c r="F147" s="156"/>
      <c r="G147" s="156"/>
      <c r="H147" s="568"/>
      <c r="I147" s="568"/>
      <c r="J147" s="568"/>
      <c r="K147" s="568"/>
    </row>
    <row r="148" spans="1:12" ht="48" customHeight="1" x14ac:dyDescent="0.3">
      <c r="A148" s="113" t="s">
        <v>17</v>
      </c>
      <c r="B148" s="569" t="s">
        <v>212</v>
      </c>
      <c r="C148" s="569"/>
      <c r="D148" s="568"/>
      <c r="E148" s="568"/>
      <c r="F148" s="156"/>
      <c r="G148" s="156"/>
      <c r="H148" s="568"/>
      <c r="I148" s="568"/>
      <c r="J148" s="568"/>
      <c r="K148" s="568"/>
    </row>
    <row r="149" spans="1:12" ht="33" customHeight="1" x14ac:dyDescent="0.3">
      <c r="A149" s="113" t="s">
        <v>18</v>
      </c>
      <c r="B149" s="569" t="s">
        <v>213</v>
      </c>
      <c r="C149" s="569"/>
      <c r="D149" s="568"/>
      <c r="E149" s="568"/>
      <c r="F149" s="156"/>
      <c r="G149" s="156"/>
      <c r="H149" s="568"/>
      <c r="I149" s="568"/>
      <c r="J149" s="568"/>
      <c r="K149" s="568"/>
    </row>
    <row r="150" spans="1:12" ht="17.25" customHeight="1" x14ac:dyDescent="0.3">
      <c r="A150" s="113" t="s">
        <v>20</v>
      </c>
      <c r="B150" s="569" t="s">
        <v>310</v>
      </c>
      <c r="C150" s="582"/>
      <c r="D150" s="568"/>
      <c r="E150" s="568"/>
      <c r="F150" s="156"/>
      <c r="G150" s="156"/>
      <c r="H150" s="568"/>
      <c r="I150" s="568"/>
      <c r="J150" s="568"/>
      <c r="K150" s="568"/>
    </row>
    <row r="151" spans="1:12" ht="17.25" customHeight="1" x14ac:dyDescent="0.3">
      <c r="A151" s="113" t="s">
        <v>21</v>
      </c>
      <c r="B151" s="582" t="s">
        <v>244</v>
      </c>
      <c r="C151" s="582"/>
      <c r="D151" s="568"/>
      <c r="E151" s="568"/>
      <c r="F151" s="156"/>
      <c r="G151" s="156"/>
      <c r="H151" s="568"/>
      <c r="I151" s="568"/>
      <c r="J151" s="568"/>
      <c r="K151" s="568"/>
      <c r="L151" s="63"/>
    </row>
    <row r="152" spans="1:12" ht="17.25" customHeight="1" x14ac:dyDescent="0.3">
      <c r="A152" s="113" t="s">
        <v>22</v>
      </c>
      <c r="B152" s="582" t="s">
        <v>245</v>
      </c>
      <c r="C152" s="582"/>
      <c r="D152" s="568"/>
      <c r="E152" s="568"/>
      <c r="F152" s="156"/>
      <c r="G152" s="156"/>
      <c r="H152" s="568"/>
      <c r="I152" s="568"/>
      <c r="J152" s="568"/>
      <c r="K152" s="568"/>
      <c r="L152" s="63"/>
    </row>
    <row r="153" spans="1:12" ht="17.25" customHeight="1" x14ac:dyDescent="0.3">
      <c r="A153" s="113" t="s">
        <v>29</v>
      </c>
      <c r="B153" s="582" t="s">
        <v>246</v>
      </c>
      <c r="C153" s="582"/>
      <c r="D153" s="568"/>
      <c r="E153" s="568"/>
      <c r="F153" s="156"/>
      <c r="G153" s="156"/>
      <c r="H153" s="568"/>
      <c r="I153" s="568"/>
      <c r="J153" s="568"/>
      <c r="K153" s="568"/>
      <c r="L153" s="63"/>
    </row>
    <row r="154" spans="1:12" ht="15.6" x14ac:dyDescent="0.3">
      <c r="A154" s="59"/>
    </row>
    <row r="155" spans="1:12" x14ac:dyDescent="0.3">
      <c r="A155" s="608" t="s">
        <v>300</v>
      </c>
      <c r="B155" s="608"/>
      <c r="C155" s="608"/>
      <c r="D155" s="608"/>
      <c r="E155" s="608"/>
      <c r="F155" s="608"/>
      <c r="G155" s="608"/>
      <c r="H155" s="608"/>
      <c r="I155" s="608"/>
      <c r="J155" s="608"/>
      <c r="K155" s="608"/>
    </row>
    <row r="156" spans="1:12" x14ac:dyDescent="0.3">
      <c r="A156" s="608"/>
      <c r="B156" s="608"/>
      <c r="C156" s="608"/>
      <c r="D156" s="608"/>
      <c r="E156" s="608"/>
      <c r="F156" s="608"/>
      <c r="G156" s="608"/>
      <c r="H156" s="608"/>
      <c r="I156" s="608"/>
      <c r="J156" s="608"/>
      <c r="K156" s="608"/>
    </row>
    <row r="157" spans="1:12" x14ac:dyDescent="0.3">
      <c r="A157" s="608"/>
      <c r="B157" s="608"/>
      <c r="C157" s="608"/>
      <c r="D157" s="608"/>
      <c r="E157" s="608"/>
      <c r="F157" s="608"/>
      <c r="G157" s="608"/>
      <c r="H157" s="608"/>
      <c r="I157" s="608"/>
      <c r="J157" s="608"/>
      <c r="K157" s="608"/>
    </row>
    <row r="158" spans="1:12" ht="15.6" x14ac:dyDescent="0.3">
      <c r="A158" s="90"/>
      <c r="B158" s="90"/>
      <c r="C158" s="90"/>
      <c r="D158" s="90"/>
      <c r="E158" s="90"/>
      <c r="F158" s="90"/>
      <c r="G158" s="90"/>
      <c r="H158" s="90"/>
      <c r="I158" s="90"/>
      <c r="J158" s="90"/>
      <c r="K158" s="90"/>
    </row>
    <row r="159" spans="1:12" ht="85.5" customHeight="1" x14ac:dyDescent="0.3">
      <c r="A159" s="592" t="s">
        <v>548</v>
      </c>
      <c r="B159" s="592"/>
      <c r="C159" s="592"/>
      <c r="D159" s="90"/>
      <c r="E159" s="90"/>
      <c r="F159" s="589" t="str">
        <f>IF('PT V'!E29="","",'PT V'!E29)</f>
        <v/>
      </c>
      <c r="G159" s="589"/>
      <c r="H159" s="589"/>
      <c r="I159" s="90"/>
      <c r="J159" s="90"/>
      <c r="K159" s="90"/>
    </row>
    <row r="160" spans="1:12" ht="85.5" customHeight="1" x14ac:dyDescent="0.3">
      <c r="A160" s="592" t="s">
        <v>549</v>
      </c>
      <c r="B160" s="592"/>
      <c r="C160" s="592"/>
      <c r="D160" s="90"/>
      <c r="E160" s="90"/>
      <c r="F160" s="589" t="str">
        <f>IF('PT V'!E30="","",'PT V'!E30)</f>
        <v>DD/MM/YYYY</v>
      </c>
      <c r="G160" s="589"/>
      <c r="H160" s="589"/>
      <c r="I160" s="90"/>
      <c r="J160" s="90"/>
      <c r="K160" s="90"/>
    </row>
    <row r="161" spans="1:11" ht="85.5" customHeight="1" x14ac:dyDescent="0.3">
      <c r="A161" s="592" t="s">
        <v>550</v>
      </c>
      <c r="B161" s="592"/>
      <c r="C161" s="592"/>
      <c r="D161" s="90"/>
      <c r="E161" s="90"/>
      <c r="F161" s="604" t="str">
        <f>IF('PT V'!E31="","",'PT V'!E31)</f>
        <v/>
      </c>
      <c r="G161" s="589"/>
      <c r="H161" s="589"/>
      <c r="I161" s="90"/>
      <c r="J161" s="90"/>
      <c r="K161" s="90"/>
    </row>
    <row r="162" spans="1:11" ht="85.5" customHeight="1" x14ac:dyDescent="0.3">
      <c r="A162" s="592" t="s">
        <v>551</v>
      </c>
      <c r="B162" s="592"/>
      <c r="C162" s="592"/>
      <c r="D162" s="90"/>
      <c r="E162" s="90"/>
      <c r="F162" s="594" t="str">
        <f>IF('PT V'!E32="","",'PT V'!E32)</f>
        <v/>
      </c>
      <c r="G162" s="594"/>
      <c r="H162" s="594"/>
      <c r="I162" s="90"/>
      <c r="J162" s="90"/>
      <c r="K162" s="90"/>
    </row>
    <row r="163" spans="1:11" ht="15.6" x14ac:dyDescent="0.3">
      <c r="A163" s="90" t="s">
        <v>553</v>
      </c>
      <c r="B163" s="90"/>
      <c r="C163" s="586" t="s">
        <v>552</v>
      </c>
      <c r="D163" s="587"/>
      <c r="E163" s="588"/>
      <c r="F163" s="589">
        <f>'PT V'!E33</f>
        <v>0</v>
      </c>
      <c r="G163" s="589"/>
      <c r="H163" s="590" t="s">
        <v>148</v>
      </c>
      <c r="I163" s="590"/>
      <c r="J163" s="589" t="str">
        <f>IF('PT V'!G33="","",'PT V'!G33)</f>
        <v/>
      </c>
      <c r="K163" s="589"/>
    </row>
    <row r="164" spans="1:11" ht="15.6" x14ac:dyDescent="0.3">
      <c r="A164" s="90"/>
      <c r="B164" s="90"/>
      <c r="C164" s="591" t="s">
        <v>569</v>
      </c>
      <c r="D164" s="590"/>
      <c r="E164" s="590"/>
      <c r="F164" s="589" t="str">
        <f>IF('PT V'!E34="","",'PT V'!E34)</f>
        <v/>
      </c>
      <c r="G164" s="589"/>
      <c r="H164" s="590" t="s">
        <v>556</v>
      </c>
      <c r="I164" s="590"/>
      <c r="J164" s="589">
        <f>'PT V'!G34</f>
        <v>0</v>
      </c>
      <c r="K164" s="589"/>
    </row>
    <row r="165" spans="1:11" ht="15.6" x14ac:dyDescent="0.3">
      <c r="A165" s="90"/>
      <c r="B165" s="90"/>
      <c r="C165" s="590" t="s">
        <v>566</v>
      </c>
      <c r="D165" s="590"/>
      <c r="E165" s="590"/>
      <c r="F165" s="589">
        <f>'PT V'!E35</f>
        <v>0</v>
      </c>
      <c r="G165" s="589"/>
      <c r="H165" s="590" t="s">
        <v>555</v>
      </c>
      <c r="I165" s="590"/>
      <c r="J165" s="589">
        <f>'PT V'!G35</f>
        <v>0</v>
      </c>
      <c r="K165" s="589"/>
    </row>
    <row r="166" spans="1:11" ht="12.75" customHeight="1" x14ac:dyDescent="0.3">
      <c r="A166" s="90"/>
      <c r="B166" s="90"/>
      <c r="C166" s="586" t="s">
        <v>554</v>
      </c>
      <c r="D166" s="587"/>
      <c r="E166" s="588"/>
      <c r="F166" s="589">
        <f>'PT V'!E36</f>
        <v>0</v>
      </c>
      <c r="G166" s="589"/>
      <c r="H166" s="590" t="s">
        <v>557</v>
      </c>
      <c r="I166" s="590"/>
      <c r="J166" s="589">
        <f>'PT V'!G36</f>
        <v>0</v>
      </c>
      <c r="K166" s="589"/>
    </row>
    <row r="167" spans="1:11" ht="15.6" x14ac:dyDescent="0.3">
      <c r="A167" s="90"/>
      <c r="B167" s="90"/>
      <c r="C167" s="93"/>
      <c r="D167" s="93"/>
      <c r="E167" s="93"/>
      <c r="F167" s="94"/>
      <c r="G167" s="94"/>
      <c r="H167" s="93"/>
      <c r="I167" s="93"/>
      <c r="J167" s="94"/>
      <c r="K167" s="94"/>
    </row>
    <row r="168" spans="1:11" ht="15.6" x14ac:dyDescent="0.3">
      <c r="A168" s="90" t="s">
        <v>583</v>
      </c>
      <c r="B168" s="98"/>
      <c r="C168" s="93"/>
      <c r="D168" s="93"/>
      <c r="E168" s="93"/>
      <c r="F168" s="656">
        <f>'PT V'!E38</f>
        <v>0</v>
      </c>
      <c r="G168" s="656"/>
      <c r="H168" s="93"/>
      <c r="I168" s="93"/>
      <c r="J168" s="94"/>
      <c r="K168" s="94"/>
    </row>
    <row r="169" spans="1:11" ht="15.6" x14ac:dyDescent="0.3">
      <c r="A169" s="90"/>
      <c r="B169" s="90"/>
      <c r="C169" s="90"/>
      <c r="D169" s="90"/>
      <c r="E169" s="90"/>
      <c r="F169" s="90"/>
      <c r="G169" s="90"/>
      <c r="H169" s="90"/>
      <c r="I169" s="90"/>
      <c r="J169" s="90"/>
      <c r="K169" s="90"/>
    </row>
    <row r="170" spans="1:11" ht="15.6" x14ac:dyDescent="0.3">
      <c r="A170" s="90"/>
      <c r="B170" s="90"/>
      <c r="C170" s="655" t="s">
        <v>299</v>
      </c>
      <c r="D170" s="655"/>
      <c r="E170" s="655"/>
      <c r="F170" s="655"/>
      <c r="G170" s="655"/>
      <c r="H170" s="655"/>
      <c r="I170" s="655"/>
      <c r="J170" s="90"/>
      <c r="K170" s="90"/>
    </row>
    <row r="171" spans="1:11" ht="15.6" x14ac:dyDescent="0.3">
      <c r="A171" s="90"/>
      <c r="B171" s="90"/>
      <c r="C171" s="655"/>
      <c r="D171" s="655"/>
      <c r="E171" s="655"/>
      <c r="F171" s="655"/>
      <c r="G171" s="655"/>
      <c r="H171" s="655"/>
      <c r="I171" s="655"/>
      <c r="J171" s="90"/>
      <c r="K171" s="90"/>
    </row>
    <row r="172" spans="1:11" ht="15.6" x14ac:dyDescent="0.3">
      <c r="A172" s="90"/>
      <c r="B172" s="90"/>
      <c r="C172" s="655"/>
      <c r="D172" s="655"/>
      <c r="E172" s="655"/>
      <c r="F172" s="655"/>
      <c r="G172" s="655"/>
      <c r="H172" s="655"/>
      <c r="I172" s="655"/>
      <c r="J172" s="90"/>
      <c r="K172" s="90"/>
    </row>
    <row r="173" spans="1:11" ht="15.6" x14ac:dyDescent="0.3">
      <c r="A173" s="90"/>
      <c r="B173" s="90"/>
      <c r="C173" s="655"/>
      <c r="D173" s="655"/>
      <c r="E173" s="655"/>
      <c r="F173" s="655"/>
      <c r="G173" s="655"/>
      <c r="H173" s="655"/>
      <c r="I173" s="655"/>
      <c r="J173" s="90"/>
      <c r="K173" s="90"/>
    </row>
    <row r="174" spans="1:11" ht="15.6" x14ac:dyDescent="0.3">
      <c r="A174" s="90"/>
      <c r="B174" s="90"/>
      <c r="C174" s="102"/>
      <c r="D174" s="102"/>
      <c r="E174" s="102"/>
      <c r="F174" s="102"/>
      <c r="G174" s="102"/>
      <c r="H174" s="102"/>
      <c r="I174" s="102"/>
      <c r="J174" s="90"/>
      <c r="K174" s="90"/>
    </row>
    <row r="175" spans="1:11" ht="15.6" x14ac:dyDescent="0.3">
      <c r="A175" s="90" t="str">
        <f>'Part B (i)'!B5</f>
        <v>I</v>
      </c>
      <c r="B175" s="595" t="s">
        <v>82</v>
      </c>
      <c r="C175" s="595"/>
      <c r="D175" s="595"/>
      <c r="E175" s="90"/>
      <c r="F175" s="90"/>
      <c r="G175" s="90"/>
      <c r="H175" s="90"/>
      <c r="I175" s="90"/>
      <c r="J175" s="90"/>
      <c r="K175" s="90"/>
    </row>
    <row r="176" spans="1:11" ht="15.6" x14ac:dyDescent="0.3">
      <c r="A176" s="90"/>
      <c r="B176" s="90"/>
      <c r="C176" s="90"/>
      <c r="D176" s="90"/>
      <c r="E176" s="90"/>
      <c r="F176" s="90"/>
      <c r="G176" s="90"/>
      <c r="H176" s="90"/>
      <c r="I176" s="90"/>
      <c r="J176" s="90"/>
      <c r="K176" s="90"/>
    </row>
    <row r="177" spans="1:11" ht="15.6" x14ac:dyDescent="0.3">
      <c r="A177" s="595" t="s">
        <v>558</v>
      </c>
      <c r="B177" s="595"/>
      <c r="C177" s="595"/>
      <c r="D177" s="595"/>
      <c r="E177" s="654" t="str">
        <f>'Part B (i)'!D7</f>
        <v>DD/MM/YYYY</v>
      </c>
      <c r="F177" s="597"/>
      <c r="G177" s="597"/>
      <c r="H177" s="90"/>
      <c r="I177" s="90"/>
      <c r="J177" s="90"/>
      <c r="K177" s="90"/>
    </row>
    <row r="178" spans="1:11" ht="15.6" x14ac:dyDescent="0.3">
      <c r="A178" s="90"/>
      <c r="B178" s="90"/>
      <c r="C178" s="90"/>
      <c r="D178" s="90"/>
      <c r="E178" s="90"/>
      <c r="F178" s="90"/>
      <c r="G178" s="90"/>
      <c r="H178" s="90"/>
      <c r="I178" s="90"/>
      <c r="J178" s="90"/>
      <c r="K178" s="90"/>
    </row>
    <row r="179" spans="1:11" ht="15.6" x14ac:dyDescent="0.3">
      <c r="A179" s="595" t="s">
        <v>559</v>
      </c>
      <c r="B179" s="595"/>
      <c r="C179" s="595"/>
      <c r="D179" s="595"/>
      <c r="E179" s="597" t="str">
        <f>'Part B (i)'!D9</f>
        <v>profit and loss account</v>
      </c>
      <c r="F179" s="597"/>
      <c r="G179" s="597"/>
      <c r="H179" s="597"/>
      <c r="I179" s="90"/>
      <c r="J179" s="90"/>
      <c r="K179" s="90"/>
    </row>
    <row r="180" spans="1:11" ht="15.6" x14ac:dyDescent="0.3">
      <c r="A180" s="595" t="s">
        <v>560</v>
      </c>
      <c r="B180" s="595"/>
      <c r="C180" s="595"/>
      <c r="D180" s="595"/>
      <c r="E180" s="654" t="str">
        <f>'Part B (i)'!D10</f>
        <v>DD/MM/YYYY</v>
      </c>
      <c r="F180" s="597"/>
      <c r="G180" s="597"/>
      <c r="H180" s="90"/>
      <c r="I180" s="90"/>
      <c r="J180" s="90"/>
      <c r="K180" s="90"/>
    </row>
    <row r="181" spans="1:11" ht="15.6" x14ac:dyDescent="0.3">
      <c r="A181" s="601" t="s">
        <v>561</v>
      </c>
      <c r="B181" s="601"/>
      <c r="C181" s="601"/>
      <c r="D181" s="601"/>
      <c r="E181" s="654" t="str">
        <f>'Part B (i)'!D11</f>
        <v>DD/MM/YYYY</v>
      </c>
      <c r="F181" s="597"/>
      <c r="G181" s="597"/>
      <c r="H181" s="90"/>
      <c r="I181" s="90"/>
      <c r="J181" s="90"/>
      <c r="K181" s="90"/>
    </row>
    <row r="182" spans="1:11" ht="15.6" x14ac:dyDescent="0.3">
      <c r="A182" s="90"/>
      <c r="B182" s="90"/>
      <c r="C182" s="90"/>
      <c r="D182" s="90"/>
      <c r="E182" s="90"/>
      <c r="F182" s="90"/>
      <c r="G182" s="90"/>
      <c r="H182" s="90"/>
      <c r="I182" s="90"/>
      <c r="J182" s="90"/>
      <c r="K182" s="90"/>
    </row>
    <row r="183" spans="1:11" ht="15.6" x14ac:dyDescent="0.3">
      <c r="A183" s="595" t="s">
        <v>72</v>
      </c>
      <c r="B183" s="595"/>
      <c r="C183" s="595"/>
      <c r="D183" s="595"/>
      <c r="E183" s="595"/>
      <c r="F183" s="595"/>
      <c r="G183" s="90"/>
      <c r="H183" s="90"/>
      <c r="I183" s="90"/>
      <c r="J183" s="90"/>
      <c r="K183" s="90"/>
    </row>
    <row r="184" spans="1:11" ht="15.6" x14ac:dyDescent="0.3">
      <c r="A184" s="601" t="s">
        <v>562</v>
      </c>
      <c r="B184" s="601"/>
      <c r="C184" s="601"/>
      <c r="D184" s="601"/>
      <c r="E184" s="654" t="str">
        <f>'Part B (i)'!D14</f>
        <v>DD/MM/YYYY</v>
      </c>
      <c r="F184" s="597"/>
      <c r="G184" s="597"/>
      <c r="H184" s="90"/>
      <c r="I184" s="90"/>
      <c r="J184" s="90"/>
      <c r="K184" s="90"/>
    </row>
    <row r="185" spans="1:11" ht="15.6" x14ac:dyDescent="0.3">
      <c r="A185" s="595" t="s">
        <v>563</v>
      </c>
      <c r="B185" s="595"/>
      <c r="C185" s="595"/>
      <c r="D185" s="595"/>
      <c r="E185" s="654" t="str">
        <f>'Part B (i)'!D15</f>
        <v>DD/MM/YYYY</v>
      </c>
      <c r="F185" s="597"/>
      <c r="G185" s="597"/>
      <c r="H185" s="90"/>
      <c r="I185" s="90"/>
      <c r="J185" s="90"/>
      <c r="K185" s="90"/>
    </row>
    <row r="186" spans="1:11" ht="85.5" customHeight="1" x14ac:dyDescent="0.3">
      <c r="A186" s="595" t="s">
        <v>73</v>
      </c>
      <c r="B186" s="595"/>
      <c r="C186" s="595"/>
      <c r="D186" s="90"/>
      <c r="E186" s="90"/>
      <c r="F186" s="90"/>
      <c r="G186" s="90"/>
      <c r="H186" s="90"/>
      <c r="I186" s="90"/>
      <c r="J186" s="90"/>
      <c r="K186" s="90"/>
    </row>
    <row r="187" spans="1:11" ht="85.5" customHeight="1" x14ac:dyDescent="0.3">
      <c r="A187" s="90"/>
      <c r="B187" s="90"/>
      <c r="C187" s="90"/>
      <c r="D187" s="90"/>
      <c r="E187" s="90"/>
      <c r="F187" s="90"/>
      <c r="G187" s="90"/>
      <c r="H187" s="90"/>
      <c r="I187" s="90"/>
      <c r="J187" s="90"/>
      <c r="K187" s="90"/>
    </row>
    <row r="188" spans="1:11" ht="85.5" customHeight="1" x14ac:dyDescent="0.3">
      <c r="A188" s="96" t="s">
        <v>564</v>
      </c>
      <c r="B188" s="90"/>
      <c r="C188" s="594" t="str">
        <f>'Part B (i)'!D19</f>
        <v>M/S</v>
      </c>
      <c r="D188" s="594"/>
      <c r="E188" s="604">
        <f>'Part B (i)'!E19</f>
        <v>0</v>
      </c>
      <c r="F188" s="589"/>
      <c r="G188" s="589"/>
      <c r="H188" s="90"/>
      <c r="I188" s="90"/>
      <c r="J188" s="90"/>
      <c r="K188" s="90"/>
    </row>
    <row r="189" spans="1:11" ht="15.6" x14ac:dyDescent="0.3">
      <c r="A189" s="90"/>
      <c r="B189" s="90"/>
      <c r="C189" s="90"/>
      <c r="D189" s="90"/>
      <c r="E189" s="90"/>
      <c r="F189" s="90"/>
      <c r="G189" s="90"/>
      <c r="H189" s="90"/>
      <c r="I189" s="90"/>
      <c r="J189" s="90"/>
      <c r="K189" s="90"/>
    </row>
    <row r="190" spans="1:11" ht="15.6" x14ac:dyDescent="0.3">
      <c r="A190" s="592" t="s">
        <v>565</v>
      </c>
      <c r="B190" s="592"/>
      <c r="C190" s="586" t="s">
        <v>552</v>
      </c>
      <c r="D190" s="587"/>
      <c r="E190" s="588"/>
      <c r="F190" s="604">
        <f>'Part B (i)'!E21</f>
        <v>0</v>
      </c>
      <c r="G190" s="589"/>
      <c r="H190" s="590" t="s">
        <v>148</v>
      </c>
      <c r="I190" s="590"/>
      <c r="J190" s="589" t="str">
        <f>IF('Part B (i)'!G21="","",'Part B (i)'!G21)</f>
        <v/>
      </c>
      <c r="K190" s="589"/>
    </row>
    <row r="191" spans="1:11" ht="15.6" x14ac:dyDescent="0.3">
      <c r="A191" s="90"/>
      <c r="B191" s="90"/>
      <c r="C191" s="591" t="s">
        <v>569</v>
      </c>
      <c r="D191" s="590"/>
      <c r="E191" s="590"/>
      <c r="F191" s="589" t="str">
        <f>IF('Part B (i)'!E22="","",'Part B (i)'!E22)</f>
        <v/>
      </c>
      <c r="G191" s="589"/>
      <c r="H191" s="590" t="s">
        <v>556</v>
      </c>
      <c r="I191" s="590"/>
      <c r="J191" s="604">
        <f>'Part B (i)'!G22</f>
        <v>0</v>
      </c>
      <c r="K191" s="589"/>
    </row>
    <row r="192" spans="1:11" ht="30" customHeight="1" x14ac:dyDescent="0.3">
      <c r="A192" s="90"/>
      <c r="B192" s="90"/>
      <c r="C192" s="590" t="s">
        <v>566</v>
      </c>
      <c r="D192" s="590"/>
      <c r="E192" s="590"/>
      <c r="F192" s="604">
        <f>'Part B (i)'!E23</f>
        <v>0</v>
      </c>
      <c r="G192" s="589"/>
      <c r="H192" s="590" t="s">
        <v>555</v>
      </c>
      <c r="I192" s="590"/>
      <c r="J192" s="604">
        <f>'Part B (i)'!G23</f>
        <v>0</v>
      </c>
      <c r="K192" s="589"/>
    </row>
    <row r="193" spans="1:11" ht="15.75" customHeight="1" x14ac:dyDescent="0.3">
      <c r="A193" s="90"/>
      <c r="B193" s="90"/>
      <c r="C193" s="586" t="s">
        <v>554</v>
      </c>
      <c r="D193" s="587"/>
      <c r="E193" s="588"/>
      <c r="F193" s="589">
        <f>'Part B (i)'!E24</f>
        <v>0</v>
      </c>
      <c r="G193" s="589"/>
      <c r="H193" s="590" t="s">
        <v>557</v>
      </c>
      <c r="I193" s="590"/>
      <c r="J193" s="589">
        <f>'Part B (i)'!G24</f>
        <v>0</v>
      </c>
      <c r="K193" s="589"/>
    </row>
    <row r="194" spans="1:11" ht="85.5" customHeight="1" x14ac:dyDescent="0.3">
      <c r="A194" s="90"/>
      <c r="B194" s="90"/>
      <c r="C194" s="90"/>
      <c r="D194" s="90"/>
      <c r="E194" s="90"/>
      <c r="F194" s="90"/>
      <c r="G194" s="90"/>
      <c r="H194" s="90"/>
      <c r="I194" s="90"/>
      <c r="J194" s="90"/>
      <c r="K194" s="90"/>
    </row>
    <row r="195" spans="1:11" ht="85.5" customHeight="1" x14ac:dyDescent="0.3">
      <c r="A195" s="643" t="s">
        <v>543</v>
      </c>
      <c r="B195" s="643"/>
      <c r="C195" s="651" t="str">
        <f>'Part B (i)'!D27</f>
        <v>GSTIN</v>
      </c>
      <c r="D195" s="652"/>
      <c r="E195" s="652"/>
      <c r="F195" s="652"/>
      <c r="G195" s="653"/>
      <c r="H195" s="90"/>
      <c r="I195" s="90"/>
      <c r="J195" s="90"/>
      <c r="K195" s="90"/>
    </row>
    <row r="196" spans="1:11" ht="85.5" customHeight="1" x14ac:dyDescent="0.3">
      <c r="A196" s="90"/>
      <c r="B196" s="90"/>
      <c r="C196" s="90"/>
      <c r="D196" s="90"/>
      <c r="E196" s="90"/>
      <c r="F196" s="90"/>
      <c r="G196" s="90"/>
      <c r="H196" s="90"/>
      <c r="I196" s="90"/>
      <c r="J196" s="90"/>
      <c r="K196" s="90"/>
    </row>
    <row r="197" spans="1:11" ht="15.6" x14ac:dyDescent="0.3">
      <c r="A197" s="104"/>
      <c r="B197" s="104"/>
      <c r="C197" s="90"/>
      <c r="D197" s="90"/>
      <c r="E197" s="90"/>
      <c r="F197" s="90"/>
      <c r="G197" s="90"/>
      <c r="H197" s="90"/>
      <c r="I197" s="90"/>
      <c r="J197" s="90"/>
      <c r="K197" s="90"/>
    </row>
    <row r="198" spans="1:11" ht="15.6" x14ac:dyDescent="0.3">
      <c r="A198" s="605" t="s">
        <v>576</v>
      </c>
      <c r="B198" s="648"/>
      <c r="C198" s="586" t="s">
        <v>552</v>
      </c>
      <c r="D198" s="587"/>
      <c r="E198" s="588"/>
      <c r="F198" s="604">
        <f>'Part B (i)'!E29</f>
        <v>0</v>
      </c>
      <c r="G198" s="589"/>
      <c r="H198" s="647" t="s">
        <v>148</v>
      </c>
      <c r="I198" s="647"/>
      <c r="J198" s="589" t="str">
        <f>IF('Part B (i)'!G29="","",'Part B (i)'!G29)</f>
        <v/>
      </c>
      <c r="K198" s="589"/>
    </row>
    <row r="199" spans="1:11" ht="15.75" customHeight="1" x14ac:dyDescent="0.3">
      <c r="A199" s="105"/>
      <c r="B199" s="105"/>
      <c r="C199" s="591" t="s">
        <v>569</v>
      </c>
      <c r="D199" s="590"/>
      <c r="E199" s="590"/>
      <c r="F199" s="589" t="str">
        <f>IF('Part B (i)'!E30="","",'Part B (i)'!E30)</f>
        <v/>
      </c>
      <c r="G199" s="589"/>
      <c r="H199" s="647" t="s">
        <v>556</v>
      </c>
      <c r="I199" s="647"/>
      <c r="J199" s="604">
        <f>'Part B (i)'!G30</f>
        <v>0</v>
      </c>
      <c r="K199" s="589"/>
    </row>
    <row r="200" spans="1:11" ht="85.5" customHeight="1" x14ac:dyDescent="0.3">
      <c r="A200" s="90"/>
      <c r="B200" s="90"/>
      <c r="C200" s="647" t="s">
        <v>566</v>
      </c>
      <c r="D200" s="647"/>
      <c r="E200" s="647"/>
      <c r="F200" s="604">
        <f>'Part B (i)'!E31</f>
        <v>0</v>
      </c>
      <c r="G200" s="589"/>
      <c r="H200" s="647" t="s">
        <v>555</v>
      </c>
      <c r="I200" s="647"/>
      <c r="J200" s="649">
        <f>'Part B (i)'!G31</f>
        <v>0</v>
      </c>
      <c r="K200" s="650"/>
    </row>
    <row r="201" spans="1:11" ht="85.5" customHeight="1" x14ac:dyDescent="0.3">
      <c r="A201" s="90"/>
      <c r="B201" s="90"/>
      <c r="C201" s="644" t="s">
        <v>554</v>
      </c>
      <c r="D201" s="645"/>
      <c r="E201" s="646"/>
      <c r="F201" s="589">
        <f>'Part B (i)'!E32</f>
        <v>0</v>
      </c>
      <c r="G201" s="589"/>
      <c r="H201" s="647" t="s">
        <v>557</v>
      </c>
      <c r="I201" s="647"/>
      <c r="J201" s="589">
        <f>'Part B (i)'!G32</f>
        <v>0</v>
      </c>
      <c r="K201" s="589"/>
    </row>
    <row r="202" spans="1:11" ht="85.5" customHeight="1" x14ac:dyDescent="0.3">
      <c r="A202" s="90"/>
      <c r="B202" s="90"/>
      <c r="C202" s="90"/>
      <c r="D202" s="90"/>
      <c r="E202" s="90"/>
      <c r="F202" s="90"/>
      <c r="G202" s="90"/>
      <c r="H202" s="90"/>
      <c r="I202" s="90"/>
      <c r="J202" s="90"/>
      <c r="K202" s="90"/>
    </row>
    <row r="203" spans="1:11" ht="15.6" x14ac:dyDescent="0.3">
      <c r="A203" s="105" t="s">
        <v>577</v>
      </c>
      <c r="B203" s="105"/>
      <c r="C203" s="90"/>
      <c r="D203" s="90"/>
      <c r="E203" s="90"/>
      <c r="F203" s="90"/>
      <c r="G203" s="90"/>
      <c r="H203" s="90"/>
      <c r="I203" s="90"/>
      <c r="J203" s="90"/>
      <c r="K203" s="90"/>
    </row>
    <row r="204" spans="1:11" ht="15.6" x14ac:dyDescent="0.3">
      <c r="A204" s="605" t="s">
        <v>578</v>
      </c>
      <c r="B204" s="648"/>
      <c r="C204" s="586" t="s">
        <v>552</v>
      </c>
      <c r="D204" s="587"/>
      <c r="E204" s="588"/>
      <c r="F204" s="604">
        <f>'Part B (i)'!E34</f>
        <v>0</v>
      </c>
      <c r="G204" s="589"/>
      <c r="H204" s="590" t="s">
        <v>148</v>
      </c>
      <c r="I204" s="590"/>
      <c r="J204" s="589" t="str">
        <f>IF('Part B (i)'!G34="","",'Part B (i)'!G34)</f>
        <v/>
      </c>
      <c r="K204" s="589"/>
    </row>
    <row r="205" spans="1:11" ht="15.6" x14ac:dyDescent="0.3">
      <c r="A205" s="94"/>
      <c r="B205" s="94"/>
      <c r="C205" s="591" t="s">
        <v>569</v>
      </c>
      <c r="D205" s="590"/>
      <c r="E205" s="590"/>
      <c r="F205" s="589" t="str">
        <f>IF('Part B (i)'!E35="","",'Part B (i)'!E35)</f>
        <v/>
      </c>
      <c r="G205" s="589"/>
      <c r="H205" s="590" t="s">
        <v>556</v>
      </c>
      <c r="I205" s="590"/>
      <c r="J205" s="604">
        <f>'Part B (i)'!G35</f>
        <v>0</v>
      </c>
      <c r="K205" s="589"/>
    </row>
    <row r="206" spans="1:11" ht="15.6" x14ac:dyDescent="0.3">
      <c r="A206" s="90"/>
      <c r="B206" s="90"/>
      <c r="C206" s="590" t="s">
        <v>566</v>
      </c>
      <c r="D206" s="590"/>
      <c r="E206" s="590"/>
      <c r="F206" s="604">
        <f>'Part B (i)'!E36</f>
        <v>0</v>
      </c>
      <c r="G206" s="589"/>
      <c r="H206" s="590" t="s">
        <v>555</v>
      </c>
      <c r="I206" s="590"/>
      <c r="J206" s="604">
        <f>'Part B (i)'!G36</f>
        <v>0</v>
      </c>
      <c r="K206" s="589"/>
    </row>
    <row r="207" spans="1:11" ht="15.6" x14ac:dyDescent="0.3">
      <c r="A207" s="90"/>
      <c r="B207" s="90"/>
      <c r="C207" s="586" t="s">
        <v>554</v>
      </c>
      <c r="D207" s="587"/>
      <c r="E207" s="588"/>
      <c r="F207" s="589">
        <f>'Part B (i)'!E37</f>
        <v>0</v>
      </c>
      <c r="G207" s="589"/>
      <c r="H207" s="590" t="s">
        <v>557</v>
      </c>
      <c r="I207" s="590"/>
      <c r="J207" s="589">
        <f>'Part B (i)'!G37</f>
        <v>0</v>
      </c>
      <c r="K207" s="589"/>
    </row>
    <row r="208" spans="1:11" ht="15.6" x14ac:dyDescent="0.3">
      <c r="A208" s="90"/>
      <c r="B208" s="90"/>
      <c r="C208" s="90"/>
      <c r="D208" s="90"/>
      <c r="E208" s="90"/>
      <c r="F208" s="90"/>
      <c r="G208" s="90"/>
      <c r="H208" s="90"/>
      <c r="I208" s="90"/>
      <c r="J208" s="90"/>
      <c r="K208" s="90"/>
    </row>
    <row r="209" spans="1:11" ht="15.6" x14ac:dyDescent="0.3">
      <c r="A209" s="97" t="s">
        <v>298</v>
      </c>
      <c r="B209" s="97"/>
      <c r="C209" s="97"/>
      <c r="D209" s="90" t="str">
        <f>A175</f>
        <v>I</v>
      </c>
      <c r="E209" s="643" t="s">
        <v>86</v>
      </c>
      <c r="F209" s="643"/>
      <c r="G209" s="643"/>
      <c r="H209" s="643"/>
      <c r="I209" s="90"/>
      <c r="J209" s="90"/>
      <c r="K209" s="90"/>
    </row>
    <row r="210" spans="1:11" ht="15.6" x14ac:dyDescent="0.3">
      <c r="A210" s="592" t="str">
        <f>'Part B (i)'!B41</f>
        <v>has maintained the books of accounts, records and documents</v>
      </c>
      <c r="B210" s="592"/>
      <c r="C210" s="592"/>
      <c r="D210" s="592"/>
      <c r="E210" s="592"/>
      <c r="F210" s="592"/>
      <c r="G210" s="592"/>
      <c r="H210" s="592"/>
      <c r="I210" s="98" t="s">
        <v>287</v>
      </c>
      <c r="J210" s="90"/>
      <c r="K210" s="90"/>
    </row>
    <row r="211" spans="1:11" ht="15.6" x14ac:dyDescent="0.3">
      <c r="A211" s="598" t="s">
        <v>286</v>
      </c>
      <c r="B211" s="598"/>
      <c r="C211" s="598"/>
      <c r="D211" s="598"/>
      <c r="E211" s="598"/>
      <c r="F211" s="598"/>
      <c r="G211" s="598"/>
      <c r="H211" s="598"/>
      <c r="I211" s="598"/>
      <c r="J211" s="598"/>
      <c r="K211" s="90"/>
    </row>
    <row r="212" spans="1:11" ht="15.6" x14ac:dyDescent="0.3">
      <c r="A212" s="90"/>
      <c r="B212" s="90"/>
      <c r="C212" s="90"/>
      <c r="D212" s="90"/>
      <c r="E212" s="90"/>
      <c r="F212" s="90"/>
      <c r="G212" s="90"/>
      <c r="H212" s="90"/>
      <c r="I212" s="90"/>
      <c r="J212" s="90"/>
      <c r="K212" s="90"/>
    </row>
    <row r="213" spans="1:11" ht="15.6" x14ac:dyDescent="0.3">
      <c r="A213" s="90"/>
      <c r="B213" s="90"/>
      <c r="C213" s="90"/>
      <c r="D213" s="90"/>
      <c r="E213" s="90"/>
      <c r="F213" s="90"/>
      <c r="G213" s="90"/>
      <c r="H213" s="90"/>
      <c r="I213" s="90"/>
      <c r="J213" s="90"/>
      <c r="K213" s="90"/>
    </row>
    <row r="214" spans="1:11" ht="15.6" x14ac:dyDescent="0.3">
      <c r="A214" s="103" t="s">
        <v>89</v>
      </c>
      <c r="B214" s="90" t="str">
        <f>A175</f>
        <v>I</v>
      </c>
      <c r="C214" s="598" t="s">
        <v>297</v>
      </c>
      <c r="D214" s="598"/>
      <c r="E214" s="598"/>
      <c r="F214" s="598"/>
      <c r="G214" s="598"/>
      <c r="H214" s="598"/>
      <c r="I214" s="598"/>
      <c r="J214" s="598"/>
      <c r="K214" s="598"/>
    </row>
    <row r="215" spans="1:11" ht="15.6" x14ac:dyDescent="0.3">
      <c r="A215" s="592" t="s">
        <v>296</v>
      </c>
      <c r="B215" s="592"/>
      <c r="C215" s="592"/>
      <c r="D215" s="90"/>
      <c r="E215" s="90"/>
      <c r="F215" s="90"/>
      <c r="G215" s="90"/>
      <c r="H215" s="90"/>
      <c r="I215" s="90"/>
      <c r="J215" s="90"/>
      <c r="K215" s="90"/>
    </row>
    <row r="216" spans="1:11" ht="15.6" x14ac:dyDescent="0.3">
      <c r="A216" s="90"/>
      <c r="B216" s="90"/>
      <c r="C216" s="90"/>
      <c r="D216" s="90"/>
      <c r="E216" s="90"/>
      <c r="F216" s="90"/>
      <c r="G216" s="90"/>
      <c r="H216" s="90"/>
      <c r="I216" s="90"/>
      <c r="J216" s="90"/>
      <c r="K216" s="90"/>
    </row>
    <row r="217" spans="1:11" ht="15.6" x14ac:dyDescent="0.3">
      <c r="A217" s="90" t="s">
        <v>90</v>
      </c>
      <c r="B217" s="90" t="str">
        <f>A175</f>
        <v>I</v>
      </c>
      <c r="C217" s="598" t="s">
        <v>91</v>
      </c>
      <c r="D217" s="598"/>
      <c r="E217" s="90"/>
      <c r="F217" s="90"/>
      <c r="G217" s="90"/>
      <c r="H217" s="90"/>
      <c r="I217" s="90"/>
      <c r="J217" s="90"/>
      <c r="K217" s="90"/>
    </row>
    <row r="218" spans="1:11" ht="15.6" x14ac:dyDescent="0.3">
      <c r="A218" s="91" t="s">
        <v>92</v>
      </c>
      <c r="B218" s="90" t="str">
        <f>A175</f>
        <v>I</v>
      </c>
      <c r="C218" s="597" t="str">
        <f>'Part B (i)'!D47</f>
        <v>were not provided</v>
      </c>
      <c r="D218" s="597"/>
      <c r="E218" s="597"/>
      <c r="F218" s="91" t="s">
        <v>617</v>
      </c>
      <c r="G218" s="91"/>
      <c r="H218" s="91"/>
      <c r="I218" s="91"/>
      <c r="J218" s="91"/>
      <c r="K218" s="97" t="str">
        <f>IF($A175="I","my"," our")</f>
        <v>my</v>
      </c>
    </row>
    <row r="219" spans="1:11" ht="15.6" x14ac:dyDescent="0.3">
      <c r="A219" s="98" t="s">
        <v>618</v>
      </c>
      <c r="B219" s="98"/>
      <c r="C219" s="98"/>
      <c r="D219" s="98"/>
      <c r="E219" s="98"/>
      <c r="F219" s="98"/>
      <c r="G219" s="98"/>
      <c r="H219" s="98"/>
      <c r="I219" s="98"/>
      <c r="J219" s="91"/>
      <c r="K219" s="91"/>
    </row>
    <row r="220" spans="1:11" ht="15.6" x14ac:dyDescent="0.3">
      <c r="A220" s="592"/>
      <c r="B220" s="592"/>
      <c r="C220" s="592"/>
      <c r="D220" s="90"/>
      <c r="E220" s="598"/>
      <c r="F220" s="598"/>
      <c r="G220" s="598"/>
      <c r="H220" s="598"/>
      <c r="I220" s="598"/>
      <c r="J220" s="598"/>
      <c r="K220" s="598"/>
    </row>
    <row r="221" spans="1:11" ht="15.6" x14ac:dyDescent="0.3">
      <c r="A221" s="592"/>
      <c r="B221" s="592"/>
      <c r="C221" s="592"/>
      <c r="D221" s="592"/>
      <c r="E221" s="592"/>
      <c r="F221" s="592"/>
      <c r="G221" s="90"/>
      <c r="H221" s="90"/>
      <c r="I221" s="90"/>
      <c r="J221" s="90"/>
      <c r="K221" s="90"/>
    </row>
    <row r="222" spans="1:11" ht="15.6" x14ac:dyDescent="0.3">
      <c r="A222" s="90" t="s">
        <v>295</v>
      </c>
      <c r="B222" s="90" t="str">
        <f>IF($A175="I","my"," our")</f>
        <v>my</v>
      </c>
      <c r="C222" s="98" t="s">
        <v>584</v>
      </c>
      <c r="D222" s="98"/>
      <c r="E222" s="98"/>
      <c r="F222" s="98"/>
      <c r="G222" s="597" t="str">
        <f>'Part B (i)'!G50</f>
        <v>have been</v>
      </c>
      <c r="H222" s="597"/>
      <c r="I222" s="597"/>
      <c r="J222" s="592" t="s">
        <v>585</v>
      </c>
      <c r="K222" s="592"/>
    </row>
    <row r="223" spans="1:11" ht="15.6" x14ac:dyDescent="0.3">
      <c r="A223" s="90" t="s">
        <v>586</v>
      </c>
      <c r="E223" s="90"/>
      <c r="F223" s="90" t="str">
        <f>IF($A176="I","my"," our")</f>
        <v xml:space="preserve"> our</v>
      </c>
      <c r="G223" s="592" t="s">
        <v>97</v>
      </c>
      <c r="H223" s="592"/>
      <c r="I223" s="592"/>
      <c r="J223" s="90"/>
      <c r="K223" s="90"/>
    </row>
    <row r="224" spans="1:11" ht="15.6" x14ac:dyDescent="0.3">
      <c r="A224" s="90" t="s">
        <v>294</v>
      </c>
      <c r="B224" s="90" t="str">
        <f>A175</f>
        <v>I</v>
      </c>
      <c r="C224" s="592" t="s">
        <v>99</v>
      </c>
      <c r="D224" s="592"/>
      <c r="E224" s="592"/>
      <c r="F224" s="592"/>
      <c r="G224" s="597" t="str">
        <f>E179</f>
        <v>profit and loss account</v>
      </c>
      <c r="H224" s="597"/>
      <c r="I224" s="597"/>
      <c r="J224" s="597"/>
      <c r="K224" s="597"/>
    </row>
    <row r="225" spans="1:11" ht="15.6" x14ac:dyDescent="0.3">
      <c r="A225" s="592" t="s">
        <v>100</v>
      </c>
      <c r="B225" s="592"/>
      <c r="C225" s="592"/>
      <c r="D225" s="592"/>
      <c r="E225" s="597" t="str">
        <f>'Part B (i)'!I52</f>
        <v>in agreement</v>
      </c>
      <c r="F225" s="597"/>
      <c r="G225" s="597"/>
      <c r="H225" s="592" t="s">
        <v>293</v>
      </c>
      <c r="I225" s="592"/>
      <c r="J225" s="592"/>
      <c r="K225" s="592"/>
    </row>
    <row r="226" spans="1:11" ht="15.6" x14ac:dyDescent="0.3">
      <c r="A226" s="592" t="s">
        <v>292</v>
      </c>
      <c r="B226" s="592"/>
      <c r="C226" s="592"/>
      <c r="D226" s="592"/>
      <c r="E226" s="592"/>
      <c r="F226" s="592"/>
      <c r="G226" s="98"/>
      <c r="H226" s="98"/>
      <c r="I226" s="98"/>
      <c r="J226" s="98"/>
      <c r="K226" s="98"/>
    </row>
    <row r="227" spans="1:11" ht="15.6" x14ac:dyDescent="0.3">
      <c r="A227" s="597" t="str">
        <f>'Part B (i)'!F53</f>
        <v xml:space="preserve">, , , , , , , </v>
      </c>
      <c r="B227" s="597"/>
      <c r="C227" s="597"/>
      <c r="D227" s="597"/>
      <c r="E227" s="597"/>
      <c r="F227" s="597"/>
      <c r="G227" s="597"/>
      <c r="H227" s="597"/>
      <c r="I227" s="597"/>
      <c r="J227" s="597"/>
      <c r="K227" s="597"/>
    </row>
    <row r="228" spans="1:11" ht="15.6" x14ac:dyDescent="0.3">
      <c r="A228" s="90" t="s">
        <v>113</v>
      </c>
      <c r="B228" s="597" t="str">
        <f>'Part B (i)'!C54</f>
        <v xml:space="preserve">, , , , , , , </v>
      </c>
      <c r="C228" s="597"/>
      <c r="D228" s="597"/>
      <c r="E228" s="597"/>
      <c r="F228" s="597"/>
      <c r="G228" s="597"/>
      <c r="H228" s="597"/>
      <c r="I228" s="597"/>
      <c r="J228" s="597"/>
      <c r="K228" s="597"/>
    </row>
    <row r="229" spans="1:11" ht="15.6" x14ac:dyDescent="0.3">
      <c r="A229" s="592" t="s">
        <v>118</v>
      </c>
      <c r="B229" s="592"/>
      <c r="C229" s="592"/>
      <c r="D229" s="592"/>
      <c r="E229" s="592"/>
      <c r="F229" s="90"/>
      <c r="G229" s="90"/>
      <c r="H229" s="90"/>
      <c r="I229" s="90"/>
      <c r="J229" s="90"/>
      <c r="K229" s="90"/>
    </row>
    <row r="230" spans="1:11" ht="15.6" x14ac:dyDescent="0.3">
      <c r="A230" s="90"/>
      <c r="B230" s="90"/>
      <c r="C230" s="90"/>
      <c r="D230" s="90"/>
      <c r="E230" s="90"/>
      <c r="F230" s="90"/>
      <c r="G230" s="90"/>
      <c r="H230" s="90"/>
      <c r="I230" s="90"/>
      <c r="J230" s="90"/>
      <c r="K230" s="90"/>
    </row>
    <row r="231" spans="1:11" ht="15.6" x14ac:dyDescent="0.3">
      <c r="A231" s="90" t="s">
        <v>291</v>
      </c>
      <c r="B231" s="90"/>
      <c r="C231" s="90"/>
      <c r="D231" s="90"/>
      <c r="E231" s="90"/>
      <c r="F231" s="90"/>
      <c r="G231" s="90"/>
      <c r="H231" s="90"/>
      <c r="I231" s="90"/>
      <c r="J231" s="90"/>
      <c r="K231" s="90"/>
    </row>
    <row r="232" spans="1:11" ht="15.6" x14ac:dyDescent="0.3">
      <c r="A232" s="90" t="s">
        <v>284</v>
      </c>
      <c r="B232" s="90"/>
      <c r="C232" s="90"/>
      <c r="D232" s="90"/>
      <c r="E232" s="90"/>
      <c r="F232" s="90"/>
      <c r="G232" s="90"/>
      <c r="H232" s="90"/>
      <c r="I232" s="90"/>
      <c r="J232" s="90"/>
      <c r="K232" s="90"/>
    </row>
    <row r="233" spans="1:11" ht="15.6" x14ac:dyDescent="0.3">
      <c r="A233" s="90" t="s">
        <v>104</v>
      </c>
      <c r="B233" s="90"/>
      <c r="C233" s="90"/>
      <c r="D233" s="90"/>
      <c r="E233" s="90"/>
      <c r="F233" s="90"/>
      <c r="G233" s="90"/>
      <c r="H233" s="90"/>
      <c r="I233" s="90"/>
      <c r="J233" s="90"/>
      <c r="K233" s="90"/>
    </row>
    <row r="234" spans="1:11" ht="15.6" x14ac:dyDescent="0.3">
      <c r="A234" s="90"/>
      <c r="B234" s="90"/>
      <c r="C234" s="90"/>
      <c r="D234" s="90"/>
      <c r="E234" s="90"/>
      <c r="F234" s="90"/>
      <c r="G234" s="90"/>
      <c r="H234" s="90"/>
      <c r="I234" s="90"/>
      <c r="J234" s="90"/>
      <c r="K234" s="90"/>
    </row>
    <row r="235" spans="1:11" ht="15.6" x14ac:dyDescent="0.3">
      <c r="A235" s="90" t="s">
        <v>290</v>
      </c>
      <c r="B235" s="90" t="str">
        <f>'Part B (i)'!C59</f>
        <v>my</v>
      </c>
      <c r="C235" s="91" t="s">
        <v>105</v>
      </c>
      <c r="D235" s="90"/>
      <c r="E235" s="90"/>
      <c r="F235" s="90" t="str">
        <f>'Part B (i)'!E59</f>
        <v>my</v>
      </c>
      <c r="G235" s="90" t="s">
        <v>282</v>
      </c>
      <c r="H235" s="90"/>
      <c r="I235" s="90"/>
      <c r="J235" s="90"/>
      <c r="K235" s="90"/>
    </row>
    <row r="236" spans="1:11" ht="15.6" x14ac:dyDescent="0.3">
      <c r="A236" s="90" t="s">
        <v>281</v>
      </c>
      <c r="B236" s="90"/>
      <c r="C236" s="90" t="str">
        <f>'Part B (i)'!H59</f>
        <v>me</v>
      </c>
      <c r="D236" s="90" t="s">
        <v>619</v>
      </c>
      <c r="E236" s="90"/>
      <c r="F236" s="90"/>
      <c r="G236" s="90"/>
      <c r="H236" s="90"/>
      <c r="I236" s="90"/>
      <c r="J236" s="90"/>
      <c r="K236" s="90"/>
    </row>
    <row r="237" spans="1:11" ht="15.6" x14ac:dyDescent="0.3">
      <c r="A237" s="90" t="s">
        <v>280</v>
      </c>
      <c r="B237" s="90"/>
      <c r="C237" s="90"/>
      <c r="D237" s="90"/>
      <c r="E237" s="90"/>
      <c r="F237" s="90"/>
      <c r="G237" s="90"/>
      <c r="H237" s="90"/>
      <c r="I237" s="90"/>
      <c r="J237" s="90"/>
      <c r="K237" s="90"/>
    </row>
    <row r="238" spans="1:11" ht="409.6" customHeight="1" x14ac:dyDescent="0.3">
      <c r="A238" s="90"/>
      <c r="B238" s="90"/>
      <c r="C238" s="90"/>
      <c r="D238" s="90"/>
      <c r="E238" s="90"/>
      <c r="F238" s="90"/>
      <c r="G238" s="90"/>
      <c r="H238" s="90"/>
      <c r="I238" s="90"/>
      <c r="J238" s="90"/>
      <c r="K238" s="90"/>
    </row>
    <row r="239" spans="1:11" ht="15.6" x14ac:dyDescent="0.3">
      <c r="A239" s="99" t="s">
        <v>81</v>
      </c>
      <c r="B239" s="90"/>
      <c r="C239" s="90"/>
      <c r="D239" s="90"/>
      <c r="E239" s="90"/>
      <c r="F239" s="90"/>
      <c r="G239" s="90"/>
      <c r="H239" s="90"/>
      <c r="I239" s="90"/>
      <c r="J239" s="90"/>
      <c r="K239" s="90"/>
    </row>
    <row r="240" spans="1:11" ht="15.6" x14ac:dyDescent="0.3">
      <c r="A240" s="90"/>
      <c r="B240" s="90"/>
      <c r="C240" s="90"/>
      <c r="D240" s="90"/>
      <c r="E240" s="90"/>
      <c r="F240" s="90"/>
      <c r="G240" s="90"/>
      <c r="H240" s="90"/>
      <c r="I240" s="90"/>
      <c r="J240" s="90"/>
      <c r="K240" s="90"/>
    </row>
    <row r="241" spans="1:11" ht="15.6" x14ac:dyDescent="0.3">
      <c r="A241" s="90"/>
      <c r="B241" s="100" t="s">
        <v>74</v>
      </c>
      <c r="C241" s="599" t="s">
        <v>75</v>
      </c>
      <c r="D241" s="599"/>
      <c r="E241" s="599"/>
      <c r="F241" s="599"/>
      <c r="G241" s="600" t="s">
        <v>76</v>
      </c>
      <c r="H241" s="600"/>
      <c r="I241" s="600"/>
      <c r="J241" s="90"/>
      <c r="K241" s="90"/>
    </row>
    <row r="242" spans="1:11" ht="31.5" customHeight="1" x14ac:dyDescent="0.3">
      <c r="A242" s="90"/>
      <c r="B242" s="92">
        <v>1</v>
      </c>
      <c r="C242" s="589"/>
      <c r="D242" s="589"/>
      <c r="E242" s="589"/>
      <c r="F242" s="589"/>
      <c r="G242" s="589"/>
      <c r="H242" s="589"/>
      <c r="I242" s="589"/>
      <c r="J242" s="90"/>
      <c r="K242" s="90"/>
    </row>
    <row r="243" spans="1:11" ht="30.75" customHeight="1" x14ac:dyDescent="0.3">
      <c r="A243" s="90"/>
      <c r="B243" s="90"/>
      <c r="C243" s="90"/>
      <c r="D243" s="90"/>
      <c r="E243" s="90"/>
      <c r="F243" s="90"/>
      <c r="G243" s="90"/>
      <c r="H243" s="90"/>
      <c r="I243" s="90"/>
      <c r="J243" s="90"/>
      <c r="K243" s="90"/>
    </row>
    <row r="244" spans="1:11" ht="33" customHeight="1" x14ac:dyDescent="0.3">
      <c r="A244" s="101" t="s">
        <v>80</v>
      </c>
      <c r="B244" s="90"/>
      <c r="C244" s="90"/>
      <c r="D244" s="90"/>
      <c r="E244" s="90"/>
      <c r="F244" s="90"/>
      <c r="G244" s="90"/>
      <c r="H244" s="90"/>
      <c r="I244" s="90"/>
      <c r="J244" s="90"/>
      <c r="K244" s="90"/>
    </row>
    <row r="245" spans="1:11" ht="15.6" x14ac:dyDescent="0.3">
      <c r="A245" s="90"/>
      <c r="B245" s="90"/>
      <c r="C245" s="90"/>
      <c r="D245" s="90"/>
      <c r="E245" s="90"/>
      <c r="F245" s="90"/>
      <c r="G245" s="90"/>
      <c r="H245" s="90"/>
      <c r="I245" s="90"/>
      <c r="J245" s="90"/>
      <c r="K245" s="90"/>
    </row>
    <row r="246" spans="1:11" ht="85.5" customHeight="1" x14ac:dyDescent="0.3">
      <c r="A246" s="592" t="s">
        <v>548</v>
      </c>
      <c r="B246" s="592"/>
      <c r="C246" s="592"/>
      <c r="D246" s="90"/>
      <c r="E246" s="90"/>
      <c r="F246" s="604">
        <f>'Part B (i)'!D70</f>
        <v>0</v>
      </c>
      <c r="G246" s="589"/>
      <c r="H246" s="589"/>
      <c r="I246" s="90"/>
      <c r="J246" s="90"/>
      <c r="K246" s="90"/>
    </row>
    <row r="247" spans="1:11" ht="85.5" customHeight="1" x14ac:dyDescent="0.3">
      <c r="A247" s="592" t="s">
        <v>549</v>
      </c>
      <c r="B247" s="592"/>
      <c r="C247" s="592"/>
      <c r="D247" s="90"/>
      <c r="E247" s="90"/>
      <c r="F247" s="604">
        <f>'Part B (i)'!D71</f>
        <v>0</v>
      </c>
      <c r="G247" s="589"/>
      <c r="H247" s="589"/>
      <c r="I247" s="90"/>
      <c r="J247" s="90"/>
      <c r="K247" s="90"/>
    </row>
    <row r="248" spans="1:11" ht="85.5" customHeight="1" x14ac:dyDescent="0.3">
      <c r="A248" s="592" t="s">
        <v>550</v>
      </c>
      <c r="B248" s="592"/>
      <c r="C248" s="592"/>
      <c r="D248" s="90"/>
      <c r="E248" s="90"/>
      <c r="F248" s="604">
        <f>'Part B (i)'!D72</f>
        <v>0</v>
      </c>
      <c r="G248" s="589"/>
      <c r="H248" s="589"/>
      <c r="I248" s="90"/>
      <c r="J248" s="90"/>
      <c r="K248" s="90"/>
    </row>
    <row r="249" spans="1:11" ht="15.6" x14ac:dyDescent="0.3">
      <c r="A249" s="592" t="s">
        <v>551</v>
      </c>
      <c r="B249" s="592"/>
      <c r="C249" s="592"/>
      <c r="D249" s="90"/>
      <c r="E249" s="90"/>
      <c r="F249" s="642" t="str">
        <f>'Part B (i)'!D73</f>
        <v>DD/MM/YYYY</v>
      </c>
      <c r="G249" s="594"/>
      <c r="H249" s="594"/>
      <c r="I249" s="90"/>
      <c r="J249" s="90"/>
      <c r="K249" s="90"/>
    </row>
    <row r="250" spans="1:11" ht="15.6" x14ac:dyDescent="0.3">
      <c r="A250" s="90" t="s">
        <v>553</v>
      </c>
      <c r="B250" s="90"/>
      <c r="C250" s="586" t="s">
        <v>552</v>
      </c>
      <c r="D250" s="587"/>
      <c r="E250" s="588"/>
      <c r="F250" s="604">
        <f>'Part B (i)'!E74</f>
        <v>0</v>
      </c>
      <c r="G250" s="589"/>
      <c r="H250" s="590" t="s">
        <v>148</v>
      </c>
      <c r="I250" s="590"/>
      <c r="J250" s="604">
        <f>'Part B (i)'!G74</f>
        <v>0</v>
      </c>
      <c r="K250" s="589"/>
    </row>
    <row r="251" spans="1:11" ht="15.6" x14ac:dyDescent="0.3">
      <c r="A251" s="90"/>
      <c r="B251" s="90"/>
      <c r="C251" s="591" t="s">
        <v>569</v>
      </c>
      <c r="D251" s="590"/>
      <c r="E251" s="590"/>
      <c r="F251" s="604">
        <f>'Part B (i)'!E75</f>
        <v>0</v>
      </c>
      <c r="G251" s="589"/>
      <c r="H251" s="590" t="s">
        <v>556</v>
      </c>
      <c r="I251" s="590"/>
      <c r="J251" s="604">
        <f>'Part B (i)'!G75</f>
        <v>0</v>
      </c>
      <c r="K251" s="589"/>
    </row>
    <row r="252" spans="1:11" ht="15.6" x14ac:dyDescent="0.3">
      <c r="A252" s="90"/>
      <c r="B252" s="90"/>
      <c r="C252" s="590" t="s">
        <v>566</v>
      </c>
      <c r="D252" s="590"/>
      <c r="E252" s="590"/>
      <c r="F252" s="604">
        <f>'Part B (i)'!E76</f>
        <v>0</v>
      </c>
      <c r="G252" s="589"/>
      <c r="H252" s="590" t="s">
        <v>555</v>
      </c>
      <c r="I252" s="590"/>
      <c r="J252" s="604">
        <f>'Part B (i)'!G76</f>
        <v>0</v>
      </c>
      <c r="K252" s="589"/>
    </row>
    <row r="253" spans="1:11" ht="15.6" x14ac:dyDescent="0.3">
      <c r="A253" s="90"/>
      <c r="B253" s="90"/>
      <c r="C253" s="586" t="s">
        <v>554</v>
      </c>
      <c r="D253" s="587"/>
      <c r="E253" s="588"/>
      <c r="F253" s="589">
        <f>'Part B (i)'!E77</f>
        <v>0</v>
      </c>
      <c r="G253" s="589"/>
      <c r="H253" s="590" t="s">
        <v>557</v>
      </c>
      <c r="I253" s="590"/>
      <c r="J253" s="604">
        <f>'Part B (i)'!G77</f>
        <v>0</v>
      </c>
      <c r="K253" s="589"/>
    </row>
    <row r="254" spans="1:11" ht="14.4" x14ac:dyDescent="0.3">
      <c r="A254" s="65"/>
      <c r="B254" s="65"/>
      <c r="C254" s="65"/>
      <c r="D254" s="65"/>
      <c r="E254" s="65"/>
      <c r="F254" s="65"/>
      <c r="G254" s="65"/>
      <c r="H254" s="65"/>
      <c r="I254" s="65"/>
      <c r="J254" s="65"/>
      <c r="K254" s="65"/>
    </row>
  </sheetData>
  <mergeCells count="584">
    <mergeCell ref="E2:G2"/>
    <mergeCell ref="B3:K3"/>
    <mergeCell ref="B4:F4"/>
    <mergeCell ref="G4:K4"/>
    <mergeCell ref="B5:F5"/>
    <mergeCell ref="G5:K5"/>
    <mergeCell ref="B9:F9"/>
    <mergeCell ref="G9:K9"/>
    <mergeCell ref="B10:F10"/>
    <mergeCell ref="G10:K10"/>
    <mergeCell ref="B11:F11"/>
    <mergeCell ref="G11:K11"/>
    <mergeCell ref="B6:F6"/>
    <mergeCell ref="G6:K6"/>
    <mergeCell ref="B7:F7"/>
    <mergeCell ref="G7:K7"/>
    <mergeCell ref="B8:F8"/>
    <mergeCell ref="G8:K8"/>
    <mergeCell ref="B16:H16"/>
    <mergeCell ref="I16:K16"/>
    <mergeCell ref="B17:G17"/>
    <mergeCell ref="I17:K17"/>
    <mergeCell ref="B18:G18"/>
    <mergeCell ref="I18:K18"/>
    <mergeCell ref="B12:F12"/>
    <mergeCell ref="G12:K12"/>
    <mergeCell ref="B13:K13"/>
    <mergeCell ref="B14:K14"/>
    <mergeCell ref="B15:H15"/>
    <mergeCell ref="I15:K15"/>
    <mergeCell ref="B22:G22"/>
    <mergeCell ref="I22:K22"/>
    <mergeCell ref="B23:G23"/>
    <mergeCell ref="I23:K23"/>
    <mergeCell ref="B24:G24"/>
    <mergeCell ref="I24:K24"/>
    <mergeCell ref="B19:G19"/>
    <mergeCell ref="I19:K19"/>
    <mergeCell ref="B20:G20"/>
    <mergeCell ref="I20:K20"/>
    <mergeCell ref="B21:G21"/>
    <mergeCell ref="I21:K21"/>
    <mergeCell ref="B28:G28"/>
    <mergeCell ref="I28:K28"/>
    <mergeCell ref="B29:G29"/>
    <mergeCell ref="I29:K29"/>
    <mergeCell ref="B30:G30"/>
    <mergeCell ref="I30:K30"/>
    <mergeCell ref="B25:G25"/>
    <mergeCell ref="I25:K25"/>
    <mergeCell ref="B26:G26"/>
    <mergeCell ref="I26:K26"/>
    <mergeCell ref="B27:G27"/>
    <mergeCell ref="I27:K27"/>
    <mergeCell ref="B34:K34"/>
    <mergeCell ref="B35:D35"/>
    <mergeCell ref="E35:K35"/>
    <mergeCell ref="B36:K36"/>
    <mergeCell ref="B37:H37"/>
    <mergeCell ref="I37:K37"/>
    <mergeCell ref="B31:H31"/>
    <mergeCell ref="I31:K31"/>
    <mergeCell ref="B32:H32"/>
    <mergeCell ref="I32:K32"/>
    <mergeCell ref="B33:H33"/>
    <mergeCell ref="I33:K33"/>
    <mergeCell ref="B41:H41"/>
    <mergeCell ref="I41:K41"/>
    <mergeCell ref="B42:H42"/>
    <mergeCell ref="I42:K42"/>
    <mergeCell ref="B43:H43"/>
    <mergeCell ref="I43:K43"/>
    <mergeCell ref="B38:H38"/>
    <mergeCell ref="I38:K38"/>
    <mergeCell ref="B39:H39"/>
    <mergeCell ref="I39:K39"/>
    <mergeCell ref="B40:H40"/>
    <mergeCell ref="I40:K40"/>
    <mergeCell ref="A49:A50"/>
    <mergeCell ref="B49:C50"/>
    <mergeCell ref="D49:E50"/>
    <mergeCell ref="F49:K49"/>
    <mergeCell ref="H50:I50"/>
    <mergeCell ref="J50:K50"/>
    <mergeCell ref="B44:H44"/>
    <mergeCell ref="I44:K44"/>
    <mergeCell ref="B45:K45"/>
    <mergeCell ref="B46:D46"/>
    <mergeCell ref="E46:K46"/>
    <mergeCell ref="B47:K47"/>
    <mergeCell ref="B51:C51"/>
    <mergeCell ref="D51:E51"/>
    <mergeCell ref="H51:I51"/>
    <mergeCell ref="J51:K51"/>
    <mergeCell ref="B52:C52"/>
    <mergeCell ref="D52:E52"/>
    <mergeCell ref="H52:I52"/>
    <mergeCell ref="J52:K52"/>
    <mergeCell ref="B48:K48"/>
    <mergeCell ref="B55:C55"/>
    <mergeCell ref="D55:E55"/>
    <mergeCell ref="H55:I55"/>
    <mergeCell ref="J55:K55"/>
    <mergeCell ref="B56:C56"/>
    <mergeCell ref="D56:E56"/>
    <mergeCell ref="H56:I56"/>
    <mergeCell ref="J56:K56"/>
    <mergeCell ref="B53:C53"/>
    <mergeCell ref="D53:E53"/>
    <mergeCell ref="H53:I53"/>
    <mergeCell ref="J53:K53"/>
    <mergeCell ref="B54:C54"/>
    <mergeCell ref="D54:E54"/>
    <mergeCell ref="H54:I54"/>
    <mergeCell ref="J54:K54"/>
    <mergeCell ref="B59:C59"/>
    <mergeCell ref="D59:E59"/>
    <mergeCell ref="H59:I59"/>
    <mergeCell ref="J59:K59"/>
    <mergeCell ref="B60:C60"/>
    <mergeCell ref="D60:E60"/>
    <mergeCell ref="H60:I60"/>
    <mergeCell ref="J60:K60"/>
    <mergeCell ref="B57:C57"/>
    <mergeCell ref="D57:E57"/>
    <mergeCell ref="H57:I57"/>
    <mergeCell ref="J57:K57"/>
    <mergeCell ref="B58:C58"/>
    <mergeCell ref="D58:E58"/>
    <mergeCell ref="H58:I58"/>
    <mergeCell ref="J58:K58"/>
    <mergeCell ref="B63:C63"/>
    <mergeCell ref="D63:E63"/>
    <mergeCell ref="H63:I63"/>
    <mergeCell ref="J63:K63"/>
    <mergeCell ref="B64:C64"/>
    <mergeCell ref="D64:E64"/>
    <mergeCell ref="H64:I64"/>
    <mergeCell ref="J64:K64"/>
    <mergeCell ref="B61:C61"/>
    <mergeCell ref="D61:E61"/>
    <mergeCell ref="H61:I61"/>
    <mergeCell ref="J61:K61"/>
    <mergeCell ref="B62:C62"/>
    <mergeCell ref="D62:E62"/>
    <mergeCell ref="H62:I62"/>
    <mergeCell ref="J62:K62"/>
    <mergeCell ref="B67:C67"/>
    <mergeCell ref="D67:E67"/>
    <mergeCell ref="H67:I67"/>
    <mergeCell ref="J67:K67"/>
    <mergeCell ref="B68:C68"/>
    <mergeCell ref="D68:E68"/>
    <mergeCell ref="H68:I68"/>
    <mergeCell ref="J68:K68"/>
    <mergeCell ref="B65:C65"/>
    <mergeCell ref="D65:E65"/>
    <mergeCell ref="H65:I65"/>
    <mergeCell ref="J65:K65"/>
    <mergeCell ref="B66:C66"/>
    <mergeCell ref="D66:E66"/>
    <mergeCell ref="H66:I66"/>
    <mergeCell ref="J66:K66"/>
    <mergeCell ref="B71:C71"/>
    <mergeCell ref="D71:E71"/>
    <mergeCell ref="H71:I71"/>
    <mergeCell ref="J71:K71"/>
    <mergeCell ref="B72:K72"/>
    <mergeCell ref="B73:D73"/>
    <mergeCell ref="E73:K73"/>
    <mergeCell ref="B69:C69"/>
    <mergeCell ref="D69:E69"/>
    <mergeCell ref="H69:I69"/>
    <mergeCell ref="J69:K69"/>
    <mergeCell ref="B70:C70"/>
    <mergeCell ref="D70:E70"/>
    <mergeCell ref="H70:I70"/>
    <mergeCell ref="J70:K70"/>
    <mergeCell ref="B77:C77"/>
    <mergeCell ref="D77:E77"/>
    <mergeCell ref="H77:I77"/>
    <mergeCell ref="J77:K77"/>
    <mergeCell ref="B78:C78"/>
    <mergeCell ref="D78:E78"/>
    <mergeCell ref="H78:I78"/>
    <mergeCell ref="J78:K78"/>
    <mergeCell ref="B74:K74"/>
    <mergeCell ref="B75:C75"/>
    <mergeCell ref="D75:E75"/>
    <mergeCell ref="F75:K75"/>
    <mergeCell ref="B76:C76"/>
    <mergeCell ref="D76:E76"/>
    <mergeCell ref="H76:I76"/>
    <mergeCell ref="J76:K76"/>
    <mergeCell ref="B81:C81"/>
    <mergeCell ref="D81:E81"/>
    <mergeCell ref="H81:I81"/>
    <mergeCell ref="J81:K81"/>
    <mergeCell ref="B82:C82"/>
    <mergeCell ref="D82:E82"/>
    <mergeCell ref="H82:I82"/>
    <mergeCell ref="J82:K82"/>
    <mergeCell ref="B79:C79"/>
    <mergeCell ref="D79:E79"/>
    <mergeCell ref="H79:I79"/>
    <mergeCell ref="J79:K79"/>
    <mergeCell ref="B80:C80"/>
    <mergeCell ref="D80:E80"/>
    <mergeCell ref="H80:I80"/>
    <mergeCell ref="J80:K80"/>
    <mergeCell ref="B85:C85"/>
    <mergeCell ref="D85:E85"/>
    <mergeCell ref="H85:I85"/>
    <mergeCell ref="J85:K85"/>
    <mergeCell ref="B86:C86"/>
    <mergeCell ref="D86:E86"/>
    <mergeCell ref="H86:I86"/>
    <mergeCell ref="J86:K86"/>
    <mergeCell ref="B83:C83"/>
    <mergeCell ref="D83:E83"/>
    <mergeCell ref="H83:I83"/>
    <mergeCell ref="J83:K83"/>
    <mergeCell ref="B84:C84"/>
    <mergeCell ref="D84:E84"/>
    <mergeCell ref="H84:I84"/>
    <mergeCell ref="J84:K84"/>
    <mergeCell ref="B89:C89"/>
    <mergeCell ref="D89:E89"/>
    <mergeCell ref="H89:I89"/>
    <mergeCell ref="J89:K89"/>
    <mergeCell ref="A90:A91"/>
    <mergeCell ref="B90:K91"/>
    <mergeCell ref="B87:C87"/>
    <mergeCell ref="D87:E87"/>
    <mergeCell ref="H87:I87"/>
    <mergeCell ref="J87:K87"/>
    <mergeCell ref="B88:C88"/>
    <mergeCell ref="D88:E88"/>
    <mergeCell ref="H88:I88"/>
    <mergeCell ref="J88:K88"/>
    <mergeCell ref="B96:H96"/>
    <mergeCell ref="I96:K96"/>
    <mergeCell ref="B97:H97"/>
    <mergeCell ref="I97:K97"/>
    <mergeCell ref="B98:H98"/>
    <mergeCell ref="I98:K98"/>
    <mergeCell ref="B92:K92"/>
    <mergeCell ref="B93:H93"/>
    <mergeCell ref="I93:K93"/>
    <mergeCell ref="B94:H94"/>
    <mergeCell ref="I94:K94"/>
    <mergeCell ref="B95:H95"/>
    <mergeCell ref="I95:K95"/>
    <mergeCell ref="B103:D103"/>
    <mergeCell ref="E103:F103"/>
    <mergeCell ref="G103:H103"/>
    <mergeCell ref="I103:K103"/>
    <mergeCell ref="B104:D104"/>
    <mergeCell ref="E104:F104"/>
    <mergeCell ref="G104:H104"/>
    <mergeCell ref="I104:K104"/>
    <mergeCell ref="B99:H99"/>
    <mergeCell ref="I99:K99"/>
    <mergeCell ref="B100:K100"/>
    <mergeCell ref="B101:D101"/>
    <mergeCell ref="E101:K101"/>
    <mergeCell ref="B102:K102"/>
    <mergeCell ref="B107:D107"/>
    <mergeCell ref="E107:F107"/>
    <mergeCell ref="G107:H107"/>
    <mergeCell ref="I107:K107"/>
    <mergeCell ref="B108:D108"/>
    <mergeCell ref="E108:F108"/>
    <mergeCell ref="G108:H108"/>
    <mergeCell ref="I108:K108"/>
    <mergeCell ref="B105:D105"/>
    <mergeCell ref="E105:F105"/>
    <mergeCell ref="G105:H105"/>
    <mergeCell ref="I105:K105"/>
    <mergeCell ref="B106:D106"/>
    <mergeCell ref="E106:F106"/>
    <mergeCell ref="G106:H106"/>
    <mergeCell ref="I106:K106"/>
    <mergeCell ref="B111:D111"/>
    <mergeCell ref="E111:F111"/>
    <mergeCell ref="G111:H111"/>
    <mergeCell ref="I111:K111"/>
    <mergeCell ref="B112:D112"/>
    <mergeCell ref="E112:F112"/>
    <mergeCell ref="G112:H112"/>
    <mergeCell ref="I112:K112"/>
    <mergeCell ref="B109:D109"/>
    <mergeCell ref="E109:F109"/>
    <mergeCell ref="G109:H109"/>
    <mergeCell ref="I109:K109"/>
    <mergeCell ref="B110:D110"/>
    <mergeCell ref="E110:F110"/>
    <mergeCell ref="G110:H110"/>
    <mergeCell ref="I110:K110"/>
    <mergeCell ref="B115:D115"/>
    <mergeCell ref="E115:F115"/>
    <mergeCell ref="G115:H115"/>
    <mergeCell ref="I115:K115"/>
    <mergeCell ref="B116:D116"/>
    <mergeCell ref="E116:F116"/>
    <mergeCell ref="G116:H116"/>
    <mergeCell ref="I116:K116"/>
    <mergeCell ref="B113:D113"/>
    <mergeCell ref="E113:F113"/>
    <mergeCell ref="G113:H113"/>
    <mergeCell ref="I113:K113"/>
    <mergeCell ref="B114:D114"/>
    <mergeCell ref="E114:F114"/>
    <mergeCell ref="G114:H114"/>
    <mergeCell ref="I114:K114"/>
    <mergeCell ref="B119:D119"/>
    <mergeCell ref="E119:F119"/>
    <mergeCell ref="G119:H119"/>
    <mergeCell ref="I119:K119"/>
    <mergeCell ref="B120:D120"/>
    <mergeCell ref="E120:F120"/>
    <mergeCell ref="G120:H120"/>
    <mergeCell ref="I120:K120"/>
    <mergeCell ref="B117:D117"/>
    <mergeCell ref="E117:F117"/>
    <mergeCell ref="G117:H117"/>
    <mergeCell ref="I117:K117"/>
    <mergeCell ref="B118:D118"/>
    <mergeCell ref="E118:F118"/>
    <mergeCell ref="G118:H118"/>
    <mergeCell ref="I118:K118"/>
    <mergeCell ref="B123:D123"/>
    <mergeCell ref="E123:F123"/>
    <mergeCell ref="G123:H123"/>
    <mergeCell ref="I123:K123"/>
    <mergeCell ref="B124:K124"/>
    <mergeCell ref="B125:D125"/>
    <mergeCell ref="E125:K125"/>
    <mergeCell ref="B121:D121"/>
    <mergeCell ref="E121:F121"/>
    <mergeCell ref="G121:H121"/>
    <mergeCell ref="I121:K121"/>
    <mergeCell ref="B122:D122"/>
    <mergeCell ref="E122:F122"/>
    <mergeCell ref="G122:H122"/>
    <mergeCell ref="I122:K122"/>
    <mergeCell ref="B130:C130"/>
    <mergeCell ref="D130:K130"/>
    <mergeCell ref="B131:C131"/>
    <mergeCell ref="D131:K131"/>
    <mergeCell ref="B132:C132"/>
    <mergeCell ref="D132:K132"/>
    <mergeCell ref="B126:K126"/>
    <mergeCell ref="B127:C127"/>
    <mergeCell ref="D127:K127"/>
    <mergeCell ref="B128:C128"/>
    <mergeCell ref="D128:K128"/>
    <mergeCell ref="B129:C129"/>
    <mergeCell ref="D129:K129"/>
    <mergeCell ref="B136:C136"/>
    <mergeCell ref="D136:E136"/>
    <mergeCell ref="H136:I136"/>
    <mergeCell ref="J136:K136"/>
    <mergeCell ref="B137:C137"/>
    <mergeCell ref="D137:E137"/>
    <mergeCell ref="H137:I137"/>
    <mergeCell ref="J137:K137"/>
    <mergeCell ref="B133:C133"/>
    <mergeCell ref="D133:K133"/>
    <mergeCell ref="B134:K134"/>
    <mergeCell ref="B135:C135"/>
    <mergeCell ref="D135:E135"/>
    <mergeCell ref="F135:K135"/>
    <mergeCell ref="B140:C140"/>
    <mergeCell ref="D140:E140"/>
    <mergeCell ref="H140:I140"/>
    <mergeCell ref="J140:K140"/>
    <mergeCell ref="B141:C141"/>
    <mergeCell ref="D141:E141"/>
    <mergeCell ref="H141:I141"/>
    <mergeCell ref="J141:K141"/>
    <mergeCell ref="B138:C138"/>
    <mergeCell ref="D138:E138"/>
    <mergeCell ref="H138:I138"/>
    <mergeCell ref="J138:K138"/>
    <mergeCell ref="B139:C139"/>
    <mergeCell ref="D139:E139"/>
    <mergeCell ref="H139:I139"/>
    <mergeCell ref="J139:K139"/>
    <mergeCell ref="B144:C144"/>
    <mergeCell ref="D144:E144"/>
    <mergeCell ref="H144:I144"/>
    <mergeCell ref="J144:K144"/>
    <mergeCell ref="B145:C145"/>
    <mergeCell ref="D145:E145"/>
    <mergeCell ref="H145:I145"/>
    <mergeCell ref="J145:K145"/>
    <mergeCell ref="B142:C142"/>
    <mergeCell ref="D142:E142"/>
    <mergeCell ref="H142:I142"/>
    <mergeCell ref="J142:K142"/>
    <mergeCell ref="B143:C143"/>
    <mergeCell ref="D143:E143"/>
    <mergeCell ref="H143:I143"/>
    <mergeCell ref="J143:K143"/>
    <mergeCell ref="B148:C148"/>
    <mergeCell ref="D148:E148"/>
    <mergeCell ref="H148:I148"/>
    <mergeCell ref="J148:K148"/>
    <mergeCell ref="B149:C149"/>
    <mergeCell ref="D149:E149"/>
    <mergeCell ref="H149:I149"/>
    <mergeCell ref="J149:K149"/>
    <mergeCell ref="B146:C146"/>
    <mergeCell ref="D146:E146"/>
    <mergeCell ref="H146:I146"/>
    <mergeCell ref="J146:K146"/>
    <mergeCell ref="B147:C147"/>
    <mergeCell ref="D147:E147"/>
    <mergeCell ref="H147:I147"/>
    <mergeCell ref="J147:K147"/>
    <mergeCell ref="B152:C152"/>
    <mergeCell ref="D152:E152"/>
    <mergeCell ref="H152:I152"/>
    <mergeCell ref="J152:K152"/>
    <mergeCell ref="B153:C153"/>
    <mergeCell ref="D153:E153"/>
    <mergeCell ref="H153:I153"/>
    <mergeCell ref="J153:K153"/>
    <mergeCell ref="B150:C150"/>
    <mergeCell ref="D150:E150"/>
    <mergeCell ref="H150:I150"/>
    <mergeCell ref="J150:K150"/>
    <mergeCell ref="B151:C151"/>
    <mergeCell ref="D151:E151"/>
    <mergeCell ref="H151:I151"/>
    <mergeCell ref="J151:K151"/>
    <mergeCell ref="A162:C162"/>
    <mergeCell ref="F162:H162"/>
    <mergeCell ref="C163:E163"/>
    <mergeCell ref="F163:G163"/>
    <mergeCell ref="H163:I163"/>
    <mergeCell ref="J163:K163"/>
    <mergeCell ref="A155:K157"/>
    <mergeCell ref="A159:C159"/>
    <mergeCell ref="F159:H159"/>
    <mergeCell ref="A160:C160"/>
    <mergeCell ref="F160:H160"/>
    <mergeCell ref="A161:C161"/>
    <mergeCell ref="F161:H161"/>
    <mergeCell ref="J166:K166"/>
    <mergeCell ref="F168:G168"/>
    <mergeCell ref="C170:I173"/>
    <mergeCell ref="C164:E164"/>
    <mergeCell ref="F164:G164"/>
    <mergeCell ref="H164:I164"/>
    <mergeCell ref="J164:K164"/>
    <mergeCell ref="C165:E165"/>
    <mergeCell ref="F165:G165"/>
    <mergeCell ref="H165:I165"/>
    <mergeCell ref="J165:K165"/>
    <mergeCell ref="B175:D175"/>
    <mergeCell ref="A177:D177"/>
    <mergeCell ref="E177:G177"/>
    <mergeCell ref="A179:D179"/>
    <mergeCell ref="E179:H179"/>
    <mergeCell ref="A180:D180"/>
    <mergeCell ref="E180:G180"/>
    <mergeCell ref="C166:E166"/>
    <mergeCell ref="F166:G166"/>
    <mergeCell ref="H166:I166"/>
    <mergeCell ref="A186:C186"/>
    <mergeCell ref="C188:D188"/>
    <mergeCell ref="E188:G188"/>
    <mergeCell ref="A190:B190"/>
    <mergeCell ref="C190:E190"/>
    <mergeCell ref="F190:G190"/>
    <mergeCell ref="A181:D181"/>
    <mergeCell ref="E181:G181"/>
    <mergeCell ref="A183:F183"/>
    <mergeCell ref="A184:D184"/>
    <mergeCell ref="E184:G184"/>
    <mergeCell ref="A185:D185"/>
    <mergeCell ref="E185:G185"/>
    <mergeCell ref="J192:K192"/>
    <mergeCell ref="C193:E193"/>
    <mergeCell ref="F193:G193"/>
    <mergeCell ref="H193:I193"/>
    <mergeCell ref="J193:K193"/>
    <mergeCell ref="H190:I190"/>
    <mergeCell ref="J190:K190"/>
    <mergeCell ref="C191:E191"/>
    <mergeCell ref="F191:G191"/>
    <mergeCell ref="H191:I191"/>
    <mergeCell ref="J191:K191"/>
    <mergeCell ref="A195:B195"/>
    <mergeCell ref="C195:G195"/>
    <mergeCell ref="A198:B198"/>
    <mergeCell ref="C198:E198"/>
    <mergeCell ref="F198:G198"/>
    <mergeCell ref="H198:I198"/>
    <mergeCell ref="C192:E192"/>
    <mergeCell ref="F192:G192"/>
    <mergeCell ref="H192:I192"/>
    <mergeCell ref="A204:B204"/>
    <mergeCell ref="C204:E204"/>
    <mergeCell ref="F204:G204"/>
    <mergeCell ref="H204:I204"/>
    <mergeCell ref="J204:K204"/>
    <mergeCell ref="J198:K198"/>
    <mergeCell ref="C199:E199"/>
    <mergeCell ref="F199:G199"/>
    <mergeCell ref="H199:I199"/>
    <mergeCell ref="J199:K199"/>
    <mergeCell ref="C200:E200"/>
    <mergeCell ref="F200:G200"/>
    <mergeCell ref="H200:I200"/>
    <mergeCell ref="J200:K200"/>
    <mergeCell ref="C205:E205"/>
    <mergeCell ref="F205:G205"/>
    <mergeCell ref="H205:I205"/>
    <mergeCell ref="J205:K205"/>
    <mergeCell ref="C206:E206"/>
    <mergeCell ref="F206:G206"/>
    <mergeCell ref="H206:I206"/>
    <mergeCell ref="J206:K206"/>
    <mergeCell ref="C201:E201"/>
    <mergeCell ref="F201:G201"/>
    <mergeCell ref="H201:I201"/>
    <mergeCell ref="J201:K201"/>
    <mergeCell ref="A211:J211"/>
    <mergeCell ref="C214:K214"/>
    <mergeCell ref="A215:C215"/>
    <mergeCell ref="C217:D217"/>
    <mergeCell ref="C218:E218"/>
    <mergeCell ref="A220:C220"/>
    <mergeCell ref="E220:K220"/>
    <mergeCell ref="C207:E207"/>
    <mergeCell ref="F207:G207"/>
    <mergeCell ref="H207:I207"/>
    <mergeCell ref="J207:K207"/>
    <mergeCell ref="E209:H209"/>
    <mergeCell ref="A210:H210"/>
    <mergeCell ref="A225:D225"/>
    <mergeCell ref="E225:G225"/>
    <mergeCell ref="H225:K225"/>
    <mergeCell ref="A226:F226"/>
    <mergeCell ref="A227:K227"/>
    <mergeCell ref="B228:K228"/>
    <mergeCell ref="A221:F221"/>
    <mergeCell ref="G222:I222"/>
    <mergeCell ref="J222:K222"/>
    <mergeCell ref="G223:I223"/>
    <mergeCell ref="C224:F224"/>
    <mergeCell ref="G224:K224"/>
    <mergeCell ref="A247:C247"/>
    <mergeCell ref="F247:H247"/>
    <mergeCell ref="A248:C248"/>
    <mergeCell ref="F248:H248"/>
    <mergeCell ref="A249:C249"/>
    <mergeCell ref="F249:H249"/>
    <mergeCell ref="A229:E229"/>
    <mergeCell ref="C241:F241"/>
    <mergeCell ref="G241:I241"/>
    <mergeCell ref="C242:F242"/>
    <mergeCell ref="G242:I242"/>
    <mergeCell ref="A246:C246"/>
    <mergeCell ref="F246:H246"/>
    <mergeCell ref="C252:E252"/>
    <mergeCell ref="F252:G252"/>
    <mergeCell ref="H252:I252"/>
    <mergeCell ref="J252:K252"/>
    <mergeCell ref="C253:E253"/>
    <mergeCell ref="F253:G253"/>
    <mergeCell ref="H253:I253"/>
    <mergeCell ref="J253:K253"/>
    <mergeCell ref="C250:E250"/>
    <mergeCell ref="F250:G250"/>
    <mergeCell ref="H250:I250"/>
    <mergeCell ref="J250:K250"/>
    <mergeCell ref="C251:E251"/>
    <mergeCell ref="F251:G251"/>
    <mergeCell ref="H251:I251"/>
    <mergeCell ref="J251:K251"/>
  </mergeCells>
  <pageMargins left="0.7" right="0.4"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CFFC1A9C-15DB-408A-96D0-24D23A3D4142}">
          <x14:formula1>
            <xm:f>'D:\Users\Administrator\Downloads\[GSTR 9C_Offline utility_071218_v2 (1).xlsm]Master'!#REF!</xm:f>
          </x14:formula1>
          <xm:sqref>C242</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0ED764-2E5C-4154-9B37-083096DDB169}">
  <sheetPr codeName="Sheet26"/>
  <dimension ref="A1:L233"/>
  <sheetViews>
    <sheetView topLeftCell="A159" zoomScaleNormal="100" workbookViewId="0">
      <selection activeCell="A142" sqref="A142"/>
    </sheetView>
  </sheetViews>
  <sheetFormatPr defaultColWidth="9.109375" defaultRowHeight="13.2" x14ac:dyDescent="0.3"/>
  <cols>
    <col min="1" max="1" width="6.88671875" style="64" customWidth="1"/>
    <col min="2" max="2" width="6" style="64" customWidth="1"/>
    <col min="3" max="3" width="9" style="64" customWidth="1"/>
    <col min="4" max="4" width="9.88671875" style="64" customWidth="1"/>
    <col min="5" max="5" width="5.5546875" style="64" customWidth="1"/>
    <col min="6" max="6" width="16.5546875" style="64" customWidth="1"/>
    <col min="7" max="7" width="15.6640625" style="64" customWidth="1"/>
    <col min="8" max="8" width="6.88671875" style="64" customWidth="1"/>
    <col min="9" max="9" width="9.109375" style="64" customWidth="1"/>
    <col min="10" max="10" width="3.44140625" style="64" customWidth="1"/>
    <col min="11" max="11" width="12.33203125" style="64" customWidth="1"/>
    <col min="12" max="12" width="9.88671875" style="64" customWidth="1"/>
    <col min="13" max="16384" width="9.109375" style="64"/>
  </cols>
  <sheetData>
    <row r="1" spans="1:12" x14ac:dyDescent="0.3">
      <c r="D1" s="60"/>
    </row>
    <row r="2" spans="1:12" ht="66.75" customHeight="1" x14ac:dyDescent="0.3">
      <c r="E2" s="631" t="s">
        <v>305</v>
      </c>
      <c r="F2" s="631"/>
      <c r="G2" s="631"/>
    </row>
    <row r="3" spans="1:12" ht="16.5" customHeight="1" x14ac:dyDescent="0.3">
      <c r="A3" s="107" t="s">
        <v>672</v>
      </c>
      <c r="B3" s="585" t="s">
        <v>304</v>
      </c>
      <c r="C3" s="585"/>
      <c r="D3" s="585"/>
      <c r="E3" s="585"/>
      <c r="F3" s="585"/>
      <c r="G3" s="585"/>
      <c r="H3" s="585"/>
      <c r="I3" s="585"/>
      <c r="J3" s="585"/>
      <c r="K3" s="585"/>
      <c r="L3" s="66"/>
    </row>
    <row r="4" spans="1:12" ht="19.5" customHeight="1" x14ac:dyDescent="0.3">
      <c r="A4" s="108">
        <v>1</v>
      </c>
      <c r="B4" s="575" t="s">
        <v>677</v>
      </c>
      <c r="C4" s="576"/>
      <c r="D4" s="576"/>
      <c r="E4" s="576"/>
      <c r="F4" s="577"/>
      <c r="G4" s="580"/>
      <c r="H4" s="576"/>
      <c r="I4" s="576"/>
      <c r="J4" s="576"/>
      <c r="K4" s="577"/>
    </row>
    <row r="5" spans="1:12" ht="16.5" customHeight="1" x14ac:dyDescent="0.25">
      <c r="A5" s="108">
        <v>2</v>
      </c>
      <c r="B5" s="575" t="s">
        <v>154</v>
      </c>
      <c r="C5" s="578"/>
      <c r="D5" s="578"/>
      <c r="E5" s="578"/>
      <c r="F5" s="579"/>
      <c r="G5" s="639"/>
      <c r="H5" s="640"/>
      <c r="I5" s="640"/>
      <c r="J5" s="640"/>
      <c r="K5" s="641"/>
    </row>
    <row r="6" spans="1:12" ht="16.5" customHeight="1" x14ac:dyDescent="0.3">
      <c r="A6" s="110" t="s">
        <v>89</v>
      </c>
      <c r="B6" s="575" t="s">
        <v>155</v>
      </c>
      <c r="C6" s="578"/>
      <c r="D6" s="578"/>
      <c r="E6" s="578"/>
      <c r="F6" s="579"/>
      <c r="G6" s="637"/>
      <c r="H6" s="638"/>
      <c r="I6" s="638"/>
      <c r="J6" s="638"/>
      <c r="K6" s="623"/>
    </row>
    <row r="7" spans="1:12" ht="21" customHeight="1" x14ac:dyDescent="0.3">
      <c r="A7" s="110" t="s">
        <v>90</v>
      </c>
      <c r="B7" s="575" t="s">
        <v>678</v>
      </c>
      <c r="C7" s="576"/>
      <c r="D7" s="576"/>
      <c r="E7" s="576"/>
      <c r="F7" s="577"/>
      <c r="G7" s="575"/>
      <c r="H7" s="578"/>
      <c r="I7" s="578"/>
      <c r="J7" s="578"/>
      <c r="K7" s="579"/>
    </row>
    <row r="8" spans="1:12" ht="23.25" customHeight="1" x14ac:dyDescent="0.3">
      <c r="A8" s="110" t="s">
        <v>535</v>
      </c>
      <c r="B8" s="580" t="s">
        <v>537</v>
      </c>
      <c r="C8" s="576"/>
      <c r="D8" s="576"/>
      <c r="E8" s="576"/>
      <c r="F8" s="577"/>
      <c r="G8" s="575" t="s">
        <v>540</v>
      </c>
      <c r="H8" s="578"/>
      <c r="I8" s="578"/>
      <c r="J8" s="578"/>
      <c r="K8" s="579"/>
    </row>
    <row r="9" spans="1:12" ht="21.75" customHeight="1" x14ac:dyDescent="0.3">
      <c r="A9" s="110" t="s">
        <v>536</v>
      </c>
      <c r="B9" s="634" t="s">
        <v>538</v>
      </c>
      <c r="C9" s="635"/>
      <c r="D9" s="635"/>
      <c r="E9" s="635"/>
      <c r="F9" s="636"/>
      <c r="G9" s="575" t="s">
        <v>540</v>
      </c>
      <c r="H9" s="578"/>
      <c r="I9" s="578"/>
      <c r="J9" s="578"/>
      <c r="K9" s="579"/>
    </row>
    <row r="10" spans="1:12" ht="21.75" customHeight="1" x14ac:dyDescent="0.3">
      <c r="A10" s="108">
        <v>4</v>
      </c>
      <c r="B10" s="575" t="s">
        <v>541</v>
      </c>
      <c r="C10" s="578"/>
      <c r="D10" s="578"/>
      <c r="E10" s="578"/>
      <c r="F10" s="579"/>
      <c r="G10" s="637"/>
      <c r="H10" s="638"/>
      <c r="I10" s="638"/>
      <c r="J10" s="638"/>
      <c r="K10" s="623"/>
    </row>
    <row r="11" spans="1:12" ht="48.75" customHeight="1" x14ac:dyDescent="0.3">
      <c r="A11" s="109" t="s">
        <v>276</v>
      </c>
      <c r="B11" s="637" t="s">
        <v>539</v>
      </c>
      <c r="C11" s="638"/>
      <c r="D11" s="638"/>
      <c r="E11" s="638"/>
      <c r="F11" s="623"/>
      <c r="G11" s="637"/>
      <c r="H11" s="638"/>
      <c r="I11" s="638"/>
      <c r="J11" s="638"/>
      <c r="K11" s="623"/>
    </row>
    <row r="12" spans="1:12" ht="16.5" customHeight="1" x14ac:dyDescent="0.25">
      <c r="A12" s="89"/>
      <c r="B12" s="632"/>
      <c r="C12" s="632"/>
      <c r="D12" s="632"/>
      <c r="E12" s="632"/>
      <c r="F12" s="632"/>
      <c r="G12" s="633" t="s">
        <v>156</v>
      </c>
      <c r="H12" s="633"/>
      <c r="I12" s="633"/>
      <c r="J12" s="633"/>
      <c r="K12" s="633"/>
    </row>
    <row r="13" spans="1:12" ht="33" customHeight="1" x14ac:dyDescent="0.3">
      <c r="A13" s="107" t="s">
        <v>673</v>
      </c>
      <c r="B13" s="618" t="s">
        <v>306</v>
      </c>
      <c r="C13" s="618"/>
      <c r="D13" s="618"/>
      <c r="E13" s="618"/>
      <c r="F13" s="618"/>
      <c r="G13" s="618"/>
      <c r="H13" s="618"/>
      <c r="I13" s="618"/>
      <c r="J13" s="618"/>
      <c r="K13" s="618"/>
    </row>
    <row r="14" spans="1:12" ht="16.5" customHeight="1" x14ac:dyDescent="0.3">
      <c r="A14" s="109">
        <v>5</v>
      </c>
      <c r="B14" s="620" t="s">
        <v>157</v>
      </c>
      <c r="C14" s="620"/>
      <c r="D14" s="620"/>
      <c r="E14" s="620"/>
      <c r="F14" s="620"/>
      <c r="G14" s="620"/>
      <c r="H14" s="620"/>
      <c r="I14" s="620"/>
      <c r="J14" s="620"/>
      <c r="K14" s="620"/>
    </row>
    <row r="15" spans="1:12" ht="16.5" customHeight="1" x14ac:dyDescent="0.3">
      <c r="A15" s="109" t="s">
        <v>542</v>
      </c>
      <c r="B15" s="585" t="s">
        <v>24</v>
      </c>
      <c r="C15" s="620"/>
      <c r="D15" s="620"/>
      <c r="E15" s="620"/>
      <c r="F15" s="620"/>
      <c r="G15" s="620"/>
      <c r="H15" s="620"/>
      <c r="I15" s="585" t="s">
        <v>570</v>
      </c>
      <c r="J15" s="620"/>
      <c r="K15" s="620"/>
    </row>
    <row r="16" spans="1:12" ht="68.25" customHeight="1" x14ac:dyDescent="0.3">
      <c r="A16" s="110" t="s">
        <v>158</v>
      </c>
      <c r="B16" s="626" t="s">
        <v>159</v>
      </c>
      <c r="C16" s="626"/>
      <c r="D16" s="626"/>
      <c r="E16" s="626"/>
      <c r="F16" s="626"/>
      <c r="G16" s="626"/>
      <c r="H16" s="626"/>
      <c r="I16" s="568"/>
      <c r="J16" s="568"/>
      <c r="K16" s="568"/>
    </row>
    <row r="17" spans="1:11" ht="16.5" customHeight="1" x14ac:dyDescent="0.3">
      <c r="A17" s="107" t="s">
        <v>160</v>
      </c>
      <c r="B17" s="611" t="s">
        <v>161</v>
      </c>
      <c r="C17" s="611"/>
      <c r="D17" s="611"/>
      <c r="E17" s="611"/>
      <c r="F17" s="611"/>
      <c r="G17" s="611"/>
      <c r="H17" s="112" t="s">
        <v>544</v>
      </c>
      <c r="I17" s="568"/>
      <c r="J17" s="568"/>
      <c r="K17" s="568"/>
    </row>
    <row r="18" spans="1:11" ht="16.5" customHeight="1" x14ac:dyDescent="0.3">
      <c r="A18" s="107" t="s">
        <v>162</v>
      </c>
      <c r="B18" s="611" t="s">
        <v>163</v>
      </c>
      <c r="C18" s="611"/>
      <c r="D18" s="611"/>
      <c r="E18" s="611"/>
      <c r="F18" s="611"/>
      <c r="G18" s="611"/>
      <c r="H18" s="112" t="s">
        <v>544</v>
      </c>
      <c r="I18" s="568"/>
      <c r="J18" s="568"/>
      <c r="K18" s="568"/>
    </row>
    <row r="19" spans="1:11" ht="16.5" customHeight="1" x14ac:dyDescent="0.3">
      <c r="A19" s="107" t="s">
        <v>164</v>
      </c>
      <c r="B19" s="611" t="s">
        <v>165</v>
      </c>
      <c r="C19" s="611"/>
      <c r="D19" s="611"/>
      <c r="E19" s="611"/>
      <c r="F19" s="611"/>
      <c r="G19" s="611"/>
      <c r="H19" s="112" t="s">
        <v>544</v>
      </c>
      <c r="I19" s="568"/>
      <c r="J19" s="568"/>
      <c r="K19" s="568"/>
    </row>
    <row r="20" spans="1:11" ht="33" customHeight="1" x14ac:dyDescent="0.3">
      <c r="A20" s="107" t="s">
        <v>166</v>
      </c>
      <c r="B20" s="626" t="s">
        <v>167</v>
      </c>
      <c r="C20" s="626"/>
      <c r="D20" s="626"/>
      <c r="E20" s="626"/>
      <c r="F20" s="626"/>
      <c r="G20" s="626"/>
      <c r="H20" s="112" t="s">
        <v>544</v>
      </c>
      <c r="I20" s="568"/>
      <c r="J20" s="568"/>
      <c r="K20" s="568"/>
    </row>
    <row r="21" spans="1:11" ht="34.5" customHeight="1" x14ac:dyDescent="0.3">
      <c r="A21" s="107" t="s">
        <v>168</v>
      </c>
      <c r="B21" s="611" t="s">
        <v>277</v>
      </c>
      <c r="C21" s="611"/>
      <c r="D21" s="611"/>
      <c r="E21" s="611"/>
      <c r="F21" s="611"/>
      <c r="G21" s="611"/>
      <c r="H21" s="112" t="s">
        <v>544</v>
      </c>
      <c r="I21" s="568"/>
      <c r="J21" s="568"/>
      <c r="K21" s="568"/>
    </row>
    <row r="22" spans="1:11" ht="16.5" customHeight="1" x14ac:dyDescent="0.3">
      <c r="A22" s="107" t="s">
        <v>169</v>
      </c>
      <c r="B22" s="611" t="s">
        <v>170</v>
      </c>
      <c r="C22" s="611"/>
      <c r="D22" s="611"/>
      <c r="E22" s="611"/>
      <c r="F22" s="611"/>
      <c r="G22" s="611"/>
      <c r="H22" s="111" t="s">
        <v>545</v>
      </c>
      <c r="I22" s="568"/>
      <c r="J22" s="568"/>
      <c r="K22" s="568"/>
    </row>
    <row r="23" spans="1:11" ht="16.5" customHeight="1" x14ac:dyDescent="0.3">
      <c r="A23" s="107" t="s">
        <v>171</v>
      </c>
      <c r="B23" s="611" t="s">
        <v>172</v>
      </c>
      <c r="C23" s="611"/>
      <c r="D23" s="611"/>
      <c r="E23" s="611"/>
      <c r="F23" s="611"/>
      <c r="G23" s="611"/>
      <c r="H23" s="111" t="s">
        <v>545</v>
      </c>
      <c r="I23" s="568"/>
      <c r="J23" s="568"/>
      <c r="K23" s="568"/>
    </row>
    <row r="24" spans="1:11" ht="33" customHeight="1" x14ac:dyDescent="0.3">
      <c r="A24" s="107" t="s">
        <v>173</v>
      </c>
      <c r="B24" s="626" t="s">
        <v>174</v>
      </c>
      <c r="C24" s="626"/>
      <c r="D24" s="626"/>
      <c r="E24" s="626"/>
      <c r="F24" s="626"/>
      <c r="G24" s="626"/>
      <c r="H24" s="111" t="s">
        <v>545</v>
      </c>
      <c r="I24" s="568"/>
      <c r="J24" s="568"/>
      <c r="K24" s="568"/>
    </row>
    <row r="25" spans="1:11" ht="33" customHeight="1" x14ac:dyDescent="0.3">
      <c r="A25" s="107" t="s">
        <v>175</v>
      </c>
      <c r="B25" s="626" t="s">
        <v>176</v>
      </c>
      <c r="C25" s="626"/>
      <c r="D25" s="626"/>
      <c r="E25" s="626"/>
      <c r="F25" s="626"/>
      <c r="G25" s="626"/>
      <c r="H25" s="111" t="s">
        <v>545</v>
      </c>
      <c r="I25" s="568"/>
      <c r="J25" s="568"/>
      <c r="K25" s="568"/>
    </row>
    <row r="26" spans="1:11" ht="33" customHeight="1" x14ac:dyDescent="0.3">
      <c r="A26" s="107" t="s">
        <v>177</v>
      </c>
      <c r="B26" s="626" t="s">
        <v>178</v>
      </c>
      <c r="C26" s="626"/>
      <c r="D26" s="626"/>
      <c r="E26" s="626"/>
      <c r="F26" s="626"/>
      <c r="G26" s="626"/>
      <c r="H26" s="111" t="s">
        <v>545</v>
      </c>
      <c r="I26" s="568"/>
      <c r="J26" s="568"/>
      <c r="K26" s="568"/>
    </row>
    <row r="27" spans="1:11" ht="16.5" customHeight="1" x14ac:dyDescent="0.3">
      <c r="A27" s="107" t="s">
        <v>179</v>
      </c>
      <c r="B27" s="611" t="s">
        <v>180</v>
      </c>
      <c r="C27" s="611"/>
      <c r="D27" s="611"/>
      <c r="E27" s="611"/>
      <c r="F27" s="611"/>
      <c r="G27" s="611"/>
      <c r="H27" s="111" t="s">
        <v>545</v>
      </c>
      <c r="I27" s="568"/>
      <c r="J27" s="568"/>
      <c r="K27" s="568"/>
    </row>
    <row r="28" spans="1:11" ht="33" customHeight="1" x14ac:dyDescent="0.3">
      <c r="A28" s="107" t="s">
        <v>181</v>
      </c>
      <c r="B28" s="626" t="s">
        <v>182</v>
      </c>
      <c r="C28" s="626"/>
      <c r="D28" s="626"/>
      <c r="E28" s="626"/>
      <c r="F28" s="626"/>
      <c r="G28" s="626"/>
      <c r="H28" s="111" t="s">
        <v>546</v>
      </c>
      <c r="I28" s="568"/>
      <c r="J28" s="568"/>
      <c r="K28" s="568"/>
    </row>
    <row r="29" spans="1:11" ht="33" customHeight="1" x14ac:dyDescent="0.3">
      <c r="A29" s="107" t="s">
        <v>183</v>
      </c>
      <c r="B29" s="626" t="s">
        <v>184</v>
      </c>
      <c r="C29" s="626"/>
      <c r="D29" s="626"/>
      <c r="E29" s="626"/>
      <c r="F29" s="626"/>
      <c r="G29" s="626"/>
      <c r="H29" s="111" t="s">
        <v>546</v>
      </c>
      <c r="I29" s="568"/>
      <c r="J29" s="568"/>
      <c r="K29" s="568"/>
    </row>
    <row r="30" spans="1:11" ht="33" customHeight="1" x14ac:dyDescent="0.3">
      <c r="A30" s="107" t="s">
        <v>185</v>
      </c>
      <c r="B30" s="628" t="s">
        <v>588</v>
      </c>
      <c r="C30" s="628"/>
      <c r="D30" s="628"/>
      <c r="E30" s="628"/>
      <c r="F30" s="628"/>
      <c r="G30" s="628"/>
      <c r="H30" s="111" t="s">
        <v>546</v>
      </c>
      <c r="I30" s="568"/>
      <c r="J30" s="568"/>
      <c r="K30" s="568"/>
    </row>
    <row r="31" spans="1:11" ht="16.5" customHeight="1" x14ac:dyDescent="0.3">
      <c r="A31" s="107" t="s">
        <v>187</v>
      </c>
      <c r="B31" s="629" t="s">
        <v>582</v>
      </c>
      <c r="C31" s="629"/>
      <c r="D31" s="629"/>
      <c r="E31" s="629"/>
      <c r="F31" s="629"/>
      <c r="G31" s="629"/>
      <c r="H31" s="629"/>
      <c r="I31" s="614"/>
      <c r="J31" s="614"/>
      <c r="K31" s="614"/>
    </row>
    <row r="32" spans="1:11" ht="16.5" customHeight="1" x14ac:dyDescent="0.3">
      <c r="A32" s="107" t="s">
        <v>188</v>
      </c>
      <c r="B32" s="611" t="s">
        <v>189</v>
      </c>
      <c r="C32" s="611"/>
      <c r="D32" s="611"/>
      <c r="E32" s="611"/>
      <c r="F32" s="611"/>
      <c r="G32" s="611"/>
      <c r="H32" s="611"/>
      <c r="I32" s="568"/>
      <c r="J32" s="568"/>
      <c r="K32" s="568"/>
    </row>
    <row r="33" spans="1:11" ht="16.5" customHeight="1" x14ac:dyDescent="0.3">
      <c r="A33" s="107" t="s">
        <v>190</v>
      </c>
      <c r="B33" s="611" t="s">
        <v>191</v>
      </c>
      <c r="C33" s="611"/>
      <c r="D33" s="611"/>
      <c r="E33" s="611"/>
      <c r="F33" s="611"/>
      <c r="G33" s="611"/>
      <c r="H33" s="611"/>
      <c r="I33" s="614"/>
      <c r="J33" s="614"/>
      <c r="K33" s="614"/>
    </row>
    <row r="34" spans="1:11" ht="16.5" customHeight="1" x14ac:dyDescent="0.3">
      <c r="A34" s="109">
        <v>6</v>
      </c>
      <c r="B34" s="627" t="s">
        <v>192</v>
      </c>
      <c r="C34" s="627"/>
      <c r="D34" s="627"/>
      <c r="E34" s="627"/>
      <c r="F34" s="627"/>
      <c r="G34" s="627"/>
      <c r="H34" s="627"/>
      <c r="I34" s="627"/>
      <c r="J34" s="627"/>
      <c r="K34" s="627"/>
    </row>
    <row r="35" spans="1:11" ht="219.9" customHeight="1" x14ac:dyDescent="0.3">
      <c r="A35" s="107" t="s">
        <v>6</v>
      </c>
      <c r="B35" s="569" t="s">
        <v>301</v>
      </c>
      <c r="C35" s="569"/>
      <c r="D35" s="569"/>
      <c r="E35" s="569"/>
      <c r="F35" s="569"/>
      <c r="G35" s="569"/>
      <c r="H35" s="569"/>
      <c r="I35" s="569"/>
      <c r="J35" s="569"/>
      <c r="K35" s="569"/>
    </row>
    <row r="36" spans="1:11" ht="16.5" customHeight="1" x14ac:dyDescent="0.3">
      <c r="A36" s="109">
        <v>7</v>
      </c>
      <c r="B36" s="630" t="s">
        <v>193</v>
      </c>
      <c r="C36" s="630"/>
      <c r="D36" s="630"/>
      <c r="E36" s="630"/>
      <c r="F36" s="630"/>
      <c r="G36" s="630"/>
      <c r="H36" s="630"/>
      <c r="I36" s="630"/>
      <c r="J36" s="630"/>
      <c r="K36" s="630"/>
    </row>
    <row r="37" spans="1:11" ht="16.5" customHeight="1" x14ac:dyDescent="0.3">
      <c r="A37" s="109" t="s">
        <v>542</v>
      </c>
      <c r="B37" s="585" t="s">
        <v>24</v>
      </c>
      <c r="C37" s="620"/>
      <c r="D37" s="620"/>
      <c r="E37" s="620"/>
      <c r="F37" s="620"/>
      <c r="G37" s="620"/>
      <c r="H37" s="620"/>
      <c r="I37" s="585" t="s">
        <v>570</v>
      </c>
      <c r="J37" s="620"/>
      <c r="K37" s="620"/>
    </row>
    <row r="38" spans="1:11" ht="33" customHeight="1" x14ac:dyDescent="0.3">
      <c r="A38" s="110" t="s">
        <v>158</v>
      </c>
      <c r="B38" s="628" t="s">
        <v>194</v>
      </c>
      <c r="C38" s="628"/>
      <c r="D38" s="628"/>
      <c r="E38" s="628"/>
      <c r="F38" s="628"/>
      <c r="G38" s="628"/>
      <c r="H38" s="628"/>
      <c r="I38" s="614"/>
      <c r="J38" s="614"/>
      <c r="K38" s="614"/>
    </row>
    <row r="39" spans="1:11" ht="33" customHeight="1" x14ac:dyDescent="0.3">
      <c r="A39" s="110" t="s">
        <v>160</v>
      </c>
      <c r="B39" s="626" t="s">
        <v>195</v>
      </c>
      <c r="C39" s="626"/>
      <c r="D39" s="626"/>
      <c r="E39" s="626"/>
      <c r="F39" s="626"/>
      <c r="G39" s="626"/>
      <c r="H39" s="626"/>
      <c r="I39" s="568"/>
      <c r="J39" s="568"/>
      <c r="K39" s="568"/>
    </row>
    <row r="40" spans="1:11" ht="16.5" customHeight="1" x14ac:dyDescent="0.3">
      <c r="A40" s="107" t="s">
        <v>162</v>
      </c>
      <c r="B40" s="611" t="s">
        <v>196</v>
      </c>
      <c r="C40" s="611"/>
      <c r="D40" s="611"/>
      <c r="E40" s="611"/>
      <c r="F40" s="611"/>
      <c r="G40" s="611"/>
      <c r="H40" s="611"/>
      <c r="I40" s="568"/>
      <c r="J40" s="568"/>
      <c r="K40" s="568"/>
    </row>
    <row r="41" spans="1:11" ht="33" customHeight="1" x14ac:dyDescent="0.3">
      <c r="A41" s="107" t="s">
        <v>164</v>
      </c>
      <c r="B41" s="626" t="s">
        <v>197</v>
      </c>
      <c r="C41" s="626"/>
      <c r="D41" s="626"/>
      <c r="E41" s="626"/>
      <c r="F41" s="626"/>
      <c r="G41" s="626"/>
      <c r="H41" s="626"/>
      <c r="I41" s="568"/>
      <c r="J41" s="568"/>
      <c r="K41" s="568"/>
    </row>
    <row r="42" spans="1:11" ht="16.5" customHeight="1" x14ac:dyDescent="0.3">
      <c r="A42" s="107" t="s">
        <v>166</v>
      </c>
      <c r="B42" s="611" t="s">
        <v>198</v>
      </c>
      <c r="C42" s="611"/>
      <c r="D42" s="611"/>
      <c r="E42" s="611"/>
      <c r="F42" s="611"/>
      <c r="G42" s="611"/>
      <c r="H42" s="611"/>
      <c r="I42" s="614"/>
      <c r="J42" s="614"/>
      <c r="K42" s="614"/>
    </row>
    <row r="43" spans="1:11" ht="33" customHeight="1" x14ac:dyDescent="0.3">
      <c r="A43" s="107" t="s">
        <v>168</v>
      </c>
      <c r="B43" s="626" t="s">
        <v>199</v>
      </c>
      <c r="C43" s="626"/>
      <c r="D43" s="626"/>
      <c r="E43" s="626"/>
      <c r="F43" s="626"/>
      <c r="G43" s="626"/>
      <c r="H43" s="626"/>
      <c r="I43" s="568"/>
      <c r="J43" s="568"/>
      <c r="K43" s="568"/>
    </row>
    <row r="44" spans="1:11" ht="16.5" customHeight="1" x14ac:dyDescent="0.3">
      <c r="A44" s="107" t="s">
        <v>169</v>
      </c>
      <c r="B44" s="611" t="s">
        <v>200</v>
      </c>
      <c r="C44" s="611"/>
      <c r="D44" s="611"/>
      <c r="E44" s="611"/>
      <c r="F44" s="611"/>
      <c r="G44" s="611"/>
      <c r="H44" s="611"/>
      <c r="I44" s="614"/>
      <c r="J44" s="614"/>
      <c r="K44" s="614"/>
    </row>
    <row r="45" spans="1:11" ht="16.5" customHeight="1" x14ac:dyDescent="0.3">
      <c r="A45" s="109">
        <v>8</v>
      </c>
      <c r="B45" s="625" t="s">
        <v>201</v>
      </c>
      <c r="C45" s="625"/>
      <c r="D45" s="625"/>
      <c r="E45" s="625"/>
      <c r="F45" s="625"/>
      <c r="G45" s="625"/>
      <c r="H45" s="625"/>
      <c r="I45" s="625"/>
      <c r="J45" s="625"/>
      <c r="K45" s="625"/>
    </row>
    <row r="46" spans="1:11" ht="219.9" customHeight="1" x14ac:dyDescent="0.3">
      <c r="A46" s="107" t="s">
        <v>6</v>
      </c>
      <c r="B46" s="569" t="s">
        <v>301</v>
      </c>
      <c r="C46" s="569"/>
      <c r="D46" s="569"/>
      <c r="E46" s="569"/>
      <c r="F46" s="569"/>
      <c r="G46" s="569"/>
      <c r="H46" s="569"/>
      <c r="I46" s="569"/>
      <c r="J46" s="569"/>
      <c r="K46" s="569"/>
    </row>
    <row r="47" spans="1:11" ht="33" customHeight="1" x14ac:dyDescent="0.3">
      <c r="A47" s="107" t="s">
        <v>674</v>
      </c>
      <c r="B47" s="583" t="s">
        <v>307</v>
      </c>
      <c r="C47" s="583"/>
      <c r="D47" s="583"/>
      <c r="E47" s="583"/>
      <c r="F47" s="583"/>
      <c r="G47" s="583"/>
      <c r="H47" s="583"/>
      <c r="I47" s="583"/>
      <c r="J47" s="583"/>
      <c r="K47" s="583"/>
    </row>
    <row r="48" spans="1:11" ht="16.5" customHeight="1" x14ac:dyDescent="0.3">
      <c r="A48" s="109">
        <v>9</v>
      </c>
      <c r="B48" s="627" t="s">
        <v>202</v>
      </c>
      <c r="C48" s="627"/>
      <c r="D48" s="627"/>
      <c r="E48" s="627"/>
      <c r="F48" s="627"/>
      <c r="G48" s="627"/>
      <c r="H48" s="627"/>
      <c r="I48" s="627"/>
      <c r="J48" s="627"/>
      <c r="K48" s="627"/>
    </row>
    <row r="49" spans="1:11" ht="16.5" customHeight="1" x14ac:dyDescent="0.3">
      <c r="A49" s="624" t="s">
        <v>542</v>
      </c>
      <c r="B49" s="585" t="s">
        <v>204</v>
      </c>
      <c r="C49" s="585"/>
      <c r="D49" s="585" t="s">
        <v>205</v>
      </c>
      <c r="E49" s="585"/>
      <c r="F49" s="585" t="s">
        <v>203</v>
      </c>
      <c r="G49" s="585"/>
      <c r="H49" s="585"/>
      <c r="I49" s="585"/>
      <c r="J49" s="585"/>
      <c r="K49" s="585"/>
    </row>
    <row r="50" spans="1:11" ht="42" customHeight="1" x14ac:dyDescent="0.3">
      <c r="A50" s="624"/>
      <c r="B50" s="585"/>
      <c r="C50" s="585"/>
      <c r="D50" s="585"/>
      <c r="E50" s="585"/>
      <c r="F50" s="107" t="s">
        <v>49</v>
      </c>
      <c r="G50" s="107" t="s">
        <v>547</v>
      </c>
      <c r="H50" s="585" t="s">
        <v>206</v>
      </c>
      <c r="I50" s="585"/>
      <c r="J50" s="585" t="s">
        <v>571</v>
      </c>
      <c r="K50" s="610"/>
    </row>
    <row r="51" spans="1:11" ht="16.5" customHeight="1" x14ac:dyDescent="0.3">
      <c r="A51" s="107" t="s">
        <v>158</v>
      </c>
      <c r="B51" s="567">
        <v>0.05</v>
      </c>
      <c r="C51" s="567"/>
      <c r="D51" s="568"/>
      <c r="E51" s="568"/>
      <c r="F51" s="156"/>
      <c r="G51" s="156"/>
      <c r="H51" s="568"/>
      <c r="I51" s="568"/>
      <c r="J51" s="568"/>
      <c r="K51" s="568"/>
    </row>
    <row r="52" spans="1:11" ht="16.5" customHeight="1" x14ac:dyDescent="0.3">
      <c r="A52" s="107" t="s">
        <v>160</v>
      </c>
      <c r="B52" s="569" t="s">
        <v>207</v>
      </c>
      <c r="C52" s="569"/>
      <c r="D52" s="568"/>
      <c r="E52" s="568"/>
      <c r="F52" s="156"/>
      <c r="G52" s="156"/>
      <c r="H52" s="568"/>
      <c r="I52" s="568"/>
      <c r="J52" s="568"/>
      <c r="K52" s="568"/>
    </row>
    <row r="53" spans="1:11" ht="16.5" customHeight="1" x14ac:dyDescent="0.3">
      <c r="A53" s="185" t="s">
        <v>690</v>
      </c>
      <c r="B53" s="622">
        <v>0.06</v>
      </c>
      <c r="C53" s="623"/>
      <c r="D53" s="573"/>
      <c r="E53" s="574"/>
      <c r="F53" s="186"/>
      <c r="G53" s="186"/>
      <c r="H53" s="573"/>
      <c r="I53" s="574"/>
      <c r="J53" s="573"/>
      <c r="K53" s="574"/>
    </row>
    <row r="54" spans="1:11" ht="16.5" customHeight="1" x14ac:dyDescent="0.3">
      <c r="A54" s="107" t="s">
        <v>8</v>
      </c>
      <c r="B54" s="567">
        <v>0.12</v>
      </c>
      <c r="C54" s="567"/>
      <c r="D54" s="568"/>
      <c r="E54" s="568"/>
      <c r="F54" s="156"/>
      <c r="G54" s="156"/>
      <c r="H54" s="568"/>
      <c r="I54" s="568"/>
      <c r="J54" s="568"/>
      <c r="K54" s="568"/>
    </row>
    <row r="55" spans="1:11" ht="16.5" customHeight="1" x14ac:dyDescent="0.3">
      <c r="A55" s="107" t="s">
        <v>9</v>
      </c>
      <c r="B55" s="569" t="s">
        <v>208</v>
      </c>
      <c r="C55" s="569"/>
      <c r="D55" s="568"/>
      <c r="E55" s="568"/>
      <c r="F55" s="156"/>
      <c r="G55" s="156"/>
      <c r="H55" s="568"/>
      <c r="I55" s="568"/>
      <c r="J55" s="568"/>
      <c r="K55" s="568"/>
    </row>
    <row r="56" spans="1:11" ht="16.5" customHeight="1" x14ac:dyDescent="0.3">
      <c r="A56" s="107" t="s">
        <v>10</v>
      </c>
      <c r="B56" s="567">
        <v>0.18</v>
      </c>
      <c r="C56" s="567"/>
      <c r="D56" s="568"/>
      <c r="E56" s="568"/>
      <c r="F56" s="156"/>
      <c r="G56" s="156"/>
      <c r="H56" s="568"/>
      <c r="I56" s="568"/>
      <c r="J56" s="568"/>
      <c r="K56" s="568"/>
    </row>
    <row r="57" spans="1:11" ht="16.5" customHeight="1" x14ac:dyDescent="0.3">
      <c r="A57" s="107" t="s">
        <v>11</v>
      </c>
      <c r="B57" s="569" t="s">
        <v>209</v>
      </c>
      <c r="C57" s="569"/>
      <c r="D57" s="568"/>
      <c r="E57" s="568"/>
      <c r="F57" s="156"/>
      <c r="G57" s="156"/>
      <c r="H57" s="568"/>
      <c r="I57" s="568"/>
      <c r="J57" s="568"/>
      <c r="K57" s="568"/>
    </row>
    <row r="58" spans="1:11" ht="16.5" customHeight="1" x14ac:dyDescent="0.3">
      <c r="A58" s="107" t="s">
        <v>12</v>
      </c>
      <c r="B58" s="567">
        <v>0.28000000000000003</v>
      </c>
      <c r="C58" s="567"/>
      <c r="D58" s="568"/>
      <c r="E58" s="568"/>
      <c r="F58" s="156"/>
      <c r="G58" s="156"/>
      <c r="H58" s="568"/>
      <c r="I58" s="568"/>
      <c r="J58" s="568"/>
      <c r="K58" s="568"/>
    </row>
    <row r="59" spans="1:11" ht="16.5" customHeight="1" x14ac:dyDescent="0.3">
      <c r="A59" s="107" t="s">
        <v>14</v>
      </c>
      <c r="B59" s="569" t="s">
        <v>210</v>
      </c>
      <c r="C59" s="569"/>
      <c r="D59" s="568"/>
      <c r="E59" s="568"/>
      <c r="F59" s="156"/>
      <c r="G59" s="156"/>
      <c r="H59" s="568"/>
      <c r="I59" s="568"/>
      <c r="J59" s="568"/>
      <c r="K59" s="568"/>
    </row>
    <row r="60" spans="1:11" ht="16.5" customHeight="1" x14ac:dyDescent="0.3">
      <c r="A60" s="107" t="s">
        <v>744</v>
      </c>
      <c r="B60" s="570">
        <v>0.4</v>
      </c>
      <c r="C60" s="569"/>
      <c r="D60" s="568"/>
      <c r="E60" s="568"/>
      <c r="F60" s="156"/>
      <c r="G60" s="156"/>
      <c r="H60" s="568"/>
      <c r="I60" s="568"/>
      <c r="J60" s="568"/>
      <c r="K60" s="568"/>
    </row>
    <row r="61" spans="1:11" ht="16.5" customHeight="1" x14ac:dyDescent="0.3">
      <c r="A61" s="107" t="s">
        <v>745</v>
      </c>
      <c r="B61" s="569" t="s">
        <v>752</v>
      </c>
      <c r="C61" s="569"/>
      <c r="D61" s="568"/>
      <c r="E61" s="568"/>
      <c r="F61" s="156"/>
      <c r="G61" s="156"/>
      <c r="H61" s="568"/>
      <c r="I61" s="568"/>
      <c r="J61" s="568"/>
      <c r="K61" s="568"/>
    </row>
    <row r="62" spans="1:11" ht="16.5" customHeight="1" x14ac:dyDescent="0.3">
      <c r="A62" s="107" t="s">
        <v>16</v>
      </c>
      <c r="B62" s="567">
        <v>0.03</v>
      </c>
      <c r="C62" s="567"/>
      <c r="D62" s="568"/>
      <c r="E62" s="568"/>
      <c r="F62" s="156"/>
      <c r="G62" s="156"/>
      <c r="H62" s="568"/>
      <c r="I62" s="568"/>
      <c r="J62" s="568"/>
      <c r="K62" s="568"/>
    </row>
    <row r="63" spans="1:11" ht="16.5" customHeight="1" x14ac:dyDescent="0.3">
      <c r="A63" s="107" t="s">
        <v>17</v>
      </c>
      <c r="B63" s="581">
        <v>2.5000000000000001E-3</v>
      </c>
      <c r="C63" s="581"/>
      <c r="D63" s="568"/>
      <c r="E63" s="568"/>
      <c r="F63" s="156"/>
      <c r="G63" s="156"/>
      <c r="H63" s="568"/>
      <c r="I63" s="568"/>
      <c r="J63" s="568"/>
      <c r="K63" s="568"/>
    </row>
    <row r="64" spans="1:11" ht="16.5" customHeight="1" x14ac:dyDescent="0.3">
      <c r="A64" s="107" t="s">
        <v>18</v>
      </c>
      <c r="B64" s="581">
        <v>1E-3</v>
      </c>
      <c r="C64" s="581"/>
      <c r="D64" s="568"/>
      <c r="E64" s="568"/>
      <c r="F64" s="156"/>
      <c r="G64" s="156"/>
      <c r="H64" s="568"/>
      <c r="I64" s="568"/>
      <c r="J64" s="568"/>
      <c r="K64" s="568"/>
    </row>
    <row r="65" spans="1:11" ht="16.5" customHeight="1" x14ac:dyDescent="0.3">
      <c r="A65" s="107" t="s">
        <v>20</v>
      </c>
      <c r="B65" s="569" t="s">
        <v>211</v>
      </c>
      <c r="C65" s="569"/>
      <c r="D65" s="619"/>
      <c r="E65" s="619"/>
      <c r="F65" s="156"/>
      <c r="G65" s="156"/>
      <c r="H65" s="568"/>
      <c r="I65" s="568"/>
      <c r="J65" s="568"/>
      <c r="K65" s="568"/>
    </row>
    <row r="66" spans="1:11" ht="16.5" customHeight="1" x14ac:dyDescent="0.3">
      <c r="A66" s="107" t="s">
        <v>21</v>
      </c>
      <c r="B66" s="569" t="s">
        <v>212</v>
      </c>
      <c r="C66" s="569"/>
      <c r="D66" s="619"/>
      <c r="E66" s="619"/>
      <c r="F66" s="156"/>
      <c r="G66" s="156"/>
      <c r="H66" s="568"/>
      <c r="I66" s="568"/>
      <c r="J66" s="568"/>
      <c r="K66" s="568"/>
    </row>
    <row r="67" spans="1:11" ht="49.5" customHeight="1" x14ac:dyDescent="0.3">
      <c r="A67" s="107" t="s">
        <v>22</v>
      </c>
      <c r="B67" s="569" t="s">
        <v>213</v>
      </c>
      <c r="C67" s="569"/>
      <c r="D67" s="619"/>
      <c r="E67" s="619"/>
      <c r="F67" s="156"/>
      <c r="G67" s="156"/>
      <c r="H67" s="568"/>
      <c r="I67" s="568"/>
      <c r="J67" s="568"/>
      <c r="K67" s="568"/>
    </row>
    <row r="68" spans="1:11" ht="81" customHeight="1" x14ac:dyDescent="0.3">
      <c r="A68" s="107" t="s">
        <v>29</v>
      </c>
      <c r="B68" s="569" t="s">
        <v>214</v>
      </c>
      <c r="C68" s="569"/>
      <c r="D68" s="619"/>
      <c r="E68" s="619"/>
      <c r="F68" s="156"/>
      <c r="G68" s="156"/>
      <c r="H68" s="568"/>
      <c r="I68" s="568"/>
      <c r="J68" s="568"/>
      <c r="K68" s="568"/>
    </row>
    <row r="69" spans="1:11" ht="47.25" customHeight="1" x14ac:dyDescent="0.3">
      <c r="A69" s="107" t="s">
        <v>31</v>
      </c>
      <c r="B69" s="582" t="s">
        <v>215</v>
      </c>
      <c r="C69" s="582"/>
      <c r="D69" s="619"/>
      <c r="E69" s="619"/>
      <c r="F69" s="157"/>
      <c r="G69" s="157"/>
      <c r="H69" s="614"/>
      <c r="I69" s="614"/>
      <c r="J69" s="614"/>
      <c r="K69" s="614"/>
    </row>
    <row r="70" spans="1:11" ht="16.5" customHeight="1" x14ac:dyDescent="0.3">
      <c r="A70" s="107" t="s">
        <v>32</v>
      </c>
      <c r="B70" s="569" t="s">
        <v>216</v>
      </c>
      <c r="C70" s="582"/>
      <c r="D70" s="619"/>
      <c r="E70" s="619"/>
      <c r="F70" s="156"/>
      <c r="G70" s="156"/>
      <c r="H70" s="568"/>
      <c r="I70" s="568"/>
      <c r="J70" s="568"/>
      <c r="K70" s="568"/>
    </row>
    <row r="71" spans="1:11" ht="219.9" customHeight="1" x14ac:dyDescent="0.3">
      <c r="A71" s="107" t="s">
        <v>33</v>
      </c>
      <c r="B71" s="569" t="s">
        <v>217</v>
      </c>
      <c r="C71" s="569"/>
      <c r="D71" s="613"/>
      <c r="E71" s="613"/>
      <c r="F71" s="157"/>
      <c r="G71" s="157"/>
      <c r="H71" s="621"/>
      <c r="I71" s="621"/>
      <c r="J71" s="621"/>
      <c r="K71" s="621"/>
    </row>
    <row r="72" spans="1:11" ht="33" customHeight="1" x14ac:dyDescent="0.3">
      <c r="A72" s="109">
        <v>10</v>
      </c>
      <c r="B72" s="585" t="s">
        <v>218</v>
      </c>
      <c r="C72" s="620"/>
      <c r="D72" s="620"/>
      <c r="E72" s="620"/>
      <c r="F72" s="620"/>
      <c r="G72" s="620"/>
      <c r="H72" s="620"/>
      <c r="I72" s="620"/>
      <c r="J72" s="620"/>
      <c r="K72" s="620"/>
    </row>
    <row r="73" spans="1:11" ht="16.5" customHeight="1" x14ac:dyDescent="0.3">
      <c r="A73" s="107" t="s">
        <v>6</v>
      </c>
      <c r="B73" s="611" t="s">
        <v>301</v>
      </c>
      <c r="C73" s="611"/>
      <c r="D73" s="611"/>
      <c r="E73" s="569"/>
      <c r="F73" s="569"/>
      <c r="G73" s="569"/>
      <c r="H73" s="569"/>
      <c r="I73" s="569"/>
      <c r="J73" s="569"/>
      <c r="K73" s="569"/>
    </row>
    <row r="74" spans="1:11" ht="48.9" customHeight="1" x14ac:dyDescent="0.3">
      <c r="A74" s="109">
        <v>11</v>
      </c>
      <c r="B74" s="618" t="s">
        <v>219</v>
      </c>
      <c r="C74" s="618"/>
      <c r="D74" s="618"/>
      <c r="E74" s="618"/>
      <c r="F74" s="618"/>
      <c r="G74" s="618"/>
      <c r="H74" s="618"/>
      <c r="I74" s="618"/>
      <c r="J74" s="618"/>
      <c r="K74" s="618"/>
    </row>
    <row r="75" spans="1:11" ht="16.5" customHeight="1" x14ac:dyDescent="0.25">
      <c r="A75" s="114"/>
      <c r="B75" s="609"/>
      <c r="C75" s="609"/>
      <c r="D75" s="609"/>
      <c r="E75" s="609"/>
      <c r="F75" s="584" t="s">
        <v>220</v>
      </c>
      <c r="G75" s="584"/>
      <c r="H75" s="584"/>
      <c r="I75" s="584"/>
      <c r="J75" s="584"/>
      <c r="K75" s="584"/>
    </row>
    <row r="76" spans="1:11" ht="16.5" customHeight="1" x14ac:dyDescent="0.3">
      <c r="A76" s="113" t="s">
        <v>542</v>
      </c>
      <c r="B76" s="585" t="s">
        <v>204</v>
      </c>
      <c r="C76" s="585"/>
      <c r="D76" s="585" t="s">
        <v>205</v>
      </c>
      <c r="E76" s="585"/>
      <c r="F76" s="107" t="s">
        <v>49</v>
      </c>
      <c r="G76" s="107" t="s">
        <v>547</v>
      </c>
      <c r="H76" s="585" t="s">
        <v>48</v>
      </c>
      <c r="I76" s="585"/>
      <c r="J76" s="585" t="s">
        <v>572</v>
      </c>
      <c r="K76" s="610"/>
    </row>
    <row r="77" spans="1:11" ht="16.5" customHeight="1" x14ac:dyDescent="0.3">
      <c r="A77" s="113" t="s">
        <v>6</v>
      </c>
      <c r="B77" s="567">
        <v>0.05</v>
      </c>
      <c r="C77" s="567"/>
      <c r="D77" s="568"/>
      <c r="E77" s="568"/>
      <c r="F77" s="156"/>
      <c r="G77" s="156"/>
      <c r="H77" s="568"/>
      <c r="I77" s="568"/>
      <c r="J77" s="568"/>
      <c r="K77" s="568"/>
    </row>
    <row r="78" spans="1:11" ht="16.5" customHeight="1" x14ac:dyDescent="0.3">
      <c r="A78" s="187" t="s">
        <v>692</v>
      </c>
      <c r="B78" s="571">
        <v>0.06</v>
      </c>
      <c r="C78" s="572"/>
      <c r="D78" s="573"/>
      <c r="E78" s="574"/>
      <c r="F78" s="186"/>
      <c r="G78" s="186"/>
      <c r="H78" s="573"/>
      <c r="I78" s="574"/>
      <c r="J78" s="573"/>
      <c r="K78" s="574"/>
    </row>
    <row r="79" spans="1:11" ht="16.5" customHeight="1" x14ac:dyDescent="0.3">
      <c r="A79" s="113" t="s">
        <v>7</v>
      </c>
      <c r="B79" s="567">
        <v>0.12</v>
      </c>
      <c r="C79" s="567"/>
      <c r="D79" s="568"/>
      <c r="E79" s="568"/>
      <c r="F79" s="156"/>
      <c r="G79" s="156"/>
      <c r="H79" s="568"/>
      <c r="I79" s="568"/>
      <c r="J79" s="568"/>
      <c r="K79" s="568"/>
    </row>
    <row r="80" spans="1:11" ht="16.5" customHeight="1" x14ac:dyDescent="0.3">
      <c r="A80" s="113" t="s">
        <v>8</v>
      </c>
      <c r="B80" s="567">
        <v>0.18</v>
      </c>
      <c r="C80" s="567"/>
      <c r="D80" s="568"/>
      <c r="E80" s="568"/>
      <c r="F80" s="156"/>
      <c r="G80" s="156"/>
      <c r="H80" s="568"/>
      <c r="I80" s="568"/>
      <c r="J80" s="568"/>
      <c r="K80" s="568"/>
    </row>
    <row r="81" spans="1:11" ht="16.5" customHeight="1" x14ac:dyDescent="0.3">
      <c r="A81" s="113" t="s">
        <v>9</v>
      </c>
      <c r="B81" s="567">
        <v>0.28000000000000003</v>
      </c>
      <c r="C81" s="567"/>
      <c r="D81" s="568"/>
      <c r="E81" s="568"/>
      <c r="F81" s="156"/>
      <c r="G81" s="156"/>
      <c r="H81" s="568"/>
      <c r="I81" s="568"/>
      <c r="J81" s="568"/>
      <c r="K81" s="568"/>
    </row>
    <row r="82" spans="1:11" ht="16.5" customHeight="1" x14ac:dyDescent="0.3">
      <c r="A82" s="113" t="s">
        <v>724</v>
      </c>
      <c r="B82" s="567">
        <v>0.4</v>
      </c>
      <c r="C82" s="567"/>
      <c r="D82" s="568"/>
      <c r="E82" s="568"/>
      <c r="F82" s="156"/>
      <c r="G82" s="156"/>
      <c r="H82" s="568"/>
      <c r="I82" s="568"/>
      <c r="J82" s="568"/>
      <c r="K82" s="568"/>
    </row>
    <row r="83" spans="1:11" ht="16.5" customHeight="1" x14ac:dyDescent="0.3">
      <c r="A83" s="113" t="s">
        <v>10</v>
      </c>
      <c r="B83" s="567">
        <v>0.03</v>
      </c>
      <c r="C83" s="567"/>
      <c r="D83" s="568"/>
      <c r="E83" s="568"/>
      <c r="F83" s="156"/>
      <c r="G83" s="156"/>
      <c r="H83" s="568"/>
      <c r="I83" s="568"/>
      <c r="J83" s="568"/>
      <c r="K83" s="568"/>
    </row>
    <row r="84" spans="1:11" ht="16.5" customHeight="1" x14ac:dyDescent="0.3">
      <c r="A84" s="113" t="s">
        <v>11</v>
      </c>
      <c r="B84" s="581">
        <v>2.5000000000000001E-3</v>
      </c>
      <c r="C84" s="581"/>
      <c r="D84" s="568"/>
      <c r="E84" s="568"/>
      <c r="F84" s="156"/>
      <c r="G84" s="156"/>
      <c r="H84" s="568"/>
      <c r="I84" s="568"/>
      <c r="J84" s="568"/>
      <c r="K84" s="568"/>
    </row>
    <row r="85" spans="1:11" ht="16.5" customHeight="1" x14ac:dyDescent="0.3">
      <c r="A85" s="113" t="s">
        <v>12</v>
      </c>
      <c r="B85" s="581">
        <v>1E-3</v>
      </c>
      <c r="C85" s="581"/>
      <c r="D85" s="568"/>
      <c r="E85" s="568"/>
      <c r="F85" s="156"/>
      <c r="G85" s="156"/>
      <c r="H85" s="568"/>
      <c r="I85" s="568"/>
      <c r="J85" s="568"/>
      <c r="K85" s="568"/>
    </row>
    <row r="86" spans="1:11" ht="45" customHeight="1" x14ac:dyDescent="0.3">
      <c r="A86" s="113" t="s">
        <v>14</v>
      </c>
      <c r="B86" s="569" t="s">
        <v>211</v>
      </c>
      <c r="C86" s="569"/>
      <c r="D86" s="619"/>
      <c r="E86" s="619"/>
      <c r="F86" s="156"/>
      <c r="G86" s="156"/>
      <c r="H86" s="568"/>
      <c r="I86" s="568"/>
      <c r="J86" s="568"/>
      <c r="K86" s="568"/>
    </row>
    <row r="87" spans="1:11" ht="16.5" customHeight="1" x14ac:dyDescent="0.3">
      <c r="A87" s="113" t="s">
        <v>16</v>
      </c>
      <c r="B87" s="569" t="s">
        <v>212</v>
      </c>
      <c r="C87" s="569"/>
      <c r="D87" s="619"/>
      <c r="E87" s="619"/>
      <c r="F87" s="156"/>
      <c r="G87" s="156"/>
      <c r="H87" s="568"/>
      <c r="I87" s="568"/>
      <c r="J87" s="568"/>
      <c r="K87" s="568"/>
    </row>
    <row r="88" spans="1:11" ht="15" customHeight="1" x14ac:dyDescent="0.3">
      <c r="A88" s="113" t="s">
        <v>17</v>
      </c>
      <c r="B88" s="569" t="s">
        <v>213</v>
      </c>
      <c r="C88" s="569"/>
      <c r="D88" s="619"/>
      <c r="E88" s="619"/>
      <c r="F88" s="156"/>
      <c r="G88" s="156"/>
      <c r="H88" s="568"/>
      <c r="I88" s="568"/>
      <c r="J88" s="568"/>
      <c r="K88" s="568"/>
    </row>
    <row r="89" spans="1:11" ht="16.5" customHeight="1" x14ac:dyDescent="0.3">
      <c r="A89" s="113" t="s">
        <v>18</v>
      </c>
      <c r="B89" s="582" t="s">
        <v>221</v>
      </c>
      <c r="C89" s="582"/>
      <c r="D89" s="619"/>
      <c r="E89" s="619"/>
      <c r="F89" s="156"/>
      <c r="G89" s="156"/>
      <c r="H89" s="568"/>
      <c r="I89" s="568"/>
      <c r="J89" s="568"/>
      <c r="K89" s="568"/>
    </row>
    <row r="90" spans="1:11" ht="16.5" customHeight="1" x14ac:dyDescent="0.3">
      <c r="A90" s="585" t="s">
        <v>675</v>
      </c>
      <c r="B90" s="620" t="s">
        <v>309</v>
      </c>
      <c r="C90" s="620"/>
      <c r="D90" s="620"/>
      <c r="E90" s="620"/>
      <c r="F90" s="620"/>
      <c r="G90" s="620"/>
      <c r="H90" s="620"/>
      <c r="I90" s="620"/>
      <c r="J90" s="620"/>
      <c r="K90" s="620"/>
    </row>
    <row r="91" spans="1:11" ht="48.9" customHeight="1" x14ac:dyDescent="0.3">
      <c r="A91" s="585"/>
      <c r="B91" s="620"/>
      <c r="C91" s="620"/>
      <c r="D91" s="620"/>
      <c r="E91" s="620"/>
      <c r="F91" s="620"/>
      <c r="G91" s="620"/>
      <c r="H91" s="620"/>
      <c r="I91" s="620"/>
      <c r="J91" s="620"/>
      <c r="K91" s="620"/>
    </row>
    <row r="92" spans="1:11" ht="33" customHeight="1" x14ac:dyDescent="0.3">
      <c r="A92" s="109">
        <v>12</v>
      </c>
      <c r="B92" s="620" t="s">
        <v>222</v>
      </c>
      <c r="C92" s="620"/>
      <c r="D92" s="620"/>
      <c r="E92" s="620"/>
      <c r="F92" s="620"/>
      <c r="G92" s="620"/>
      <c r="H92" s="620"/>
      <c r="I92" s="620"/>
      <c r="J92" s="620"/>
      <c r="K92" s="620"/>
    </row>
    <row r="93" spans="1:11" ht="33" customHeight="1" x14ac:dyDescent="0.3">
      <c r="A93" s="109" t="s">
        <v>542</v>
      </c>
      <c r="B93" s="585" t="s">
        <v>24</v>
      </c>
      <c r="C93" s="620"/>
      <c r="D93" s="620"/>
      <c r="E93" s="620"/>
      <c r="F93" s="620"/>
      <c r="G93" s="620"/>
      <c r="H93" s="620"/>
      <c r="I93" s="585" t="s">
        <v>570</v>
      </c>
      <c r="J93" s="620"/>
      <c r="K93" s="620"/>
    </row>
    <row r="94" spans="1:11" ht="33" customHeight="1" x14ac:dyDescent="0.3">
      <c r="A94" s="110" t="s">
        <v>158</v>
      </c>
      <c r="B94" s="582" t="s">
        <v>223</v>
      </c>
      <c r="C94" s="582"/>
      <c r="D94" s="582"/>
      <c r="E94" s="582"/>
      <c r="F94" s="582"/>
      <c r="G94" s="582"/>
      <c r="H94" s="582"/>
      <c r="I94" s="568"/>
      <c r="J94" s="568"/>
      <c r="K94" s="568"/>
    </row>
    <row r="95" spans="1:11" ht="16.5" customHeight="1" x14ac:dyDescent="0.3">
      <c r="A95" s="110" t="s">
        <v>160</v>
      </c>
      <c r="B95" s="582" t="s">
        <v>224</v>
      </c>
      <c r="C95" s="582"/>
      <c r="D95" s="582"/>
      <c r="E95" s="582"/>
      <c r="F95" s="582"/>
      <c r="G95" s="582"/>
      <c r="H95" s="582"/>
      <c r="I95" s="568"/>
      <c r="J95" s="568"/>
      <c r="K95" s="568"/>
    </row>
    <row r="96" spans="1:11" ht="16.5" customHeight="1" x14ac:dyDescent="0.3">
      <c r="A96" s="110" t="s">
        <v>162</v>
      </c>
      <c r="B96" s="582" t="s">
        <v>225</v>
      </c>
      <c r="C96" s="582"/>
      <c r="D96" s="582"/>
      <c r="E96" s="582"/>
      <c r="F96" s="582"/>
      <c r="G96" s="582"/>
      <c r="H96" s="582"/>
      <c r="I96" s="568"/>
      <c r="J96" s="568"/>
      <c r="K96" s="568"/>
    </row>
    <row r="97" spans="1:11" ht="16.5" customHeight="1" x14ac:dyDescent="0.3">
      <c r="A97" s="110" t="s">
        <v>164</v>
      </c>
      <c r="B97" s="582" t="s">
        <v>226</v>
      </c>
      <c r="C97" s="582"/>
      <c r="D97" s="582"/>
      <c r="E97" s="582"/>
      <c r="F97" s="582"/>
      <c r="G97" s="582"/>
      <c r="H97" s="582"/>
      <c r="I97" s="614"/>
      <c r="J97" s="614"/>
      <c r="K97" s="614"/>
    </row>
    <row r="98" spans="1:11" ht="219.9" customHeight="1" x14ac:dyDescent="0.3">
      <c r="A98" s="107" t="s">
        <v>166</v>
      </c>
      <c r="B98" s="569" t="s">
        <v>227</v>
      </c>
      <c r="C98" s="569"/>
      <c r="D98" s="569"/>
      <c r="E98" s="569"/>
      <c r="F98" s="569"/>
      <c r="G98" s="569"/>
      <c r="H98" s="569"/>
      <c r="I98" s="568"/>
      <c r="J98" s="568"/>
      <c r="K98" s="568"/>
    </row>
    <row r="99" spans="1:11" ht="43.5" customHeight="1" x14ac:dyDescent="0.3">
      <c r="A99" s="107" t="s">
        <v>168</v>
      </c>
      <c r="B99" s="569" t="s">
        <v>228</v>
      </c>
      <c r="C99" s="569"/>
      <c r="D99" s="569"/>
      <c r="E99" s="569"/>
      <c r="F99" s="569"/>
      <c r="G99" s="569"/>
      <c r="H99" s="569"/>
      <c r="I99" s="614"/>
      <c r="J99" s="614"/>
      <c r="K99" s="614"/>
    </row>
    <row r="100" spans="1:11" ht="39.6" customHeight="1" x14ac:dyDescent="0.3">
      <c r="A100" s="109">
        <v>13</v>
      </c>
      <c r="B100" s="620" t="s">
        <v>229</v>
      </c>
      <c r="C100" s="620"/>
      <c r="D100" s="620"/>
      <c r="E100" s="620"/>
      <c r="F100" s="620"/>
      <c r="G100" s="620"/>
      <c r="H100" s="620"/>
      <c r="I100" s="620"/>
      <c r="J100" s="620"/>
      <c r="K100" s="620"/>
    </row>
    <row r="101" spans="1:11" ht="16.5" customHeight="1" x14ac:dyDescent="0.3">
      <c r="A101" s="107" t="s">
        <v>6</v>
      </c>
      <c r="B101" s="569" t="s">
        <v>301</v>
      </c>
      <c r="C101" s="569"/>
      <c r="D101" s="569"/>
      <c r="E101" s="569"/>
      <c r="F101" s="569"/>
      <c r="G101" s="569"/>
      <c r="H101" s="569"/>
      <c r="I101" s="569"/>
      <c r="J101" s="569"/>
      <c r="K101" s="569"/>
    </row>
    <row r="102" spans="1:11" ht="16.5" customHeight="1" x14ac:dyDescent="0.3">
      <c r="A102" s="109">
        <v>14</v>
      </c>
      <c r="B102" s="618" t="s">
        <v>230</v>
      </c>
      <c r="C102" s="618"/>
      <c r="D102" s="618"/>
      <c r="E102" s="618"/>
      <c r="F102" s="618"/>
      <c r="G102" s="618"/>
      <c r="H102" s="618"/>
      <c r="I102" s="618"/>
      <c r="J102" s="618"/>
      <c r="K102" s="618"/>
    </row>
    <row r="103" spans="1:11" ht="16.5" customHeight="1" x14ac:dyDescent="0.3">
      <c r="A103" s="115" t="s">
        <v>542</v>
      </c>
      <c r="B103" s="585" t="s">
        <v>204</v>
      </c>
      <c r="C103" s="585"/>
      <c r="D103" s="585"/>
      <c r="E103" s="585" t="s">
        <v>231</v>
      </c>
      <c r="F103" s="585"/>
      <c r="G103" s="616" t="s">
        <v>232</v>
      </c>
      <c r="H103" s="616"/>
      <c r="I103" s="617" t="s">
        <v>233</v>
      </c>
      <c r="J103" s="617"/>
      <c r="K103" s="617"/>
    </row>
    <row r="104" spans="1:11" ht="50.25" customHeight="1" x14ac:dyDescent="0.3">
      <c r="A104" s="107" t="s">
        <v>6</v>
      </c>
      <c r="B104" s="611" t="s">
        <v>247</v>
      </c>
      <c r="C104" s="611"/>
      <c r="D104" s="611"/>
      <c r="E104" s="568"/>
      <c r="F104" s="568"/>
      <c r="G104" s="568"/>
      <c r="H104" s="568"/>
      <c r="I104" s="568"/>
      <c r="J104" s="568"/>
      <c r="K104" s="568"/>
    </row>
    <row r="105" spans="1:11" ht="16.5" customHeight="1" x14ac:dyDescent="0.3">
      <c r="A105" s="107" t="s">
        <v>7</v>
      </c>
      <c r="B105" s="611" t="s">
        <v>56</v>
      </c>
      <c r="C105" s="611"/>
      <c r="D105" s="611"/>
      <c r="E105" s="568"/>
      <c r="F105" s="568"/>
      <c r="G105" s="568"/>
      <c r="H105" s="568"/>
      <c r="I105" s="568"/>
      <c r="J105" s="568"/>
      <c r="K105" s="568"/>
    </row>
    <row r="106" spans="1:11" ht="73.5" customHeight="1" x14ac:dyDescent="0.3">
      <c r="A106" s="107" t="s">
        <v>8</v>
      </c>
      <c r="B106" s="611" t="s">
        <v>146</v>
      </c>
      <c r="C106" s="611"/>
      <c r="D106" s="611"/>
      <c r="E106" s="568"/>
      <c r="F106" s="568"/>
      <c r="G106" s="568"/>
      <c r="H106" s="568"/>
      <c r="I106" s="568"/>
      <c r="J106" s="568"/>
      <c r="K106" s="568"/>
    </row>
    <row r="107" spans="1:11" ht="16.5" customHeight="1" x14ac:dyDescent="0.3">
      <c r="A107" s="107" t="s">
        <v>9</v>
      </c>
      <c r="B107" s="615" t="s">
        <v>147</v>
      </c>
      <c r="C107" s="615"/>
      <c r="D107" s="615"/>
      <c r="E107" s="568"/>
      <c r="F107" s="568"/>
      <c r="G107" s="568"/>
      <c r="H107" s="568"/>
      <c r="I107" s="568"/>
      <c r="J107" s="568"/>
      <c r="K107" s="568"/>
    </row>
    <row r="108" spans="1:11" ht="55.5" customHeight="1" x14ac:dyDescent="0.3">
      <c r="A108" s="107" t="s">
        <v>10</v>
      </c>
      <c r="B108" s="611" t="s">
        <v>35</v>
      </c>
      <c r="C108" s="611"/>
      <c r="D108" s="611"/>
      <c r="E108" s="568"/>
      <c r="F108" s="568"/>
      <c r="G108" s="568"/>
      <c r="H108" s="568"/>
      <c r="I108" s="568"/>
      <c r="J108" s="568"/>
      <c r="K108" s="568"/>
    </row>
    <row r="109" spans="1:11" ht="16.5" customHeight="1" x14ac:dyDescent="0.3">
      <c r="A109" s="110" t="s">
        <v>11</v>
      </c>
      <c r="B109" s="615" t="s">
        <v>36</v>
      </c>
      <c r="C109" s="615"/>
      <c r="D109" s="615"/>
      <c r="E109" s="568"/>
      <c r="F109" s="568"/>
      <c r="G109" s="568"/>
      <c r="H109" s="568"/>
      <c r="I109" s="568"/>
      <c r="J109" s="568"/>
      <c r="K109" s="568"/>
    </row>
    <row r="110" spans="1:11" ht="16.5" customHeight="1" x14ac:dyDescent="0.3">
      <c r="A110" s="107" t="s">
        <v>12</v>
      </c>
      <c r="B110" s="611" t="s">
        <v>37</v>
      </c>
      <c r="C110" s="611"/>
      <c r="D110" s="611"/>
      <c r="E110" s="568"/>
      <c r="F110" s="568"/>
      <c r="G110" s="568"/>
      <c r="H110" s="568"/>
      <c r="I110" s="568"/>
      <c r="J110" s="568"/>
      <c r="K110" s="568"/>
    </row>
    <row r="111" spans="1:11" ht="16.5" customHeight="1" x14ac:dyDescent="0.3">
      <c r="A111" s="107" t="s">
        <v>14</v>
      </c>
      <c r="B111" s="615" t="s">
        <v>311</v>
      </c>
      <c r="C111" s="615"/>
      <c r="D111" s="615"/>
      <c r="E111" s="568"/>
      <c r="F111" s="568"/>
      <c r="G111" s="568"/>
      <c r="H111" s="568"/>
      <c r="I111" s="568"/>
      <c r="J111" s="568"/>
      <c r="K111" s="568"/>
    </row>
    <row r="112" spans="1:11" ht="42" customHeight="1" x14ac:dyDescent="0.3">
      <c r="A112" s="107" t="s">
        <v>16</v>
      </c>
      <c r="B112" s="611" t="s">
        <v>38</v>
      </c>
      <c r="C112" s="611"/>
      <c r="D112" s="611"/>
      <c r="E112" s="568"/>
      <c r="F112" s="568"/>
      <c r="G112" s="568"/>
      <c r="H112" s="568"/>
      <c r="I112" s="568"/>
      <c r="J112" s="568"/>
      <c r="K112" s="568"/>
    </row>
    <row r="113" spans="1:11" ht="33" customHeight="1" x14ac:dyDescent="0.3">
      <c r="A113" s="107" t="s">
        <v>17</v>
      </c>
      <c r="B113" s="611" t="s">
        <v>39</v>
      </c>
      <c r="C113" s="611"/>
      <c r="D113" s="611"/>
      <c r="E113" s="568"/>
      <c r="F113" s="568"/>
      <c r="G113" s="568"/>
      <c r="H113" s="568"/>
      <c r="I113" s="568"/>
      <c r="J113" s="568"/>
      <c r="K113" s="568"/>
    </row>
    <row r="114" spans="1:11" ht="33" customHeight="1" x14ac:dyDescent="0.3">
      <c r="A114" s="107" t="s">
        <v>18</v>
      </c>
      <c r="B114" s="611" t="s">
        <v>40</v>
      </c>
      <c r="C114" s="611"/>
      <c r="D114" s="611"/>
      <c r="E114" s="568"/>
      <c r="F114" s="568"/>
      <c r="G114" s="568"/>
      <c r="H114" s="568"/>
      <c r="I114" s="568"/>
      <c r="J114" s="568"/>
      <c r="K114" s="568"/>
    </row>
    <row r="115" spans="1:11" ht="16.5" customHeight="1" x14ac:dyDescent="0.3">
      <c r="A115" s="107" t="s">
        <v>20</v>
      </c>
      <c r="B115" s="615" t="s">
        <v>41</v>
      </c>
      <c r="C115" s="615"/>
      <c r="D115" s="615"/>
      <c r="E115" s="568"/>
      <c r="F115" s="568"/>
      <c r="G115" s="568"/>
      <c r="H115" s="568"/>
      <c r="I115" s="568"/>
      <c r="J115" s="568"/>
      <c r="K115" s="568"/>
    </row>
    <row r="116" spans="1:11" ht="16.5" customHeight="1" x14ac:dyDescent="0.3">
      <c r="A116" s="107" t="s">
        <v>21</v>
      </c>
      <c r="B116" s="615" t="s">
        <v>42</v>
      </c>
      <c r="C116" s="615"/>
      <c r="D116" s="615"/>
      <c r="E116" s="568"/>
      <c r="F116" s="568"/>
      <c r="G116" s="568"/>
      <c r="H116" s="568"/>
      <c r="I116" s="568"/>
      <c r="J116" s="568"/>
      <c r="K116" s="568"/>
    </row>
    <row r="117" spans="1:11" ht="16.5" customHeight="1" x14ac:dyDescent="0.3">
      <c r="A117" s="107" t="s">
        <v>22</v>
      </c>
      <c r="B117" s="615" t="s">
        <v>248</v>
      </c>
      <c r="C117" s="615"/>
      <c r="D117" s="615"/>
      <c r="E117" s="568"/>
      <c r="F117" s="568"/>
      <c r="G117" s="568"/>
      <c r="H117" s="568"/>
      <c r="I117" s="568"/>
      <c r="J117" s="568"/>
      <c r="K117" s="568"/>
    </row>
    <row r="118" spans="1:11" ht="33.75" customHeight="1" x14ac:dyDescent="0.3">
      <c r="A118" s="107" t="s">
        <v>29</v>
      </c>
      <c r="B118" s="611" t="s">
        <v>43</v>
      </c>
      <c r="C118" s="611"/>
      <c r="D118" s="611"/>
      <c r="E118" s="568"/>
      <c r="F118" s="568"/>
      <c r="G118" s="568"/>
      <c r="H118" s="568"/>
      <c r="I118" s="568"/>
      <c r="J118" s="568"/>
      <c r="K118" s="568"/>
    </row>
    <row r="119" spans="1:11" ht="32.25" customHeight="1" x14ac:dyDescent="0.3">
      <c r="A119" s="107" t="s">
        <v>31</v>
      </c>
      <c r="B119" s="611" t="s">
        <v>44</v>
      </c>
      <c r="C119" s="611"/>
      <c r="D119" s="611"/>
      <c r="E119" s="568"/>
      <c r="F119" s="568"/>
      <c r="G119" s="568"/>
      <c r="H119" s="568"/>
      <c r="I119" s="568"/>
      <c r="J119" s="568"/>
      <c r="K119" s="568"/>
    </row>
    <row r="120" spans="1:11" ht="15.75" customHeight="1" x14ac:dyDescent="0.3">
      <c r="A120" s="107" t="s">
        <v>32</v>
      </c>
      <c r="B120" s="611" t="s">
        <v>45</v>
      </c>
      <c r="C120" s="611"/>
      <c r="D120" s="611"/>
      <c r="E120" s="568"/>
      <c r="F120" s="568"/>
      <c r="G120" s="568"/>
      <c r="H120" s="568"/>
      <c r="I120" s="568"/>
      <c r="J120" s="568"/>
      <c r="K120" s="568"/>
    </row>
    <row r="121" spans="1:11" ht="16.5" customHeight="1" x14ac:dyDescent="0.3">
      <c r="A121" s="107" t="s">
        <v>190</v>
      </c>
      <c r="B121" s="611" t="s">
        <v>573</v>
      </c>
      <c r="C121" s="611"/>
      <c r="D121" s="611"/>
      <c r="E121" s="613"/>
      <c r="F121" s="613"/>
      <c r="G121" s="613"/>
      <c r="H121" s="613"/>
      <c r="I121" s="614"/>
      <c r="J121" s="614"/>
      <c r="K121" s="614"/>
    </row>
    <row r="122" spans="1:11" ht="219.9" customHeight="1" x14ac:dyDescent="0.3">
      <c r="A122" s="107" t="s">
        <v>234</v>
      </c>
      <c r="B122" s="611" t="s">
        <v>574</v>
      </c>
      <c r="C122" s="611"/>
      <c r="D122" s="611"/>
      <c r="E122" s="613"/>
      <c r="F122" s="613"/>
      <c r="G122" s="613"/>
      <c r="H122" s="613"/>
      <c r="I122" s="568"/>
      <c r="J122" s="568"/>
      <c r="K122" s="568"/>
    </row>
    <row r="123" spans="1:11" ht="33" customHeight="1" x14ac:dyDescent="0.3">
      <c r="A123" s="107" t="s">
        <v>235</v>
      </c>
      <c r="B123" s="611" t="s">
        <v>228</v>
      </c>
      <c r="C123" s="611"/>
      <c r="D123" s="611"/>
      <c r="E123" s="613"/>
      <c r="F123" s="613"/>
      <c r="G123" s="613"/>
      <c r="H123" s="613"/>
      <c r="I123" s="614"/>
      <c r="J123" s="614"/>
      <c r="K123" s="614"/>
    </row>
    <row r="124" spans="1:11" ht="16.5" customHeight="1" x14ac:dyDescent="0.3">
      <c r="A124" s="109">
        <v>15</v>
      </c>
      <c r="B124" s="612" t="s">
        <v>236</v>
      </c>
      <c r="C124" s="612"/>
      <c r="D124" s="612"/>
      <c r="E124" s="612"/>
      <c r="F124" s="612"/>
      <c r="G124" s="612"/>
      <c r="H124" s="612"/>
      <c r="I124" s="612"/>
      <c r="J124" s="612"/>
      <c r="K124" s="612"/>
    </row>
    <row r="125" spans="1:11" ht="16.5" customHeight="1" x14ac:dyDescent="0.3">
      <c r="A125" s="107" t="s">
        <v>6</v>
      </c>
      <c r="B125" s="611" t="s">
        <v>301</v>
      </c>
      <c r="C125" s="611"/>
      <c r="D125" s="611"/>
      <c r="E125" s="569"/>
      <c r="F125" s="569"/>
      <c r="G125" s="569"/>
      <c r="H125" s="569"/>
      <c r="I125" s="569"/>
      <c r="J125" s="569"/>
      <c r="K125" s="569"/>
    </row>
    <row r="126" spans="1:11" ht="33" customHeight="1" x14ac:dyDescent="0.3">
      <c r="A126" s="108">
        <v>16</v>
      </c>
      <c r="B126" s="610" t="s">
        <v>237</v>
      </c>
      <c r="C126" s="610"/>
      <c r="D126" s="610"/>
      <c r="E126" s="610"/>
      <c r="F126" s="610"/>
      <c r="G126" s="610"/>
      <c r="H126" s="610"/>
      <c r="I126" s="610"/>
      <c r="J126" s="610"/>
      <c r="K126" s="610"/>
    </row>
    <row r="127" spans="1:11" ht="33" customHeight="1" x14ac:dyDescent="0.3">
      <c r="A127" s="113" t="s">
        <v>542</v>
      </c>
      <c r="B127" s="585" t="s">
        <v>204</v>
      </c>
      <c r="C127" s="585"/>
      <c r="D127" s="585" t="s">
        <v>238</v>
      </c>
      <c r="E127" s="585"/>
      <c r="F127" s="585"/>
      <c r="G127" s="585"/>
      <c r="H127" s="585"/>
      <c r="I127" s="585"/>
      <c r="J127" s="585"/>
      <c r="K127" s="585"/>
    </row>
    <row r="128" spans="1:11" ht="16.5" customHeight="1" x14ac:dyDescent="0.3">
      <c r="A128" s="113" t="s">
        <v>6</v>
      </c>
      <c r="B128" s="569" t="s">
        <v>239</v>
      </c>
      <c r="C128" s="569"/>
      <c r="D128" s="568"/>
      <c r="E128" s="568"/>
      <c r="F128" s="568"/>
      <c r="G128" s="568"/>
      <c r="H128" s="568"/>
      <c r="I128" s="568"/>
      <c r="J128" s="568"/>
      <c r="K128" s="568"/>
    </row>
    <row r="129" spans="1:11" ht="16.5" customHeight="1" x14ac:dyDescent="0.3">
      <c r="A129" s="113" t="s">
        <v>7</v>
      </c>
      <c r="B129" s="582" t="s">
        <v>240</v>
      </c>
      <c r="C129" s="582"/>
      <c r="D129" s="568"/>
      <c r="E129" s="568"/>
      <c r="F129" s="568"/>
      <c r="G129" s="568"/>
      <c r="H129" s="568"/>
      <c r="I129" s="568"/>
      <c r="J129" s="568"/>
      <c r="K129" s="568"/>
    </row>
    <row r="130" spans="1:11" ht="16.5" customHeight="1" x14ac:dyDescent="0.3">
      <c r="A130" s="113" t="s">
        <v>8</v>
      </c>
      <c r="B130" s="582" t="s">
        <v>241</v>
      </c>
      <c r="C130" s="582"/>
      <c r="D130" s="568"/>
      <c r="E130" s="568"/>
      <c r="F130" s="568"/>
      <c r="G130" s="568"/>
      <c r="H130" s="568"/>
      <c r="I130" s="568"/>
      <c r="J130" s="568"/>
      <c r="K130" s="568"/>
    </row>
    <row r="131" spans="1:11" ht="32.4" customHeight="1" x14ac:dyDescent="0.3">
      <c r="A131" s="113" t="s">
        <v>9</v>
      </c>
      <c r="B131" s="569" t="s">
        <v>242</v>
      </c>
      <c r="C131" s="569"/>
      <c r="D131" s="568"/>
      <c r="E131" s="568"/>
      <c r="F131" s="568"/>
      <c r="G131" s="568"/>
      <c r="H131" s="568"/>
      <c r="I131" s="568"/>
      <c r="J131" s="568"/>
      <c r="K131" s="568"/>
    </row>
    <row r="132" spans="1:11" ht="16.5" customHeight="1" x14ac:dyDescent="0.3">
      <c r="A132" s="113" t="s">
        <v>10</v>
      </c>
      <c r="B132" s="569" t="s">
        <v>211</v>
      </c>
      <c r="C132" s="569"/>
      <c r="D132" s="568"/>
      <c r="E132" s="568"/>
      <c r="F132" s="568"/>
      <c r="G132" s="568"/>
      <c r="H132" s="568"/>
      <c r="I132" s="568"/>
      <c r="J132" s="568"/>
      <c r="K132" s="568"/>
    </row>
    <row r="133" spans="1:11" ht="48.9" customHeight="1" x14ac:dyDescent="0.3">
      <c r="A133" s="113" t="s">
        <v>11</v>
      </c>
      <c r="B133" s="569" t="s">
        <v>213</v>
      </c>
      <c r="C133" s="569"/>
      <c r="D133" s="568"/>
      <c r="E133" s="568"/>
      <c r="F133" s="568"/>
      <c r="G133" s="568"/>
      <c r="H133" s="568"/>
      <c r="I133" s="568"/>
      <c r="J133" s="568"/>
      <c r="K133" s="568"/>
    </row>
    <row r="134" spans="1:11" ht="16.5" customHeight="1" x14ac:dyDescent="0.3">
      <c r="A134" s="107" t="s">
        <v>676</v>
      </c>
      <c r="B134" s="583" t="s">
        <v>302</v>
      </c>
      <c r="C134" s="583"/>
      <c r="D134" s="583"/>
      <c r="E134" s="583"/>
      <c r="F134" s="583"/>
      <c r="G134" s="583"/>
      <c r="H134" s="583"/>
      <c r="I134" s="583"/>
      <c r="J134" s="583"/>
      <c r="K134" s="583"/>
    </row>
    <row r="135" spans="1:11" ht="16.5" customHeight="1" x14ac:dyDescent="0.25">
      <c r="A135" s="114"/>
      <c r="B135" s="609"/>
      <c r="C135" s="609"/>
      <c r="D135" s="609"/>
      <c r="E135" s="609"/>
      <c r="F135" s="584" t="s">
        <v>220</v>
      </c>
      <c r="G135" s="584"/>
      <c r="H135" s="584"/>
      <c r="I135" s="584"/>
      <c r="J135" s="584"/>
      <c r="K135" s="584"/>
    </row>
    <row r="136" spans="1:11" ht="16.5" customHeight="1" x14ac:dyDescent="0.3">
      <c r="A136" s="113" t="s">
        <v>542</v>
      </c>
      <c r="B136" s="585" t="s">
        <v>204</v>
      </c>
      <c r="C136" s="585"/>
      <c r="D136" s="585" t="s">
        <v>231</v>
      </c>
      <c r="E136" s="585"/>
      <c r="F136" s="107" t="s">
        <v>49</v>
      </c>
      <c r="G136" s="107" t="s">
        <v>547</v>
      </c>
      <c r="H136" s="585" t="s">
        <v>48</v>
      </c>
      <c r="I136" s="585"/>
      <c r="J136" s="585" t="s">
        <v>308</v>
      </c>
      <c r="K136" s="610"/>
    </row>
    <row r="137" spans="1:11" ht="16.5" customHeight="1" x14ac:dyDescent="0.3">
      <c r="A137" s="113" t="s">
        <v>6</v>
      </c>
      <c r="B137" s="567">
        <v>0.05</v>
      </c>
      <c r="C137" s="567"/>
      <c r="D137" s="568"/>
      <c r="E137" s="568"/>
      <c r="F137" s="156"/>
      <c r="G137" s="156"/>
      <c r="H137" s="568"/>
      <c r="I137" s="568"/>
      <c r="J137" s="568"/>
      <c r="K137" s="568"/>
    </row>
    <row r="138" spans="1:11" ht="16.5" customHeight="1" x14ac:dyDescent="0.3">
      <c r="A138" s="187" t="s">
        <v>692</v>
      </c>
      <c r="B138" s="571">
        <v>0.06</v>
      </c>
      <c r="C138" s="572"/>
      <c r="D138" s="573"/>
      <c r="E138" s="574"/>
      <c r="F138" s="186"/>
      <c r="G138" s="186"/>
      <c r="H138" s="573"/>
      <c r="I138" s="574"/>
      <c r="J138" s="573"/>
      <c r="K138" s="574"/>
    </row>
    <row r="139" spans="1:11" ht="16.5" customHeight="1" x14ac:dyDescent="0.3">
      <c r="A139" s="113" t="s">
        <v>7</v>
      </c>
      <c r="B139" s="567">
        <v>0.12</v>
      </c>
      <c r="C139" s="567"/>
      <c r="D139" s="568"/>
      <c r="E139" s="568"/>
      <c r="F139" s="156"/>
      <c r="G139" s="156"/>
      <c r="H139" s="568"/>
      <c r="I139" s="568"/>
      <c r="J139" s="568"/>
      <c r="K139" s="568"/>
    </row>
    <row r="140" spans="1:11" ht="16.5" customHeight="1" x14ac:dyDescent="0.3">
      <c r="A140" s="113" t="s">
        <v>8</v>
      </c>
      <c r="B140" s="567">
        <v>0.18</v>
      </c>
      <c r="C140" s="567"/>
      <c r="D140" s="568"/>
      <c r="E140" s="568"/>
      <c r="F140" s="156"/>
      <c r="G140" s="156"/>
      <c r="H140" s="568"/>
      <c r="I140" s="568"/>
      <c r="J140" s="568"/>
      <c r="K140" s="568"/>
    </row>
    <row r="141" spans="1:11" ht="16.5" customHeight="1" x14ac:dyDescent="0.3">
      <c r="A141" s="113" t="s">
        <v>9</v>
      </c>
      <c r="B141" s="567">
        <v>0.28000000000000003</v>
      </c>
      <c r="C141" s="567"/>
      <c r="D141" s="568"/>
      <c r="E141" s="568"/>
      <c r="F141" s="156"/>
      <c r="G141" s="156"/>
      <c r="H141" s="568"/>
      <c r="I141" s="568"/>
      <c r="J141" s="568"/>
      <c r="K141" s="568"/>
    </row>
    <row r="142" spans="1:11" ht="33" customHeight="1" x14ac:dyDescent="0.3">
      <c r="A142" s="113" t="s">
        <v>724</v>
      </c>
      <c r="B142" s="567">
        <v>0.4</v>
      </c>
      <c r="C142" s="567"/>
      <c r="D142" s="568"/>
      <c r="E142" s="568"/>
      <c r="F142" s="156"/>
      <c r="G142" s="156"/>
      <c r="H142" s="568"/>
      <c r="I142" s="568"/>
      <c r="J142" s="568"/>
      <c r="K142" s="568"/>
    </row>
    <row r="143" spans="1:11" ht="16.5" customHeight="1" x14ac:dyDescent="0.3">
      <c r="A143" s="113" t="s">
        <v>10</v>
      </c>
      <c r="B143" s="567">
        <v>0.03</v>
      </c>
      <c r="C143" s="567"/>
      <c r="D143" s="568"/>
      <c r="E143" s="568"/>
      <c r="F143" s="156"/>
      <c r="G143" s="156"/>
      <c r="H143" s="568"/>
      <c r="I143" s="568"/>
      <c r="J143" s="568"/>
      <c r="K143" s="568"/>
    </row>
    <row r="144" spans="1:11" ht="16.5" customHeight="1" x14ac:dyDescent="0.3">
      <c r="A144" s="113" t="s">
        <v>11</v>
      </c>
      <c r="B144" s="581">
        <v>2.5000000000000001E-3</v>
      </c>
      <c r="C144" s="581"/>
      <c r="D144" s="568"/>
      <c r="E144" s="568"/>
      <c r="F144" s="156"/>
      <c r="G144" s="156"/>
      <c r="H144" s="568"/>
      <c r="I144" s="568"/>
      <c r="J144" s="568"/>
      <c r="K144" s="568"/>
    </row>
    <row r="145" spans="1:12" ht="16.5" customHeight="1" x14ac:dyDescent="0.3">
      <c r="A145" s="113" t="s">
        <v>12</v>
      </c>
      <c r="B145" s="581">
        <v>1E-3</v>
      </c>
      <c r="C145" s="581"/>
      <c r="D145" s="568"/>
      <c r="E145" s="568"/>
      <c r="F145" s="156"/>
      <c r="G145" s="156"/>
      <c r="H145" s="568"/>
      <c r="I145" s="568"/>
      <c r="J145" s="568"/>
      <c r="K145" s="568"/>
    </row>
    <row r="146" spans="1:12" ht="114" customHeight="1" x14ac:dyDescent="0.3">
      <c r="A146" s="113" t="s">
        <v>14</v>
      </c>
      <c r="B146" s="582" t="s">
        <v>243</v>
      </c>
      <c r="C146" s="582"/>
      <c r="D146" s="568"/>
      <c r="E146" s="568"/>
      <c r="F146" s="156"/>
      <c r="G146" s="156"/>
      <c r="H146" s="568"/>
      <c r="I146" s="568"/>
      <c r="J146" s="568"/>
      <c r="K146" s="568"/>
    </row>
    <row r="147" spans="1:12" ht="55.5" customHeight="1" x14ac:dyDescent="0.3">
      <c r="A147" s="113" t="s">
        <v>16</v>
      </c>
      <c r="B147" s="569" t="s">
        <v>211</v>
      </c>
      <c r="C147" s="569"/>
      <c r="D147" s="568"/>
      <c r="E147" s="568"/>
      <c r="F147" s="156"/>
      <c r="G147" s="156"/>
      <c r="H147" s="568"/>
      <c r="I147" s="568"/>
      <c r="J147" s="568"/>
      <c r="K147" s="568"/>
    </row>
    <row r="148" spans="1:12" ht="48" customHeight="1" x14ac:dyDescent="0.3">
      <c r="A148" s="113" t="s">
        <v>17</v>
      </c>
      <c r="B148" s="569" t="s">
        <v>212</v>
      </c>
      <c r="C148" s="569"/>
      <c r="D148" s="568"/>
      <c r="E148" s="568"/>
      <c r="F148" s="156"/>
      <c r="G148" s="156"/>
      <c r="H148" s="568"/>
      <c r="I148" s="568"/>
      <c r="J148" s="568"/>
      <c r="K148" s="568"/>
    </row>
    <row r="149" spans="1:12" ht="33" customHeight="1" x14ac:dyDescent="0.3">
      <c r="A149" s="113" t="s">
        <v>18</v>
      </c>
      <c r="B149" s="569" t="s">
        <v>213</v>
      </c>
      <c r="C149" s="569"/>
      <c r="D149" s="568"/>
      <c r="E149" s="568"/>
      <c r="F149" s="156"/>
      <c r="G149" s="156"/>
      <c r="H149" s="568"/>
      <c r="I149" s="568"/>
      <c r="J149" s="568"/>
      <c r="K149" s="568"/>
    </row>
    <row r="150" spans="1:12" ht="17.25" customHeight="1" x14ac:dyDescent="0.3">
      <c r="A150" s="113" t="s">
        <v>20</v>
      </c>
      <c r="B150" s="569" t="s">
        <v>310</v>
      </c>
      <c r="C150" s="582"/>
      <c r="D150" s="568"/>
      <c r="E150" s="568"/>
      <c r="F150" s="156"/>
      <c r="G150" s="156"/>
      <c r="H150" s="568"/>
      <c r="I150" s="568"/>
      <c r="J150" s="568"/>
      <c r="K150" s="568"/>
    </row>
    <row r="151" spans="1:12" ht="17.25" customHeight="1" x14ac:dyDescent="0.3">
      <c r="A151" s="113" t="s">
        <v>21</v>
      </c>
      <c r="B151" s="582" t="s">
        <v>244</v>
      </c>
      <c r="C151" s="582"/>
      <c r="D151" s="568"/>
      <c r="E151" s="568"/>
      <c r="F151" s="156"/>
      <c r="G151" s="156"/>
      <c r="H151" s="568"/>
      <c r="I151" s="568"/>
      <c r="J151" s="568"/>
      <c r="K151" s="568"/>
      <c r="L151" s="63"/>
    </row>
    <row r="152" spans="1:12" ht="17.25" customHeight="1" x14ac:dyDescent="0.3">
      <c r="A152" s="113" t="s">
        <v>22</v>
      </c>
      <c r="B152" s="582" t="s">
        <v>245</v>
      </c>
      <c r="C152" s="582"/>
      <c r="D152" s="568"/>
      <c r="E152" s="568"/>
      <c r="F152" s="156"/>
      <c r="G152" s="156"/>
      <c r="H152" s="568"/>
      <c r="I152" s="568"/>
      <c r="J152" s="568"/>
      <c r="K152" s="568"/>
      <c r="L152" s="63"/>
    </row>
    <row r="153" spans="1:12" ht="17.25" customHeight="1" x14ac:dyDescent="0.3">
      <c r="A153" s="113" t="s">
        <v>29</v>
      </c>
      <c r="B153" s="582" t="s">
        <v>246</v>
      </c>
      <c r="C153" s="582"/>
      <c r="D153" s="568"/>
      <c r="E153" s="568"/>
      <c r="F153" s="156"/>
      <c r="G153" s="156"/>
      <c r="H153" s="568"/>
      <c r="I153" s="568"/>
      <c r="J153" s="568"/>
      <c r="K153" s="568"/>
      <c r="L153" s="63"/>
    </row>
    <row r="154" spans="1:12" ht="15.6" x14ac:dyDescent="0.3">
      <c r="A154" s="59"/>
    </row>
    <row r="155" spans="1:12" ht="38.25" customHeight="1" x14ac:dyDescent="0.3">
      <c r="A155" s="608" t="s">
        <v>300</v>
      </c>
      <c r="B155" s="608"/>
      <c r="C155" s="608"/>
      <c r="D155" s="608"/>
      <c r="E155" s="608"/>
      <c r="F155" s="608"/>
      <c r="G155" s="608"/>
      <c r="H155" s="608"/>
      <c r="I155" s="608"/>
      <c r="J155" s="608"/>
      <c r="K155" s="608"/>
    </row>
    <row r="156" spans="1:12" ht="43.5" customHeight="1" x14ac:dyDescent="0.3">
      <c r="A156" s="608"/>
      <c r="B156" s="608"/>
      <c r="C156" s="608"/>
      <c r="D156" s="608"/>
      <c r="E156" s="608"/>
      <c r="F156" s="608"/>
      <c r="G156" s="608"/>
      <c r="H156" s="608"/>
      <c r="I156" s="608"/>
      <c r="J156" s="608"/>
      <c r="K156" s="608"/>
    </row>
    <row r="157" spans="1:12" ht="49.5" customHeight="1" x14ac:dyDescent="0.3">
      <c r="A157" s="608"/>
      <c r="B157" s="608"/>
      <c r="C157" s="608"/>
      <c r="D157" s="608"/>
      <c r="E157" s="608"/>
      <c r="F157" s="608"/>
      <c r="G157" s="608"/>
      <c r="H157" s="608"/>
      <c r="I157" s="608"/>
      <c r="J157" s="608"/>
      <c r="K157" s="608"/>
    </row>
    <row r="158" spans="1:12" ht="15.6" x14ac:dyDescent="0.3">
      <c r="A158" s="90"/>
      <c r="B158" s="90"/>
      <c r="C158" s="90"/>
      <c r="D158" s="90"/>
      <c r="E158" s="90"/>
      <c r="F158" s="90"/>
      <c r="G158" s="90"/>
      <c r="H158" s="90"/>
      <c r="I158" s="90"/>
      <c r="J158" s="90"/>
      <c r="K158" s="90"/>
    </row>
    <row r="159" spans="1:12" ht="85.5" customHeight="1" x14ac:dyDescent="0.3">
      <c r="A159" s="592" t="s">
        <v>548</v>
      </c>
      <c r="B159" s="592"/>
      <c r="C159" s="592"/>
      <c r="D159" s="90"/>
      <c r="E159" s="90"/>
      <c r="F159" s="589" t="str">
        <f>IF('PT V'!E29="","",'PT V'!E29)</f>
        <v/>
      </c>
      <c r="G159" s="589"/>
      <c r="H159" s="589"/>
      <c r="I159" s="90"/>
      <c r="J159" s="90"/>
      <c r="K159" s="90"/>
    </row>
    <row r="160" spans="1:12" ht="85.5" customHeight="1" x14ac:dyDescent="0.3">
      <c r="A160" s="592" t="s">
        <v>549</v>
      </c>
      <c r="B160" s="592"/>
      <c r="C160" s="592"/>
      <c r="D160" s="90"/>
      <c r="E160" s="90"/>
      <c r="F160" s="589" t="str">
        <f>IF('PT V'!E30="","",'PT V'!E30)</f>
        <v>DD/MM/YYYY</v>
      </c>
      <c r="G160" s="589"/>
      <c r="H160" s="589"/>
      <c r="I160" s="90"/>
      <c r="J160" s="90"/>
      <c r="K160" s="90"/>
    </row>
    <row r="161" spans="1:11" ht="85.5" customHeight="1" x14ac:dyDescent="0.3">
      <c r="A161" s="592" t="s">
        <v>550</v>
      </c>
      <c r="B161" s="592"/>
      <c r="C161" s="592"/>
      <c r="D161" s="90"/>
      <c r="E161" s="90"/>
      <c r="F161" s="589" t="str">
        <f>IF('PT V'!E31="","",'PT V'!E31)</f>
        <v/>
      </c>
      <c r="G161" s="589"/>
      <c r="H161" s="589"/>
      <c r="I161" s="90"/>
      <c r="J161" s="90"/>
      <c r="K161" s="90"/>
    </row>
    <row r="162" spans="1:11" ht="14.25" customHeight="1" x14ac:dyDescent="0.3">
      <c r="A162" s="592" t="s">
        <v>551</v>
      </c>
      <c r="B162" s="592"/>
      <c r="C162" s="592"/>
      <c r="D162" s="90"/>
      <c r="E162" s="90"/>
      <c r="F162" s="594" t="str">
        <f>IF('PT V'!E32="","",'PT V'!E32)</f>
        <v/>
      </c>
      <c r="G162" s="594"/>
      <c r="H162" s="594"/>
      <c r="I162" s="90"/>
      <c r="J162" s="90"/>
      <c r="K162" s="90"/>
    </row>
    <row r="163" spans="1:11" ht="15.6" x14ac:dyDescent="0.3">
      <c r="A163" s="90" t="s">
        <v>553</v>
      </c>
      <c r="B163" s="90"/>
      <c r="C163" s="586" t="s">
        <v>552</v>
      </c>
      <c r="D163" s="587"/>
      <c r="E163" s="588"/>
      <c r="F163" s="589">
        <f>'PT V'!E33</f>
        <v>0</v>
      </c>
      <c r="G163" s="589"/>
      <c r="H163" s="590" t="s">
        <v>148</v>
      </c>
      <c r="I163" s="590"/>
      <c r="J163" s="604" t="str">
        <f>IF('PT V'!G33="","",'PT V'!G33)</f>
        <v/>
      </c>
      <c r="K163" s="589"/>
    </row>
    <row r="164" spans="1:11" ht="15.6" x14ac:dyDescent="0.3">
      <c r="A164" s="90"/>
      <c r="B164" s="90"/>
      <c r="C164" s="591" t="s">
        <v>579</v>
      </c>
      <c r="D164" s="590"/>
      <c r="E164" s="590"/>
      <c r="F164" s="589" t="str">
        <f>IF('PT V'!E34="","",'PT V'!E34)</f>
        <v/>
      </c>
      <c r="G164" s="589"/>
      <c r="H164" s="590" t="s">
        <v>556</v>
      </c>
      <c r="I164" s="590"/>
      <c r="J164" s="589">
        <f>'PT V'!G34</f>
        <v>0</v>
      </c>
      <c r="K164" s="589"/>
    </row>
    <row r="165" spans="1:11" ht="15.6" x14ac:dyDescent="0.3">
      <c r="A165" s="90"/>
      <c r="B165" s="90"/>
      <c r="C165" s="590" t="s">
        <v>566</v>
      </c>
      <c r="D165" s="590"/>
      <c r="E165" s="590"/>
      <c r="F165" s="589">
        <f>'PT V'!E35</f>
        <v>0</v>
      </c>
      <c r="G165" s="589"/>
      <c r="H165" s="590" t="s">
        <v>555</v>
      </c>
      <c r="I165" s="590"/>
      <c r="J165" s="589">
        <f>'PT V'!G35</f>
        <v>0</v>
      </c>
      <c r="K165" s="589"/>
    </row>
    <row r="166" spans="1:11" ht="48" customHeight="1" x14ac:dyDescent="0.3">
      <c r="A166" s="90"/>
      <c r="B166" s="90"/>
      <c r="C166" s="586" t="s">
        <v>554</v>
      </c>
      <c r="D166" s="587"/>
      <c r="E166" s="588"/>
      <c r="F166" s="589">
        <f>'PT V'!E36</f>
        <v>0</v>
      </c>
      <c r="G166" s="589"/>
      <c r="H166" s="590" t="s">
        <v>557</v>
      </c>
      <c r="I166" s="590"/>
      <c r="J166" s="589">
        <f>'PT V'!G36</f>
        <v>0</v>
      </c>
      <c r="K166" s="589"/>
    </row>
    <row r="167" spans="1:11" ht="15.6" x14ac:dyDescent="0.3">
      <c r="A167" s="90"/>
      <c r="B167" s="90"/>
      <c r="C167" s="93"/>
      <c r="D167" s="93"/>
      <c r="E167" s="93"/>
      <c r="F167" s="94"/>
      <c r="G167" s="94"/>
      <c r="H167" s="93"/>
      <c r="I167" s="93"/>
      <c r="J167" s="94"/>
      <c r="K167" s="94"/>
    </row>
    <row r="168" spans="1:11" ht="15.6" x14ac:dyDescent="0.3">
      <c r="A168" s="592" t="s">
        <v>583</v>
      </c>
      <c r="B168" s="592"/>
      <c r="C168" s="592"/>
      <c r="D168" s="592"/>
      <c r="E168" s="90"/>
      <c r="F168" s="607">
        <f>'PT V'!E38</f>
        <v>0</v>
      </c>
      <c r="G168" s="607"/>
      <c r="H168" s="90"/>
      <c r="I168" s="90"/>
      <c r="J168" s="90"/>
      <c r="K168" s="90"/>
    </row>
    <row r="169" spans="1:11" ht="15.6" x14ac:dyDescent="0.3">
      <c r="A169" s="95"/>
      <c r="B169" s="95"/>
      <c r="C169" s="90"/>
      <c r="D169" s="90"/>
      <c r="E169" s="90"/>
      <c r="F169" s="95"/>
      <c r="G169" s="95"/>
      <c r="H169" s="90"/>
      <c r="I169" s="90"/>
      <c r="J169" s="90"/>
      <c r="K169" s="90"/>
    </row>
    <row r="170" spans="1:11" ht="15.6" x14ac:dyDescent="0.3">
      <c r="A170" s="606" t="s">
        <v>568</v>
      </c>
      <c r="B170" s="606"/>
      <c r="C170" s="606"/>
      <c r="D170" s="606"/>
      <c r="E170" s="606"/>
      <c r="F170" s="606"/>
      <c r="G170" s="606"/>
      <c r="H170" s="606"/>
      <c r="I170" s="606"/>
      <c r="J170" s="606"/>
      <c r="K170" s="606"/>
    </row>
    <row r="171" spans="1:11" ht="15.6" x14ac:dyDescent="0.3">
      <c r="A171" s="90"/>
      <c r="B171" s="90"/>
      <c r="C171" s="90"/>
      <c r="D171" s="90"/>
      <c r="E171" s="90"/>
      <c r="F171" s="90"/>
      <c r="G171" s="90"/>
      <c r="H171" s="90"/>
      <c r="I171" s="90"/>
      <c r="J171" s="90"/>
      <c r="K171" s="90"/>
    </row>
    <row r="172" spans="1:11" ht="85.5" customHeight="1" x14ac:dyDescent="0.3">
      <c r="A172" s="92" t="str">
        <f>'Part B (ii)'!B5</f>
        <v>I</v>
      </c>
      <c r="B172" s="90" t="s">
        <v>109</v>
      </c>
      <c r="C172" s="90"/>
      <c r="D172" s="90"/>
      <c r="E172" s="90"/>
      <c r="F172" s="90"/>
      <c r="G172" s="90"/>
      <c r="H172" s="90"/>
      <c r="I172" s="90"/>
      <c r="J172" s="90"/>
      <c r="K172" s="90"/>
    </row>
    <row r="173" spans="1:11" ht="85.5" customHeight="1" x14ac:dyDescent="0.3">
      <c r="A173" s="96"/>
      <c r="B173" s="90"/>
      <c r="C173" s="90"/>
      <c r="D173" s="90"/>
      <c r="E173" s="90"/>
      <c r="F173" s="90"/>
      <c r="G173" s="90"/>
      <c r="H173" s="90"/>
      <c r="I173" s="90"/>
      <c r="J173" s="90"/>
      <c r="K173" s="90"/>
    </row>
    <row r="174" spans="1:11" ht="85.5" customHeight="1" x14ac:dyDescent="0.3">
      <c r="A174" s="98" t="s">
        <v>564</v>
      </c>
      <c r="B174" s="90"/>
      <c r="C174" s="594" t="str">
        <f>'Part B (ii)'!C7</f>
        <v>M/S</v>
      </c>
      <c r="D174" s="594"/>
      <c r="E174" s="589">
        <f>'Part B (ii)'!D7</f>
        <v>0</v>
      </c>
      <c r="F174" s="589"/>
      <c r="G174" s="589"/>
      <c r="H174" s="90"/>
      <c r="I174" s="90"/>
      <c r="J174" s="90"/>
      <c r="K174" s="90"/>
    </row>
    <row r="175" spans="1:11" ht="15.6" x14ac:dyDescent="0.3">
      <c r="A175" s="90"/>
      <c r="B175" s="90"/>
      <c r="C175" s="90"/>
      <c r="D175" s="90"/>
      <c r="E175" s="90"/>
      <c r="F175" s="90"/>
      <c r="G175" s="90"/>
      <c r="H175" s="90"/>
      <c r="I175" s="90"/>
      <c r="J175" s="90"/>
      <c r="K175" s="90"/>
    </row>
    <row r="176" spans="1:11" ht="15.6" x14ac:dyDescent="0.3">
      <c r="A176" s="592" t="s">
        <v>565</v>
      </c>
      <c r="B176" s="592"/>
      <c r="C176" s="586" t="s">
        <v>552</v>
      </c>
      <c r="D176" s="587"/>
      <c r="E176" s="588"/>
      <c r="F176" s="604">
        <f>'Part B (ii)'!D9</f>
        <v>0</v>
      </c>
      <c r="G176" s="604"/>
      <c r="H176" s="590" t="s">
        <v>148</v>
      </c>
      <c r="I176" s="590"/>
      <c r="J176" s="589" t="str">
        <f>IF('Part B (ii)'!F9="","",'Part B (ii)'!F9)</f>
        <v/>
      </c>
      <c r="K176" s="589"/>
    </row>
    <row r="177" spans="1:11" ht="15.6" x14ac:dyDescent="0.3">
      <c r="A177" s="90"/>
      <c r="B177" s="90"/>
      <c r="C177" s="591" t="s">
        <v>579</v>
      </c>
      <c r="D177" s="590"/>
      <c r="E177" s="590"/>
      <c r="F177" s="589" t="str">
        <f>IF('Part B (ii)'!D10="","",'Part B (ii)'!D10)</f>
        <v/>
      </c>
      <c r="G177" s="589"/>
      <c r="H177" s="590" t="s">
        <v>556</v>
      </c>
      <c r="I177" s="590"/>
      <c r="J177" s="589" t="str">
        <f>IF('Part B (ii)'!F10="","",'Part B (ii)'!F10)</f>
        <v/>
      </c>
      <c r="K177" s="589"/>
    </row>
    <row r="178" spans="1:11" ht="15.6" x14ac:dyDescent="0.3">
      <c r="A178" s="90"/>
      <c r="B178" s="90"/>
      <c r="C178" s="590" t="s">
        <v>566</v>
      </c>
      <c r="D178" s="590"/>
      <c r="E178" s="590"/>
      <c r="F178" s="604">
        <f>'Part B (ii)'!D11</f>
        <v>0</v>
      </c>
      <c r="G178" s="604"/>
      <c r="H178" s="590" t="s">
        <v>555</v>
      </c>
      <c r="I178" s="590"/>
      <c r="J178" s="604">
        <f>'Part B (ii)'!F11</f>
        <v>0</v>
      </c>
      <c r="K178" s="604"/>
    </row>
    <row r="179" spans="1:11" ht="15.6" x14ac:dyDescent="0.3">
      <c r="A179" s="90"/>
      <c r="B179" s="90"/>
      <c r="C179" s="586" t="s">
        <v>554</v>
      </c>
      <c r="D179" s="587"/>
      <c r="E179" s="588"/>
      <c r="F179" s="589">
        <f>'Part B (ii)'!D12</f>
        <v>0</v>
      </c>
      <c r="G179" s="589"/>
      <c r="H179" s="590" t="s">
        <v>557</v>
      </c>
      <c r="I179" s="590"/>
      <c r="J179" s="589">
        <f>'Part B (ii)'!F12</f>
        <v>0</v>
      </c>
      <c r="K179" s="589"/>
    </row>
    <row r="180" spans="1:11" ht="15.6" x14ac:dyDescent="0.3">
      <c r="A180" s="90"/>
      <c r="B180" s="90"/>
      <c r="C180" s="90"/>
      <c r="D180" s="90"/>
      <c r="E180" s="90"/>
      <c r="F180" s="90"/>
      <c r="G180" s="90"/>
      <c r="H180" s="90"/>
      <c r="I180" s="90"/>
      <c r="J180" s="90"/>
      <c r="K180" s="90"/>
    </row>
    <row r="181" spans="1:11" ht="85.5" customHeight="1" x14ac:dyDescent="0.3">
      <c r="A181" s="598" t="s">
        <v>110</v>
      </c>
      <c r="B181" s="598"/>
      <c r="C181" s="598"/>
      <c r="D181" s="90"/>
      <c r="E181" s="90"/>
      <c r="F181" s="90"/>
      <c r="G181" s="90"/>
      <c r="H181" s="90"/>
      <c r="I181" s="90"/>
      <c r="J181" s="90"/>
      <c r="K181" s="90"/>
    </row>
    <row r="182" spans="1:11" ht="85.5" customHeight="1" x14ac:dyDescent="0.3">
      <c r="A182" s="90"/>
      <c r="B182" s="90"/>
      <c r="C182" s="90"/>
      <c r="D182" s="90"/>
      <c r="E182" s="90"/>
      <c r="F182" s="90"/>
      <c r="G182" s="90"/>
      <c r="H182" s="90"/>
      <c r="I182" s="90"/>
      <c r="J182" s="90"/>
      <c r="K182" s="90"/>
    </row>
    <row r="183" spans="1:11" ht="85.5" customHeight="1" x14ac:dyDescent="0.3">
      <c r="A183" s="96" t="s">
        <v>564</v>
      </c>
      <c r="B183" s="90"/>
      <c r="C183" s="594" t="str">
        <f>'Part B (ii)'!C16</f>
        <v>M/S</v>
      </c>
      <c r="D183" s="594"/>
      <c r="E183" s="589">
        <f>'Part B (ii)'!D16</f>
        <v>0</v>
      </c>
      <c r="F183" s="589"/>
      <c r="G183" s="589"/>
      <c r="H183" s="90"/>
      <c r="I183" s="90"/>
      <c r="J183" s="90"/>
      <c r="K183" s="90"/>
    </row>
    <row r="184" spans="1:11" ht="15.6" x14ac:dyDescent="0.3">
      <c r="A184" s="90"/>
      <c r="B184" s="90"/>
      <c r="C184" s="90"/>
      <c r="D184" s="90"/>
      <c r="E184" s="90"/>
      <c r="F184" s="90"/>
      <c r="G184" s="90"/>
      <c r="H184" s="90"/>
      <c r="I184" s="90"/>
      <c r="J184" s="90"/>
      <c r="K184" s="90"/>
    </row>
    <row r="185" spans="1:11" ht="15.6" x14ac:dyDescent="0.3">
      <c r="A185" s="592" t="s">
        <v>565</v>
      </c>
      <c r="B185" s="592"/>
      <c r="C185" s="586" t="s">
        <v>552</v>
      </c>
      <c r="D185" s="587"/>
      <c r="E185" s="588"/>
      <c r="F185" s="604">
        <f>'Part B (ii)'!D18</f>
        <v>0</v>
      </c>
      <c r="G185" s="604"/>
      <c r="H185" s="590" t="s">
        <v>148</v>
      </c>
      <c r="I185" s="590"/>
      <c r="J185" s="589" t="str">
        <f>IF('Part B (ii)'!F18="","",'Part B (ii)'!F18)</f>
        <v/>
      </c>
      <c r="K185" s="589"/>
    </row>
    <row r="186" spans="1:11" ht="15.6" x14ac:dyDescent="0.3">
      <c r="A186" s="90"/>
      <c r="B186" s="90"/>
      <c r="C186" s="591" t="s">
        <v>579</v>
      </c>
      <c r="D186" s="590"/>
      <c r="E186" s="590"/>
      <c r="F186" s="589" t="str">
        <f>IF('Part B (ii)'!D19="","",'Part B (ii)'!D19)</f>
        <v/>
      </c>
      <c r="G186" s="589"/>
      <c r="H186" s="590" t="s">
        <v>556</v>
      </c>
      <c r="I186" s="590"/>
      <c r="J186" s="589" t="str">
        <f>IF('Part B (ii)'!F19="","",'Part B (ii)'!F19)</f>
        <v/>
      </c>
      <c r="K186" s="589"/>
    </row>
    <row r="187" spans="1:11" ht="15.6" x14ac:dyDescent="0.3">
      <c r="A187" s="90"/>
      <c r="B187" s="90"/>
      <c r="C187" s="590" t="s">
        <v>566</v>
      </c>
      <c r="D187" s="590"/>
      <c r="E187" s="590"/>
      <c r="F187" s="604">
        <f>'Part B (ii)'!D20</f>
        <v>0</v>
      </c>
      <c r="G187" s="604"/>
      <c r="H187" s="590" t="s">
        <v>555</v>
      </c>
      <c r="I187" s="590"/>
      <c r="J187" s="604">
        <f>'Part B (ii)'!F20</f>
        <v>0</v>
      </c>
      <c r="K187" s="604"/>
    </row>
    <row r="188" spans="1:11" ht="15.6" x14ac:dyDescent="0.3">
      <c r="A188" s="90"/>
      <c r="B188" s="90"/>
      <c r="C188" s="586" t="s">
        <v>554</v>
      </c>
      <c r="D188" s="587"/>
      <c r="E188" s="588"/>
      <c r="F188" s="589">
        <f>'Part B (ii)'!D21</f>
        <v>0</v>
      </c>
      <c r="G188" s="589"/>
      <c r="H188" s="590" t="s">
        <v>557</v>
      </c>
      <c r="I188" s="590"/>
      <c r="J188" s="589">
        <f>'Part B (ii)'!F21</f>
        <v>0</v>
      </c>
      <c r="K188" s="589"/>
    </row>
    <row r="189" spans="1:11" ht="15.6" x14ac:dyDescent="0.3">
      <c r="A189" s="90"/>
      <c r="B189" s="90"/>
      <c r="C189" s="90"/>
      <c r="D189" s="90"/>
      <c r="E189" s="90"/>
      <c r="F189" s="90"/>
      <c r="G189" s="90"/>
      <c r="H189" s="90"/>
      <c r="I189" s="90"/>
      <c r="J189" s="90"/>
      <c r="K189" s="90"/>
    </row>
    <row r="190" spans="1:11" ht="15.6" x14ac:dyDescent="0.3">
      <c r="A190" s="90" t="s">
        <v>615</v>
      </c>
      <c r="B190" s="90"/>
      <c r="C190" s="90"/>
      <c r="D190" s="90"/>
      <c r="E190" s="605">
        <f>'Part B (ii)'!C23</f>
        <v>123456</v>
      </c>
      <c r="F190" s="605"/>
      <c r="G190" s="90" t="s">
        <v>616</v>
      </c>
      <c r="H190" s="90"/>
      <c r="I190" s="90"/>
      <c r="J190" s="90"/>
      <c r="K190" s="90"/>
    </row>
    <row r="191" spans="1:11" ht="15.6" x14ac:dyDescent="0.3">
      <c r="A191" s="597">
        <f>'Part B (ii)'!E23</f>
        <v>0</v>
      </c>
      <c r="B191" s="597"/>
      <c r="C191" s="597"/>
      <c r="D191" s="597"/>
      <c r="E191" s="597"/>
      <c r="F191" s="90" t="s">
        <v>102</v>
      </c>
      <c r="G191" s="90" t="str">
        <f>'Part B (ii)'!H23</f>
        <v>I</v>
      </c>
      <c r="H191" s="90" t="s">
        <v>289</v>
      </c>
      <c r="I191" s="90"/>
      <c r="J191" s="90"/>
      <c r="K191" s="90"/>
    </row>
    <row r="192" spans="1:11" ht="15.6" x14ac:dyDescent="0.3">
      <c r="A192" s="90" t="s">
        <v>288</v>
      </c>
      <c r="B192" s="90"/>
      <c r="C192" s="98"/>
      <c r="D192" s="602" t="str">
        <f>'Part B (ii)'!D25</f>
        <v>DD/MM/YYYY</v>
      </c>
      <c r="E192" s="603"/>
      <c r="F192" s="91" t="s">
        <v>115</v>
      </c>
      <c r="G192" s="90"/>
      <c r="H192" s="90"/>
      <c r="I192" s="90"/>
      <c r="J192" s="90"/>
      <c r="K192" s="90"/>
    </row>
    <row r="193" spans="1:11" ht="15.6" x14ac:dyDescent="0.3">
      <c r="A193" s="90"/>
      <c r="B193" s="90"/>
      <c r="C193" s="90"/>
      <c r="D193" s="90"/>
      <c r="E193" s="90"/>
      <c r="F193" s="90"/>
      <c r="G193" s="90"/>
      <c r="H193" s="90"/>
      <c r="I193" s="90"/>
      <c r="J193" s="90"/>
      <c r="K193" s="90"/>
    </row>
    <row r="194" spans="1:11" ht="15.6" x14ac:dyDescent="0.3">
      <c r="A194" s="595" t="s">
        <v>558</v>
      </c>
      <c r="B194" s="595"/>
      <c r="C194" s="595"/>
      <c r="D194" s="595"/>
      <c r="E194" s="596" t="str">
        <f>'Part B (ii)'!D27</f>
        <v>DD/MM/YYYY</v>
      </c>
      <c r="F194" s="597"/>
      <c r="G194" s="597"/>
      <c r="H194" s="90"/>
      <c r="I194" s="90"/>
      <c r="J194" s="90"/>
      <c r="K194" s="90"/>
    </row>
    <row r="195" spans="1:11" ht="15.6" x14ac:dyDescent="0.3">
      <c r="A195" s="90"/>
      <c r="B195" s="90"/>
      <c r="C195" s="90"/>
      <c r="D195" s="90"/>
      <c r="E195" s="90"/>
      <c r="F195" s="90"/>
      <c r="G195" s="90"/>
      <c r="H195" s="90"/>
      <c r="I195" s="90"/>
      <c r="J195" s="90"/>
      <c r="K195" s="90"/>
    </row>
    <row r="196" spans="1:11" ht="15.6" x14ac:dyDescent="0.3">
      <c r="A196" s="595" t="s">
        <v>567</v>
      </c>
      <c r="B196" s="595"/>
      <c r="C196" s="595"/>
      <c r="D196" s="595"/>
      <c r="E196" s="597" t="str">
        <f>'Part B (ii)'!D29</f>
        <v>profit and loss account</v>
      </c>
      <c r="F196" s="597"/>
      <c r="G196" s="597"/>
      <c r="H196" s="597"/>
      <c r="I196" s="90"/>
      <c r="J196" s="90"/>
      <c r="K196" s="90"/>
    </row>
    <row r="197" spans="1:11" ht="15.6" x14ac:dyDescent="0.3">
      <c r="A197" s="595" t="s">
        <v>560</v>
      </c>
      <c r="B197" s="595"/>
      <c r="C197" s="595"/>
      <c r="D197" s="595"/>
      <c r="E197" s="596" t="str">
        <f>'Part B (ii)'!D30</f>
        <v>DD/MM/YYYY</v>
      </c>
      <c r="F197" s="597"/>
      <c r="G197" s="597"/>
      <c r="H197" s="90"/>
      <c r="I197" s="90"/>
      <c r="J197" s="90"/>
      <c r="K197" s="90"/>
    </row>
    <row r="198" spans="1:11" ht="15.6" x14ac:dyDescent="0.3">
      <c r="A198" s="601" t="s">
        <v>561</v>
      </c>
      <c r="B198" s="601"/>
      <c r="C198" s="601"/>
      <c r="D198" s="601"/>
      <c r="E198" s="596" t="str">
        <f>'Part B (ii)'!D31</f>
        <v>DD/MM/YYYY</v>
      </c>
      <c r="F198" s="597"/>
      <c r="G198" s="597"/>
      <c r="H198" s="90"/>
      <c r="I198" s="90"/>
      <c r="J198" s="90"/>
      <c r="K198" s="90"/>
    </row>
    <row r="199" spans="1:11" ht="15.6" x14ac:dyDescent="0.3">
      <c r="A199" s="90"/>
      <c r="B199" s="90"/>
      <c r="C199" s="90"/>
      <c r="D199" s="90"/>
      <c r="E199" s="90"/>
      <c r="F199" s="90"/>
      <c r="G199" s="90"/>
      <c r="H199" s="90"/>
      <c r="I199" s="90"/>
      <c r="J199" s="90"/>
      <c r="K199" s="90"/>
    </row>
    <row r="200" spans="1:11" ht="15.6" x14ac:dyDescent="0.3">
      <c r="A200" s="595" t="s">
        <v>72</v>
      </c>
      <c r="B200" s="595"/>
      <c r="C200" s="595"/>
      <c r="D200" s="595"/>
      <c r="E200" s="595"/>
      <c r="F200" s="595"/>
      <c r="G200" s="90"/>
      <c r="H200" s="90"/>
      <c r="I200" s="90"/>
      <c r="J200" s="90"/>
      <c r="K200" s="90"/>
    </row>
    <row r="201" spans="1:11" ht="15.6" x14ac:dyDescent="0.3">
      <c r="A201" s="601" t="s">
        <v>562</v>
      </c>
      <c r="B201" s="601"/>
      <c r="C201" s="601"/>
      <c r="D201" s="601"/>
      <c r="E201" s="596" t="str">
        <f>'Part B (ii)'!D34</f>
        <v>DD/MM/YYYY</v>
      </c>
      <c r="F201" s="597"/>
      <c r="G201" s="597"/>
      <c r="H201" s="90"/>
      <c r="I201" s="90"/>
      <c r="J201" s="90"/>
      <c r="K201" s="90"/>
    </row>
    <row r="202" spans="1:11" ht="15.6" x14ac:dyDescent="0.3">
      <c r="A202" s="595" t="s">
        <v>563</v>
      </c>
      <c r="B202" s="595"/>
      <c r="C202" s="595"/>
      <c r="D202" s="595"/>
      <c r="E202" s="596" t="str">
        <f>'Part B (ii)'!D35</f>
        <v>DD/MM/YYYY</v>
      </c>
      <c r="F202" s="597"/>
      <c r="G202" s="597"/>
      <c r="H202" s="90"/>
      <c r="I202" s="90"/>
      <c r="J202" s="90"/>
      <c r="K202" s="90"/>
    </row>
    <row r="203" spans="1:11" ht="15.6" x14ac:dyDescent="0.3">
      <c r="A203" s="90"/>
      <c r="B203" s="90"/>
      <c r="C203" s="90"/>
      <c r="D203" s="90"/>
      <c r="E203" s="90"/>
      <c r="F203" s="90"/>
      <c r="G203" s="90"/>
      <c r="H203" s="90"/>
      <c r="I203" s="90"/>
      <c r="J203" s="90"/>
      <c r="K203" s="90"/>
    </row>
    <row r="204" spans="1:11" ht="15.6" x14ac:dyDescent="0.3">
      <c r="A204" s="90" t="s">
        <v>303</v>
      </c>
      <c r="B204" s="90"/>
      <c r="C204" s="90"/>
      <c r="D204" s="90"/>
      <c r="E204" s="90"/>
      <c r="F204" s="90"/>
      <c r="G204" s="90"/>
      <c r="H204" s="597" t="str">
        <f>'Part B (ii)'!E37</f>
        <v>profit and loss account</v>
      </c>
      <c r="I204" s="597"/>
      <c r="J204" s="597"/>
      <c r="K204" s="597"/>
    </row>
    <row r="205" spans="1:11" ht="15.6" x14ac:dyDescent="0.3">
      <c r="A205" s="90" t="s">
        <v>117</v>
      </c>
      <c r="B205" s="90"/>
      <c r="C205" s="90"/>
      <c r="D205" s="90"/>
      <c r="E205" s="90"/>
      <c r="F205" s="90"/>
      <c r="G205" s="90"/>
      <c r="H205" s="90"/>
      <c r="I205" s="90"/>
      <c r="J205" s="90"/>
      <c r="K205" s="90"/>
    </row>
    <row r="206" spans="1:11" ht="15.6" x14ac:dyDescent="0.3">
      <c r="A206" s="90"/>
      <c r="B206" s="90"/>
      <c r="C206" s="90"/>
      <c r="D206" s="90"/>
      <c r="E206" s="90"/>
      <c r="F206" s="90"/>
      <c r="G206" s="90"/>
      <c r="H206" s="90"/>
      <c r="I206" s="90"/>
      <c r="J206" s="90"/>
      <c r="K206" s="90"/>
    </row>
    <row r="207" spans="1:11" ht="15.6" x14ac:dyDescent="0.3">
      <c r="A207" s="97">
        <v>2</v>
      </c>
      <c r="B207" s="97" t="str">
        <f>'Part B (ii)'!B40:C40</f>
        <v>I</v>
      </c>
      <c r="C207" s="91" t="s">
        <v>86</v>
      </c>
      <c r="D207" s="90"/>
      <c r="E207" s="90"/>
      <c r="F207" s="91"/>
      <c r="G207" s="91"/>
      <c r="H207" s="91"/>
      <c r="I207" s="90"/>
      <c r="J207" s="90"/>
      <c r="K207" s="90"/>
    </row>
    <row r="208" spans="1:11" ht="15.6" x14ac:dyDescent="0.3">
      <c r="A208" s="592" t="str">
        <f>'Part B (ii)'!B41</f>
        <v>has maintained the books of accounts, records and documents</v>
      </c>
      <c r="B208" s="592"/>
      <c r="C208" s="592"/>
      <c r="D208" s="592"/>
      <c r="E208" s="592"/>
      <c r="F208" s="592"/>
      <c r="G208" s="592"/>
      <c r="H208" s="592"/>
      <c r="I208" s="98" t="s">
        <v>287</v>
      </c>
      <c r="J208" s="90"/>
      <c r="K208" s="90"/>
    </row>
    <row r="209" spans="1:11" ht="15.6" x14ac:dyDescent="0.3">
      <c r="A209" s="598" t="s">
        <v>286</v>
      </c>
      <c r="B209" s="598"/>
      <c r="C209" s="598"/>
      <c r="D209" s="598"/>
      <c r="E209" s="598"/>
      <c r="F209" s="598"/>
      <c r="G209" s="598"/>
      <c r="H209" s="598"/>
      <c r="I209" s="598"/>
      <c r="J209" s="598"/>
      <c r="K209" s="90"/>
    </row>
    <row r="210" spans="1:11" ht="15.6" x14ac:dyDescent="0.3">
      <c r="A210" s="90"/>
      <c r="B210" s="90"/>
      <c r="C210" s="90"/>
      <c r="D210" s="90"/>
      <c r="E210" s="90"/>
      <c r="F210" s="90"/>
      <c r="G210" s="90"/>
      <c r="H210" s="90"/>
      <c r="I210" s="90"/>
      <c r="J210" s="90"/>
      <c r="K210" s="90"/>
    </row>
    <row r="211" spans="1:11" ht="15.6" x14ac:dyDescent="0.3">
      <c r="A211" s="90" t="s">
        <v>285</v>
      </c>
      <c r="B211" s="90"/>
      <c r="C211" s="90"/>
      <c r="D211" s="90"/>
      <c r="E211" s="90"/>
      <c r="F211" s="90"/>
      <c r="G211" s="90"/>
      <c r="H211" s="90"/>
      <c r="I211" s="90"/>
      <c r="J211" s="90"/>
      <c r="K211" s="90"/>
    </row>
    <row r="212" spans="1:11" ht="15.6" x14ac:dyDescent="0.3">
      <c r="A212" s="90" t="s">
        <v>284</v>
      </c>
      <c r="B212" s="90"/>
      <c r="C212" s="90"/>
      <c r="D212" s="90"/>
      <c r="E212" s="90"/>
      <c r="F212" s="90"/>
      <c r="G212" s="90"/>
      <c r="H212" s="90"/>
      <c r="I212" s="90"/>
      <c r="J212" s="90"/>
      <c r="K212" s="90"/>
    </row>
    <row r="213" spans="1:11" ht="15.6" x14ac:dyDescent="0.3">
      <c r="A213" s="90" t="s">
        <v>104</v>
      </c>
      <c r="B213" s="90"/>
      <c r="C213" s="90"/>
      <c r="D213" s="90"/>
      <c r="E213" s="90"/>
      <c r="F213" s="90"/>
      <c r="G213" s="90"/>
      <c r="H213" s="90"/>
      <c r="I213" s="90"/>
      <c r="J213" s="90"/>
      <c r="K213" s="90"/>
    </row>
    <row r="214" spans="1:11" ht="15.6" x14ac:dyDescent="0.3">
      <c r="A214" s="90"/>
      <c r="B214" s="90"/>
      <c r="C214" s="90"/>
      <c r="D214" s="90"/>
      <c r="E214" s="90"/>
      <c r="F214" s="90"/>
      <c r="G214" s="90"/>
      <c r="H214" s="90"/>
      <c r="I214" s="90"/>
      <c r="J214" s="90"/>
      <c r="K214" s="90"/>
    </row>
    <row r="215" spans="1:11" ht="15.6" x14ac:dyDescent="0.3">
      <c r="A215" s="90" t="s">
        <v>283</v>
      </c>
      <c r="B215" s="90" t="str">
        <f>'Part B (ii)'!C47</f>
        <v>my</v>
      </c>
      <c r="C215" s="91" t="s">
        <v>105</v>
      </c>
      <c r="D215" s="90"/>
      <c r="E215" s="90"/>
      <c r="F215" s="90" t="str">
        <f>'Part B (ii)'!E47</f>
        <v>my</v>
      </c>
      <c r="G215" s="90" t="s">
        <v>282</v>
      </c>
      <c r="H215" s="90"/>
      <c r="I215" s="90"/>
      <c r="J215" s="90"/>
      <c r="K215" s="90"/>
    </row>
    <row r="216" spans="1:11" ht="15.6" x14ac:dyDescent="0.3">
      <c r="A216" s="90" t="s">
        <v>281</v>
      </c>
      <c r="B216" s="90"/>
      <c r="C216" s="90" t="str">
        <f>'Part B (ii)'!H47</f>
        <v>my</v>
      </c>
      <c r="D216" s="90" t="s">
        <v>619</v>
      </c>
      <c r="E216" s="90"/>
      <c r="F216" s="90"/>
      <c r="G216" s="90"/>
      <c r="H216" s="90"/>
      <c r="I216" s="90"/>
      <c r="J216" s="90"/>
      <c r="K216" s="90"/>
    </row>
    <row r="217" spans="1:11" ht="15.6" x14ac:dyDescent="0.3">
      <c r="A217" s="90" t="s">
        <v>280</v>
      </c>
      <c r="B217" s="90"/>
      <c r="C217" s="90"/>
      <c r="D217" s="90"/>
      <c r="E217" s="90"/>
      <c r="F217" s="90"/>
      <c r="G217" s="90"/>
      <c r="H217" s="90"/>
      <c r="I217" s="90"/>
      <c r="J217" s="90"/>
      <c r="K217" s="90"/>
    </row>
    <row r="218" spans="1:11" ht="395.25" customHeight="1" x14ac:dyDescent="0.3">
      <c r="A218" s="90"/>
      <c r="B218" s="90"/>
      <c r="C218" s="90"/>
      <c r="D218" s="90"/>
      <c r="E218" s="90"/>
      <c r="F218" s="90"/>
      <c r="G218" s="90"/>
      <c r="H218" s="90"/>
      <c r="I218" s="90"/>
      <c r="J218" s="90"/>
      <c r="K218" s="90"/>
    </row>
    <row r="219" spans="1:11" ht="15.6" x14ac:dyDescent="0.3">
      <c r="A219" s="99" t="s">
        <v>81</v>
      </c>
      <c r="B219" s="90"/>
      <c r="C219" s="90"/>
      <c r="D219" s="90"/>
      <c r="E219" s="90"/>
      <c r="F219" s="90"/>
      <c r="G219" s="90"/>
      <c r="H219" s="90"/>
      <c r="I219" s="90"/>
      <c r="J219" s="90"/>
      <c r="K219" s="90"/>
    </row>
    <row r="220" spans="1:11" ht="15.6" x14ac:dyDescent="0.3">
      <c r="A220" s="90"/>
      <c r="B220" s="90"/>
      <c r="C220" s="90"/>
      <c r="D220" s="90"/>
      <c r="E220" s="90"/>
      <c r="F220" s="90"/>
      <c r="G220" s="90"/>
      <c r="H220" s="90"/>
      <c r="I220" s="90"/>
      <c r="J220" s="90"/>
      <c r="K220" s="90"/>
    </row>
    <row r="221" spans="1:11" ht="15.6" x14ac:dyDescent="0.3">
      <c r="A221" s="90"/>
      <c r="B221" s="100" t="s">
        <v>74</v>
      </c>
      <c r="C221" s="599" t="s">
        <v>75</v>
      </c>
      <c r="D221" s="599"/>
      <c r="E221" s="599"/>
      <c r="F221" s="599"/>
      <c r="G221" s="600" t="s">
        <v>76</v>
      </c>
      <c r="H221" s="600"/>
      <c r="I221" s="600"/>
      <c r="J221" s="90"/>
      <c r="K221" s="90"/>
    </row>
    <row r="222" spans="1:11" ht="40.5" customHeight="1" x14ac:dyDescent="0.3">
      <c r="A222" s="90"/>
      <c r="B222" s="92">
        <v>1</v>
      </c>
      <c r="C222" s="589"/>
      <c r="D222" s="589"/>
      <c r="E222" s="589"/>
      <c r="F222" s="589"/>
      <c r="G222" s="589"/>
      <c r="H222" s="589"/>
      <c r="I222" s="589"/>
      <c r="J222" s="90"/>
      <c r="K222" s="90"/>
    </row>
    <row r="223" spans="1:11" ht="33" customHeight="1" x14ac:dyDescent="0.3">
      <c r="A223" s="90"/>
      <c r="B223" s="90"/>
      <c r="C223" s="90"/>
      <c r="D223" s="90"/>
      <c r="E223" s="90"/>
      <c r="F223" s="90"/>
      <c r="G223" s="90"/>
      <c r="H223" s="90"/>
      <c r="I223" s="90"/>
      <c r="J223" s="90"/>
      <c r="K223" s="90"/>
    </row>
    <row r="224" spans="1:11" ht="38.25" customHeight="1" x14ac:dyDescent="0.3">
      <c r="A224" s="101" t="s">
        <v>80</v>
      </c>
      <c r="B224" s="90"/>
      <c r="C224" s="90"/>
      <c r="D224" s="90"/>
      <c r="E224" s="90"/>
      <c r="F224" s="90"/>
      <c r="G224" s="90"/>
      <c r="H224" s="90"/>
      <c r="I224" s="90"/>
      <c r="J224" s="90"/>
      <c r="K224" s="90"/>
    </row>
    <row r="225" spans="1:11" ht="15.6" x14ac:dyDescent="0.3">
      <c r="A225" s="90"/>
      <c r="B225" s="90"/>
      <c r="C225" s="90"/>
      <c r="D225" s="90"/>
      <c r="E225" s="90"/>
      <c r="F225" s="90"/>
      <c r="G225" s="90"/>
      <c r="H225" s="90"/>
      <c r="I225" s="90"/>
      <c r="J225" s="90"/>
      <c r="K225" s="90"/>
    </row>
    <row r="226" spans="1:11" ht="85.5" customHeight="1" x14ac:dyDescent="0.3">
      <c r="A226" s="592" t="s">
        <v>548</v>
      </c>
      <c r="B226" s="592"/>
      <c r="C226" s="592"/>
      <c r="D226" s="90"/>
      <c r="E226" s="90"/>
      <c r="F226" s="589">
        <f>'Part B (ii)'!D58</f>
        <v>0</v>
      </c>
      <c r="G226" s="589"/>
      <c r="H226" s="589"/>
      <c r="I226" s="90"/>
      <c r="J226" s="90"/>
      <c r="K226" s="90"/>
    </row>
    <row r="227" spans="1:11" ht="85.5" customHeight="1" x14ac:dyDescent="0.3">
      <c r="A227" s="592" t="s">
        <v>549</v>
      </c>
      <c r="B227" s="592"/>
      <c r="C227" s="592"/>
      <c r="D227" s="90"/>
      <c r="E227" s="90"/>
      <c r="F227" s="589">
        <f>'Part B (ii)'!D59</f>
        <v>0</v>
      </c>
      <c r="G227" s="589"/>
      <c r="H227" s="589"/>
      <c r="I227" s="90"/>
      <c r="J227" s="90"/>
      <c r="K227" s="90"/>
    </row>
    <row r="228" spans="1:11" ht="85.5" customHeight="1" x14ac:dyDescent="0.3">
      <c r="A228" s="592" t="s">
        <v>550</v>
      </c>
      <c r="B228" s="592"/>
      <c r="C228" s="592"/>
      <c r="D228" s="90"/>
      <c r="E228" s="90"/>
      <c r="F228" s="589">
        <f>'Part B (ii)'!D60</f>
        <v>0</v>
      </c>
      <c r="G228" s="589"/>
      <c r="H228" s="589"/>
      <c r="I228" s="90"/>
      <c r="J228" s="90"/>
      <c r="K228" s="90"/>
    </row>
    <row r="229" spans="1:11" ht="15.6" x14ac:dyDescent="0.3">
      <c r="A229" s="592" t="s">
        <v>551</v>
      </c>
      <c r="B229" s="592"/>
      <c r="C229" s="592"/>
      <c r="D229" s="90"/>
      <c r="E229" s="90"/>
      <c r="F229" s="593" t="str">
        <f>'Part B (ii)'!D61</f>
        <v>DD/MM/YYYY</v>
      </c>
      <c r="G229" s="594"/>
      <c r="H229" s="594"/>
      <c r="I229" s="90"/>
      <c r="J229" s="90"/>
      <c r="K229" s="90"/>
    </row>
    <row r="230" spans="1:11" ht="15.6" x14ac:dyDescent="0.3">
      <c r="A230" s="90" t="s">
        <v>553</v>
      </c>
      <c r="B230" s="90"/>
      <c r="C230" s="586" t="s">
        <v>552</v>
      </c>
      <c r="D230" s="587"/>
      <c r="E230" s="588"/>
      <c r="F230" s="589">
        <f>'Part B (ii)'!E62</f>
        <v>0</v>
      </c>
      <c r="G230" s="589"/>
      <c r="H230" s="590" t="s">
        <v>148</v>
      </c>
      <c r="I230" s="590"/>
      <c r="J230" s="589" t="str">
        <f>IF('Part B (ii)'!G62="","",'Part B (ii)'!G62)</f>
        <v/>
      </c>
      <c r="K230" s="589"/>
    </row>
    <row r="231" spans="1:11" ht="15.6" x14ac:dyDescent="0.3">
      <c r="A231" s="90"/>
      <c r="B231" s="90"/>
      <c r="C231" s="591" t="s">
        <v>569</v>
      </c>
      <c r="D231" s="590"/>
      <c r="E231" s="590"/>
      <c r="F231" s="589" t="str">
        <f>IF('Part B (ii)'!E63="","",'Part B (ii)'!E63)</f>
        <v/>
      </c>
      <c r="G231" s="589"/>
      <c r="H231" s="590" t="s">
        <v>556</v>
      </c>
      <c r="I231" s="590"/>
      <c r="J231" s="589">
        <f>'Part B (ii)'!G63</f>
        <v>0</v>
      </c>
      <c r="K231" s="589"/>
    </row>
    <row r="232" spans="1:11" ht="15.6" x14ac:dyDescent="0.3">
      <c r="A232" s="90"/>
      <c r="B232" s="90"/>
      <c r="C232" s="590" t="s">
        <v>566</v>
      </c>
      <c r="D232" s="590"/>
      <c r="E232" s="590"/>
      <c r="F232" s="589">
        <f>'Part B (ii)'!E64</f>
        <v>0</v>
      </c>
      <c r="G232" s="589"/>
      <c r="H232" s="590" t="s">
        <v>555</v>
      </c>
      <c r="I232" s="590"/>
      <c r="J232" s="589">
        <f>'Part B (ii)'!G64</f>
        <v>0</v>
      </c>
      <c r="K232" s="589"/>
    </row>
    <row r="233" spans="1:11" ht="15.6" x14ac:dyDescent="0.3">
      <c r="A233" s="90"/>
      <c r="B233" s="90"/>
      <c r="C233" s="586" t="s">
        <v>554</v>
      </c>
      <c r="D233" s="587"/>
      <c r="E233" s="588"/>
      <c r="F233" s="589">
        <f>'Part B (ii)'!E65</f>
        <v>0</v>
      </c>
      <c r="G233" s="589"/>
      <c r="H233" s="590" t="s">
        <v>557</v>
      </c>
      <c r="I233" s="590"/>
      <c r="J233" s="589">
        <f>'Part B (ii)'!G65</f>
        <v>0</v>
      </c>
      <c r="K233" s="589"/>
    </row>
  </sheetData>
  <mergeCells count="551">
    <mergeCell ref="E2:G2"/>
    <mergeCell ref="B3:K3"/>
    <mergeCell ref="B4:F4"/>
    <mergeCell ref="G4:K4"/>
    <mergeCell ref="B5:F5"/>
    <mergeCell ref="G5:K5"/>
    <mergeCell ref="B9:F9"/>
    <mergeCell ref="G9:K9"/>
    <mergeCell ref="B10:F10"/>
    <mergeCell ref="G10:K10"/>
    <mergeCell ref="B11:F11"/>
    <mergeCell ref="G11:K11"/>
    <mergeCell ref="B6:F6"/>
    <mergeCell ref="G6:K6"/>
    <mergeCell ref="B7:F7"/>
    <mergeCell ref="G7:K7"/>
    <mergeCell ref="B8:F8"/>
    <mergeCell ref="G8:K8"/>
    <mergeCell ref="B16:H16"/>
    <mergeCell ref="I16:K16"/>
    <mergeCell ref="B17:G17"/>
    <mergeCell ref="I17:K17"/>
    <mergeCell ref="B18:G18"/>
    <mergeCell ref="I18:K18"/>
    <mergeCell ref="B12:F12"/>
    <mergeCell ref="G12:K12"/>
    <mergeCell ref="B13:K13"/>
    <mergeCell ref="B14:K14"/>
    <mergeCell ref="B15:H15"/>
    <mergeCell ref="I15:K15"/>
    <mergeCell ref="B22:G22"/>
    <mergeCell ref="I22:K22"/>
    <mergeCell ref="B23:G23"/>
    <mergeCell ref="I23:K23"/>
    <mergeCell ref="B24:G24"/>
    <mergeCell ref="I24:K24"/>
    <mergeCell ref="B19:G19"/>
    <mergeCell ref="I19:K19"/>
    <mergeCell ref="B20:G20"/>
    <mergeCell ref="I20:K20"/>
    <mergeCell ref="B21:G21"/>
    <mergeCell ref="I21:K21"/>
    <mergeCell ref="B28:G28"/>
    <mergeCell ref="I28:K28"/>
    <mergeCell ref="B29:G29"/>
    <mergeCell ref="I29:K29"/>
    <mergeCell ref="B30:G30"/>
    <mergeCell ref="I30:K30"/>
    <mergeCell ref="B25:G25"/>
    <mergeCell ref="I25:K25"/>
    <mergeCell ref="B26:G26"/>
    <mergeCell ref="I26:K26"/>
    <mergeCell ref="B27:G27"/>
    <mergeCell ref="I27:K27"/>
    <mergeCell ref="B34:K34"/>
    <mergeCell ref="B35:D35"/>
    <mergeCell ref="E35:K35"/>
    <mergeCell ref="B36:K36"/>
    <mergeCell ref="B37:H37"/>
    <mergeCell ref="I37:K37"/>
    <mergeCell ref="B31:H31"/>
    <mergeCell ref="I31:K31"/>
    <mergeCell ref="B32:H32"/>
    <mergeCell ref="I32:K32"/>
    <mergeCell ref="B33:H33"/>
    <mergeCell ref="I33:K33"/>
    <mergeCell ref="B41:H41"/>
    <mergeCell ref="I41:K41"/>
    <mergeCell ref="B42:H42"/>
    <mergeCell ref="I42:K42"/>
    <mergeCell ref="B43:H43"/>
    <mergeCell ref="I43:K43"/>
    <mergeCell ref="B38:H38"/>
    <mergeCell ref="I38:K38"/>
    <mergeCell ref="B39:H39"/>
    <mergeCell ref="I39:K39"/>
    <mergeCell ref="B40:H40"/>
    <mergeCell ref="I40:K40"/>
    <mergeCell ref="A49:A50"/>
    <mergeCell ref="B49:C50"/>
    <mergeCell ref="D49:E50"/>
    <mergeCell ref="F49:K49"/>
    <mergeCell ref="H50:I50"/>
    <mergeCell ref="J50:K50"/>
    <mergeCell ref="B44:H44"/>
    <mergeCell ref="I44:K44"/>
    <mergeCell ref="B45:K45"/>
    <mergeCell ref="B46:D46"/>
    <mergeCell ref="E46:K46"/>
    <mergeCell ref="B47:K47"/>
    <mergeCell ref="B51:C51"/>
    <mergeCell ref="D51:E51"/>
    <mergeCell ref="H51:I51"/>
    <mergeCell ref="J51:K51"/>
    <mergeCell ref="B52:C52"/>
    <mergeCell ref="D52:E52"/>
    <mergeCell ref="H52:I52"/>
    <mergeCell ref="J52:K52"/>
    <mergeCell ref="B48:K48"/>
    <mergeCell ref="B55:C55"/>
    <mergeCell ref="D55:E55"/>
    <mergeCell ref="H55:I55"/>
    <mergeCell ref="J55:K55"/>
    <mergeCell ref="B56:C56"/>
    <mergeCell ref="D56:E56"/>
    <mergeCell ref="H56:I56"/>
    <mergeCell ref="J56:K56"/>
    <mergeCell ref="B53:C53"/>
    <mergeCell ref="D53:E53"/>
    <mergeCell ref="H53:I53"/>
    <mergeCell ref="J53:K53"/>
    <mergeCell ref="B54:C54"/>
    <mergeCell ref="D54:E54"/>
    <mergeCell ref="H54:I54"/>
    <mergeCell ref="J54:K54"/>
    <mergeCell ref="B59:C59"/>
    <mergeCell ref="D59:E59"/>
    <mergeCell ref="H59:I59"/>
    <mergeCell ref="J59:K59"/>
    <mergeCell ref="B60:C60"/>
    <mergeCell ref="D60:E60"/>
    <mergeCell ref="H60:I60"/>
    <mergeCell ref="J60:K60"/>
    <mergeCell ref="B57:C57"/>
    <mergeCell ref="D57:E57"/>
    <mergeCell ref="H57:I57"/>
    <mergeCell ref="J57:K57"/>
    <mergeCell ref="B58:C58"/>
    <mergeCell ref="D58:E58"/>
    <mergeCell ref="H58:I58"/>
    <mergeCell ref="J58:K58"/>
    <mergeCell ref="B63:C63"/>
    <mergeCell ref="D63:E63"/>
    <mergeCell ref="H63:I63"/>
    <mergeCell ref="J63:K63"/>
    <mergeCell ref="B64:C64"/>
    <mergeCell ref="D64:E64"/>
    <mergeCell ref="H64:I64"/>
    <mergeCell ref="J64:K64"/>
    <mergeCell ref="B61:C61"/>
    <mergeCell ref="D61:E61"/>
    <mergeCell ref="H61:I61"/>
    <mergeCell ref="J61:K61"/>
    <mergeCell ref="B62:C62"/>
    <mergeCell ref="D62:E62"/>
    <mergeCell ref="H62:I62"/>
    <mergeCell ref="J62:K62"/>
    <mergeCell ref="B67:C67"/>
    <mergeCell ref="D67:E67"/>
    <mergeCell ref="H67:I67"/>
    <mergeCell ref="J67:K67"/>
    <mergeCell ref="B68:C68"/>
    <mergeCell ref="D68:E68"/>
    <mergeCell ref="H68:I68"/>
    <mergeCell ref="J68:K68"/>
    <mergeCell ref="B65:C65"/>
    <mergeCell ref="D65:E65"/>
    <mergeCell ref="H65:I65"/>
    <mergeCell ref="J65:K65"/>
    <mergeCell ref="B66:C66"/>
    <mergeCell ref="D66:E66"/>
    <mergeCell ref="H66:I66"/>
    <mergeCell ref="J66:K66"/>
    <mergeCell ref="B71:C71"/>
    <mergeCell ref="D71:E71"/>
    <mergeCell ref="H71:I71"/>
    <mergeCell ref="J71:K71"/>
    <mergeCell ref="B72:K72"/>
    <mergeCell ref="B73:D73"/>
    <mergeCell ref="E73:K73"/>
    <mergeCell ref="B69:C69"/>
    <mergeCell ref="D69:E69"/>
    <mergeCell ref="H69:I69"/>
    <mergeCell ref="J69:K69"/>
    <mergeCell ref="B70:C70"/>
    <mergeCell ref="D70:E70"/>
    <mergeCell ref="H70:I70"/>
    <mergeCell ref="J70:K70"/>
    <mergeCell ref="B77:C77"/>
    <mergeCell ref="D77:E77"/>
    <mergeCell ref="H77:I77"/>
    <mergeCell ref="J77:K77"/>
    <mergeCell ref="B78:C78"/>
    <mergeCell ref="D78:E78"/>
    <mergeCell ref="H78:I78"/>
    <mergeCell ref="J78:K78"/>
    <mergeCell ref="B74:K74"/>
    <mergeCell ref="B75:C75"/>
    <mergeCell ref="D75:E75"/>
    <mergeCell ref="F75:K75"/>
    <mergeCell ref="B76:C76"/>
    <mergeCell ref="D76:E76"/>
    <mergeCell ref="H76:I76"/>
    <mergeCell ref="J76:K76"/>
    <mergeCell ref="B81:C81"/>
    <mergeCell ref="D81:E81"/>
    <mergeCell ref="H81:I81"/>
    <mergeCell ref="J81:K81"/>
    <mergeCell ref="B82:C82"/>
    <mergeCell ref="D82:E82"/>
    <mergeCell ref="H82:I82"/>
    <mergeCell ref="J82:K82"/>
    <mergeCell ref="B79:C79"/>
    <mergeCell ref="D79:E79"/>
    <mergeCell ref="H79:I79"/>
    <mergeCell ref="J79:K79"/>
    <mergeCell ref="B80:C80"/>
    <mergeCell ref="D80:E80"/>
    <mergeCell ref="H80:I80"/>
    <mergeCell ref="J80:K80"/>
    <mergeCell ref="B85:C85"/>
    <mergeCell ref="D85:E85"/>
    <mergeCell ref="H85:I85"/>
    <mergeCell ref="J85:K85"/>
    <mergeCell ref="B86:C86"/>
    <mergeCell ref="D86:E86"/>
    <mergeCell ref="H86:I86"/>
    <mergeCell ref="J86:K86"/>
    <mergeCell ref="B83:C83"/>
    <mergeCell ref="D83:E83"/>
    <mergeCell ref="H83:I83"/>
    <mergeCell ref="J83:K83"/>
    <mergeCell ref="B84:C84"/>
    <mergeCell ref="D84:E84"/>
    <mergeCell ref="H84:I84"/>
    <mergeCell ref="J84:K84"/>
    <mergeCell ref="A90:A91"/>
    <mergeCell ref="B90:K91"/>
    <mergeCell ref="B87:C87"/>
    <mergeCell ref="D87:E87"/>
    <mergeCell ref="H87:I87"/>
    <mergeCell ref="J87:K87"/>
    <mergeCell ref="B88:C88"/>
    <mergeCell ref="D88:E88"/>
    <mergeCell ref="H88:I88"/>
    <mergeCell ref="J88:K88"/>
    <mergeCell ref="B92:K92"/>
    <mergeCell ref="B93:H93"/>
    <mergeCell ref="I93:K93"/>
    <mergeCell ref="B94:H94"/>
    <mergeCell ref="I94:K94"/>
    <mergeCell ref="B95:H95"/>
    <mergeCell ref="I95:K95"/>
    <mergeCell ref="B89:C89"/>
    <mergeCell ref="D89:E89"/>
    <mergeCell ref="H89:I89"/>
    <mergeCell ref="J89:K89"/>
    <mergeCell ref="B99:H99"/>
    <mergeCell ref="I99:K99"/>
    <mergeCell ref="B100:K100"/>
    <mergeCell ref="B101:D101"/>
    <mergeCell ref="E101:K101"/>
    <mergeCell ref="B102:K102"/>
    <mergeCell ref="B96:H96"/>
    <mergeCell ref="I96:K96"/>
    <mergeCell ref="B97:H97"/>
    <mergeCell ref="I97:K97"/>
    <mergeCell ref="B98:H98"/>
    <mergeCell ref="I98:K98"/>
    <mergeCell ref="B105:D105"/>
    <mergeCell ref="E105:F105"/>
    <mergeCell ref="G105:H105"/>
    <mergeCell ref="I105:K105"/>
    <mergeCell ref="B106:D106"/>
    <mergeCell ref="E106:F106"/>
    <mergeCell ref="G106:H106"/>
    <mergeCell ref="I106:K106"/>
    <mergeCell ref="B103:D103"/>
    <mergeCell ref="E103:F103"/>
    <mergeCell ref="G103:H103"/>
    <mergeCell ref="I103:K103"/>
    <mergeCell ref="B104:D104"/>
    <mergeCell ref="E104:F104"/>
    <mergeCell ref="G104:H104"/>
    <mergeCell ref="I104:K104"/>
    <mergeCell ref="B109:D109"/>
    <mergeCell ref="E109:F109"/>
    <mergeCell ref="G109:H109"/>
    <mergeCell ref="I109:K109"/>
    <mergeCell ref="B110:D110"/>
    <mergeCell ref="E110:F110"/>
    <mergeCell ref="G110:H110"/>
    <mergeCell ref="I110:K110"/>
    <mergeCell ref="B107:D107"/>
    <mergeCell ref="E107:F107"/>
    <mergeCell ref="G107:H107"/>
    <mergeCell ref="I107:K107"/>
    <mergeCell ref="B108:D108"/>
    <mergeCell ref="E108:F108"/>
    <mergeCell ref="G108:H108"/>
    <mergeCell ref="I108:K108"/>
    <mergeCell ref="B113:D113"/>
    <mergeCell ref="E113:F113"/>
    <mergeCell ref="G113:H113"/>
    <mergeCell ref="I113:K113"/>
    <mergeCell ref="B114:D114"/>
    <mergeCell ref="E114:F114"/>
    <mergeCell ref="G114:H114"/>
    <mergeCell ref="I114:K114"/>
    <mergeCell ref="B111:D111"/>
    <mergeCell ref="E111:F111"/>
    <mergeCell ref="G111:H111"/>
    <mergeCell ref="I111:K111"/>
    <mergeCell ref="B112:D112"/>
    <mergeCell ref="E112:F112"/>
    <mergeCell ref="G112:H112"/>
    <mergeCell ref="I112:K112"/>
    <mergeCell ref="B117:D117"/>
    <mergeCell ref="E117:F117"/>
    <mergeCell ref="G117:H117"/>
    <mergeCell ref="I117:K117"/>
    <mergeCell ref="B118:D118"/>
    <mergeCell ref="E118:F118"/>
    <mergeCell ref="G118:H118"/>
    <mergeCell ref="I118:K118"/>
    <mergeCell ref="B115:D115"/>
    <mergeCell ref="E115:F115"/>
    <mergeCell ref="G115:H115"/>
    <mergeCell ref="I115:K115"/>
    <mergeCell ref="B116:D116"/>
    <mergeCell ref="E116:F116"/>
    <mergeCell ref="G116:H116"/>
    <mergeCell ref="I116:K116"/>
    <mergeCell ref="B121:D121"/>
    <mergeCell ref="E121:F121"/>
    <mergeCell ref="G121:H121"/>
    <mergeCell ref="I121:K121"/>
    <mergeCell ref="B122:D122"/>
    <mergeCell ref="E122:F122"/>
    <mergeCell ref="G122:H122"/>
    <mergeCell ref="I122:K122"/>
    <mergeCell ref="B119:D119"/>
    <mergeCell ref="E119:F119"/>
    <mergeCell ref="G119:H119"/>
    <mergeCell ref="I119:K119"/>
    <mergeCell ref="B120:D120"/>
    <mergeCell ref="E120:F120"/>
    <mergeCell ref="G120:H120"/>
    <mergeCell ref="I120:K120"/>
    <mergeCell ref="B126:K126"/>
    <mergeCell ref="B127:C127"/>
    <mergeCell ref="D127:K127"/>
    <mergeCell ref="B128:C128"/>
    <mergeCell ref="D128:K128"/>
    <mergeCell ref="B129:C129"/>
    <mergeCell ref="D129:K129"/>
    <mergeCell ref="B123:D123"/>
    <mergeCell ref="E123:F123"/>
    <mergeCell ref="G123:H123"/>
    <mergeCell ref="I123:K123"/>
    <mergeCell ref="B124:K124"/>
    <mergeCell ref="B125:D125"/>
    <mergeCell ref="E125:K125"/>
    <mergeCell ref="B133:C133"/>
    <mergeCell ref="D133:K133"/>
    <mergeCell ref="B134:K134"/>
    <mergeCell ref="B135:C135"/>
    <mergeCell ref="D135:E135"/>
    <mergeCell ref="F135:K135"/>
    <mergeCell ref="B130:C130"/>
    <mergeCell ref="D130:K130"/>
    <mergeCell ref="B131:C131"/>
    <mergeCell ref="D131:K131"/>
    <mergeCell ref="B132:C132"/>
    <mergeCell ref="D132:K132"/>
    <mergeCell ref="B138:C138"/>
    <mergeCell ref="D138:E138"/>
    <mergeCell ref="H138:I138"/>
    <mergeCell ref="J138:K138"/>
    <mergeCell ref="B139:C139"/>
    <mergeCell ref="D139:E139"/>
    <mergeCell ref="H139:I139"/>
    <mergeCell ref="J139:K139"/>
    <mergeCell ref="B136:C136"/>
    <mergeCell ref="D136:E136"/>
    <mergeCell ref="H136:I136"/>
    <mergeCell ref="J136:K136"/>
    <mergeCell ref="B137:C137"/>
    <mergeCell ref="D137:E137"/>
    <mergeCell ref="H137:I137"/>
    <mergeCell ref="J137:K137"/>
    <mergeCell ref="B142:C142"/>
    <mergeCell ref="D142:E142"/>
    <mergeCell ref="H142:I142"/>
    <mergeCell ref="J142:K142"/>
    <mergeCell ref="B143:C143"/>
    <mergeCell ref="D143:E143"/>
    <mergeCell ref="H143:I143"/>
    <mergeCell ref="J143:K143"/>
    <mergeCell ref="B140:C140"/>
    <mergeCell ref="D140:E140"/>
    <mergeCell ref="H140:I140"/>
    <mergeCell ref="J140:K140"/>
    <mergeCell ref="B141:C141"/>
    <mergeCell ref="D141:E141"/>
    <mergeCell ref="H141:I141"/>
    <mergeCell ref="J141:K141"/>
    <mergeCell ref="B146:C146"/>
    <mergeCell ref="D146:E146"/>
    <mergeCell ref="H146:I146"/>
    <mergeCell ref="J146:K146"/>
    <mergeCell ref="B147:C147"/>
    <mergeCell ref="D147:E147"/>
    <mergeCell ref="H147:I147"/>
    <mergeCell ref="J147:K147"/>
    <mergeCell ref="B144:C144"/>
    <mergeCell ref="D144:E144"/>
    <mergeCell ref="H144:I144"/>
    <mergeCell ref="J144:K144"/>
    <mergeCell ref="B145:C145"/>
    <mergeCell ref="D145:E145"/>
    <mergeCell ref="H145:I145"/>
    <mergeCell ref="J145:K145"/>
    <mergeCell ref="B150:C150"/>
    <mergeCell ref="D150:E150"/>
    <mergeCell ref="H150:I150"/>
    <mergeCell ref="J150:K150"/>
    <mergeCell ref="B151:C151"/>
    <mergeCell ref="D151:E151"/>
    <mergeCell ref="H151:I151"/>
    <mergeCell ref="J151:K151"/>
    <mergeCell ref="B148:C148"/>
    <mergeCell ref="D148:E148"/>
    <mergeCell ref="H148:I148"/>
    <mergeCell ref="J148:K148"/>
    <mergeCell ref="B149:C149"/>
    <mergeCell ref="D149:E149"/>
    <mergeCell ref="H149:I149"/>
    <mergeCell ref="J149:K149"/>
    <mergeCell ref="A155:K157"/>
    <mergeCell ref="A159:C159"/>
    <mergeCell ref="F159:H159"/>
    <mergeCell ref="A160:C160"/>
    <mergeCell ref="F160:H160"/>
    <mergeCell ref="A161:C161"/>
    <mergeCell ref="F161:H161"/>
    <mergeCell ref="B152:C152"/>
    <mergeCell ref="D152:E152"/>
    <mergeCell ref="H152:I152"/>
    <mergeCell ref="J152:K152"/>
    <mergeCell ref="B153:C153"/>
    <mergeCell ref="D153:E153"/>
    <mergeCell ref="H153:I153"/>
    <mergeCell ref="J153:K153"/>
    <mergeCell ref="C164:E164"/>
    <mergeCell ref="F164:G164"/>
    <mergeCell ref="H164:I164"/>
    <mergeCell ref="J164:K164"/>
    <mergeCell ref="C165:E165"/>
    <mergeCell ref="F165:G165"/>
    <mergeCell ref="H165:I165"/>
    <mergeCell ref="J165:K165"/>
    <mergeCell ref="A162:C162"/>
    <mergeCell ref="F162:H162"/>
    <mergeCell ref="C163:E163"/>
    <mergeCell ref="F163:G163"/>
    <mergeCell ref="H163:I163"/>
    <mergeCell ref="J163:K163"/>
    <mergeCell ref="A170:K170"/>
    <mergeCell ref="C174:D174"/>
    <mergeCell ref="E174:G174"/>
    <mergeCell ref="A176:B176"/>
    <mergeCell ref="C176:E176"/>
    <mergeCell ref="F176:G176"/>
    <mergeCell ref="H176:I176"/>
    <mergeCell ref="J176:K176"/>
    <mergeCell ref="C166:E166"/>
    <mergeCell ref="F166:G166"/>
    <mergeCell ref="H166:I166"/>
    <mergeCell ref="J166:K166"/>
    <mergeCell ref="A168:D168"/>
    <mergeCell ref="F168:G168"/>
    <mergeCell ref="C179:E179"/>
    <mergeCell ref="F179:G179"/>
    <mergeCell ref="H179:I179"/>
    <mergeCell ref="J179:K179"/>
    <mergeCell ref="A181:C181"/>
    <mergeCell ref="C183:D183"/>
    <mergeCell ref="E183:G183"/>
    <mergeCell ref="C177:E177"/>
    <mergeCell ref="F177:G177"/>
    <mergeCell ref="H177:I177"/>
    <mergeCell ref="J177:K177"/>
    <mergeCell ref="C178:E178"/>
    <mergeCell ref="F178:G178"/>
    <mergeCell ref="H178:I178"/>
    <mergeCell ref="J178:K178"/>
    <mergeCell ref="J187:K187"/>
    <mergeCell ref="C188:E188"/>
    <mergeCell ref="F188:G188"/>
    <mergeCell ref="H188:I188"/>
    <mergeCell ref="J188:K188"/>
    <mergeCell ref="A185:B185"/>
    <mergeCell ref="C185:E185"/>
    <mergeCell ref="F185:G185"/>
    <mergeCell ref="H185:I185"/>
    <mergeCell ref="J185:K185"/>
    <mergeCell ref="C186:E186"/>
    <mergeCell ref="F186:G186"/>
    <mergeCell ref="H186:I186"/>
    <mergeCell ref="J186:K186"/>
    <mergeCell ref="E190:F190"/>
    <mergeCell ref="A191:E191"/>
    <mergeCell ref="D192:E192"/>
    <mergeCell ref="A194:D194"/>
    <mergeCell ref="E194:G194"/>
    <mergeCell ref="A196:D196"/>
    <mergeCell ref="E196:H196"/>
    <mergeCell ref="C187:E187"/>
    <mergeCell ref="F187:G187"/>
    <mergeCell ref="H187:I187"/>
    <mergeCell ref="A202:D202"/>
    <mergeCell ref="E202:G202"/>
    <mergeCell ref="H204:K204"/>
    <mergeCell ref="A208:H208"/>
    <mergeCell ref="A209:J209"/>
    <mergeCell ref="C221:F221"/>
    <mergeCell ref="G221:I221"/>
    <mergeCell ref="A197:D197"/>
    <mergeCell ref="E197:G197"/>
    <mergeCell ref="A198:D198"/>
    <mergeCell ref="E198:G198"/>
    <mergeCell ref="A200:F200"/>
    <mergeCell ref="A201:D201"/>
    <mergeCell ref="E201:G201"/>
    <mergeCell ref="A228:C228"/>
    <mergeCell ref="F228:H228"/>
    <mergeCell ref="A229:C229"/>
    <mergeCell ref="F229:H229"/>
    <mergeCell ref="C230:E230"/>
    <mergeCell ref="F230:G230"/>
    <mergeCell ref="H230:I230"/>
    <mergeCell ref="C222:F222"/>
    <mergeCell ref="G222:I222"/>
    <mergeCell ref="A226:C226"/>
    <mergeCell ref="F226:H226"/>
    <mergeCell ref="A227:C227"/>
    <mergeCell ref="F227:H227"/>
    <mergeCell ref="C233:E233"/>
    <mergeCell ref="F233:G233"/>
    <mergeCell ref="H233:I233"/>
    <mergeCell ref="J233:K233"/>
    <mergeCell ref="J230:K230"/>
    <mergeCell ref="C231:E231"/>
    <mergeCell ref="F231:G231"/>
    <mergeCell ref="H231:I231"/>
    <mergeCell ref="J231:K231"/>
    <mergeCell ref="C232:E232"/>
    <mergeCell ref="F232:G232"/>
    <mergeCell ref="H232:I232"/>
    <mergeCell ref="J232:K232"/>
  </mergeCells>
  <pageMargins left="0.7" right="0.4"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1C83B018-09E1-4A55-BC8C-6EC1C019EEE1}">
          <x14:formula1>
            <xm:f>'D:\Users\Administrator\Downloads\[GSTR 9C_Offline utility_071218_v2 (1).xlsm]Master'!#REF!</xm:f>
          </x14:formula1>
          <xm:sqref>C222</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9"/>
  <dimension ref="A1:L156"/>
  <sheetViews>
    <sheetView topLeftCell="A50" zoomScaleNormal="100" workbookViewId="0">
      <selection activeCell="B59" sqref="B59:C59"/>
    </sheetView>
  </sheetViews>
  <sheetFormatPr defaultColWidth="9.109375" defaultRowHeight="13.2" x14ac:dyDescent="0.3"/>
  <cols>
    <col min="1" max="1" width="6.88671875" style="64" customWidth="1"/>
    <col min="2" max="2" width="6" style="64" customWidth="1"/>
    <col min="3" max="3" width="9" style="64" customWidth="1"/>
    <col min="4" max="4" width="9.88671875" style="64" customWidth="1"/>
    <col min="5" max="5" width="5.5546875" style="64" customWidth="1"/>
    <col min="6" max="6" width="16.5546875" style="64" customWidth="1"/>
    <col min="7" max="7" width="15.6640625" style="64" customWidth="1"/>
    <col min="8" max="8" width="6.88671875" style="64" customWidth="1"/>
    <col min="9" max="9" width="9.109375" style="64"/>
    <col min="10" max="10" width="3.44140625" style="64" customWidth="1"/>
    <col min="11" max="11" width="8.6640625" style="64" customWidth="1"/>
    <col min="12" max="12" width="9.88671875" style="64" customWidth="1"/>
    <col min="13" max="16384" width="9.109375" style="64"/>
  </cols>
  <sheetData>
    <row r="1" spans="1:12" x14ac:dyDescent="0.3">
      <c r="D1" s="60"/>
    </row>
    <row r="2" spans="1:12" ht="66.75" customHeight="1" x14ac:dyDescent="0.3">
      <c r="E2" s="631" t="s">
        <v>305</v>
      </c>
      <c r="F2" s="631"/>
      <c r="G2" s="631"/>
    </row>
    <row r="3" spans="1:12" ht="16.5" customHeight="1" x14ac:dyDescent="0.3">
      <c r="A3" s="107" t="s">
        <v>672</v>
      </c>
      <c r="B3" s="585" t="s">
        <v>304</v>
      </c>
      <c r="C3" s="585"/>
      <c r="D3" s="585"/>
      <c r="E3" s="585"/>
      <c r="F3" s="585"/>
      <c r="G3" s="585"/>
      <c r="H3" s="585"/>
      <c r="I3" s="585"/>
      <c r="J3" s="585"/>
      <c r="K3" s="585"/>
      <c r="L3" s="66"/>
    </row>
    <row r="4" spans="1:12" ht="21.75" customHeight="1" x14ac:dyDescent="0.3">
      <c r="A4" s="108">
        <v>1</v>
      </c>
      <c r="B4" s="575" t="s">
        <v>677</v>
      </c>
      <c r="C4" s="576"/>
      <c r="D4" s="576"/>
      <c r="E4" s="576"/>
      <c r="F4" s="577"/>
      <c r="G4" s="580"/>
      <c r="H4" s="576"/>
      <c r="I4" s="576"/>
      <c r="J4" s="576"/>
      <c r="K4" s="577"/>
    </row>
    <row r="5" spans="1:12" ht="16.5" customHeight="1" x14ac:dyDescent="0.25">
      <c r="A5" s="108">
        <v>2</v>
      </c>
      <c r="B5" s="575" t="s">
        <v>154</v>
      </c>
      <c r="C5" s="578"/>
      <c r="D5" s="578"/>
      <c r="E5" s="578"/>
      <c r="F5" s="579"/>
      <c r="G5" s="639"/>
      <c r="H5" s="640"/>
      <c r="I5" s="640"/>
      <c r="J5" s="640"/>
      <c r="K5" s="641"/>
    </row>
    <row r="6" spans="1:12" ht="16.5" customHeight="1" x14ac:dyDescent="0.3">
      <c r="A6" s="110" t="s">
        <v>89</v>
      </c>
      <c r="B6" s="575" t="s">
        <v>155</v>
      </c>
      <c r="C6" s="578"/>
      <c r="D6" s="578"/>
      <c r="E6" s="578"/>
      <c r="F6" s="579"/>
      <c r="G6" s="637"/>
      <c r="H6" s="638"/>
      <c r="I6" s="638"/>
      <c r="J6" s="638"/>
      <c r="K6" s="623"/>
    </row>
    <row r="7" spans="1:12" ht="21.75" customHeight="1" x14ac:dyDescent="0.3">
      <c r="A7" s="110" t="s">
        <v>90</v>
      </c>
      <c r="B7" s="575" t="s">
        <v>678</v>
      </c>
      <c r="C7" s="576"/>
      <c r="D7" s="576"/>
      <c r="E7" s="576"/>
      <c r="F7" s="577"/>
      <c r="G7" s="575"/>
      <c r="H7" s="578"/>
      <c r="I7" s="578"/>
      <c r="J7" s="578"/>
      <c r="K7" s="579"/>
    </row>
    <row r="8" spans="1:12" ht="18.75" customHeight="1" x14ac:dyDescent="0.3">
      <c r="A8" s="110" t="s">
        <v>535</v>
      </c>
      <c r="B8" s="661" t="s">
        <v>537</v>
      </c>
      <c r="C8" s="661"/>
      <c r="D8" s="661"/>
      <c r="E8" s="661"/>
      <c r="F8" s="661"/>
      <c r="G8" s="575" t="s">
        <v>540</v>
      </c>
      <c r="H8" s="578"/>
      <c r="I8" s="578"/>
      <c r="J8" s="578"/>
      <c r="K8" s="579"/>
    </row>
    <row r="9" spans="1:12" ht="17.25" customHeight="1" x14ac:dyDescent="0.3">
      <c r="A9" s="110" t="s">
        <v>536</v>
      </c>
      <c r="B9" s="661" t="s">
        <v>538</v>
      </c>
      <c r="C9" s="661"/>
      <c r="D9" s="661"/>
      <c r="E9" s="661"/>
      <c r="F9" s="661"/>
      <c r="G9" s="575" t="s">
        <v>540</v>
      </c>
      <c r="H9" s="578"/>
      <c r="I9" s="578"/>
      <c r="J9" s="578"/>
      <c r="K9" s="579"/>
    </row>
    <row r="10" spans="1:12" ht="24" customHeight="1" x14ac:dyDescent="0.3">
      <c r="A10" s="108">
        <v>4</v>
      </c>
      <c r="B10" s="575" t="s">
        <v>541</v>
      </c>
      <c r="C10" s="578"/>
      <c r="D10" s="578"/>
      <c r="E10" s="578"/>
      <c r="F10" s="579"/>
      <c r="G10" s="637"/>
      <c r="H10" s="638"/>
      <c r="I10" s="638"/>
      <c r="J10" s="638"/>
      <c r="K10" s="623"/>
    </row>
    <row r="11" spans="1:12" ht="16.5" customHeight="1" x14ac:dyDescent="0.25">
      <c r="A11" s="89"/>
      <c r="B11" s="632"/>
      <c r="C11" s="632"/>
      <c r="D11" s="632"/>
      <c r="E11" s="632"/>
      <c r="F11" s="632"/>
      <c r="G11" s="633" t="s">
        <v>156</v>
      </c>
      <c r="H11" s="633"/>
      <c r="I11" s="633"/>
      <c r="J11" s="633"/>
      <c r="K11" s="633"/>
    </row>
    <row r="12" spans="1:12" ht="33" customHeight="1" x14ac:dyDescent="0.3">
      <c r="A12" s="107" t="s">
        <v>673</v>
      </c>
      <c r="B12" s="618" t="s">
        <v>306</v>
      </c>
      <c r="C12" s="618"/>
      <c r="D12" s="618"/>
      <c r="E12" s="618"/>
      <c r="F12" s="618"/>
      <c r="G12" s="618"/>
      <c r="H12" s="618"/>
      <c r="I12" s="618"/>
      <c r="J12" s="618"/>
      <c r="K12" s="618"/>
    </row>
    <row r="13" spans="1:12" ht="16.5" customHeight="1" x14ac:dyDescent="0.3">
      <c r="A13" s="109">
        <v>5</v>
      </c>
      <c r="B13" s="620" t="s">
        <v>157</v>
      </c>
      <c r="C13" s="620"/>
      <c r="D13" s="620"/>
      <c r="E13" s="620"/>
      <c r="F13" s="620"/>
      <c r="G13" s="620"/>
      <c r="H13" s="620"/>
      <c r="I13" s="620"/>
      <c r="J13" s="620"/>
      <c r="K13" s="620"/>
    </row>
    <row r="14" spans="1:12" ht="16.5" customHeight="1" x14ac:dyDescent="0.3">
      <c r="A14" s="109" t="s">
        <v>542</v>
      </c>
      <c r="B14" s="585" t="s">
        <v>24</v>
      </c>
      <c r="C14" s="620"/>
      <c r="D14" s="620"/>
      <c r="E14" s="620"/>
      <c r="F14" s="620"/>
      <c r="G14" s="620"/>
      <c r="H14" s="620"/>
      <c r="I14" s="585" t="s">
        <v>570</v>
      </c>
      <c r="J14" s="620"/>
      <c r="K14" s="620"/>
    </row>
    <row r="15" spans="1:12" ht="68.25" customHeight="1" x14ac:dyDescent="0.3">
      <c r="A15" s="110" t="s">
        <v>158</v>
      </c>
      <c r="B15" s="626" t="s">
        <v>159</v>
      </c>
      <c r="C15" s="626"/>
      <c r="D15" s="626"/>
      <c r="E15" s="626"/>
      <c r="F15" s="626"/>
      <c r="G15" s="626"/>
      <c r="H15" s="626"/>
      <c r="I15" s="568"/>
      <c r="J15" s="568"/>
      <c r="K15" s="568"/>
    </row>
    <row r="16" spans="1:12" ht="16.5" customHeight="1" x14ac:dyDescent="0.3">
      <c r="A16" s="107" t="s">
        <v>160</v>
      </c>
      <c r="B16" s="611" t="s">
        <v>161</v>
      </c>
      <c r="C16" s="611"/>
      <c r="D16" s="611"/>
      <c r="E16" s="611"/>
      <c r="F16" s="611"/>
      <c r="G16" s="611"/>
      <c r="H16" s="112" t="s">
        <v>544</v>
      </c>
      <c r="I16" s="568"/>
      <c r="J16" s="568"/>
      <c r="K16" s="568"/>
    </row>
    <row r="17" spans="1:11" ht="16.5" customHeight="1" x14ac:dyDescent="0.3">
      <c r="A17" s="107" t="s">
        <v>162</v>
      </c>
      <c r="B17" s="611" t="s">
        <v>163</v>
      </c>
      <c r="C17" s="611"/>
      <c r="D17" s="611"/>
      <c r="E17" s="611"/>
      <c r="F17" s="611"/>
      <c r="G17" s="611"/>
      <c r="H17" s="112" t="s">
        <v>544</v>
      </c>
      <c r="I17" s="568"/>
      <c r="J17" s="568"/>
      <c r="K17" s="568"/>
    </row>
    <row r="18" spans="1:11" ht="16.5" customHeight="1" x14ac:dyDescent="0.3">
      <c r="A18" s="107" t="s">
        <v>164</v>
      </c>
      <c r="B18" s="611" t="s">
        <v>165</v>
      </c>
      <c r="C18" s="611"/>
      <c r="D18" s="611"/>
      <c r="E18" s="611"/>
      <c r="F18" s="611"/>
      <c r="G18" s="611"/>
      <c r="H18" s="112" t="s">
        <v>544</v>
      </c>
      <c r="I18" s="568"/>
      <c r="J18" s="568"/>
      <c r="K18" s="568"/>
    </row>
    <row r="19" spans="1:11" ht="33" customHeight="1" x14ac:dyDescent="0.3">
      <c r="A19" s="107" t="s">
        <v>166</v>
      </c>
      <c r="B19" s="626" t="s">
        <v>167</v>
      </c>
      <c r="C19" s="626"/>
      <c r="D19" s="626"/>
      <c r="E19" s="626"/>
      <c r="F19" s="626"/>
      <c r="G19" s="626"/>
      <c r="H19" s="112" t="s">
        <v>544</v>
      </c>
      <c r="I19" s="568"/>
      <c r="J19" s="568"/>
      <c r="K19" s="568"/>
    </row>
    <row r="20" spans="1:11" ht="34.5" customHeight="1" x14ac:dyDescent="0.3">
      <c r="A20" s="107" t="s">
        <v>168</v>
      </c>
      <c r="B20" s="611" t="s">
        <v>277</v>
      </c>
      <c r="C20" s="611"/>
      <c r="D20" s="611"/>
      <c r="E20" s="611"/>
      <c r="F20" s="611"/>
      <c r="G20" s="611"/>
      <c r="H20" s="112" t="s">
        <v>544</v>
      </c>
      <c r="I20" s="568"/>
      <c r="J20" s="568"/>
      <c r="K20" s="568"/>
    </row>
    <row r="21" spans="1:11" ht="16.5" customHeight="1" x14ac:dyDescent="0.3">
      <c r="A21" s="107" t="s">
        <v>169</v>
      </c>
      <c r="B21" s="611" t="s">
        <v>170</v>
      </c>
      <c r="C21" s="611"/>
      <c r="D21" s="611"/>
      <c r="E21" s="611"/>
      <c r="F21" s="611"/>
      <c r="G21" s="611"/>
      <c r="H21" s="111" t="s">
        <v>545</v>
      </c>
      <c r="I21" s="658"/>
      <c r="J21" s="659"/>
      <c r="K21" s="660"/>
    </row>
    <row r="22" spans="1:11" ht="16.5" customHeight="1" x14ac:dyDescent="0.3">
      <c r="A22" s="107" t="s">
        <v>171</v>
      </c>
      <c r="B22" s="611" t="s">
        <v>172</v>
      </c>
      <c r="C22" s="611"/>
      <c r="D22" s="611"/>
      <c r="E22" s="611"/>
      <c r="F22" s="611"/>
      <c r="G22" s="611"/>
      <c r="H22" s="111" t="s">
        <v>545</v>
      </c>
      <c r="I22" s="568"/>
      <c r="J22" s="568"/>
      <c r="K22" s="568"/>
    </row>
    <row r="23" spans="1:11" ht="33" customHeight="1" x14ac:dyDescent="0.3">
      <c r="A23" s="107" t="s">
        <v>173</v>
      </c>
      <c r="B23" s="626" t="s">
        <v>174</v>
      </c>
      <c r="C23" s="626"/>
      <c r="D23" s="626"/>
      <c r="E23" s="626"/>
      <c r="F23" s="626"/>
      <c r="G23" s="626"/>
      <c r="H23" s="111" t="s">
        <v>545</v>
      </c>
      <c r="I23" s="568"/>
      <c r="J23" s="568"/>
      <c r="K23" s="568"/>
    </row>
    <row r="24" spans="1:11" ht="33" customHeight="1" x14ac:dyDescent="0.3">
      <c r="A24" s="107" t="s">
        <v>175</v>
      </c>
      <c r="B24" s="626" t="s">
        <v>176</v>
      </c>
      <c r="C24" s="626"/>
      <c r="D24" s="626"/>
      <c r="E24" s="626"/>
      <c r="F24" s="626"/>
      <c r="G24" s="626"/>
      <c r="H24" s="111" t="s">
        <v>545</v>
      </c>
      <c r="I24" s="568"/>
      <c r="J24" s="568"/>
      <c r="K24" s="568"/>
    </row>
    <row r="25" spans="1:11" ht="33" customHeight="1" x14ac:dyDescent="0.3">
      <c r="A25" s="107" t="s">
        <v>177</v>
      </c>
      <c r="B25" s="626" t="s">
        <v>178</v>
      </c>
      <c r="C25" s="626"/>
      <c r="D25" s="626"/>
      <c r="E25" s="626"/>
      <c r="F25" s="626"/>
      <c r="G25" s="626"/>
      <c r="H25" s="111" t="s">
        <v>545</v>
      </c>
      <c r="I25" s="568"/>
      <c r="J25" s="568"/>
      <c r="K25" s="568"/>
    </row>
    <row r="26" spans="1:11" ht="16.5" customHeight="1" x14ac:dyDescent="0.3">
      <c r="A26" s="107" t="s">
        <v>179</v>
      </c>
      <c r="B26" s="611" t="s">
        <v>180</v>
      </c>
      <c r="C26" s="611"/>
      <c r="D26" s="611"/>
      <c r="E26" s="611"/>
      <c r="F26" s="611"/>
      <c r="G26" s="611"/>
      <c r="H26" s="111" t="s">
        <v>545</v>
      </c>
      <c r="I26" s="568"/>
      <c r="J26" s="568"/>
      <c r="K26" s="568"/>
    </row>
    <row r="27" spans="1:11" ht="33" customHeight="1" x14ac:dyDescent="0.3">
      <c r="A27" s="107" t="s">
        <v>181</v>
      </c>
      <c r="B27" s="626" t="s">
        <v>182</v>
      </c>
      <c r="C27" s="626"/>
      <c r="D27" s="626"/>
      <c r="E27" s="626"/>
      <c r="F27" s="626"/>
      <c r="G27" s="626"/>
      <c r="H27" s="111" t="s">
        <v>546</v>
      </c>
      <c r="I27" s="568"/>
      <c r="J27" s="568"/>
      <c r="K27" s="568"/>
    </row>
    <row r="28" spans="1:11" ht="33" customHeight="1" x14ac:dyDescent="0.3">
      <c r="A28" s="107" t="s">
        <v>183</v>
      </c>
      <c r="B28" s="626" t="s">
        <v>184</v>
      </c>
      <c r="C28" s="626"/>
      <c r="D28" s="626"/>
      <c r="E28" s="626"/>
      <c r="F28" s="626"/>
      <c r="G28" s="626"/>
      <c r="H28" s="111" t="s">
        <v>546</v>
      </c>
      <c r="I28" s="568"/>
      <c r="J28" s="568"/>
      <c r="K28" s="568"/>
    </row>
    <row r="29" spans="1:11" ht="33" customHeight="1" x14ac:dyDescent="0.3">
      <c r="A29" s="107" t="s">
        <v>185</v>
      </c>
      <c r="B29" s="628" t="s">
        <v>186</v>
      </c>
      <c r="C29" s="628"/>
      <c r="D29" s="628"/>
      <c r="E29" s="628"/>
      <c r="F29" s="628"/>
      <c r="G29" s="628"/>
      <c r="H29" s="111" t="s">
        <v>546</v>
      </c>
      <c r="I29" s="568"/>
      <c r="J29" s="568"/>
      <c r="K29" s="568"/>
    </row>
    <row r="30" spans="1:11" ht="16.5" customHeight="1" x14ac:dyDescent="0.3">
      <c r="A30" s="107" t="s">
        <v>187</v>
      </c>
      <c r="B30" s="629" t="s">
        <v>582</v>
      </c>
      <c r="C30" s="629"/>
      <c r="D30" s="629"/>
      <c r="E30" s="629"/>
      <c r="F30" s="629"/>
      <c r="G30" s="629"/>
      <c r="H30" s="629"/>
      <c r="I30" s="568"/>
      <c r="J30" s="568"/>
      <c r="K30" s="568"/>
    </row>
    <row r="31" spans="1:11" ht="16.5" customHeight="1" x14ac:dyDescent="0.3">
      <c r="A31" s="107" t="s">
        <v>188</v>
      </c>
      <c r="B31" s="611" t="s">
        <v>189</v>
      </c>
      <c r="C31" s="611"/>
      <c r="D31" s="611"/>
      <c r="E31" s="611"/>
      <c r="F31" s="611"/>
      <c r="G31" s="611"/>
      <c r="H31" s="611"/>
      <c r="I31" s="568"/>
      <c r="J31" s="568"/>
      <c r="K31" s="568"/>
    </row>
    <row r="32" spans="1:11" ht="16.5" customHeight="1" x14ac:dyDescent="0.3">
      <c r="A32" s="107" t="s">
        <v>190</v>
      </c>
      <c r="B32" s="611" t="s">
        <v>191</v>
      </c>
      <c r="C32" s="611"/>
      <c r="D32" s="611"/>
      <c r="E32" s="611"/>
      <c r="F32" s="611"/>
      <c r="G32" s="611"/>
      <c r="H32" s="611"/>
      <c r="I32" s="568"/>
      <c r="J32" s="568"/>
      <c r="K32" s="568"/>
    </row>
    <row r="33" spans="1:11" ht="16.5" customHeight="1" x14ac:dyDescent="0.3">
      <c r="A33" s="109">
        <v>6</v>
      </c>
      <c r="B33" s="627" t="s">
        <v>192</v>
      </c>
      <c r="C33" s="627"/>
      <c r="D33" s="627"/>
      <c r="E33" s="627"/>
      <c r="F33" s="627"/>
      <c r="G33" s="627"/>
      <c r="H33" s="627"/>
      <c r="I33" s="627"/>
      <c r="J33" s="627"/>
      <c r="K33" s="627"/>
    </row>
    <row r="34" spans="1:11" ht="219.9" customHeight="1" x14ac:dyDescent="0.3">
      <c r="A34" s="107" t="s">
        <v>6</v>
      </c>
      <c r="B34" s="569" t="s">
        <v>301</v>
      </c>
      <c r="C34" s="569"/>
      <c r="D34" s="569"/>
      <c r="E34" s="569"/>
      <c r="F34" s="569"/>
      <c r="G34" s="569"/>
      <c r="H34" s="569"/>
      <c r="I34" s="569"/>
      <c r="J34" s="569"/>
      <c r="K34" s="569"/>
    </row>
    <row r="35" spans="1:11" ht="16.5" customHeight="1" x14ac:dyDescent="0.3">
      <c r="A35" s="109">
        <v>7</v>
      </c>
      <c r="B35" s="630" t="s">
        <v>193</v>
      </c>
      <c r="C35" s="630"/>
      <c r="D35" s="630"/>
      <c r="E35" s="630"/>
      <c r="F35" s="630"/>
      <c r="G35" s="630"/>
      <c r="H35" s="630"/>
      <c r="I35" s="630"/>
      <c r="J35" s="630"/>
      <c r="K35" s="630"/>
    </row>
    <row r="36" spans="1:11" ht="16.5" customHeight="1" x14ac:dyDescent="0.3">
      <c r="A36" s="109" t="s">
        <v>542</v>
      </c>
      <c r="B36" s="585" t="s">
        <v>24</v>
      </c>
      <c r="C36" s="620"/>
      <c r="D36" s="620"/>
      <c r="E36" s="620"/>
      <c r="F36" s="620"/>
      <c r="G36" s="620"/>
      <c r="H36" s="620"/>
      <c r="I36" s="585" t="s">
        <v>570</v>
      </c>
      <c r="J36" s="620"/>
      <c r="K36" s="620"/>
    </row>
    <row r="37" spans="1:11" ht="33" customHeight="1" x14ac:dyDescent="0.3">
      <c r="A37" s="110" t="s">
        <v>158</v>
      </c>
      <c r="B37" s="628" t="s">
        <v>194</v>
      </c>
      <c r="C37" s="628"/>
      <c r="D37" s="628"/>
      <c r="E37" s="628"/>
      <c r="F37" s="628"/>
      <c r="G37" s="628"/>
      <c r="H37" s="628"/>
      <c r="I37" s="614"/>
      <c r="J37" s="568"/>
      <c r="K37" s="568"/>
    </row>
    <row r="38" spans="1:11" ht="33" customHeight="1" x14ac:dyDescent="0.3">
      <c r="A38" s="110" t="s">
        <v>160</v>
      </c>
      <c r="B38" s="626" t="s">
        <v>195</v>
      </c>
      <c r="C38" s="626"/>
      <c r="D38" s="626"/>
      <c r="E38" s="626"/>
      <c r="F38" s="626"/>
      <c r="G38" s="626"/>
      <c r="H38" s="626"/>
      <c r="I38" s="568"/>
      <c r="J38" s="568"/>
      <c r="K38" s="568"/>
    </row>
    <row r="39" spans="1:11" ht="16.5" customHeight="1" x14ac:dyDescent="0.3">
      <c r="A39" s="107" t="s">
        <v>162</v>
      </c>
      <c r="B39" s="611" t="s">
        <v>196</v>
      </c>
      <c r="C39" s="611"/>
      <c r="D39" s="611"/>
      <c r="E39" s="611"/>
      <c r="F39" s="611"/>
      <c r="G39" s="611"/>
      <c r="H39" s="611"/>
      <c r="I39" s="568"/>
      <c r="J39" s="568"/>
      <c r="K39" s="568"/>
    </row>
    <row r="40" spans="1:11" ht="33" customHeight="1" x14ac:dyDescent="0.3">
      <c r="A40" s="107" t="s">
        <v>164</v>
      </c>
      <c r="B40" s="626" t="s">
        <v>197</v>
      </c>
      <c r="C40" s="626"/>
      <c r="D40" s="626"/>
      <c r="E40" s="626"/>
      <c r="F40" s="626"/>
      <c r="G40" s="626"/>
      <c r="H40" s="626"/>
      <c r="I40" s="568"/>
      <c r="J40" s="568"/>
      <c r="K40" s="568"/>
    </row>
    <row r="41" spans="1:11" ht="16.5" customHeight="1" x14ac:dyDescent="0.3">
      <c r="A41" s="107" t="s">
        <v>166</v>
      </c>
      <c r="B41" s="611" t="s">
        <v>198</v>
      </c>
      <c r="C41" s="611"/>
      <c r="D41" s="611"/>
      <c r="E41" s="611"/>
      <c r="F41" s="611"/>
      <c r="G41" s="611"/>
      <c r="H41" s="611"/>
      <c r="I41" s="568"/>
      <c r="J41" s="568"/>
      <c r="K41" s="568"/>
    </row>
    <row r="42" spans="1:11" ht="33" customHeight="1" x14ac:dyDescent="0.3">
      <c r="A42" s="107" t="s">
        <v>168</v>
      </c>
      <c r="B42" s="626" t="s">
        <v>199</v>
      </c>
      <c r="C42" s="626"/>
      <c r="D42" s="626"/>
      <c r="E42" s="626"/>
      <c r="F42" s="626"/>
      <c r="G42" s="626"/>
      <c r="H42" s="626"/>
      <c r="I42" s="568"/>
      <c r="J42" s="568"/>
      <c r="K42" s="568"/>
    </row>
    <row r="43" spans="1:11" ht="16.5" customHeight="1" x14ac:dyDescent="0.3">
      <c r="A43" s="107" t="s">
        <v>169</v>
      </c>
      <c r="B43" s="611" t="s">
        <v>200</v>
      </c>
      <c r="C43" s="611"/>
      <c r="D43" s="611"/>
      <c r="E43" s="611"/>
      <c r="F43" s="611"/>
      <c r="G43" s="611"/>
      <c r="H43" s="611"/>
      <c r="I43" s="568"/>
      <c r="J43" s="568"/>
      <c r="K43" s="568"/>
    </row>
    <row r="44" spans="1:11" ht="16.5" customHeight="1" x14ac:dyDescent="0.3">
      <c r="A44" s="109">
        <v>8</v>
      </c>
      <c r="B44" s="625" t="s">
        <v>201</v>
      </c>
      <c r="C44" s="625"/>
      <c r="D44" s="625"/>
      <c r="E44" s="625"/>
      <c r="F44" s="625"/>
      <c r="G44" s="625"/>
      <c r="H44" s="625"/>
      <c r="I44" s="625"/>
      <c r="J44" s="625"/>
      <c r="K44" s="625"/>
    </row>
    <row r="45" spans="1:11" ht="219.9" customHeight="1" x14ac:dyDescent="0.3">
      <c r="A45" s="107" t="s">
        <v>6</v>
      </c>
      <c r="B45" s="569" t="s">
        <v>301</v>
      </c>
      <c r="C45" s="569"/>
      <c r="D45" s="569"/>
      <c r="E45" s="569"/>
      <c r="F45" s="569"/>
      <c r="G45" s="569"/>
      <c r="H45" s="569"/>
      <c r="I45" s="569"/>
      <c r="J45" s="569"/>
      <c r="K45" s="569"/>
    </row>
    <row r="46" spans="1:11" ht="33" customHeight="1" x14ac:dyDescent="0.3">
      <c r="A46" s="107" t="s">
        <v>674</v>
      </c>
      <c r="B46" s="583" t="s">
        <v>307</v>
      </c>
      <c r="C46" s="583"/>
      <c r="D46" s="583"/>
      <c r="E46" s="583"/>
      <c r="F46" s="583"/>
      <c r="G46" s="583"/>
      <c r="H46" s="583"/>
      <c r="I46" s="583"/>
      <c r="J46" s="583"/>
      <c r="K46" s="583"/>
    </row>
    <row r="47" spans="1:11" ht="16.5" customHeight="1" x14ac:dyDescent="0.3">
      <c r="A47" s="109">
        <v>9</v>
      </c>
      <c r="B47" s="627" t="s">
        <v>202</v>
      </c>
      <c r="C47" s="627"/>
      <c r="D47" s="627"/>
      <c r="E47" s="627"/>
      <c r="F47" s="627"/>
      <c r="G47" s="627"/>
      <c r="H47" s="627"/>
      <c r="I47" s="627"/>
      <c r="J47" s="627"/>
      <c r="K47" s="627"/>
    </row>
    <row r="48" spans="1:11" ht="16.5" customHeight="1" x14ac:dyDescent="0.3">
      <c r="A48" s="624" t="s">
        <v>542</v>
      </c>
      <c r="B48" s="585" t="s">
        <v>204</v>
      </c>
      <c r="C48" s="585"/>
      <c r="D48" s="585" t="s">
        <v>205</v>
      </c>
      <c r="E48" s="585"/>
      <c r="F48" s="585" t="s">
        <v>203</v>
      </c>
      <c r="G48" s="585"/>
      <c r="H48" s="585"/>
      <c r="I48" s="585"/>
      <c r="J48" s="585"/>
      <c r="K48" s="585"/>
    </row>
    <row r="49" spans="1:11" ht="42" customHeight="1" x14ac:dyDescent="0.3">
      <c r="A49" s="624"/>
      <c r="B49" s="585"/>
      <c r="C49" s="585"/>
      <c r="D49" s="585"/>
      <c r="E49" s="585"/>
      <c r="F49" s="107" t="s">
        <v>49</v>
      </c>
      <c r="G49" s="107" t="s">
        <v>547</v>
      </c>
      <c r="H49" s="585" t="s">
        <v>206</v>
      </c>
      <c r="I49" s="585"/>
      <c r="J49" s="585" t="s">
        <v>571</v>
      </c>
      <c r="K49" s="610"/>
    </row>
    <row r="50" spans="1:11" ht="16.5" customHeight="1" x14ac:dyDescent="0.3">
      <c r="A50" s="107" t="s">
        <v>158</v>
      </c>
      <c r="B50" s="567">
        <v>0.05</v>
      </c>
      <c r="C50" s="567"/>
      <c r="D50" s="568"/>
      <c r="E50" s="568"/>
      <c r="F50" s="156"/>
      <c r="G50" s="156"/>
      <c r="H50" s="568"/>
      <c r="I50" s="568"/>
      <c r="J50" s="568"/>
      <c r="K50" s="568"/>
    </row>
    <row r="51" spans="1:11" ht="16.5" customHeight="1" x14ac:dyDescent="0.3">
      <c r="A51" s="107" t="s">
        <v>160</v>
      </c>
      <c r="B51" s="569" t="s">
        <v>207</v>
      </c>
      <c r="C51" s="569"/>
      <c r="D51" s="568"/>
      <c r="E51" s="568"/>
      <c r="F51" s="156"/>
      <c r="G51" s="156"/>
      <c r="H51" s="568"/>
      <c r="I51" s="568"/>
      <c r="J51" s="568"/>
      <c r="K51" s="568"/>
    </row>
    <row r="52" spans="1:11" ht="16.5" customHeight="1" x14ac:dyDescent="0.3">
      <c r="A52" s="185" t="s">
        <v>690</v>
      </c>
      <c r="B52" s="622">
        <v>0.06</v>
      </c>
      <c r="C52" s="623"/>
      <c r="D52" s="573"/>
      <c r="E52" s="574"/>
      <c r="F52" s="186"/>
      <c r="G52" s="186"/>
      <c r="H52" s="573"/>
      <c r="I52" s="574"/>
      <c r="J52" s="573"/>
      <c r="K52" s="574"/>
    </row>
    <row r="53" spans="1:11" ht="16.5" customHeight="1" x14ac:dyDescent="0.3">
      <c r="A53" s="107" t="s">
        <v>8</v>
      </c>
      <c r="B53" s="567">
        <v>0.12</v>
      </c>
      <c r="C53" s="567"/>
      <c r="D53" s="568"/>
      <c r="E53" s="568"/>
      <c r="F53" s="156"/>
      <c r="G53" s="156"/>
      <c r="H53" s="568"/>
      <c r="I53" s="568"/>
      <c r="J53" s="568"/>
      <c r="K53" s="568"/>
    </row>
    <row r="54" spans="1:11" ht="16.5" customHeight="1" x14ac:dyDescent="0.3">
      <c r="A54" s="107" t="s">
        <v>9</v>
      </c>
      <c r="B54" s="569" t="s">
        <v>208</v>
      </c>
      <c r="C54" s="569"/>
      <c r="D54" s="568"/>
      <c r="E54" s="568"/>
      <c r="F54" s="156"/>
      <c r="G54" s="156"/>
      <c r="H54" s="568"/>
      <c r="I54" s="568"/>
      <c r="J54" s="568"/>
      <c r="K54" s="568"/>
    </row>
    <row r="55" spans="1:11" ht="16.5" customHeight="1" x14ac:dyDescent="0.3">
      <c r="A55" s="107" t="s">
        <v>10</v>
      </c>
      <c r="B55" s="567">
        <v>0.18</v>
      </c>
      <c r="C55" s="567"/>
      <c r="D55" s="568"/>
      <c r="E55" s="568"/>
      <c r="F55" s="156"/>
      <c r="G55" s="156"/>
      <c r="H55" s="568"/>
      <c r="I55" s="568"/>
      <c r="J55" s="568"/>
      <c r="K55" s="568"/>
    </row>
    <row r="56" spans="1:11" ht="16.5" customHeight="1" x14ac:dyDescent="0.3">
      <c r="A56" s="107" t="s">
        <v>11</v>
      </c>
      <c r="B56" s="569" t="s">
        <v>209</v>
      </c>
      <c r="C56" s="569"/>
      <c r="D56" s="568"/>
      <c r="E56" s="568"/>
      <c r="F56" s="156"/>
      <c r="G56" s="156"/>
      <c r="H56" s="568"/>
      <c r="I56" s="568"/>
      <c r="J56" s="568"/>
      <c r="K56" s="568"/>
    </row>
    <row r="57" spans="1:11" ht="16.5" customHeight="1" x14ac:dyDescent="0.3">
      <c r="A57" s="107" t="s">
        <v>12</v>
      </c>
      <c r="B57" s="567">
        <v>0.28000000000000003</v>
      </c>
      <c r="C57" s="567"/>
      <c r="D57" s="568"/>
      <c r="E57" s="568"/>
      <c r="F57" s="156"/>
      <c r="G57" s="156"/>
      <c r="H57" s="568"/>
      <c r="I57" s="568"/>
      <c r="J57" s="568"/>
      <c r="K57" s="568"/>
    </row>
    <row r="58" spans="1:11" ht="16.5" customHeight="1" x14ac:dyDescent="0.3">
      <c r="A58" s="107" t="s">
        <v>14</v>
      </c>
      <c r="B58" s="569" t="s">
        <v>210</v>
      </c>
      <c r="C58" s="569"/>
      <c r="D58" s="568"/>
      <c r="E58" s="568"/>
      <c r="F58" s="156"/>
      <c r="G58" s="156"/>
      <c r="H58" s="568"/>
      <c r="I58" s="568"/>
      <c r="J58" s="568"/>
      <c r="K58" s="568"/>
    </row>
    <row r="59" spans="1:11" ht="16.5" customHeight="1" x14ac:dyDescent="0.3">
      <c r="A59" s="107" t="s">
        <v>744</v>
      </c>
      <c r="B59" s="570">
        <v>0.4</v>
      </c>
      <c r="C59" s="569"/>
      <c r="D59" s="568"/>
      <c r="E59" s="568"/>
      <c r="F59" s="156"/>
      <c r="G59" s="156"/>
      <c r="H59" s="568"/>
      <c r="I59" s="568"/>
      <c r="J59" s="568"/>
      <c r="K59" s="568"/>
    </row>
    <row r="60" spans="1:11" ht="16.5" customHeight="1" x14ac:dyDescent="0.3">
      <c r="A60" s="107" t="s">
        <v>745</v>
      </c>
      <c r="B60" s="569" t="s">
        <v>752</v>
      </c>
      <c r="C60" s="569"/>
      <c r="D60" s="568"/>
      <c r="E60" s="568"/>
      <c r="F60" s="156"/>
      <c r="G60" s="156"/>
      <c r="H60" s="568"/>
      <c r="I60" s="568"/>
      <c r="J60" s="568"/>
      <c r="K60" s="568"/>
    </row>
    <row r="61" spans="1:11" ht="16.5" customHeight="1" x14ac:dyDescent="0.3">
      <c r="A61" s="107" t="s">
        <v>16</v>
      </c>
      <c r="B61" s="567">
        <v>0.03</v>
      </c>
      <c r="C61" s="567"/>
      <c r="D61" s="568"/>
      <c r="E61" s="568"/>
      <c r="F61" s="156"/>
      <c r="G61" s="156"/>
      <c r="H61" s="568"/>
      <c r="I61" s="568"/>
      <c r="J61" s="568"/>
      <c r="K61" s="568"/>
    </row>
    <row r="62" spans="1:11" ht="16.5" customHeight="1" x14ac:dyDescent="0.3">
      <c r="A62" s="107" t="s">
        <v>17</v>
      </c>
      <c r="B62" s="581">
        <v>2.5000000000000001E-3</v>
      </c>
      <c r="C62" s="581"/>
      <c r="D62" s="568"/>
      <c r="E62" s="568"/>
      <c r="F62" s="156"/>
      <c r="G62" s="156"/>
      <c r="H62" s="568"/>
      <c r="I62" s="568"/>
      <c r="J62" s="568"/>
      <c r="K62" s="568"/>
    </row>
    <row r="63" spans="1:11" ht="16.5" customHeight="1" x14ac:dyDescent="0.3">
      <c r="A63" s="107" t="s">
        <v>18</v>
      </c>
      <c r="B63" s="581">
        <v>1E-3</v>
      </c>
      <c r="C63" s="581"/>
      <c r="D63" s="568"/>
      <c r="E63" s="568"/>
      <c r="F63" s="156"/>
      <c r="G63" s="156"/>
      <c r="H63" s="568"/>
      <c r="I63" s="568"/>
      <c r="J63" s="568"/>
      <c r="K63" s="568"/>
    </row>
    <row r="64" spans="1:11" ht="16.5" customHeight="1" x14ac:dyDescent="0.3">
      <c r="A64" s="107" t="s">
        <v>691</v>
      </c>
      <c r="B64" s="581" t="s">
        <v>625</v>
      </c>
      <c r="C64" s="581"/>
      <c r="D64" s="568"/>
      <c r="E64" s="568"/>
      <c r="F64" s="156"/>
      <c r="G64" s="156"/>
      <c r="H64" s="568"/>
      <c r="I64" s="568"/>
      <c r="J64" s="568"/>
      <c r="K64" s="568"/>
    </row>
    <row r="65" spans="1:11" ht="16.5" customHeight="1" x14ac:dyDescent="0.3">
      <c r="A65" s="107" t="s">
        <v>20</v>
      </c>
      <c r="B65" s="569" t="s">
        <v>211</v>
      </c>
      <c r="C65" s="569"/>
      <c r="D65" s="619"/>
      <c r="E65" s="619"/>
      <c r="F65" s="156"/>
      <c r="G65" s="156"/>
      <c r="H65" s="568"/>
      <c r="I65" s="568"/>
      <c r="J65" s="568"/>
      <c r="K65" s="568"/>
    </row>
    <row r="66" spans="1:11" ht="16.5" customHeight="1" x14ac:dyDescent="0.3">
      <c r="A66" s="107" t="s">
        <v>21</v>
      </c>
      <c r="B66" s="569" t="s">
        <v>212</v>
      </c>
      <c r="C66" s="569"/>
      <c r="D66" s="619"/>
      <c r="E66" s="619"/>
      <c r="F66" s="156"/>
      <c r="G66" s="156"/>
      <c r="H66" s="568"/>
      <c r="I66" s="568"/>
      <c r="J66" s="568"/>
      <c r="K66" s="568"/>
    </row>
    <row r="67" spans="1:11" ht="49.5" customHeight="1" x14ac:dyDescent="0.3">
      <c r="A67" s="107" t="s">
        <v>22</v>
      </c>
      <c r="B67" s="569" t="s">
        <v>213</v>
      </c>
      <c r="C67" s="569"/>
      <c r="D67" s="619"/>
      <c r="E67" s="619"/>
      <c r="F67" s="156"/>
      <c r="G67" s="156"/>
      <c r="H67" s="568"/>
      <c r="I67" s="568"/>
      <c r="J67" s="568"/>
      <c r="K67" s="568"/>
    </row>
    <row r="68" spans="1:11" ht="81.75" customHeight="1" x14ac:dyDescent="0.3">
      <c r="A68" s="107" t="s">
        <v>29</v>
      </c>
      <c r="B68" s="569" t="s">
        <v>214</v>
      </c>
      <c r="C68" s="569"/>
      <c r="D68" s="619"/>
      <c r="E68" s="619"/>
      <c r="F68" s="156"/>
      <c r="G68" s="156"/>
      <c r="H68" s="568"/>
      <c r="I68" s="568"/>
      <c r="J68" s="568"/>
      <c r="K68" s="568"/>
    </row>
    <row r="69" spans="1:11" ht="47.25" customHeight="1" x14ac:dyDescent="0.3">
      <c r="A69" s="107" t="s">
        <v>31</v>
      </c>
      <c r="B69" s="582" t="s">
        <v>215</v>
      </c>
      <c r="C69" s="582"/>
      <c r="D69" s="619"/>
      <c r="E69" s="619"/>
      <c r="F69" s="156">
        <v>0</v>
      </c>
      <c r="G69" s="156">
        <v>0</v>
      </c>
      <c r="H69" s="568">
        <v>0</v>
      </c>
      <c r="I69" s="568"/>
      <c r="J69" s="568">
        <v>0</v>
      </c>
      <c r="K69" s="568"/>
    </row>
    <row r="70" spans="1:11" ht="16.5" customHeight="1" x14ac:dyDescent="0.3">
      <c r="A70" s="107" t="s">
        <v>32</v>
      </c>
      <c r="B70" s="569" t="s">
        <v>216</v>
      </c>
      <c r="C70" s="582"/>
      <c r="D70" s="619"/>
      <c r="E70" s="619"/>
      <c r="F70" s="156"/>
      <c r="G70" s="156"/>
      <c r="H70" s="568"/>
      <c r="I70" s="568"/>
      <c r="J70" s="568"/>
      <c r="K70" s="568"/>
    </row>
    <row r="71" spans="1:11" ht="219.9" customHeight="1" x14ac:dyDescent="0.3">
      <c r="A71" s="107" t="s">
        <v>33</v>
      </c>
      <c r="B71" s="569" t="s">
        <v>217</v>
      </c>
      <c r="C71" s="569"/>
      <c r="D71" s="613"/>
      <c r="E71" s="613"/>
      <c r="F71" s="156"/>
      <c r="G71" s="156"/>
      <c r="H71" s="568"/>
      <c r="I71" s="568"/>
      <c r="J71" s="568"/>
      <c r="K71" s="568"/>
    </row>
    <row r="72" spans="1:11" ht="33" customHeight="1" x14ac:dyDescent="0.3">
      <c r="A72" s="109">
        <v>10</v>
      </c>
      <c r="B72" s="585" t="s">
        <v>218</v>
      </c>
      <c r="C72" s="620"/>
      <c r="D72" s="620"/>
      <c r="E72" s="620"/>
      <c r="F72" s="620"/>
      <c r="G72" s="620"/>
      <c r="H72" s="620"/>
      <c r="I72" s="620"/>
      <c r="J72" s="620"/>
      <c r="K72" s="620"/>
    </row>
    <row r="73" spans="1:11" ht="16.5" customHeight="1" x14ac:dyDescent="0.3">
      <c r="A73" s="107" t="s">
        <v>6</v>
      </c>
      <c r="B73" s="611" t="s">
        <v>301</v>
      </c>
      <c r="C73" s="611"/>
      <c r="D73" s="611"/>
      <c r="E73" s="569"/>
      <c r="F73" s="569"/>
      <c r="G73" s="569"/>
      <c r="H73" s="569"/>
      <c r="I73" s="569"/>
      <c r="J73" s="569"/>
      <c r="K73" s="569"/>
    </row>
    <row r="74" spans="1:11" ht="48.9" customHeight="1" x14ac:dyDescent="0.3">
      <c r="A74" s="109">
        <v>11</v>
      </c>
      <c r="B74" s="618" t="s">
        <v>629</v>
      </c>
      <c r="C74" s="618"/>
      <c r="D74" s="618"/>
      <c r="E74" s="618"/>
      <c r="F74" s="618"/>
      <c r="G74" s="618"/>
      <c r="H74" s="618"/>
      <c r="I74" s="618"/>
      <c r="J74" s="618"/>
      <c r="K74" s="618"/>
    </row>
    <row r="75" spans="1:11" ht="16.5" customHeight="1" x14ac:dyDescent="0.25">
      <c r="A75" s="114"/>
      <c r="B75" s="609"/>
      <c r="C75" s="609"/>
      <c r="D75" s="609"/>
      <c r="E75" s="609"/>
      <c r="F75" s="584" t="s">
        <v>220</v>
      </c>
      <c r="G75" s="584"/>
      <c r="H75" s="584"/>
      <c r="I75" s="584"/>
      <c r="J75" s="584"/>
      <c r="K75" s="584"/>
    </row>
    <row r="76" spans="1:11" ht="16.5" customHeight="1" x14ac:dyDescent="0.3">
      <c r="A76" s="113" t="s">
        <v>542</v>
      </c>
      <c r="B76" s="585" t="s">
        <v>204</v>
      </c>
      <c r="C76" s="585"/>
      <c r="D76" s="585" t="s">
        <v>205</v>
      </c>
      <c r="E76" s="585"/>
      <c r="F76" s="107" t="s">
        <v>49</v>
      </c>
      <c r="G76" s="107" t="s">
        <v>547</v>
      </c>
      <c r="H76" s="585" t="s">
        <v>48</v>
      </c>
      <c r="I76" s="585"/>
      <c r="J76" s="585" t="s">
        <v>572</v>
      </c>
      <c r="K76" s="610"/>
    </row>
    <row r="77" spans="1:11" ht="16.5" customHeight="1" x14ac:dyDescent="0.3">
      <c r="A77" s="113" t="s">
        <v>6</v>
      </c>
      <c r="B77" s="567">
        <v>0.05</v>
      </c>
      <c r="C77" s="567"/>
      <c r="D77" s="568">
        <v>0</v>
      </c>
      <c r="E77" s="568"/>
      <c r="F77" s="156">
        <v>0</v>
      </c>
      <c r="G77" s="156">
        <v>0</v>
      </c>
      <c r="H77" s="568">
        <v>0</v>
      </c>
      <c r="I77" s="568"/>
      <c r="J77" s="568">
        <v>0</v>
      </c>
      <c r="K77" s="568"/>
    </row>
    <row r="78" spans="1:11" ht="16.5" customHeight="1" x14ac:dyDescent="0.3">
      <c r="A78" s="187" t="s">
        <v>692</v>
      </c>
      <c r="B78" s="571">
        <v>0.06</v>
      </c>
      <c r="C78" s="572"/>
      <c r="D78" s="573">
        <v>0</v>
      </c>
      <c r="E78" s="574"/>
      <c r="F78" s="186">
        <v>0</v>
      </c>
      <c r="G78" s="186">
        <v>0</v>
      </c>
      <c r="H78" s="573">
        <v>0</v>
      </c>
      <c r="I78" s="574"/>
      <c r="J78" s="573">
        <v>0</v>
      </c>
      <c r="K78" s="574"/>
    </row>
    <row r="79" spans="1:11" ht="16.5" customHeight="1" x14ac:dyDescent="0.3">
      <c r="A79" s="113" t="s">
        <v>7</v>
      </c>
      <c r="B79" s="567">
        <v>0.12</v>
      </c>
      <c r="C79" s="567"/>
      <c r="D79" s="568">
        <v>0</v>
      </c>
      <c r="E79" s="568"/>
      <c r="F79" s="156">
        <v>0</v>
      </c>
      <c r="G79" s="156">
        <v>0</v>
      </c>
      <c r="H79" s="568">
        <v>0</v>
      </c>
      <c r="I79" s="568"/>
      <c r="J79" s="568">
        <v>0</v>
      </c>
      <c r="K79" s="568"/>
    </row>
    <row r="80" spans="1:11" ht="16.5" customHeight="1" x14ac:dyDescent="0.3">
      <c r="A80" s="113" t="s">
        <v>8</v>
      </c>
      <c r="B80" s="567">
        <v>0.18</v>
      </c>
      <c r="C80" s="567"/>
      <c r="D80" s="568">
        <v>0</v>
      </c>
      <c r="E80" s="568"/>
      <c r="F80" s="156">
        <v>0</v>
      </c>
      <c r="G80" s="156">
        <v>0</v>
      </c>
      <c r="H80" s="568">
        <v>0</v>
      </c>
      <c r="I80" s="568"/>
      <c r="J80" s="568">
        <v>0</v>
      </c>
      <c r="K80" s="568"/>
    </row>
    <row r="81" spans="1:11" ht="16.5" customHeight="1" x14ac:dyDescent="0.3">
      <c r="A81" s="113" t="s">
        <v>9</v>
      </c>
      <c r="B81" s="567">
        <v>0.28000000000000003</v>
      </c>
      <c r="C81" s="567"/>
      <c r="D81" s="568">
        <v>0</v>
      </c>
      <c r="E81" s="568"/>
      <c r="F81" s="156">
        <v>0</v>
      </c>
      <c r="G81" s="156">
        <v>0</v>
      </c>
      <c r="H81" s="568">
        <v>0</v>
      </c>
      <c r="I81" s="568"/>
      <c r="J81" s="568">
        <v>0</v>
      </c>
      <c r="K81" s="568"/>
    </row>
    <row r="82" spans="1:11" ht="16.5" customHeight="1" x14ac:dyDescent="0.3">
      <c r="A82" s="113" t="s">
        <v>724</v>
      </c>
      <c r="B82" s="567">
        <v>0.4</v>
      </c>
      <c r="C82" s="567"/>
      <c r="D82" s="568">
        <v>0</v>
      </c>
      <c r="E82" s="568"/>
      <c r="F82" s="156">
        <v>0</v>
      </c>
      <c r="G82" s="156">
        <v>0</v>
      </c>
      <c r="H82" s="568">
        <v>0</v>
      </c>
      <c r="I82" s="568"/>
      <c r="J82" s="568">
        <v>0</v>
      </c>
      <c r="K82" s="568"/>
    </row>
    <row r="83" spans="1:11" ht="16.5" customHeight="1" x14ac:dyDescent="0.3">
      <c r="A83" s="113" t="s">
        <v>10</v>
      </c>
      <c r="B83" s="567">
        <v>0.03</v>
      </c>
      <c r="C83" s="567"/>
      <c r="D83" s="568">
        <v>0</v>
      </c>
      <c r="E83" s="568"/>
      <c r="F83" s="156">
        <v>0</v>
      </c>
      <c r="G83" s="156">
        <v>0</v>
      </c>
      <c r="H83" s="568">
        <v>0</v>
      </c>
      <c r="I83" s="568"/>
      <c r="J83" s="568">
        <v>0</v>
      </c>
      <c r="K83" s="568"/>
    </row>
    <row r="84" spans="1:11" ht="16.5" customHeight="1" x14ac:dyDescent="0.3">
      <c r="A84" s="113" t="s">
        <v>11</v>
      </c>
      <c r="B84" s="581">
        <v>2.5000000000000001E-3</v>
      </c>
      <c r="C84" s="581"/>
      <c r="D84" s="568">
        <v>0</v>
      </c>
      <c r="E84" s="568"/>
      <c r="F84" s="156">
        <v>0</v>
      </c>
      <c r="G84" s="156">
        <v>0</v>
      </c>
      <c r="H84" s="568">
        <v>0</v>
      </c>
      <c r="I84" s="568"/>
      <c r="J84" s="568">
        <v>0</v>
      </c>
      <c r="K84" s="568"/>
    </row>
    <row r="85" spans="1:11" ht="16.5" customHeight="1" x14ac:dyDescent="0.3">
      <c r="A85" s="113" t="s">
        <v>12</v>
      </c>
      <c r="B85" s="581">
        <v>1E-3</v>
      </c>
      <c r="C85" s="581"/>
      <c r="D85" s="568">
        <v>0</v>
      </c>
      <c r="E85" s="568"/>
      <c r="F85" s="156">
        <v>0</v>
      </c>
      <c r="G85" s="156">
        <v>0</v>
      </c>
      <c r="H85" s="568">
        <v>0</v>
      </c>
      <c r="I85" s="568"/>
      <c r="J85" s="568">
        <v>0</v>
      </c>
      <c r="K85" s="568"/>
    </row>
    <row r="86" spans="1:11" ht="16.5" customHeight="1" x14ac:dyDescent="0.3">
      <c r="A86" s="113" t="s">
        <v>693</v>
      </c>
      <c r="B86" s="581" t="s">
        <v>625</v>
      </c>
      <c r="C86" s="581"/>
      <c r="D86" s="568">
        <v>0</v>
      </c>
      <c r="E86" s="568"/>
      <c r="F86" s="156">
        <v>0</v>
      </c>
      <c r="G86" s="156">
        <v>0</v>
      </c>
      <c r="H86" s="568">
        <v>0</v>
      </c>
      <c r="I86" s="568"/>
      <c r="J86" s="568">
        <v>0</v>
      </c>
      <c r="K86" s="568"/>
    </row>
    <row r="87" spans="1:11" ht="45" customHeight="1" x14ac:dyDescent="0.3">
      <c r="A87" s="113" t="s">
        <v>14</v>
      </c>
      <c r="B87" s="569" t="s">
        <v>211</v>
      </c>
      <c r="C87" s="569"/>
      <c r="D87" s="619"/>
      <c r="E87" s="619"/>
      <c r="F87" s="156">
        <v>0</v>
      </c>
      <c r="G87" s="156">
        <v>0</v>
      </c>
      <c r="H87" s="568">
        <v>0</v>
      </c>
      <c r="I87" s="568"/>
      <c r="J87" s="568">
        <v>0</v>
      </c>
      <c r="K87" s="568"/>
    </row>
    <row r="88" spans="1:11" ht="16.5" customHeight="1" x14ac:dyDescent="0.3">
      <c r="A88" s="113" t="s">
        <v>16</v>
      </c>
      <c r="B88" s="569" t="s">
        <v>212</v>
      </c>
      <c r="C88" s="569"/>
      <c r="D88" s="619"/>
      <c r="E88" s="619"/>
      <c r="F88" s="156">
        <v>0</v>
      </c>
      <c r="G88" s="156">
        <v>0</v>
      </c>
      <c r="H88" s="568">
        <v>0</v>
      </c>
      <c r="I88" s="568"/>
      <c r="J88" s="568">
        <v>0</v>
      </c>
      <c r="K88" s="568"/>
    </row>
    <row r="89" spans="1:11" ht="15" customHeight="1" x14ac:dyDescent="0.3">
      <c r="A89" s="113" t="s">
        <v>17</v>
      </c>
      <c r="B89" s="569" t="s">
        <v>213</v>
      </c>
      <c r="C89" s="569"/>
      <c r="D89" s="619"/>
      <c r="E89" s="619"/>
      <c r="F89" s="156">
        <v>0</v>
      </c>
      <c r="G89" s="156">
        <v>0</v>
      </c>
      <c r="H89" s="568">
        <v>0</v>
      </c>
      <c r="I89" s="568"/>
      <c r="J89" s="568">
        <v>0</v>
      </c>
      <c r="K89" s="568"/>
    </row>
    <row r="90" spans="1:11" ht="16.5" customHeight="1" x14ac:dyDescent="0.3">
      <c r="A90" s="113" t="s">
        <v>18</v>
      </c>
      <c r="B90" s="582" t="s">
        <v>221</v>
      </c>
      <c r="C90" s="582"/>
      <c r="D90" s="619"/>
      <c r="E90" s="619"/>
      <c r="F90" s="156">
        <v>0</v>
      </c>
      <c r="G90" s="156">
        <v>0</v>
      </c>
      <c r="H90" s="568">
        <v>0</v>
      </c>
      <c r="I90" s="568"/>
      <c r="J90" s="568">
        <v>0</v>
      </c>
      <c r="K90" s="568"/>
    </row>
    <row r="91" spans="1:11" ht="16.5" customHeight="1" x14ac:dyDescent="0.3">
      <c r="A91" s="585" t="s">
        <v>675</v>
      </c>
      <c r="B91" s="620" t="s">
        <v>309</v>
      </c>
      <c r="C91" s="620"/>
      <c r="D91" s="620"/>
      <c r="E91" s="620"/>
      <c r="F91" s="620"/>
      <c r="G91" s="620"/>
      <c r="H91" s="620"/>
      <c r="I91" s="620"/>
      <c r="J91" s="620"/>
      <c r="K91" s="620"/>
    </row>
    <row r="92" spans="1:11" ht="48.9" customHeight="1" x14ac:dyDescent="0.3">
      <c r="A92" s="585"/>
      <c r="B92" s="620"/>
      <c r="C92" s="620"/>
      <c r="D92" s="620"/>
      <c r="E92" s="620"/>
      <c r="F92" s="620"/>
      <c r="G92" s="620"/>
      <c r="H92" s="620"/>
      <c r="I92" s="620"/>
      <c r="J92" s="620"/>
      <c r="K92" s="620"/>
    </row>
    <row r="93" spans="1:11" ht="33" customHeight="1" x14ac:dyDescent="0.3">
      <c r="A93" s="109">
        <v>12</v>
      </c>
      <c r="B93" s="620" t="s">
        <v>222</v>
      </c>
      <c r="C93" s="620"/>
      <c r="D93" s="620"/>
      <c r="E93" s="620"/>
      <c r="F93" s="620"/>
      <c r="G93" s="620"/>
      <c r="H93" s="620"/>
      <c r="I93" s="620"/>
      <c r="J93" s="620"/>
      <c r="K93" s="620"/>
    </row>
    <row r="94" spans="1:11" ht="33" customHeight="1" x14ac:dyDescent="0.3">
      <c r="A94" s="109" t="s">
        <v>542</v>
      </c>
      <c r="B94" s="585" t="s">
        <v>24</v>
      </c>
      <c r="C94" s="620"/>
      <c r="D94" s="620"/>
      <c r="E94" s="620"/>
      <c r="F94" s="620"/>
      <c r="G94" s="620"/>
      <c r="H94" s="620"/>
      <c r="I94" s="585" t="s">
        <v>570</v>
      </c>
      <c r="J94" s="620"/>
      <c r="K94" s="620"/>
    </row>
    <row r="95" spans="1:11" ht="33" customHeight="1" x14ac:dyDescent="0.3">
      <c r="A95" s="110" t="s">
        <v>158</v>
      </c>
      <c r="B95" s="582" t="s">
        <v>223</v>
      </c>
      <c r="C95" s="582"/>
      <c r="D95" s="582"/>
      <c r="E95" s="582"/>
      <c r="F95" s="582"/>
      <c r="G95" s="582"/>
      <c r="H95" s="582"/>
      <c r="I95" s="568"/>
      <c r="J95" s="568"/>
      <c r="K95" s="568"/>
    </row>
    <row r="96" spans="1:11" ht="16.5" customHeight="1" x14ac:dyDescent="0.3">
      <c r="A96" s="110" t="s">
        <v>160</v>
      </c>
      <c r="B96" s="582" t="s">
        <v>224</v>
      </c>
      <c r="C96" s="582"/>
      <c r="D96" s="582"/>
      <c r="E96" s="582"/>
      <c r="F96" s="582"/>
      <c r="G96" s="582"/>
      <c r="H96" s="582"/>
      <c r="I96" s="568"/>
      <c r="J96" s="568"/>
      <c r="K96" s="568"/>
    </row>
    <row r="97" spans="1:11" ht="16.5" customHeight="1" x14ac:dyDescent="0.3">
      <c r="A97" s="110" t="s">
        <v>162</v>
      </c>
      <c r="B97" s="626" t="s">
        <v>225</v>
      </c>
      <c r="C97" s="626"/>
      <c r="D97" s="626"/>
      <c r="E97" s="626"/>
      <c r="F97" s="626"/>
      <c r="G97" s="626"/>
      <c r="H97" s="626"/>
      <c r="I97" s="568"/>
      <c r="J97" s="568"/>
      <c r="K97" s="568"/>
    </row>
    <row r="98" spans="1:11" ht="16.5" customHeight="1" x14ac:dyDescent="0.3">
      <c r="A98" s="110" t="s">
        <v>164</v>
      </c>
      <c r="B98" s="582" t="s">
        <v>226</v>
      </c>
      <c r="C98" s="582"/>
      <c r="D98" s="582"/>
      <c r="E98" s="582"/>
      <c r="F98" s="582"/>
      <c r="G98" s="582"/>
      <c r="H98" s="582"/>
      <c r="I98" s="614"/>
      <c r="J98" s="614"/>
      <c r="K98" s="614"/>
    </row>
    <row r="99" spans="1:11" ht="219.9" customHeight="1" x14ac:dyDescent="0.3">
      <c r="A99" s="107" t="s">
        <v>166</v>
      </c>
      <c r="B99" s="569" t="s">
        <v>227</v>
      </c>
      <c r="C99" s="569"/>
      <c r="D99" s="569"/>
      <c r="E99" s="569"/>
      <c r="F99" s="569"/>
      <c r="G99" s="569"/>
      <c r="H99" s="569"/>
      <c r="I99" s="568"/>
      <c r="J99" s="568"/>
      <c r="K99" s="568"/>
    </row>
    <row r="100" spans="1:11" ht="43.5" customHeight="1" x14ac:dyDescent="0.3">
      <c r="A100" s="107" t="s">
        <v>168</v>
      </c>
      <c r="B100" s="569" t="s">
        <v>228</v>
      </c>
      <c r="C100" s="569"/>
      <c r="D100" s="569"/>
      <c r="E100" s="569"/>
      <c r="F100" s="569"/>
      <c r="G100" s="569"/>
      <c r="H100" s="569"/>
      <c r="I100" s="614">
        <v>0</v>
      </c>
      <c r="J100" s="614"/>
      <c r="K100" s="614"/>
    </row>
    <row r="101" spans="1:11" ht="39.6" customHeight="1" x14ac:dyDescent="0.3">
      <c r="A101" s="109">
        <v>13</v>
      </c>
      <c r="B101" s="620" t="s">
        <v>229</v>
      </c>
      <c r="C101" s="620"/>
      <c r="D101" s="620"/>
      <c r="E101" s="620"/>
      <c r="F101" s="620"/>
      <c r="G101" s="620"/>
      <c r="H101" s="620"/>
      <c r="I101" s="620"/>
      <c r="J101" s="620"/>
      <c r="K101" s="620"/>
    </row>
    <row r="102" spans="1:11" ht="16.5" customHeight="1" x14ac:dyDescent="0.3">
      <c r="A102" s="107" t="s">
        <v>6</v>
      </c>
      <c r="B102" s="569" t="s">
        <v>301</v>
      </c>
      <c r="C102" s="569"/>
      <c r="D102" s="569"/>
      <c r="E102" s="569"/>
      <c r="F102" s="569"/>
      <c r="G102" s="569"/>
      <c r="H102" s="569"/>
      <c r="I102" s="569"/>
      <c r="J102" s="569"/>
      <c r="K102" s="569"/>
    </row>
    <row r="103" spans="1:11" ht="16.5" customHeight="1" x14ac:dyDescent="0.3">
      <c r="A103" s="109">
        <v>14</v>
      </c>
      <c r="B103" s="618" t="s">
        <v>55</v>
      </c>
      <c r="C103" s="618"/>
      <c r="D103" s="618"/>
      <c r="E103" s="618"/>
      <c r="F103" s="618"/>
      <c r="G103" s="618"/>
      <c r="H103" s="618"/>
      <c r="I103" s="618"/>
      <c r="J103" s="618"/>
      <c r="K103" s="618"/>
    </row>
    <row r="104" spans="1:11" ht="16.5" customHeight="1" x14ac:dyDescent="0.3">
      <c r="A104" s="115" t="s">
        <v>542</v>
      </c>
      <c r="B104" s="585" t="s">
        <v>24</v>
      </c>
      <c r="C104" s="585"/>
      <c r="D104" s="585"/>
      <c r="E104" s="585" t="s">
        <v>627</v>
      </c>
      <c r="F104" s="585"/>
      <c r="G104" s="616" t="s">
        <v>232</v>
      </c>
      <c r="H104" s="616"/>
      <c r="I104" s="617" t="s">
        <v>233</v>
      </c>
      <c r="J104" s="617"/>
      <c r="K104" s="617"/>
    </row>
    <row r="105" spans="1:11" ht="50.25" customHeight="1" x14ac:dyDescent="0.3">
      <c r="A105" s="107" t="s">
        <v>6</v>
      </c>
      <c r="B105" s="611" t="s">
        <v>247</v>
      </c>
      <c r="C105" s="611"/>
      <c r="D105" s="611"/>
      <c r="E105" s="568"/>
      <c r="F105" s="568"/>
      <c r="G105" s="568"/>
      <c r="H105" s="568"/>
      <c r="I105" s="568"/>
      <c r="J105" s="568"/>
      <c r="K105" s="568"/>
    </row>
    <row r="106" spans="1:11" ht="16.5" customHeight="1" x14ac:dyDescent="0.3">
      <c r="A106" s="107" t="s">
        <v>7</v>
      </c>
      <c r="B106" s="611" t="s">
        <v>56</v>
      </c>
      <c r="C106" s="611"/>
      <c r="D106" s="611"/>
      <c r="E106" s="568"/>
      <c r="F106" s="568"/>
      <c r="G106" s="568"/>
      <c r="H106" s="568"/>
      <c r="I106" s="568"/>
      <c r="J106" s="568"/>
      <c r="K106" s="568"/>
    </row>
    <row r="107" spans="1:11" ht="73.5" customHeight="1" x14ac:dyDescent="0.3">
      <c r="A107" s="107" t="s">
        <v>8</v>
      </c>
      <c r="B107" s="611" t="s">
        <v>146</v>
      </c>
      <c r="C107" s="611"/>
      <c r="D107" s="611"/>
      <c r="E107" s="568"/>
      <c r="F107" s="568"/>
      <c r="G107" s="568"/>
      <c r="H107" s="568"/>
      <c r="I107" s="568"/>
      <c r="J107" s="568"/>
      <c r="K107" s="568"/>
    </row>
    <row r="108" spans="1:11" ht="16.5" customHeight="1" x14ac:dyDescent="0.3">
      <c r="A108" s="107" t="s">
        <v>9</v>
      </c>
      <c r="B108" s="615" t="s">
        <v>147</v>
      </c>
      <c r="C108" s="615"/>
      <c r="D108" s="615"/>
      <c r="E108" s="568"/>
      <c r="F108" s="568"/>
      <c r="G108" s="568"/>
      <c r="H108" s="568"/>
      <c r="I108" s="568"/>
      <c r="J108" s="568"/>
      <c r="K108" s="568"/>
    </row>
    <row r="109" spans="1:11" ht="55.5" customHeight="1" x14ac:dyDescent="0.3">
      <c r="A109" s="107" t="s">
        <v>10</v>
      </c>
      <c r="B109" s="611" t="s">
        <v>35</v>
      </c>
      <c r="C109" s="611"/>
      <c r="D109" s="611"/>
      <c r="E109" s="568"/>
      <c r="F109" s="568"/>
      <c r="G109" s="568"/>
      <c r="H109" s="568"/>
      <c r="I109" s="568"/>
      <c r="J109" s="568"/>
      <c r="K109" s="568"/>
    </row>
    <row r="110" spans="1:11" ht="16.5" customHeight="1" x14ac:dyDescent="0.3">
      <c r="A110" s="110" t="s">
        <v>11</v>
      </c>
      <c r="B110" s="615" t="s">
        <v>36</v>
      </c>
      <c r="C110" s="615"/>
      <c r="D110" s="615"/>
      <c r="E110" s="568"/>
      <c r="F110" s="568"/>
      <c r="G110" s="568"/>
      <c r="H110" s="568"/>
      <c r="I110" s="568"/>
      <c r="J110" s="568"/>
      <c r="K110" s="568"/>
    </row>
    <row r="111" spans="1:11" ht="16.5" customHeight="1" x14ac:dyDescent="0.3">
      <c r="A111" s="107" t="s">
        <v>12</v>
      </c>
      <c r="B111" s="611" t="s">
        <v>37</v>
      </c>
      <c r="C111" s="611"/>
      <c r="D111" s="611"/>
      <c r="E111" s="568"/>
      <c r="F111" s="568"/>
      <c r="G111" s="568"/>
      <c r="H111" s="568"/>
      <c r="I111" s="568"/>
      <c r="J111" s="568"/>
      <c r="K111" s="568"/>
    </row>
    <row r="112" spans="1:11" ht="16.5" customHeight="1" x14ac:dyDescent="0.3">
      <c r="A112" s="107" t="s">
        <v>14</v>
      </c>
      <c r="B112" s="615" t="s">
        <v>354</v>
      </c>
      <c r="C112" s="615"/>
      <c r="D112" s="615"/>
      <c r="E112" s="568"/>
      <c r="F112" s="568"/>
      <c r="G112" s="568"/>
      <c r="H112" s="568"/>
      <c r="I112" s="568"/>
      <c r="J112" s="568"/>
      <c r="K112" s="568"/>
    </row>
    <row r="113" spans="1:11" ht="42" customHeight="1" x14ac:dyDescent="0.3">
      <c r="A113" s="107" t="s">
        <v>16</v>
      </c>
      <c r="B113" s="611" t="s">
        <v>38</v>
      </c>
      <c r="C113" s="611"/>
      <c r="D113" s="611"/>
      <c r="E113" s="568"/>
      <c r="F113" s="568"/>
      <c r="G113" s="568"/>
      <c r="H113" s="568"/>
      <c r="I113" s="568"/>
      <c r="J113" s="568"/>
      <c r="K113" s="568"/>
    </row>
    <row r="114" spans="1:11" ht="33" customHeight="1" x14ac:dyDescent="0.3">
      <c r="A114" s="107" t="s">
        <v>17</v>
      </c>
      <c r="B114" s="611" t="s">
        <v>39</v>
      </c>
      <c r="C114" s="611"/>
      <c r="D114" s="611"/>
      <c r="E114" s="568"/>
      <c r="F114" s="568"/>
      <c r="G114" s="568"/>
      <c r="H114" s="568"/>
      <c r="I114" s="568"/>
      <c r="J114" s="568"/>
      <c r="K114" s="568"/>
    </row>
    <row r="115" spans="1:11" ht="33" customHeight="1" x14ac:dyDescent="0.3">
      <c r="A115" s="107" t="s">
        <v>18</v>
      </c>
      <c r="B115" s="611" t="s">
        <v>40</v>
      </c>
      <c r="C115" s="611"/>
      <c r="D115" s="611"/>
      <c r="E115" s="568"/>
      <c r="F115" s="568"/>
      <c r="G115" s="568"/>
      <c r="H115" s="568"/>
      <c r="I115" s="568"/>
      <c r="J115" s="568"/>
      <c r="K115" s="568"/>
    </row>
    <row r="116" spans="1:11" ht="16.5" customHeight="1" x14ac:dyDescent="0.3">
      <c r="A116" s="107" t="s">
        <v>20</v>
      </c>
      <c r="B116" s="615" t="s">
        <v>41</v>
      </c>
      <c r="C116" s="615"/>
      <c r="D116" s="615"/>
      <c r="E116" s="568"/>
      <c r="F116" s="568"/>
      <c r="G116" s="568"/>
      <c r="H116" s="568"/>
      <c r="I116" s="568"/>
      <c r="J116" s="568"/>
      <c r="K116" s="568"/>
    </row>
    <row r="117" spans="1:11" ht="16.5" customHeight="1" x14ac:dyDescent="0.3">
      <c r="A117" s="107" t="s">
        <v>21</v>
      </c>
      <c r="B117" s="615" t="s">
        <v>42</v>
      </c>
      <c r="C117" s="615"/>
      <c r="D117" s="615"/>
      <c r="E117" s="568"/>
      <c r="F117" s="568"/>
      <c r="G117" s="568"/>
      <c r="H117" s="568"/>
      <c r="I117" s="568"/>
      <c r="J117" s="568"/>
      <c r="K117" s="568"/>
    </row>
    <row r="118" spans="1:11" ht="16.5" customHeight="1" x14ac:dyDescent="0.3">
      <c r="A118" s="107" t="s">
        <v>22</v>
      </c>
      <c r="B118" s="615" t="s">
        <v>248</v>
      </c>
      <c r="C118" s="615"/>
      <c r="D118" s="615"/>
      <c r="E118" s="568"/>
      <c r="F118" s="568"/>
      <c r="G118" s="568"/>
      <c r="H118" s="568"/>
      <c r="I118" s="568"/>
      <c r="J118" s="568"/>
      <c r="K118" s="568"/>
    </row>
    <row r="119" spans="1:11" ht="33.75" customHeight="1" x14ac:dyDescent="0.3">
      <c r="A119" s="107" t="s">
        <v>29</v>
      </c>
      <c r="B119" s="611" t="s">
        <v>43</v>
      </c>
      <c r="C119" s="611"/>
      <c r="D119" s="611"/>
      <c r="E119" s="568"/>
      <c r="F119" s="568"/>
      <c r="G119" s="568"/>
      <c r="H119" s="568"/>
      <c r="I119" s="568"/>
      <c r="J119" s="568"/>
      <c r="K119" s="568"/>
    </row>
    <row r="120" spans="1:11" ht="32.25" customHeight="1" x14ac:dyDescent="0.3">
      <c r="A120" s="107" t="s">
        <v>31</v>
      </c>
      <c r="B120" s="611" t="s">
        <v>44</v>
      </c>
      <c r="C120" s="611"/>
      <c r="D120" s="611"/>
      <c r="E120" s="568"/>
      <c r="F120" s="568"/>
      <c r="G120" s="568"/>
      <c r="H120" s="568"/>
      <c r="I120" s="568"/>
      <c r="J120" s="568"/>
      <c r="K120" s="568"/>
    </row>
    <row r="121" spans="1:11" ht="15.75" customHeight="1" x14ac:dyDescent="0.3">
      <c r="A121" s="107" t="s">
        <v>32</v>
      </c>
      <c r="B121" s="611" t="s">
        <v>45</v>
      </c>
      <c r="C121" s="611"/>
      <c r="D121" s="611"/>
      <c r="E121" s="568"/>
      <c r="F121" s="568"/>
      <c r="G121" s="568"/>
      <c r="H121" s="568"/>
      <c r="I121" s="568"/>
      <c r="J121" s="568"/>
      <c r="K121" s="568"/>
    </row>
    <row r="122" spans="1:11" ht="16.5" customHeight="1" x14ac:dyDescent="0.3">
      <c r="A122" s="107" t="s">
        <v>190</v>
      </c>
      <c r="B122" s="611" t="s">
        <v>573</v>
      </c>
      <c r="C122" s="611"/>
      <c r="D122" s="611"/>
      <c r="E122" s="613"/>
      <c r="F122" s="613"/>
      <c r="G122" s="613"/>
      <c r="H122" s="613"/>
      <c r="I122" s="614">
        <v>0</v>
      </c>
      <c r="J122" s="614"/>
      <c r="K122" s="614"/>
    </row>
    <row r="123" spans="1:11" ht="219.9" customHeight="1" x14ac:dyDescent="0.3">
      <c r="A123" s="107" t="s">
        <v>234</v>
      </c>
      <c r="B123" s="611" t="s">
        <v>574</v>
      </c>
      <c r="C123" s="611"/>
      <c r="D123" s="611"/>
      <c r="E123" s="613"/>
      <c r="F123" s="613"/>
      <c r="G123" s="613"/>
      <c r="H123" s="613"/>
      <c r="I123" s="568"/>
      <c r="J123" s="568"/>
      <c r="K123" s="568"/>
    </row>
    <row r="124" spans="1:11" ht="33" customHeight="1" x14ac:dyDescent="0.3">
      <c r="A124" s="107" t="s">
        <v>235</v>
      </c>
      <c r="B124" s="611" t="s">
        <v>575</v>
      </c>
      <c r="C124" s="611"/>
      <c r="D124" s="611"/>
      <c r="E124" s="613"/>
      <c r="F124" s="613"/>
      <c r="G124" s="613"/>
      <c r="H124" s="613"/>
      <c r="I124" s="614"/>
      <c r="J124" s="614"/>
      <c r="K124" s="614"/>
    </row>
    <row r="125" spans="1:11" ht="16.5" customHeight="1" x14ac:dyDescent="0.3">
      <c r="A125" s="109">
        <v>15</v>
      </c>
      <c r="B125" s="612" t="s">
        <v>236</v>
      </c>
      <c r="C125" s="612"/>
      <c r="D125" s="612"/>
      <c r="E125" s="612"/>
      <c r="F125" s="612"/>
      <c r="G125" s="612"/>
      <c r="H125" s="612"/>
      <c r="I125" s="612"/>
      <c r="J125" s="612"/>
      <c r="K125" s="612"/>
    </row>
    <row r="126" spans="1:11" ht="16.5" customHeight="1" x14ac:dyDescent="0.3">
      <c r="A126" s="107" t="s">
        <v>6</v>
      </c>
      <c r="B126" s="569" t="s">
        <v>301</v>
      </c>
      <c r="C126" s="569"/>
      <c r="D126" s="569"/>
      <c r="E126" s="569"/>
      <c r="F126" s="569"/>
      <c r="G126" s="569"/>
      <c r="H126" s="569"/>
      <c r="I126" s="569"/>
      <c r="J126" s="569"/>
      <c r="K126" s="569"/>
    </row>
    <row r="127" spans="1:11" ht="33" customHeight="1" x14ac:dyDescent="0.3">
      <c r="A127" s="108">
        <v>16</v>
      </c>
      <c r="B127" s="620" t="s">
        <v>628</v>
      </c>
      <c r="C127" s="610"/>
      <c r="D127" s="610"/>
      <c r="E127" s="610"/>
      <c r="F127" s="610"/>
      <c r="G127" s="610"/>
      <c r="H127" s="610"/>
      <c r="I127" s="610"/>
      <c r="J127" s="610"/>
      <c r="K127" s="610"/>
    </row>
    <row r="128" spans="1:11" ht="33" customHeight="1" x14ac:dyDescent="0.3">
      <c r="A128" s="113" t="s">
        <v>542</v>
      </c>
      <c r="B128" s="585" t="s">
        <v>24</v>
      </c>
      <c r="C128" s="585"/>
      <c r="D128" s="585" t="s">
        <v>238</v>
      </c>
      <c r="E128" s="585"/>
      <c r="F128" s="585"/>
      <c r="G128" s="585"/>
      <c r="H128" s="585"/>
      <c r="I128" s="585"/>
      <c r="J128" s="585"/>
      <c r="K128" s="585"/>
    </row>
    <row r="129" spans="1:11" ht="16.5" customHeight="1" x14ac:dyDescent="0.3">
      <c r="A129" s="113" t="s">
        <v>6</v>
      </c>
      <c r="B129" s="569" t="s">
        <v>239</v>
      </c>
      <c r="C129" s="569"/>
      <c r="D129" s="568">
        <v>0</v>
      </c>
      <c r="E129" s="568"/>
      <c r="F129" s="568"/>
      <c r="G129" s="568"/>
      <c r="H129" s="568"/>
      <c r="I129" s="568"/>
      <c r="J129" s="568"/>
      <c r="K129" s="568"/>
    </row>
    <row r="130" spans="1:11" ht="16.5" customHeight="1" x14ac:dyDescent="0.3">
      <c r="A130" s="113" t="s">
        <v>7</v>
      </c>
      <c r="B130" s="582" t="s">
        <v>240</v>
      </c>
      <c r="C130" s="582"/>
      <c r="D130" s="568">
        <v>0</v>
      </c>
      <c r="E130" s="568"/>
      <c r="F130" s="568"/>
      <c r="G130" s="568"/>
      <c r="H130" s="568"/>
      <c r="I130" s="568"/>
      <c r="J130" s="568"/>
      <c r="K130" s="568"/>
    </row>
    <row r="131" spans="1:11" ht="16.5" customHeight="1" x14ac:dyDescent="0.3">
      <c r="A131" s="113" t="s">
        <v>8</v>
      </c>
      <c r="B131" s="582" t="s">
        <v>241</v>
      </c>
      <c r="C131" s="582"/>
      <c r="D131" s="568">
        <v>0</v>
      </c>
      <c r="E131" s="568"/>
      <c r="F131" s="568"/>
      <c r="G131" s="568"/>
      <c r="H131" s="568"/>
      <c r="I131" s="568"/>
      <c r="J131" s="568"/>
      <c r="K131" s="568"/>
    </row>
    <row r="132" spans="1:11" ht="32.4" customHeight="1" x14ac:dyDescent="0.3">
      <c r="A132" s="113" t="s">
        <v>9</v>
      </c>
      <c r="B132" s="569" t="s">
        <v>242</v>
      </c>
      <c r="C132" s="569"/>
      <c r="D132" s="568">
        <v>0</v>
      </c>
      <c r="E132" s="568"/>
      <c r="F132" s="568"/>
      <c r="G132" s="568"/>
      <c r="H132" s="568"/>
      <c r="I132" s="568"/>
      <c r="J132" s="568"/>
      <c r="K132" s="568"/>
    </row>
    <row r="133" spans="1:11" ht="16.5" customHeight="1" x14ac:dyDescent="0.3">
      <c r="A133" s="113" t="s">
        <v>10</v>
      </c>
      <c r="B133" s="569" t="s">
        <v>211</v>
      </c>
      <c r="C133" s="569"/>
      <c r="D133" s="568">
        <v>0</v>
      </c>
      <c r="E133" s="568"/>
      <c r="F133" s="568"/>
      <c r="G133" s="568"/>
      <c r="H133" s="568"/>
      <c r="I133" s="568"/>
      <c r="J133" s="568"/>
      <c r="K133" s="568"/>
    </row>
    <row r="134" spans="1:11" ht="48.9" customHeight="1" x14ac:dyDescent="0.3">
      <c r="A134" s="113" t="s">
        <v>11</v>
      </c>
      <c r="B134" s="569" t="s">
        <v>213</v>
      </c>
      <c r="C134" s="569"/>
      <c r="D134" s="568">
        <v>0</v>
      </c>
      <c r="E134" s="568"/>
      <c r="F134" s="568"/>
      <c r="G134" s="568"/>
      <c r="H134" s="568"/>
      <c r="I134" s="568"/>
      <c r="J134" s="568"/>
      <c r="K134" s="568"/>
    </row>
    <row r="135" spans="1:11" ht="16.5" customHeight="1" x14ac:dyDescent="0.3">
      <c r="A135" s="107" t="s">
        <v>676</v>
      </c>
      <c r="B135" s="657" t="s">
        <v>626</v>
      </c>
      <c r="C135" s="657"/>
      <c r="D135" s="657"/>
      <c r="E135" s="657"/>
      <c r="F135" s="657"/>
      <c r="G135" s="657"/>
      <c r="H135" s="657"/>
      <c r="I135" s="657"/>
      <c r="J135" s="657"/>
      <c r="K135" s="657"/>
    </row>
    <row r="136" spans="1:11" ht="16.5" customHeight="1" x14ac:dyDescent="0.25">
      <c r="A136" s="114"/>
      <c r="B136" s="609"/>
      <c r="C136" s="609"/>
      <c r="D136" s="609"/>
      <c r="E136" s="609"/>
      <c r="F136" s="584" t="s">
        <v>220</v>
      </c>
      <c r="G136" s="584"/>
      <c r="H136" s="584"/>
      <c r="I136" s="584"/>
      <c r="J136" s="584"/>
      <c r="K136" s="584"/>
    </row>
    <row r="137" spans="1:11" ht="16.5" customHeight="1" x14ac:dyDescent="0.3">
      <c r="A137" s="113" t="s">
        <v>542</v>
      </c>
      <c r="B137" s="585" t="s">
        <v>204</v>
      </c>
      <c r="C137" s="585"/>
      <c r="D137" s="585" t="s">
        <v>231</v>
      </c>
      <c r="E137" s="585"/>
      <c r="F137" s="107" t="s">
        <v>49</v>
      </c>
      <c r="G137" s="107" t="s">
        <v>547</v>
      </c>
      <c r="H137" s="585" t="s">
        <v>48</v>
      </c>
      <c r="I137" s="585"/>
      <c r="J137" s="585" t="s">
        <v>308</v>
      </c>
      <c r="K137" s="610"/>
    </row>
    <row r="138" spans="1:11" ht="16.5" customHeight="1" x14ac:dyDescent="0.3">
      <c r="A138" s="113" t="s">
        <v>6</v>
      </c>
      <c r="B138" s="567">
        <v>0.05</v>
      </c>
      <c r="C138" s="567"/>
      <c r="D138" s="568"/>
      <c r="E138" s="568"/>
      <c r="F138" s="156"/>
      <c r="G138" s="156"/>
      <c r="H138" s="568"/>
      <c r="I138" s="568"/>
      <c r="J138" s="568"/>
      <c r="K138" s="568"/>
    </row>
    <row r="139" spans="1:11" ht="16.5" customHeight="1" x14ac:dyDescent="0.3">
      <c r="A139" s="187" t="s">
        <v>692</v>
      </c>
      <c r="B139" s="571">
        <v>0.06</v>
      </c>
      <c r="C139" s="572"/>
      <c r="D139" s="573"/>
      <c r="E139" s="574"/>
      <c r="F139" s="186"/>
      <c r="G139" s="186"/>
      <c r="H139" s="573"/>
      <c r="I139" s="574"/>
      <c r="J139" s="573"/>
      <c r="K139" s="574"/>
    </row>
    <row r="140" spans="1:11" ht="16.5" customHeight="1" x14ac:dyDescent="0.3">
      <c r="A140" s="113" t="s">
        <v>7</v>
      </c>
      <c r="B140" s="567">
        <v>0.12</v>
      </c>
      <c r="C140" s="567"/>
      <c r="D140" s="568"/>
      <c r="E140" s="568"/>
      <c r="F140" s="156"/>
      <c r="G140" s="156"/>
      <c r="H140" s="568"/>
      <c r="I140" s="568"/>
      <c r="J140" s="568"/>
      <c r="K140" s="568"/>
    </row>
    <row r="141" spans="1:11" ht="16.5" customHeight="1" x14ac:dyDescent="0.3">
      <c r="A141" s="113" t="s">
        <v>8</v>
      </c>
      <c r="B141" s="567">
        <v>0.18</v>
      </c>
      <c r="C141" s="567"/>
      <c r="D141" s="568"/>
      <c r="E141" s="568"/>
      <c r="F141" s="156"/>
      <c r="G141" s="156"/>
      <c r="H141" s="568"/>
      <c r="I141" s="568"/>
      <c r="J141" s="568"/>
      <c r="K141" s="568"/>
    </row>
    <row r="142" spans="1:11" ht="16.5" customHeight="1" x14ac:dyDescent="0.3">
      <c r="A142" s="113" t="s">
        <v>9</v>
      </c>
      <c r="B142" s="567">
        <v>0.28000000000000003</v>
      </c>
      <c r="C142" s="567"/>
      <c r="D142" s="568"/>
      <c r="E142" s="568"/>
      <c r="F142" s="156"/>
      <c r="G142" s="156"/>
      <c r="H142" s="568"/>
      <c r="I142" s="568"/>
      <c r="J142" s="568"/>
      <c r="K142" s="568"/>
    </row>
    <row r="143" spans="1:11" ht="16.5" customHeight="1" x14ac:dyDescent="0.3">
      <c r="A143" s="113" t="s">
        <v>724</v>
      </c>
      <c r="B143" s="567">
        <v>0.4</v>
      </c>
      <c r="C143" s="567"/>
      <c r="D143" s="568"/>
      <c r="E143" s="568"/>
      <c r="F143" s="156"/>
      <c r="G143" s="156"/>
      <c r="H143" s="568"/>
      <c r="I143" s="568"/>
      <c r="J143" s="568"/>
      <c r="K143" s="568"/>
    </row>
    <row r="144" spans="1:11" ht="33" customHeight="1" x14ac:dyDescent="0.3">
      <c r="A144" s="113" t="s">
        <v>10</v>
      </c>
      <c r="B144" s="567">
        <v>0.03</v>
      </c>
      <c r="C144" s="567"/>
      <c r="D144" s="568"/>
      <c r="E144" s="568"/>
      <c r="F144" s="156"/>
      <c r="G144" s="156"/>
      <c r="H144" s="568"/>
      <c r="I144" s="568"/>
      <c r="J144" s="568"/>
      <c r="K144" s="568"/>
    </row>
    <row r="145" spans="1:11" ht="16.5" customHeight="1" x14ac:dyDescent="0.3">
      <c r="A145" s="113" t="s">
        <v>11</v>
      </c>
      <c r="B145" s="581">
        <v>2.5000000000000001E-3</v>
      </c>
      <c r="C145" s="581"/>
      <c r="D145" s="568"/>
      <c r="E145" s="568"/>
      <c r="F145" s="156"/>
      <c r="G145" s="156"/>
      <c r="H145" s="568"/>
      <c r="I145" s="568"/>
      <c r="J145" s="568"/>
      <c r="K145" s="568"/>
    </row>
    <row r="146" spans="1:11" ht="16.5" customHeight="1" x14ac:dyDescent="0.3">
      <c r="A146" s="113" t="s">
        <v>12</v>
      </c>
      <c r="B146" s="581">
        <v>1E-3</v>
      </c>
      <c r="C146" s="581"/>
      <c r="D146" s="568"/>
      <c r="E146" s="568"/>
      <c r="F146" s="156"/>
      <c r="G146" s="156"/>
      <c r="H146" s="568"/>
      <c r="I146" s="568"/>
      <c r="J146" s="568"/>
      <c r="K146" s="568"/>
    </row>
    <row r="147" spans="1:11" ht="16.5" customHeight="1" x14ac:dyDescent="0.3">
      <c r="A147" s="113" t="s">
        <v>693</v>
      </c>
      <c r="B147" s="581" t="s">
        <v>625</v>
      </c>
      <c r="C147" s="581"/>
      <c r="D147" s="568"/>
      <c r="E147" s="568"/>
      <c r="F147" s="156"/>
      <c r="G147" s="156"/>
      <c r="H147" s="568"/>
      <c r="I147" s="568"/>
      <c r="J147" s="568"/>
      <c r="K147" s="568"/>
    </row>
    <row r="148" spans="1:11" ht="110.25" customHeight="1" x14ac:dyDescent="0.3">
      <c r="A148" s="113" t="s">
        <v>14</v>
      </c>
      <c r="B148" s="582" t="s">
        <v>243</v>
      </c>
      <c r="C148" s="582"/>
      <c r="D148" s="568"/>
      <c r="E148" s="568"/>
      <c r="F148" s="156"/>
      <c r="G148" s="156"/>
      <c r="H148" s="568"/>
      <c r="I148" s="568"/>
      <c r="J148" s="568"/>
      <c r="K148" s="568"/>
    </row>
    <row r="149" spans="1:11" ht="55.5" customHeight="1" x14ac:dyDescent="0.3">
      <c r="A149" s="113" t="s">
        <v>16</v>
      </c>
      <c r="B149" s="569" t="s">
        <v>211</v>
      </c>
      <c r="C149" s="569"/>
      <c r="D149" s="568"/>
      <c r="E149" s="568"/>
      <c r="F149" s="156"/>
      <c r="G149" s="156"/>
      <c r="H149" s="568"/>
      <c r="I149" s="568"/>
      <c r="J149" s="568"/>
      <c r="K149" s="568"/>
    </row>
    <row r="150" spans="1:11" ht="48" customHeight="1" x14ac:dyDescent="0.3">
      <c r="A150" s="113" t="s">
        <v>17</v>
      </c>
      <c r="B150" s="569" t="s">
        <v>212</v>
      </c>
      <c r="C150" s="569"/>
      <c r="D150" s="568"/>
      <c r="E150" s="568"/>
      <c r="F150" s="156"/>
      <c r="G150" s="156"/>
      <c r="H150" s="568"/>
      <c r="I150" s="568"/>
      <c r="J150" s="568"/>
      <c r="K150" s="568"/>
    </row>
    <row r="151" spans="1:11" ht="33" customHeight="1" x14ac:dyDescent="0.3">
      <c r="A151" s="113" t="s">
        <v>18</v>
      </c>
      <c r="B151" s="569" t="s">
        <v>213</v>
      </c>
      <c r="C151" s="569"/>
      <c r="D151" s="568"/>
      <c r="E151" s="568"/>
      <c r="F151" s="156"/>
      <c r="G151" s="156"/>
      <c r="H151" s="568"/>
      <c r="I151" s="568"/>
      <c r="J151" s="568"/>
      <c r="K151" s="568"/>
    </row>
    <row r="152" spans="1:11" ht="15.6" x14ac:dyDescent="0.3">
      <c r="A152" s="113" t="s">
        <v>20</v>
      </c>
      <c r="B152" s="569" t="s">
        <v>310</v>
      </c>
      <c r="C152" s="582"/>
      <c r="D152" s="568"/>
      <c r="E152" s="568"/>
      <c r="F152" s="156"/>
      <c r="G152" s="156"/>
      <c r="H152" s="568"/>
      <c r="I152" s="568"/>
      <c r="J152" s="568"/>
      <c r="K152" s="568"/>
    </row>
    <row r="153" spans="1:11" ht="15.6" x14ac:dyDescent="0.3">
      <c r="A153" s="113" t="s">
        <v>21</v>
      </c>
      <c r="B153" s="582" t="s">
        <v>244</v>
      </c>
      <c r="C153" s="582"/>
      <c r="D153" s="568"/>
      <c r="E153" s="568"/>
      <c r="F153" s="156"/>
      <c r="G153" s="156"/>
      <c r="H153" s="568"/>
      <c r="I153" s="568"/>
      <c r="J153" s="568"/>
      <c r="K153" s="568"/>
    </row>
    <row r="154" spans="1:11" ht="15.6" x14ac:dyDescent="0.3">
      <c r="A154" s="113" t="s">
        <v>22</v>
      </c>
      <c r="B154" s="582" t="s">
        <v>245</v>
      </c>
      <c r="C154" s="582"/>
      <c r="D154" s="568"/>
      <c r="E154" s="568"/>
      <c r="F154" s="156"/>
      <c r="G154" s="156"/>
      <c r="H154" s="568"/>
      <c r="I154" s="568"/>
      <c r="J154" s="568"/>
      <c r="K154" s="568"/>
    </row>
    <row r="155" spans="1:11" ht="15.6" x14ac:dyDescent="0.3">
      <c r="A155" s="113" t="s">
        <v>29</v>
      </c>
      <c r="B155" s="569" t="s">
        <v>393</v>
      </c>
      <c r="C155" s="582"/>
      <c r="D155" s="568"/>
      <c r="E155" s="568"/>
      <c r="F155" s="156"/>
      <c r="G155" s="156"/>
      <c r="H155" s="568"/>
      <c r="I155" s="568"/>
      <c r="J155" s="568"/>
      <c r="K155" s="568"/>
    </row>
    <row r="156" spans="1:11" ht="14.4" x14ac:dyDescent="0.3">
      <c r="A156" s="65"/>
      <c r="B156" s="65"/>
      <c r="C156" s="65"/>
      <c r="D156" s="65"/>
      <c r="E156" s="65"/>
      <c r="F156" s="65"/>
      <c r="G156" s="65"/>
      <c r="H156" s="65"/>
      <c r="I156" s="65"/>
      <c r="J156" s="65"/>
      <c r="K156" s="65"/>
    </row>
  </sheetData>
  <sheetProtection algorithmName="SHA-512" hashValue="aTJN5myx5ze8y/LQpO+uKV8IREGT1cwEqEZLiJG9Xzg5fdghe3SaxykKA1M1BXBPKlHqZOHi7JbqjCYU2imXkg==" saltValue="/Hmyn8iBdIPvgwSfYMEMjA==" spinCount="100000" sheet="1" objects="1" scenarios="1"/>
  <mergeCells count="447">
    <mergeCell ref="B52:C52"/>
    <mergeCell ref="D52:E52"/>
    <mergeCell ref="H52:I52"/>
    <mergeCell ref="J52:K52"/>
    <mergeCell ref="B78:C78"/>
    <mergeCell ref="D78:E78"/>
    <mergeCell ref="H78:I78"/>
    <mergeCell ref="J78:K78"/>
    <mergeCell ref="B139:C139"/>
    <mergeCell ref="D139:E139"/>
    <mergeCell ref="H139:I139"/>
    <mergeCell ref="J139:K139"/>
    <mergeCell ref="B55:C55"/>
    <mergeCell ref="D55:E55"/>
    <mergeCell ref="H55:I55"/>
    <mergeCell ref="J55:K55"/>
    <mergeCell ref="B56:C56"/>
    <mergeCell ref="D56:E56"/>
    <mergeCell ref="H56:I56"/>
    <mergeCell ref="J56:K56"/>
    <mergeCell ref="B53:C53"/>
    <mergeCell ref="D53:E53"/>
    <mergeCell ref="H53:I53"/>
    <mergeCell ref="J53:K53"/>
    <mergeCell ref="E2:G2"/>
    <mergeCell ref="B3:K3"/>
    <mergeCell ref="B15:H15"/>
    <mergeCell ref="I15:K15"/>
    <mergeCell ref="B16:G16"/>
    <mergeCell ref="I16:K16"/>
    <mergeCell ref="B17:G17"/>
    <mergeCell ref="I17:K17"/>
    <mergeCell ref="B11:F11"/>
    <mergeCell ref="G11:K11"/>
    <mergeCell ref="B12:K12"/>
    <mergeCell ref="B13:K13"/>
    <mergeCell ref="B14:H14"/>
    <mergeCell ref="I14:K14"/>
    <mergeCell ref="B4:F4"/>
    <mergeCell ref="B5:F5"/>
    <mergeCell ref="B6:F6"/>
    <mergeCell ref="B7:F7"/>
    <mergeCell ref="B8:F8"/>
    <mergeCell ref="B9:F9"/>
    <mergeCell ref="B10:F10"/>
    <mergeCell ref="G4:K4"/>
    <mergeCell ref="G5:K5"/>
    <mergeCell ref="G6:K6"/>
    <mergeCell ref="B21:G21"/>
    <mergeCell ref="I21:K21"/>
    <mergeCell ref="B22:G22"/>
    <mergeCell ref="I22:K22"/>
    <mergeCell ref="B23:G23"/>
    <mergeCell ref="I23:K23"/>
    <mergeCell ref="B18:G18"/>
    <mergeCell ref="I18:K18"/>
    <mergeCell ref="B19:G19"/>
    <mergeCell ref="I19:K19"/>
    <mergeCell ref="B20:G20"/>
    <mergeCell ref="I20:K20"/>
    <mergeCell ref="B27:G27"/>
    <mergeCell ref="I27:K27"/>
    <mergeCell ref="B28:G28"/>
    <mergeCell ref="I28:K28"/>
    <mergeCell ref="B29:G29"/>
    <mergeCell ref="I29:K29"/>
    <mergeCell ref="B24:G24"/>
    <mergeCell ref="I24:K24"/>
    <mergeCell ref="B25:G25"/>
    <mergeCell ref="I25:K25"/>
    <mergeCell ref="B26:G26"/>
    <mergeCell ref="I26:K26"/>
    <mergeCell ref="B33:K33"/>
    <mergeCell ref="B34:D34"/>
    <mergeCell ref="E34:K34"/>
    <mergeCell ref="B35:K35"/>
    <mergeCell ref="B36:H36"/>
    <mergeCell ref="I36:K36"/>
    <mergeCell ref="B30:H30"/>
    <mergeCell ref="I30:K30"/>
    <mergeCell ref="B31:H31"/>
    <mergeCell ref="I31:K31"/>
    <mergeCell ref="B32:H32"/>
    <mergeCell ref="I32:K32"/>
    <mergeCell ref="B40:H40"/>
    <mergeCell ref="I40:K40"/>
    <mergeCell ref="B41:H41"/>
    <mergeCell ref="I41:K41"/>
    <mergeCell ref="B42:H42"/>
    <mergeCell ref="I42:K42"/>
    <mergeCell ref="B37:H37"/>
    <mergeCell ref="I37:K37"/>
    <mergeCell ref="B38:H38"/>
    <mergeCell ref="I38:K38"/>
    <mergeCell ref="B39:H39"/>
    <mergeCell ref="I39:K39"/>
    <mergeCell ref="A48:A49"/>
    <mergeCell ref="B48:C49"/>
    <mergeCell ref="D48:E49"/>
    <mergeCell ref="F48:K48"/>
    <mergeCell ref="H49:I49"/>
    <mergeCell ref="J49:K49"/>
    <mergeCell ref="B43:H43"/>
    <mergeCell ref="I43:K43"/>
    <mergeCell ref="B44:K44"/>
    <mergeCell ref="B45:D45"/>
    <mergeCell ref="E45:K45"/>
    <mergeCell ref="B46:K46"/>
    <mergeCell ref="B50:C50"/>
    <mergeCell ref="D50:E50"/>
    <mergeCell ref="H50:I50"/>
    <mergeCell ref="J50:K50"/>
    <mergeCell ref="B51:C51"/>
    <mergeCell ref="D51:E51"/>
    <mergeCell ref="H51:I51"/>
    <mergeCell ref="J51:K51"/>
    <mergeCell ref="B47:K47"/>
    <mergeCell ref="B54:C54"/>
    <mergeCell ref="D54:E54"/>
    <mergeCell ref="H54:I54"/>
    <mergeCell ref="J54:K54"/>
    <mergeCell ref="B61:C61"/>
    <mergeCell ref="D61:E61"/>
    <mergeCell ref="H61:I61"/>
    <mergeCell ref="J61:K61"/>
    <mergeCell ref="B62:C62"/>
    <mergeCell ref="D62:E62"/>
    <mergeCell ref="H62:I62"/>
    <mergeCell ref="J62:K62"/>
    <mergeCell ref="B57:C57"/>
    <mergeCell ref="D57:E57"/>
    <mergeCell ref="H57:I57"/>
    <mergeCell ref="J57:K57"/>
    <mergeCell ref="B60:C60"/>
    <mergeCell ref="D60:E60"/>
    <mergeCell ref="H60:I60"/>
    <mergeCell ref="J60:K60"/>
    <mergeCell ref="B58:C58"/>
    <mergeCell ref="D58:E58"/>
    <mergeCell ref="H58:I58"/>
    <mergeCell ref="J58:K58"/>
    <mergeCell ref="B66:C66"/>
    <mergeCell ref="D66:E66"/>
    <mergeCell ref="H66:I66"/>
    <mergeCell ref="J66:K66"/>
    <mergeCell ref="B67:C67"/>
    <mergeCell ref="D67:E67"/>
    <mergeCell ref="H67:I67"/>
    <mergeCell ref="J67:K67"/>
    <mergeCell ref="B63:C63"/>
    <mergeCell ref="D63:E63"/>
    <mergeCell ref="H63:I63"/>
    <mergeCell ref="J63:K63"/>
    <mergeCell ref="B65:C65"/>
    <mergeCell ref="D65:E65"/>
    <mergeCell ref="H65:I65"/>
    <mergeCell ref="J65:K65"/>
    <mergeCell ref="B64:C64"/>
    <mergeCell ref="D64:E64"/>
    <mergeCell ref="B70:C70"/>
    <mergeCell ref="D70:E70"/>
    <mergeCell ref="H70:I70"/>
    <mergeCell ref="J70:K70"/>
    <mergeCell ref="B71:C71"/>
    <mergeCell ref="D71:E71"/>
    <mergeCell ref="H71:I71"/>
    <mergeCell ref="J71:K71"/>
    <mergeCell ref="B68:C68"/>
    <mergeCell ref="D68:E68"/>
    <mergeCell ref="H68:I68"/>
    <mergeCell ref="J68:K68"/>
    <mergeCell ref="B69:C69"/>
    <mergeCell ref="D69:E69"/>
    <mergeCell ref="H69:I69"/>
    <mergeCell ref="J69:K69"/>
    <mergeCell ref="B76:C76"/>
    <mergeCell ref="D76:E76"/>
    <mergeCell ref="H76:I76"/>
    <mergeCell ref="J76:K76"/>
    <mergeCell ref="B77:C77"/>
    <mergeCell ref="D77:E77"/>
    <mergeCell ref="H77:I77"/>
    <mergeCell ref="J77:K77"/>
    <mergeCell ref="B72:K72"/>
    <mergeCell ref="B73:D73"/>
    <mergeCell ref="E73:K73"/>
    <mergeCell ref="B74:K74"/>
    <mergeCell ref="B75:C75"/>
    <mergeCell ref="D75:E75"/>
    <mergeCell ref="F75:K75"/>
    <mergeCell ref="B82:C82"/>
    <mergeCell ref="D82:E82"/>
    <mergeCell ref="H82:I82"/>
    <mergeCell ref="J82:K82"/>
    <mergeCell ref="B83:C83"/>
    <mergeCell ref="D83:E83"/>
    <mergeCell ref="H83:I83"/>
    <mergeCell ref="J83:K83"/>
    <mergeCell ref="B79:C79"/>
    <mergeCell ref="D79:E79"/>
    <mergeCell ref="H79:I79"/>
    <mergeCell ref="J79:K79"/>
    <mergeCell ref="B80:C80"/>
    <mergeCell ref="D80:E80"/>
    <mergeCell ref="H80:I80"/>
    <mergeCell ref="J80:K80"/>
    <mergeCell ref="B87:C87"/>
    <mergeCell ref="D87:E87"/>
    <mergeCell ref="H87:I87"/>
    <mergeCell ref="J87:K87"/>
    <mergeCell ref="B88:C88"/>
    <mergeCell ref="D88:E88"/>
    <mergeCell ref="H88:I88"/>
    <mergeCell ref="J88:K88"/>
    <mergeCell ref="B84:C84"/>
    <mergeCell ref="D84:E84"/>
    <mergeCell ref="H84:I84"/>
    <mergeCell ref="J84:K84"/>
    <mergeCell ref="B85:C85"/>
    <mergeCell ref="D85:E85"/>
    <mergeCell ref="H85:I85"/>
    <mergeCell ref="J85:K85"/>
    <mergeCell ref="A91:A92"/>
    <mergeCell ref="B91:K92"/>
    <mergeCell ref="B93:K93"/>
    <mergeCell ref="B94:H94"/>
    <mergeCell ref="I94:K94"/>
    <mergeCell ref="B95:H95"/>
    <mergeCell ref="I95:K95"/>
    <mergeCell ref="B89:C89"/>
    <mergeCell ref="D89:E89"/>
    <mergeCell ref="H89:I89"/>
    <mergeCell ref="J89:K89"/>
    <mergeCell ref="B90:C90"/>
    <mergeCell ref="D90:E90"/>
    <mergeCell ref="H90:I90"/>
    <mergeCell ref="J90:K90"/>
    <mergeCell ref="B99:H99"/>
    <mergeCell ref="I99:K99"/>
    <mergeCell ref="B100:H100"/>
    <mergeCell ref="I100:K100"/>
    <mergeCell ref="B101:K101"/>
    <mergeCell ref="B102:D102"/>
    <mergeCell ref="E102:K102"/>
    <mergeCell ref="B96:H96"/>
    <mergeCell ref="I96:K96"/>
    <mergeCell ref="B97:H97"/>
    <mergeCell ref="I97:K97"/>
    <mergeCell ref="B98:H98"/>
    <mergeCell ref="I98:K98"/>
    <mergeCell ref="B103:K103"/>
    <mergeCell ref="B104:D104"/>
    <mergeCell ref="E104:F104"/>
    <mergeCell ref="G104:H104"/>
    <mergeCell ref="I104:K104"/>
    <mergeCell ref="B105:D105"/>
    <mergeCell ref="E105:F105"/>
    <mergeCell ref="G105:H105"/>
    <mergeCell ref="I105:K105"/>
    <mergeCell ref="B108:D108"/>
    <mergeCell ref="E108:F108"/>
    <mergeCell ref="G108:H108"/>
    <mergeCell ref="I108:K108"/>
    <mergeCell ref="B109:D109"/>
    <mergeCell ref="E109:F109"/>
    <mergeCell ref="G109:H109"/>
    <mergeCell ref="I109:K109"/>
    <mergeCell ref="B106:D106"/>
    <mergeCell ref="E106:F106"/>
    <mergeCell ref="G106:H106"/>
    <mergeCell ref="I106:K106"/>
    <mergeCell ref="B107:D107"/>
    <mergeCell ref="E107:F107"/>
    <mergeCell ref="G107:H107"/>
    <mergeCell ref="I107:K107"/>
    <mergeCell ref="B112:D112"/>
    <mergeCell ref="E112:F112"/>
    <mergeCell ref="G112:H112"/>
    <mergeCell ref="I112:K112"/>
    <mergeCell ref="B113:D113"/>
    <mergeCell ref="E113:F113"/>
    <mergeCell ref="G113:H113"/>
    <mergeCell ref="I113:K113"/>
    <mergeCell ref="B110:D110"/>
    <mergeCell ref="E110:F110"/>
    <mergeCell ref="G110:H110"/>
    <mergeCell ref="I110:K110"/>
    <mergeCell ref="B111:D111"/>
    <mergeCell ref="E111:F111"/>
    <mergeCell ref="G111:H111"/>
    <mergeCell ref="I111:K111"/>
    <mergeCell ref="B116:D116"/>
    <mergeCell ref="E116:F116"/>
    <mergeCell ref="G116:H116"/>
    <mergeCell ref="I116:K116"/>
    <mergeCell ref="B117:D117"/>
    <mergeCell ref="E117:F117"/>
    <mergeCell ref="G117:H117"/>
    <mergeCell ref="I117:K117"/>
    <mergeCell ref="B114:D114"/>
    <mergeCell ref="E114:F114"/>
    <mergeCell ref="G114:H114"/>
    <mergeCell ref="I114:K114"/>
    <mergeCell ref="B115:D115"/>
    <mergeCell ref="E115:F115"/>
    <mergeCell ref="G115:H115"/>
    <mergeCell ref="I115:K115"/>
    <mergeCell ref="B120:D120"/>
    <mergeCell ref="E120:F120"/>
    <mergeCell ref="G120:H120"/>
    <mergeCell ref="I120:K120"/>
    <mergeCell ref="B121:D121"/>
    <mergeCell ref="E121:F121"/>
    <mergeCell ref="G121:H121"/>
    <mergeCell ref="I121:K121"/>
    <mergeCell ref="B118:D118"/>
    <mergeCell ref="E118:F118"/>
    <mergeCell ref="G118:H118"/>
    <mergeCell ref="I118:K118"/>
    <mergeCell ref="B119:D119"/>
    <mergeCell ref="E119:F119"/>
    <mergeCell ref="G119:H119"/>
    <mergeCell ref="I119:K119"/>
    <mergeCell ref="B124:D124"/>
    <mergeCell ref="E124:F124"/>
    <mergeCell ref="G124:H124"/>
    <mergeCell ref="I124:K124"/>
    <mergeCell ref="B125:K125"/>
    <mergeCell ref="B126:D126"/>
    <mergeCell ref="E126:K126"/>
    <mergeCell ref="B122:D122"/>
    <mergeCell ref="E122:F122"/>
    <mergeCell ref="G122:H122"/>
    <mergeCell ref="I122:K122"/>
    <mergeCell ref="B123:D123"/>
    <mergeCell ref="E123:F123"/>
    <mergeCell ref="G123:H123"/>
    <mergeCell ref="I123:K123"/>
    <mergeCell ref="D136:E136"/>
    <mergeCell ref="F136:K136"/>
    <mergeCell ref="B131:C131"/>
    <mergeCell ref="D131:K131"/>
    <mergeCell ref="B132:C132"/>
    <mergeCell ref="D132:K132"/>
    <mergeCell ref="B133:C133"/>
    <mergeCell ref="D133:K133"/>
    <mergeCell ref="B127:K127"/>
    <mergeCell ref="B128:C128"/>
    <mergeCell ref="D128:K128"/>
    <mergeCell ref="B129:C129"/>
    <mergeCell ref="D129:K129"/>
    <mergeCell ref="B130:C130"/>
    <mergeCell ref="D130:K130"/>
    <mergeCell ref="H144:I144"/>
    <mergeCell ref="J144:K144"/>
    <mergeCell ref="B140:C140"/>
    <mergeCell ref="D140:E140"/>
    <mergeCell ref="H140:I140"/>
    <mergeCell ref="J140:K140"/>
    <mergeCell ref="B141:C141"/>
    <mergeCell ref="D141:E141"/>
    <mergeCell ref="H141:I141"/>
    <mergeCell ref="J141:K141"/>
    <mergeCell ref="H143:I143"/>
    <mergeCell ref="J143:K143"/>
    <mergeCell ref="B144:C144"/>
    <mergeCell ref="D144:E144"/>
    <mergeCell ref="B151:C151"/>
    <mergeCell ref="D151:E151"/>
    <mergeCell ref="H151:I151"/>
    <mergeCell ref="J151:K151"/>
    <mergeCell ref="B148:C148"/>
    <mergeCell ref="D148:E148"/>
    <mergeCell ref="H148:I148"/>
    <mergeCell ref="J148:K148"/>
    <mergeCell ref="B149:C149"/>
    <mergeCell ref="D149:E149"/>
    <mergeCell ref="H149:I149"/>
    <mergeCell ref="J149:K149"/>
    <mergeCell ref="B150:C150"/>
    <mergeCell ref="D150:E150"/>
    <mergeCell ref="H150:I150"/>
    <mergeCell ref="J150:K150"/>
    <mergeCell ref="B154:C154"/>
    <mergeCell ref="D154:E154"/>
    <mergeCell ref="H154:I154"/>
    <mergeCell ref="J154:K154"/>
    <mergeCell ref="B155:C155"/>
    <mergeCell ref="D155:E155"/>
    <mergeCell ref="H155:I155"/>
    <mergeCell ref="J155:K155"/>
    <mergeCell ref="B152:C152"/>
    <mergeCell ref="D152:E152"/>
    <mergeCell ref="H152:I152"/>
    <mergeCell ref="J152:K152"/>
    <mergeCell ref="B153:C153"/>
    <mergeCell ref="D153:E153"/>
    <mergeCell ref="H153:I153"/>
    <mergeCell ref="J153:K153"/>
    <mergeCell ref="G7:K7"/>
    <mergeCell ref="G8:K8"/>
    <mergeCell ref="G9:K9"/>
    <mergeCell ref="G10:K10"/>
    <mergeCell ref="B147:C147"/>
    <mergeCell ref="D147:E147"/>
    <mergeCell ref="H147:I147"/>
    <mergeCell ref="J147:K147"/>
    <mergeCell ref="H64:I64"/>
    <mergeCell ref="J64:K64"/>
    <mergeCell ref="B86:C86"/>
    <mergeCell ref="D86:E86"/>
    <mergeCell ref="H86:I86"/>
    <mergeCell ref="J86:K86"/>
    <mergeCell ref="B145:C145"/>
    <mergeCell ref="D145:E145"/>
    <mergeCell ref="H145:I145"/>
    <mergeCell ref="J145:K145"/>
    <mergeCell ref="B146:C146"/>
    <mergeCell ref="D146:E146"/>
    <mergeCell ref="H146:I146"/>
    <mergeCell ref="J146:K146"/>
    <mergeCell ref="B143:C143"/>
    <mergeCell ref="D143:E143"/>
    <mergeCell ref="B59:C59"/>
    <mergeCell ref="D59:E59"/>
    <mergeCell ref="H59:I59"/>
    <mergeCell ref="J59:K59"/>
    <mergeCell ref="B81:C81"/>
    <mergeCell ref="D81:E81"/>
    <mergeCell ref="H81:I81"/>
    <mergeCell ref="J81:K81"/>
    <mergeCell ref="B142:C142"/>
    <mergeCell ref="D142:E142"/>
    <mergeCell ref="H142:I142"/>
    <mergeCell ref="J142:K142"/>
    <mergeCell ref="B137:C137"/>
    <mergeCell ref="D137:E137"/>
    <mergeCell ref="H137:I137"/>
    <mergeCell ref="J137:K137"/>
    <mergeCell ref="B138:C138"/>
    <mergeCell ref="D138:E138"/>
    <mergeCell ref="H138:I138"/>
    <mergeCell ref="J138:K138"/>
    <mergeCell ref="B134:C134"/>
    <mergeCell ref="D134:K134"/>
    <mergeCell ref="B135:K135"/>
    <mergeCell ref="B136:C136"/>
  </mergeCells>
  <pageMargins left="0.25196850393700787" right="7.8740157480314973E-2" top="0.75196850393700787" bottom="0.75196850393700787" header="0.3" footer="0.3"/>
  <pageSetup orientation="portrait" horizontalDpi="90" verticalDpi="9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C9EC9A-B3CB-477C-8C8F-7E80C49F73F6}">
  <sheetPr codeName="Sheet29"/>
  <dimension ref="A1:L160"/>
  <sheetViews>
    <sheetView zoomScaleNormal="100" workbookViewId="0">
      <selection activeCell="B33" sqref="B33:K33"/>
    </sheetView>
  </sheetViews>
  <sheetFormatPr defaultColWidth="9.109375" defaultRowHeight="13.2" x14ac:dyDescent="0.3"/>
  <cols>
    <col min="1" max="1" width="6.88671875" style="64" customWidth="1"/>
    <col min="2" max="2" width="6" style="64" customWidth="1"/>
    <col min="3" max="3" width="9.109375" style="64" customWidth="1"/>
    <col min="4" max="4" width="9.88671875" style="64" customWidth="1"/>
    <col min="5" max="5" width="5.5546875" style="64" customWidth="1"/>
    <col min="6" max="6" width="16.5546875" style="64" customWidth="1"/>
    <col min="7" max="7" width="15.6640625" style="64" customWidth="1"/>
    <col min="8" max="8" width="6.88671875" style="64" customWidth="1"/>
    <col min="9" max="9" width="9.109375" style="64"/>
    <col min="10" max="10" width="3.44140625" style="64" customWidth="1"/>
    <col min="11" max="11" width="8.6640625" style="64" customWidth="1"/>
    <col min="12" max="12" width="9.88671875" style="64" customWidth="1"/>
    <col min="13" max="16384" width="9.109375" style="64"/>
  </cols>
  <sheetData>
    <row r="1" spans="1:12" x14ac:dyDescent="0.3">
      <c r="D1" s="60"/>
    </row>
    <row r="2" spans="1:12" ht="66.75" customHeight="1" x14ac:dyDescent="0.3">
      <c r="E2" s="631" t="s">
        <v>305</v>
      </c>
      <c r="F2" s="631"/>
      <c r="G2" s="631"/>
    </row>
    <row r="3" spans="1:12" ht="16.5" customHeight="1" x14ac:dyDescent="0.3">
      <c r="A3" s="185" t="s">
        <v>672</v>
      </c>
      <c r="B3" s="669" t="s">
        <v>304</v>
      </c>
      <c r="C3" s="669"/>
      <c r="D3" s="669"/>
      <c r="E3" s="669"/>
      <c r="F3" s="669"/>
      <c r="G3" s="669"/>
      <c r="H3" s="669"/>
      <c r="I3" s="669"/>
      <c r="J3" s="669"/>
      <c r="K3" s="669"/>
      <c r="L3" s="66"/>
    </row>
    <row r="4" spans="1:12" ht="21.75" customHeight="1" x14ac:dyDescent="0.3">
      <c r="A4" s="196">
        <v>1</v>
      </c>
      <c r="B4" s="575" t="s">
        <v>677</v>
      </c>
      <c r="C4" s="576"/>
      <c r="D4" s="576"/>
      <c r="E4" s="576"/>
      <c r="F4" s="577"/>
      <c r="G4" s="580"/>
      <c r="H4" s="576"/>
      <c r="I4" s="576"/>
      <c r="J4" s="576"/>
      <c r="K4" s="577"/>
    </row>
    <row r="5" spans="1:12" ht="16.5" customHeight="1" x14ac:dyDescent="0.25">
      <c r="A5" s="196">
        <v>2</v>
      </c>
      <c r="B5" s="575" t="s">
        <v>154</v>
      </c>
      <c r="C5" s="578"/>
      <c r="D5" s="578"/>
      <c r="E5" s="578"/>
      <c r="F5" s="579"/>
      <c r="G5" s="639"/>
      <c r="H5" s="640"/>
      <c r="I5" s="640"/>
      <c r="J5" s="640"/>
      <c r="K5" s="641"/>
    </row>
    <row r="6" spans="1:12" ht="16.5" customHeight="1" x14ac:dyDescent="0.3">
      <c r="A6" s="198" t="s">
        <v>89</v>
      </c>
      <c r="B6" s="575" t="s">
        <v>155</v>
      </c>
      <c r="C6" s="578"/>
      <c r="D6" s="578"/>
      <c r="E6" s="578"/>
      <c r="F6" s="579"/>
      <c r="G6" s="637"/>
      <c r="H6" s="638"/>
      <c r="I6" s="638"/>
      <c r="J6" s="638"/>
      <c r="K6" s="623"/>
    </row>
    <row r="7" spans="1:12" ht="21.75" customHeight="1" x14ac:dyDescent="0.3">
      <c r="A7" s="198" t="s">
        <v>90</v>
      </c>
      <c r="B7" s="575" t="s">
        <v>678</v>
      </c>
      <c r="C7" s="576"/>
      <c r="D7" s="576"/>
      <c r="E7" s="576"/>
      <c r="F7" s="577"/>
      <c r="G7" s="575"/>
      <c r="H7" s="578"/>
      <c r="I7" s="578"/>
      <c r="J7" s="578"/>
      <c r="K7" s="579"/>
    </row>
    <row r="8" spans="1:12" ht="18.75" customHeight="1" x14ac:dyDescent="0.3">
      <c r="A8" s="198" t="s">
        <v>535</v>
      </c>
      <c r="B8" s="671" t="s">
        <v>537</v>
      </c>
      <c r="C8" s="671"/>
      <c r="D8" s="671"/>
      <c r="E8" s="671"/>
      <c r="F8" s="671"/>
      <c r="G8" s="575" t="s">
        <v>540</v>
      </c>
      <c r="H8" s="578"/>
      <c r="I8" s="578"/>
      <c r="J8" s="578"/>
      <c r="K8" s="579"/>
    </row>
    <row r="9" spans="1:12" ht="17.25" customHeight="1" x14ac:dyDescent="0.3">
      <c r="A9" s="198" t="s">
        <v>536</v>
      </c>
      <c r="B9" s="671" t="s">
        <v>538</v>
      </c>
      <c r="C9" s="671"/>
      <c r="D9" s="671"/>
      <c r="E9" s="671"/>
      <c r="F9" s="671"/>
      <c r="G9" s="575" t="s">
        <v>540</v>
      </c>
      <c r="H9" s="578"/>
      <c r="I9" s="578"/>
      <c r="J9" s="578"/>
      <c r="K9" s="579"/>
    </row>
    <row r="10" spans="1:12" ht="24" customHeight="1" x14ac:dyDescent="0.3">
      <c r="A10" s="196">
        <v>4</v>
      </c>
      <c r="B10" s="575" t="s">
        <v>541</v>
      </c>
      <c r="C10" s="578"/>
      <c r="D10" s="578"/>
      <c r="E10" s="578"/>
      <c r="F10" s="579"/>
      <c r="G10" s="637"/>
      <c r="H10" s="638"/>
      <c r="I10" s="638"/>
      <c r="J10" s="638"/>
      <c r="K10" s="623"/>
    </row>
    <row r="11" spans="1:12" ht="16.5" customHeight="1" x14ac:dyDescent="0.25">
      <c r="A11" s="89"/>
      <c r="B11" s="632"/>
      <c r="C11" s="632"/>
      <c r="D11" s="632"/>
      <c r="E11" s="632"/>
      <c r="F11" s="632"/>
      <c r="G11" s="633" t="s">
        <v>156</v>
      </c>
      <c r="H11" s="633"/>
      <c r="I11" s="633"/>
      <c r="J11" s="633"/>
      <c r="K11" s="633"/>
    </row>
    <row r="12" spans="1:12" ht="33" customHeight="1" x14ac:dyDescent="0.3">
      <c r="A12" s="185" t="s">
        <v>673</v>
      </c>
      <c r="B12" s="672" t="s">
        <v>306</v>
      </c>
      <c r="C12" s="672"/>
      <c r="D12" s="672"/>
      <c r="E12" s="672"/>
      <c r="F12" s="672"/>
      <c r="G12" s="672"/>
      <c r="H12" s="672"/>
      <c r="I12" s="672"/>
      <c r="J12" s="672"/>
      <c r="K12" s="672"/>
    </row>
    <row r="13" spans="1:12" ht="16.5" customHeight="1" x14ac:dyDescent="0.3">
      <c r="A13" s="197">
        <v>5</v>
      </c>
      <c r="B13" s="673" t="s">
        <v>157</v>
      </c>
      <c r="C13" s="673"/>
      <c r="D13" s="673"/>
      <c r="E13" s="673"/>
      <c r="F13" s="673"/>
      <c r="G13" s="673"/>
      <c r="H13" s="673"/>
      <c r="I13" s="673"/>
      <c r="J13" s="673"/>
      <c r="K13" s="673"/>
    </row>
    <row r="14" spans="1:12" ht="16.5" customHeight="1" x14ac:dyDescent="0.3">
      <c r="A14" s="197" t="s">
        <v>542</v>
      </c>
      <c r="B14" s="669" t="s">
        <v>24</v>
      </c>
      <c r="C14" s="673"/>
      <c r="D14" s="673"/>
      <c r="E14" s="673"/>
      <c r="F14" s="673"/>
      <c r="G14" s="673"/>
      <c r="H14" s="673"/>
      <c r="I14" s="669" t="s">
        <v>570</v>
      </c>
      <c r="J14" s="673"/>
      <c r="K14" s="673"/>
    </row>
    <row r="15" spans="1:12" ht="68.25" customHeight="1" x14ac:dyDescent="0.3">
      <c r="A15" s="198" t="s">
        <v>158</v>
      </c>
      <c r="B15" s="674" t="s">
        <v>159</v>
      </c>
      <c r="C15" s="674"/>
      <c r="D15" s="674"/>
      <c r="E15" s="674"/>
      <c r="F15" s="674"/>
      <c r="G15" s="674"/>
      <c r="H15" s="674"/>
      <c r="I15" s="663"/>
      <c r="J15" s="663"/>
      <c r="K15" s="663"/>
    </row>
    <row r="16" spans="1:12" ht="16.5" customHeight="1" x14ac:dyDescent="0.3">
      <c r="A16" s="185" t="s">
        <v>160</v>
      </c>
      <c r="B16" s="670" t="s">
        <v>161</v>
      </c>
      <c r="C16" s="670"/>
      <c r="D16" s="670"/>
      <c r="E16" s="670"/>
      <c r="F16" s="670"/>
      <c r="G16" s="670"/>
      <c r="H16" s="195" t="s">
        <v>544</v>
      </c>
      <c r="I16" s="663"/>
      <c r="J16" s="663"/>
      <c r="K16" s="663"/>
    </row>
    <row r="17" spans="1:11" ht="16.5" customHeight="1" x14ac:dyDescent="0.3">
      <c r="A17" s="185" t="s">
        <v>162</v>
      </c>
      <c r="B17" s="670" t="s">
        <v>163</v>
      </c>
      <c r="C17" s="670"/>
      <c r="D17" s="670"/>
      <c r="E17" s="670"/>
      <c r="F17" s="670"/>
      <c r="G17" s="670"/>
      <c r="H17" s="195" t="s">
        <v>544</v>
      </c>
      <c r="I17" s="663"/>
      <c r="J17" s="663"/>
      <c r="K17" s="663"/>
    </row>
    <row r="18" spans="1:11" ht="16.5" customHeight="1" x14ac:dyDescent="0.3">
      <c r="A18" s="185" t="s">
        <v>164</v>
      </c>
      <c r="B18" s="670" t="s">
        <v>165</v>
      </c>
      <c r="C18" s="670"/>
      <c r="D18" s="670"/>
      <c r="E18" s="670"/>
      <c r="F18" s="670"/>
      <c r="G18" s="670"/>
      <c r="H18" s="195" t="s">
        <v>544</v>
      </c>
      <c r="I18" s="663"/>
      <c r="J18" s="663"/>
      <c r="K18" s="663"/>
    </row>
    <row r="19" spans="1:11" ht="33" customHeight="1" x14ac:dyDescent="0.3">
      <c r="A19" s="185" t="s">
        <v>166</v>
      </c>
      <c r="B19" s="674" t="s">
        <v>167</v>
      </c>
      <c r="C19" s="674"/>
      <c r="D19" s="674"/>
      <c r="E19" s="674"/>
      <c r="F19" s="674"/>
      <c r="G19" s="674"/>
      <c r="H19" s="195" t="s">
        <v>544</v>
      </c>
      <c r="I19" s="663"/>
      <c r="J19" s="663"/>
      <c r="K19" s="663"/>
    </row>
    <row r="20" spans="1:11" ht="34.5" customHeight="1" x14ac:dyDescent="0.3">
      <c r="A20" s="185" t="s">
        <v>168</v>
      </c>
      <c r="B20" s="670" t="s">
        <v>277</v>
      </c>
      <c r="C20" s="670"/>
      <c r="D20" s="670"/>
      <c r="E20" s="670"/>
      <c r="F20" s="670"/>
      <c r="G20" s="670"/>
      <c r="H20" s="195" t="s">
        <v>544</v>
      </c>
      <c r="I20" s="663"/>
      <c r="J20" s="663"/>
      <c r="K20" s="663"/>
    </row>
    <row r="21" spans="1:11" ht="16.5" customHeight="1" x14ac:dyDescent="0.3">
      <c r="A21" s="185" t="s">
        <v>169</v>
      </c>
      <c r="B21" s="670" t="s">
        <v>170</v>
      </c>
      <c r="C21" s="670"/>
      <c r="D21" s="670"/>
      <c r="E21" s="670"/>
      <c r="F21" s="670"/>
      <c r="G21" s="670"/>
      <c r="H21" s="200" t="s">
        <v>545</v>
      </c>
      <c r="I21" s="658"/>
      <c r="J21" s="659"/>
      <c r="K21" s="660"/>
    </row>
    <row r="22" spans="1:11" ht="16.5" customHeight="1" x14ac:dyDescent="0.3">
      <c r="A22" s="185" t="s">
        <v>171</v>
      </c>
      <c r="B22" s="670" t="s">
        <v>172</v>
      </c>
      <c r="C22" s="670"/>
      <c r="D22" s="670"/>
      <c r="E22" s="670"/>
      <c r="F22" s="670"/>
      <c r="G22" s="670"/>
      <c r="H22" s="200" t="s">
        <v>545</v>
      </c>
      <c r="I22" s="663"/>
      <c r="J22" s="663"/>
      <c r="K22" s="663"/>
    </row>
    <row r="23" spans="1:11" ht="33" customHeight="1" x14ac:dyDescent="0.3">
      <c r="A23" s="185" t="s">
        <v>173</v>
      </c>
      <c r="B23" s="674" t="s">
        <v>174</v>
      </c>
      <c r="C23" s="674"/>
      <c r="D23" s="674"/>
      <c r="E23" s="674"/>
      <c r="F23" s="674"/>
      <c r="G23" s="674"/>
      <c r="H23" s="200" t="s">
        <v>545</v>
      </c>
      <c r="I23" s="663"/>
      <c r="J23" s="663"/>
      <c r="K23" s="663"/>
    </row>
    <row r="24" spans="1:11" ht="33" customHeight="1" x14ac:dyDescent="0.3">
      <c r="A24" s="185" t="s">
        <v>175</v>
      </c>
      <c r="B24" s="674" t="s">
        <v>176</v>
      </c>
      <c r="C24" s="674"/>
      <c r="D24" s="674"/>
      <c r="E24" s="674"/>
      <c r="F24" s="674"/>
      <c r="G24" s="674"/>
      <c r="H24" s="200" t="s">
        <v>545</v>
      </c>
      <c r="I24" s="663"/>
      <c r="J24" s="663"/>
      <c r="K24" s="663"/>
    </row>
    <row r="25" spans="1:11" ht="33" customHeight="1" x14ac:dyDescent="0.3">
      <c r="A25" s="185" t="s">
        <v>177</v>
      </c>
      <c r="B25" s="674" t="s">
        <v>178</v>
      </c>
      <c r="C25" s="674"/>
      <c r="D25" s="674"/>
      <c r="E25" s="674"/>
      <c r="F25" s="674"/>
      <c r="G25" s="674"/>
      <c r="H25" s="200" t="s">
        <v>545</v>
      </c>
      <c r="I25" s="663"/>
      <c r="J25" s="663"/>
      <c r="K25" s="663"/>
    </row>
    <row r="26" spans="1:11" ht="16.5" customHeight="1" x14ac:dyDescent="0.3">
      <c r="A26" s="185" t="s">
        <v>179</v>
      </c>
      <c r="B26" s="670" t="s">
        <v>180</v>
      </c>
      <c r="C26" s="670"/>
      <c r="D26" s="670"/>
      <c r="E26" s="670"/>
      <c r="F26" s="670"/>
      <c r="G26" s="670"/>
      <c r="H26" s="200" t="s">
        <v>545</v>
      </c>
      <c r="I26" s="663"/>
      <c r="J26" s="663"/>
      <c r="K26" s="663"/>
    </row>
    <row r="27" spans="1:11" ht="33" customHeight="1" x14ac:dyDescent="0.3">
      <c r="A27" s="185" t="s">
        <v>181</v>
      </c>
      <c r="B27" s="674" t="s">
        <v>182</v>
      </c>
      <c r="C27" s="674"/>
      <c r="D27" s="674"/>
      <c r="E27" s="674"/>
      <c r="F27" s="674"/>
      <c r="G27" s="674"/>
      <c r="H27" s="200" t="s">
        <v>546</v>
      </c>
      <c r="I27" s="663"/>
      <c r="J27" s="663"/>
      <c r="K27" s="663"/>
    </row>
    <row r="28" spans="1:11" ht="33" customHeight="1" x14ac:dyDescent="0.3">
      <c r="A28" s="185" t="s">
        <v>183</v>
      </c>
      <c r="B28" s="674" t="s">
        <v>184</v>
      </c>
      <c r="C28" s="674"/>
      <c r="D28" s="674"/>
      <c r="E28" s="674"/>
      <c r="F28" s="674"/>
      <c r="G28" s="674"/>
      <c r="H28" s="200" t="s">
        <v>546</v>
      </c>
      <c r="I28" s="663"/>
      <c r="J28" s="663"/>
      <c r="K28" s="663"/>
    </row>
    <row r="29" spans="1:11" ht="33" customHeight="1" x14ac:dyDescent="0.3">
      <c r="A29" s="185" t="s">
        <v>185</v>
      </c>
      <c r="B29" s="676" t="s">
        <v>186</v>
      </c>
      <c r="C29" s="676"/>
      <c r="D29" s="676"/>
      <c r="E29" s="676"/>
      <c r="F29" s="676"/>
      <c r="G29" s="676"/>
      <c r="H29" s="200" t="s">
        <v>546</v>
      </c>
      <c r="I29" s="663"/>
      <c r="J29" s="663"/>
      <c r="K29" s="663"/>
    </row>
    <row r="30" spans="1:11" ht="16.5" customHeight="1" x14ac:dyDescent="0.3">
      <c r="A30" s="185" t="s">
        <v>187</v>
      </c>
      <c r="B30" s="675" t="s">
        <v>582</v>
      </c>
      <c r="C30" s="675"/>
      <c r="D30" s="675"/>
      <c r="E30" s="675"/>
      <c r="F30" s="675"/>
      <c r="G30" s="675"/>
      <c r="H30" s="675"/>
      <c r="I30" s="663"/>
      <c r="J30" s="663"/>
      <c r="K30" s="663"/>
    </row>
    <row r="31" spans="1:11" ht="16.5" customHeight="1" x14ac:dyDescent="0.3">
      <c r="A31" s="185" t="s">
        <v>188</v>
      </c>
      <c r="B31" s="670" t="s">
        <v>189</v>
      </c>
      <c r="C31" s="670"/>
      <c r="D31" s="670"/>
      <c r="E31" s="670"/>
      <c r="F31" s="670"/>
      <c r="G31" s="670"/>
      <c r="H31" s="670"/>
      <c r="I31" s="663"/>
      <c r="J31" s="663"/>
      <c r="K31" s="663"/>
    </row>
    <row r="32" spans="1:11" ht="16.5" customHeight="1" x14ac:dyDescent="0.3">
      <c r="A32" s="185" t="s">
        <v>190</v>
      </c>
      <c r="B32" s="670" t="s">
        <v>191</v>
      </c>
      <c r="C32" s="670"/>
      <c r="D32" s="670"/>
      <c r="E32" s="670"/>
      <c r="F32" s="670"/>
      <c r="G32" s="670"/>
      <c r="H32" s="670"/>
      <c r="I32" s="663"/>
      <c r="J32" s="663"/>
      <c r="K32" s="663"/>
    </row>
    <row r="33" spans="1:11" ht="16.5" customHeight="1" x14ac:dyDescent="0.3">
      <c r="A33" s="197">
        <v>6</v>
      </c>
      <c r="B33" s="677" t="s">
        <v>192</v>
      </c>
      <c r="C33" s="677"/>
      <c r="D33" s="677"/>
      <c r="E33" s="677"/>
      <c r="F33" s="677"/>
      <c r="G33" s="677"/>
      <c r="H33" s="677"/>
      <c r="I33" s="677"/>
      <c r="J33" s="677"/>
      <c r="K33" s="677"/>
    </row>
    <row r="34" spans="1:11" ht="219.9" customHeight="1" x14ac:dyDescent="0.3">
      <c r="A34" s="185" t="s">
        <v>6</v>
      </c>
      <c r="B34" s="662" t="s">
        <v>301</v>
      </c>
      <c r="C34" s="662"/>
      <c r="D34" s="662"/>
      <c r="E34" s="662"/>
      <c r="F34" s="662"/>
      <c r="G34" s="662"/>
      <c r="H34" s="662"/>
      <c r="I34" s="662"/>
      <c r="J34" s="662"/>
      <c r="K34" s="662"/>
    </row>
    <row r="35" spans="1:11" ht="16.5" customHeight="1" x14ac:dyDescent="0.3">
      <c r="A35" s="197">
        <v>7</v>
      </c>
      <c r="B35" s="678" t="s">
        <v>193</v>
      </c>
      <c r="C35" s="678"/>
      <c r="D35" s="678"/>
      <c r="E35" s="678"/>
      <c r="F35" s="678"/>
      <c r="G35" s="678"/>
      <c r="H35" s="678"/>
      <c r="I35" s="678"/>
      <c r="J35" s="678"/>
      <c r="K35" s="678"/>
    </row>
    <row r="36" spans="1:11" ht="16.5" customHeight="1" x14ac:dyDescent="0.3">
      <c r="A36" s="197" t="s">
        <v>542</v>
      </c>
      <c r="B36" s="669" t="s">
        <v>24</v>
      </c>
      <c r="C36" s="673"/>
      <c r="D36" s="673"/>
      <c r="E36" s="673"/>
      <c r="F36" s="673"/>
      <c r="G36" s="673"/>
      <c r="H36" s="673"/>
      <c r="I36" s="669" t="s">
        <v>570</v>
      </c>
      <c r="J36" s="673"/>
      <c r="K36" s="673"/>
    </row>
    <row r="37" spans="1:11" ht="33" customHeight="1" x14ac:dyDescent="0.3">
      <c r="A37" s="198" t="s">
        <v>158</v>
      </c>
      <c r="B37" s="676" t="s">
        <v>194</v>
      </c>
      <c r="C37" s="676"/>
      <c r="D37" s="676"/>
      <c r="E37" s="676"/>
      <c r="F37" s="676"/>
      <c r="G37" s="676"/>
      <c r="H37" s="676"/>
      <c r="I37" s="679"/>
      <c r="J37" s="663"/>
      <c r="K37" s="663"/>
    </row>
    <row r="38" spans="1:11" ht="33" customHeight="1" x14ac:dyDescent="0.3">
      <c r="A38" s="198" t="s">
        <v>160</v>
      </c>
      <c r="B38" s="674" t="s">
        <v>195</v>
      </c>
      <c r="C38" s="674"/>
      <c r="D38" s="674"/>
      <c r="E38" s="674"/>
      <c r="F38" s="674"/>
      <c r="G38" s="674"/>
      <c r="H38" s="674"/>
      <c r="I38" s="663"/>
      <c r="J38" s="663"/>
      <c r="K38" s="663"/>
    </row>
    <row r="39" spans="1:11" ht="16.5" customHeight="1" x14ac:dyDescent="0.3">
      <c r="A39" s="185" t="s">
        <v>162</v>
      </c>
      <c r="B39" s="670" t="s">
        <v>196</v>
      </c>
      <c r="C39" s="670"/>
      <c r="D39" s="670"/>
      <c r="E39" s="670"/>
      <c r="F39" s="670"/>
      <c r="G39" s="670"/>
      <c r="H39" s="670"/>
      <c r="I39" s="663"/>
      <c r="J39" s="663"/>
      <c r="K39" s="663"/>
    </row>
    <row r="40" spans="1:11" ht="33" customHeight="1" x14ac:dyDescent="0.3">
      <c r="A40" s="185" t="s">
        <v>164</v>
      </c>
      <c r="B40" s="680" t="s">
        <v>730</v>
      </c>
      <c r="C40" s="681"/>
      <c r="D40" s="681"/>
      <c r="E40" s="681"/>
      <c r="F40" s="681"/>
      <c r="G40" s="681"/>
      <c r="H40" s="682"/>
      <c r="I40" s="573"/>
      <c r="J40" s="683"/>
      <c r="K40" s="574"/>
    </row>
    <row r="41" spans="1:11" ht="42" customHeight="1" x14ac:dyDescent="0.3">
      <c r="A41" s="185" t="s">
        <v>724</v>
      </c>
      <c r="B41" s="680" t="s">
        <v>731</v>
      </c>
      <c r="C41" s="681"/>
      <c r="D41" s="681"/>
      <c r="E41" s="681"/>
      <c r="F41" s="681"/>
      <c r="G41" s="681"/>
      <c r="H41" s="682"/>
      <c r="I41" s="573"/>
      <c r="J41" s="683"/>
      <c r="K41" s="574"/>
    </row>
    <row r="42" spans="1:11" ht="33" customHeight="1" x14ac:dyDescent="0.3">
      <c r="A42" s="185" t="s">
        <v>166</v>
      </c>
      <c r="B42" s="670" t="s">
        <v>729</v>
      </c>
      <c r="C42" s="670"/>
      <c r="D42" s="670"/>
      <c r="E42" s="670"/>
      <c r="F42" s="670"/>
      <c r="G42" s="670"/>
      <c r="H42" s="670"/>
      <c r="I42" s="663"/>
      <c r="J42" s="663"/>
      <c r="K42" s="663"/>
    </row>
    <row r="43" spans="1:11" ht="21.75" customHeight="1" x14ac:dyDescent="0.3">
      <c r="A43" s="185" t="s">
        <v>168</v>
      </c>
      <c r="B43" s="670" t="s">
        <v>737</v>
      </c>
      <c r="C43" s="674"/>
      <c r="D43" s="674"/>
      <c r="E43" s="674"/>
      <c r="F43" s="674"/>
      <c r="G43" s="674"/>
      <c r="H43" s="674"/>
      <c r="I43" s="663"/>
      <c r="J43" s="663"/>
      <c r="K43" s="663"/>
    </row>
    <row r="44" spans="1:11" ht="16.5" customHeight="1" x14ac:dyDescent="0.3">
      <c r="A44" s="185" t="s">
        <v>169</v>
      </c>
      <c r="B44" s="670" t="s">
        <v>200</v>
      </c>
      <c r="C44" s="670"/>
      <c r="D44" s="670"/>
      <c r="E44" s="670"/>
      <c r="F44" s="670"/>
      <c r="G44" s="670"/>
      <c r="H44" s="670"/>
      <c r="I44" s="663"/>
      <c r="J44" s="663"/>
      <c r="K44" s="663"/>
    </row>
    <row r="45" spans="1:11" ht="24" customHeight="1" x14ac:dyDescent="0.3">
      <c r="A45" s="197">
        <v>8</v>
      </c>
      <c r="B45" s="684" t="s">
        <v>201</v>
      </c>
      <c r="C45" s="684"/>
      <c r="D45" s="684"/>
      <c r="E45" s="684"/>
      <c r="F45" s="684"/>
      <c r="G45" s="684"/>
      <c r="H45" s="684"/>
      <c r="I45" s="684"/>
      <c r="J45" s="684"/>
      <c r="K45" s="684"/>
    </row>
    <row r="46" spans="1:11" ht="184.5" customHeight="1" x14ac:dyDescent="0.3">
      <c r="A46" s="185" t="s">
        <v>6</v>
      </c>
      <c r="B46" s="662" t="s">
        <v>301</v>
      </c>
      <c r="C46" s="662"/>
      <c r="D46" s="662"/>
      <c r="E46" s="662"/>
      <c r="F46" s="662"/>
      <c r="G46" s="662"/>
      <c r="H46" s="662"/>
      <c r="I46" s="662"/>
      <c r="J46" s="662"/>
      <c r="K46" s="662"/>
    </row>
    <row r="47" spans="1:11" ht="39" customHeight="1" x14ac:dyDescent="0.3">
      <c r="A47" s="185" t="s">
        <v>674</v>
      </c>
      <c r="B47" s="685" t="s">
        <v>307</v>
      </c>
      <c r="C47" s="685"/>
      <c r="D47" s="685"/>
      <c r="E47" s="685"/>
      <c r="F47" s="685"/>
      <c r="G47" s="685"/>
      <c r="H47" s="685"/>
      <c r="I47" s="685"/>
      <c r="J47" s="685"/>
      <c r="K47" s="685"/>
    </row>
    <row r="48" spans="1:11" ht="27" customHeight="1" x14ac:dyDescent="0.3">
      <c r="A48" s="197">
        <v>9</v>
      </c>
      <c r="B48" s="677" t="s">
        <v>202</v>
      </c>
      <c r="C48" s="677"/>
      <c r="D48" s="677"/>
      <c r="E48" s="677"/>
      <c r="F48" s="677"/>
      <c r="G48" s="677"/>
      <c r="H48" s="677"/>
      <c r="I48" s="677"/>
      <c r="J48" s="677"/>
      <c r="K48" s="677"/>
    </row>
    <row r="49" spans="1:11" ht="42" customHeight="1" x14ac:dyDescent="0.3">
      <c r="A49" s="686" t="s">
        <v>542</v>
      </c>
      <c r="B49" s="669" t="s">
        <v>204</v>
      </c>
      <c r="C49" s="669"/>
      <c r="D49" s="669" t="s">
        <v>205</v>
      </c>
      <c r="E49" s="669"/>
      <c r="F49" s="669" t="s">
        <v>203</v>
      </c>
      <c r="G49" s="669"/>
      <c r="H49" s="669"/>
      <c r="I49" s="669"/>
      <c r="J49" s="669"/>
      <c r="K49" s="669"/>
    </row>
    <row r="50" spans="1:11" ht="48.75" customHeight="1" x14ac:dyDescent="0.3">
      <c r="A50" s="686"/>
      <c r="B50" s="669"/>
      <c r="C50" s="669"/>
      <c r="D50" s="669"/>
      <c r="E50" s="669"/>
      <c r="F50" s="185" t="s">
        <v>49</v>
      </c>
      <c r="G50" s="185" t="s">
        <v>547</v>
      </c>
      <c r="H50" s="669" t="s">
        <v>206</v>
      </c>
      <c r="I50" s="669"/>
      <c r="J50" s="669" t="s">
        <v>571</v>
      </c>
      <c r="K50" s="687"/>
    </row>
    <row r="51" spans="1:11" ht="16.5" customHeight="1" x14ac:dyDescent="0.3">
      <c r="A51" s="185" t="s">
        <v>158</v>
      </c>
      <c r="B51" s="665">
        <v>0.05</v>
      </c>
      <c r="C51" s="665"/>
      <c r="D51" s="663"/>
      <c r="E51" s="663"/>
      <c r="F51" s="186"/>
      <c r="G51" s="186"/>
      <c r="H51" s="663"/>
      <c r="I51" s="663"/>
      <c r="J51" s="663"/>
      <c r="K51" s="663"/>
    </row>
    <row r="52" spans="1:11" ht="16.5" customHeight="1" x14ac:dyDescent="0.3">
      <c r="A52" s="185" t="s">
        <v>160</v>
      </c>
      <c r="B52" s="662" t="s">
        <v>207</v>
      </c>
      <c r="C52" s="662"/>
      <c r="D52" s="663"/>
      <c r="E52" s="663"/>
      <c r="F52" s="186"/>
      <c r="G52" s="186"/>
      <c r="H52" s="663"/>
      <c r="I52" s="663"/>
      <c r="J52" s="663"/>
      <c r="K52" s="663"/>
    </row>
    <row r="53" spans="1:11" ht="16.5" customHeight="1" x14ac:dyDescent="0.3">
      <c r="A53" s="185" t="s">
        <v>690</v>
      </c>
      <c r="B53" s="622">
        <v>0.06</v>
      </c>
      <c r="C53" s="623"/>
      <c r="D53" s="573"/>
      <c r="E53" s="574"/>
      <c r="F53" s="186"/>
      <c r="G53" s="186"/>
      <c r="H53" s="573"/>
      <c r="I53" s="574"/>
      <c r="J53" s="573"/>
      <c r="K53" s="574"/>
    </row>
    <row r="54" spans="1:11" ht="16.5" customHeight="1" x14ac:dyDescent="0.3">
      <c r="A54" s="185" t="s">
        <v>8</v>
      </c>
      <c r="B54" s="665">
        <v>0.12</v>
      </c>
      <c r="C54" s="665"/>
      <c r="D54" s="663"/>
      <c r="E54" s="663"/>
      <c r="F54" s="186"/>
      <c r="G54" s="186"/>
      <c r="H54" s="663"/>
      <c r="I54" s="663"/>
      <c r="J54" s="663"/>
      <c r="K54" s="663"/>
    </row>
    <row r="55" spans="1:11" ht="16.5" customHeight="1" x14ac:dyDescent="0.3">
      <c r="A55" s="185" t="s">
        <v>9</v>
      </c>
      <c r="B55" s="662" t="s">
        <v>208</v>
      </c>
      <c r="C55" s="662"/>
      <c r="D55" s="663"/>
      <c r="E55" s="663"/>
      <c r="F55" s="186"/>
      <c r="G55" s="186"/>
      <c r="H55" s="663"/>
      <c r="I55" s="663"/>
      <c r="J55" s="663"/>
      <c r="K55" s="663"/>
    </row>
    <row r="56" spans="1:11" ht="16.5" customHeight="1" x14ac:dyDescent="0.3">
      <c r="A56" s="185" t="s">
        <v>10</v>
      </c>
      <c r="B56" s="665">
        <v>0.18</v>
      </c>
      <c r="C56" s="665"/>
      <c r="D56" s="663"/>
      <c r="E56" s="663"/>
      <c r="F56" s="186"/>
      <c r="G56" s="186"/>
      <c r="H56" s="663"/>
      <c r="I56" s="663"/>
      <c r="J56" s="663"/>
      <c r="K56" s="663"/>
    </row>
    <row r="57" spans="1:11" ht="16.5" customHeight="1" x14ac:dyDescent="0.3">
      <c r="A57" s="185" t="s">
        <v>11</v>
      </c>
      <c r="B57" s="662" t="s">
        <v>209</v>
      </c>
      <c r="C57" s="662"/>
      <c r="D57" s="663"/>
      <c r="E57" s="663"/>
      <c r="F57" s="186"/>
      <c r="G57" s="186"/>
      <c r="H57" s="663"/>
      <c r="I57" s="663"/>
      <c r="J57" s="663"/>
      <c r="K57" s="663"/>
    </row>
    <row r="58" spans="1:11" ht="16.5" customHeight="1" x14ac:dyDescent="0.3">
      <c r="A58" s="185" t="s">
        <v>12</v>
      </c>
      <c r="B58" s="665">
        <v>0.28000000000000003</v>
      </c>
      <c r="C58" s="665"/>
      <c r="D58" s="663"/>
      <c r="E58" s="663"/>
      <c r="F58" s="186"/>
      <c r="G58" s="186"/>
      <c r="H58" s="663"/>
      <c r="I58" s="663"/>
      <c r="J58" s="663"/>
      <c r="K58" s="663"/>
    </row>
    <row r="59" spans="1:11" ht="16.5" customHeight="1" x14ac:dyDescent="0.3">
      <c r="A59" s="185" t="s">
        <v>14</v>
      </c>
      <c r="B59" s="662" t="s">
        <v>359</v>
      </c>
      <c r="C59" s="662"/>
      <c r="D59" s="663"/>
      <c r="E59" s="663"/>
      <c r="F59" s="186"/>
      <c r="G59" s="186"/>
      <c r="H59" s="663"/>
      <c r="I59" s="663"/>
      <c r="J59" s="663"/>
      <c r="K59" s="663"/>
    </row>
    <row r="60" spans="1:11" ht="16.5" customHeight="1" x14ac:dyDescent="0.3">
      <c r="A60" s="185" t="s">
        <v>744</v>
      </c>
      <c r="B60" s="664">
        <v>0.4</v>
      </c>
      <c r="C60" s="662"/>
      <c r="D60" s="663"/>
      <c r="E60" s="663"/>
      <c r="F60" s="186"/>
      <c r="G60" s="186"/>
      <c r="H60" s="663"/>
      <c r="I60" s="663"/>
      <c r="J60" s="663"/>
      <c r="K60" s="663"/>
    </row>
    <row r="61" spans="1:11" ht="16.5" customHeight="1" x14ac:dyDescent="0.3">
      <c r="A61" s="185" t="s">
        <v>745</v>
      </c>
      <c r="B61" s="662" t="s">
        <v>752</v>
      </c>
      <c r="C61" s="662"/>
      <c r="D61" s="663"/>
      <c r="E61" s="663"/>
      <c r="F61" s="186"/>
      <c r="G61" s="186"/>
      <c r="H61" s="663"/>
      <c r="I61" s="663"/>
      <c r="J61" s="663"/>
      <c r="K61" s="663"/>
    </row>
    <row r="62" spans="1:11" ht="16.5" customHeight="1" x14ac:dyDescent="0.3">
      <c r="A62" s="185" t="s">
        <v>16</v>
      </c>
      <c r="B62" s="665">
        <v>0.03</v>
      </c>
      <c r="C62" s="665"/>
      <c r="D62" s="663"/>
      <c r="E62" s="663"/>
      <c r="F62" s="186"/>
      <c r="G62" s="186"/>
      <c r="H62" s="663"/>
      <c r="I62" s="663"/>
      <c r="J62" s="663"/>
      <c r="K62" s="663"/>
    </row>
    <row r="63" spans="1:11" ht="16.5" customHeight="1" x14ac:dyDescent="0.3">
      <c r="A63" s="185" t="s">
        <v>17</v>
      </c>
      <c r="B63" s="666">
        <v>2.5000000000000001E-3</v>
      </c>
      <c r="C63" s="666"/>
      <c r="D63" s="663"/>
      <c r="E63" s="663"/>
      <c r="F63" s="186"/>
      <c r="G63" s="186"/>
      <c r="H63" s="663"/>
      <c r="I63" s="663"/>
      <c r="J63" s="663"/>
      <c r="K63" s="663"/>
    </row>
    <row r="64" spans="1:11" ht="20.100000000000001" customHeight="1" x14ac:dyDescent="0.3">
      <c r="A64" s="185" t="s">
        <v>18</v>
      </c>
      <c r="B64" s="666">
        <v>1E-3</v>
      </c>
      <c r="C64" s="666"/>
      <c r="D64" s="663"/>
      <c r="E64" s="663"/>
      <c r="F64" s="186"/>
      <c r="G64" s="186"/>
      <c r="H64" s="663"/>
      <c r="I64" s="663"/>
      <c r="J64" s="663"/>
      <c r="K64" s="663"/>
    </row>
    <row r="65" spans="1:11" ht="16.5" customHeight="1" x14ac:dyDescent="0.3">
      <c r="A65" s="185" t="s">
        <v>691</v>
      </c>
      <c r="B65" s="666" t="s">
        <v>625</v>
      </c>
      <c r="C65" s="666"/>
      <c r="D65" s="663"/>
      <c r="E65" s="663"/>
      <c r="F65" s="186"/>
      <c r="G65" s="186"/>
      <c r="H65" s="663"/>
      <c r="I65" s="663"/>
      <c r="J65" s="663"/>
      <c r="K65" s="663"/>
    </row>
    <row r="66" spans="1:11" ht="209.4" customHeight="1" x14ac:dyDescent="0.3">
      <c r="A66" s="185" t="s">
        <v>725</v>
      </c>
      <c r="B66" s="667" t="s">
        <v>712</v>
      </c>
      <c r="C66" s="667"/>
      <c r="D66" s="668"/>
      <c r="E66" s="668"/>
      <c r="F66" s="186"/>
      <c r="G66" s="186"/>
      <c r="H66" s="663"/>
      <c r="I66" s="663"/>
      <c r="J66" s="663"/>
      <c r="K66" s="663"/>
    </row>
    <row r="67" spans="1:11" ht="18.75" customHeight="1" x14ac:dyDescent="0.3">
      <c r="A67" s="185" t="s">
        <v>20</v>
      </c>
      <c r="B67" s="662" t="s">
        <v>211</v>
      </c>
      <c r="C67" s="662"/>
      <c r="D67" s="688"/>
      <c r="E67" s="688"/>
      <c r="F67" s="186"/>
      <c r="G67" s="186"/>
      <c r="H67" s="663"/>
      <c r="I67" s="663"/>
      <c r="J67" s="663"/>
      <c r="K67" s="663"/>
    </row>
    <row r="68" spans="1:11" ht="27.75" customHeight="1" x14ac:dyDescent="0.3">
      <c r="A68" s="185" t="s">
        <v>21</v>
      </c>
      <c r="B68" s="662" t="s">
        <v>212</v>
      </c>
      <c r="C68" s="662"/>
      <c r="D68" s="688"/>
      <c r="E68" s="688"/>
      <c r="F68" s="186"/>
      <c r="G68" s="186"/>
      <c r="H68" s="663"/>
      <c r="I68" s="663"/>
      <c r="J68" s="663"/>
      <c r="K68" s="663"/>
    </row>
    <row r="69" spans="1:11" ht="47.25" customHeight="1" x14ac:dyDescent="0.3">
      <c r="A69" s="185" t="s">
        <v>22</v>
      </c>
      <c r="B69" s="662" t="s">
        <v>213</v>
      </c>
      <c r="C69" s="662"/>
      <c r="D69" s="688"/>
      <c r="E69" s="688"/>
      <c r="F69" s="186"/>
      <c r="G69" s="186"/>
      <c r="H69" s="663"/>
      <c r="I69" s="663"/>
      <c r="J69" s="663"/>
      <c r="K69" s="663"/>
    </row>
    <row r="70" spans="1:11" ht="55.5" customHeight="1" x14ac:dyDescent="0.3">
      <c r="A70" s="185" t="s">
        <v>29</v>
      </c>
      <c r="B70" s="662" t="s">
        <v>214</v>
      </c>
      <c r="C70" s="662"/>
      <c r="D70" s="688"/>
      <c r="E70" s="688"/>
      <c r="F70" s="186"/>
      <c r="G70" s="186"/>
      <c r="H70" s="663"/>
      <c r="I70" s="663"/>
      <c r="J70" s="663"/>
      <c r="K70" s="663"/>
    </row>
    <row r="71" spans="1:11" ht="57.9" customHeight="1" x14ac:dyDescent="0.3">
      <c r="A71" s="185" t="s">
        <v>31</v>
      </c>
      <c r="B71" s="662" t="s">
        <v>728</v>
      </c>
      <c r="C71" s="691"/>
      <c r="D71" s="688"/>
      <c r="E71" s="688"/>
      <c r="F71" s="186">
        <v>0</v>
      </c>
      <c r="G71" s="186">
        <v>0</v>
      </c>
      <c r="H71" s="663">
        <v>0</v>
      </c>
      <c r="I71" s="663"/>
      <c r="J71" s="663">
        <v>0</v>
      </c>
      <c r="K71" s="663"/>
    </row>
    <row r="72" spans="1:11" ht="85.5" customHeight="1" x14ac:dyDescent="0.3">
      <c r="A72" s="185" t="s">
        <v>32</v>
      </c>
      <c r="B72" s="662" t="s">
        <v>727</v>
      </c>
      <c r="C72" s="691"/>
      <c r="D72" s="688"/>
      <c r="E72" s="688"/>
      <c r="F72" s="186"/>
      <c r="G72" s="186"/>
      <c r="H72" s="663"/>
      <c r="I72" s="663"/>
      <c r="J72" s="663"/>
      <c r="K72" s="663"/>
    </row>
    <row r="73" spans="1:11" ht="75" customHeight="1" x14ac:dyDescent="0.3">
      <c r="A73" s="185" t="s">
        <v>33</v>
      </c>
      <c r="B73" s="662" t="s">
        <v>217</v>
      </c>
      <c r="C73" s="662"/>
      <c r="D73" s="692"/>
      <c r="E73" s="692"/>
      <c r="F73" s="186"/>
      <c r="G73" s="186"/>
      <c r="H73" s="663"/>
      <c r="I73" s="663"/>
      <c r="J73" s="663"/>
      <c r="K73" s="663"/>
    </row>
    <row r="74" spans="1:11" ht="32.25" customHeight="1" x14ac:dyDescent="0.3">
      <c r="A74" s="197">
        <v>10</v>
      </c>
      <c r="B74" s="669" t="s">
        <v>218</v>
      </c>
      <c r="C74" s="673"/>
      <c r="D74" s="673"/>
      <c r="E74" s="673"/>
      <c r="F74" s="673"/>
      <c r="G74" s="673"/>
      <c r="H74" s="673"/>
      <c r="I74" s="673"/>
      <c r="J74" s="673"/>
      <c r="K74" s="673"/>
    </row>
    <row r="75" spans="1:11" ht="51.75" customHeight="1" x14ac:dyDescent="0.3">
      <c r="A75" s="185" t="s">
        <v>6</v>
      </c>
      <c r="B75" s="670" t="s">
        <v>301</v>
      </c>
      <c r="C75" s="670"/>
      <c r="D75" s="670"/>
      <c r="E75" s="662"/>
      <c r="F75" s="662"/>
      <c r="G75" s="662"/>
      <c r="H75" s="662"/>
      <c r="I75" s="662"/>
      <c r="J75" s="662"/>
      <c r="K75" s="662"/>
    </row>
    <row r="76" spans="1:11" ht="34.5" customHeight="1" x14ac:dyDescent="0.3">
      <c r="A76" s="197">
        <v>11</v>
      </c>
      <c r="B76" s="672" t="s">
        <v>629</v>
      </c>
      <c r="C76" s="672"/>
      <c r="D76" s="672"/>
      <c r="E76" s="672"/>
      <c r="F76" s="672"/>
      <c r="G76" s="672"/>
      <c r="H76" s="672"/>
      <c r="I76" s="672"/>
      <c r="J76" s="672"/>
      <c r="K76" s="672"/>
    </row>
    <row r="77" spans="1:11" ht="16.5" customHeight="1" x14ac:dyDescent="0.25">
      <c r="A77" s="194"/>
      <c r="B77" s="689"/>
      <c r="C77" s="689"/>
      <c r="D77" s="689"/>
      <c r="E77" s="689"/>
      <c r="F77" s="690" t="s">
        <v>734</v>
      </c>
      <c r="G77" s="690"/>
      <c r="H77" s="690"/>
      <c r="I77" s="690"/>
      <c r="J77" s="690"/>
      <c r="K77" s="690"/>
    </row>
    <row r="78" spans="1:11" ht="41.25" customHeight="1" x14ac:dyDescent="0.3">
      <c r="A78" s="187" t="s">
        <v>542</v>
      </c>
      <c r="B78" s="669" t="s">
        <v>204</v>
      </c>
      <c r="C78" s="669"/>
      <c r="D78" s="669" t="s">
        <v>205</v>
      </c>
      <c r="E78" s="669"/>
      <c r="F78" s="185" t="s">
        <v>49</v>
      </c>
      <c r="G78" s="185" t="s">
        <v>547</v>
      </c>
      <c r="H78" s="669" t="s">
        <v>48</v>
      </c>
      <c r="I78" s="669"/>
      <c r="J78" s="669" t="s">
        <v>572</v>
      </c>
      <c r="K78" s="687"/>
    </row>
    <row r="79" spans="1:11" ht="16.5" customHeight="1" x14ac:dyDescent="0.3">
      <c r="A79" s="187" t="s">
        <v>6</v>
      </c>
      <c r="B79" s="665">
        <v>0.05</v>
      </c>
      <c r="C79" s="665"/>
      <c r="D79" s="663">
        <v>0</v>
      </c>
      <c r="E79" s="663"/>
      <c r="F79" s="186">
        <v>0</v>
      </c>
      <c r="G79" s="186">
        <v>0</v>
      </c>
      <c r="H79" s="663">
        <v>0</v>
      </c>
      <c r="I79" s="663"/>
      <c r="J79" s="663">
        <v>0</v>
      </c>
      <c r="K79" s="663"/>
    </row>
    <row r="80" spans="1:11" ht="16.5" customHeight="1" x14ac:dyDescent="0.3">
      <c r="A80" s="187" t="s">
        <v>692</v>
      </c>
      <c r="B80" s="571">
        <v>0.06</v>
      </c>
      <c r="C80" s="572"/>
      <c r="D80" s="573">
        <v>0</v>
      </c>
      <c r="E80" s="574"/>
      <c r="F80" s="186">
        <v>0</v>
      </c>
      <c r="G80" s="186">
        <v>0</v>
      </c>
      <c r="H80" s="573">
        <v>0</v>
      </c>
      <c r="I80" s="574"/>
      <c r="J80" s="573">
        <v>0</v>
      </c>
      <c r="K80" s="574"/>
    </row>
    <row r="81" spans="1:11" ht="16.5" customHeight="1" x14ac:dyDescent="0.3">
      <c r="A81" s="187" t="s">
        <v>7</v>
      </c>
      <c r="B81" s="665">
        <v>0.12</v>
      </c>
      <c r="C81" s="665"/>
      <c r="D81" s="663">
        <v>0</v>
      </c>
      <c r="E81" s="663"/>
      <c r="F81" s="186">
        <v>0</v>
      </c>
      <c r="G81" s="186">
        <v>0</v>
      </c>
      <c r="H81" s="663">
        <v>0</v>
      </c>
      <c r="I81" s="663"/>
      <c r="J81" s="663">
        <v>0</v>
      </c>
      <c r="K81" s="663"/>
    </row>
    <row r="82" spans="1:11" ht="16.5" customHeight="1" x14ac:dyDescent="0.3">
      <c r="A82" s="187" t="s">
        <v>8</v>
      </c>
      <c r="B82" s="665">
        <v>0.18</v>
      </c>
      <c r="C82" s="665"/>
      <c r="D82" s="663">
        <v>0</v>
      </c>
      <c r="E82" s="663"/>
      <c r="F82" s="186">
        <v>0</v>
      </c>
      <c r="G82" s="186">
        <v>0</v>
      </c>
      <c r="H82" s="663">
        <v>0</v>
      </c>
      <c r="I82" s="663"/>
      <c r="J82" s="663">
        <v>0</v>
      </c>
      <c r="K82" s="663"/>
    </row>
    <row r="83" spans="1:11" ht="16.5" customHeight="1" x14ac:dyDescent="0.3">
      <c r="A83" s="187" t="s">
        <v>9</v>
      </c>
      <c r="B83" s="665">
        <v>0.28000000000000003</v>
      </c>
      <c r="C83" s="665"/>
      <c r="D83" s="663">
        <v>0</v>
      </c>
      <c r="E83" s="663"/>
      <c r="F83" s="186">
        <v>0</v>
      </c>
      <c r="G83" s="186">
        <v>0</v>
      </c>
      <c r="H83" s="663">
        <v>0</v>
      </c>
      <c r="I83" s="663"/>
      <c r="J83" s="663">
        <v>0</v>
      </c>
      <c r="K83" s="663"/>
    </row>
    <row r="84" spans="1:11" ht="16.5" customHeight="1" x14ac:dyDescent="0.3">
      <c r="A84" s="187" t="s">
        <v>724</v>
      </c>
      <c r="B84" s="665">
        <v>0.4</v>
      </c>
      <c r="C84" s="665"/>
      <c r="D84" s="663">
        <v>0</v>
      </c>
      <c r="E84" s="663"/>
      <c r="F84" s="186">
        <v>0</v>
      </c>
      <c r="G84" s="186">
        <v>0</v>
      </c>
      <c r="H84" s="663">
        <v>0</v>
      </c>
      <c r="I84" s="663"/>
      <c r="J84" s="663">
        <v>0</v>
      </c>
      <c r="K84" s="663"/>
    </row>
    <row r="85" spans="1:11" ht="16.5" customHeight="1" x14ac:dyDescent="0.3">
      <c r="A85" s="187" t="s">
        <v>10</v>
      </c>
      <c r="B85" s="665">
        <v>0.03</v>
      </c>
      <c r="C85" s="665"/>
      <c r="D85" s="663">
        <v>0</v>
      </c>
      <c r="E85" s="663"/>
      <c r="F85" s="186">
        <v>0</v>
      </c>
      <c r="G85" s="186">
        <v>0</v>
      </c>
      <c r="H85" s="663">
        <v>0</v>
      </c>
      <c r="I85" s="663"/>
      <c r="J85" s="663">
        <v>0</v>
      </c>
      <c r="K85" s="663"/>
    </row>
    <row r="86" spans="1:11" ht="24.6" customHeight="1" x14ac:dyDescent="0.3">
      <c r="A86" s="187" t="s">
        <v>11</v>
      </c>
      <c r="B86" s="666">
        <v>2.5000000000000001E-3</v>
      </c>
      <c r="C86" s="666"/>
      <c r="D86" s="663">
        <v>0</v>
      </c>
      <c r="E86" s="663"/>
      <c r="F86" s="186">
        <v>0</v>
      </c>
      <c r="G86" s="186">
        <v>0</v>
      </c>
      <c r="H86" s="663">
        <v>0</v>
      </c>
      <c r="I86" s="663"/>
      <c r="J86" s="663">
        <v>0</v>
      </c>
      <c r="K86" s="663"/>
    </row>
    <row r="87" spans="1:11" ht="21.75" customHeight="1" x14ac:dyDescent="0.3">
      <c r="A87" s="187" t="s">
        <v>12</v>
      </c>
      <c r="B87" s="666">
        <v>1E-3</v>
      </c>
      <c r="C87" s="666"/>
      <c r="D87" s="663">
        <v>0</v>
      </c>
      <c r="E87" s="663"/>
      <c r="F87" s="186">
        <v>0</v>
      </c>
      <c r="G87" s="186">
        <v>0</v>
      </c>
      <c r="H87" s="663">
        <v>0</v>
      </c>
      <c r="I87" s="663"/>
      <c r="J87" s="663">
        <v>0</v>
      </c>
      <c r="K87" s="663"/>
    </row>
    <row r="88" spans="1:11" ht="16.5" customHeight="1" x14ac:dyDescent="0.3">
      <c r="A88" s="187" t="s">
        <v>693</v>
      </c>
      <c r="B88" s="666" t="s">
        <v>625</v>
      </c>
      <c r="C88" s="666"/>
      <c r="D88" s="663">
        <v>0</v>
      </c>
      <c r="E88" s="663"/>
      <c r="F88" s="186">
        <v>0</v>
      </c>
      <c r="G88" s="186">
        <v>0</v>
      </c>
      <c r="H88" s="663">
        <v>0</v>
      </c>
      <c r="I88" s="663"/>
      <c r="J88" s="663">
        <v>0</v>
      </c>
      <c r="K88" s="663"/>
    </row>
    <row r="89" spans="1:11" ht="207" customHeight="1" x14ac:dyDescent="0.3">
      <c r="A89" s="187" t="s">
        <v>726</v>
      </c>
      <c r="B89" s="667" t="s">
        <v>712</v>
      </c>
      <c r="C89" s="667"/>
      <c r="D89" s="668"/>
      <c r="E89" s="668"/>
      <c r="F89" s="186">
        <v>0</v>
      </c>
      <c r="G89" s="186">
        <v>0</v>
      </c>
      <c r="H89" s="663">
        <v>0</v>
      </c>
      <c r="I89" s="663"/>
      <c r="J89" s="663">
        <v>0</v>
      </c>
      <c r="K89" s="663"/>
    </row>
    <row r="90" spans="1:11" ht="35.25" customHeight="1" x14ac:dyDescent="0.3">
      <c r="A90" s="187" t="s">
        <v>14</v>
      </c>
      <c r="B90" s="662" t="s">
        <v>211</v>
      </c>
      <c r="C90" s="662"/>
      <c r="D90" s="688"/>
      <c r="E90" s="688"/>
      <c r="F90" s="186">
        <v>0</v>
      </c>
      <c r="G90" s="186">
        <v>0</v>
      </c>
      <c r="H90" s="663">
        <v>0</v>
      </c>
      <c r="I90" s="663"/>
      <c r="J90" s="663">
        <v>0</v>
      </c>
      <c r="K90" s="663"/>
    </row>
    <row r="91" spans="1:11" ht="16.5" customHeight="1" x14ac:dyDescent="0.3">
      <c r="A91" s="187" t="s">
        <v>16</v>
      </c>
      <c r="B91" s="662" t="s">
        <v>212</v>
      </c>
      <c r="C91" s="662"/>
      <c r="D91" s="688"/>
      <c r="E91" s="688"/>
      <c r="F91" s="186">
        <v>0</v>
      </c>
      <c r="G91" s="186">
        <v>0</v>
      </c>
      <c r="H91" s="663">
        <v>0</v>
      </c>
      <c r="I91" s="663"/>
      <c r="J91" s="663">
        <v>0</v>
      </c>
      <c r="K91" s="663"/>
    </row>
    <row r="92" spans="1:11" ht="21.75" customHeight="1" x14ac:dyDescent="0.3">
      <c r="A92" s="187" t="s">
        <v>17</v>
      </c>
      <c r="B92" s="662" t="s">
        <v>213</v>
      </c>
      <c r="C92" s="662"/>
      <c r="D92" s="688"/>
      <c r="E92" s="688"/>
      <c r="F92" s="186">
        <v>0</v>
      </c>
      <c r="G92" s="186">
        <v>0</v>
      </c>
      <c r="H92" s="663">
        <v>0</v>
      </c>
      <c r="I92" s="663"/>
      <c r="J92" s="663">
        <v>0</v>
      </c>
      <c r="K92" s="663"/>
    </row>
    <row r="93" spans="1:11" ht="36" customHeight="1" x14ac:dyDescent="0.3">
      <c r="A93" s="187" t="s">
        <v>18</v>
      </c>
      <c r="B93" s="691" t="s">
        <v>221</v>
      </c>
      <c r="C93" s="691"/>
      <c r="D93" s="688"/>
      <c r="E93" s="688"/>
      <c r="F93" s="186">
        <v>0</v>
      </c>
      <c r="G93" s="186">
        <v>0</v>
      </c>
      <c r="H93" s="663">
        <v>0</v>
      </c>
      <c r="I93" s="663"/>
      <c r="J93" s="663">
        <v>0</v>
      </c>
      <c r="K93" s="663"/>
    </row>
    <row r="94" spans="1:11" ht="33" customHeight="1" x14ac:dyDescent="0.3">
      <c r="A94" s="669" t="s">
        <v>675</v>
      </c>
      <c r="B94" s="673" t="s">
        <v>309</v>
      </c>
      <c r="C94" s="673"/>
      <c r="D94" s="673"/>
      <c r="E94" s="673"/>
      <c r="F94" s="673"/>
      <c r="G94" s="673"/>
      <c r="H94" s="673"/>
      <c r="I94" s="673"/>
      <c r="J94" s="673"/>
      <c r="K94" s="673"/>
    </row>
    <row r="95" spans="1:11" ht="48.75" customHeight="1" x14ac:dyDescent="0.3">
      <c r="A95" s="669"/>
      <c r="B95" s="673"/>
      <c r="C95" s="673"/>
      <c r="D95" s="673"/>
      <c r="E95" s="673"/>
      <c r="F95" s="673"/>
      <c r="G95" s="673"/>
      <c r="H95" s="673"/>
      <c r="I95" s="673"/>
      <c r="J95" s="673"/>
      <c r="K95" s="673"/>
    </row>
    <row r="96" spans="1:11" ht="19.5" customHeight="1" x14ac:dyDescent="0.3">
      <c r="A96" s="197">
        <v>12</v>
      </c>
      <c r="B96" s="673" t="s">
        <v>222</v>
      </c>
      <c r="C96" s="673"/>
      <c r="D96" s="673"/>
      <c r="E96" s="673"/>
      <c r="F96" s="673"/>
      <c r="G96" s="673"/>
      <c r="H96" s="673"/>
      <c r="I96" s="673"/>
      <c r="J96" s="673"/>
      <c r="K96" s="673"/>
    </row>
    <row r="97" spans="1:11" ht="39" customHeight="1" x14ac:dyDescent="0.3">
      <c r="A97" s="197" t="s">
        <v>542</v>
      </c>
      <c r="B97" s="669" t="s">
        <v>24</v>
      </c>
      <c r="C97" s="673"/>
      <c r="D97" s="673"/>
      <c r="E97" s="673"/>
      <c r="F97" s="673"/>
      <c r="G97" s="673"/>
      <c r="H97" s="673"/>
      <c r="I97" s="669" t="s">
        <v>570</v>
      </c>
      <c r="J97" s="673"/>
      <c r="K97" s="673"/>
    </row>
    <row r="98" spans="1:11" ht="53.25" customHeight="1" x14ac:dyDescent="0.3">
      <c r="A98" s="198" t="s">
        <v>158</v>
      </c>
      <c r="B98" s="691" t="s">
        <v>223</v>
      </c>
      <c r="C98" s="691"/>
      <c r="D98" s="691"/>
      <c r="E98" s="691"/>
      <c r="F98" s="691"/>
      <c r="G98" s="691"/>
      <c r="H98" s="691"/>
      <c r="I98" s="663"/>
      <c r="J98" s="663"/>
      <c r="K98" s="663"/>
    </row>
    <row r="99" spans="1:11" ht="23.25" customHeight="1" x14ac:dyDescent="0.3">
      <c r="A99" s="198" t="s">
        <v>160</v>
      </c>
      <c r="B99" s="662" t="s">
        <v>621</v>
      </c>
      <c r="C99" s="691"/>
      <c r="D99" s="691"/>
      <c r="E99" s="691"/>
      <c r="F99" s="691"/>
      <c r="G99" s="691"/>
      <c r="H99" s="691"/>
      <c r="I99" s="663"/>
      <c r="J99" s="663"/>
      <c r="K99" s="663"/>
    </row>
    <row r="100" spans="1:11" ht="19.5" customHeight="1" x14ac:dyDescent="0.3">
      <c r="A100" s="198" t="s">
        <v>162</v>
      </c>
      <c r="B100" s="670" t="s">
        <v>622</v>
      </c>
      <c r="C100" s="674"/>
      <c r="D100" s="674"/>
      <c r="E100" s="674"/>
      <c r="F100" s="674"/>
      <c r="G100" s="674"/>
      <c r="H100" s="674"/>
      <c r="I100" s="663"/>
      <c r="J100" s="663"/>
      <c r="K100" s="663"/>
    </row>
    <row r="101" spans="1:11" ht="20.25" customHeight="1" x14ac:dyDescent="0.3">
      <c r="A101" s="198" t="s">
        <v>164</v>
      </c>
      <c r="B101" s="662" t="s">
        <v>738</v>
      </c>
      <c r="C101" s="691"/>
      <c r="D101" s="691"/>
      <c r="E101" s="691"/>
      <c r="F101" s="691"/>
      <c r="G101" s="691"/>
      <c r="H101" s="691"/>
      <c r="I101" s="679"/>
      <c r="J101" s="679"/>
      <c r="K101" s="679"/>
    </row>
    <row r="102" spans="1:11" ht="21.75" customHeight="1" x14ac:dyDescent="0.3">
      <c r="A102" s="185" t="s">
        <v>166</v>
      </c>
      <c r="B102" s="662" t="s">
        <v>227</v>
      </c>
      <c r="C102" s="662"/>
      <c r="D102" s="662"/>
      <c r="E102" s="662"/>
      <c r="F102" s="662"/>
      <c r="G102" s="662"/>
      <c r="H102" s="662"/>
      <c r="I102" s="663"/>
      <c r="J102" s="663"/>
      <c r="K102" s="663"/>
    </row>
    <row r="103" spans="1:11" ht="40.5" customHeight="1" x14ac:dyDescent="0.3">
      <c r="A103" s="185" t="s">
        <v>168</v>
      </c>
      <c r="B103" s="662" t="s">
        <v>228</v>
      </c>
      <c r="C103" s="662"/>
      <c r="D103" s="662"/>
      <c r="E103" s="662"/>
      <c r="F103" s="662"/>
      <c r="G103" s="662"/>
      <c r="H103" s="662"/>
      <c r="I103" s="679">
        <v>0</v>
      </c>
      <c r="J103" s="679"/>
      <c r="K103" s="679"/>
    </row>
    <row r="104" spans="1:11" ht="38.25" customHeight="1" x14ac:dyDescent="0.3">
      <c r="A104" s="197">
        <v>13</v>
      </c>
      <c r="B104" s="673" t="s">
        <v>229</v>
      </c>
      <c r="C104" s="673"/>
      <c r="D104" s="673"/>
      <c r="E104" s="673"/>
      <c r="F104" s="673"/>
      <c r="G104" s="673"/>
      <c r="H104" s="673"/>
      <c r="I104" s="673"/>
      <c r="J104" s="673"/>
      <c r="K104" s="673"/>
    </row>
    <row r="105" spans="1:11" ht="62.25" customHeight="1" x14ac:dyDescent="0.3">
      <c r="A105" s="185" t="s">
        <v>6</v>
      </c>
      <c r="B105" s="662" t="s">
        <v>301</v>
      </c>
      <c r="C105" s="662"/>
      <c r="D105" s="662"/>
      <c r="E105" s="662"/>
      <c r="F105" s="662"/>
      <c r="G105" s="662"/>
      <c r="H105" s="662"/>
      <c r="I105" s="662"/>
      <c r="J105" s="662"/>
      <c r="K105" s="662"/>
    </row>
    <row r="106" spans="1:11" ht="47.25" customHeight="1" x14ac:dyDescent="0.3">
      <c r="A106" s="197">
        <v>14</v>
      </c>
      <c r="B106" s="672" t="s">
        <v>55</v>
      </c>
      <c r="C106" s="672"/>
      <c r="D106" s="672"/>
      <c r="E106" s="672"/>
      <c r="F106" s="672"/>
      <c r="G106" s="672"/>
      <c r="H106" s="672"/>
      <c r="I106" s="672"/>
      <c r="J106" s="672"/>
      <c r="K106" s="672"/>
    </row>
    <row r="107" spans="1:11" ht="37.5" customHeight="1" x14ac:dyDescent="0.3">
      <c r="A107" s="199" t="s">
        <v>542</v>
      </c>
      <c r="B107" s="669" t="s">
        <v>24</v>
      </c>
      <c r="C107" s="669"/>
      <c r="D107" s="669"/>
      <c r="E107" s="669" t="s">
        <v>627</v>
      </c>
      <c r="F107" s="669"/>
      <c r="G107" s="693" t="s">
        <v>232</v>
      </c>
      <c r="H107" s="693"/>
      <c r="I107" s="694" t="s">
        <v>233</v>
      </c>
      <c r="J107" s="694"/>
      <c r="K107" s="694"/>
    </row>
    <row r="108" spans="1:11" ht="37.5" customHeight="1" x14ac:dyDescent="0.3">
      <c r="A108" s="185" t="s">
        <v>6</v>
      </c>
      <c r="B108" s="670" t="s">
        <v>247</v>
      </c>
      <c r="C108" s="670"/>
      <c r="D108" s="670"/>
      <c r="E108" s="663"/>
      <c r="F108" s="663"/>
      <c r="G108" s="663"/>
      <c r="H108" s="663"/>
      <c r="I108" s="663"/>
      <c r="J108" s="663"/>
      <c r="K108" s="663"/>
    </row>
    <row r="109" spans="1:11" ht="30.75" customHeight="1" x14ac:dyDescent="0.3">
      <c r="A109" s="185" t="s">
        <v>7</v>
      </c>
      <c r="B109" s="670" t="s">
        <v>56</v>
      </c>
      <c r="C109" s="670"/>
      <c r="D109" s="670"/>
      <c r="E109" s="663"/>
      <c r="F109" s="663"/>
      <c r="G109" s="663"/>
      <c r="H109" s="663"/>
      <c r="I109" s="663"/>
      <c r="J109" s="663"/>
      <c r="K109" s="663"/>
    </row>
    <row r="110" spans="1:11" ht="63.75" customHeight="1" x14ac:dyDescent="0.3">
      <c r="A110" s="185" t="s">
        <v>8</v>
      </c>
      <c r="B110" s="670" t="s">
        <v>146</v>
      </c>
      <c r="C110" s="670"/>
      <c r="D110" s="670"/>
      <c r="E110" s="663"/>
      <c r="F110" s="663"/>
      <c r="G110" s="663"/>
      <c r="H110" s="663"/>
      <c r="I110" s="663"/>
      <c r="J110" s="663"/>
      <c r="K110" s="663"/>
    </row>
    <row r="111" spans="1:11" ht="42.6" customHeight="1" x14ac:dyDescent="0.3">
      <c r="A111" s="185" t="s">
        <v>9</v>
      </c>
      <c r="B111" s="695" t="s">
        <v>147</v>
      </c>
      <c r="C111" s="695"/>
      <c r="D111" s="695"/>
      <c r="E111" s="663"/>
      <c r="F111" s="663"/>
      <c r="G111" s="663"/>
      <c r="H111" s="663"/>
      <c r="I111" s="663"/>
      <c r="J111" s="663"/>
      <c r="K111" s="663"/>
    </row>
    <row r="112" spans="1:11" ht="32.25" customHeight="1" x14ac:dyDescent="0.3">
      <c r="A112" s="185" t="s">
        <v>10</v>
      </c>
      <c r="B112" s="670" t="s">
        <v>35</v>
      </c>
      <c r="C112" s="670"/>
      <c r="D112" s="670"/>
      <c r="E112" s="663"/>
      <c r="F112" s="663"/>
      <c r="G112" s="663"/>
      <c r="H112" s="663"/>
      <c r="I112" s="663"/>
      <c r="J112" s="663"/>
      <c r="K112" s="663"/>
    </row>
    <row r="113" spans="1:11" ht="67.5" customHeight="1" x14ac:dyDescent="0.3">
      <c r="A113" s="198" t="s">
        <v>11</v>
      </c>
      <c r="B113" s="695" t="s">
        <v>36</v>
      </c>
      <c r="C113" s="695"/>
      <c r="D113" s="695"/>
      <c r="E113" s="663"/>
      <c r="F113" s="663"/>
      <c r="G113" s="663"/>
      <c r="H113" s="663"/>
      <c r="I113" s="663"/>
      <c r="J113" s="663"/>
      <c r="K113" s="663"/>
    </row>
    <row r="114" spans="1:11" ht="17.25" customHeight="1" x14ac:dyDescent="0.3">
      <c r="A114" s="185" t="s">
        <v>12</v>
      </c>
      <c r="B114" s="670" t="s">
        <v>37</v>
      </c>
      <c r="C114" s="670"/>
      <c r="D114" s="670"/>
      <c r="E114" s="663"/>
      <c r="F114" s="663"/>
      <c r="G114" s="663"/>
      <c r="H114" s="663"/>
      <c r="I114" s="663"/>
      <c r="J114" s="663"/>
      <c r="K114" s="663"/>
    </row>
    <row r="115" spans="1:11" ht="42" customHeight="1" x14ac:dyDescent="0.3">
      <c r="A115" s="185" t="s">
        <v>14</v>
      </c>
      <c r="B115" s="695" t="s">
        <v>354</v>
      </c>
      <c r="C115" s="695"/>
      <c r="D115" s="695"/>
      <c r="E115" s="663"/>
      <c r="F115" s="663"/>
      <c r="G115" s="663"/>
      <c r="H115" s="663"/>
      <c r="I115" s="663"/>
      <c r="J115" s="663"/>
      <c r="K115" s="663"/>
    </row>
    <row r="116" spans="1:11" ht="36" customHeight="1" x14ac:dyDescent="0.3">
      <c r="A116" s="185" t="s">
        <v>16</v>
      </c>
      <c r="B116" s="670" t="s">
        <v>38</v>
      </c>
      <c r="C116" s="670"/>
      <c r="D116" s="670"/>
      <c r="E116" s="663"/>
      <c r="F116" s="663"/>
      <c r="G116" s="663"/>
      <c r="H116" s="663"/>
      <c r="I116" s="663"/>
      <c r="J116" s="663"/>
      <c r="K116" s="663"/>
    </row>
    <row r="117" spans="1:11" ht="16.5" customHeight="1" x14ac:dyDescent="0.3">
      <c r="A117" s="185" t="s">
        <v>17</v>
      </c>
      <c r="B117" s="670" t="s">
        <v>39</v>
      </c>
      <c r="C117" s="670"/>
      <c r="D117" s="670"/>
      <c r="E117" s="663"/>
      <c r="F117" s="663"/>
      <c r="G117" s="663"/>
      <c r="H117" s="663"/>
      <c r="I117" s="663"/>
      <c r="J117" s="663"/>
      <c r="K117" s="663"/>
    </row>
    <row r="118" spans="1:11" ht="36" customHeight="1" x14ac:dyDescent="0.3">
      <c r="A118" s="185" t="s">
        <v>18</v>
      </c>
      <c r="B118" s="670" t="s">
        <v>40</v>
      </c>
      <c r="C118" s="670"/>
      <c r="D118" s="670"/>
      <c r="E118" s="663"/>
      <c r="F118" s="663"/>
      <c r="G118" s="663"/>
      <c r="H118" s="663"/>
      <c r="I118" s="663"/>
      <c r="J118" s="663"/>
      <c r="K118" s="663"/>
    </row>
    <row r="119" spans="1:11" ht="54" customHeight="1" x14ac:dyDescent="0.3">
      <c r="A119" s="185" t="s">
        <v>20</v>
      </c>
      <c r="B119" s="695" t="s">
        <v>41</v>
      </c>
      <c r="C119" s="695"/>
      <c r="D119" s="695"/>
      <c r="E119" s="663"/>
      <c r="F119" s="663"/>
      <c r="G119" s="663"/>
      <c r="H119" s="663"/>
      <c r="I119" s="663"/>
      <c r="J119" s="663"/>
      <c r="K119" s="663"/>
    </row>
    <row r="120" spans="1:11" ht="22.5" customHeight="1" x14ac:dyDescent="0.3">
      <c r="A120" s="185" t="s">
        <v>21</v>
      </c>
      <c r="B120" s="695" t="s">
        <v>42</v>
      </c>
      <c r="C120" s="695"/>
      <c r="D120" s="695"/>
      <c r="E120" s="663"/>
      <c r="F120" s="663"/>
      <c r="G120" s="663"/>
      <c r="H120" s="663"/>
      <c r="I120" s="663"/>
      <c r="J120" s="663"/>
      <c r="K120" s="663"/>
    </row>
    <row r="121" spans="1:11" ht="31.5" customHeight="1" x14ac:dyDescent="0.3">
      <c r="A121" s="185" t="s">
        <v>22</v>
      </c>
      <c r="B121" s="695" t="s">
        <v>248</v>
      </c>
      <c r="C121" s="695"/>
      <c r="D121" s="695"/>
      <c r="E121" s="663"/>
      <c r="F121" s="663"/>
      <c r="G121" s="663"/>
      <c r="H121" s="663"/>
      <c r="I121" s="663"/>
      <c r="J121" s="663"/>
      <c r="K121" s="663"/>
    </row>
    <row r="122" spans="1:11" ht="36" customHeight="1" x14ac:dyDescent="0.3">
      <c r="A122" s="185" t="s">
        <v>29</v>
      </c>
      <c r="B122" s="670" t="s">
        <v>43</v>
      </c>
      <c r="C122" s="670"/>
      <c r="D122" s="670"/>
      <c r="E122" s="663"/>
      <c r="F122" s="663"/>
      <c r="G122" s="663"/>
      <c r="H122" s="663"/>
      <c r="I122" s="663"/>
      <c r="J122" s="663"/>
      <c r="K122" s="663"/>
    </row>
    <row r="123" spans="1:11" ht="32.25" customHeight="1" x14ac:dyDescent="0.3">
      <c r="A123" s="185" t="s">
        <v>31</v>
      </c>
      <c r="B123" s="670" t="s">
        <v>44</v>
      </c>
      <c r="C123" s="670"/>
      <c r="D123" s="670"/>
      <c r="E123" s="663"/>
      <c r="F123" s="663"/>
      <c r="G123" s="663"/>
      <c r="H123" s="663"/>
      <c r="I123" s="663"/>
      <c r="J123" s="663"/>
      <c r="K123" s="663"/>
    </row>
    <row r="124" spans="1:11" ht="33" customHeight="1" x14ac:dyDescent="0.3">
      <c r="A124" s="185" t="s">
        <v>32</v>
      </c>
      <c r="B124" s="670" t="s">
        <v>45</v>
      </c>
      <c r="C124" s="670"/>
      <c r="D124" s="670"/>
      <c r="E124" s="663"/>
      <c r="F124" s="663"/>
      <c r="G124" s="663"/>
      <c r="H124" s="663"/>
      <c r="I124" s="663"/>
      <c r="J124" s="663"/>
      <c r="K124" s="663"/>
    </row>
    <row r="125" spans="1:11" ht="36.6" customHeight="1" x14ac:dyDescent="0.3">
      <c r="A125" s="185" t="s">
        <v>190</v>
      </c>
      <c r="B125" s="670" t="s">
        <v>741</v>
      </c>
      <c r="C125" s="670"/>
      <c r="D125" s="670"/>
      <c r="E125" s="692"/>
      <c r="F125" s="692"/>
      <c r="G125" s="692"/>
      <c r="H125" s="692"/>
      <c r="I125" s="679">
        <v>0</v>
      </c>
      <c r="J125" s="679"/>
      <c r="K125" s="679"/>
    </row>
    <row r="126" spans="1:11" ht="39" customHeight="1" x14ac:dyDescent="0.3">
      <c r="A126" s="185" t="s">
        <v>234</v>
      </c>
      <c r="B126" s="670" t="s">
        <v>574</v>
      </c>
      <c r="C126" s="670"/>
      <c r="D126" s="670"/>
      <c r="E126" s="692"/>
      <c r="F126" s="692"/>
      <c r="G126" s="692"/>
      <c r="H126" s="692"/>
      <c r="I126" s="663"/>
      <c r="J126" s="663"/>
      <c r="K126" s="663"/>
    </row>
    <row r="127" spans="1:11" ht="33" customHeight="1" x14ac:dyDescent="0.3">
      <c r="A127" s="185" t="s">
        <v>235</v>
      </c>
      <c r="B127" s="670" t="s">
        <v>742</v>
      </c>
      <c r="C127" s="670"/>
      <c r="D127" s="670"/>
      <c r="E127" s="692"/>
      <c r="F127" s="692"/>
      <c r="G127" s="692"/>
      <c r="H127" s="692"/>
      <c r="I127" s="679"/>
      <c r="J127" s="679"/>
      <c r="K127" s="679"/>
    </row>
    <row r="128" spans="1:11" ht="33" customHeight="1" x14ac:dyDescent="0.3">
      <c r="A128" s="197">
        <v>15</v>
      </c>
      <c r="B128" s="696" t="s">
        <v>236</v>
      </c>
      <c r="C128" s="696"/>
      <c r="D128" s="696"/>
      <c r="E128" s="696"/>
      <c r="F128" s="696"/>
      <c r="G128" s="696"/>
      <c r="H128" s="696"/>
      <c r="I128" s="696"/>
      <c r="J128" s="696"/>
      <c r="K128" s="696"/>
    </row>
    <row r="129" spans="1:11" ht="53.25" customHeight="1" x14ac:dyDescent="0.3">
      <c r="A129" s="185" t="s">
        <v>6</v>
      </c>
      <c r="B129" s="662" t="s">
        <v>301</v>
      </c>
      <c r="C129" s="662"/>
      <c r="D129" s="662"/>
      <c r="E129" s="662"/>
      <c r="F129" s="662"/>
      <c r="G129" s="662"/>
      <c r="H129" s="662"/>
      <c r="I129" s="662"/>
      <c r="J129" s="662"/>
      <c r="K129" s="662"/>
    </row>
    <row r="130" spans="1:11" ht="42.75" customHeight="1" x14ac:dyDescent="0.3">
      <c r="A130" s="196">
        <v>16</v>
      </c>
      <c r="B130" s="673" t="s">
        <v>628</v>
      </c>
      <c r="C130" s="687"/>
      <c r="D130" s="687"/>
      <c r="E130" s="687"/>
      <c r="F130" s="687"/>
      <c r="G130" s="687"/>
      <c r="H130" s="687"/>
      <c r="I130" s="687"/>
      <c r="J130" s="687"/>
      <c r="K130" s="687"/>
    </row>
    <row r="131" spans="1:11" ht="22.5" customHeight="1" x14ac:dyDescent="0.3">
      <c r="A131" s="187" t="s">
        <v>542</v>
      </c>
      <c r="B131" s="669" t="s">
        <v>24</v>
      </c>
      <c r="C131" s="669"/>
      <c r="D131" s="669" t="s">
        <v>238</v>
      </c>
      <c r="E131" s="669"/>
      <c r="F131" s="669"/>
      <c r="G131" s="669"/>
      <c r="H131" s="669"/>
      <c r="I131" s="669"/>
      <c r="J131" s="669"/>
      <c r="K131" s="669"/>
    </row>
    <row r="132" spans="1:11" ht="21.75" customHeight="1" x14ac:dyDescent="0.3">
      <c r="A132" s="187" t="s">
        <v>6</v>
      </c>
      <c r="B132" s="662" t="s">
        <v>239</v>
      </c>
      <c r="C132" s="662"/>
      <c r="D132" s="663">
        <v>0</v>
      </c>
      <c r="E132" s="663"/>
      <c r="F132" s="663"/>
      <c r="G132" s="663"/>
      <c r="H132" s="663"/>
      <c r="I132" s="663"/>
      <c r="J132" s="663"/>
      <c r="K132" s="663"/>
    </row>
    <row r="133" spans="1:11" ht="16.5" customHeight="1" x14ac:dyDescent="0.3">
      <c r="A133" s="187" t="s">
        <v>7</v>
      </c>
      <c r="B133" s="662" t="s">
        <v>739</v>
      </c>
      <c r="C133" s="691"/>
      <c r="D133" s="663">
        <v>0</v>
      </c>
      <c r="E133" s="663"/>
      <c r="F133" s="663"/>
      <c r="G133" s="663"/>
      <c r="H133" s="663"/>
      <c r="I133" s="663"/>
      <c r="J133" s="663"/>
      <c r="K133" s="663"/>
    </row>
    <row r="134" spans="1:11" ht="48.9" customHeight="1" x14ac:dyDescent="0.3">
      <c r="A134" s="187" t="s">
        <v>8</v>
      </c>
      <c r="B134" s="662" t="s">
        <v>48</v>
      </c>
      <c r="C134" s="691"/>
      <c r="D134" s="663">
        <v>0</v>
      </c>
      <c r="E134" s="663"/>
      <c r="F134" s="663"/>
      <c r="G134" s="663"/>
      <c r="H134" s="663"/>
      <c r="I134" s="663"/>
      <c r="J134" s="663"/>
      <c r="K134" s="663"/>
    </row>
    <row r="135" spans="1:11" ht="16.5" customHeight="1" x14ac:dyDescent="0.3">
      <c r="A135" s="187" t="s">
        <v>9</v>
      </c>
      <c r="B135" s="662" t="s">
        <v>242</v>
      </c>
      <c r="C135" s="662"/>
      <c r="D135" s="663">
        <v>0</v>
      </c>
      <c r="E135" s="663"/>
      <c r="F135" s="663"/>
      <c r="G135" s="663"/>
      <c r="H135" s="663"/>
      <c r="I135" s="663"/>
      <c r="J135" s="663"/>
      <c r="K135" s="663"/>
    </row>
    <row r="136" spans="1:11" ht="16.5" customHeight="1" x14ac:dyDescent="0.3">
      <c r="A136" s="187" t="s">
        <v>10</v>
      </c>
      <c r="B136" s="662" t="s">
        <v>211</v>
      </c>
      <c r="C136" s="662"/>
      <c r="D136" s="663">
        <v>0</v>
      </c>
      <c r="E136" s="663"/>
      <c r="F136" s="663"/>
      <c r="G136" s="663"/>
      <c r="H136" s="663"/>
      <c r="I136" s="663"/>
      <c r="J136" s="663"/>
      <c r="K136" s="663"/>
    </row>
    <row r="137" spans="1:11" ht="51.75" customHeight="1" x14ac:dyDescent="0.3">
      <c r="A137" s="187" t="s">
        <v>11</v>
      </c>
      <c r="B137" s="662" t="s">
        <v>213</v>
      </c>
      <c r="C137" s="662"/>
      <c r="D137" s="663">
        <v>0</v>
      </c>
      <c r="E137" s="663"/>
      <c r="F137" s="663"/>
      <c r="G137" s="663"/>
      <c r="H137" s="663"/>
      <c r="I137" s="663"/>
      <c r="J137" s="663"/>
      <c r="K137" s="663"/>
    </row>
    <row r="138" spans="1:11" ht="16.5" customHeight="1" x14ac:dyDescent="0.3">
      <c r="A138" s="185" t="s">
        <v>676</v>
      </c>
      <c r="B138" s="697" t="s">
        <v>626</v>
      </c>
      <c r="C138" s="697"/>
      <c r="D138" s="697"/>
      <c r="E138" s="697"/>
      <c r="F138" s="697"/>
      <c r="G138" s="697"/>
      <c r="H138" s="697"/>
      <c r="I138" s="697"/>
      <c r="J138" s="697"/>
      <c r="K138" s="697"/>
    </row>
    <row r="139" spans="1:11" ht="16.5" customHeight="1" x14ac:dyDescent="0.25">
      <c r="A139" s="194"/>
      <c r="B139" s="689"/>
      <c r="C139" s="689"/>
      <c r="D139" s="689"/>
      <c r="E139" s="689"/>
      <c r="F139" s="690" t="s">
        <v>734</v>
      </c>
      <c r="G139" s="690"/>
      <c r="H139" s="690"/>
      <c r="I139" s="690"/>
      <c r="J139" s="690"/>
      <c r="K139" s="690"/>
    </row>
    <row r="140" spans="1:11" ht="16.5" customHeight="1" x14ac:dyDescent="0.3">
      <c r="A140" s="187" t="s">
        <v>542</v>
      </c>
      <c r="B140" s="669" t="s">
        <v>204</v>
      </c>
      <c r="C140" s="669"/>
      <c r="D140" s="669" t="s">
        <v>231</v>
      </c>
      <c r="E140" s="669"/>
      <c r="F140" s="185" t="s">
        <v>49</v>
      </c>
      <c r="G140" s="185" t="s">
        <v>547</v>
      </c>
      <c r="H140" s="669" t="s">
        <v>48</v>
      </c>
      <c r="I140" s="669"/>
      <c r="J140" s="669" t="s">
        <v>308</v>
      </c>
      <c r="K140" s="687"/>
    </row>
    <row r="141" spans="1:11" ht="16.5" customHeight="1" x14ac:dyDescent="0.3">
      <c r="A141" s="187" t="s">
        <v>6</v>
      </c>
      <c r="B141" s="665">
        <v>0.05</v>
      </c>
      <c r="C141" s="665"/>
      <c r="D141" s="663"/>
      <c r="E141" s="663"/>
      <c r="F141" s="186"/>
      <c r="G141" s="186"/>
      <c r="H141" s="663"/>
      <c r="I141" s="663"/>
      <c r="J141" s="663"/>
      <c r="K141" s="663"/>
    </row>
    <row r="142" spans="1:11" ht="16.5" customHeight="1" x14ac:dyDescent="0.3">
      <c r="A142" s="187" t="s">
        <v>692</v>
      </c>
      <c r="B142" s="571">
        <v>0.06</v>
      </c>
      <c r="C142" s="572"/>
      <c r="D142" s="573"/>
      <c r="E142" s="574"/>
      <c r="F142" s="186"/>
      <c r="G142" s="186"/>
      <c r="H142" s="573"/>
      <c r="I142" s="574"/>
      <c r="J142" s="573"/>
      <c r="K142" s="574"/>
    </row>
    <row r="143" spans="1:11" ht="16.5" customHeight="1" x14ac:dyDescent="0.3">
      <c r="A143" s="187" t="s">
        <v>7</v>
      </c>
      <c r="B143" s="665">
        <v>0.12</v>
      </c>
      <c r="C143" s="665"/>
      <c r="D143" s="663"/>
      <c r="E143" s="663"/>
      <c r="F143" s="186"/>
      <c r="G143" s="186"/>
      <c r="H143" s="663"/>
      <c r="I143" s="663"/>
      <c r="J143" s="663"/>
      <c r="K143" s="663"/>
    </row>
    <row r="144" spans="1:11" ht="18" customHeight="1" x14ac:dyDescent="0.3">
      <c r="A144" s="187" t="s">
        <v>8</v>
      </c>
      <c r="B144" s="665">
        <v>0.18</v>
      </c>
      <c r="C144" s="665"/>
      <c r="D144" s="663"/>
      <c r="E144" s="663"/>
      <c r="F144" s="186"/>
      <c r="G144" s="186"/>
      <c r="H144" s="663"/>
      <c r="I144" s="663"/>
      <c r="J144" s="663"/>
      <c r="K144" s="663"/>
    </row>
    <row r="145" spans="1:11" ht="16.5" customHeight="1" x14ac:dyDescent="0.3">
      <c r="A145" s="187" t="s">
        <v>9</v>
      </c>
      <c r="B145" s="665">
        <v>0.28000000000000003</v>
      </c>
      <c r="C145" s="665"/>
      <c r="D145" s="663"/>
      <c r="E145" s="663"/>
      <c r="F145" s="186"/>
      <c r="G145" s="186"/>
      <c r="H145" s="663"/>
      <c r="I145" s="663"/>
      <c r="J145" s="663"/>
      <c r="K145" s="663"/>
    </row>
    <row r="146" spans="1:11" ht="16.5" customHeight="1" x14ac:dyDescent="0.3">
      <c r="A146" s="187" t="s">
        <v>724</v>
      </c>
      <c r="B146" s="665">
        <v>0.4</v>
      </c>
      <c r="C146" s="665"/>
      <c r="D146" s="663"/>
      <c r="E146" s="663"/>
      <c r="F146" s="186"/>
      <c r="G146" s="186"/>
      <c r="H146" s="663"/>
      <c r="I146" s="663"/>
      <c r="J146" s="663"/>
      <c r="K146" s="663"/>
    </row>
    <row r="147" spans="1:11" ht="27" customHeight="1" x14ac:dyDescent="0.3">
      <c r="A147" s="187" t="s">
        <v>10</v>
      </c>
      <c r="B147" s="665">
        <v>0.03</v>
      </c>
      <c r="C147" s="665"/>
      <c r="D147" s="663"/>
      <c r="E147" s="663"/>
      <c r="F147" s="186"/>
      <c r="G147" s="186"/>
      <c r="H147" s="663"/>
      <c r="I147" s="663"/>
      <c r="J147" s="663"/>
      <c r="K147" s="663"/>
    </row>
    <row r="148" spans="1:11" ht="33.75" customHeight="1" x14ac:dyDescent="0.3">
      <c r="A148" s="187" t="s">
        <v>11</v>
      </c>
      <c r="B148" s="666">
        <v>2.5000000000000001E-3</v>
      </c>
      <c r="C148" s="666"/>
      <c r="D148" s="663"/>
      <c r="E148" s="663"/>
      <c r="F148" s="186"/>
      <c r="G148" s="186"/>
      <c r="H148" s="663"/>
      <c r="I148" s="663"/>
      <c r="J148" s="663"/>
      <c r="K148" s="663"/>
    </row>
    <row r="149" spans="1:11" ht="22.5" customHeight="1" x14ac:dyDescent="0.3">
      <c r="A149" s="187" t="s">
        <v>12</v>
      </c>
      <c r="B149" s="666">
        <v>1E-3</v>
      </c>
      <c r="C149" s="666"/>
      <c r="D149" s="663"/>
      <c r="E149" s="663"/>
      <c r="F149" s="186"/>
      <c r="G149" s="186"/>
      <c r="H149" s="663"/>
      <c r="I149" s="663"/>
      <c r="J149" s="663"/>
      <c r="K149" s="663"/>
    </row>
    <row r="150" spans="1:11" ht="21" customHeight="1" x14ac:dyDescent="0.3">
      <c r="A150" s="187" t="s">
        <v>693</v>
      </c>
      <c r="B150" s="666" t="s">
        <v>625</v>
      </c>
      <c r="C150" s="666"/>
      <c r="D150" s="663"/>
      <c r="E150" s="663"/>
      <c r="F150" s="186"/>
      <c r="G150" s="186"/>
      <c r="H150" s="663"/>
      <c r="I150" s="663"/>
      <c r="J150" s="663"/>
      <c r="K150" s="663"/>
    </row>
    <row r="151" spans="1:11" ht="207" customHeight="1" x14ac:dyDescent="0.3">
      <c r="A151" s="187" t="s">
        <v>726</v>
      </c>
      <c r="B151" s="667" t="s">
        <v>712</v>
      </c>
      <c r="C151" s="667"/>
      <c r="D151" s="668"/>
      <c r="E151" s="668"/>
      <c r="F151" s="186"/>
      <c r="G151" s="186"/>
      <c r="H151" s="663"/>
      <c r="I151" s="663"/>
      <c r="J151" s="663"/>
      <c r="K151" s="663"/>
    </row>
    <row r="152" spans="1:11" ht="45.9" customHeight="1" x14ac:dyDescent="0.3">
      <c r="A152" s="187" t="s">
        <v>14</v>
      </c>
      <c r="B152" s="691" t="s">
        <v>243</v>
      </c>
      <c r="C152" s="691"/>
      <c r="D152" s="663"/>
      <c r="E152" s="663"/>
      <c r="F152" s="186"/>
      <c r="G152" s="186"/>
      <c r="H152" s="663"/>
      <c r="I152" s="663"/>
      <c r="J152" s="663"/>
      <c r="K152" s="663"/>
    </row>
    <row r="153" spans="1:11" ht="52.5" customHeight="1" x14ac:dyDescent="0.3">
      <c r="A153" s="187" t="s">
        <v>16</v>
      </c>
      <c r="B153" s="662" t="s">
        <v>211</v>
      </c>
      <c r="C153" s="662"/>
      <c r="D153" s="663"/>
      <c r="E153" s="663"/>
      <c r="F153" s="186"/>
      <c r="G153" s="186"/>
      <c r="H153" s="663"/>
      <c r="I153" s="663"/>
      <c r="J153" s="663"/>
      <c r="K153" s="663"/>
    </row>
    <row r="154" spans="1:11" ht="48" customHeight="1" x14ac:dyDescent="0.3">
      <c r="A154" s="187" t="s">
        <v>17</v>
      </c>
      <c r="B154" s="662" t="s">
        <v>212</v>
      </c>
      <c r="C154" s="662"/>
      <c r="D154" s="663"/>
      <c r="E154" s="663"/>
      <c r="F154" s="186"/>
      <c r="G154" s="186"/>
      <c r="H154" s="663"/>
      <c r="I154" s="663"/>
      <c r="J154" s="663"/>
      <c r="K154" s="663"/>
    </row>
    <row r="155" spans="1:11" ht="15.6" x14ac:dyDescent="0.3">
      <c r="A155" s="187" t="s">
        <v>18</v>
      </c>
      <c r="B155" s="662" t="s">
        <v>213</v>
      </c>
      <c r="C155" s="662"/>
      <c r="D155" s="663"/>
      <c r="E155" s="663"/>
      <c r="F155" s="186"/>
      <c r="G155" s="186"/>
      <c r="H155" s="663"/>
      <c r="I155" s="663"/>
      <c r="J155" s="663"/>
      <c r="K155" s="663"/>
    </row>
    <row r="156" spans="1:11" ht="99" customHeight="1" x14ac:dyDescent="0.3">
      <c r="A156" s="187" t="s">
        <v>20</v>
      </c>
      <c r="B156" s="662" t="s">
        <v>740</v>
      </c>
      <c r="C156" s="691"/>
      <c r="D156" s="663"/>
      <c r="E156" s="663"/>
      <c r="F156" s="186"/>
      <c r="G156" s="186"/>
      <c r="H156" s="663"/>
      <c r="I156" s="663"/>
      <c r="J156" s="663"/>
      <c r="K156" s="663"/>
    </row>
    <row r="157" spans="1:11" ht="61.5" customHeight="1" x14ac:dyDescent="0.3">
      <c r="A157" s="187" t="s">
        <v>21</v>
      </c>
      <c r="B157" s="691" t="s">
        <v>244</v>
      </c>
      <c r="C157" s="691"/>
      <c r="D157" s="663"/>
      <c r="E157" s="663"/>
      <c r="F157" s="186"/>
      <c r="G157" s="186"/>
      <c r="H157" s="663"/>
      <c r="I157" s="663"/>
      <c r="J157" s="663"/>
      <c r="K157" s="663"/>
    </row>
    <row r="158" spans="1:11" ht="67.5" customHeight="1" x14ac:dyDescent="0.3">
      <c r="A158" s="187" t="s">
        <v>22</v>
      </c>
      <c r="B158" s="691" t="s">
        <v>245</v>
      </c>
      <c r="C158" s="691"/>
      <c r="D158" s="663"/>
      <c r="E158" s="663"/>
      <c r="F158" s="186"/>
      <c r="G158" s="186"/>
      <c r="H158" s="663"/>
      <c r="I158" s="663"/>
      <c r="J158" s="663"/>
      <c r="K158" s="663"/>
    </row>
    <row r="159" spans="1:11" ht="15.6" x14ac:dyDescent="0.3">
      <c r="A159" s="187" t="s">
        <v>29</v>
      </c>
      <c r="B159" s="662" t="s">
        <v>393</v>
      </c>
      <c r="C159" s="691"/>
      <c r="D159" s="663"/>
      <c r="E159" s="663"/>
      <c r="F159" s="186"/>
      <c r="G159" s="186"/>
      <c r="H159" s="663"/>
      <c r="I159" s="663"/>
      <c r="J159" s="663"/>
      <c r="K159" s="663"/>
    </row>
    <row r="160" spans="1:11" ht="14.4" x14ac:dyDescent="0.3">
      <c r="A160" s="65"/>
      <c r="B160" s="65"/>
      <c r="C160" s="65"/>
      <c r="D160" s="65"/>
      <c r="E160" s="65"/>
      <c r="F160" s="65"/>
      <c r="G160" s="65"/>
      <c r="H160" s="65"/>
      <c r="I160" s="65"/>
      <c r="J160" s="65"/>
      <c r="K160" s="65"/>
    </row>
  </sheetData>
  <sheetProtection algorithmName="SHA-512" hashValue="tCp2b3gqy+GPcAWuKiGyqov8++LgOB/ad50hjpjWssBP/4SpxifrE+TGUY3wczPZaCdSy4bSfIVXZp6yc8zYow==" saltValue="wADlPmmGB2ExvkdXJ0aprA==" spinCount="100000" sheet="1" objects="1" scenarios="1"/>
  <mergeCells count="461">
    <mergeCell ref="H149:I149"/>
    <mergeCell ref="J149:K149"/>
    <mergeCell ref="B144:C144"/>
    <mergeCell ref="D144:E144"/>
    <mergeCell ref="H144:I144"/>
    <mergeCell ref="J144:K144"/>
    <mergeCell ref="B146:C146"/>
    <mergeCell ref="D146:E146"/>
    <mergeCell ref="B143:C143"/>
    <mergeCell ref="D143:E143"/>
    <mergeCell ref="H143:I143"/>
    <mergeCell ref="J143:K143"/>
    <mergeCell ref="B145:C145"/>
    <mergeCell ref="D145:E145"/>
    <mergeCell ref="H145:I145"/>
    <mergeCell ref="J145:K145"/>
    <mergeCell ref="B88:C88"/>
    <mergeCell ref="D88:E88"/>
    <mergeCell ref="H88:I88"/>
    <mergeCell ref="J88:K88"/>
    <mergeCell ref="B156:C156"/>
    <mergeCell ref="D156:E156"/>
    <mergeCell ref="H156:I156"/>
    <mergeCell ref="J156:K156"/>
    <mergeCell ref="B152:C152"/>
    <mergeCell ref="D152:E152"/>
    <mergeCell ref="H152:I152"/>
    <mergeCell ref="J152:K152"/>
    <mergeCell ref="B153:C153"/>
    <mergeCell ref="D153:E153"/>
    <mergeCell ref="H153:I153"/>
    <mergeCell ref="J153:K153"/>
    <mergeCell ref="B154:C154"/>
    <mergeCell ref="D154:E154"/>
    <mergeCell ref="H154:I154"/>
    <mergeCell ref="J154:K154"/>
    <mergeCell ref="H146:I146"/>
    <mergeCell ref="J146:K146"/>
    <mergeCell ref="B142:C142"/>
    <mergeCell ref="D142:E142"/>
    <mergeCell ref="B157:C157"/>
    <mergeCell ref="D157:E157"/>
    <mergeCell ref="H157:I157"/>
    <mergeCell ref="J157:K157"/>
    <mergeCell ref="B158:C158"/>
    <mergeCell ref="D158:E158"/>
    <mergeCell ref="H158:I158"/>
    <mergeCell ref="J158:K158"/>
    <mergeCell ref="B159:C159"/>
    <mergeCell ref="D159:E159"/>
    <mergeCell ref="H159:I159"/>
    <mergeCell ref="J159:K159"/>
    <mergeCell ref="H142:I142"/>
    <mergeCell ref="J142:K142"/>
    <mergeCell ref="B155:C155"/>
    <mergeCell ref="D155:E155"/>
    <mergeCell ref="H155:I155"/>
    <mergeCell ref="J155:K155"/>
    <mergeCell ref="B147:C147"/>
    <mergeCell ref="D147:E147"/>
    <mergeCell ref="H147:I147"/>
    <mergeCell ref="J147:K147"/>
    <mergeCell ref="B148:C148"/>
    <mergeCell ref="D148:E148"/>
    <mergeCell ref="H148:I148"/>
    <mergeCell ref="J148:K148"/>
    <mergeCell ref="B151:C151"/>
    <mergeCell ref="D151:E151"/>
    <mergeCell ref="H151:I151"/>
    <mergeCell ref="J151:K151"/>
    <mergeCell ref="B150:C150"/>
    <mergeCell ref="D150:E150"/>
    <mergeCell ref="H150:I150"/>
    <mergeCell ref="J150:K150"/>
    <mergeCell ref="B149:C149"/>
    <mergeCell ref="D149:E149"/>
    <mergeCell ref="D137:K137"/>
    <mergeCell ref="B138:K138"/>
    <mergeCell ref="B140:C140"/>
    <mergeCell ref="D140:E140"/>
    <mergeCell ref="H140:I140"/>
    <mergeCell ref="J140:K140"/>
    <mergeCell ref="B141:C141"/>
    <mergeCell ref="D141:E141"/>
    <mergeCell ref="H141:I141"/>
    <mergeCell ref="J141:K141"/>
    <mergeCell ref="B139:C139"/>
    <mergeCell ref="D139:E139"/>
    <mergeCell ref="F139:K139"/>
    <mergeCell ref="B137:C137"/>
    <mergeCell ref="B127:D127"/>
    <mergeCell ref="E127:F127"/>
    <mergeCell ref="G127:H127"/>
    <mergeCell ref="I127:K127"/>
    <mergeCell ref="B128:K128"/>
    <mergeCell ref="B129:D129"/>
    <mergeCell ref="E129:K129"/>
    <mergeCell ref="B130:K130"/>
    <mergeCell ref="B131:C131"/>
    <mergeCell ref="D131:K131"/>
    <mergeCell ref="B132:C132"/>
    <mergeCell ref="D132:K132"/>
    <mergeCell ref="B133:C133"/>
    <mergeCell ref="D133:K133"/>
    <mergeCell ref="B134:C134"/>
    <mergeCell ref="D134:K134"/>
    <mergeCell ref="B135:C135"/>
    <mergeCell ref="D135:K135"/>
    <mergeCell ref="B136:C136"/>
    <mergeCell ref="D136:K136"/>
    <mergeCell ref="B123:D123"/>
    <mergeCell ref="E123:F123"/>
    <mergeCell ref="G123:H123"/>
    <mergeCell ref="I123:K123"/>
    <mergeCell ref="B124:D124"/>
    <mergeCell ref="E124:F124"/>
    <mergeCell ref="G124:H124"/>
    <mergeCell ref="I124:K124"/>
    <mergeCell ref="B125:D125"/>
    <mergeCell ref="E125:F125"/>
    <mergeCell ref="G125:H125"/>
    <mergeCell ref="I125:K125"/>
    <mergeCell ref="B117:D117"/>
    <mergeCell ref="E117:F117"/>
    <mergeCell ref="G117:H117"/>
    <mergeCell ref="I117:K117"/>
    <mergeCell ref="B126:D126"/>
    <mergeCell ref="E126:F126"/>
    <mergeCell ref="G126:H126"/>
    <mergeCell ref="I126:K126"/>
    <mergeCell ref="B119:D119"/>
    <mergeCell ref="E119:F119"/>
    <mergeCell ref="G119:H119"/>
    <mergeCell ref="I119:K119"/>
    <mergeCell ref="B120:D120"/>
    <mergeCell ref="E120:F120"/>
    <mergeCell ref="G120:H120"/>
    <mergeCell ref="I120:K120"/>
    <mergeCell ref="B121:D121"/>
    <mergeCell ref="E121:F121"/>
    <mergeCell ref="G121:H121"/>
    <mergeCell ref="I121:K121"/>
    <mergeCell ref="B122:D122"/>
    <mergeCell ref="E122:F122"/>
    <mergeCell ref="G122:H122"/>
    <mergeCell ref="I122:K122"/>
    <mergeCell ref="B114:D114"/>
    <mergeCell ref="E114:F114"/>
    <mergeCell ref="G114:H114"/>
    <mergeCell ref="I114:K114"/>
    <mergeCell ref="B115:D115"/>
    <mergeCell ref="E115:F115"/>
    <mergeCell ref="G115:H115"/>
    <mergeCell ref="I115:K115"/>
    <mergeCell ref="B116:D116"/>
    <mergeCell ref="E116:F116"/>
    <mergeCell ref="G116:H116"/>
    <mergeCell ref="I116:K116"/>
    <mergeCell ref="B107:D107"/>
    <mergeCell ref="E107:F107"/>
    <mergeCell ref="G107:H107"/>
    <mergeCell ref="I107:K107"/>
    <mergeCell ref="B108:D108"/>
    <mergeCell ref="E108:F108"/>
    <mergeCell ref="G108:H108"/>
    <mergeCell ref="I108:K108"/>
    <mergeCell ref="B118:D118"/>
    <mergeCell ref="E118:F118"/>
    <mergeCell ref="G118:H118"/>
    <mergeCell ref="I118:K118"/>
    <mergeCell ref="B111:D111"/>
    <mergeCell ref="E111:F111"/>
    <mergeCell ref="G111:H111"/>
    <mergeCell ref="I111:K111"/>
    <mergeCell ref="B112:D112"/>
    <mergeCell ref="E112:F112"/>
    <mergeCell ref="G112:H112"/>
    <mergeCell ref="I112:K112"/>
    <mergeCell ref="B113:D113"/>
    <mergeCell ref="E113:F113"/>
    <mergeCell ref="G113:H113"/>
    <mergeCell ref="I113:K113"/>
    <mergeCell ref="A94:A95"/>
    <mergeCell ref="B94:K95"/>
    <mergeCell ref="B109:D109"/>
    <mergeCell ref="E109:F109"/>
    <mergeCell ref="G109:H109"/>
    <mergeCell ref="I109:K109"/>
    <mergeCell ref="B110:D110"/>
    <mergeCell ref="E110:F110"/>
    <mergeCell ref="G110:H110"/>
    <mergeCell ref="I110:K110"/>
    <mergeCell ref="B99:H99"/>
    <mergeCell ref="I99:K99"/>
    <mergeCell ref="B100:H100"/>
    <mergeCell ref="I100:K100"/>
    <mergeCell ref="B101:H101"/>
    <mergeCell ref="I101:K101"/>
    <mergeCell ref="B102:H102"/>
    <mergeCell ref="I102:K102"/>
    <mergeCell ref="B103:H103"/>
    <mergeCell ref="I103:K103"/>
    <mergeCell ref="B104:K104"/>
    <mergeCell ref="B105:D105"/>
    <mergeCell ref="E105:K105"/>
    <mergeCell ref="B106:K106"/>
    <mergeCell ref="J91:K91"/>
    <mergeCell ref="B92:C92"/>
    <mergeCell ref="D92:E92"/>
    <mergeCell ref="H92:I92"/>
    <mergeCell ref="J92:K92"/>
    <mergeCell ref="B93:C93"/>
    <mergeCell ref="D93:E93"/>
    <mergeCell ref="H93:I93"/>
    <mergeCell ref="J93:K93"/>
    <mergeCell ref="B85:C85"/>
    <mergeCell ref="D85:E85"/>
    <mergeCell ref="H85:I85"/>
    <mergeCell ref="J85:K85"/>
    <mergeCell ref="B96:K96"/>
    <mergeCell ref="B97:H97"/>
    <mergeCell ref="I97:K97"/>
    <mergeCell ref="B98:H98"/>
    <mergeCell ref="I98:K98"/>
    <mergeCell ref="B87:C87"/>
    <mergeCell ref="D87:E87"/>
    <mergeCell ref="H87:I87"/>
    <mergeCell ref="J87:K87"/>
    <mergeCell ref="B89:C89"/>
    <mergeCell ref="D89:E89"/>
    <mergeCell ref="H89:I89"/>
    <mergeCell ref="J89:K89"/>
    <mergeCell ref="B90:C90"/>
    <mergeCell ref="D90:E90"/>
    <mergeCell ref="H90:I90"/>
    <mergeCell ref="J90:K90"/>
    <mergeCell ref="B91:C91"/>
    <mergeCell ref="D91:E91"/>
    <mergeCell ref="H91:I91"/>
    <mergeCell ref="B81:C81"/>
    <mergeCell ref="D81:E81"/>
    <mergeCell ref="H81:I81"/>
    <mergeCell ref="J81:K81"/>
    <mergeCell ref="B82:C82"/>
    <mergeCell ref="D82:E82"/>
    <mergeCell ref="H82:I82"/>
    <mergeCell ref="J82:K82"/>
    <mergeCell ref="B84:C84"/>
    <mergeCell ref="D84:E84"/>
    <mergeCell ref="H84:I84"/>
    <mergeCell ref="J84:K84"/>
    <mergeCell ref="D72:E72"/>
    <mergeCell ref="H72:I72"/>
    <mergeCell ref="J72:K72"/>
    <mergeCell ref="B73:C73"/>
    <mergeCell ref="D73:E73"/>
    <mergeCell ref="H73:I73"/>
    <mergeCell ref="J73:K73"/>
    <mergeCell ref="B74:K74"/>
    <mergeCell ref="B86:C86"/>
    <mergeCell ref="D86:E86"/>
    <mergeCell ref="H86:I86"/>
    <mergeCell ref="J86:K86"/>
    <mergeCell ref="B78:C78"/>
    <mergeCell ref="D78:E78"/>
    <mergeCell ref="H78:I78"/>
    <mergeCell ref="J78:K78"/>
    <mergeCell ref="B79:C79"/>
    <mergeCell ref="D79:E79"/>
    <mergeCell ref="H79:I79"/>
    <mergeCell ref="J79:K79"/>
    <mergeCell ref="B80:C80"/>
    <mergeCell ref="D80:E80"/>
    <mergeCell ref="H80:I80"/>
    <mergeCell ref="J80:K80"/>
    <mergeCell ref="J65:K65"/>
    <mergeCell ref="B75:D75"/>
    <mergeCell ref="E75:K75"/>
    <mergeCell ref="B76:K76"/>
    <mergeCell ref="B77:C77"/>
    <mergeCell ref="D77:E77"/>
    <mergeCell ref="F77:K77"/>
    <mergeCell ref="B68:C68"/>
    <mergeCell ref="D68:E68"/>
    <mergeCell ref="H68:I68"/>
    <mergeCell ref="J68:K68"/>
    <mergeCell ref="B69:C69"/>
    <mergeCell ref="D69:E69"/>
    <mergeCell ref="H69:I69"/>
    <mergeCell ref="J69:K69"/>
    <mergeCell ref="B70:C70"/>
    <mergeCell ref="D70:E70"/>
    <mergeCell ref="H70:I70"/>
    <mergeCell ref="J70:K70"/>
    <mergeCell ref="B71:C71"/>
    <mergeCell ref="D71:E71"/>
    <mergeCell ref="H71:I71"/>
    <mergeCell ref="J71:K71"/>
    <mergeCell ref="B72:C72"/>
    <mergeCell ref="J55:K55"/>
    <mergeCell ref="B67:C67"/>
    <mergeCell ref="D67:E67"/>
    <mergeCell ref="H67:I67"/>
    <mergeCell ref="J67:K67"/>
    <mergeCell ref="B57:C57"/>
    <mergeCell ref="D57:E57"/>
    <mergeCell ref="H57:I57"/>
    <mergeCell ref="J57:K57"/>
    <mergeCell ref="B58:C58"/>
    <mergeCell ref="D58:E58"/>
    <mergeCell ref="H58:I58"/>
    <mergeCell ref="J58:K58"/>
    <mergeCell ref="B61:C61"/>
    <mergeCell ref="D61:E61"/>
    <mergeCell ref="H61:I61"/>
    <mergeCell ref="J61:K61"/>
    <mergeCell ref="B62:C62"/>
    <mergeCell ref="D62:E62"/>
    <mergeCell ref="H62:I62"/>
    <mergeCell ref="J62:K62"/>
    <mergeCell ref="B63:C63"/>
    <mergeCell ref="D63:E63"/>
    <mergeCell ref="H63:I63"/>
    <mergeCell ref="B56:C56"/>
    <mergeCell ref="D56:E56"/>
    <mergeCell ref="H56:I56"/>
    <mergeCell ref="J56:K56"/>
    <mergeCell ref="J50:K50"/>
    <mergeCell ref="B51:C51"/>
    <mergeCell ref="D51:E51"/>
    <mergeCell ref="H51:I51"/>
    <mergeCell ref="J51:K51"/>
    <mergeCell ref="B52:C52"/>
    <mergeCell ref="D52:E52"/>
    <mergeCell ref="H52:I52"/>
    <mergeCell ref="J52:K52"/>
    <mergeCell ref="B53:C53"/>
    <mergeCell ref="D53:E53"/>
    <mergeCell ref="H53:I53"/>
    <mergeCell ref="J53:K53"/>
    <mergeCell ref="B54:C54"/>
    <mergeCell ref="D54:E54"/>
    <mergeCell ref="H54:I54"/>
    <mergeCell ref="J54:K54"/>
    <mergeCell ref="B55:C55"/>
    <mergeCell ref="D55:E55"/>
    <mergeCell ref="H55:I55"/>
    <mergeCell ref="B46:D46"/>
    <mergeCell ref="E46:K46"/>
    <mergeCell ref="B47:K47"/>
    <mergeCell ref="B48:K48"/>
    <mergeCell ref="A49:A50"/>
    <mergeCell ref="B49:C50"/>
    <mergeCell ref="D49:E50"/>
    <mergeCell ref="F49:K49"/>
    <mergeCell ref="H50:I50"/>
    <mergeCell ref="B40:H40"/>
    <mergeCell ref="I40:K40"/>
    <mergeCell ref="B41:H41"/>
    <mergeCell ref="I41:K41"/>
    <mergeCell ref="B42:H42"/>
    <mergeCell ref="I42:K42"/>
    <mergeCell ref="B43:H43"/>
    <mergeCell ref="I43:K43"/>
    <mergeCell ref="B45:K45"/>
    <mergeCell ref="B27:G27"/>
    <mergeCell ref="I27:K27"/>
    <mergeCell ref="B28:G28"/>
    <mergeCell ref="I28:K28"/>
    <mergeCell ref="B29:G29"/>
    <mergeCell ref="I29:K29"/>
    <mergeCell ref="B44:H44"/>
    <mergeCell ref="I44:K44"/>
    <mergeCell ref="B31:H31"/>
    <mergeCell ref="I31:K31"/>
    <mergeCell ref="B32:H32"/>
    <mergeCell ref="I32:K32"/>
    <mergeCell ref="B33:K33"/>
    <mergeCell ref="B34:D34"/>
    <mergeCell ref="E34:K34"/>
    <mergeCell ref="B35:K35"/>
    <mergeCell ref="B36:H36"/>
    <mergeCell ref="I36:K36"/>
    <mergeCell ref="B37:H37"/>
    <mergeCell ref="I37:K37"/>
    <mergeCell ref="B38:H38"/>
    <mergeCell ref="I38:K38"/>
    <mergeCell ref="B39:H39"/>
    <mergeCell ref="I39:K39"/>
    <mergeCell ref="B15:H15"/>
    <mergeCell ref="I15:K15"/>
    <mergeCell ref="B16:G16"/>
    <mergeCell ref="I16:K16"/>
    <mergeCell ref="B17:G17"/>
    <mergeCell ref="I17:K17"/>
    <mergeCell ref="B30:H30"/>
    <mergeCell ref="I30:K30"/>
    <mergeCell ref="B19:G19"/>
    <mergeCell ref="I19:K19"/>
    <mergeCell ref="B20:G20"/>
    <mergeCell ref="I20:K20"/>
    <mergeCell ref="B21:G21"/>
    <mergeCell ref="I21:K21"/>
    <mergeCell ref="B22:G22"/>
    <mergeCell ref="I22:K22"/>
    <mergeCell ref="B23:G23"/>
    <mergeCell ref="I23:K23"/>
    <mergeCell ref="B24:G24"/>
    <mergeCell ref="I24:K24"/>
    <mergeCell ref="B25:G25"/>
    <mergeCell ref="I25:K25"/>
    <mergeCell ref="B26:G26"/>
    <mergeCell ref="I26:K26"/>
    <mergeCell ref="E2:G2"/>
    <mergeCell ref="B3:K3"/>
    <mergeCell ref="B4:F4"/>
    <mergeCell ref="G4:K4"/>
    <mergeCell ref="B5:F5"/>
    <mergeCell ref="G5:K5"/>
    <mergeCell ref="B18:G18"/>
    <mergeCell ref="I18:K18"/>
    <mergeCell ref="B6:F6"/>
    <mergeCell ref="G6:K6"/>
    <mergeCell ref="B7:F7"/>
    <mergeCell ref="G7:K7"/>
    <mergeCell ref="B8:F8"/>
    <mergeCell ref="G8:K8"/>
    <mergeCell ref="B9:F9"/>
    <mergeCell ref="G9:K9"/>
    <mergeCell ref="B10:F10"/>
    <mergeCell ref="G10:K10"/>
    <mergeCell ref="B11:F11"/>
    <mergeCell ref="G11:K11"/>
    <mergeCell ref="B12:K12"/>
    <mergeCell ref="B13:K13"/>
    <mergeCell ref="B14:H14"/>
    <mergeCell ref="I14:K14"/>
    <mergeCell ref="B59:C59"/>
    <mergeCell ref="D59:E59"/>
    <mergeCell ref="H59:I59"/>
    <mergeCell ref="J59:K59"/>
    <mergeCell ref="B60:C60"/>
    <mergeCell ref="D60:E60"/>
    <mergeCell ref="H60:I60"/>
    <mergeCell ref="J60:K60"/>
    <mergeCell ref="B83:C83"/>
    <mergeCell ref="D83:E83"/>
    <mergeCell ref="H83:I83"/>
    <mergeCell ref="J83:K83"/>
    <mergeCell ref="J63:K63"/>
    <mergeCell ref="B64:C64"/>
    <mergeCell ref="D64:E64"/>
    <mergeCell ref="H64:I64"/>
    <mergeCell ref="J64:K64"/>
    <mergeCell ref="B66:C66"/>
    <mergeCell ref="D66:E66"/>
    <mergeCell ref="H66:I66"/>
    <mergeCell ref="J66:K66"/>
    <mergeCell ref="B65:C65"/>
    <mergeCell ref="D65:E65"/>
    <mergeCell ref="H65:I65"/>
  </mergeCells>
  <pageMargins left="0.25196850393700787" right="7.8740157480314973E-2" top="0.75196850393700787" bottom="0.75196850393700787" header="0.3" footer="0.3"/>
  <pageSetup orientation="portrait" horizontalDpi="90" verticalDpi="9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7"/>
  <dimension ref="A1:L160"/>
  <sheetViews>
    <sheetView view="pageLayout" topLeftCell="A145" zoomScaleNormal="100" workbookViewId="0">
      <selection activeCell="A149" sqref="A149"/>
    </sheetView>
  </sheetViews>
  <sheetFormatPr defaultColWidth="9.109375" defaultRowHeight="13.2" x14ac:dyDescent="0.3"/>
  <cols>
    <col min="1" max="1" width="6.88671875" style="64" customWidth="1"/>
    <col min="2" max="2" width="6" style="64" customWidth="1"/>
    <col min="3" max="3" width="9.109375" style="64" customWidth="1"/>
    <col min="4" max="4" width="9.88671875" style="64" customWidth="1"/>
    <col min="5" max="5" width="5.5546875" style="64" customWidth="1"/>
    <col min="6" max="6" width="16.5546875" style="64" customWidth="1"/>
    <col min="7" max="7" width="15.6640625" style="64" customWidth="1"/>
    <col min="8" max="8" width="6.88671875" style="64" customWidth="1"/>
    <col min="9" max="9" width="9.109375" style="64"/>
    <col min="10" max="10" width="3.44140625" style="64" customWidth="1"/>
    <col min="11" max="11" width="8.6640625" style="64" customWidth="1"/>
    <col min="12" max="12" width="9.88671875" style="64" customWidth="1"/>
    <col min="13" max="16384" width="9.109375" style="64"/>
  </cols>
  <sheetData>
    <row r="1" spans="1:12" x14ac:dyDescent="0.3">
      <c r="D1" s="60"/>
    </row>
    <row r="2" spans="1:12" ht="66.75" customHeight="1" x14ac:dyDescent="0.3">
      <c r="E2" s="631" t="s">
        <v>305</v>
      </c>
      <c r="F2" s="631"/>
      <c r="G2" s="631"/>
    </row>
    <row r="3" spans="1:12" ht="16.5" customHeight="1" x14ac:dyDescent="0.3">
      <c r="A3" s="185" t="s">
        <v>672</v>
      </c>
      <c r="B3" s="669" t="s">
        <v>304</v>
      </c>
      <c r="C3" s="669"/>
      <c r="D3" s="669"/>
      <c r="E3" s="669"/>
      <c r="F3" s="669"/>
      <c r="G3" s="669"/>
      <c r="H3" s="669"/>
      <c r="I3" s="669"/>
      <c r="J3" s="669"/>
      <c r="K3" s="669"/>
      <c r="L3" s="66"/>
    </row>
    <row r="4" spans="1:12" ht="21.75" customHeight="1" x14ac:dyDescent="0.3">
      <c r="A4" s="196">
        <v>1</v>
      </c>
      <c r="B4" s="575" t="s">
        <v>677</v>
      </c>
      <c r="C4" s="576"/>
      <c r="D4" s="576"/>
      <c r="E4" s="576"/>
      <c r="F4" s="577"/>
      <c r="G4" s="580" t="s">
        <v>711</v>
      </c>
      <c r="H4" s="576"/>
      <c r="I4" s="576"/>
      <c r="J4" s="576"/>
      <c r="K4" s="577"/>
    </row>
    <row r="5" spans="1:12" ht="16.5" customHeight="1" x14ac:dyDescent="0.25">
      <c r="A5" s="196">
        <v>2</v>
      </c>
      <c r="B5" s="575" t="s">
        <v>154</v>
      </c>
      <c r="C5" s="578"/>
      <c r="D5" s="578"/>
      <c r="E5" s="578"/>
      <c r="F5" s="579"/>
      <c r="G5" s="639" t="s">
        <v>756</v>
      </c>
      <c r="H5" s="640"/>
      <c r="I5" s="640"/>
      <c r="J5" s="640"/>
      <c r="K5" s="641"/>
    </row>
    <row r="6" spans="1:12" ht="16.5" customHeight="1" x14ac:dyDescent="0.3">
      <c r="A6" s="198" t="s">
        <v>89</v>
      </c>
      <c r="B6" s="575" t="s">
        <v>155</v>
      </c>
      <c r="C6" s="578"/>
      <c r="D6" s="578"/>
      <c r="E6" s="578"/>
      <c r="F6" s="579"/>
      <c r="G6" s="637"/>
      <c r="H6" s="638"/>
      <c r="I6" s="638"/>
      <c r="J6" s="638"/>
      <c r="K6" s="623"/>
    </row>
    <row r="7" spans="1:12" ht="21.75" customHeight="1" x14ac:dyDescent="0.3">
      <c r="A7" s="198" t="s">
        <v>90</v>
      </c>
      <c r="B7" s="575" t="s">
        <v>678</v>
      </c>
      <c r="C7" s="576"/>
      <c r="D7" s="576"/>
      <c r="E7" s="576"/>
      <c r="F7" s="577"/>
      <c r="G7" s="575"/>
      <c r="H7" s="578"/>
      <c r="I7" s="578"/>
      <c r="J7" s="578"/>
      <c r="K7" s="579"/>
    </row>
    <row r="8" spans="1:12" ht="18.75" customHeight="1" x14ac:dyDescent="0.3">
      <c r="A8" s="198" t="s">
        <v>535</v>
      </c>
      <c r="B8" s="671" t="s">
        <v>537</v>
      </c>
      <c r="C8" s="671"/>
      <c r="D8" s="671"/>
      <c r="E8" s="671"/>
      <c r="F8" s="671"/>
      <c r="G8" s="575" t="s">
        <v>540</v>
      </c>
      <c r="H8" s="578"/>
      <c r="I8" s="578"/>
      <c r="J8" s="578"/>
      <c r="K8" s="579"/>
    </row>
    <row r="9" spans="1:12" ht="17.25" customHeight="1" x14ac:dyDescent="0.3">
      <c r="A9" s="198" t="s">
        <v>536</v>
      </c>
      <c r="B9" s="671" t="s">
        <v>538</v>
      </c>
      <c r="C9" s="671"/>
      <c r="D9" s="671"/>
      <c r="E9" s="671"/>
      <c r="F9" s="671"/>
      <c r="G9" s="575" t="s">
        <v>540</v>
      </c>
      <c r="H9" s="578"/>
      <c r="I9" s="578"/>
      <c r="J9" s="578"/>
      <c r="K9" s="579"/>
    </row>
    <row r="10" spans="1:12" ht="24" customHeight="1" x14ac:dyDescent="0.3">
      <c r="A10" s="196">
        <v>4</v>
      </c>
      <c r="B10" s="575" t="s">
        <v>541</v>
      </c>
      <c r="C10" s="578"/>
      <c r="D10" s="578"/>
      <c r="E10" s="578"/>
      <c r="F10" s="579"/>
      <c r="G10" s="637"/>
      <c r="H10" s="638"/>
      <c r="I10" s="638"/>
      <c r="J10" s="638"/>
      <c r="K10" s="623"/>
    </row>
    <row r="11" spans="1:12" ht="16.5" customHeight="1" x14ac:dyDescent="0.25">
      <c r="A11" s="89"/>
      <c r="B11" s="632"/>
      <c r="C11" s="632"/>
      <c r="D11" s="632"/>
      <c r="E11" s="632"/>
      <c r="F11" s="632"/>
      <c r="G11" s="633" t="s">
        <v>156</v>
      </c>
      <c r="H11" s="633"/>
      <c r="I11" s="633"/>
      <c r="J11" s="633"/>
      <c r="K11" s="633"/>
    </row>
    <row r="12" spans="1:12" ht="33" customHeight="1" x14ac:dyDescent="0.3">
      <c r="A12" s="185" t="s">
        <v>673</v>
      </c>
      <c r="B12" s="672" t="s">
        <v>306</v>
      </c>
      <c r="C12" s="672"/>
      <c r="D12" s="672"/>
      <c r="E12" s="672"/>
      <c r="F12" s="672"/>
      <c r="G12" s="672"/>
      <c r="H12" s="672"/>
      <c r="I12" s="672"/>
      <c r="J12" s="672"/>
      <c r="K12" s="672"/>
    </row>
    <row r="13" spans="1:12" ht="16.5" customHeight="1" x14ac:dyDescent="0.3">
      <c r="A13" s="197">
        <v>5</v>
      </c>
      <c r="B13" s="673" t="s">
        <v>157</v>
      </c>
      <c r="C13" s="673"/>
      <c r="D13" s="673"/>
      <c r="E13" s="673"/>
      <c r="F13" s="673"/>
      <c r="G13" s="673"/>
      <c r="H13" s="673"/>
      <c r="I13" s="673"/>
      <c r="J13" s="673"/>
      <c r="K13" s="673"/>
    </row>
    <row r="14" spans="1:12" ht="16.5" customHeight="1" x14ac:dyDescent="0.3">
      <c r="A14" s="197" t="s">
        <v>542</v>
      </c>
      <c r="B14" s="669" t="s">
        <v>24</v>
      </c>
      <c r="C14" s="673"/>
      <c r="D14" s="673"/>
      <c r="E14" s="673"/>
      <c r="F14" s="673"/>
      <c r="G14" s="673"/>
      <c r="H14" s="673"/>
      <c r="I14" s="669" t="s">
        <v>570</v>
      </c>
      <c r="J14" s="673"/>
      <c r="K14" s="673"/>
    </row>
    <row r="15" spans="1:12" ht="68.25" customHeight="1" x14ac:dyDescent="0.3">
      <c r="A15" s="198" t="s">
        <v>158</v>
      </c>
      <c r="B15" s="674" t="s">
        <v>159</v>
      </c>
      <c r="C15" s="674"/>
      <c r="D15" s="674"/>
      <c r="E15" s="674"/>
      <c r="F15" s="674"/>
      <c r="G15" s="674"/>
      <c r="H15" s="674"/>
      <c r="I15" s="663">
        <v>34</v>
      </c>
      <c r="J15" s="663"/>
      <c r="K15" s="663"/>
    </row>
    <row r="16" spans="1:12" ht="16.5" customHeight="1" x14ac:dyDescent="0.3">
      <c r="A16" s="185" t="s">
        <v>160</v>
      </c>
      <c r="B16" s="670" t="s">
        <v>161</v>
      </c>
      <c r="C16" s="670"/>
      <c r="D16" s="670"/>
      <c r="E16" s="670"/>
      <c r="F16" s="670"/>
      <c r="G16" s="670"/>
      <c r="H16" s="195" t="s">
        <v>544</v>
      </c>
      <c r="I16" s="663"/>
      <c r="J16" s="663"/>
      <c r="K16" s="663"/>
    </row>
    <row r="17" spans="1:11" ht="16.5" customHeight="1" x14ac:dyDescent="0.3">
      <c r="A17" s="185" t="s">
        <v>162</v>
      </c>
      <c r="B17" s="670" t="s">
        <v>163</v>
      </c>
      <c r="C17" s="670"/>
      <c r="D17" s="670"/>
      <c r="E17" s="670"/>
      <c r="F17" s="670"/>
      <c r="G17" s="670"/>
      <c r="H17" s="195" t="s">
        <v>544</v>
      </c>
      <c r="I17" s="663"/>
      <c r="J17" s="663"/>
      <c r="K17" s="663"/>
    </row>
    <row r="18" spans="1:11" ht="16.5" customHeight="1" x14ac:dyDescent="0.3">
      <c r="A18" s="185" t="s">
        <v>164</v>
      </c>
      <c r="B18" s="670" t="s">
        <v>165</v>
      </c>
      <c r="C18" s="670"/>
      <c r="D18" s="670"/>
      <c r="E18" s="670"/>
      <c r="F18" s="670"/>
      <c r="G18" s="670"/>
      <c r="H18" s="195" t="s">
        <v>544</v>
      </c>
      <c r="I18" s="663"/>
      <c r="J18" s="663"/>
      <c r="K18" s="663"/>
    </row>
    <row r="19" spans="1:11" ht="33" customHeight="1" x14ac:dyDescent="0.3">
      <c r="A19" s="185" t="s">
        <v>166</v>
      </c>
      <c r="B19" s="674" t="s">
        <v>167</v>
      </c>
      <c r="C19" s="674"/>
      <c r="D19" s="674"/>
      <c r="E19" s="674"/>
      <c r="F19" s="674"/>
      <c r="G19" s="674"/>
      <c r="H19" s="195" t="s">
        <v>544</v>
      </c>
      <c r="I19" s="663"/>
      <c r="J19" s="663"/>
      <c r="K19" s="663"/>
    </row>
    <row r="20" spans="1:11" ht="34.5" customHeight="1" x14ac:dyDescent="0.3">
      <c r="A20" s="185" t="s">
        <v>168</v>
      </c>
      <c r="B20" s="670" t="s">
        <v>277</v>
      </c>
      <c r="C20" s="670"/>
      <c r="D20" s="670"/>
      <c r="E20" s="670"/>
      <c r="F20" s="670"/>
      <c r="G20" s="670"/>
      <c r="H20" s="195" t="s">
        <v>544</v>
      </c>
      <c r="I20" s="663"/>
      <c r="J20" s="663"/>
      <c r="K20" s="663"/>
    </row>
    <row r="21" spans="1:11" ht="16.5" customHeight="1" x14ac:dyDescent="0.3">
      <c r="A21" s="185" t="s">
        <v>169</v>
      </c>
      <c r="B21" s="670" t="s">
        <v>170</v>
      </c>
      <c r="C21" s="670"/>
      <c r="D21" s="670"/>
      <c r="E21" s="670"/>
      <c r="F21" s="670"/>
      <c r="G21" s="670"/>
      <c r="H21" s="200" t="s">
        <v>545</v>
      </c>
      <c r="I21" s="658"/>
      <c r="J21" s="659"/>
      <c r="K21" s="660"/>
    </row>
    <row r="22" spans="1:11" ht="16.5" customHeight="1" x14ac:dyDescent="0.3">
      <c r="A22" s="185" t="s">
        <v>171</v>
      </c>
      <c r="B22" s="670" t="s">
        <v>172</v>
      </c>
      <c r="C22" s="670"/>
      <c r="D22" s="670"/>
      <c r="E22" s="670"/>
      <c r="F22" s="670"/>
      <c r="G22" s="670"/>
      <c r="H22" s="200" t="s">
        <v>545</v>
      </c>
      <c r="I22" s="663"/>
      <c r="J22" s="663"/>
      <c r="K22" s="663"/>
    </row>
    <row r="23" spans="1:11" ht="33" customHeight="1" x14ac:dyDescent="0.3">
      <c r="A23" s="185" t="s">
        <v>173</v>
      </c>
      <c r="B23" s="674" t="s">
        <v>174</v>
      </c>
      <c r="C23" s="674"/>
      <c r="D23" s="674"/>
      <c r="E23" s="674"/>
      <c r="F23" s="674"/>
      <c r="G23" s="674"/>
      <c r="H23" s="200" t="s">
        <v>545</v>
      </c>
      <c r="I23" s="663"/>
      <c r="J23" s="663"/>
      <c r="K23" s="663"/>
    </row>
    <row r="24" spans="1:11" ht="33" customHeight="1" x14ac:dyDescent="0.3">
      <c r="A24" s="185" t="s">
        <v>175</v>
      </c>
      <c r="B24" s="674" t="s">
        <v>176</v>
      </c>
      <c r="C24" s="674"/>
      <c r="D24" s="674"/>
      <c r="E24" s="674"/>
      <c r="F24" s="674"/>
      <c r="G24" s="674"/>
      <c r="H24" s="200" t="s">
        <v>545</v>
      </c>
      <c r="I24" s="663"/>
      <c r="J24" s="663"/>
      <c r="K24" s="663"/>
    </row>
    <row r="25" spans="1:11" ht="33" customHeight="1" x14ac:dyDescent="0.3">
      <c r="A25" s="185" t="s">
        <v>177</v>
      </c>
      <c r="B25" s="674" t="s">
        <v>178</v>
      </c>
      <c r="C25" s="674"/>
      <c r="D25" s="674"/>
      <c r="E25" s="674"/>
      <c r="F25" s="674"/>
      <c r="G25" s="674"/>
      <c r="H25" s="200" t="s">
        <v>545</v>
      </c>
      <c r="I25" s="663"/>
      <c r="J25" s="663"/>
      <c r="K25" s="663"/>
    </row>
    <row r="26" spans="1:11" ht="16.5" customHeight="1" x14ac:dyDescent="0.3">
      <c r="A26" s="185" t="s">
        <v>179</v>
      </c>
      <c r="B26" s="670" t="s">
        <v>180</v>
      </c>
      <c r="C26" s="670"/>
      <c r="D26" s="670"/>
      <c r="E26" s="670"/>
      <c r="F26" s="670"/>
      <c r="G26" s="670"/>
      <c r="H26" s="200" t="s">
        <v>545</v>
      </c>
      <c r="I26" s="663"/>
      <c r="J26" s="663"/>
      <c r="K26" s="663"/>
    </row>
    <row r="27" spans="1:11" ht="33" customHeight="1" x14ac:dyDescent="0.3">
      <c r="A27" s="185" t="s">
        <v>181</v>
      </c>
      <c r="B27" s="674" t="s">
        <v>182</v>
      </c>
      <c r="C27" s="674"/>
      <c r="D27" s="674"/>
      <c r="E27" s="674"/>
      <c r="F27" s="674"/>
      <c r="G27" s="674"/>
      <c r="H27" s="200" t="s">
        <v>546</v>
      </c>
      <c r="I27" s="663"/>
      <c r="J27" s="663"/>
      <c r="K27" s="663"/>
    </row>
    <row r="28" spans="1:11" ht="33" customHeight="1" x14ac:dyDescent="0.3">
      <c r="A28" s="185" t="s">
        <v>183</v>
      </c>
      <c r="B28" s="674" t="s">
        <v>184</v>
      </c>
      <c r="C28" s="674"/>
      <c r="D28" s="674"/>
      <c r="E28" s="674"/>
      <c r="F28" s="674"/>
      <c r="G28" s="674"/>
      <c r="H28" s="200" t="s">
        <v>546</v>
      </c>
      <c r="I28" s="663"/>
      <c r="J28" s="663"/>
      <c r="K28" s="663"/>
    </row>
    <row r="29" spans="1:11" ht="33" customHeight="1" x14ac:dyDescent="0.3">
      <c r="A29" s="185" t="s">
        <v>185</v>
      </c>
      <c r="B29" s="676" t="s">
        <v>186</v>
      </c>
      <c r="C29" s="676"/>
      <c r="D29" s="676"/>
      <c r="E29" s="676"/>
      <c r="F29" s="676"/>
      <c r="G29" s="676"/>
      <c r="H29" s="200" t="s">
        <v>546</v>
      </c>
      <c r="I29" s="663"/>
      <c r="J29" s="663"/>
      <c r="K29" s="663"/>
    </row>
    <row r="30" spans="1:11" ht="16.5" customHeight="1" x14ac:dyDescent="0.3">
      <c r="A30" s="185" t="s">
        <v>187</v>
      </c>
      <c r="B30" s="675" t="s">
        <v>582</v>
      </c>
      <c r="C30" s="675"/>
      <c r="D30" s="675"/>
      <c r="E30" s="675"/>
      <c r="F30" s="675"/>
      <c r="G30" s="675"/>
      <c r="H30" s="675"/>
      <c r="I30" s="663">
        <v>34</v>
      </c>
      <c r="J30" s="663"/>
      <c r="K30" s="663"/>
    </row>
    <row r="31" spans="1:11" ht="16.5" customHeight="1" x14ac:dyDescent="0.3">
      <c r="A31" s="185" t="s">
        <v>188</v>
      </c>
      <c r="B31" s="670" t="s">
        <v>189</v>
      </c>
      <c r="C31" s="670"/>
      <c r="D31" s="670"/>
      <c r="E31" s="670"/>
      <c r="F31" s="670"/>
      <c r="G31" s="670"/>
      <c r="H31" s="670"/>
      <c r="I31" s="663">
        <v>4</v>
      </c>
      <c r="J31" s="663"/>
      <c r="K31" s="663"/>
    </row>
    <row r="32" spans="1:11" ht="16.5" customHeight="1" x14ac:dyDescent="0.3">
      <c r="A32" s="185" t="s">
        <v>190</v>
      </c>
      <c r="B32" s="670" t="s">
        <v>191</v>
      </c>
      <c r="C32" s="670"/>
      <c r="D32" s="670"/>
      <c r="E32" s="670"/>
      <c r="F32" s="670"/>
      <c r="G32" s="670"/>
      <c r="H32" s="670"/>
      <c r="I32" s="663">
        <v>-30</v>
      </c>
      <c r="J32" s="663"/>
      <c r="K32" s="663"/>
    </row>
    <row r="33" spans="1:11" ht="16.5" customHeight="1" x14ac:dyDescent="0.3">
      <c r="A33" s="197">
        <v>6</v>
      </c>
      <c r="B33" s="677" t="s">
        <v>192</v>
      </c>
      <c r="C33" s="677"/>
      <c r="D33" s="677"/>
      <c r="E33" s="677"/>
      <c r="F33" s="677"/>
      <c r="G33" s="677"/>
      <c r="H33" s="677"/>
      <c r="I33" s="677"/>
      <c r="J33" s="677"/>
      <c r="K33" s="677"/>
    </row>
    <row r="34" spans="1:11" ht="219.9" customHeight="1" x14ac:dyDescent="0.3">
      <c r="A34" s="185" t="s">
        <v>6</v>
      </c>
      <c r="B34" s="662" t="s">
        <v>301</v>
      </c>
      <c r="C34" s="662"/>
      <c r="D34" s="662"/>
      <c r="E34" s="662"/>
      <c r="F34" s="662"/>
      <c r="G34" s="662"/>
      <c r="H34" s="662"/>
      <c r="I34" s="662"/>
      <c r="J34" s="662"/>
      <c r="K34" s="662"/>
    </row>
    <row r="35" spans="1:11" ht="16.5" customHeight="1" x14ac:dyDescent="0.3">
      <c r="A35" s="197">
        <v>7</v>
      </c>
      <c r="B35" s="678" t="s">
        <v>193</v>
      </c>
      <c r="C35" s="678"/>
      <c r="D35" s="678"/>
      <c r="E35" s="678"/>
      <c r="F35" s="678"/>
      <c r="G35" s="678"/>
      <c r="H35" s="678"/>
      <c r="I35" s="678"/>
      <c r="J35" s="678"/>
      <c r="K35" s="678"/>
    </row>
    <row r="36" spans="1:11" ht="16.5" customHeight="1" x14ac:dyDescent="0.3">
      <c r="A36" s="197" t="s">
        <v>542</v>
      </c>
      <c r="B36" s="669" t="s">
        <v>24</v>
      </c>
      <c r="C36" s="673"/>
      <c r="D36" s="673"/>
      <c r="E36" s="673"/>
      <c r="F36" s="673"/>
      <c r="G36" s="673"/>
      <c r="H36" s="673"/>
      <c r="I36" s="669" t="s">
        <v>570</v>
      </c>
      <c r="J36" s="673"/>
      <c r="K36" s="673"/>
    </row>
    <row r="37" spans="1:11" ht="33" customHeight="1" x14ac:dyDescent="0.3">
      <c r="A37" s="198" t="s">
        <v>158</v>
      </c>
      <c r="B37" s="676" t="s">
        <v>194</v>
      </c>
      <c r="C37" s="676"/>
      <c r="D37" s="676"/>
      <c r="E37" s="676"/>
      <c r="F37" s="676"/>
      <c r="G37" s="676"/>
      <c r="H37" s="676"/>
      <c r="I37" s="679">
        <v>34</v>
      </c>
      <c r="J37" s="663"/>
      <c r="K37" s="663"/>
    </row>
    <row r="38" spans="1:11" ht="33" customHeight="1" x14ac:dyDescent="0.3">
      <c r="A38" s="198" t="s">
        <v>160</v>
      </c>
      <c r="B38" s="674" t="s">
        <v>195</v>
      </c>
      <c r="C38" s="674"/>
      <c r="D38" s="674"/>
      <c r="E38" s="674"/>
      <c r="F38" s="674"/>
      <c r="G38" s="674"/>
      <c r="H38" s="674"/>
      <c r="I38" s="663"/>
      <c r="J38" s="663"/>
      <c r="K38" s="663"/>
    </row>
    <row r="39" spans="1:11" ht="16.5" customHeight="1" x14ac:dyDescent="0.3">
      <c r="A39" s="185" t="s">
        <v>162</v>
      </c>
      <c r="B39" s="670" t="s">
        <v>196</v>
      </c>
      <c r="C39" s="670"/>
      <c r="D39" s="670"/>
      <c r="E39" s="670"/>
      <c r="F39" s="670"/>
      <c r="G39" s="670"/>
      <c r="H39" s="670"/>
      <c r="I39" s="663"/>
      <c r="J39" s="663"/>
      <c r="K39" s="663"/>
    </row>
    <row r="40" spans="1:11" ht="33" customHeight="1" x14ac:dyDescent="0.3">
      <c r="A40" s="185" t="s">
        <v>164</v>
      </c>
      <c r="B40" s="680" t="s">
        <v>730</v>
      </c>
      <c r="C40" s="681"/>
      <c r="D40" s="681"/>
      <c r="E40" s="681"/>
      <c r="F40" s="681"/>
      <c r="G40" s="681"/>
      <c r="H40" s="682"/>
      <c r="I40" s="573"/>
      <c r="J40" s="683"/>
      <c r="K40" s="574"/>
    </row>
    <row r="41" spans="1:11" ht="42" customHeight="1" x14ac:dyDescent="0.3">
      <c r="A41" s="185" t="s">
        <v>724</v>
      </c>
      <c r="B41" s="680" t="s">
        <v>731</v>
      </c>
      <c r="C41" s="681"/>
      <c r="D41" s="681"/>
      <c r="E41" s="681"/>
      <c r="F41" s="681"/>
      <c r="G41" s="681"/>
      <c r="H41" s="682"/>
      <c r="I41" s="573"/>
      <c r="J41" s="683"/>
      <c r="K41" s="574"/>
    </row>
    <row r="42" spans="1:11" ht="33" customHeight="1" x14ac:dyDescent="0.3">
      <c r="A42" s="185" t="s">
        <v>166</v>
      </c>
      <c r="B42" s="670" t="s">
        <v>729</v>
      </c>
      <c r="C42" s="670"/>
      <c r="D42" s="670"/>
      <c r="E42" s="670"/>
      <c r="F42" s="670"/>
      <c r="G42" s="670"/>
      <c r="H42" s="670"/>
      <c r="I42" s="663">
        <v>34</v>
      </c>
      <c r="J42" s="663"/>
      <c r="K42" s="663"/>
    </row>
    <row r="43" spans="1:11" ht="21.75" customHeight="1" x14ac:dyDescent="0.3">
      <c r="A43" s="185" t="s">
        <v>168</v>
      </c>
      <c r="B43" s="670" t="s">
        <v>737</v>
      </c>
      <c r="C43" s="674"/>
      <c r="D43" s="674"/>
      <c r="E43" s="674"/>
      <c r="F43" s="674"/>
      <c r="G43" s="674"/>
      <c r="H43" s="674"/>
      <c r="I43" s="663">
        <v>4</v>
      </c>
      <c r="J43" s="663"/>
      <c r="K43" s="663"/>
    </row>
    <row r="44" spans="1:11" ht="16.5" customHeight="1" x14ac:dyDescent="0.3">
      <c r="A44" s="185" t="s">
        <v>169</v>
      </c>
      <c r="B44" s="670" t="s">
        <v>200</v>
      </c>
      <c r="C44" s="670"/>
      <c r="D44" s="670"/>
      <c r="E44" s="670"/>
      <c r="F44" s="670"/>
      <c r="G44" s="670"/>
      <c r="H44" s="670"/>
      <c r="I44" s="663">
        <v>-30</v>
      </c>
      <c r="J44" s="663"/>
      <c r="K44" s="663"/>
    </row>
    <row r="45" spans="1:11" ht="24" customHeight="1" x14ac:dyDescent="0.3">
      <c r="A45" s="197">
        <v>8</v>
      </c>
      <c r="B45" s="684" t="s">
        <v>201</v>
      </c>
      <c r="C45" s="684"/>
      <c r="D45" s="684"/>
      <c r="E45" s="684"/>
      <c r="F45" s="684"/>
      <c r="G45" s="684"/>
      <c r="H45" s="684"/>
      <c r="I45" s="684"/>
      <c r="J45" s="684"/>
      <c r="K45" s="684"/>
    </row>
    <row r="46" spans="1:11" ht="184.5" customHeight="1" x14ac:dyDescent="0.3">
      <c r="A46" s="185" t="s">
        <v>6</v>
      </c>
      <c r="B46" s="662" t="s">
        <v>301</v>
      </c>
      <c r="C46" s="662"/>
      <c r="D46" s="662"/>
      <c r="E46" s="662"/>
      <c r="F46" s="662"/>
      <c r="G46" s="662"/>
      <c r="H46" s="662"/>
      <c r="I46" s="662"/>
      <c r="J46" s="662"/>
      <c r="K46" s="662"/>
    </row>
    <row r="47" spans="1:11" ht="39" customHeight="1" x14ac:dyDescent="0.3">
      <c r="A47" s="185" t="s">
        <v>674</v>
      </c>
      <c r="B47" s="685" t="s">
        <v>307</v>
      </c>
      <c r="C47" s="685"/>
      <c r="D47" s="685"/>
      <c r="E47" s="685"/>
      <c r="F47" s="685"/>
      <c r="G47" s="685"/>
      <c r="H47" s="685"/>
      <c r="I47" s="685"/>
      <c r="J47" s="685"/>
      <c r="K47" s="685"/>
    </row>
    <row r="48" spans="1:11" ht="27" customHeight="1" x14ac:dyDescent="0.3">
      <c r="A48" s="197">
        <v>9</v>
      </c>
      <c r="B48" s="677" t="s">
        <v>202</v>
      </c>
      <c r="C48" s="677"/>
      <c r="D48" s="677"/>
      <c r="E48" s="677"/>
      <c r="F48" s="677"/>
      <c r="G48" s="677"/>
      <c r="H48" s="677"/>
      <c r="I48" s="677"/>
      <c r="J48" s="677"/>
      <c r="K48" s="677"/>
    </row>
    <row r="49" spans="1:11" ht="42" customHeight="1" x14ac:dyDescent="0.3">
      <c r="A49" s="686" t="s">
        <v>542</v>
      </c>
      <c r="B49" s="669" t="s">
        <v>204</v>
      </c>
      <c r="C49" s="669"/>
      <c r="D49" s="669" t="s">
        <v>205</v>
      </c>
      <c r="E49" s="669"/>
      <c r="F49" s="669" t="s">
        <v>203</v>
      </c>
      <c r="G49" s="669"/>
      <c r="H49" s="669"/>
      <c r="I49" s="669"/>
      <c r="J49" s="669"/>
      <c r="K49" s="669"/>
    </row>
    <row r="50" spans="1:11" ht="48.75" customHeight="1" x14ac:dyDescent="0.3">
      <c r="A50" s="686"/>
      <c r="B50" s="669"/>
      <c r="C50" s="669"/>
      <c r="D50" s="669"/>
      <c r="E50" s="669"/>
      <c r="F50" s="185" t="s">
        <v>49</v>
      </c>
      <c r="G50" s="185" t="s">
        <v>547</v>
      </c>
      <c r="H50" s="669" t="s">
        <v>206</v>
      </c>
      <c r="I50" s="669"/>
      <c r="J50" s="669" t="s">
        <v>571</v>
      </c>
      <c r="K50" s="687"/>
    </row>
    <row r="51" spans="1:11" ht="16.5" customHeight="1" x14ac:dyDescent="0.3">
      <c r="A51" s="185" t="s">
        <v>158</v>
      </c>
      <c r="B51" s="665">
        <v>0.05</v>
      </c>
      <c r="C51" s="665"/>
      <c r="D51" s="663"/>
      <c r="E51" s="663"/>
      <c r="F51" s="186"/>
      <c r="G51" s="186"/>
      <c r="H51" s="663"/>
      <c r="I51" s="663"/>
      <c r="J51" s="663"/>
      <c r="K51" s="663"/>
    </row>
    <row r="52" spans="1:11" ht="16.5" customHeight="1" x14ac:dyDescent="0.3">
      <c r="A52" s="185" t="s">
        <v>160</v>
      </c>
      <c r="B52" s="662" t="s">
        <v>207</v>
      </c>
      <c r="C52" s="662"/>
      <c r="D52" s="663"/>
      <c r="E52" s="663"/>
      <c r="F52" s="186"/>
      <c r="G52" s="186"/>
      <c r="H52" s="663"/>
      <c r="I52" s="663"/>
      <c r="J52" s="663"/>
      <c r="K52" s="663"/>
    </row>
    <row r="53" spans="1:11" ht="16.5" customHeight="1" x14ac:dyDescent="0.3">
      <c r="A53" s="185" t="s">
        <v>690</v>
      </c>
      <c r="B53" s="622">
        <v>0.06</v>
      </c>
      <c r="C53" s="623"/>
      <c r="D53" s="573"/>
      <c r="E53" s="574"/>
      <c r="F53" s="186"/>
      <c r="G53" s="186"/>
      <c r="H53" s="573"/>
      <c r="I53" s="574"/>
      <c r="J53" s="573"/>
      <c r="K53" s="574"/>
    </row>
    <row r="54" spans="1:11" ht="16.5" customHeight="1" x14ac:dyDescent="0.3">
      <c r="A54" s="185" t="s">
        <v>8</v>
      </c>
      <c r="B54" s="665">
        <v>0.12</v>
      </c>
      <c r="C54" s="665"/>
      <c r="D54" s="663"/>
      <c r="E54" s="663"/>
      <c r="F54" s="186"/>
      <c r="G54" s="186"/>
      <c r="H54" s="663"/>
      <c r="I54" s="663"/>
      <c r="J54" s="663"/>
      <c r="K54" s="663"/>
    </row>
    <row r="55" spans="1:11" ht="16.5" customHeight="1" x14ac:dyDescent="0.3">
      <c r="A55" s="185" t="s">
        <v>9</v>
      </c>
      <c r="B55" s="662" t="s">
        <v>208</v>
      </c>
      <c r="C55" s="662"/>
      <c r="D55" s="663"/>
      <c r="E55" s="663"/>
      <c r="F55" s="186"/>
      <c r="G55" s="186"/>
      <c r="H55" s="663"/>
      <c r="I55" s="663"/>
      <c r="J55" s="663"/>
      <c r="K55" s="663"/>
    </row>
    <row r="56" spans="1:11" ht="16.5" customHeight="1" x14ac:dyDescent="0.3">
      <c r="A56" s="185" t="s">
        <v>10</v>
      </c>
      <c r="B56" s="665">
        <v>0.18</v>
      </c>
      <c r="C56" s="665"/>
      <c r="D56" s="663"/>
      <c r="E56" s="663"/>
      <c r="F56" s="186"/>
      <c r="G56" s="186"/>
      <c r="H56" s="663"/>
      <c r="I56" s="663"/>
      <c r="J56" s="663"/>
      <c r="K56" s="663"/>
    </row>
    <row r="57" spans="1:11" ht="16.5" customHeight="1" x14ac:dyDescent="0.3">
      <c r="A57" s="185" t="s">
        <v>11</v>
      </c>
      <c r="B57" s="662" t="s">
        <v>209</v>
      </c>
      <c r="C57" s="662"/>
      <c r="D57" s="663"/>
      <c r="E57" s="663"/>
      <c r="F57" s="186"/>
      <c r="G57" s="186"/>
      <c r="H57" s="663"/>
      <c r="I57" s="663"/>
      <c r="J57" s="663"/>
      <c r="K57" s="663"/>
    </row>
    <row r="58" spans="1:11" ht="16.5" customHeight="1" x14ac:dyDescent="0.3">
      <c r="A58" s="185" t="s">
        <v>12</v>
      </c>
      <c r="B58" s="665">
        <v>0.28000000000000003</v>
      </c>
      <c r="C58" s="665"/>
      <c r="D58" s="663"/>
      <c r="E58" s="663"/>
      <c r="F58" s="186"/>
      <c r="G58" s="186"/>
      <c r="H58" s="663"/>
      <c r="I58" s="663"/>
      <c r="J58" s="663"/>
      <c r="K58" s="663"/>
    </row>
    <row r="59" spans="1:11" ht="16.5" customHeight="1" x14ac:dyDescent="0.3">
      <c r="A59" s="185" t="s">
        <v>14</v>
      </c>
      <c r="B59" s="662" t="s">
        <v>359</v>
      </c>
      <c r="C59" s="662"/>
      <c r="D59" s="663"/>
      <c r="E59" s="663"/>
      <c r="F59" s="186"/>
      <c r="G59" s="186"/>
      <c r="H59" s="663"/>
      <c r="I59" s="663"/>
      <c r="J59" s="663"/>
      <c r="K59" s="663"/>
    </row>
    <row r="60" spans="1:11" ht="16.5" customHeight="1" x14ac:dyDescent="0.3">
      <c r="A60" s="185" t="s">
        <v>744</v>
      </c>
      <c r="B60" s="664">
        <v>0.4</v>
      </c>
      <c r="C60" s="662"/>
      <c r="D60" s="663"/>
      <c r="E60" s="663"/>
      <c r="F60" s="186"/>
      <c r="G60" s="186"/>
      <c r="H60" s="663"/>
      <c r="I60" s="663"/>
      <c r="J60" s="663"/>
      <c r="K60" s="663"/>
    </row>
    <row r="61" spans="1:11" ht="16.5" customHeight="1" x14ac:dyDescent="0.3">
      <c r="A61" s="185" t="s">
        <v>745</v>
      </c>
      <c r="B61" s="662" t="s">
        <v>752</v>
      </c>
      <c r="C61" s="662"/>
      <c r="D61" s="663"/>
      <c r="E61" s="663"/>
      <c r="F61" s="186"/>
      <c r="G61" s="186"/>
      <c r="H61" s="663"/>
      <c r="I61" s="663"/>
      <c r="J61" s="663"/>
      <c r="K61" s="663"/>
    </row>
    <row r="62" spans="1:11" ht="16.5" customHeight="1" x14ac:dyDescent="0.3">
      <c r="A62" s="185" t="s">
        <v>16</v>
      </c>
      <c r="B62" s="665">
        <v>0.03</v>
      </c>
      <c r="C62" s="665"/>
      <c r="D62" s="663"/>
      <c r="E62" s="663"/>
      <c r="F62" s="186"/>
      <c r="G62" s="186"/>
      <c r="H62" s="663"/>
      <c r="I62" s="663"/>
      <c r="J62" s="663"/>
      <c r="K62" s="663"/>
    </row>
    <row r="63" spans="1:11" ht="16.5" customHeight="1" x14ac:dyDescent="0.3">
      <c r="A63" s="185" t="s">
        <v>17</v>
      </c>
      <c r="B63" s="666">
        <v>2.5000000000000001E-3</v>
      </c>
      <c r="C63" s="666"/>
      <c r="D63" s="663"/>
      <c r="E63" s="663"/>
      <c r="F63" s="186"/>
      <c r="G63" s="186"/>
      <c r="H63" s="663"/>
      <c r="I63" s="663"/>
      <c r="J63" s="663"/>
      <c r="K63" s="663"/>
    </row>
    <row r="64" spans="1:11" ht="20.100000000000001" customHeight="1" x14ac:dyDescent="0.3">
      <c r="A64" s="185" t="s">
        <v>18</v>
      </c>
      <c r="B64" s="666">
        <v>1E-3</v>
      </c>
      <c r="C64" s="666"/>
      <c r="D64" s="663"/>
      <c r="E64" s="663"/>
      <c r="F64" s="186"/>
      <c r="G64" s="186"/>
      <c r="H64" s="663"/>
      <c r="I64" s="663"/>
      <c r="J64" s="663"/>
      <c r="K64" s="663"/>
    </row>
    <row r="65" spans="1:11" ht="16.5" customHeight="1" x14ac:dyDescent="0.3">
      <c r="A65" s="185" t="s">
        <v>691</v>
      </c>
      <c r="B65" s="666" t="s">
        <v>625</v>
      </c>
      <c r="C65" s="666"/>
      <c r="D65" s="663"/>
      <c r="E65" s="663"/>
      <c r="F65" s="186"/>
      <c r="G65" s="186"/>
      <c r="H65" s="663"/>
      <c r="I65" s="663"/>
      <c r="J65" s="663"/>
      <c r="K65" s="663"/>
    </row>
    <row r="66" spans="1:11" ht="209.4" customHeight="1" x14ac:dyDescent="0.3">
      <c r="A66" s="185" t="s">
        <v>725</v>
      </c>
      <c r="B66" s="667" t="s">
        <v>712</v>
      </c>
      <c r="C66" s="667"/>
      <c r="D66" s="668"/>
      <c r="E66" s="668"/>
      <c r="F66" s="186"/>
      <c r="G66" s="186"/>
      <c r="H66" s="663"/>
      <c r="I66" s="663"/>
      <c r="J66" s="663"/>
      <c r="K66" s="663"/>
    </row>
    <row r="67" spans="1:11" ht="18.75" customHeight="1" x14ac:dyDescent="0.3">
      <c r="A67" s="185" t="s">
        <v>20</v>
      </c>
      <c r="B67" s="662" t="s">
        <v>211</v>
      </c>
      <c r="C67" s="662"/>
      <c r="D67" s="688"/>
      <c r="E67" s="688"/>
      <c r="F67" s="186"/>
      <c r="G67" s="186"/>
      <c r="H67" s="663"/>
      <c r="I67" s="663"/>
      <c r="J67" s="663"/>
      <c r="K67" s="663"/>
    </row>
    <row r="68" spans="1:11" ht="27.75" customHeight="1" x14ac:dyDescent="0.3">
      <c r="A68" s="185" t="s">
        <v>21</v>
      </c>
      <c r="B68" s="662" t="s">
        <v>212</v>
      </c>
      <c r="C68" s="662"/>
      <c r="D68" s="688"/>
      <c r="E68" s="688"/>
      <c r="F68" s="186"/>
      <c r="G68" s="186"/>
      <c r="H68" s="663"/>
      <c r="I68" s="663"/>
      <c r="J68" s="663"/>
      <c r="K68" s="663"/>
    </row>
    <row r="69" spans="1:11" ht="47.25" customHeight="1" x14ac:dyDescent="0.3">
      <c r="A69" s="185" t="s">
        <v>22</v>
      </c>
      <c r="B69" s="662" t="s">
        <v>213</v>
      </c>
      <c r="C69" s="662"/>
      <c r="D69" s="688"/>
      <c r="E69" s="688"/>
      <c r="F69" s="186"/>
      <c r="G69" s="186"/>
      <c r="H69" s="663"/>
      <c r="I69" s="663"/>
      <c r="J69" s="663"/>
      <c r="K69" s="663"/>
    </row>
    <row r="70" spans="1:11" ht="55.5" customHeight="1" x14ac:dyDescent="0.3">
      <c r="A70" s="185" t="s">
        <v>29</v>
      </c>
      <c r="B70" s="662" t="s">
        <v>214</v>
      </c>
      <c r="C70" s="662"/>
      <c r="D70" s="688"/>
      <c r="E70" s="688"/>
      <c r="F70" s="186"/>
      <c r="G70" s="186"/>
      <c r="H70" s="663"/>
      <c r="I70" s="663"/>
      <c r="J70" s="663"/>
      <c r="K70" s="663"/>
    </row>
    <row r="71" spans="1:11" ht="57.9" customHeight="1" x14ac:dyDescent="0.3">
      <c r="A71" s="185" t="s">
        <v>31</v>
      </c>
      <c r="B71" s="662" t="s">
        <v>728</v>
      </c>
      <c r="C71" s="691"/>
      <c r="D71" s="688"/>
      <c r="E71" s="688"/>
      <c r="F71" s="186">
        <v>0</v>
      </c>
      <c r="G71" s="186">
        <v>0</v>
      </c>
      <c r="H71" s="663">
        <v>0</v>
      </c>
      <c r="I71" s="663"/>
      <c r="J71" s="663">
        <v>0</v>
      </c>
      <c r="K71" s="663"/>
    </row>
    <row r="72" spans="1:11" ht="85.5" customHeight="1" x14ac:dyDescent="0.3">
      <c r="A72" s="185" t="s">
        <v>32</v>
      </c>
      <c r="B72" s="662" t="s">
        <v>727</v>
      </c>
      <c r="C72" s="691"/>
      <c r="D72" s="688"/>
      <c r="E72" s="688"/>
      <c r="F72" s="186">
        <v>4</v>
      </c>
      <c r="G72" s="186">
        <v>4</v>
      </c>
      <c r="H72" s="663">
        <v>4</v>
      </c>
      <c r="I72" s="663"/>
      <c r="J72" s="663">
        <v>4</v>
      </c>
      <c r="K72" s="663"/>
    </row>
    <row r="73" spans="1:11" ht="75" customHeight="1" x14ac:dyDescent="0.3">
      <c r="A73" s="185" t="s">
        <v>33</v>
      </c>
      <c r="B73" s="662" t="s">
        <v>217</v>
      </c>
      <c r="C73" s="662"/>
      <c r="D73" s="692"/>
      <c r="E73" s="692"/>
      <c r="F73" s="186">
        <v>4</v>
      </c>
      <c r="G73" s="186">
        <v>4</v>
      </c>
      <c r="H73" s="663">
        <v>4</v>
      </c>
      <c r="I73" s="663"/>
      <c r="J73" s="663">
        <v>4</v>
      </c>
      <c r="K73" s="663"/>
    </row>
    <row r="74" spans="1:11" ht="32.25" customHeight="1" x14ac:dyDescent="0.3">
      <c r="A74" s="197">
        <v>10</v>
      </c>
      <c r="B74" s="669" t="s">
        <v>218</v>
      </c>
      <c r="C74" s="673"/>
      <c r="D74" s="673"/>
      <c r="E74" s="673"/>
      <c r="F74" s="673"/>
      <c r="G74" s="673"/>
      <c r="H74" s="673"/>
      <c r="I74" s="673"/>
      <c r="J74" s="673"/>
      <c r="K74" s="673"/>
    </row>
    <row r="75" spans="1:11" ht="51.75" customHeight="1" x14ac:dyDescent="0.3">
      <c r="A75" s="185" t="s">
        <v>6</v>
      </c>
      <c r="B75" s="670" t="s">
        <v>301</v>
      </c>
      <c r="C75" s="670"/>
      <c r="D75" s="670"/>
      <c r="E75" s="662"/>
      <c r="F75" s="662"/>
      <c r="G75" s="662"/>
      <c r="H75" s="662"/>
      <c r="I75" s="662"/>
      <c r="J75" s="662"/>
      <c r="K75" s="662"/>
    </row>
    <row r="76" spans="1:11" ht="34.5" customHeight="1" x14ac:dyDescent="0.3">
      <c r="A76" s="197">
        <v>11</v>
      </c>
      <c r="B76" s="672" t="s">
        <v>629</v>
      </c>
      <c r="C76" s="672"/>
      <c r="D76" s="672"/>
      <c r="E76" s="672"/>
      <c r="F76" s="672"/>
      <c r="G76" s="672"/>
      <c r="H76" s="672"/>
      <c r="I76" s="672"/>
      <c r="J76" s="672"/>
      <c r="K76" s="672"/>
    </row>
    <row r="77" spans="1:11" ht="16.5" customHeight="1" x14ac:dyDescent="0.25">
      <c r="A77" s="194"/>
      <c r="B77" s="689"/>
      <c r="C77" s="689"/>
      <c r="D77" s="689"/>
      <c r="E77" s="689"/>
      <c r="F77" s="690" t="s">
        <v>734</v>
      </c>
      <c r="G77" s="690"/>
      <c r="H77" s="690"/>
      <c r="I77" s="690"/>
      <c r="J77" s="690"/>
      <c r="K77" s="690"/>
    </row>
    <row r="78" spans="1:11" ht="41.25" customHeight="1" x14ac:dyDescent="0.3">
      <c r="A78" s="187" t="s">
        <v>542</v>
      </c>
      <c r="B78" s="669" t="s">
        <v>204</v>
      </c>
      <c r="C78" s="669"/>
      <c r="D78" s="669" t="s">
        <v>205</v>
      </c>
      <c r="E78" s="669"/>
      <c r="F78" s="185" t="s">
        <v>49</v>
      </c>
      <c r="G78" s="185" t="s">
        <v>547</v>
      </c>
      <c r="H78" s="669" t="s">
        <v>48</v>
      </c>
      <c r="I78" s="669"/>
      <c r="J78" s="669" t="s">
        <v>572</v>
      </c>
      <c r="K78" s="687"/>
    </row>
    <row r="79" spans="1:11" ht="16.5" customHeight="1" x14ac:dyDescent="0.3">
      <c r="A79" s="187" t="s">
        <v>6</v>
      </c>
      <c r="B79" s="665">
        <v>0.05</v>
      </c>
      <c r="C79" s="665"/>
      <c r="D79" s="663">
        <v>0</v>
      </c>
      <c r="E79" s="663"/>
      <c r="F79" s="186">
        <v>0</v>
      </c>
      <c r="G79" s="186">
        <v>0</v>
      </c>
      <c r="H79" s="663">
        <v>0</v>
      </c>
      <c r="I79" s="663"/>
      <c r="J79" s="663">
        <v>0</v>
      </c>
      <c r="K79" s="663"/>
    </row>
    <row r="80" spans="1:11" ht="16.5" customHeight="1" x14ac:dyDescent="0.3">
      <c r="A80" s="187" t="s">
        <v>692</v>
      </c>
      <c r="B80" s="571">
        <v>0.06</v>
      </c>
      <c r="C80" s="572"/>
      <c r="D80" s="573">
        <v>0</v>
      </c>
      <c r="E80" s="574"/>
      <c r="F80" s="186">
        <v>0</v>
      </c>
      <c r="G80" s="186">
        <v>0</v>
      </c>
      <c r="H80" s="573">
        <v>0</v>
      </c>
      <c r="I80" s="574"/>
      <c r="J80" s="573">
        <v>0</v>
      </c>
      <c r="K80" s="574"/>
    </row>
    <row r="81" spans="1:11" ht="16.5" customHeight="1" x14ac:dyDescent="0.3">
      <c r="A81" s="187" t="s">
        <v>7</v>
      </c>
      <c r="B81" s="665">
        <v>0.12</v>
      </c>
      <c r="C81" s="665"/>
      <c r="D81" s="663">
        <v>0</v>
      </c>
      <c r="E81" s="663"/>
      <c r="F81" s="186">
        <v>0</v>
      </c>
      <c r="G81" s="186">
        <v>0</v>
      </c>
      <c r="H81" s="663">
        <v>0</v>
      </c>
      <c r="I81" s="663"/>
      <c r="J81" s="663">
        <v>0</v>
      </c>
      <c r="K81" s="663"/>
    </row>
    <row r="82" spans="1:11" ht="16.5" customHeight="1" x14ac:dyDescent="0.3">
      <c r="A82" s="187" t="s">
        <v>8</v>
      </c>
      <c r="B82" s="665">
        <v>0.18</v>
      </c>
      <c r="C82" s="665"/>
      <c r="D82" s="663">
        <v>0</v>
      </c>
      <c r="E82" s="663"/>
      <c r="F82" s="186">
        <v>0</v>
      </c>
      <c r="G82" s="186">
        <v>0</v>
      </c>
      <c r="H82" s="663">
        <v>0</v>
      </c>
      <c r="I82" s="663"/>
      <c r="J82" s="663">
        <v>0</v>
      </c>
      <c r="K82" s="663"/>
    </row>
    <row r="83" spans="1:11" ht="16.5" customHeight="1" x14ac:dyDescent="0.3">
      <c r="A83" s="187" t="s">
        <v>9</v>
      </c>
      <c r="B83" s="665">
        <v>0.28000000000000003</v>
      </c>
      <c r="C83" s="665"/>
      <c r="D83" s="663">
        <v>0</v>
      </c>
      <c r="E83" s="663"/>
      <c r="F83" s="186">
        <v>0</v>
      </c>
      <c r="G83" s="186">
        <v>0</v>
      </c>
      <c r="H83" s="663">
        <v>0</v>
      </c>
      <c r="I83" s="663"/>
      <c r="J83" s="663">
        <v>0</v>
      </c>
      <c r="K83" s="663"/>
    </row>
    <row r="84" spans="1:11" ht="16.5" customHeight="1" x14ac:dyDescent="0.3">
      <c r="A84" s="187" t="s">
        <v>724</v>
      </c>
      <c r="B84" s="665">
        <v>0.4</v>
      </c>
      <c r="C84" s="665"/>
      <c r="D84" s="663">
        <v>0</v>
      </c>
      <c r="E84" s="663"/>
      <c r="F84" s="186">
        <v>0</v>
      </c>
      <c r="G84" s="186">
        <v>0</v>
      </c>
      <c r="H84" s="663">
        <v>0</v>
      </c>
      <c r="I84" s="663"/>
      <c r="J84" s="663">
        <v>0</v>
      </c>
      <c r="K84" s="663"/>
    </row>
    <row r="85" spans="1:11" ht="16.5" customHeight="1" x14ac:dyDescent="0.3">
      <c r="A85" s="187" t="s">
        <v>10</v>
      </c>
      <c r="B85" s="665">
        <v>0.03</v>
      </c>
      <c r="C85" s="665"/>
      <c r="D85" s="663">
        <v>0</v>
      </c>
      <c r="E85" s="663"/>
      <c r="F85" s="186">
        <v>0</v>
      </c>
      <c r="G85" s="186">
        <v>0</v>
      </c>
      <c r="H85" s="663">
        <v>0</v>
      </c>
      <c r="I85" s="663"/>
      <c r="J85" s="663">
        <v>0</v>
      </c>
      <c r="K85" s="663"/>
    </row>
    <row r="86" spans="1:11" ht="24.6" customHeight="1" x14ac:dyDescent="0.3">
      <c r="A86" s="187" t="s">
        <v>11</v>
      </c>
      <c r="B86" s="666">
        <v>2.5000000000000001E-3</v>
      </c>
      <c r="C86" s="666"/>
      <c r="D86" s="663">
        <v>0</v>
      </c>
      <c r="E86" s="663"/>
      <c r="F86" s="186">
        <v>0</v>
      </c>
      <c r="G86" s="186">
        <v>0</v>
      </c>
      <c r="H86" s="663">
        <v>0</v>
      </c>
      <c r="I86" s="663"/>
      <c r="J86" s="663">
        <v>0</v>
      </c>
      <c r="K86" s="663"/>
    </row>
    <row r="87" spans="1:11" ht="21.75" customHeight="1" x14ac:dyDescent="0.3">
      <c r="A87" s="187" t="s">
        <v>12</v>
      </c>
      <c r="B87" s="666">
        <v>1E-3</v>
      </c>
      <c r="C87" s="666"/>
      <c r="D87" s="663">
        <v>0</v>
      </c>
      <c r="E87" s="663"/>
      <c r="F87" s="186">
        <v>0</v>
      </c>
      <c r="G87" s="186">
        <v>0</v>
      </c>
      <c r="H87" s="663">
        <v>0</v>
      </c>
      <c r="I87" s="663"/>
      <c r="J87" s="663">
        <v>0</v>
      </c>
      <c r="K87" s="663"/>
    </row>
    <row r="88" spans="1:11" ht="16.5" customHeight="1" x14ac:dyDescent="0.3">
      <c r="A88" s="187" t="s">
        <v>693</v>
      </c>
      <c r="B88" s="666" t="s">
        <v>625</v>
      </c>
      <c r="C88" s="666"/>
      <c r="D88" s="663">
        <v>0</v>
      </c>
      <c r="E88" s="663"/>
      <c r="F88" s="186">
        <v>0</v>
      </c>
      <c r="G88" s="186">
        <v>0</v>
      </c>
      <c r="H88" s="663">
        <v>0</v>
      </c>
      <c r="I88" s="663"/>
      <c r="J88" s="663">
        <v>0</v>
      </c>
      <c r="K88" s="663"/>
    </row>
    <row r="89" spans="1:11" ht="207" customHeight="1" x14ac:dyDescent="0.3">
      <c r="A89" s="187" t="s">
        <v>726</v>
      </c>
      <c r="B89" s="667" t="s">
        <v>712</v>
      </c>
      <c r="C89" s="667"/>
      <c r="D89" s="668"/>
      <c r="E89" s="668"/>
      <c r="F89" s="186">
        <v>0</v>
      </c>
      <c r="G89" s="186">
        <v>0</v>
      </c>
      <c r="H89" s="663">
        <v>0</v>
      </c>
      <c r="I89" s="663"/>
      <c r="J89" s="663">
        <v>0</v>
      </c>
      <c r="K89" s="663"/>
    </row>
    <row r="90" spans="1:11" ht="35.25" customHeight="1" x14ac:dyDescent="0.3">
      <c r="A90" s="187" t="s">
        <v>14</v>
      </c>
      <c r="B90" s="662" t="s">
        <v>211</v>
      </c>
      <c r="C90" s="662"/>
      <c r="D90" s="688"/>
      <c r="E90" s="688"/>
      <c r="F90" s="186">
        <v>0</v>
      </c>
      <c r="G90" s="186">
        <v>0</v>
      </c>
      <c r="H90" s="663">
        <v>0</v>
      </c>
      <c r="I90" s="663"/>
      <c r="J90" s="663">
        <v>0</v>
      </c>
      <c r="K90" s="663"/>
    </row>
    <row r="91" spans="1:11" ht="16.5" customHeight="1" x14ac:dyDescent="0.3">
      <c r="A91" s="187" t="s">
        <v>16</v>
      </c>
      <c r="B91" s="662" t="s">
        <v>212</v>
      </c>
      <c r="C91" s="662"/>
      <c r="D91" s="688"/>
      <c r="E91" s="688"/>
      <c r="F91" s="186">
        <v>0</v>
      </c>
      <c r="G91" s="186">
        <v>0</v>
      </c>
      <c r="H91" s="663">
        <v>0</v>
      </c>
      <c r="I91" s="663"/>
      <c r="J91" s="663">
        <v>0</v>
      </c>
      <c r="K91" s="663"/>
    </row>
    <row r="92" spans="1:11" ht="21.75" customHeight="1" x14ac:dyDescent="0.3">
      <c r="A92" s="187" t="s">
        <v>17</v>
      </c>
      <c r="B92" s="662" t="s">
        <v>213</v>
      </c>
      <c r="C92" s="662"/>
      <c r="D92" s="688"/>
      <c r="E92" s="688"/>
      <c r="F92" s="186">
        <v>0</v>
      </c>
      <c r="G92" s="186">
        <v>0</v>
      </c>
      <c r="H92" s="663">
        <v>0</v>
      </c>
      <c r="I92" s="663"/>
      <c r="J92" s="663">
        <v>0</v>
      </c>
      <c r="K92" s="663"/>
    </row>
    <row r="93" spans="1:11" ht="36" customHeight="1" x14ac:dyDescent="0.3">
      <c r="A93" s="187" t="s">
        <v>18</v>
      </c>
      <c r="B93" s="691" t="s">
        <v>221</v>
      </c>
      <c r="C93" s="691"/>
      <c r="D93" s="688"/>
      <c r="E93" s="688"/>
      <c r="F93" s="186">
        <v>0</v>
      </c>
      <c r="G93" s="186">
        <v>0</v>
      </c>
      <c r="H93" s="663">
        <v>0</v>
      </c>
      <c r="I93" s="663"/>
      <c r="J93" s="663">
        <v>0</v>
      </c>
      <c r="K93" s="663"/>
    </row>
    <row r="94" spans="1:11" ht="33" customHeight="1" x14ac:dyDescent="0.3">
      <c r="A94" s="669" t="s">
        <v>675</v>
      </c>
      <c r="B94" s="673" t="s">
        <v>309</v>
      </c>
      <c r="C94" s="673"/>
      <c r="D94" s="673"/>
      <c r="E94" s="673"/>
      <c r="F94" s="673"/>
      <c r="G94" s="673"/>
      <c r="H94" s="673"/>
      <c r="I94" s="673"/>
      <c r="J94" s="673"/>
      <c r="K94" s="673"/>
    </row>
    <row r="95" spans="1:11" ht="48.75" customHeight="1" x14ac:dyDescent="0.3">
      <c r="A95" s="669"/>
      <c r="B95" s="673"/>
      <c r="C95" s="673"/>
      <c r="D95" s="673"/>
      <c r="E95" s="673"/>
      <c r="F95" s="673"/>
      <c r="G95" s="673"/>
      <c r="H95" s="673"/>
      <c r="I95" s="673"/>
      <c r="J95" s="673"/>
      <c r="K95" s="673"/>
    </row>
    <row r="96" spans="1:11" ht="19.5" customHeight="1" x14ac:dyDescent="0.3">
      <c r="A96" s="197">
        <v>12</v>
      </c>
      <c r="B96" s="673" t="s">
        <v>222</v>
      </c>
      <c r="C96" s="673"/>
      <c r="D96" s="673"/>
      <c r="E96" s="673"/>
      <c r="F96" s="673"/>
      <c r="G96" s="673"/>
      <c r="H96" s="673"/>
      <c r="I96" s="673"/>
      <c r="J96" s="673"/>
      <c r="K96" s="673"/>
    </row>
    <row r="97" spans="1:11" ht="39" customHeight="1" x14ac:dyDescent="0.3">
      <c r="A97" s="197" t="s">
        <v>542</v>
      </c>
      <c r="B97" s="669" t="s">
        <v>24</v>
      </c>
      <c r="C97" s="673"/>
      <c r="D97" s="673"/>
      <c r="E97" s="673"/>
      <c r="F97" s="673"/>
      <c r="G97" s="673"/>
      <c r="H97" s="673"/>
      <c r="I97" s="669" t="s">
        <v>570</v>
      </c>
      <c r="J97" s="673"/>
      <c r="K97" s="673"/>
    </row>
    <row r="98" spans="1:11" ht="53.25" customHeight="1" x14ac:dyDescent="0.3">
      <c r="A98" s="198" t="s">
        <v>158</v>
      </c>
      <c r="B98" s="691" t="s">
        <v>223</v>
      </c>
      <c r="C98" s="691"/>
      <c r="D98" s="691"/>
      <c r="E98" s="691"/>
      <c r="F98" s="691"/>
      <c r="G98" s="691"/>
      <c r="H98" s="691"/>
      <c r="I98" s="663">
        <v>34</v>
      </c>
      <c r="J98" s="663"/>
      <c r="K98" s="663"/>
    </row>
    <row r="99" spans="1:11" ht="23.25" customHeight="1" x14ac:dyDescent="0.3">
      <c r="A99" s="198" t="s">
        <v>160</v>
      </c>
      <c r="B99" s="662" t="s">
        <v>621</v>
      </c>
      <c r="C99" s="691"/>
      <c r="D99" s="691"/>
      <c r="E99" s="691"/>
      <c r="F99" s="691"/>
      <c r="G99" s="691"/>
      <c r="H99" s="691"/>
      <c r="I99" s="663">
        <v>0</v>
      </c>
      <c r="J99" s="663"/>
      <c r="K99" s="663"/>
    </row>
    <row r="100" spans="1:11" ht="19.5" customHeight="1" x14ac:dyDescent="0.3">
      <c r="A100" s="198" t="s">
        <v>162</v>
      </c>
      <c r="B100" s="670" t="s">
        <v>622</v>
      </c>
      <c r="C100" s="674"/>
      <c r="D100" s="674"/>
      <c r="E100" s="674"/>
      <c r="F100" s="674"/>
      <c r="G100" s="674"/>
      <c r="H100" s="674"/>
      <c r="I100" s="663">
        <v>0</v>
      </c>
      <c r="J100" s="663"/>
      <c r="K100" s="663"/>
    </row>
    <row r="101" spans="1:11" ht="20.25" customHeight="1" x14ac:dyDescent="0.3">
      <c r="A101" s="198" t="s">
        <v>164</v>
      </c>
      <c r="B101" s="662" t="s">
        <v>738</v>
      </c>
      <c r="C101" s="691"/>
      <c r="D101" s="691"/>
      <c r="E101" s="691"/>
      <c r="F101" s="691"/>
      <c r="G101" s="691"/>
      <c r="H101" s="691"/>
      <c r="I101" s="679">
        <v>34</v>
      </c>
      <c r="J101" s="679"/>
      <c r="K101" s="679"/>
    </row>
    <row r="102" spans="1:11" ht="21.75" customHeight="1" x14ac:dyDescent="0.3">
      <c r="A102" s="185" t="s">
        <v>166</v>
      </c>
      <c r="B102" s="662" t="s">
        <v>227</v>
      </c>
      <c r="C102" s="662"/>
      <c r="D102" s="662"/>
      <c r="E102" s="662"/>
      <c r="F102" s="662"/>
      <c r="G102" s="662"/>
      <c r="H102" s="662"/>
      <c r="I102" s="663">
        <v>34</v>
      </c>
      <c r="J102" s="663"/>
      <c r="K102" s="663"/>
    </row>
    <row r="103" spans="1:11" ht="40.5" customHeight="1" x14ac:dyDescent="0.3">
      <c r="A103" s="185" t="s">
        <v>168</v>
      </c>
      <c r="B103" s="662" t="s">
        <v>228</v>
      </c>
      <c r="C103" s="662"/>
      <c r="D103" s="662"/>
      <c r="E103" s="662"/>
      <c r="F103" s="662"/>
      <c r="G103" s="662"/>
      <c r="H103" s="662"/>
      <c r="I103" s="679">
        <v>0</v>
      </c>
      <c r="J103" s="679"/>
      <c r="K103" s="679"/>
    </row>
    <row r="104" spans="1:11" ht="38.25" customHeight="1" x14ac:dyDescent="0.3">
      <c r="A104" s="197">
        <v>13</v>
      </c>
      <c r="B104" s="673" t="s">
        <v>229</v>
      </c>
      <c r="C104" s="673"/>
      <c r="D104" s="673"/>
      <c r="E104" s="673"/>
      <c r="F104" s="673"/>
      <c r="G104" s="673"/>
      <c r="H104" s="673"/>
      <c r="I104" s="673"/>
      <c r="J104" s="673"/>
      <c r="K104" s="673"/>
    </row>
    <row r="105" spans="1:11" ht="62.25" customHeight="1" x14ac:dyDescent="0.3">
      <c r="A105" s="185" t="s">
        <v>6</v>
      </c>
      <c r="B105" s="662" t="s">
        <v>301</v>
      </c>
      <c r="C105" s="662"/>
      <c r="D105" s="662"/>
      <c r="E105" s="662"/>
      <c r="F105" s="662"/>
      <c r="G105" s="662"/>
      <c r="H105" s="662"/>
      <c r="I105" s="662"/>
      <c r="J105" s="662"/>
      <c r="K105" s="662"/>
    </row>
    <row r="106" spans="1:11" ht="47.25" customHeight="1" x14ac:dyDescent="0.3">
      <c r="A106" s="197">
        <v>14</v>
      </c>
      <c r="B106" s="672" t="s">
        <v>55</v>
      </c>
      <c r="C106" s="672"/>
      <c r="D106" s="672"/>
      <c r="E106" s="672"/>
      <c r="F106" s="672"/>
      <c r="G106" s="672"/>
      <c r="H106" s="672"/>
      <c r="I106" s="672"/>
      <c r="J106" s="672"/>
      <c r="K106" s="672"/>
    </row>
    <row r="107" spans="1:11" ht="37.5" customHeight="1" x14ac:dyDescent="0.3">
      <c r="A107" s="199" t="s">
        <v>542</v>
      </c>
      <c r="B107" s="669" t="s">
        <v>24</v>
      </c>
      <c r="C107" s="669"/>
      <c r="D107" s="669"/>
      <c r="E107" s="669" t="s">
        <v>627</v>
      </c>
      <c r="F107" s="669"/>
      <c r="G107" s="693" t="s">
        <v>232</v>
      </c>
      <c r="H107" s="693"/>
      <c r="I107" s="694" t="s">
        <v>233</v>
      </c>
      <c r="J107" s="694"/>
      <c r="K107" s="694"/>
    </row>
    <row r="108" spans="1:11" ht="37.5" customHeight="1" x14ac:dyDescent="0.3">
      <c r="A108" s="185" t="s">
        <v>6</v>
      </c>
      <c r="B108" s="670" t="s">
        <v>247</v>
      </c>
      <c r="C108" s="670"/>
      <c r="D108" s="670"/>
      <c r="E108" s="663"/>
      <c r="F108" s="663"/>
      <c r="G108" s="663"/>
      <c r="H108" s="663"/>
      <c r="I108" s="663"/>
      <c r="J108" s="663"/>
      <c r="K108" s="663"/>
    </row>
    <row r="109" spans="1:11" ht="30.75" customHeight="1" x14ac:dyDescent="0.3">
      <c r="A109" s="185" t="s">
        <v>7</v>
      </c>
      <c r="B109" s="670" t="s">
        <v>56</v>
      </c>
      <c r="C109" s="670"/>
      <c r="D109" s="670"/>
      <c r="E109" s="663"/>
      <c r="F109" s="663"/>
      <c r="G109" s="663"/>
      <c r="H109" s="663"/>
      <c r="I109" s="663"/>
      <c r="J109" s="663"/>
      <c r="K109" s="663"/>
    </row>
    <row r="110" spans="1:11" ht="63.75" customHeight="1" x14ac:dyDescent="0.3">
      <c r="A110" s="185" t="s">
        <v>8</v>
      </c>
      <c r="B110" s="670" t="s">
        <v>146</v>
      </c>
      <c r="C110" s="670"/>
      <c r="D110" s="670"/>
      <c r="E110" s="663"/>
      <c r="F110" s="663"/>
      <c r="G110" s="663"/>
      <c r="H110" s="663"/>
      <c r="I110" s="663"/>
      <c r="J110" s="663"/>
      <c r="K110" s="663"/>
    </row>
    <row r="111" spans="1:11" ht="42.6" customHeight="1" x14ac:dyDescent="0.3">
      <c r="A111" s="185" t="s">
        <v>9</v>
      </c>
      <c r="B111" s="695" t="s">
        <v>147</v>
      </c>
      <c r="C111" s="695"/>
      <c r="D111" s="695"/>
      <c r="E111" s="663"/>
      <c r="F111" s="663"/>
      <c r="G111" s="663"/>
      <c r="H111" s="663"/>
      <c r="I111" s="663"/>
      <c r="J111" s="663"/>
      <c r="K111" s="663"/>
    </row>
    <row r="112" spans="1:11" ht="32.25" customHeight="1" x14ac:dyDescent="0.3">
      <c r="A112" s="185" t="s">
        <v>10</v>
      </c>
      <c r="B112" s="670" t="s">
        <v>35</v>
      </c>
      <c r="C112" s="670"/>
      <c r="D112" s="670"/>
      <c r="E112" s="663"/>
      <c r="F112" s="663"/>
      <c r="G112" s="663"/>
      <c r="H112" s="663"/>
      <c r="I112" s="663"/>
      <c r="J112" s="663"/>
      <c r="K112" s="663"/>
    </row>
    <row r="113" spans="1:11" ht="67.5" customHeight="1" x14ac:dyDescent="0.3">
      <c r="A113" s="198" t="s">
        <v>11</v>
      </c>
      <c r="B113" s="695" t="s">
        <v>36</v>
      </c>
      <c r="C113" s="695"/>
      <c r="D113" s="695"/>
      <c r="E113" s="663"/>
      <c r="F113" s="663"/>
      <c r="G113" s="663"/>
      <c r="H113" s="663"/>
      <c r="I113" s="663"/>
      <c r="J113" s="663"/>
      <c r="K113" s="663"/>
    </row>
    <row r="114" spans="1:11" ht="17.25" customHeight="1" x14ac:dyDescent="0.3">
      <c r="A114" s="185" t="s">
        <v>12</v>
      </c>
      <c r="B114" s="670" t="s">
        <v>37</v>
      </c>
      <c r="C114" s="670"/>
      <c r="D114" s="670"/>
      <c r="E114" s="663"/>
      <c r="F114" s="663"/>
      <c r="G114" s="663"/>
      <c r="H114" s="663"/>
      <c r="I114" s="663"/>
      <c r="J114" s="663"/>
      <c r="K114" s="663"/>
    </row>
    <row r="115" spans="1:11" ht="42" customHeight="1" x14ac:dyDescent="0.3">
      <c r="A115" s="185" t="s">
        <v>14</v>
      </c>
      <c r="B115" s="695" t="s">
        <v>354</v>
      </c>
      <c r="C115" s="695"/>
      <c r="D115" s="695"/>
      <c r="E115" s="663"/>
      <c r="F115" s="663"/>
      <c r="G115" s="663"/>
      <c r="H115" s="663"/>
      <c r="I115" s="663"/>
      <c r="J115" s="663"/>
      <c r="K115" s="663"/>
    </row>
    <row r="116" spans="1:11" ht="36" customHeight="1" x14ac:dyDescent="0.3">
      <c r="A116" s="185" t="s">
        <v>16</v>
      </c>
      <c r="B116" s="670" t="s">
        <v>38</v>
      </c>
      <c r="C116" s="670"/>
      <c r="D116" s="670"/>
      <c r="E116" s="663"/>
      <c r="F116" s="663"/>
      <c r="G116" s="663"/>
      <c r="H116" s="663"/>
      <c r="I116" s="663"/>
      <c r="J116" s="663"/>
      <c r="K116" s="663"/>
    </row>
    <row r="117" spans="1:11" ht="16.5" customHeight="1" x14ac:dyDescent="0.3">
      <c r="A117" s="185" t="s">
        <v>17</v>
      </c>
      <c r="B117" s="670" t="s">
        <v>39</v>
      </c>
      <c r="C117" s="670"/>
      <c r="D117" s="670"/>
      <c r="E117" s="663"/>
      <c r="F117" s="663"/>
      <c r="G117" s="663"/>
      <c r="H117" s="663"/>
      <c r="I117" s="663"/>
      <c r="J117" s="663"/>
      <c r="K117" s="663"/>
    </row>
    <row r="118" spans="1:11" ht="36" customHeight="1" x14ac:dyDescent="0.3">
      <c r="A118" s="185" t="s">
        <v>18</v>
      </c>
      <c r="B118" s="670" t="s">
        <v>40</v>
      </c>
      <c r="C118" s="670"/>
      <c r="D118" s="670"/>
      <c r="E118" s="663"/>
      <c r="F118" s="663"/>
      <c r="G118" s="663"/>
      <c r="H118" s="663"/>
      <c r="I118" s="663"/>
      <c r="J118" s="663"/>
      <c r="K118" s="663"/>
    </row>
    <row r="119" spans="1:11" ht="54" customHeight="1" x14ac:dyDescent="0.3">
      <c r="A119" s="185" t="s">
        <v>20</v>
      </c>
      <c r="B119" s="695" t="s">
        <v>41</v>
      </c>
      <c r="C119" s="695"/>
      <c r="D119" s="695"/>
      <c r="E119" s="663"/>
      <c r="F119" s="663"/>
      <c r="G119" s="663"/>
      <c r="H119" s="663"/>
      <c r="I119" s="663"/>
      <c r="J119" s="663"/>
      <c r="K119" s="663"/>
    </row>
    <row r="120" spans="1:11" ht="22.5" customHeight="1" x14ac:dyDescent="0.3">
      <c r="A120" s="185" t="s">
        <v>21</v>
      </c>
      <c r="B120" s="695" t="s">
        <v>42</v>
      </c>
      <c r="C120" s="695"/>
      <c r="D120" s="695"/>
      <c r="E120" s="663"/>
      <c r="F120" s="663"/>
      <c r="G120" s="663"/>
      <c r="H120" s="663"/>
      <c r="I120" s="663"/>
      <c r="J120" s="663"/>
      <c r="K120" s="663"/>
    </row>
    <row r="121" spans="1:11" ht="31.5" customHeight="1" x14ac:dyDescent="0.3">
      <c r="A121" s="185" t="s">
        <v>22</v>
      </c>
      <c r="B121" s="695" t="s">
        <v>248</v>
      </c>
      <c r="C121" s="695"/>
      <c r="D121" s="695"/>
      <c r="E121" s="663"/>
      <c r="F121" s="663"/>
      <c r="G121" s="663"/>
      <c r="H121" s="663"/>
      <c r="I121" s="663"/>
      <c r="J121" s="663"/>
      <c r="K121" s="663"/>
    </row>
    <row r="122" spans="1:11" ht="36" customHeight="1" x14ac:dyDescent="0.3">
      <c r="A122" s="185" t="s">
        <v>29</v>
      </c>
      <c r="B122" s="670" t="s">
        <v>43</v>
      </c>
      <c r="C122" s="670"/>
      <c r="D122" s="670"/>
      <c r="E122" s="663"/>
      <c r="F122" s="663"/>
      <c r="G122" s="663"/>
      <c r="H122" s="663"/>
      <c r="I122" s="663"/>
      <c r="J122" s="663"/>
      <c r="K122" s="663"/>
    </row>
    <row r="123" spans="1:11" ht="32.25" customHeight="1" x14ac:dyDescent="0.3">
      <c r="A123" s="185" t="s">
        <v>31</v>
      </c>
      <c r="B123" s="670" t="s">
        <v>44</v>
      </c>
      <c r="C123" s="670"/>
      <c r="D123" s="670"/>
      <c r="E123" s="663"/>
      <c r="F123" s="663"/>
      <c r="G123" s="663"/>
      <c r="H123" s="663"/>
      <c r="I123" s="663"/>
      <c r="J123" s="663"/>
      <c r="K123" s="663"/>
    </row>
    <row r="124" spans="1:11" ht="33" customHeight="1" x14ac:dyDescent="0.3">
      <c r="A124" s="185" t="s">
        <v>32</v>
      </c>
      <c r="B124" s="670" t="s">
        <v>45</v>
      </c>
      <c r="C124" s="670"/>
      <c r="D124" s="670"/>
      <c r="E124" s="663"/>
      <c r="F124" s="663"/>
      <c r="G124" s="663"/>
      <c r="H124" s="663"/>
      <c r="I124" s="663"/>
      <c r="J124" s="663"/>
      <c r="K124" s="663"/>
    </row>
    <row r="125" spans="1:11" ht="36.6" customHeight="1" x14ac:dyDescent="0.3">
      <c r="A125" s="185" t="s">
        <v>190</v>
      </c>
      <c r="B125" s="670" t="s">
        <v>741</v>
      </c>
      <c r="C125" s="670"/>
      <c r="D125" s="670"/>
      <c r="E125" s="692"/>
      <c r="F125" s="692"/>
      <c r="G125" s="692"/>
      <c r="H125" s="692"/>
      <c r="I125" s="679">
        <v>0</v>
      </c>
      <c r="J125" s="679"/>
      <c r="K125" s="679"/>
    </row>
    <row r="126" spans="1:11" ht="39" customHeight="1" x14ac:dyDescent="0.3">
      <c r="A126" s="185" t="s">
        <v>234</v>
      </c>
      <c r="B126" s="670" t="s">
        <v>574</v>
      </c>
      <c r="C126" s="670"/>
      <c r="D126" s="670"/>
      <c r="E126" s="692"/>
      <c r="F126" s="692"/>
      <c r="G126" s="692"/>
      <c r="H126" s="692"/>
      <c r="I126" s="663">
        <v>4</v>
      </c>
      <c r="J126" s="663"/>
      <c r="K126" s="663"/>
    </row>
    <row r="127" spans="1:11" ht="33" customHeight="1" x14ac:dyDescent="0.3">
      <c r="A127" s="185" t="s">
        <v>235</v>
      </c>
      <c r="B127" s="670" t="s">
        <v>742</v>
      </c>
      <c r="C127" s="670"/>
      <c r="D127" s="670"/>
      <c r="E127" s="692"/>
      <c r="F127" s="692"/>
      <c r="G127" s="692"/>
      <c r="H127" s="692"/>
      <c r="I127" s="679">
        <v>4</v>
      </c>
      <c r="J127" s="679"/>
      <c r="K127" s="679"/>
    </row>
    <row r="128" spans="1:11" ht="33" customHeight="1" x14ac:dyDescent="0.3">
      <c r="A128" s="197">
        <v>15</v>
      </c>
      <c r="B128" s="696" t="s">
        <v>236</v>
      </c>
      <c r="C128" s="696"/>
      <c r="D128" s="696"/>
      <c r="E128" s="696"/>
      <c r="F128" s="696"/>
      <c r="G128" s="696"/>
      <c r="H128" s="696"/>
      <c r="I128" s="696"/>
      <c r="J128" s="696"/>
      <c r="K128" s="696"/>
    </row>
    <row r="129" spans="1:11" ht="53.25" customHeight="1" x14ac:dyDescent="0.3">
      <c r="A129" s="185" t="s">
        <v>6</v>
      </c>
      <c r="B129" s="662" t="s">
        <v>301</v>
      </c>
      <c r="C129" s="662"/>
      <c r="D129" s="662"/>
      <c r="E129" s="662"/>
      <c r="F129" s="662"/>
      <c r="G129" s="662"/>
      <c r="H129" s="662"/>
      <c r="I129" s="662"/>
      <c r="J129" s="662"/>
      <c r="K129" s="662"/>
    </row>
    <row r="130" spans="1:11" ht="42.75" customHeight="1" x14ac:dyDescent="0.3">
      <c r="A130" s="196">
        <v>16</v>
      </c>
      <c r="B130" s="673" t="s">
        <v>628</v>
      </c>
      <c r="C130" s="687"/>
      <c r="D130" s="687"/>
      <c r="E130" s="687"/>
      <c r="F130" s="687"/>
      <c r="G130" s="687"/>
      <c r="H130" s="687"/>
      <c r="I130" s="687"/>
      <c r="J130" s="687"/>
      <c r="K130" s="687"/>
    </row>
    <row r="131" spans="1:11" ht="22.5" customHeight="1" x14ac:dyDescent="0.3">
      <c r="A131" s="187" t="s">
        <v>542</v>
      </c>
      <c r="B131" s="669" t="s">
        <v>24</v>
      </c>
      <c r="C131" s="669"/>
      <c r="D131" s="669" t="s">
        <v>238</v>
      </c>
      <c r="E131" s="669"/>
      <c r="F131" s="669"/>
      <c r="G131" s="669"/>
      <c r="H131" s="669"/>
      <c r="I131" s="669"/>
      <c r="J131" s="669"/>
      <c r="K131" s="669"/>
    </row>
    <row r="132" spans="1:11" ht="21.75" customHeight="1" x14ac:dyDescent="0.3">
      <c r="A132" s="187" t="s">
        <v>6</v>
      </c>
      <c r="B132" s="662" t="s">
        <v>239</v>
      </c>
      <c r="C132" s="662"/>
      <c r="D132" s="663">
        <v>0</v>
      </c>
      <c r="E132" s="663"/>
      <c r="F132" s="663"/>
      <c r="G132" s="663"/>
      <c r="H132" s="663"/>
      <c r="I132" s="663"/>
      <c r="J132" s="663"/>
      <c r="K132" s="663"/>
    </row>
    <row r="133" spans="1:11" ht="16.5" customHeight="1" x14ac:dyDescent="0.3">
      <c r="A133" s="187" t="s">
        <v>7</v>
      </c>
      <c r="B133" s="662" t="s">
        <v>739</v>
      </c>
      <c r="C133" s="691"/>
      <c r="D133" s="663">
        <v>0</v>
      </c>
      <c r="E133" s="663"/>
      <c r="F133" s="663"/>
      <c r="G133" s="663"/>
      <c r="H133" s="663"/>
      <c r="I133" s="663"/>
      <c r="J133" s="663"/>
      <c r="K133" s="663"/>
    </row>
    <row r="134" spans="1:11" ht="48.9" customHeight="1" x14ac:dyDescent="0.3">
      <c r="A134" s="187" t="s">
        <v>8</v>
      </c>
      <c r="B134" s="662" t="s">
        <v>48</v>
      </c>
      <c r="C134" s="691"/>
      <c r="D134" s="663">
        <v>0</v>
      </c>
      <c r="E134" s="663"/>
      <c r="F134" s="663"/>
      <c r="G134" s="663"/>
      <c r="H134" s="663"/>
      <c r="I134" s="663"/>
      <c r="J134" s="663"/>
      <c r="K134" s="663"/>
    </row>
    <row r="135" spans="1:11" ht="16.5" customHeight="1" x14ac:dyDescent="0.3">
      <c r="A135" s="187" t="s">
        <v>9</v>
      </c>
      <c r="B135" s="662" t="s">
        <v>242</v>
      </c>
      <c r="C135" s="662"/>
      <c r="D135" s="663">
        <v>0</v>
      </c>
      <c r="E135" s="663"/>
      <c r="F135" s="663"/>
      <c r="G135" s="663"/>
      <c r="H135" s="663"/>
      <c r="I135" s="663"/>
      <c r="J135" s="663"/>
      <c r="K135" s="663"/>
    </row>
    <row r="136" spans="1:11" ht="16.5" customHeight="1" x14ac:dyDescent="0.3">
      <c r="A136" s="187" t="s">
        <v>10</v>
      </c>
      <c r="B136" s="662" t="s">
        <v>211</v>
      </c>
      <c r="C136" s="662"/>
      <c r="D136" s="663">
        <v>0</v>
      </c>
      <c r="E136" s="663"/>
      <c r="F136" s="663"/>
      <c r="G136" s="663"/>
      <c r="H136" s="663"/>
      <c r="I136" s="663"/>
      <c r="J136" s="663"/>
      <c r="K136" s="663"/>
    </row>
    <row r="137" spans="1:11" ht="51.75" customHeight="1" x14ac:dyDescent="0.3">
      <c r="A137" s="187" t="s">
        <v>11</v>
      </c>
      <c r="B137" s="662" t="s">
        <v>213</v>
      </c>
      <c r="C137" s="662"/>
      <c r="D137" s="663">
        <v>0</v>
      </c>
      <c r="E137" s="663"/>
      <c r="F137" s="663"/>
      <c r="G137" s="663"/>
      <c r="H137" s="663"/>
      <c r="I137" s="663"/>
      <c r="J137" s="663"/>
      <c r="K137" s="663"/>
    </row>
    <row r="138" spans="1:11" ht="16.5" customHeight="1" x14ac:dyDescent="0.3">
      <c r="A138" s="185" t="s">
        <v>676</v>
      </c>
      <c r="B138" s="697" t="s">
        <v>626</v>
      </c>
      <c r="C138" s="697"/>
      <c r="D138" s="697"/>
      <c r="E138" s="697"/>
      <c r="F138" s="697"/>
      <c r="G138" s="697"/>
      <c r="H138" s="697"/>
      <c r="I138" s="697"/>
      <c r="J138" s="697"/>
      <c r="K138" s="697"/>
    </row>
    <row r="139" spans="1:11" ht="16.5" customHeight="1" x14ac:dyDescent="0.25">
      <c r="A139" s="194"/>
      <c r="B139" s="689"/>
      <c r="C139" s="689"/>
      <c r="D139" s="689"/>
      <c r="E139" s="689"/>
      <c r="F139" s="690" t="s">
        <v>734</v>
      </c>
      <c r="G139" s="690"/>
      <c r="H139" s="690"/>
      <c r="I139" s="690"/>
      <c r="J139" s="690"/>
      <c r="K139" s="690"/>
    </row>
    <row r="140" spans="1:11" ht="16.5" customHeight="1" x14ac:dyDescent="0.3">
      <c r="A140" s="187" t="s">
        <v>542</v>
      </c>
      <c r="B140" s="669" t="s">
        <v>204</v>
      </c>
      <c r="C140" s="669"/>
      <c r="D140" s="669" t="s">
        <v>231</v>
      </c>
      <c r="E140" s="669"/>
      <c r="F140" s="185" t="s">
        <v>49</v>
      </c>
      <c r="G140" s="185" t="s">
        <v>547</v>
      </c>
      <c r="H140" s="669" t="s">
        <v>48</v>
      </c>
      <c r="I140" s="669"/>
      <c r="J140" s="669" t="s">
        <v>308</v>
      </c>
      <c r="K140" s="687"/>
    </row>
    <row r="141" spans="1:11" ht="16.5" customHeight="1" x14ac:dyDescent="0.3">
      <c r="A141" s="187" t="s">
        <v>6</v>
      </c>
      <c r="B141" s="665">
        <v>0.05</v>
      </c>
      <c r="C141" s="665"/>
      <c r="D141" s="663"/>
      <c r="E141" s="663"/>
      <c r="F141" s="186"/>
      <c r="G141" s="186"/>
      <c r="H141" s="663"/>
      <c r="I141" s="663"/>
      <c r="J141" s="663"/>
      <c r="K141" s="663"/>
    </row>
    <row r="142" spans="1:11" ht="16.5" customHeight="1" x14ac:dyDescent="0.3">
      <c r="A142" s="187" t="s">
        <v>692</v>
      </c>
      <c r="B142" s="571">
        <v>0.06</v>
      </c>
      <c r="C142" s="572"/>
      <c r="D142" s="573"/>
      <c r="E142" s="574"/>
      <c r="F142" s="186"/>
      <c r="G142" s="186"/>
      <c r="H142" s="573"/>
      <c r="I142" s="574"/>
      <c r="J142" s="573"/>
      <c r="K142" s="574"/>
    </row>
    <row r="143" spans="1:11" ht="16.5" customHeight="1" x14ac:dyDescent="0.3">
      <c r="A143" s="187" t="s">
        <v>7</v>
      </c>
      <c r="B143" s="665">
        <v>0.12</v>
      </c>
      <c r="C143" s="665"/>
      <c r="D143" s="663"/>
      <c r="E143" s="663"/>
      <c r="F143" s="186"/>
      <c r="G143" s="186"/>
      <c r="H143" s="663"/>
      <c r="I143" s="663"/>
      <c r="J143" s="663"/>
      <c r="K143" s="663"/>
    </row>
    <row r="144" spans="1:11" ht="18" customHeight="1" x14ac:dyDescent="0.3">
      <c r="A144" s="187" t="s">
        <v>8</v>
      </c>
      <c r="B144" s="665">
        <v>0.18</v>
      </c>
      <c r="C144" s="665"/>
      <c r="D144" s="663"/>
      <c r="E144" s="663"/>
      <c r="F144" s="186"/>
      <c r="G144" s="186"/>
      <c r="H144" s="663"/>
      <c r="I144" s="663"/>
      <c r="J144" s="663"/>
      <c r="K144" s="663"/>
    </row>
    <row r="145" spans="1:11" ht="16.5" customHeight="1" x14ac:dyDescent="0.3">
      <c r="A145" s="187" t="s">
        <v>9</v>
      </c>
      <c r="B145" s="665">
        <v>0.28000000000000003</v>
      </c>
      <c r="C145" s="665"/>
      <c r="D145" s="663"/>
      <c r="E145" s="663"/>
      <c r="F145" s="186"/>
      <c r="G145" s="186"/>
      <c r="H145" s="663"/>
      <c r="I145" s="663"/>
      <c r="J145" s="663"/>
      <c r="K145" s="663"/>
    </row>
    <row r="146" spans="1:11" ht="16.5" customHeight="1" x14ac:dyDescent="0.3">
      <c r="A146" s="187" t="s">
        <v>724</v>
      </c>
      <c r="B146" s="665">
        <v>0.4</v>
      </c>
      <c r="C146" s="665"/>
      <c r="D146" s="663"/>
      <c r="E146" s="663"/>
      <c r="F146" s="186"/>
      <c r="G146" s="186"/>
      <c r="H146" s="663"/>
      <c r="I146" s="663"/>
      <c r="J146" s="663"/>
      <c r="K146" s="663"/>
    </row>
    <row r="147" spans="1:11" ht="27" customHeight="1" x14ac:dyDescent="0.3">
      <c r="A147" s="187" t="s">
        <v>10</v>
      </c>
      <c r="B147" s="665">
        <v>0.03</v>
      </c>
      <c r="C147" s="665"/>
      <c r="D147" s="663"/>
      <c r="E147" s="663"/>
      <c r="F147" s="186"/>
      <c r="G147" s="186"/>
      <c r="H147" s="663"/>
      <c r="I147" s="663"/>
      <c r="J147" s="663"/>
      <c r="K147" s="663"/>
    </row>
    <row r="148" spans="1:11" ht="33.75" customHeight="1" x14ac:dyDescent="0.3">
      <c r="A148" s="187" t="s">
        <v>11</v>
      </c>
      <c r="B148" s="666">
        <v>2.5000000000000001E-3</v>
      </c>
      <c r="C148" s="666"/>
      <c r="D148" s="663"/>
      <c r="E148" s="663"/>
      <c r="F148" s="186"/>
      <c r="G148" s="186"/>
      <c r="H148" s="663"/>
      <c r="I148" s="663"/>
      <c r="J148" s="663"/>
      <c r="K148" s="663"/>
    </row>
    <row r="149" spans="1:11" ht="22.5" customHeight="1" x14ac:dyDescent="0.3">
      <c r="A149" s="187" t="s">
        <v>12</v>
      </c>
      <c r="B149" s="666">
        <v>1E-3</v>
      </c>
      <c r="C149" s="666"/>
      <c r="D149" s="663"/>
      <c r="E149" s="663"/>
      <c r="F149" s="186"/>
      <c r="G149" s="186"/>
      <c r="H149" s="663"/>
      <c r="I149" s="663"/>
      <c r="J149" s="663"/>
      <c r="K149" s="663"/>
    </row>
    <row r="150" spans="1:11" ht="21" customHeight="1" x14ac:dyDescent="0.3">
      <c r="A150" s="187" t="s">
        <v>693</v>
      </c>
      <c r="B150" s="666" t="s">
        <v>625</v>
      </c>
      <c r="C150" s="666"/>
      <c r="D150" s="663"/>
      <c r="E150" s="663"/>
      <c r="F150" s="186"/>
      <c r="G150" s="186"/>
      <c r="H150" s="663"/>
      <c r="I150" s="663"/>
      <c r="J150" s="663"/>
      <c r="K150" s="663"/>
    </row>
    <row r="151" spans="1:11" ht="207" customHeight="1" x14ac:dyDescent="0.3">
      <c r="A151" s="187" t="s">
        <v>726</v>
      </c>
      <c r="B151" s="667" t="s">
        <v>712</v>
      </c>
      <c r="C151" s="667"/>
      <c r="D151" s="668"/>
      <c r="E151" s="668"/>
      <c r="F151" s="186"/>
      <c r="G151" s="186"/>
      <c r="H151" s="663"/>
      <c r="I151" s="663"/>
      <c r="J151" s="663"/>
      <c r="K151" s="663"/>
    </row>
    <row r="152" spans="1:11" ht="45.9" customHeight="1" x14ac:dyDescent="0.3">
      <c r="A152" s="187" t="s">
        <v>14</v>
      </c>
      <c r="B152" s="691" t="s">
        <v>243</v>
      </c>
      <c r="C152" s="691"/>
      <c r="D152" s="663"/>
      <c r="E152" s="663"/>
      <c r="F152" s="186"/>
      <c r="G152" s="186"/>
      <c r="H152" s="663"/>
      <c r="I152" s="663"/>
      <c r="J152" s="663"/>
      <c r="K152" s="663"/>
    </row>
    <row r="153" spans="1:11" ht="52.5" customHeight="1" x14ac:dyDescent="0.3">
      <c r="A153" s="187" t="s">
        <v>16</v>
      </c>
      <c r="B153" s="662" t="s">
        <v>211</v>
      </c>
      <c r="C153" s="662"/>
      <c r="D153" s="663"/>
      <c r="E153" s="663"/>
      <c r="F153" s="186"/>
      <c r="G153" s="186"/>
      <c r="H153" s="663"/>
      <c r="I153" s="663"/>
      <c r="J153" s="663"/>
      <c r="K153" s="663"/>
    </row>
    <row r="154" spans="1:11" ht="48" customHeight="1" x14ac:dyDescent="0.3">
      <c r="A154" s="187" t="s">
        <v>17</v>
      </c>
      <c r="B154" s="662" t="s">
        <v>212</v>
      </c>
      <c r="C154" s="662"/>
      <c r="D154" s="663"/>
      <c r="E154" s="663"/>
      <c r="F154" s="186"/>
      <c r="G154" s="186"/>
      <c r="H154" s="663"/>
      <c r="I154" s="663"/>
      <c r="J154" s="663"/>
      <c r="K154" s="663"/>
    </row>
    <row r="155" spans="1:11" ht="15.6" x14ac:dyDescent="0.3">
      <c r="A155" s="187" t="s">
        <v>18</v>
      </c>
      <c r="B155" s="662" t="s">
        <v>213</v>
      </c>
      <c r="C155" s="662"/>
      <c r="D155" s="663"/>
      <c r="E155" s="663"/>
      <c r="F155" s="186"/>
      <c r="G155" s="186"/>
      <c r="H155" s="663"/>
      <c r="I155" s="663"/>
      <c r="J155" s="663"/>
      <c r="K155" s="663"/>
    </row>
    <row r="156" spans="1:11" ht="99" customHeight="1" x14ac:dyDescent="0.3">
      <c r="A156" s="187" t="s">
        <v>20</v>
      </c>
      <c r="B156" s="662" t="s">
        <v>740</v>
      </c>
      <c r="C156" s="691"/>
      <c r="D156" s="663"/>
      <c r="E156" s="663"/>
      <c r="F156" s="186"/>
      <c r="G156" s="186"/>
      <c r="H156" s="663"/>
      <c r="I156" s="663"/>
      <c r="J156" s="663"/>
      <c r="K156" s="663"/>
    </row>
    <row r="157" spans="1:11" ht="61.5" customHeight="1" x14ac:dyDescent="0.3">
      <c r="A157" s="187" t="s">
        <v>21</v>
      </c>
      <c r="B157" s="691" t="s">
        <v>244</v>
      </c>
      <c r="C157" s="691"/>
      <c r="D157" s="663"/>
      <c r="E157" s="663"/>
      <c r="F157" s="186"/>
      <c r="G157" s="186"/>
      <c r="H157" s="663"/>
      <c r="I157" s="663"/>
      <c r="J157" s="663"/>
      <c r="K157" s="663"/>
    </row>
    <row r="158" spans="1:11" ht="67.5" customHeight="1" x14ac:dyDescent="0.3">
      <c r="A158" s="187" t="s">
        <v>22</v>
      </c>
      <c r="B158" s="691" t="s">
        <v>245</v>
      </c>
      <c r="C158" s="691"/>
      <c r="D158" s="663"/>
      <c r="E158" s="663"/>
      <c r="F158" s="186"/>
      <c r="G158" s="186"/>
      <c r="H158" s="663"/>
      <c r="I158" s="663"/>
      <c r="J158" s="663"/>
      <c r="K158" s="663"/>
    </row>
    <row r="159" spans="1:11" ht="15.6" x14ac:dyDescent="0.3">
      <c r="A159" s="187" t="s">
        <v>29</v>
      </c>
      <c r="B159" s="662" t="s">
        <v>393</v>
      </c>
      <c r="C159" s="691"/>
      <c r="D159" s="663"/>
      <c r="E159" s="663"/>
      <c r="F159" s="186"/>
      <c r="G159" s="186"/>
      <c r="H159" s="663"/>
      <c r="I159" s="663"/>
      <c r="J159" s="663"/>
      <c r="K159" s="663"/>
    </row>
    <row r="160" spans="1:11" ht="14.4" x14ac:dyDescent="0.3">
      <c r="A160" s="65"/>
      <c r="B160" s="65"/>
      <c r="C160" s="65"/>
      <c r="D160" s="65"/>
      <c r="E160" s="65"/>
      <c r="F160" s="65"/>
      <c r="G160" s="65"/>
      <c r="H160" s="65"/>
      <c r="I160" s="65"/>
      <c r="J160" s="65"/>
      <c r="K160" s="65"/>
    </row>
  </sheetData>
  <mergeCells count="461">
    <mergeCell ref="J143:K143"/>
    <mergeCell ref="H142:I142"/>
    <mergeCell ref="J142:K142"/>
    <mergeCell ref="B138:K138"/>
    <mergeCell ref="B137:C137"/>
    <mergeCell ref="B134:C134"/>
    <mergeCell ref="B158:C158"/>
    <mergeCell ref="D158:E158"/>
    <mergeCell ref="H158:I158"/>
    <mergeCell ref="J158:K158"/>
    <mergeCell ref="H145:I145"/>
    <mergeCell ref="J145:K145"/>
    <mergeCell ref="B136:C136"/>
    <mergeCell ref="B139:C139"/>
    <mergeCell ref="D139:E139"/>
    <mergeCell ref="B159:C159"/>
    <mergeCell ref="D159:E159"/>
    <mergeCell ref="H159:I159"/>
    <mergeCell ref="J159:K159"/>
    <mergeCell ref="F139:K139"/>
    <mergeCell ref="B156:C156"/>
    <mergeCell ref="D156:E156"/>
    <mergeCell ref="H156:I156"/>
    <mergeCell ref="J156:K156"/>
    <mergeCell ref="B157:C157"/>
    <mergeCell ref="D157:E157"/>
    <mergeCell ref="H157:I157"/>
    <mergeCell ref="J157:K157"/>
    <mergeCell ref="B148:C148"/>
    <mergeCell ref="D148:E148"/>
    <mergeCell ref="H148:I148"/>
    <mergeCell ref="J148:K148"/>
    <mergeCell ref="D146:E146"/>
    <mergeCell ref="B143:C143"/>
    <mergeCell ref="D143:E143"/>
    <mergeCell ref="H143:I143"/>
    <mergeCell ref="J144:K144"/>
    <mergeCell ref="B145:C145"/>
    <mergeCell ref="D145:E145"/>
    <mergeCell ref="B108:D108"/>
    <mergeCell ref="B128:K128"/>
    <mergeCell ref="B129:D129"/>
    <mergeCell ref="E129:K129"/>
    <mergeCell ref="B130:K130"/>
    <mergeCell ref="B135:C135"/>
    <mergeCell ref="D135:K135"/>
    <mergeCell ref="D136:K136"/>
    <mergeCell ref="D137:K137"/>
    <mergeCell ref="I109:K109"/>
    <mergeCell ref="B110:D110"/>
    <mergeCell ref="B116:D116"/>
    <mergeCell ref="E116:F116"/>
    <mergeCell ref="G116:H116"/>
    <mergeCell ref="I116:K116"/>
    <mergeCell ref="I120:K120"/>
    <mergeCell ref="B111:D111"/>
    <mergeCell ref="E111:F111"/>
    <mergeCell ref="G111:H111"/>
    <mergeCell ref="I111:K111"/>
    <mergeCell ref="E119:F119"/>
    <mergeCell ref="G119:H119"/>
    <mergeCell ref="I119:K119"/>
    <mergeCell ref="B133:C133"/>
    <mergeCell ref="D83:E83"/>
    <mergeCell ref="H83:I83"/>
    <mergeCell ref="J83:K83"/>
    <mergeCell ref="B84:C84"/>
    <mergeCell ref="D84:E84"/>
    <mergeCell ref="H84:I84"/>
    <mergeCell ref="J84:K84"/>
    <mergeCell ref="B85:C85"/>
    <mergeCell ref="B96:K96"/>
    <mergeCell ref="B83:C83"/>
    <mergeCell ref="B87:C87"/>
    <mergeCell ref="D87:E87"/>
    <mergeCell ref="H87:I87"/>
    <mergeCell ref="D85:E85"/>
    <mergeCell ref="H85:I85"/>
    <mergeCell ref="J85:K85"/>
    <mergeCell ref="B86:C86"/>
    <mergeCell ref="D86:E86"/>
    <mergeCell ref="H86:I86"/>
    <mergeCell ref="J86:K86"/>
    <mergeCell ref="J87:K87"/>
    <mergeCell ref="B48:K48"/>
    <mergeCell ref="A49:A50"/>
    <mergeCell ref="B49:C50"/>
    <mergeCell ref="D49:E50"/>
    <mergeCell ref="F49:K49"/>
    <mergeCell ref="B72:C72"/>
    <mergeCell ref="D72:E72"/>
    <mergeCell ref="H72:I72"/>
    <mergeCell ref="J72:K72"/>
    <mergeCell ref="B62:C62"/>
    <mergeCell ref="D62:E62"/>
    <mergeCell ref="H62:I62"/>
    <mergeCell ref="J62:K62"/>
    <mergeCell ref="B63:C63"/>
    <mergeCell ref="D63:E63"/>
    <mergeCell ref="H63:I63"/>
    <mergeCell ref="J63:K63"/>
    <mergeCell ref="B52:C52"/>
    <mergeCell ref="D52:E52"/>
    <mergeCell ref="H52:I52"/>
    <mergeCell ref="J52:K52"/>
    <mergeCell ref="B53:C53"/>
    <mergeCell ref="D53:E53"/>
    <mergeCell ref="H53:I53"/>
    <mergeCell ref="E107:F107"/>
    <mergeCell ref="D88:E88"/>
    <mergeCell ref="H88:I88"/>
    <mergeCell ref="J88:K88"/>
    <mergeCell ref="B89:C89"/>
    <mergeCell ref="D89:E89"/>
    <mergeCell ref="B105:D105"/>
    <mergeCell ref="H89:I89"/>
    <mergeCell ref="J89:K89"/>
    <mergeCell ref="B90:C90"/>
    <mergeCell ref="D90:E90"/>
    <mergeCell ref="H90:I90"/>
    <mergeCell ref="B88:C88"/>
    <mergeCell ref="B91:C91"/>
    <mergeCell ref="D91:E91"/>
    <mergeCell ref="H91:I91"/>
    <mergeCell ref="J91:K91"/>
    <mergeCell ref="B101:H101"/>
    <mergeCell ref="I101:K101"/>
    <mergeCell ref="B102:H102"/>
    <mergeCell ref="I102:K102"/>
    <mergeCell ref="E105:K105"/>
    <mergeCell ref="B97:H97"/>
    <mergeCell ref="I97:K97"/>
    <mergeCell ref="B106:K106"/>
    <mergeCell ref="B125:D125"/>
    <mergeCell ref="H150:I150"/>
    <mergeCell ref="J150:K150"/>
    <mergeCell ref="H146:I146"/>
    <mergeCell ref="B147:C147"/>
    <mergeCell ref="D147:E147"/>
    <mergeCell ref="H147:I147"/>
    <mergeCell ref="J147:K147"/>
    <mergeCell ref="B142:C142"/>
    <mergeCell ref="D142:E142"/>
    <mergeCell ref="J146:K146"/>
    <mergeCell ref="B144:C144"/>
    <mergeCell ref="D144:E144"/>
    <mergeCell ref="H144:I144"/>
    <mergeCell ref="J141:K141"/>
    <mergeCell ref="B146:C146"/>
    <mergeCell ref="B119:D119"/>
    <mergeCell ref="G107:H107"/>
    <mergeCell ref="I107:K107"/>
    <mergeCell ref="B107:D107"/>
    <mergeCell ref="E110:F110"/>
    <mergeCell ref="G110:H110"/>
    <mergeCell ref="I110:K110"/>
    <mergeCell ref="B82:C82"/>
    <mergeCell ref="E108:F108"/>
    <mergeCell ref="G108:H108"/>
    <mergeCell ref="I108:K108"/>
    <mergeCell ref="B109:D109"/>
    <mergeCell ref="E109:F109"/>
    <mergeCell ref="G109:H109"/>
    <mergeCell ref="B112:D112"/>
    <mergeCell ref="E112:F112"/>
    <mergeCell ref="J90:K90"/>
    <mergeCell ref="D82:E82"/>
    <mergeCell ref="H82:I82"/>
    <mergeCell ref="J82:K82"/>
    <mergeCell ref="B92:C92"/>
    <mergeCell ref="D92:E92"/>
    <mergeCell ref="H92:I92"/>
    <mergeCell ref="J92:K92"/>
    <mergeCell ref="B93:C93"/>
    <mergeCell ref="D93:E93"/>
    <mergeCell ref="H93:I93"/>
    <mergeCell ref="J93:K93"/>
    <mergeCell ref="B103:H103"/>
    <mergeCell ref="I103:K103"/>
    <mergeCell ref="B104:K104"/>
    <mergeCell ref="B65:C65"/>
    <mergeCell ref="D65:E65"/>
    <mergeCell ref="H65:I65"/>
    <mergeCell ref="J65:K65"/>
    <mergeCell ref="B80:C80"/>
    <mergeCell ref="D80:E80"/>
    <mergeCell ref="H80:I80"/>
    <mergeCell ref="J80:K80"/>
    <mergeCell ref="B151:C151"/>
    <mergeCell ref="D151:E151"/>
    <mergeCell ref="H151:I151"/>
    <mergeCell ref="J151:K151"/>
    <mergeCell ref="B123:D123"/>
    <mergeCell ref="B131:C131"/>
    <mergeCell ref="D131:K131"/>
    <mergeCell ref="B140:C140"/>
    <mergeCell ref="D140:E140"/>
    <mergeCell ref="H140:I140"/>
    <mergeCell ref="J140:K140"/>
    <mergeCell ref="B141:C141"/>
    <mergeCell ref="D141:E141"/>
    <mergeCell ref="H141:I141"/>
    <mergeCell ref="B150:C150"/>
    <mergeCell ref="D150:E150"/>
    <mergeCell ref="B81:C81"/>
    <mergeCell ref="D81:E81"/>
    <mergeCell ref="H81:I81"/>
    <mergeCell ref="J81:K81"/>
    <mergeCell ref="B68:C68"/>
    <mergeCell ref="D68:E68"/>
    <mergeCell ref="H68:I68"/>
    <mergeCell ref="J68:K68"/>
    <mergeCell ref="B78:C78"/>
    <mergeCell ref="D78:E78"/>
    <mergeCell ref="H78:I78"/>
    <mergeCell ref="B73:C73"/>
    <mergeCell ref="D73:E73"/>
    <mergeCell ref="H73:I73"/>
    <mergeCell ref="J73:K73"/>
    <mergeCell ref="B75:D75"/>
    <mergeCell ref="E75:K75"/>
    <mergeCell ref="B76:K76"/>
    <mergeCell ref="F77:K77"/>
    <mergeCell ref="J78:K78"/>
    <mergeCell ref="B79:C79"/>
    <mergeCell ref="D79:E79"/>
    <mergeCell ref="H79:I79"/>
    <mergeCell ref="J79:K79"/>
    <mergeCell ref="E114:F114"/>
    <mergeCell ref="G114:H114"/>
    <mergeCell ref="I114:K114"/>
    <mergeCell ref="B117:D117"/>
    <mergeCell ref="E117:F117"/>
    <mergeCell ref="B120:D120"/>
    <mergeCell ref="B115:D115"/>
    <mergeCell ref="E115:F115"/>
    <mergeCell ref="G115:H115"/>
    <mergeCell ref="I115:K115"/>
    <mergeCell ref="D132:K132"/>
    <mergeCell ref="D133:K133"/>
    <mergeCell ref="D134:K134"/>
    <mergeCell ref="B118:D118"/>
    <mergeCell ref="E118:F118"/>
    <mergeCell ref="E125:F125"/>
    <mergeCell ref="G125:H125"/>
    <mergeCell ref="I125:K125"/>
    <mergeCell ref="E126:F126"/>
    <mergeCell ref="G126:H126"/>
    <mergeCell ref="I126:K126"/>
    <mergeCell ref="B127:D127"/>
    <mergeCell ref="I124:K124"/>
    <mergeCell ref="B126:D126"/>
    <mergeCell ref="B132:C132"/>
    <mergeCell ref="B121:D121"/>
    <mergeCell ref="E121:F121"/>
    <mergeCell ref="G121:H121"/>
    <mergeCell ref="I121:K121"/>
    <mergeCell ref="E127:F127"/>
    <mergeCell ref="G127:H127"/>
    <mergeCell ref="I127:K127"/>
    <mergeCell ref="B77:C77"/>
    <mergeCell ref="D77:E77"/>
    <mergeCell ref="B66:C66"/>
    <mergeCell ref="D66:E66"/>
    <mergeCell ref="H66:I66"/>
    <mergeCell ref="J66:K66"/>
    <mergeCell ref="B67:C67"/>
    <mergeCell ref="D67:E67"/>
    <mergeCell ref="H67:I67"/>
    <mergeCell ref="J67:K67"/>
    <mergeCell ref="B69:C69"/>
    <mergeCell ref="D69:E69"/>
    <mergeCell ref="H69:I69"/>
    <mergeCell ref="J69:K69"/>
    <mergeCell ref="J71:K71"/>
    <mergeCell ref="G112:H112"/>
    <mergeCell ref="I112:K112"/>
    <mergeCell ref="B113:D113"/>
    <mergeCell ref="E113:F113"/>
    <mergeCell ref="G113:H113"/>
    <mergeCell ref="I113:K113"/>
    <mergeCell ref="B114:D114"/>
    <mergeCell ref="B30:H30"/>
    <mergeCell ref="B37:H37"/>
    <mergeCell ref="I37:K37"/>
    <mergeCell ref="B38:H38"/>
    <mergeCell ref="I38:K38"/>
    <mergeCell ref="B47:K47"/>
    <mergeCell ref="B42:H42"/>
    <mergeCell ref="I42:K42"/>
    <mergeCell ref="B43:H43"/>
    <mergeCell ref="I43:K43"/>
    <mergeCell ref="B35:K35"/>
    <mergeCell ref="B36:H36"/>
    <mergeCell ref="I36:K36"/>
    <mergeCell ref="B44:H44"/>
    <mergeCell ref="I44:K44"/>
    <mergeCell ref="B45:K45"/>
    <mergeCell ref="B46:D46"/>
    <mergeCell ref="E46:K46"/>
    <mergeCell ref="B39:H39"/>
    <mergeCell ref="I39:K39"/>
    <mergeCell ref="B40:H40"/>
    <mergeCell ref="I40:K40"/>
    <mergeCell ref="B41:H41"/>
    <mergeCell ref="I41:K41"/>
    <mergeCell ref="B24:G24"/>
    <mergeCell ref="I24:K24"/>
    <mergeCell ref="B33:K33"/>
    <mergeCell ref="B34:D34"/>
    <mergeCell ref="E34:K34"/>
    <mergeCell ref="B25:G25"/>
    <mergeCell ref="I25:K25"/>
    <mergeCell ref="B26:G26"/>
    <mergeCell ref="I26:K26"/>
    <mergeCell ref="B27:G27"/>
    <mergeCell ref="I27:K27"/>
    <mergeCell ref="B28:G28"/>
    <mergeCell ref="I28:K28"/>
    <mergeCell ref="B29:G29"/>
    <mergeCell ref="I29:K29"/>
    <mergeCell ref="I30:K30"/>
    <mergeCell ref="B31:H31"/>
    <mergeCell ref="I31:K31"/>
    <mergeCell ref="B32:H32"/>
    <mergeCell ref="I32:K32"/>
    <mergeCell ref="B19:G19"/>
    <mergeCell ref="I19:K19"/>
    <mergeCell ref="B16:G16"/>
    <mergeCell ref="B13:K13"/>
    <mergeCell ref="B15:H15"/>
    <mergeCell ref="I15:K15"/>
    <mergeCell ref="B22:G22"/>
    <mergeCell ref="I22:K22"/>
    <mergeCell ref="B23:G23"/>
    <mergeCell ref="I23:K23"/>
    <mergeCell ref="B20:G20"/>
    <mergeCell ref="I20:K20"/>
    <mergeCell ref="B21:G21"/>
    <mergeCell ref="I21:K21"/>
    <mergeCell ref="B12:K12"/>
    <mergeCell ref="B14:H14"/>
    <mergeCell ref="I14:K14"/>
    <mergeCell ref="B8:F8"/>
    <mergeCell ref="G8:K8"/>
    <mergeCell ref="I16:K16"/>
    <mergeCell ref="B17:G17"/>
    <mergeCell ref="I17:K17"/>
    <mergeCell ref="B18:G18"/>
    <mergeCell ref="I18:K18"/>
    <mergeCell ref="E2:G2"/>
    <mergeCell ref="B3:K3"/>
    <mergeCell ref="B4:F4"/>
    <mergeCell ref="G4:K4"/>
    <mergeCell ref="B5:F5"/>
    <mergeCell ref="G5:K5"/>
    <mergeCell ref="B11:F11"/>
    <mergeCell ref="G11:K11"/>
    <mergeCell ref="B6:F6"/>
    <mergeCell ref="G6:K6"/>
    <mergeCell ref="B7:F7"/>
    <mergeCell ref="G7:K7"/>
    <mergeCell ref="B9:F9"/>
    <mergeCell ref="G9:K9"/>
    <mergeCell ref="B10:F10"/>
    <mergeCell ref="G10:K10"/>
    <mergeCell ref="J53:K53"/>
    <mergeCell ref="H50:I50"/>
    <mergeCell ref="J50:K50"/>
    <mergeCell ref="B51:C51"/>
    <mergeCell ref="D51:E51"/>
    <mergeCell ref="H51:I51"/>
    <mergeCell ref="J51:K51"/>
    <mergeCell ref="B54:C54"/>
    <mergeCell ref="D54:E54"/>
    <mergeCell ref="H54:I54"/>
    <mergeCell ref="J54:K54"/>
    <mergeCell ref="B55:C55"/>
    <mergeCell ref="B74:K74"/>
    <mergeCell ref="D55:E55"/>
    <mergeCell ref="H55:I55"/>
    <mergeCell ref="J55:K55"/>
    <mergeCell ref="B60:C60"/>
    <mergeCell ref="D60:E60"/>
    <mergeCell ref="H60:I60"/>
    <mergeCell ref="J60:K60"/>
    <mergeCell ref="B61:C61"/>
    <mergeCell ref="D61:E61"/>
    <mergeCell ref="H61:I61"/>
    <mergeCell ref="J61:K61"/>
    <mergeCell ref="B58:C58"/>
    <mergeCell ref="D58:E58"/>
    <mergeCell ref="H58:I58"/>
    <mergeCell ref="J58:K58"/>
    <mergeCell ref="B70:C70"/>
    <mergeCell ref="D70:E70"/>
    <mergeCell ref="H70:I70"/>
    <mergeCell ref="J70:K70"/>
    <mergeCell ref="B71:C71"/>
    <mergeCell ref="D71:E71"/>
    <mergeCell ref="H71:I71"/>
    <mergeCell ref="B56:C56"/>
    <mergeCell ref="D56:E56"/>
    <mergeCell ref="H56:I56"/>
    <mergeCell ref="J56:K56"/>
    <mergeCell ref="B57:C57"/>
    <mergeCell ref="D57:E57"/>
    <mergeCell ref="H57:I57"/>
    <mergeCell ref="J57:K57"/>
    <mergeCell ref="B59:C59"/>
    <mergeCell ref="D59:E59"/>
    <mergeCell ref="H59:I59"/>
    <mergeCell ref="J59:K59"/>
    <mergeCell ref="B64:C64"/>
    <mergeCell ref="D64:E64"/>
    <mergeCell ref="H64:I64"/>
    <mergeCell ref="J64:K64"/>
    <mergeCell ref="B149:C149"/>
    <mergeCell ref="D149:E149"/>
    <mergeCell ref="H149:I149"/>
    <mergeCell ref="J149:K149"/>
    <mergeCell ref="B122:D122"/>
    <mergeCell ref="E122:F122"/>
    <mergeCell ref="G122:H122"/>
    <mergeCell ref="I122:K122"/>
    <mergeCell ref="E123:F123"/>
    <mergeCell ref="G123:H123"/>
    <mergeCell ref="I123:K123"/>
    <mergeCell ref="B124:D124"/>
    <mergeCell ref="E124:F124"/>
    <mergeCell ref="G124:H124"/>
    <mergeCell ref="B98:H98"/>
    <mergeCell ref="I98:K98"/>
    <mergeCell ref="B99:H99"/>
    <mergeCell ref="I99:K99"/>
    <mergeCell ref="B100:H100"/>
    <mergeCell ref="I100:K100"/>
    <mergeCell ref="A94:A95"/>
    <mergeCell ref="B94:K95"/>
    <mergeCell ref="B155:C155"/>
    <mergeCell ref="D155:E155"/>
    <mergeCell ref="H155:I155"/>
    <mergeCell ref="J155:K155"/>
    <mergeCell ref="B152:C152"/>
    <mergeCell ref="D152:E152"/>
    <mergeCell ref="H152:I152"/>
    <mergeCell ref="J152:K152"/>
    <mergeCell ref="B153:C153"/>
    <mergeCell ref="D153:E153"/>
    <mergeCell ref="H153:I153"/>
    <mergeCell ref="J153:K153"/>
    <mergeCell ref="B154:C154"/>
    <mergeCell ref="D154:E154"/>
    <mergeCell ref="H154:I154"/>
    <mergeCell ref="J154:K154"/>
    <mergeCell ref="G117:H117"/>
    <mergeCell ref="I117:K117"/>
    <mergeCell ref="G118:H118"/>
    <mergeCell ref="I118:K118"/>
    <mergeCell ref="E120:F120"/>
    <mergeCell ref="G120:H120"/>
  </mergeCells>
  <pageMargins left="0.25196850393700787" right="7.8740157480314973E-2" top="0.75196850393700787" bottom="0.75196850393700787" header="0.3" footer="0.3"/>
  <pageSetup orientation="portrait" horizontalDpi="90" verticalDpi="90" r:id="rId1"/>
  <headerFooter>
    <oddHeader>&amp;C
&amp;G</oddHeader>
  </headerFooter>
  <legacyDrawingHF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4D43293F-989D-4D05-91CA-BEB0FAFBE938}">
          <x14:formula1>
            <xm:f>'D:\Users\Administrator\Downloads\[GSTR 9C_Offline utility_071218_v2 (1).xlsm]Master'!#REF!</xm:f>
          </x14:formula1>
          <xm:sqref>C238</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8"/>
  <dimension ref="A1:T40"/>
  <sheetViews>
    <sheetView topLeftCell="A10" zoomScale="55" zoomScaleNormal="70" workbookViewId="0">
      <selection activeCell="J20" sqref="J20"/>
    </sheetView>
  </sheetViews>
  <sheetFormatPr defaultRowHeight="14.4" x14ac:dyDescent="0.3"/>
  <cols>
    <col min="1" max="1" width="90.6640625" customWidth="1"/>
    <col min="2" max="2" width="36" bestFit="1" customWidth="1"/>
    <col min="10" max="10" width="15.6640625" customWidth="1"/>
  </cols>
  <sheetData>
    <row r="1" spans="1:20" x14ac:dyDescent="0.3">
      <c r="A1" t="s">
        <v>122</v>
      </c>
    </row>
    <row r="2" spans="1:20" x14ac:dyDescent="0.3">
      <c r="A2" t="s">
        <v>87</v>
      </c>
    </row>
    <row r="3" spans="1:20" x14ac:dyDescent="0.3">
      <c r="J3" t="s">
        <v>632</v>
      </c>
    </row>
    <row r="5" spans="1:20" x14ac:dyDescent="0.3">
      <c r="J5" t="s">
        <v>630</v>
      </c>
    </row>
    <row r="7" spans="1:20" ht="409.6" x14ac:dyDescent="0.3">
      <c r="A7" t="s">
        <v>77</v>
      </c>
      <c r="B7" t="s">
        <v>77</v>
      </c>
      <c r="C7" s="78" t="s">
        <v>418</v>
      </c>
      <c r="D7" s="78" t="s">
        <v>418</v>
      </c>
      <c r="J7" s="71" t="s">
        <v>715</v>
      </c>
    </row>
    <row r="8" spans="1:20" x14ac:dyDescent="0.3">
      <c r="A8" t="s">
        <v>78</v>
      </c>
      <c r="B8" t="s">
        <v>351</v>
      </c>
      <c r="C8" t="s">
        <v>89</v>
      </c>
      <c r="D8" s="78" t="s">
        <v>419</v>
      </c>
      <c r="G8" s="67"/>
    </row>
    <row r="9" spans="1:20" x14ac:dyDescent="0.3">
      <c r="A9" t="s">
        <v>79</v>
      </c>
      <c r="C9" s="78" t="s">
        <v>371</v>
      </c>
      <c r="J9" s="145" t="s">
        <v>631</v>
      </c>
    </row>
    <row r="10" spans="1:20" x14ac:dyDescent="0.3">
      <c r="J10" s="88"/>
    </row>
    <row r="13" spans="1:20" x14ac:dyDescent="0.3">
      <c r="A13" t="s">
        <v>111</v>
      </c>
    </row>
    <row r="14" spans="1:20" x14ac:dyDescent="0.3">
      <c r="A14" t="s">
        <v>112</v>
      </c>
      <c r="D14" s="73" t="s">
        <v>382</v>
      </c>
      <c r="E14" s="76" t="s">
        <v>371</v>
      </c>
      <c r="F14" s="73" t="s">
        <v>382</v>
      </c>
      <c r="H14" s="74" t="s">
        <v>382</v>
      </c>
      <c r="I14" s="77" t="s">
        <v>371</v>
      </c>
      <c r="J14" s="74" t="s">
        <v>382</v>
      </c>
      <c r="L14" s="74" t="s">
        <v>382</v>
      </c>
      <c r="M14" s="78" t="s">
        <v>371</v>
      </c>
      <c r="N14" s="74" t="s">
        <v>382</v>
      </c>
      <c r="P14" s="48" t="s">
        <v>247</v>
      </c>
      <c r="Q14" t="s">
        <v>398</v>
      </c>
      <c r="R14" s="83" t="s">
        <v>247</v>
      </c>
      <c r="S14" s="699"/>
      <c r="T14" s="699"/>
    </row>
    <row r="15" spans="1:20" ht="15" customHeight="1" x14ac:dyDescent="0.3">
      <c r="A15" t="s">
        <v>123</v>
      </c>
      <c r="D15" s="73" t="s">
        <v>356</v>
      </c>
      <c r="E15" s="72" t="s">
        <v>367</v>
      </c>
      <c r="F15" s="73" t="s">
        <v>356</v>
      </c>
      <c r="H15" s="188" t="s">
        <v>688</v>
      </c>
      <c r="I15" s="189" t="s">
        <v>689</v>
      </c>
      <c r="J15" s="188" t="s">
        <v>688</v>
      </c>
      <c r="L15" s="188" t="s">
        <v>688</v>
      </c>
      <c r="M15" s="190" t="s">
        <v>689</v>
      </c>
      <c r="N15" s="188" t="s">
        <v>688</v>
      </c>
      <c r="P15" s="9" t="s">
        <v>56</v>
      </c>
      <c r="Q15" t="s">
        <v>399</v>
      </c>
      <c r="R15" s="84" t="s">
        <v>56</v>
      </c>
      <c r="S15" s="698"/>
      <c r="T15" s="698"/>
    </row>
    <row r="16" spans="1:20" ht="15" customHeight="1" x14ac:dyDescent="0.3">
      <c r="A16" t="s">
        <v>119</v>
      </c>
      <c r="D16" s="183" t="s">
        <v>688</v>
      </c>
      <c r="E16" s="76" t="s">
        <v>689</v>
      </c>
      <c r="F16" s="183" t="s">
        <v>688</v>
      </c>
      <c r="H16" s="74" t="s">
        <v>381</v>
      </c>
      <c r="I16" s="76" t="s">
        <v>383</v>
      </c>
      <c r="J16" s="74" t="s">
        <v>381</v>
      </c>
      <c r="L16" s="74" t="s">
        <v>381</v>
      </c>
      <c r="M16" s="78" t="s">
        <v>383</v>
      </c>
      <c r="N16" s="74" t="s">
        <v>381</v>
      </c>
      <c r="P16" s="9" t="s">
        <v>146</v>
      </c>
      <c r="Q16" t="s">
        <v>400</v>
      </c>
      <c r="R16" s="84" t="s">
        <v>146</v>
      </c>
      <c r="S16" s="698"/>
      <c r="T16" s="698"/>
    </row>
    <row r="17" spans="1:20" ht="15" customHeight="1" x14ac:dyDescent="0.3">
      <c r="D17" s="73" t="s">
        <v>381</v>
      </c>
      <c r="E17" s="76" t="s">
        <v>383</v>
      </c>
      <c r="F17" s="73" t="s">
        <v>381</v>
      </c>
      <c r="H17" s="74" t="s">
        <v>380</v>
      </c>
      <c r="I17" s="76" t="s">
        <v>372</v>
      </c>
      <c r="J17" s="74" t="s">
        <v>380</v>
      </c>
      <c r="L17" s="74" t="s">
        <v>380</v>
      </c>
      <c r="M17" s="78" t="s">
        <v>372</v>
      </c>
      <c r="N17" s="74" t="s">
        <v>380</v>
      </c>
      <c r="P17" s="48" t="s">
        <v>147</v>
      </c>
      <c r="Q17" t="s">
        <v>401</v>
      </c>
      <c r="R17" s="83" t="s">
        <v>147</v>
      </c>
      <c r="S17" s="699"/>
      <c r="T17" s="699"/>
    </row>
    <row r="18" spans="1:20" ht="15" customHeight="1" x14ac:dyDescent="0.3">
      <c r="A18" s="330" t="s">
        <v>64</v>
      </c>
      <c r="B18" s="330"/>
      <c r="D18" s="73" t="s">
        <v>357</v>
      </c>
      <c r="E18" s="72" t="s">
        <v>368</v>
      </c>
      <c r="F18" s="73" t="s">
        <v>357</v>
      </c>
      <c r="H18" s="188" t="s">
        <v>379</v>
      </c>
      <c r="I18" s="76" t="s">
        <v>373</v>
      </c>
      <c r="J18" s="188" t="s">
        <v>379</v>
      </c>
      <c r="L18" s="74" t="s">
        <v>379</v>
      </c>
      <c r="M18" s="78" t="s">
        <v>373</v>
      </c>
      <c r="N18" s="74" t="s">
        <v>379</v>
      </c>
      <c r="P18" s="9" t="s">
        <v>35</v>
      </c>
      <c r="Q18" t="s">
        <v>402</v>
      </c>
      <c r="R18" s="84" t="s">
        <v>35</v>
      </c>
      <c r="S18" s="698"/>
      <c r="T18" s="698"/>
    </row>
    <row r="19" spans="1:20" ht="15" customHeight="1" x14ac:dyDescent="0.3">
      <c r="A19" t="s">
        <v>133</v>
      </c>
      <c r="D19" s="73" t="s">
        <v>380</v>
      </c>
      <c r="E19" s="76" t="s">
        <v>372</v>
      </c>
      <c r="F19" s="73" t="s">
        <v>380</v>
      </c>
      <c r="H19" s="74" t="s">
        <v>746</v>
      </c>
      <c r="I19" s="76" t="s">
        <v>749</v>
      </c>
      <c r="J19" s="74" t="s">
        <v>746</v>
      </c>
      <c r="L19" s="188" t="s">
        <v>746</v>
      </c>
      <c r="M19" s="190" t="s">
        <v>749</v>
      </c>
      <c r="N19" s="188" t="s">
        <v>746</v>
      </c>
      <c r="P19" s="9" t="s">
        <v>36</v>
      </c>
      <c r="Q19" t="s">
        <v>403</v>
      </c>
      <c r="R19" s="84" t="s">
        <v>36</v>
      </c>
      <c r="S19" s="698"/>
      <c r="T19" s="698"/>
    </row>
    <row r="20" spans="1:20" x14ac:dyDescent="0.3">
      <c r="A20" t="s">
        <v>65</v>
      </c>
      <c r="D20" s="73" t="s">
        <v>358</v>
      </c>
      <c r="E20" s="72" t="s">
        <v>369</v>
      </c>
      <c r="F20" s="73" t="s">
        <v>358</v>
      </c>
      <c r="H20" s="188" t="s">
        <v>378</v>
      </c>
      <c r="I20" s="76" t="s">
        <v>374</v>
      </c>
      <c r="J20" s="74" t="s">
        <v>378</v>
      </c>
      <c r="L20" s="74" t="s">
        <v>378</v>
      </c>
      <c r="M20" s="78" t="s">
        <v>374</v>
      </c>
      <c r="N20" s="74" t="s">
        <v>378</v>
      </c>
      <c r="P20" s="9" t="s">
        <v>37</v>
      </c>
      <c r="Q20" t="s">
        <v>404</v>
      </c>
      <c r="R20" s="84" t="s">
        <v>37</v>
      </c>
      <c r="S20" s="698"/>
      <c r="T20" s="698"/>
    </row>
    <row r="21" spans="1:20" ht="25.5" customHeight="1" x14ac:dyDescent="0.3">
      <c r="D21" s="73" t="s">
        <v>379</v>
      </c>
      <c r="E21" s="76" t="s">
        <v>373</v>
      </c>
      <c r="F21" s="73" t="s">
        <v>379</v>
      </c>
      <c r="H21" s="75" t="s">
        <v>376</v>
      </c>
      <c r="I21" s="76" t="s">
        <v>375</v>
      </c>
      <c r="J21" s="75" t="s">
        <v>376</v>
      </c>
      <c r="L21" s="75" t="s">
        <v>376</v>
      </c>
      <c r="M21" s="78" t="s">
        <v>375</v>
      </c>
      <c r="N21" s="75" t="s">
        <v>376</v>
      </c>
      <c r="P21" s="9" t="s">
        <v>354</v>
      </c>
      <c r="Q21" t="s">
        <v>405</v>
      </c>
      <c r="R21" s="84" t="s">
        <v>354</v>
      </c>
      <c r="S21" s="698"/>
      <c r="T21" s="698"/>
    </row>
    <row r="22" spans="1:20" ht="15" customHeight="1" x14ac:dyDescent="0.3">
      <c r="A22" s="330" t="s">
        <v>63</v>
      </c>
      <c r="B22" s="330"/>
      <c r="D22" s="73" t="s">
        <v>359</v>
      </c>
      <c r="E22" s="72" t="s">
        <v>370</v>
      </c>
      <c r="F22" s="73" t="s">
        <v>359</v>
      </c>
      <c r="H22" s="75" t="s">
        <v>377</v>
      </c>
      <c r="I22" s="76" t="s">
        <v>392</v>
      </c>
      <c r="J22" s="75" t="s">
        <v>377</v>
      </c>
      <c r="L22" s="75" t="s">
        <v>377</v>
      </c>
      <c r="M22" s="78" t="s">
        <v>392</v>
      </c>
      <c r="N22" s="75" t="s">
        <v>377</v>
      </c>
      <c r="P22" s="9" t="s">
        <v>38</v>
      </c>
      <c r="Q22" t="s">
        <v>406</v>
      </c>
      <c r="R22" s="84" t="s">
        <v>38</v>
      </c>
      <c r="S22" s="698"/>
      <c r="T22" s="698"/>
    </row>
    <row r="23" spans="1:20" ht="15" customHeight="1" x14ac:dyDescent="0.3">
      <c r="A23" t="s">
        <v>71</v>
      </c>
      <c r="D23" s="183" t="s">
        <v>746</v>
      </c>
      <c r="E23" s="72" t="s">
        <v>749</v>
      </c>
      <c r="F23" s="183" t="s">
        <v>746</v>
      </c>
      <c r="H23" s="73" t="s">
        <v>625</v>
      </c>
      <c r="I23" s="72" t="s">
        <v>119</v>
      </c>
      <c r="J23" s="73" t="s">
        <v>625</v>
      </c>
      <c r="L23" s="39" t="s">
        <v>360</v>
      </c>
      <c r="M23" t="s">
        <v>384</v>
      </c>
      <c r="N23" s="39" t="s">
        <v>360</v>
      </c>
      <c r="P23" s="9" t="s">
        <v>39</v>
      </c>
      <c r="Q23" t="s">
        <v>407</v>
      </c>
      <c r="R23" s="84" t="s">
        <v>39</v>
      </c>
      <c r="S23" s="698"/>
      <c r="T23" s="698"/>
    </row>
    <row r="24" spans="1:20" ht="15" customHeight="1" x14ac:dyDescent="0.3">
      <c r="A24" t="s">
        <v>150</v>
      </c>
      <c r="D24" s="183" t="s">
        <v>747</v>
      </c>
      <c r="E24" s="72" t="s">
        <v>748</v>
      </c>
      <c r="F24" s="183" t="s">
        <v>747</v>
      </c>
      <c r="L24" s="9" t="s">
        <v>361</v>
      </c>
      <c r="M24" t="s">
        <v>385</v>
      </c>
      <c r="N24" s="9" t="s">
        <v>361</v>
      </c>
      <c r="P24" s="9" t="s">
        <v>40</v>
      </c>
      <c r="Q24" t="s">
        <v>408</v>
      </c>
      <c r="R24" s="84" t="s">
        <v>40</v>
      </c>
      <c r="S24" s="698"/>
      <c r="T24" s="698"/>
    </row>
    <row r="25" spans="1:20" ht="15" customHeight="1" x14ac:dyDescent="0.3">
      <c r="A25" t="s">
        <v>623</v>
      </c>
      <c r="D25" s="73" t="s">
        <v>378</v>
      </c>
      <c r="E25" s="76" t="s">
        <v>374</v>
      </c>
      <c r="F25" s="73" t="s">
        <v>378</v>
      </c>
      <c r="L25" s="9" t="s">
        <v>366</v>
      </c>
      <c r="M25" t="s">
        <v>386</v>
      </c>
      <c r="N25" s="9" t="s">
        <v>366</v>
      </c>
      <c r="P25" s="9" t="s">
        <v>41</v>
      </c>
      <c r="Q25" t="s">
        <v>409</v>
      </c>
      <c r="R25" s="84" t="s">
        <v>41</v>
      </c>
      <c r="S25" s="698"/>
      <c r="T25" s="698"/>
    </row>
    <row r="26" spans="1:20" ht="52.8" x14ac:dyDescent="0.3">
      <c r="A26" t="s">
        <v>624</v>
      </c>
      <c r="D26" s="73" t="s">
        <v>376</v>
      </c>
      <c r="E26" s="76" t="s">
        <v>375</v>
      </c>
      <c r="F26" s="73" t="s">
        <v>376</v>
      </c>
      <c r="L26" s="9" t="s">
        <v>362</v>
      </c>
      <c r="M26" t="s">
        <v>387</v>
      </c>
      <c r="N26" s="9" t="s">
        <v>362</v>
      </c>
      <c r="P26" s="9" t="s">
        <v>42</v>
      </c>
      <c r="Q26" t="s">
        <v>410</v>
      </c>
      <c r="R26" s="84" t="s">
        <v>42</v>
      </c>
      <c r="S26" s="698"/>
      <c r="T26" s="698"/>
    </row>
    <row r="27" spans="1:20" ht="118.8" x14ac:dyDescent="0.3">
      <c r="A27" t="s">
        <v>687</v>
      </c>
      <c r="D27" s="73" t="s">
        <v>377</v>
      </c>
      <c r="E27" s="76" t="s">
        <v>394</v>
      </c>
      <c r="F27" s="73" t="s">
        <v>377</v>
      </c>
      <c r="L27" s="48" t="s">
        <v>363</v>
      </c>
      <c r="M27" t="s">
        <v>388</v>
      </c>
      <c r="N27" s="48" t="s">
        <v>363</v>
      </c>
      <c r="P27" s="181"/>
      <c r="R27" s="182"/>
      <c r="S27" s="180"/>
      <c r="T27" s="180"/>
    </row>
    <row r="28" spans="1:20" ht="52.8" x14ac:dyDescent="0.3">
      <c r="A28" t="s">
        <v>694</v>
      </c>
      <c r="D28" s="73" t="s">
        <v>625</v>
      </c>
      <c r="E28" s="72" t="s">
        <v>119</v>
      </c>
      <c r="F28" s="73" t="s">
        <v>625</v>
      </c>
      <c r="L28" s="9" t="s">
        <v>364</v>
      </c>
      <c r="M28" t="s">
        <v>389</v>
      </c>
      <c r="N28" s="9" t="s">
        <v>364</v>
      </c>
      <c r="P28" s="9" t="s">
        <v>248</v>
      </c>
      <c r="Q28" t="s">
        <v>411</v>
      </c>
      <c r="R28" s="84" t="s">
        <v>248</v>
      </c>
      <c r="S28" s="180"/>
      <c r="T28" s="180"/>
    </row>
    <row r="29" spans="1:20" ht="66" x14ac:dyDescent="0.3">
      <c r="A29" t="s">
        <v>710</v>
      </c>
      <c r="L29" s="9" t="s">
        <v>365</v>
      </c>
      <c r="M29" t="s">
        <v>390</v>
      </c>
      <c r="N29" s="9" t="s">
        <v>365</v>
      </c>
      <c r="P29" s="48" t="s">
        <v>43</v>
      </c>
      <c r="Q29" t="s">
        <v>412</v>
      </c>
      <c r="R29" s="83" t="s">
        <v>43</v>
      </c>
      <c r="S29" s="698"/>
      <c r="T29" s="698"/>
    </row>
    <row r="30" spans="1:20" ht="26.4" x14ac:dyDescent="0.3">
      <c r="A30" t="s">
        <v>711</v>
      </c>
      <c r="L30" s="79" t="s">
        <v>393</v>
      </c>
      <c r="M30" t="s">
        <v>391</v>
      </c>
      <c r="N30" s="79" t="s">
        <v>393</v>
      </c>
      <c r="P30" s="48" t="s">
        <v>44</v>
      </c>
      <c r="Q30" t="s">
        <v>413</v>
      </c>
      <c r="R30" s="83" t="s">
        <v>44</v>
      </c>
      <c r="S30" s="699"/>
      <c r="T30" s="699"/>
    </row>
    <row r="31" spans="1:20" ht="28.5" customHeight="1" x14ac:dyDescent="0.3">
      <c r="A31" t="s">
        <v>527</v>
      </c>
      <c r="L31" s="73" t="s">
        <v>625</v>
      </c>
      <c r="M31" s="72" t="s">
        <v>119</v>
      </c>
      <c r="N31" s="73" t="s">
        <v>625</v>
      </c>
      <c r="P31" s="81" t="s">
        <v>45</v>
      </c>
      <c r="Q31" t="s">
        <v>414</v>
      </c>
      <c r="R31" s="83" t="s">
        <v>45</v>
      </c>
      <c r="S31" s="699"/>
      <c r="T31" s="699"/>
    </row>
    <row r="32" spans="1:20" ht="24.6" customHeight="1" x14ac:dyDescent="0.3">
      <c r="A32" t="s">
        <v>534</v>
      </c>
      <c r="J32" t="s">
        <v>599</v>
      </c>
      <c r="L32" s="73" t="s">
        <v>712</v>
      </c>
      <c r="M32" t="s">
        <v>713</v>
      </c>
      <c r="N32" s="73" t="s">
        <v>712</v>
      </c>
      <c r="P32" s="48" t="s">
        <v>395</v>
      </c>
      <c r="Q32" t="s">
        <v>415</v>
      </c>
      <c r="R32" s="83" t="s">
        <v>395</v>
      </c>
      <c r="S32" s="699"/>
      <c r="T32" s="699"/>
    </row>
    <row r="33" spans="10:20" ht="32.1" customHeight="1" x14ac:dyDescent="0.3">
      <c r="J33" t="s">
        <v>600</v>
      </c>
      <c r="P33" s="81" t="s">
        <v>396</v>
      </c>
      <c r="Q33" t="s">
        <v>416</v>
      </c>
      <c r="R33" s="83" t="s">
        <v>396</v>
      </c>
      <c r="S33" s="699"/>
      <c r="T33" s="699"/>
    </row>
    <row r="34" spans="10:20" ht="31.5" customHeight="1" x14ac:dyDescent="0.3">
      <c r="J34" t="s">
        <v>601</v>
      </c>
      <c r="P34" s="82" t="s">
        <v>397</v>
      </c>
      <c r="Q34" t="s">
        <v>417</v>
      </c>
      <c r="R34" s="85" t="s">
        <v>397</v>
      </c>
      <c r="S34" s="699"/>
      <c r="T34" s="699"/>
    </row>
    <row r="35" spans="10:20" ht="27.9" customHeight="1" x14ac:dyDescent="0.3">
      <c r="J35" t="s">
        <v>602</v>
      </c>
      <c r="P35" s="82" t="s">
        <v>697</v>
      </c>
      <c r="Q35" t="s">
        <v>702</v>
      </c>
      <c r="R35" s="85" t="s">
        <v>697</v>
      </c>
      <c r="S35" s="699"/>
      <c r="T35" s="699"/>
    </row>
    <row r="36" spans="10:20" ht="28.5" customHeight="1" x14ac:dyDescent="0.3">
      <c r="J36" t="s">
        <v>603</v>
      </c>
      <c r="P36" s="82" t="s">
        <v>698</v>
      </c>
      <c r="Q36" t="s">
        <v>703</v>
      </c>
      <c r="R36" s="85" t="s">
        <v>698</v>
      </c>
    </row>
    <row r="37" spans="10:20" ht="30.9" customHeight="1" x14ac:dyDescent="0.3">
      <c r="P37" s="82" t="s">
        <v>699</v>
      </c>
      <c r="Q37" t="s">
        <v>704</v>
      </c>
      <c r="R37" s="85" t="s">
        <v>699</v>
      </c>
    </row>
    <row r="38" spans="10:20" ht="26.4" x14ac:dyDescent="0.3">
      <c r="P38" s="82" t="s">
        <v>700</v>
      </c>
      <c r="Q38" t="s">
        <v>705</v>
      </c>
      <c r="R38" s="85" t="s">
        <v>700</v>
      </c>
    </row>
    <row r="39" spans="10:20" ht="39.6" x14ac:dyDescent="0.3">
      <c r="P39" s="82" t="s">
        <v>701</v>
      </c>
      <c r="Q39" t="s">
        <v>706</v>
      </c>
      <c r="R39" s="85" t="s">
        <v>701</v>
      </c>
    </row>
    <row r="40" spans="10:20" x14ac:dyDescent="0.3">
      <c r="P40" s="191"/>
      <c r="Q40" s="191"/>
    </row>
  </sheetData>
  <mergeCells count="22">
    <mergeCell ref="S31:T31"/>
    <mergeCell ref="S32:T32"/>
    <mergeCell ref="S33:T33"/>
    <mergeCell ref="S34:T34"/>
    <mergeCell ref="S35:T35"/>
    <mergeCell ref="S14:T14"/>
    <mergeCell ref="S15:T15"/>
    <mergeCell ref="S16:T16"/>
    <mergeCell ref="S17:T17"/>
    <mergeCell ref="S18:T18"/>
    <mergeCell ref="S29:T29"/>
    <mergeCell ref="S30:T30"/>
    <mergeCell ref="S19:T19"/>
    <mergeCell ref="S20:T20"/>
    <mergeCell ref="S21:T21"/>
    <mergeCell ref="S22:T22"/>
    <mergeCell ref="S23:T23"/>
    <mergeCell ref="A18:B18"/>
    <mergeCell ref="A22:B22"/>
    <mergeCell ref="S24:T24"/>
    <mergeCell ref="S25:T25"/>
    <mergeCell ref="S26:T26"/>
  </mergeCells>
  <phoneticPr fontId="72" type="noConversion"/>
  <pageMargins left="0.7" right="0.7" top="0.75" bottom="0.75" header="0.3" footer="0.3"/>
  <pageSetup paperSize="9"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1"/>
  <dimension ref="A1:A37"/>
  <sheetViews>
    <sheetView workbookViewId="0">
      <selection activeCell="A10" sqref="A10"/>
    </sheetView>
  </sheetViews>
  <sheetFormatPr defaultRowHeight="14.4" x14ac:dyDescent="0.3"/>
  <cols>
    <col min="1" max="1" width="22.5546875" customWidth="1"/>
  </cols>
  <sheetData>
    <row r="1" spans="1:1" x14ac:dyDescent="0.3">
      <c r="A1" s="62" t="s">
        <v>331</v>
      </c>
    </row>
    <row r="2" spans="1:1" x14ac:dyDescent="0.3">
      <c r="A2" s="62" t="s">
        <v>332</v>
      </c>
    </row>
    <row r="3" spans="1:1" x14ac:dyDescent="0.3">
      <c r="A3" s="62" t="s">
        <v>333</v>
      </c>
    </row>
    <row r="4" spans="1:1" x14ac:dyDescent="0.3">
      <c r="A4" s="61" t="s">
        <v>274</v>
      </c>
    </row>
    <row r="5" spans="1:1" x14ac:dyDescent="0.3">
      <c r="A5" s="61" t="s">
        <v>273</v>
      </c>
    </row>
    <row r="6" spans="1:1" x14ac:dyDescent="0.3">
      <c r="A6" s="61" t="s">
        <v>272</v>
      </c>
    </row>
    <row r="7" spans="1:1" x14ac:dyDescent="0.3">
      <c r="A7" s="61" t="s">
        <v>271</v>
      </c>
    </row>
    <row r="8" spans="1:1" x14ac:dyDescent="0.3">
      <c r="A8" s="62" t="s">
        <v>422</v>
      </c>
    </row>
    <row r="9" spans="1:1" x14ac:dyDescent="0.3">
      <c r="A9" s="62" t="s">
        <v>334</v>
      </c>
    </row>
    <row r="10" spans="1:1" x14ac:dyDescent="0.3">
      <c r="A10" s="61" t="s">
        <v>270</v>
      </c>
    </row>
    <row r="11" spans="1:1" x14ac:dyDescent="0.3">
      <c r="A11" s="61" t="s">
        <v>269</v>
      </c>
    </row>
    <row r="12" spans="1:1" x14ac:dyDescent="0.3">
      <c r="A12" s="61" t="s">
        <v>268</v>
      </c>
    </row>
    <row r="13" spans="1:1" x14ac:dyDescent="0.3">
      <c r="A13" s="61" t="s">
        <v>267</v>
      </c>
    </row>
    <row r="14" spans="1:1" x14ac:dyDescent="0.3">
      <c r="A14" s="62" t="s">
        <v>335</v>
      </c>
    </row>
    <row r="15" spans="1:1" x14ac:dyDescent="0.3">
      <c r="A15" s="62" t="s">
        <v>336</v>
      </c>
    </row>
    <row r="16" spans="1:1" x14ac:dyDescent="0.3">
      <c r="A16" s="61" t="s">
        <v>266</v>
      </c>
    </row>
    <row r="17" spans="1:1" x14ac:dyDescent="0.3">
      <c r="A17" s="61" t="s">
        <v>265</v>
      </c>
    </row>
    <row r="18" spans="1:1" x14ac:dyDescent="0.3">
      <c r="A18" s="61" t="s">
        <v>264</v>
      </c>
    </row>
    <row r="19" spans="1:1" x14ac:dyDescent="0.3">
      <c r="A19" s="61" t="s">
        <v>263</v>
      </c>
    </row>
    <row r="20" spans="1:1" x14ac:dyDescent="0.3">
      <c r="A20" s="62" t="s">
        <v>337</v>
      </c>
    </row>
    <row r="21" spans="1:1" x14ac:dyDescent="0.3">
      <c r="A21" s="61" t="s">
        <v>262</v>
      </c>
    </row>
    <row r="22" spans="1:1" x14ac:dyDescent="0.3">
      <c r="A22" s="61" t="s">
        <v>261</v>
      </c>
    </row>
    <row r="23" spans="1:1" x14ac:dyDescent="0.3">
      <c r="A23" s="61" t="s">
        <v>260</v>
      </c>
    </row>
    <row r="24" spans="1:1" x14ac:dyDescent="0.3">
      <c r="A24" s="61" t="s">
        <v>259</v>
      </c>
    </row>
    <row r="25" spans="1:1" x14ac:dyDescent="0.3">
      <c r="A25" s="61" t="s">
        <v>258</v>
      </c>
    </row>
    <row r="26" spans="1:1" x14ac:dyDescent="0.3">
      <c r="A26" s="61" t="s">
        <v>257</v>
      </c>
    </row>
    <row r="27" spans="1:1" x14ac:dyDescent="0.3">
      <c r="A27" s="61" t="s">
        <v>256</v>
      </c>
    </row>
    <row r="28" spans="1:1" x14ac:dyDescent="0.3">
      <c r="A28" s="61" t="s">
        <v>255</v>
      </c>
    </row>
    <row r="29" spans="1:1" x14ac:dyDescent="0.3">
      <c r="A29" s="61" t="s">
        <v>254</v>
      </c>
    </row>
    <row r="30" spans="1:1" x14ac:dyDescent="0.3">
      <c r="A30" s="61" t="s">
        <v>253</v>
      </c>
    </row>
    <row r="31" spans="1:1" x14ac:dyDescent="0.3">
      <c r="A31" s="62" t="s">
        <v>338</v>
      </c>
    </row>
    <row r="32" spans="1:1" x14ac:dyDescent="0.3">
      <c r="A32" s="61" t="s">
        <v>252</v>
      </c>
    </row>
    <row r="33" spans="1:1" x14ac:dyDescent="0.3">
      <c r="A33" s="61" t="s">
        <v>251</v>
      </c>
    </row>
    <row r="34" spans="1:1" x14ac:dyDescent="0.3">
      <c r="A34" s="62" t="s">
        <v>339</v>
      </c>
    </row>
    <row r="35" spans="1:1" x14ac:dyDescent="0.3">
      <c r="A35" s="61" t="s">
        <v>250</v>
      </c>
    </row>
    <row r="36" spans="1:1" x14ac:dyDescent="0.3">
      <c r="A36" s="62" t="s">
        <v>340</v>
      </c>
    </row>
    <row r="37" spans="1:1" x14ac:dyDescent="0.3">
      <c r="A37" s="61" t="s">
        <v>249</v>
      </c>
    </row>
  </sheetData>
  <sheetProtection algorithmName="SHA-512" hashValue="2Ry9pLX9qzLp2jfGOlmgnsLfnwXOhWlwmjpoQTK5u0gdk4VEdm1evtfrIIEEE4e51sMYNRBloqcMMc62ddh4NQ==" saltValue="q+O9zwranOL+k2ytxG+KqA==" spinCount="100000" sheet="1" objects="1" scenarios="1"/>
  <pageMargins left="0.7" right="0.7" top="0.75" bottom="0.75" header="0.3" footer="0.3"/>
  <pageSetup paperSize="9" orientation="portrait" r:id="rId1"/>
</worksheet>
</file>

<file path=docMetadata/LabelInfo.xml><?xml version="1.0" encoding="utf-8"?>
<clbl:labelList xmlns:clbl="http://schemas.microsoft.com/office/2020/mipLabelMetadata">
  <clbl:label id="{be4b3411-284d-4d31-bd4f-bc13ef7f1fd6}" enabled="1" method="Privileged" siteId="{63ce7d59-2f3e-42cd-a8cc-be764cff5eb6}"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25</vt:i4>
      </vt:variant>
    </vt:vector>
  </HeadingPairs>
  <TitlesOfParts>
    <vt:vector size="46" baseType="lpstr">
      <vt:lpstr>Read Me FY 17-18 to 19-20</vt:lpstr>
      <vt:lpstr>Read Me FY 20-21 to 21-22</vt:lpstr>
      <vt:lpstr>Read Me FY 24-25 onwards</vt:lpstr>
      <vt:lpstr>Home</vt:lpstr>
      <vt:lpstr>PT II (5)</vt:lpstr>
      <vt:lpstr>PT II (6)</vt:lpstr>
      <vt:lpstr>PT II (7)</vt:lpstr>
      <vt:lpstr>PT II (8)</vt:lpstr>
      <vt:lpstr>PT III (9)</vt:lpstr>
      <vt:lpstr>PT III (10)</vt:lpstr>
      <vt:lpstr>PT III (11)</vt:lpstr>
      <vt:lpstr>PT IV (12)</vt:lpstr>
      <vt:lpstr>PT IV(13)</vt:lpstr>
      <vt:lpstr>PT IV (14)</vt:lpstr>
      <vt:lpstr>PT IV (15)</vt:lpstr>
      <vt:lpstr>PT IV (16)</vt:lpstr>
      <vt:lpstr>PT V</vt:lpstr>
      <vt:lpstr>Table 5</vt:lpstr>
      <vt:lpstr>Table 6</vt:lpstr>
      <vt:lpstr>Master</vt:lpstr>
      <vt:lpstr>State dropdown</vt:lpstr>
      <vt:lpstr>AdAdrs</vt:lpstr>
      <vt:lpstr>AddAdrs</vt:lpstr>
      <vt:lpstr>HashChkAdrs</vt:lpstr>
      <vt:lpstr>HashChkAdrsB</vt:lpstr>
      <vt:lpstr>HashChkAdrss</vt:lpstr>
      <vt:lpstr>HashChkAdrssB</vt:lpstr>
      <vt:lpstr>HashChkBi</vt:lpstr>
      <vt:lpstr>HashChkBii</vt:lpstr>
      <vt:lpstr>HashChkBsns</vt:lpstr>
      <vt:lpstr>HashChkBsnsB</vt:lpstr>
      <vt:lpstr>HashChkBsnss</vt:lpstr>
      <vt:lpstr>HashChkBsnssB</vt:lpstr>
      <vt:lpstr>HashChkEgt</vt:lpstr>
      <vt:lpstr>HashChkFtn</vt:lpstr>
      <vt:lpstr>HashChkSix</vt:lpstr>
      <vt:lpstr>HashChkTen</vt:lpstr>
      <vt:lpstr>HashChkTtn</vt:lpstr>
      <vt:lpstr>'Table 5'!Print_Area</vt:lpstr>
      <vt:lpstr>'Table 6'!Print_Area</vt:lpstr>
      <vt:lpstr>Temp_Table!Print_Area</vt:lpstr>
      <vt:lpstr>ZeroRange</vt:lpstr>
      <vt:lpstr>ZeroRange2021</vt:lpstr>
      <vt:lpstr>ZeroRangeSxtn</vt:lpstr>
      <vt:lpstr>ZeroRangeTV</vt:lpstr>
      <vt:lpstr>ZeroRangeTV2021</vt:lpstr>
    </vt:vector>
  </TitlesOfParts>
  <Company>Infosys Ltd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Richi Jain</dc:creator>
  <cp:lastModifiedBy>vipul modi</cp:lastModifiedBy>
  <cp:lastPrinted>2025-09-19T07:28:03Z</cp:lastPrinted>
  <dcterms:created xsi:type="dcterms:W3CDTF">2018-09-27T10:58:35Z</dcterms:created>
  <dcterms:modified xsi:type="dcterms:W3CDTF">2025-12-23T18:16:58Z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be4b3411-284d-4d31-bd4f-bc13ef7f1fd6_Enabled">
    <vt:lpwstr>True</vt:lpwstr>
  </property>
  <property fmtid="{D5CDD505-2E9C-101B-9397-08002B2CF9AE}" pid="3" name="MSIP_Label_be4b3411-284d-4d31-bd4f-bc13ef7f1fd6_SiteId">
    <vt:lpwstr>63ce7d59-2f3e-42cd-a8cc-be764cff5eb6</vt:lpwstr>
  </property>
  <property fmtid="{D5CDD505-2E9C-101B-9397-08002B2CF9AE}" pid="4" name="MSIP_Label_be4b3411-284d-4d31-bd4f-bc13ef7f1fd6_Owner">
    <vt:lpwstr>richi.jain@ad.infosys.com</vt:lpwstr>
  </property>
  <property fmtid="{D5CDD505-2E9C-101B-9397-08002B2CF9AE}" pid="5" name="MSIP_Label_be4b3411-284d-4d31-bd4f-bc13ef7f1fd6_SetDate">
    <vt:lpwstr>2018-10-04T19:27:53.2177784Z</vt:lpwstr>
  </property>
  <property fmtid="{D5CDD505-2E9C-101B-9397-08002B2CF9AE}" pid="6" name="MSIP_Label_be4b3411-284d-4d31-bd4f-bc13ef7f1fd6_Name">
    <vt:lpwstr>Internal</vt:lpwstr>
  </property>
  <property fmtid="{D5CDD505-2E9C-101B-9397-08002B2CF9AE}" pid="7" name="MSIP_Label_be4b3411-284d-4d31-bd4f-bc13ef7f1fd6_Application">
    <vt:lpwstr>Microsoft Azure Information Protection</vt:lpwstr>
  </property>
  <property fmtid="{D5CDD505-2E9C-101B-9397-08002B2CF9AE}" pid="8" name="MSIP_Label_be4b3411-284d-4d31-bd4f-bc13ef7f1fd6_Extended_MSFT_Method">
    <vt:lpwstr>Automatic</vt:lpwstr>
  </property>
  <property fmtid="{D5CDD505-2E9C-101B-9397-08002B2CF9AE}" pid="9" name="MSIP_Label_a0819fa7-4367-4500-ba88-dd630d977609_Enabled">
    <vt:lpwstr>true</vt:lpwstr>
  </property>
  <property fmtid="{D5CDD505-2E9C-101B-9397-08002B2CF9AE}" pid="10" name="MSIP_Label_a0819fa7-4367-4500-ba88-dd630d977609_SetDate">
    <vt:lpwstr>2022-06-14T03:43:00Z</vt:lpwstr>
  </property>
  <property fmtid="{D5CDD505-2E9C-101B-9397-08002B2CF9AE}" pid="11" name="MSIP_Label_a0819fa7-4367-4500-ba88-dd630d977609_Method">
    <vt:lpwstr>Standard</vt:lpwstr>
  </property>
  <property fmtid="{D5CDD505-2E9C-101B-9397-08002B2CF9AE}" pid="12" name="MSIP_Label_a0819fa7-4367-4500-ba88-dd630d977609_Name">
    <vt:lpwstr>a0819fa7-4367-4500-ba88-dd630d977609</vt:lpwstr>
  </property>
  <property fmtid="{D5CDD505-2E9C-101B-9397-08002B2CF9AE}" pid="13" name="MSIP_Label_a0819fa7-4367-4500-ba88-dd630d977609_SiteId">
    <vt:lpwstr>63ce7d59-2f3e-42cd-a8cc-be764cff5eb6</vt:lpwstr>
  </property>
  <property fmtid="{D5CDD505-2E9C-101B-9397-08002B2CF9AE}" pid="14" name="MSIP_Label_a0819fa7-4367-4500-ba88-dd630d977609_ContentBits">
    <vt:lpwstr>0</vt:lpwstr>
  </property>
</Properties>
</file>