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5.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7.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drawings/drawing8.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9.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10.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drawings/drawing11.xml" ContentType="application/vnd.openxmlformats-officedocument.drawing+xml"/>
  <Override PartName="/xl/ctrlProps/ctrlProp101.xml" ContentType="application/vnd.ms-excel.controlproperties+xml"/>
  <Override PartName="/xl/ctrlProps/ctrlProp10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https://eceuropaeu.sharepoint.com/teams/GRP-PRO-eGrants-Drafting/MGAs 2021-2027/EDF, ASAP and EDIRPA CLEAN FOR PUBL/"/>
    </mc:Choice>
  </mc:AlternateContent>
  <xr:revisionPtr revIDLastSave="0" documentId="8_{86FB6487-B512-4BBD-B3FC-E6339F8EE18F}" xr6:coauthVersionLast="47" xr6:coauthVersionMax="47" xr10:uidLastSave="{00000000-0000-0000-0000-000000000000}"/>
  <workbookProtection workbookAlgorithmName="SHA-512" workbookHashValue="qBDoIHNKwQVnytPZQrVMpKXsnpA4KyNnpHKs4iPSv1/0cQr2j43TEnga05jmyd4NAJKkz/L7zd4QtYOuSoXGHg==" workbookSaltValue="rtJsMCK9Z4GCfOyG1dVprg==" workbookSpinCount="100000" lockStructure="1"/>
  <bookViews>
    <workbookView xWindow="1560" yWindow="900" windowWidth="13965" windowHeight="15300" xr2:uid="{00000000-000D-0000-FFFF-FFFF00000000}"/>
  </bookViews>
  <sheets>
    <sheet name="INSTRUCTIONS" sheetId="6" r:id="rId1"/>
    <sheet name="General info on reporting" sheetId="8" r:id="rId2"/>
    <sheet name="Countries&amp;Coefficients" sheetId="19" state="veryHidden" r:id="rId3"/>
    <sheet name="DCRT Generating knowledge" sheetId="21" state="veryHidden" r:id="rId4"/>
    <sheet name="DCRT Integrating knowledge" sheetId="9" state="veryHidden" r:id="rId5"/>
    <sheet name="DCRT Studies" sheetId="10" state="veryHidden" r:id="rId6"/>
    <sheet name="DCRT Design" sheetId="13" state="veryHidden" r:id="rId7"/>
    <sheet name="DCRT System prototyping" sheetId="12" state="veryHidden" r:id="rId8"/>
    <sheet name="DCRT Testing" sheetId="11" state="veryHidden" r:id="rId9"/>
    <sheet name="DCRT Qualification" sheetId="14" state="veryHidden" r:id="rId10"/>
    <sheet name="DCRT Certification" sheetId="15" state="veryHidden" r:id="rId11"/>
    <sheet name="DCRT Increasing efficiency" sheetId="16" state="veryHidden" r:id="rId12"/>
    <sheet name="ListActivitiesReported" sheetId="17" state="veryHidden" r:id="rId13"/>
    <sheet name="Financial statement-activities" sheetId="7" r:id="rId14"/>
    <sheet name="History of changes" sheetId="20" r:id="rId15"/>
  </sheets>
  <definedNames>
    <definedName name="_xlnm.Print_Area" localSheetId="10">'DCRT Certification'!$C$2:$I$106</definedName>
    <definedName name="_xlnm.Print_Area" localSheetId="6">'DCRT Design'!$C$2:$I$106</definedName>
    <definedName name="_xlnm.Print_Area" localSheetId="3">'DCRT Generating knowledge'!$C$2:$I$106</definedName>
    <definedName name="_xlnm.Print_Area" localSheetId="11">'DCRT Increasing efficiency'!$C$2:$I$106</definedName>
    <definedName name="_xlnm.Print_Area" localSheetId="4">'DCRT Integrating knowledge'!$C$2:$I$106</definedName>
    <definedName name="_xlnm.Print_Area" localSheetId="9">'DCRT Qualification'!$C$2:$I$106</definedName>
    <definedName name="_xlnm.Print_Area" localSheetId="5">'DCRT Studies'!$C$2:$I$106</definedName>
    <definedName name="_xlnm.Print_Area" localSheetId="7">'DCRT System prototyping'!$C$2:$I$106</definedName>
    <definedName name="_xlnm.Print_Area" localSheetId="8">'DCRT Testing'!$C$2:$I$106</definedName>
    <definedName name="_xlnm.Print_Area" localSheetId="13">'Financial statement-activities'!$A$1:$AB$36</definedName>
    <definedName name="_xlnm.Print_Area" localSheetId="0">INSTRUCTIONS!$C$1:$K$25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4" i="21" l="1"/>
  <c r="F34" i="9"/>
  <c r="F34" i="10"/>
  <c r="F34" i="13"/>
  <c r="B2" i="7" l="1"/>
  <c r="I103" i="13"/>
  <c r="I92" i="13"/>
  <c r="I81" i="13"/>
  <c r="I73" i="13"/>
  <c r="I65" i="13"/>
  <c r="I57" i="13"/>
  <c r="I46" i="13"/>
  <c r="G34" i="13"/>
  <c r="I34" i="13" s="1"/>
  <c r="I36" i="13" s="1"/>
  <c r="I24" i="13"/>
  <c r="I26" i="13" s="1"/>
  <c r="I14" i="13"/>
  <c r="I16" i="13" s="1"/>
  <c r="F9" i="13"/>
  <c r="I9" i="13" s="1"/>
  <c r="I11" i="13" s="1"/>
  <c r="I103" i="10"/>
  <c r="I92" i="10"/>
  <c r="I81" i="10"/>
  <c r="I73" i="10"/>
  <c r="I65" i="10"/>
  <c r="I57" i="10"/>
  <c r="I46" i="10"/>
  <c r="G34" i="10"/>
  <c r="I34" i="10" s="1"/>
  <c r="I36" i="10" s="1"/>
  <c r="I24" i="10"/>
  <c r="I26" i="10" s="1"/>
  <c r="I14" i="10"/>
  <c r="I16" i="10" s="1"/>
  <c r="F9" i="10"/>
  <c r="I9" i="10" s="1"/>
  <c r="I11" i="10" s="1"/>
  <c r="I103" i="9"/>
  <c r="I92" i="9"/>
  <c r="I81" i="9"/>
  <c r="I73" i="9"/>
  <c r="I65" i="9"/>
  <c r="I57" i="9"/>
  <c r="I46" i="9"/>
  <c r="G34" i="9"/>
  <c r="I34" i="9" s="1"/>
  <c r="I36" i="9" s="1"/>
  <c r="I24" i="9"/>
  <c r="I26" i="9" s="1"/>
  <c r="I14" i="9"/>
  <c r="I16" i="9" s="1"/>
  <c r="F9" i="9"/>
  <c r="I9" i="9" s="1"/>
  <c r="I11" i="9" s="1"/>
  <c r="I103" i="21"/>
  <c r="I92" i="21"/>
  <c r="I81" i="21"/>
  <c r="I73" i="21"/>
  <c r="I65" i="21"/>
  <c r="I57" i="21"/>
  <c r="I46" i="21"/>
  <c r="G34" i="21"/>
  <c r="I34" i="21" s="1"/>
  <c r="I36" i="21" s="1"/>
  <c r="I24" i="21"/>
  <c r="I26" i="21" s="1"/>
  <c r="I14" i="21"/>
  <c r="I16" i="21" s="1"/>
  <c r="F9" i="21"/>
  <c r="I9" i="21" s="1"/>
  <c r="I11" i="21" s="1"/>
  <c r="T12" i="7"/>
  <c r="V12" i="7" s="1"/>
  <c r="AB12" i="7"/>
  <c r="G1" i="21"/>
  <c r="F1" i="21"/>
  <c r="E1" i="21"/>
  <c r="D1" i="21"/>
  <c r="G34" i="16"/>
  <c r="G34" i="15"/>
  <c r="G34" i="14"/>
  <c r="G34" i="11"/>
  <c r="G34" i="12"/>
  <c r="I34" i="16" l="1"/>
  <c r="I34" i="15"/>
  <c r="I34" i="11"/>
  <c r="I34" i="12"/>
  <c r="I103" i="16" l="1"/>
  <c r="I103" i="15"/>
  <c r="I103" i="14"/>
  <c r="I103" i="11"/>
  <c r="I103" i="12"/>
  <c r="I92" i="16" l="1"/>
  <c r="I81" i="16"/>
  <c r="I73" i="16"/>
  <c r="I65" i="16"/>
  <c r="I57" i="16"/>
  <c r="I46" i="16"/>
  <c r="I36" i="16"/>
  <c r="F34" i="16"/>
  <c r="I24" i="16"/>
  <c r="I26" i="16" s="1"/>
  <c r="I14" i="16"/>
  <c r="I16" i="16" s="1"/>
  <c r="F9" i="16"/>
  <c r="I9" i="16" s="1"/>
  <c r="I11" i="16" s="1"/>
  <c r="I92" i="15"/>
  <c r="I81" i="15"/>
  <c r="I73" i="15"/>
  <c r="I65" i="15"/>
  <c r="I57" i="15"/>
  <c r="I46" i="15"/>
  <c r="I36" i="15"/>
  <c r="F34" i="15"/>
  <c r="I24" i="15"/>
  <c r="I26" i="15" s="1"/>
  <c r="I14" i="15"/>
  <c r="I16" i="15" s="1"/>
  <c r="F9" i="15"/>
  <c r="I9" i="15" s="1"/>
  <c r="I11" i="15" s="1"/>
  <c r="I92" i="14"/>
  <c r="I81" i="14"/>
  <c r="I73" i="14"/>
  <c r="I65" i="14"/>
  <c r="I57" i="14"/>
  <c r="I46" i="14"/>
  <c r="F34" i="14"/>
  <c r="I34" i="14" s="1"/>
  <c r="I36" i="14" s="1"/>
  <c r="I24" i="14"/>
  <c r="I26" i="14" s="1"/>
  <c r="I14" i="14"/>
  <c r="I16" i="14" s="1"/>
  <c r="F9" i="14"/>
  <c r="I9" i="14" s="1"/>
  <c r="I11" i="14" s="1"/>
  <c r="I92" i="11"/>
  <c r="I81" i="11"/>
  <c r="I73" i="11"/>
  <c r="I65" i="11"/>
  <c r="I57" i="11"/>
  <c r="I46" i="11"/>
  <c r="I36" i="11"/>
  <c r="F34" i="11"/>
  <c r="I24" i="11"/>
  <c r="I26" i="11" s="1"/>
  <c r="I14" i="11"/>
  <c r="I16" i="11" s="1"/>
  <c r="F9" i="11"/>
  <c r="I9" i="11" s="1"/>
  <c r="I11" i="11" s="1"/>
  <c r="I92" i="12"/>
  <c r="I81" i="12"/>
  <c r="I73" i="12"/>
  <c r="I65" i="12"/>
  <c r="I57" i="12"/>
  <c r="I46" i="12"/>
  <c r="I36" i="12"/>
  <c r="F34" i="12"/>
  <c r="I24" i="12"/>
  <c r="I26" i="12" s="1"/>
  <c r="I14" i="12"/>
  <c r="I16" i="12" s="1"/>
  <c r="F9" i="12"/>
  <c r="I9" i="12" s="1"/>
  <c r="I11" i="12" s="1"/>
  <c r="AB13" i="7" l="1"/>
  <c r="AB14" i="7"/>
  <c r="AB15" i="7"/>
  <c r="AB16" i="7"/>
  <c r="AB17" i="7"/>
  <c r="AB18" i="7"/>
  <c r="AB19" i="7"/>
  <c r="T13" i="7"/>
  <c r="V13" i="7" s="1"/>
  <c r="T14" i="7"/>
  <c r="V14" i="7" s="1"/>
  <c r="T15" i="7"/>
  <c r="V15" i="7" s="1"/>
  <c r="T16" i="7"/>
  <c r="V16" i="7" s="1"/>
  <c r="T17" i="7"/>
  <c r="V17" i="7" s="1"/>
  <c r="T18" i="7"/>
  <c r="V18" i="7" s="1"/>
  <c r="T19" i="7"/>
  <c r="V19" i="7" s="1"/>
  <c r="T11" i="7"/>
  <c r="AB11" i="7" l="1"/>
  <c r="V11" i="7"/>
  <c r="AD20" i="7"/>
  <c r="W20" i="7"/>
  <c r="T20" i="7" l="1"/>
  <c r="V20" i="7"/>
  <c r="AB20" i="7"/>
  <c r="G1" i="16" l="1"/>
  <c r="F1" i="16"/>
  <c r="E1" i="16"/>
  <c r="D1" i="16"/>
  <c r="G1" i="15"/>
  <c r="F1" i="15"/>
  <c r="E1" i="15"/>
  <c r="D1" i="15"/>
  <c r="G1" i="14"/>
  <c r="F1" i="14"/>
  <c r="E1" i="14"/>
  <c r="D1" i="14"/>
  <c r="G1" i="13"/>
  <c r="F1" i="13"/>
  <c r="E1" i="13"/>
  <c r="D1" i="13"/>
  <c r="G1" i="12"/>
  <c r="F1" i="12"/>
  <c r="E1" i="12"/>
  <c r="D1" i="12"/>
  <c r="G1" i="11"/>
  <c r="F1" i="11"/>
  <c r="E1" i="11"/>
  <c r="D1" i="11"/>
  <c r="G1" i="10"/>
  <c r="F1" i="10"/>
  <c r="E1" i="10"/>
  <c r="D1" i="10"/>
  <c r="G1" i="9"/>
  <c r="F1" i="9"/>
  <c r="E1" i="9"/>
  <c r="D1" i="9"/>
  <c r="S20" i="7" l="1"/>
  <c r="Q20" i="7"/>
  <c r="P20" i="7"/>
  <c r="M20" i="7"/>
  <c r="N20" i="7"/>
  <c r="L20" i="7"/>
  <c r="H20" i="7"/>
  <c r="G20" i="7"/>
  <c r="C20" i="7"/>
  <c r="D20" i="7"/>
  <c r="B20" i="7"/>
</calcChain>
</file>

<file path=xl/sharedStrings.xml><?xml version="1.0" encoding="utf-8"?>
<sst xmlns="http://schemas.openxmlformats.org/spreadsheetml/2006/main" count="1185" uniqueCount="269">
  <si>
    <t>Work Package No</t>
  </si>
  <si>
    <t>Subcontractor name</t>
  </si>
  <si>
    <t>Total costs</t>
  </si>
  <si>
    <t>Cost item name</t>
  </si>
  <si>
    <r>
      <t xml:space="preserve">Costs in this RP
</t>
    </r>
    <r>
      <rPr>
        <sz val="8"/>
        <color theme="0" tint="-0.499984740745262"/>
        <rFont val="Arial"/>
        <family val="2"/>
      </rPr>
      <t>(EUR)</t>
    </r>
  </si>
  <si>
    <r>
      <t xml:space="preserve">Subcontract name
</t>
    </r>
    <r>
      <rPr>
        <sz val="8"/>
        <color theme="0" tint="-0.499984740745262"/>
        <rFont val="Arial"/>
        <family val="2"/>
      </rPr>
      <t>(as per Annex 1)</t>
    </r>
  </si>
  <si>
    <t>Indirect costs</t>
  </si>
  <si>
    <r>
      <t xml:space="preserve">Explanations
</t>
    </r>
    <r>
      <rPr>
        <sz val="9"/>
        <color theme="0" tint="-0.499984740745262"/>
        <rFont val="Arial"/>
        <family val="2"/>
      </rPr>
      <t>(if not foreseen in Annex 1)</t>
    </r>
  </si>
  <si>
    <r>
      <t xml:space="preserve">Explanations
</t>
    </r>
    <r>
      <rPr>
        <sz val="8"/>
        <color theme="0" tint="-0.499984740745262"/>
        <rFont val="Arial"/>
        <family val="2"/>
      </rPr>
      <t>(if not foreseen in Annex 1)</t>
    </r>
  </si>
  <si>
    <r>
      <t xml:space="preserve">Foreseen in Annex 1?
</t>
    </r>
    <r>
      <rPr>
        <sz val="8"/>
        <color theme="0" tint="-0.499984740745262"/>
        <rFont val="Arial"/>
        <family val="2"/>
      </rPr>
      <t>[Yes/No]</t>
    </r>
  </si>
  <si>
    <t>Please include one line per subcontract. Double-check consistency with the information on subcontracting in the Technical Report (Part B) – Activities and work packages.
Subcontracting costs for subcontractors not identified in Annex 1 are ineligible.</t>
  </si>
  <si>
    <t>One line per cost item</t>
  </si>
  <si>
    <r>
      <t xml:space="preserve">Costs in this RP
</t>
    </r>
    <r>
      <rPr>
        <sz val="9"/>
        <color theme="0" tint="-0.499984740745262"/>
        <rFont val="Arial"/>
        <family val="2"/>
      </rPr>
      <t>(EUR)</t>
    </r>
  </si>
  <si>
    <t>Please include a specific line per cost item when these are higher than EUR 10 000; otherwise you can group your cost items in a single line.</t>
  </si>
  <si>
    <t>Short name:</t>
  </si>
  <si>
    <t>Actual personnel costs
(a)</t>
  </si>
  <si>
    <t>Maximum declarable day-equivalents
(b)</t>
  </si>
  <si>
    <t>Daily rate
(c) = (a) / (b)</t>
  </si>
  <si>
    <t>Personnel costs for the action
(c) * (d)</t>
  </si>
  <si>
    <t>Work package No</t>
  </si>
  <si>
    <t>Staff member</t>
  </si>
  <si>
    <r>
      <t xml:space="preserve">A.1 Costs for employees (or equivalent) declared as actual costs </t>
    </r>
    <r>
      <rPr>
        <sz val="11"/>
        <color theme="2" tint="-0.749992370372631"/>
        <rFont val="Arial"/>
        <family val="2"/>
      </rPr>
      <t>(if applicable)</t>
    </r>
  </si>
  <si>
    <t>Position</t>
  </si>
  <si>
    <t>Place of establishment</t>
  </si>
  <si>
    <t>Please insert the place of establishment of the SME owner or the natural person declared under this category.</t>
  </si>
  <si>
    <t>Total cost (EUR)</t>
  </si>
  <si>
    <t>Personnel costs for the action
(a) * (b)</t>
  </si>
  <si>
    <t>Revenues</t>
  </si>
  <si>
    <t>Direct costs</t>
  </si>
  <si>
    <t>EU contribution to eligible costs</t>
  </si>
  <si>
    <t>Contributions</t>
  </si>
  <si>
    <t>Income generated by the action</t>
  </si>
  <si>
    <t>A. Personnel costs</t>
  </si>
  <si>
    <t>B. Subcontracting costs</t>
  </si>
  <si>
    <t>C. Purchase costs</t>
  </si>
  <si>
    <t>D. Other cost categories</t>
  </si>
  <si>
    <t>Requested EU contribution</t>
  </si>
  <si>
    <t>F.Contributions</t>
  </si>
  <si>
    <t>A.1  Employees (or equivalent)</t>
  </si>
  <si>
    <t>A.4 SME owners and natural person beneficiaries</t>
  </si>
  <si>
    <t xml:space="preserve">A.5 Volunteers </t>
  </si>
  <si>
    <t>A.6 [name]</t>
  </si>
  <si>
    <t>B. Subcontracting</t>
  </si>
  <si>
    <t>C.1 Travel and subsistence</t>
  </si>
  <si>
    <t>C.2 Equipment</t>
  </si>
  <si>
    <t>C.3 Other goods, works and services</t>
  </si>
  <si>
    <r>
      <t>D.2 Internally invoiced goods and services</t>
    </r>
    <r>
      <rPr>
        <i/>
        <sz val="10"/>
        <color rgb="FF4AAF5B"/>
        <rFont val="Calibri"/>
        <family val="2"/>
        <scheme val="minor"/>
      </rPr>
      <t xml:space="preserve"> </t>
    </r>
  </si>
  <si>
    <t>D.X [name]</t>
  </si>
  <si>
    <t>E.  Indirect costs</t>
  </si>
  <si>
    <t>F.X [name]</t>
  </si>
  <si>
    <t xml:space="preserve">A.2 Natural persons under direct contract </t>
  </si>
  <si>
    <t>Travel</t>
  </si>
  <si>
    <t>Accommodation</t>
  </si>
  <si>
    <t>Subsistence</t>
  </si>
  <si>
    <t>A.3 Seconded persons</t>
  </si>
  <si>
    <t>Forms of funding</t>
  </si>
  <si>
    <r>
      <t>Actual costs</t>
    </r>
    <r>
      <rPr>
        <i/>
        <strike/>
        <sz val="10"/>
        <color theme="1" tint="0.499984740745262"/>
        <rFont val="Calibri"/>
        <family val="2"/>
        <scheme val="minor"/>
      </rPr>
      <t/>
    </r>
  </si>
  <si>
    <r>
      <t>Unit costs</t>
    </r>
    <r>
      <rPr>
        <strike/>
        <vertAlign val="superscript"/>
        <sz val="14"/>
        <color theme="1" tint="0.499984740745262"/>
        <rFont val="Calibri"/>
        <family val="2"/>
        <scheme val="minor"/>
      </rPr>
      <t>5</t>
    </r>
  </si>
  <si>
    <r>
      <t>[</t>
    </r>
    <r>
      <rPr>
        <strike/>
        <sz val="10"/>
        <color theme="0" tint="-0.499984740745262"/>
        <rFont val="Calibri"/>
        <family val="2"/>
        <scheme val="minor"/>
      </rPr>
      <t>Actual costs</t>
    </r>
    <r>
      <rPr>
        <i/>
        <strike/>
        <sz val="10"/>
        <color theme="0" tint="-0.499984740745262"/>
        <rFont val="Calibri"/>
        <family val="2"/>
        <scheme val="minor"/>
      </rPr>
      <t>][</t>
    </r>
    <r>
      <rPr>
        <strike/>
        <sz val="10"/>
        <color theme="0" tint="-0.499984740745262"/>
        <rFont val="Calibri"/>
        <family val="2"/>
        <scheme val="minor"/>
      </rPr>
      <t>Unit costs</t>
    </r>
    <r>
      <rPr>
        <strike/>
        <vertAlign val="superscript"/>
        <sz val="14"/>
        <color theme="0" tint="-0.499984740745262"/>
        <rFont val="Calibri"/>
        <family val="2"/>
        <scheme val="minor"/>
      </rPr>
      <t>5</t>
    </r>
    <r>
      <rPr>
        <i/>
        <strike/>
        <sz val="10"/>
        <color theme="0" tint="-0.499984740745262"/>
        <rFont val="Calibri"/>
        <family val="2"/>
        <scheme val="minor"/>
      </rPr>
      <t>][</t>
    </r>
    <r>
      <rPr>
        <strike/>
        <sz val="10"/>
        <color theme="0" tint="-0.499984740745262"/>
        <rFont val="Calibri"/>
        <family val="2"/>
        <scheme val="minor"/>
      </rPr>
      <t>Lump sum costs</t>
    </r>
    <r>
      <rPr>
        <i/>
        <strike/>
        <sz val="10"/>
        <color theme="0" tint="-0.499984740745262"/>
        <rFont val="Calibri"/>
        <family val="2"/>
        <scheme val="minor"/>
      </rPr>
      <t>]</t>
    </r>
  </si>
  <si>
    <t>Actual costs</t>
  </si>
  <si>
    <r>
      <rPr>
        <i/>
        <strike/>
        <sz val="10"/>
        <color theme="0" tint="-0.499984740745262"/>
        <rFont val="Calibri"/>
        <family val="2"/>
        <scheme val="minor"/>
      </rPr>
      <t>[</t>
    </r>
    <r>
      <rPr>
        <strike/>
        <sz val="10"/>
        <color theme="0" tint="-0.499984740745262"/>
        <rFont val="Calibri"/>
        <family val="2"/>
        <scheme val="minor"/>
      </rPr>
      <t>Actual  costs</t>
    </r>
    <r>
      <rPr>
        <i/>
        <strike/>
        <sz val="10"/>
        <color theme="0" tint="-0.499984740745262"/>
        <rFont val="Calibri"/>
        <family val="2"/>
        <scheme val="minor"/>
      </rPr>
      <t>][</t>
    </r>
    <r>
      <rPr>
        <strike/>
        <sz val="10"/>
        <color theme="0" tint="-0.499984740745262"/>
        <rFont val="Calibri"/>
        <family val="2"/>
        <scheme val="minor"/>
      </rPr>
      <t>Unit</t>
    </r>
    <r>
      <rPr>
        <strike/>
        <vertAlign val="superscript"/>
        <sz val="14"/>
        <color theme="0" tint="-0.499984740745262"/>
        <rFont val="Calibri"/>
        <family val="2"/>
        <scheme val="minor"/>
      </rPr>
      <t>5</t>
    </r>
    <r>
      <rPr>
        <strike/>
        <sz val="10"/>
        <color theme="0" tint="-0.499984740745262"/>
        <rFont val="Calibri"/>
        <family val="2"/>
        <scheme val="minor"/>
      </rPr>
      <t xml:space="preserve"> or actual costs</t>
    </r>
    <r>
      <rPr>
        <i/>
        <strike/>
        <sz val="10"/>
        <color theme="0" tint="-0.499984740745262"/>
        <rFont val="Calibri"/>
        <family val="2"/>
        <scheme val="minor"/>
      </rPr>
      <t>]</t>
    </r>
  </si>
  <si>
    <r>
      <rPr>
        <i/>
        <strike/>
        <sz val="10"/>
        <color theme="0" tint="-0.499984740745262"/>
        <rFont val="Calibri"/>
        <family val="2"/>
        <scheme val="minor"/>
      </rPr>
      <t>[</t>
    </r>
    <r>
      <rPr>
        <strike/>
        <sz val="10"/>
        <color theme="0" tint="-0.499984740745262"/>
        <rFont val="Calibri"/>
        <family val="2"/>
        <scheme val="minor"/>
      </rPr>
      <t>Unit costs</t>
    </r>
    <r>
      <rPr>
        <strike/>
        <vertAlign val="superscript"/>
        <sz val="14"/>
        <color theme="0" tint="-0.499984740745262"/>
        <rFont val="Calibri"/>
        <family val="2"/>
        <scheme val="minor"/>
      </rPr>
      <t>5</t>
    </r>
    <r>
      <rPr>
        <i/>
        <strike/>
        <sz val="10"/>
        <color theme="0" tint="-0.499984740745262"/>
        <rFont val="Calibri"/>
        <family val="2"/>
        <scheme val="minor"/>
      </rPr>
      <t>]</t>
    </r>
  </si>
  <si>
    <r>
      <t>Unit costs</t>
    </r>
    <r>
      <rPr>
        <strike/>
        <vertAlign val="superscript"/>
        <sz val="14"/>
        <color theme="0" tint="-0.499984740745262"/>
        <rFont val="Calibri"/>
        <family val="2"/>
        <scheme val="minor"/>
      </rPr>
      <t>5</t>
    </r>
  </si>
  <si>
    <r>
      <t>Unit contribution</t>
    </r>
    <r>
      <rPr>
        <strike/>
        <vertAlign val="superscript"/>
        <sz val="14"/>
        <color theme="0" tint="-0.499984740745262"/>
        <rFont val="Calibri"/>
        <family val="2"/>
        <scheme val="minor"/>
      </rPr>
      <t>5</t>
    </r>
  </si>
  <si>
    <r>
      <t>Flat-rate contribution</t>
    </r>
    <r>
      <rPr>
        <strike/>
        <vertAlign val="superscript"/>
        <sz val="14"/>
        <color theme="0" tint="-0.499984740745262"/>
        <rFont val="Calibri"/>
        <family val="2"/>
        <scheme val="minor"/>
      </rPr>
      <t>6</t>
    </r>
  </si>
  <si>
    <t>Lump sum contribution</t>
  </si>
  <si>
    <t>Financing not linked to costs</t>
  </si>
  <si>
    <t>a1</t>
  </si>
  <si>
    <t>a2</t>
  </si>
  <si>
    <t>a3</t>
  </si>
  <si>
    <t>a4</t>
  </si>
  <si>
    <t>a5</t>
  </si>
  <si>
    <t>b</t>
  </si>
  <si>
    <t>c1</t>
  </si>
  <si>
    <t>c1a</t>
  </si>
  <si>
    <t>c1b</t>
  </si>
  <si>
    <t>c1c</t>
  </si>
  <si>
    <t>c2</t>
  </si>
  <si>
    <t>c3</t>
  </si>
  <si>
    <r>
      <rPr>
        <i/>
        <strike/>
        <sz val="10"/>
        <color theme="0" tint="-0.499984740745262"/>
        <rFont val="Calibri"/>
        <family val="2"/>
        <scheme val="minor"/>
      </rPr>
      <t>[</t>
    </r>
    <r>
      <rPr>
        <strike/>
        <sz val="10"/>
        <color theme="0" tint="-0.499984740745262"/>
        <rFont val="Calibri"/>
        <family val="2"/>
        <scheme val="minor"/>
      </rPr>
      <t>d1b</t>
    </r>
    <r>
      <rPr>
        <i/>
        <strike/>
        <sz val="10"/>
        <color theme="0" tint="-0.499984740745262"/>
        <rFont val="Calibri"/>
        <family val="2"/>
        <scheme val="minor"/>
      </rPr>
      <t>]</t>
    </r>
  </si>
  <si>
    <t>d2</t>
  </si>
  <si>
    <t>d4</t>
  </si>
  <si>
    <t>e</t>
  </si>
  <si>
    <r>
      <t>U</t>
    </r>
    <r>
      <rPr>
        <i/>
        <sz val="10"/>
        <color rgb="FFFF0000"/>
        <rFont val="Calibri"/>
        <family val="2"/>
        <scheme val="minor"/>
      </rPr>
      <t/>
    </r>
  </si>
  <si>
    <r>
      <rPr>
        <sz val="10"/>
        <rFont val="Calibri"/>
        <family val="2"/>
        <scheme val="minor"/>
      </rPr>
      <t>g = f*U%</t>
    </r>
    <r>
      <rPr>
        <i/>
        <sz val="10"/>
        <color rgb="FFFF0000"/>
        <rFont val="Calibri"/>
        <family val="2"/>
        <scheme val="minor"/>
      </rPr>
      <t/>
    </r>
  </si>
  <si>
    <t>h</t>
  </si>
  <si>
    <t>i</t>
  </si>
  <si>
    <t>j = flat-rate * (XXX)</t>
  </si>
  <si>
    <t>k</t>
  </si>
  <si>
    <t>l</t>
  </si>
  <si>
    <t>m</t>
  </si>
  <si>
    <t>(i)</t>
  </si>
  <si>
    <t>n</t>
  </si>
  <si>
    <t>The beneficiary/affiliated entity hereby confirms that:</t>
  </si>
  <si>
    <t>The information provided is complete, reliable and true.</t>
  </si>
  <si>
    <t>The costs and contributions declared are eligible (see Article 6).</t>
  </si>
  <si>
    <t>The costs and contributions can be substantiated by adequate records and supporting documentation that will be produced upon request or in the context of checks, reviews, audits and investigations (see Articles 19, 20 and 25).</t>
  </si>
  <si>
    <t>For the last reporting period: that all the revenues have been declared (see Article 22).</t>
  </si>
  <si>
    <r>
      <rPr>
        <sz val="11"/>
        <rFont val="Webdings"/>
        <family val="1"/>
        <charset val="2"/>
      </rPr>
      <t xml:space="preserve">i </t>
    </r>
    <r>
      <rPr>
        <sz val="11"/>
        <rFont val="Calibri"/>
        <family val="2"/>
      </rPr>
      <t>Please declare all eligible costs and contributions, even if  they exceed the amounts indicated in the estimated budget (see Annex 2). Only amounts that were declared in your individual financial statements can be taken into account lateron, in order to replace costs/contributions that are found to be ineligible.</t>
    </r>
  </si>
  <si>
    <r>
      <rPr>
        <vertAlign val="superscript"/>
        <sz val="14"/>
        <rFont val="Calibri"/>
        <family val="2"/>
        <scheme val="minor"/>
      </rPr>
      <t>1</t>
    </r>
    <r>
      <rPr>
        <sz val="11"/>
        <rFont val="Calibri"/>
        <family val="2"/>
        <scheme val="minor"/>
      </rPr>
      <t xml:space="preserve"> See Article 6 for the eligibility conditions. All amounts must be expressed in EUR (see Article 21 for the conversion rules).</t>
    </r>
  </si>
  <si>
    <t>Please insert the daily rate used for calculation. You must create one line for each staff member and per work package.</t>
  </si>
  <si>
    <t>This section is only applicable to beneficiaries that opted for the actual indirect costs regime foreseen in article 15 of EDF Regulation. If you are using the 25% flat-rate you do not need to complete this section.
Please include one line per cost item or cost category.</t>
  </si>
  <si>
    <t>Activity type</t>
  </si>
  <si>
    <t>WP</t>
  </si>
  <si>
    <t>Average daily rate 
(a)</t>
  </si>
  <si>
    <t>Daily rate 
(a)</t>
  </si>
  <si>
    <t>Day-equivalents 
worked in the action
(b)</t>
  </si>
  <si>
    <t>Day-equivalents 
worked in the action
(d)</t>
  </si>
  <si>
    <t>Integrating knowledge</t>
  </si>
  <si>
    <t>Studies</t>
  </si>
  <si>
    <t>Design</t>
  </si>
  <si>
    <t>System prototyping</t>
  </si>
  <si>
    <t>Testing</t>
  </si>
  <si>
    <t>Qualification</t>
  </si>
  <si>
    <t>Certification</t>
  </si>
  <si>
    <t>Increasing efficiency</t>
  </si>
  <si>
    <t>Reported</t>
  </si>
  <si>
    <t>Reported WP</t>
  </si>
  <si>
    <t>List of countries</t>
  </si>
  <si>
    <t>Country coefficients</t>
  </si>
  <si>
    <t>Austria</t>
  </si>
  <si>
    <t>Belgium</t>
  </si>
  <si>
    <t>Bulgaria</t>
  </si>
  <si>
    <t>Croatia</t>
  </si>
  <si>
    <t>Cyprus</t>
  </si>
  <si>
    <t>Czech Republic</t>
  </si>
  <si>
    <t>Denmark</t>
  </si>
  <si>
    <t>Estonia</t>
  </si>
  <si>
    <t>Finland</t>
  </si>
  <si>
    <t>France</t>
  </si>
  <si>
    <t>Germany</t>
  </si>
  <si>
    <t>Greece</t>
  </si>
  <si>
    <t>Hungary</t>
  </si>
  <si>
    <t>Ireland</t>
  </si>
  <si>
    <t>Italy</t>
  </si>
  <si>
    <t>Latvia</t>
  </si>
  <si>
    <t>Lithuania</t>
  </si>
  <si>
    <t>Luxembourg</t>
  </si>
  <si>
    <t>Malta</t>
  </si>
  <si>
    <t>Netherlands</t>
  </si>
  <si>
    <t>Norway</t>
  </si>
  <si>
    <t>Poland</t>
  </si>
  <si>
    <t>Portugal</t>
  </si>
  <si>
    <t>Romania</t>
  </si>
  <si>
    <t>Slovakia</t>
  </si>
  <si>
    <t>Slovenia</t>
  </si>
  <si>
    <t>Spain</t>
  </si>
  <si>
    <t>Sweden</t>
  </si>
  <si>
    <t>TOTAL</t>
  </si>
  <si>
    <r>
      <t>A.2 and A.3 Costs for natural persons working under a direct contract and costs for seconded persons by a third party against payment</t>
    </r>
    <r>
      <rPr>
        <sz val="11"/>
        <color theme="2" tint="-0.749992370372631"/>
        <rFont val="Arial"/>
        <family val="2"/>
      </rPr>
      <t xml:space="preserve"> (if applicable)</t>
    </r>
  </si>
  <si>
    <t>Please insert the staff actual costs, the maximum declarable day-equivalents and days-equivalent worked in the action for the reporting period. You must create one line for each staff member and per WP. You may anonymize the information (no need to include the names of the staff, you may use staff categories or simply "Staff 1", "Staff 2", etc.)</t>
  </si>
  <si>
    <r>
      <t>Actual  costs</t>
    </r>
    <r>
      <rPr>
        <sz val="10"/>
        <color theme="0" tint="-0.499984740745262"/>
        <rFont val="Calibri"/>
        <family val="2"/>
        <scheme val="minor"/>
      </rPr>
      <t/>
    </r>
  </si>
  <si>
    <t>f = a+b+c+d+e</t>
  </si>
  <si>
    <r>
      <t>Flat-rate</t>
    </r>
    <r>
      <rPr>
        <vertAlign val="superscript"/>
        <sz val="10"/>
        <rFont val="Calibri"/>
        <family val="2"/>
        <scheme val="minor"/>
      </rPr>
      <t>6</t>
    </r>
    <r>
      <rPr>
        <sz val="10"/>
        <rFont val="Calibri"/>
        <family val="2"/>
        <scheme val="minor"/>
      </rPr>
      <t xml:space="preserve"> or actual costs</t>
    </r>
  </si>
  <si>
    <r>
      <t>Unit costs</t>
    </r>
    <r>
      <rPr>
        <vertAlign val="superscript"/>
        <sz val="10"/>
        <rFont val="Calibri"/>
        <family val="2"/>
        <scheme val="minor"/>
      </rPr>
      <t>5</t>
    </r>
  </si>
  <si>
    <r>
      <t>Eligible</t>
    </r>
    <r>
      <rPr>
        <b/>
        <vertAlign val="superscript"/>
        <sz val="11"/>
        <rFont val="Calibri"/>
        <family val="2"/>
      </rPr>
      <t>1</t>
    </r>
    <r>
      <rPr>
        <b/>
        <sz val="14"/>
        <rFont val="Calibri"/>
        <family val="2"/>
      </rPr>
      <t xml:space="preserve"> </t>
    </r>
    <r>
      <rPr>
        <b/>
        <sz val="11"/>
        <rFont val="Calibri"/>
        <family val="2"/>
      </rPr>
      <t>costs (per budget category)</t>
    </r>
  </si>
  <si>
    <r>
      <t>E. Indirect costs</t>
    </r>
    <r>
      <rPr>
        <b/>
        <vertAlign val="superscript"/>
        <sz val="11"/>
        <rFont val="Calibri"/>
        <family val="2"/>
      </rPr>
      <t xml:space="preserve">2 </t>
    </r>
  </si>
  <si>
    <r>
      <t>Funding rate %</t>
    </r>
    <r>
      <rPr>
        <b/>
        <vertAlign val="superscript"/>
        <sz val="11"/>
        <rFont val="Calibri"/>
        <family val="2"/>
        <scheme val="minor"/>
      </rPr>
      <t>3</t>
    </r>
  </si>
  <si>
    <r>
      <t>Maximum EU contribution</t>
    </r>
    <r>
      <rPr>
        <b/>
        <vertAlign val="superscript"/>
        <sz val="11"/>
        <rFont val="Calibri"/>
        <family val="2"/>
        <scheme val="minor"/>
      </rPr>
      <t>4</t>
    </r>
    <r>
      <rPr>
        <b/>
        <sz val="11"/>
        <rFont val="Calibri"/>
        <family val="2"/>
        <scheme val="minor"/>
      </rPr>
      <t xml:space="preserve"> </t>
    </r>
  </si>
  <si>
    <r>
      <t>EU contribution</t>
    </r>
    <r>
      <rPr>
        <b/>
        <vertAlign val="superscript"/>
        <sz val="11"/>
        <rFont val="Calibri"/>
        <family val="2"/>
        <scheme val="minor"/>
      </rPr>
      <t>2</t>
    </r>
  </si>
  <si>
    <t>d1</t>
  </si>
  <si>
    <t>d3</t>
  </si>
  <si>
    <t>C. Purchases</t>
  </si>
  <si>
    <t>E. Indirect costs</t>
  </si>
  <si>
    <r>
      <t xml:space="preserve">C.2 Equipment </t>
    </r>
    <r>
      <rPr>
        <sz val="11"/>
        <color theme="2" tint="-0.749992370372631"/>
        <rFont val="Arial"/>
        <family val="2"/>
      </rPr>
      <t>(depreciation only)</t>
    </r>
  </si>
  <si>
    <r>
      <t xml:space="preserve">C.2 Equipment </t>
    </r>
    <r>
      <rPr>
        <sz val="11"/>
        <color theme="2" tint="-0.749992370372631"/>
        <rFont val="Arial"/>
        <family val="2"/>
      </rPr>
      <t>(full cost - if allowed in the grant agreement for listed equipment)</t>
    </r>
  </si>
  <si>
    <r>
      <t>D.2 Internally invoiced goods and services</t>
    </r>
    <r>
      <rPr>
        <sz val="11"/>
        <color theme="2" tint="-0.749992370372631"/>
        <rFont val="Arial"/>
        <family val="2"/>
      </rPr>
      <t xml:space="preserve"> (if applicable)</t>
    </r>
  </si>
  <si>
    <t>Unit costs 
(usual accounting practices)</t>
  </si>
  <si>
    <r>
      <t xml:space="preserve">A.1 Costs for employees (or equivalent) declared as unit costs (usual accounting practices) </t>
    </r>
    <r>
      <rPr>
        <sz val="11"/>
        <color theme="2" tint="-0.749992370372631"/>
        <rFont val="Arial"/>
        <family val="2"/>
      </rPr>
      <t>(if applicable)</t>
    </r>
  </si>
  <si>
    <r>
      <t>A.4 SME owners</t>
    </r>
    <r>
      <rPr>
        <sz val="11"/>
        <color theme="2" tint="-0.749992370372631"/>
        <rFont val="Arial"/>
        <family val="2"/>
      </rPr>
      <t xml:space="preserve"> </t>
    </r>
    <r>
      <rPr>
        <b/>
        <sz val="11"/>
        <color theme="2" tint="-0.749992370372631"/>
        <rFont val="Arial"/>
        <family val="2"/>
      </rPr>
      <t xml:space="preserve">or natural person beneficiaries </t>
    </r>
    <r>
      <rPr>
        <sz val="11"/>
        <color theme="2" tint="-0.749992370372631"/>
        <rFont val="Arial"/>
        <family val="2"/>
      </rPr>
      <t>(if applicable)</t>
    </r>
  </si>
  <si>
    <t>General information - 
List of reported work packages/activities</t>
  </si>
  <si>
    <t>PROJECT</t>
  </si>
  <si>
    <t>Project name:</t>
  </si>
  <si>
    <t>Project number:</t>
  </si>
  <si>
    <t>PIC number:</t>
  </si>
  <si>
    <t>REPORTING PERIOD</t>
  </si>
  <si>
    <t>Period number:</t>
  </si>
  <si>
    <t>to</t>
  </si>
  <si>
    <t>Period covered:</t>
  </si>
  <si>
    <r>
      <t xml:space="preserve">LIST OF REPORTED WP AND ACTIVITIES
</t>
    </r>
    <r>
      <rPr>
        <i/>
        <sz val="9"/>
        <color theme="0" tint="-0.499984740745262"/>
        <rFont val="Arial"/>
        <family val="2"/>
      </rPr>
      <t xml:space="preserve">Please report the work packages and activities in which you worked during the period </t>
    </r>
  </si>
  <si>
    <t>TYPE OF REPORTING</t>
  </si>
  <si>
    <t>Version</t>
  </si>
  <si>
    <t>Publication Date</t>
  </si>
  <si>
    <t>Change</t>
  </si>
  <si>
    <t>v1.00</t>
  </si>
  <si>
    <t>Initial version</t>
  </si>
  <si>
    <t>Regime for indirect costs:</t>
  </si>
  <si>
    <t>PARTICIPANT INFO</t>
  </si>
  <si>
    <t>EUROPEAN DEFENCE FUND</t>
  </si>
  <si>
    <t>PERIODIC FINANCIAL REPORT</t>
  </si>
  <si>
    <t>Work package number</t>
  </si>
  <si>
    <r>
      <rPr>
        <vertAlign val="superscript"/>
        <sz val="14"/>
        <rFont val="Calibri"/>
        <family val="2"/>
        <scheme val="minor"/>
      </rPr>
      <t>2</t>
    </r>
    <r>
      <rPr>
        <sz val="14"/>
        <rFont val="Calibri"/>
        <family val="2"/>
        <scheme val="minor"/>
      </rPr>
      <t xml:space="preserve"> </t>
    </r>
    <r>
      <rPr>
        <sz val="11"/>
        <rFont val="Calibri"/>
        <family val="2"/>
      </rPr>
      <t>If you have also received an EU operating grant during this reporting period, you cannot claim indirect costs - unless you can demonstrate that the operating grant does not cover any costs of the action. This requires specific accounting tools. Please contact us immediately via the Funding &amp; Tenders Portal for details.</t>
    </r>
  </si>
  <si>
    <r>
      <t xml:space="preserve">Detailed costs reporting table for the activity </t>
    </r>
    <r>
      <rPr>
        <b/>
        <i/>
        <sz val="16"/>
        <color rgb="FFA50021"/>
        <rFont val="Arial"/>
        <family val="2"/>
      </rPr>
      <t>Integrating knowledge</t>
    </r>
    <r>
      <rPr>
        <b/>
        <sz val="16"/>
        <color rgb="FFA50021"/>
        <rFont val="Arial"/>
        <family val="2"/>
      </rPr>
      <t xml:space="preserve"> and explanations</t>
    </r>
  </si>
  <si>
    <t>Explanations on adjustments</t>
  </si>
  <si>
    <r>
      <t xml:space="preserve">Detailed costs reporting table for the activity </t>
    </r>
    <r>
      <rPr>
        <b/>
        <i/>
        <sz val="16"/>
        <color rgb="FFA50021"/>
        <rFont val="Arial"/>
        <family val="2"/>
      </rPr>
      <t>Studies</t>
    </r>
    <r>
      <rPr>
        <b/>
        <sz val="16"/>
        <color rgb="FFA50021"/>
        <rFont val="Arial"/>
        <family val="2"/>
      </rPr>
      <t xml:space="preserve"> and explanations</t>
    </r>
  </si>
  <si>
    <r>
      <t xml:space="preserve">Detailed costs reporting table for the activity </t>
    </r>
    <r>
      <rPr>
        <b/>
        <i/>
        <sz val="16"/>
        <color rgb="FFA50021"/>
        <rFont val="Arial"/>
        <family val="2"/>
      </rPr>
      <t>Design</t>
    </r>
    <r>
      <rPr>
        <b/>
        <sz val="16"/>
        <color rgb="FFA50021"/>
        <rFont val="Arial"/>
        <family val="2"/>
      </rPr>
      <t xml:space="preserve"> and explanations</t>
    </r>
  </si>
  <si>
    <r>
      <t xml:space="preserve">Detailed costs reporting table for the activity </t>
    </r>
    <r>
      <rPr>
        <b/>
        <i/>
        <sz val="16"/>
        <color rgb="FFA50021"/>
        <rFont val="Arial"/>
        <family val="2"/>
      </rPr>
      <t>Increasing efficiency</t>
    </r>
    <r>
      <rPr>
        <b/>
        <sz val="16"/>
        <color rgb="FFA50021"/>
        <rFont val="Arial"/>
        <family val="2"/>
      </rPr>
      <t xml:space="preserve"> and explanations</t>
    </r>
  </si>
  <si>
    <r>
      <t xml:space="preserve">Detailed costs reporting table for the activity </t>
    </r>
    <r>
      <rPr>
        <b/>
        <i/>
        <sz val="16"/>
        <color rgb="FFA50021"/>
        <rFont val="Arial"/>
        <family val="2"/>
      </rPr>
      <t>Certification</t>
    </r>
    <r>
      <rPr>
        <b/>
        <sz val="16"/>
        <color rgb="FFA50021"/>
        <rFont val="Arial"/>
        <family val="2"/>
      </rPr>
      <t xml:space="preserve"> and explanations</t>
    </r>
  </si>
  <si>
    <r>
      <t xml:space="preserve">Detailed costs reporting table for the activity </t>
    </r>
    <r>
      <rPr>
        <b/>
        <i/>
        <sz val="16"/>
        <color rgb="FFA50021"/>
        <rFont val="Arial"/>
        <family val="2"/>
      </rPr>
      <t>Qualification</t>
    </r>
    <r>
      <rPr>
        <b/>
        <sz val="16"/>
        <color rgb="FFA50021"/>
        <rFont val="Arial"/>
        <family val="2"/>
      </rPr>
      <t xml:space="preserve"> and explanations</t>
    </r>
  </si>
  <si>
    <r>
      <t xml:space="preserve">Detailed costs reporting table for the activity </t>
    </r>
    <r>
      <rPr>
        <b/>
        <i/>
        <sz val="16"/>
        <color rgb="FFA50021"/>
        <rFont val="Arial"/>
        <family val="2"/>
      </rPr>
      <t>Testing</t>
    </r>
    <r>
      <rPr>
        <b/>
        <sz val="16"/>
        <color rgb="FFA50021"/>
        <rFont val="Arial"/>
        <family val="2"/>
      </rPr>
      <t xml:space="preserve"> and explanations</t>
    </r>
  </si>
  <si>
    <r>
      <t xml:space="preserve">Detailed costs reporting table for the activity </t>
    </r>
    <r>
      <rPr>
        <b/>
        <i/>
        <sz val="16"/>
        <color rgb="FFA50021"/>
        <rFont val="Arial"/>
        <family val="2"/>
      </rPr>
      <t>System prototyping</t>
    </r>
    <r>
      <rPr>
        <b/>
        <sz val="16"/>
        <color rgb="FFA50021"/>
        <rFont val="Arial"/>
        <family val="2"/>
      </rPr>
      <t xml:space="preserve"> and explanations</t>
    </r>
  </si>
  <si>
    <t>Type of periodic financial report:</t>
  </si>
  <si>
    <t>End</t>
  </si>
  <si>
    <r>
      <rPr>
        <b/>
        <sz val="10"/>
        <color theme="0" tint="-0.499984740745262"/>
        <rFont val="Calibri"/>
        <family val="2"/>
        <scheme val="minor"/>
      </rPr>
      <t>(If applicable)</t>
    </r>
    <r>
      <rPr>
        <sz val="10"/>
        <rFont val="Calibri"/>
        <family val="2"/>
        <scheme val="minor"/>
      </rPr>
      <t xml:space="preserve">
D.1 Financial support to third parties</t>
    </r>
    <r>
      <rPr>
        <vertAlign val="superscript"/>
        <sz val="10"/>
        <rFont val="Calibri"/>
        <family val="2"/>
        <scheme val="minor"/>
      </rPr>
      <t>7</t>
    </r>
  </si>
  <si>
    <r>
      <rPr>
        <b/>
        <sz val="10"/>
        <color theme="0" tint="-0.499984740745262"/>
        <rFont val="Calibri"/>
        <family val="2"/>
        <scheme val="minor"/>
      </rPr>
      <t>(If applicable)</t>
    </r>
    <r>
      <rPr>
        <sz val="10"/>
        <rFont val="Calibri"/>
        <family val="2"/>
        <scheme val="minor"/>
      </rPr>
      <t xml:space="preserve">
D.3 PCP procurement costs</t>
    </r>
  </si>
  <si>
    <t>General instructions</t>
  </si>
  <si>
    <t>Intructions for the sheet "General info on reporting"</t>
  </si>
  <si>
    <t>2) Complete all the yellow cells. You may add as many lines as WP reported in the period.</t>
  </si>
  <si>
    <r>
      <t xml:space="preserve">2) Complete all the yellow cells. White cells are calculated automatically. You may add as many lines as necessary to report all the costs incurred in the period. </t>
    </r>
    <r>
      <rPr>
        <b/>
        <sz val="12"/>
        <rFont val="Calibri"/>
        <family val="2"/>
        <scheme val="minor"/>
      </rPr>
      <t>Costs must be reported in EUR.</t>
    </r>
  </si>
  <si>
    <r>
      <t xml:space="preserve">3) Each beneficiary needs to upload the resulting .xlsx file (including all sheets), as well as the resulting .xlsx file of each of its affiliated entities, in the Funding &amp; Tenders Portal Grant Management Periodic Reporting tool. 
</t>
    </r>
    <r>
      <rPr>
        <b/>
        <sz val="12"/>
        <rFont val="Calibri"/>
        <family val="2"/>
        <scheme val="minor"/>
      </rPr>
      <t>These files are integral part of the periodic report.</t>
    </r>
  </si>
  <si>
    <r>
      <rPr>
        <b/>
        <sz val="12"/>
        <color theme="5"/>
        <rFont val="Calibri"/>
        <family val="2"/>
        <scheme val="minor"/>
      </rPr>
      <t>IMPORTANT:</t>
    </r>
    <r>
      <rPr>
        <sz val="12"/>
        <rFont val="Calibri"/>
        <family val="2"/>
        <scheme val="minor"/>
      </rPr>
      <t xml:space="preserve"> Contrary to the detailed budget table (submitted at proposal/grant preparation stage), the cost reporting table must NOT contain estimated costs, but the costs really incurred. Only eligible costs must be reported (i.e. costs that comply with the eligibility rules of your grant agreement).</t>
    </r>
  </si>
  <si>
    <r>
      <t>4) Each beneficiary needs then to recopy its total reported costs (and those of its affiliated entities) for each cost category directly in the Funding &amp; Tenders Portal Grant Management Periodic Reporting tool screen</t>
    </r>
    <r>
      <rPr>
        <b/>
        <sz val="12"/>
        <rFont val="Calibri"/>
        <family val="2"/>
        <scheme val="minor"/>
      </rPr>
      <t xml:space="preserve"> (make sure costs are aligned with the ones reported in the uploaded files).</t>
    </r>
  </si>
  <si>
    <r>
      <t xml:space="preserve">3) If you are submitting a detailed cost reporting table for an </t>
    </r>
    <r>
      <rPr>
        <u/>
        <sz val="12"/>
        <rFont val="Calibri"/>
        <family val="2"/>
        <scheme val="minor"/>
      </rPr>
      <t>adjustment of a previous periodic report,</t>
    </r>
    <r>
      <rPr>
        <sz val="12"/>
        <rFont val="Calibri"/>
        <family val="2"/>
        <scheme val="minor"/>
      </rPr>
      <t xml:space="preserve"> you must select "Yes" in this sheet and, where needed, provide the necessary explanation in the sheet DCRT (see dedicated field).</t>
    </r>
  </si>
  <si>
    <r>
      <t xml:space="preserve">Type of indirect cost 
</t>
    </r>
    <r>
      <rPr>
        <sz val="9"/>
        <color theme="0" tint="-0.499984740745262"/>
        <rFont val="Arial"/>
        <family val="2"/>
      </rPr>
      <t>(according to the table submitted in the Actual Indirect Cost Methodology Declaration)</t>
    </r>
  </si>
  <si>
    <t>1) This file is composed of the following main sheets:
- General info on reporting
- One Detailed Cost Reporting Table (DCRT) for each activity type reported in the period
- One Financial Statement displaying the cost of the beneficiary broken down in the different activity types reported in the period.</t>
  </si>
  <si>
    <r>
      <t xml:space="preserve">1) Use this sheet to define the generic data (project/participant name and PIC), the indirect cost regime, information about the reporting period, the work packages and the type of activities. </t>
    </r>
    <r>
      <rPr>
        <strike/>
        <sz val="12"/>
        <color rgb="FFFF0000"/>
        <rFont val="Calibri"/>
        <family val="2"/>
        <scheme val="minor"/>
      </rPr>
      <t/>
    </r>
  </si>
  <si>
    <t>Instructions for the sheet(s) "DCRT [activity]"</t>
  </si>
  <si>
    <t>1) Use this sheet to enter the costs incurred in the period for each cost category and work package relating to the activity concerned.</t>
  </si>
  <si>
    <t>Instructions for the sheet "Financial statement-activities"</t>
  </si>
  <si>
    <t>1) This sheet shows a consolidated view of the costs reported per cost category, broken down for each of the activities included in the period.</t>
  </si>
  <si>
    <t>2) Press first the buttom "Import data from DCRT sheets".</t>
  </si>
  <si>
    <t>3) Complement the information imported by filling in the yellow cells. The Requested EU contribution should be indicated in the end.</t>
  </si>
  <si>
    <t xml:space="preserve">Correction of error in the formula for personnel costs of category A.4 SME owners or natural person beneficiaries </t>
  </si>
  <si>
    <t>v1.10</t>
  </si>
  <si>
    <t>v1.20</t>
  </si>
  <si>
    <t>4) Press the button "Validation &amp; Export".</t>
  </si>
  <si>
    <t>Country coefficient
(a)</t>
  </si>
  <si>
    <t>Personnel cost
(a) * (b) * (c)</t>
  </si>
  <si>
    <t>Actual days of work in the action
(c)</t>
  </si>
  <si>
    <t>Cost equivalent amount per working day 
(1 month = 18 working days)
(b)</t>
  </si>
  <si>
    <r>
      <t xml:space="preserve">Detailed costs reporting table for the activity </t>
    </r>
    <r>
      <rPr>
        <b/>
        <i/>
        <sz val="16"/>
        <color rgb="FFA50021"/>
        <rFont val="Arial"/>
        <family val="2"/>
      </rPr>
      <t>Generating knowledge</t>
    </r>
    <r>
      <rPr>
        <b/>
        <sz val="16"/>
        <color rgb="FFA50021"/>
        <rFont val="Arial"/>
        <family val="2"/>
      </rPr>
      <t xml:space="preserve"> and explanations</t>
    </r>
  </si>
  <si>
    <t>Generating knowledge</t>
  </si>
  <si>
    <t>Research action (RA)</t>
  </si>
  <si>
    <t>Maximum grant amount</t>
  </si>
  <si>
    <t>A1a.1</t>
  </si>
  <si>
    <t>A1b.1</t>
  </si>
  <si>
    <t>A23.1</t>
  </si>
  <si>
    <t>A4.1</t>
  </si>
  <si>
    <t>B.1</t>
  </si>
  <si>
    <t>C1.1</t>
  </si>
  <si>
    <t>C2d.1</t>
  </si>
  <si>
    <t>C2f.1</t>
  </si>
  <si>
    <t>C3.1</t>
  </si>
  <si>
    <t>D2.1</t>
  </si>
  <si>
    <t>E.1</t>
  </si>
  <si>
    <t>Cost item name and description</t>
  </si>
  <si>
    <t>Staff position/category and ID of staff member</t>
  </si>
  <si>
    <t>Personnel cost for the action
(a) * (b) * (c)</t>
  </si>
  <si>
    <r>
      <t xml:space="preserve">This file is 'macro-enabled'. In order to have it work properly, make sure that:
- you have it saved on your computer in a well identified folder where you have been granted read/write access rights
- you have the macros authorised and enabled (request support of your IT officer/helpdesk if need be)
- if you are using Office 365, </t>
    </r>
    <r>
      <rPr>
        <b/>
        <u val="double"/>
        <sz val="14"/>
        <color rgb="FFFF0000"/>
        <rFont val="Calibri"/>
        <family val="2"/>
        <scheme val="minor"/>
      </rPr>
      <t>you have activated the “optimise compatibility” option</t>
    </r>
    <r>
      <rPr>
        <b/>
        <sz val="14"/>
        <rFont val="Calibri"/>
        <family val="2"/>
        <scheme val="minor"/>
      </rPr>
      <t>: it may otherwise lead to "floating" buttons generating errors in the macro with no other choice than to restart the work. To activate this option, go to File/Options/General: you will have to close and reopen Excel for the option to be active.</t>
    </r>
  </si>
  <si>
    <r>
      <rPr>
        <vertAlign val="superscript"/>
        <sz val="14"/>
        <rFont val="Calibri"/>
        <family val="2"/>
        <scheme val="minor"/>
      </rPr>
      <t>3</t>
    </r>
    <r>
      <rPr>
        <sz val="11"/>
        <rFont val="Calibri"/>
        <family val="2"/>
        <scheme val="minor"/>
      </rPr>
      <t xml:space="preserve"> Funding rate is 100% for Research actions</t>
    </r>
  </si>
  <si>
    <r>
      <rPr>
        <vertAlign val="superscript"/>
        <sz val="14"/>
        <rFont val="Calibri"/>
        <family val="2"/>
        <scheme val="minor"/>
      </rPr>
      <t xml:space="preserve">4 </t>
    </r>
    <r>
      <rPr>
        <sz val="11"/>
        <rFont val="Calibri"/>
        <family val="2"/>
        <scheme val="minor"/>
      </rPr>
      <t xml:space="preserve"> This is the</t>
    </r>
    <r>
      <rPr>
        <i/>
        <sz val="11"/>
        <rFont val="Calibri"/>
        <family val="2"/>
        <scheme val="minor"/>
      </rPr>
      <t xml:space="preserve"> theoretical</t>
    </r>
    <r>
      <rPr>
        <sz val="11"/>
        <rFont val="Calibri"/>
        <family val="2"/>
        <scheme val="minor"/>
      </rPr>
      <t xml:space="preserve"> amount of EU contribution to costs that the system calculates automatically (by multiplying the reimbursement rates by the costs declared). The amount you request (in the column 'requested EU contribution') may be less.</t>
    </r>
  </si>
  <si>
    <r>
      <rPr>
        <vertAlign val="superscript"/>
        <sz val="14"/>
        <rFont val="Calibri"/>
        <family val="2"/>
      </rPr>
      <t>5</t>
    </r>
    <r>
      <rPr>
        <sz val="11"/>
        <rFont val="Calibri"/>
        <family val="2"/>
      </rPr>
      <t xml:space="preserve"> See Annex 2a 'Additional information on the estimated budget' for the details (units, cost per unit).</t>
    </r>
  </si>
  <si>
    <r>
      <rPr>
        <vertAlign val="superscript"/>
        <sz val="14"/>
        <rFont val="Calibri"/>
        <family val="2"/>
      </rPr>
      <t>6</t>
    </r>
    <r>
      <rPr>
        <sz val="11"/>
        <rFont val="Calibri"/>
        <family val="2"/>
      </rPr>
      <t xml:space="preserve"> See Data Sheet for the flat-rate.</t>
    </r>
  </si>
  <si>
    <r>
      <rPr>
        <vertAlign val="superscript"/>
        <sz val="14"/>
        <rFont val="Calibri"/>
        <family val="2"/>
        <scheme val="minor"/>
      </rPr>
      <t>7</t>
    </r>
    <r>
      <rPr>
        <vertAlign val="superscript"/>
        <sz val="11"/>
        <rFont val="Calibri"/>
        <family val="2"/>
        <scheme val="minor"/>
      </rPr>
      <t xml:space="preserve"> </t>
    </r>
    <r>
      <rPr>
        <sz val="11"/>
        <rFont val="Calibri"/>
        <family val="2"/>
        <scheme val="minor"/>
      </rPr>
      <t>Value must be in line with the value reported in Part A of the technical periodic report</t>
    </r>
  </si>
  <si>
    <t>Value is truncated 2 digits after the comma.</t>
  </si>
  <si>
    <r>
      <t xml:space="preserve">2) Each beneficiary and affiliated entity needs to complete this file (1 each) using the following steps:
- </t>
    </r>
    <r>
      <rPr>
        <b/>
        <sz val="12"/>
        <rFont val="Calibri"/>
        <family val="2"/>
        <scheme val="minor"/>
      </rPr>
      <t>Step 1</t>
    </r>
    <r>
      <rPr>
        <sz val="12"/>
        <rFont val="Calibri"/>
        <family val="2"/>
        <scheme val="minor"/>
      </rPr>
      <t xml:space="preserve">: Fill in information in sheet "General info on reporting"
- </t>
    </r>
    <r>
      <rPr>
        <b/>
        <sz val="12"/>
        <rFont val="Calibri"/>
        <family val="2"/>
        <scheme val="minor"/>
      </rPr>
      <t>Step 2</t>
    </r>
    <r>
      <rPr>
        <sz val="12"/>
        <rFont val="Calibri"/>
        <family val="2"/>
        <scheme val="minor"/>
      </rPr>
      <t xml:space="preserve">: Fill in relevant information in the Detailed Cost Reporting Tables (DCRT)
- </t>
    </r>
    <r>
      <rPr>
        <b/>
        <sz val="12"/>
        <rFont val="Calibri"/>
        <family val="2"/>
        <scheme val="minor"/>
      </rPr>
      <t>Step 3</t>
    </r>
    <r>
      <rPr>
        <sz val="12"/>
        <rFont val="Calibri"/>
        <family val="2"/>
        <scheme val="minor"/>
      </rPr>
      <t xml:space="preserve">: Import data and fill in the remaining yellow cells in "Financial statement-activities"
- </t>
    </r>
    <r>
      <rPr>
        <b/>
        <sz val="12"/>
        <rFont val="Calibri"/>
        <family val="2"/>
        <scheme val="minor"/>
      </rPr>
      <t>Step 4</t>
    </r>
    <r>
      <rPr>
        <sz val="12"/>
        <rFont val="Calibri"/>
        <family val="2"/>
        <scheme val="minor"/>
      </rPr>
      <t>: Press the button "Validation &amp; Export" in the sheet "Financial statements-activities" to validate this cost reporting table. This will perform some completeness and consistency checks and save the file in .xlsm and .xlsx formats in the same folder as the initial macro-enabled file.</t>
    </r>
  </si>
  <si>
    <r>
      <rPr>
        <b/>
        <sz val="11"/>
        <color rgb="FF000000"/>
        <rFont val="Times New Roman"/>
        <family val="1"/>
      </rPr>
      <t>-</t>
    </r>
    <r>
      <rPr>
        <sz val="11"/>
        <color rgb="FF000000"/>
        <rFont val="Times New Roman"/>
        <family val="1"/>
      </rPr>
      <t xml:space="preserve"> Reporting table now aligned with the one for Development actions.
</t>
    </r>
    <r>
      <rPr>
        <b/>
        <sz val="11"/>
        <color rgb="FF000000"/>
        <rFont val="Times New Roman"/>
        <family val="1"/>
      </rPr>
      <t xml:space="preserve">In sheet "General info on reporting":
- </t>
    </r>
    <r>
      <rPr>
        <sz val="11"/>
        <color rgb="FF000000"/>
        <rFont val="Times New Roman"/>
        <family val="1"/>
      </rPr>
      <t xml:space="preserve">removal of the button "Validation &amp; Export", now only in the sheet "Financial statement-activities"
</t>
    </r>
    <r>
      <rPr>
        <b/>
        <sz val="11"/>
        <color rgb="FF000000"/>
        <rFont val="Times New Roman"/>
        <family val="1"/>
      </rPr>
      <t>In sheets DCRT:</t>
    </r>
    <r>
      <rPr>
        <sz val="11"/>
        <color rgb="FF000000"/>
        <rFont val="Times New Roman"/>
        <family val="1"/>
      </rPr>
      <t xml:space="preserve">
</t>
    </r>
    <r>
      <rPr>
        <b/>
        <sz val="11"/>
        <color rgb="FF000000"/>
        <rFont val="Times New Roman"/>
        <family val="1"/>
      </rPr>
      <t>-</t>
    </r>
    <r>
      <rPr>
        <sz val="11"/>
        <color rgb="FF000000"/>
        <rFont val="Times New Roman"/>
        <family val="1"/>
      </rPr>
      <t xml:space="preserve"> possibility to input negative values
</t>
    </r>
    <r>
      <rPr>
        <b/>
        <sz val="11"/>
        <color rgb="FF000000"/>
        <rFont val="Times New Roman"/>
        <family val="1"/>
      </rPr>
      <t>-</t>
    </r>
    <r>
      <rPr>
        <sz val="11"/>
        <color rgb="FF000000"/>
        <rFont val="Times New Roman"/>
        <family val="1"/>
      </rPr>
      <t xml:space="preserve"> only whole number of days or half days are allowed for declared personnel costs.
</t>
    </r>
    <r>
      <rPr>
        <b/>
        <sz val="11"/>
        <color rgb="FF000000"/>
        <rFont val="Times New Roman"/>
        <family val="1"/>
      </rPr>
      <t>-</t>
    </r>
    <r>
      <rPr>
        <sz val="11"/>
        <color rgb="FF000000"/>
        <rFont val="Times New Roman"/>
        <family val="1"/>
      </rPr>
      <t xml:space="preserve"> for cost category A.4 SME owners or natural person beneficiaries, costs now to be declared as actual days of work in the action (and not months)
</t>
    </r>
    <r>
      <rPr>
        <b/>
        <sz val="11"/>
        <color rgb="FF000000"/>
        <rFont val="Times New Roman"/>
        <family val="1"/>
      </rPr>
      <t>-</t>
    </r>
    <r>
      <rPr>
        <sz val="11"/>
        <color rgb="FF000000"/>
        <rFont val="Times New Roman"/>
        <family val="1"/>
      </rPr>
      <t xml:space="preserve"> title of colums updated to provide higher clarity of what is expected
</t>
    </r>
    <r>
      <rPr>
        <b/>
        <sz val="11"/>
        <color rgb="FF000000"/>
        <rFont val="Times New Roman"/>
        <family val="1"/>
      </rPr>
      <t xml:space="preserve">In sheet "Financial statement-activities"
- </t>
    </r>
    <r>
      <rPr>
        <sz val="11"/>
        <color rgb="FF000000"/>
        <rFont val="Times New Roman"/>
        <family val="1"/>
      </rPr>
      <t xml:space="preserve">possibility to input negative values
</t>
    </r>
    <r>
      <rPr>
        <b/>
        <sz val="11"/>
        <color rgb="FF000000"/>
        <rFont val="Times New Roman"/>
        <family val="1"/>
      </rPr>
      <t>-</t>
    </r>
    <r>
      <rPr>
        <sz val="11"/>
        <color rgb="FF000000"/>
        <rFont val="Times New Roman"/>
        <family val="1"/>
      </rPr>
      <t xml:space="preserve"> value of maximum EU contribution truncated to 2 digits after the comma to align displayed value with actual value </t>
    </r>
    <r>
      <rPr>
        <b/>
        <sz val="11"/>
        <color rgb="FF000000"/>
        <rFont val="Times New Roman"/>
        <family val="1"/>
      </rPr>
      <t xml:space="preserve">
- </t>
    </r>
    <r>
      <rPr>
        <sz val="11"/>
        <color rgb="FF000000"/>
        <rFont val="Times New Roman"/>
        <family val="1"/>
      </rPr>
      <t xml:space="preserve">title of last column has been aligned with the one in Compass
</t>
    </r>
    <r>
      <rPr>
        <b/>
        <sz val="11"/>
        <color rgb="FF000000"/>
        <rFont val="Times New Roman"/>
        <family val="1"/>
      </rPr>
      <t>-</t>
    </r>
    <r>
      <rPr>
        <sz val="11"/>
        <color rgb="FF000000"/>
        <rFont val="Times New Roman"/>
        <family val="1"/>
      </rPr>
      <t xml:space="preserve"> "Validation &amp; Export" button now moved to this sheet for more convenience
</t>
    </r>
    <r>
      <rPr>
        <b/>
        <sz val="11"/>
        <color rgb="FF000000"/>
        <rFont val="Times New Roman"/>
        <family val="1"/>
      </rPr>
      <t>Validation &amp; Export:</t>
    </r>
    <r>
      <rPr>
        <sz val="11"/>
        <color rgb="FF000000"/>
        <rFont val="Times New Roman"/>
        <family val="1"/>
      </rPr>
      <t xml:space="preserve">
</t>
    </r>
    <r>
      <rPr>
        <b/>
        <sz val="11"/>
        <color rgb="FF000000"/>
        <rFont val="Times New Roman"/>
        <family val="1"/>
      </rPr>
      <t xml:space="preserve">- </t>
    </r>
    <r>
      <rPr>
        <sz val="11"/>
        <color rgb="FF000000"/>
        <rFont val="Times New Roman"/>
        <family val="1"/>
      </rPr>
      <t>end-date of reporting period cannot be in the future</t>
    </r>
    <r>
      <rPr>
        <b/>
        <sz val="11"/>
        <color rgb="FF000000"/>
        <rFont val="Times New Roman"/>
        <family val="1"/>
      </rPr>
      <t xml:space="preserve">
-</t>
    </r>
    <r>
      <rPr>
        <sz val="11"/>
        <color rgb="FF000000"/>
        <rFont val="Times New Roman"/>
        <family val="1"/>
      </rPr>
      <t xml:space="preserve"> message displayed if no costs reported asking for confirmation
</t>
    </r>
    <r>
      <rPr>
        <b/>
        <sz val="11"/>
        <color rgb="FF000000"/>
        <rFont val="Times New Roman"/>
        <family val="1"/>
      </rPr>
      <t>-</t>
    </r>
    <r>
      <rPr>
        <sz val="11"/>
        <color rgb="FF000000"/>
        <rFont val="Times New Roman"/>
        <family val="1"/>
      </rPr>
      <t xml:space="preserve"> beneficiaries having opted for the Actual Indirect Costs regime have to report on actual indirect costs and cannot leave the cell empty.
</t>
    </r>
    <r>
      <rPr>
        <b/>
        <sz val="11"/>
        <color rgb="FF000000"/>
        <rFont val="Times New Roman"/>
        <family val="1"/>
      </rPr>
      <t>-</t>
    </r>
    <r>
      <rPr>
        <sz val="11"/>
        <color rgb="FF000000"/>
        <rFont val="Times New Roman"/>
        <family val="1"/>
      </rPr>
      <t xml:space="preserve"> fix added to handle issues with WP inputs in DCRT sheets
</t>
    </r>
    <r>
      <rPr>
        <b/>
        <sz val="11"/>
        <color rgb="FF000000"/>
        <rFont val="Times New Roman"/>
        <family val="1"/>
      </rPr>
      <t>-</t>
    </r>
    <r>
      <rPr>
        <sz val="11"/>
        <color rgb="FF000000"/>
        <rFont val="Times New Roman"/>
        <family val="1"/>
      </rPr>
      <t xml:space="preserve"> all cells of resulting .xlsx file are locked to avoid changes (changes need to be performed in the .xlsm file only) and name of saved .xlsx file clearly identifies this file to be the one for upload on the Funding &amp; Tenders Portal Grant Management Periodic Reporting tool. The title of the tables in the sheets "General info on reporting" and "Financial statement-activities" is also marked green in the .xlsx file.
</t>
    </r>
    <r>
      <rPr>
        <b/>
        <sz val="11"/>
        <color rgb="FF000000"/>
        <rFont val="Times New Roman"/>
        <family val="1"/>
      </rPr>
      <t>-</t>
    </r>
    <r>
      <rPr>
        <sz val="11"/>
        <color rgb="FF000000"/>
        <rFont val="Times New Roman"/>
        <family val="1"/>
      </rPr>
      <t xml:space="preserve"> no .pdf file saved anymore during "Validation &amp; Export" (not needed).
</t>
    </r>
    <r>
      <rPr>
        <b/>
        <sz val="11"/>
        <color rgb="FF000000"/>
        <rFont val="Times New Roman"/>
        <family val="1"/>
      </rPr>
      <t>-</t>
    </r>
    <r>
      <rPr>
        <sz val="11"/>
        <color rgb="FF000000"/>
        <rFont val="Times New Roman"/>
        <family val="1"/>
      </rPr>
      <t xml:space="preserve"> message displayed after successful "Validation &amp; Export" updated to display the folder in which the .xlsm and .xlsx files are saved.
</t>
    </r>
    <r>
      <rPr>
        <b/>
        <sz val="11"/>
        <color rgb="FF000000"/>
        <rFont val="Times New Roman"/>
        <family val="1"/>
      </rPr>
      <t>Sheet "INSTRUCTIONS</t>
    </r>
    <r>
      <rPr>
        <sz val="11"/>
        <color rgb="FF000000"/>
        <rFont val="Times New Roman"/>
        <family val="1"/>
      </rPr>
      <t>" updated accordingly.</t>
    </r>
  </si>
  <si>
    <r>
      <t xml:space="preserve">Contains adjustments:
</t>
    </r>
    <r>
      <rPr>
        <sz val="8"/>
        <color rgb="FF595959"/>
        <rFont val="Arial"/>
        <family val="2"/>
      </rPr>
      <t xml:space="preserve">(i.e. contains updates - delta only - of costs already reported in a previous submitted report)
</t>
    </r>
    <r>
      <rPr>
        <b/>
        <sz val="9"/>
        <color rgb="FF595959"/>
        <rFont val="Arial"/>
        <family val="2"/>
      </rPr>
      <t>If your answer is 'YES', you will have to provide justifications for each of these adjustments.</t>
    </r>
  </si>
  <si>
    <t>Explanations on adjustments (make clear reference to the line(s) concerned)</t>
  </si>
  <si>
    <t xml:space="preserve">Please insert the daily rate used for calculation. </t>
  </si>
  <si>
    <t>Please include one line per cost item.</t>
  </si>
  <si>
    <t>This section is only applicable to beneficiaries that opted for the actual indirect costs regime foreseen in article 15 of EDF Regulation. If you opted for the 25% flat-rate you should select the correct option in the sheet 'General info on reporting': you will not need to complete this section.
The indirect costs reported below should be in line with the 'actual indirect cost methodology' approved during grant agreement preparation. 
Please include one line per cost item.</t>
  </si>
  <si>
    <r>
      <rPr>
        <i/>
        <u/>
        <sz val="8"/>
        <color rgb="FF595959"/>
        <rFont val="Arial"/>
        <family val="2"/>
      </rPr>
      <t>General guidance for cost Category A</t>
    </r>
    <r>
      <rPr>
        <i/>
        <sz val="8"/>
        <color rgb="FF595959"/>
        <rFont val="Arial"/>
        <family val="2"/>
      </rPr>
      <t xml:space="preserve">: You should provide the position and/or the category of the staff member and add a </t>
    </r>
    <r>
      <rPr>
        <i/>
        <u/>
        <sz val="8"/>
        <color rgb="FF595959"/>
        <rFont val="Arial"/>
        <family val="2"/>
      </rPr>
      <t>unique identifier</t>
    </r>
    <r>
      <rPr>
        <i/>
        <sz val="8"/>
        <color rgb="FF595959"/>
        <rFont val="Arial"/>
        <family val="2"/>
      </rPr>
      <t xml:space="preserve"> (ID) which should allow to identify the staff member in case of an audit. This identifier should remain the same for a given staff member throughout the project, from one activity to the other and from one reporting period to the other (Examples: Senior Engineer-001, Senior R&amp;D Engineer-140374, Technical Manager-108447, IT system support specialist-008, etc.).You must create one line for each staff member and work package (WP). 
Please insert the staff member's actual costs (as booked in your accounts) and the maximum declarable days-equivalent for the reporting period. Use the intructions provided in the AGA (pages 47-56, version 1st May 2024) to determine both items and calculate the daily rate, which must be one per each of the staff reported in the project. Please note that the maximum declarable day-equivalents cannot exceed 215 days per year and that this value should be always coherent with the actual cost used for the calculation (Examples: when a staff is hired for six months during the reporting period, the maximun days equivalent will be 215/12*6; when the reporting period is more than twelve months and you do not decide to use the last fiscal year as actual personnel costs, if the staff is employed full time the maximum days equivalent will be 215/12*n.months in the reporting period, etc.). 
Once you calculated the daily rate for one employee, please insert the number of day-equivalents worked by the staff member in the action and during the reporting period for the corresponding work package. </t>
    </r>
  </si>
  <si>
    <t>Maximum declarable 
day-equivalents
(b)</t>
  </si>
  <si>
    <t>v1.30</t>
  </si>
  <si>
    <r>
      <t xml:space="preserve">- for cost category </t>
    </r>
    <r>
      <rPr>
        <i/>
        <sz val="11"/>
        <color rgb="FF000000"/>
        <rFont val="Times New Roman"/>
        <family val="1"/>
      </rPr>
      <t>A.4 SME owners or natural person beneficiaries</t>
    </r>
    <r>
      <rPr>
        <sz val="11"/>
        <color rgb="FF000000"/>
        <rFont val="Times New Roman"/>
        <family val="1"/>
      </rPr>
      <t>, correction of the formula preventing to select the place of establishment and therefore preventing to take into account the resulting country coefficient.</t>
    </r>
  </si>
  <si>
    <t>https://ec.europa.eu/info/funding-tenders/opportunities/docs/2021-2027/common/guidance/aga_en.pdf</t>
  </si>
  <si>
    <r>
      <rPr>
        <b/>
        <sz val="11"/>
        <color rgb="FF000000"/>
        <rFont val="Times New Roman"/>
        <family val="1"/>
      </rPr>
      <t>In sheets DCRT:</t>
    </r>
    <r>
      <rPr>
        <sz val="11"/>
        <color rgb="FF000000"/>
        <rFont val="Times New Roman"/>
        <family val="1"/>
      </rPr>
      <t xml:space="preserve">
- updated guidance, data validation rules and updated titles in the table for cost category A. Personnel costs, in order to fully comply with the methodology described in the Annotated Grant Agreement (AGA) p47-56: </t>
    </r>
  </si>
  <si>
    <r>
      <rPr>
        <b/>
        <sz val="12"/>
        <rFont val="Calibri"/>
        <family val="2"/>
        <scheme val="minor"/>
      </rPr>
      <t>REMARK:</t>
    </r>
    <r>
      <rPr>
        <sz val="12"/>
        <rFont val="Calibri"/>
        <family val="2"/>
        <scheme val="minor"/>
      </rPr>
      <t xml:space="preserve"> If you have not costs to report for this period, please fill in this sheet until PARTICIPANT INFO (included) and then go directly to the sheet "Financial statement-activites" and press "Validation &amp; Export".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</si>
</sst>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 #,##0.00\ &quot;€&quot;_-;\-* #,##0.00\ &quot;€&quot;_-;_-* &quot;-&quot;??\ &quot;€&quot;_-;_-@_-"/>
    <numFmt numFmtId="164" formatCode="_-* #,##0\ [$€-80C]_-;\-* #,##0\ [$€-80C]_-;_-* &quot;-&quot;??\ [$€-80C]_-;_-@_-"/>
    <numFmt numFmtId="165" formatCode="dd/mm/yyyy;@"/>
    <numFmt numFmtId="166" formatCode="d/mm/yyyy;@"/>
  </numFmts>
  <fonts count="88" x14ac:knownFonts="1">
    <font>
      <sz val="11"/>
      <color theme="1"/>
      <name val="Calibri"/>
      <family val="2"/>
      <scheme val="minor"/>
    </font>
    <font>
      <sz val="10"/>
      <color rgb="FF595959"/>
      <name val="Arial"/>
      <family val="2"/>
    </font>
    <font>
      <i/>
      <sz val="8"/>
      <color rgb="FF595959"/>
      <name val="Arial"/>
      <family val="2"/>
    </font>
    <font>
      <sz val="9"/>
      <color rgb="FF595959"/>
      <name val="Arial"/>
      <family val="2"/>
    </font>
    <font>
      <b/>
      <sz val="9"/>
      <color rgb="FF595959"/>
      <name val="Arial"/>
      <family val="2"/>
    </font>
    <font>
      <sz val="9"/>
      <color theme="0" tint="-0.499984740745262"/>
      <name val="Arial"/>
      <family val="2"/>
    </font>
    <font>
      <sz val="8"/>
      <color theme="0" tint="-0.499984740745262"/>
      <name val="Arial"/>
      <family val="2"/>
    </font>
    <font>
      <sz val="11"/>
      <color theme="1"/>
      <name val="Arial"/>
      <family val="2"/>
    </font>
    <font>
      <b/>
      <sz val="16"/>
      <color rgb="FFA50021"/>
      <name val="Arial"/>
      <family val="2"/>
    </font>
    <font>
      <b/>
      <sz val="14"/>
      <color rgb="FFA50021"/>
      <name val="Arial"/>
      <family val="2"/>
    </font>
    <font>
      <b/>
      <sz val="11"/>
      <color theme="2" tint="-0.749992370372631"/>
      <name val="Arial"/>
      <family val="2"/>
    </font>
    <font>
      <sz val="11"/>
      <color theme="2" tint="-0.749992370372631"/>
      <name val="Arial"/>
      <family val="2"/>
    </font>
    <font>
      <i/>
      <sz val="9"/>
      <color theme="0" tint="-0.499984740745262"/>
      <name val="Arial"/>
      <family val="2"/>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20"/>
      <color theme="1"/>
      <name val="Calibri"/>
      <family val="2"/>
      <scheme val="minor"/>
    </font>
    <font>
      <b/>
      <sz val="14"/>
      <color theme="1"/>
      <name val="Calibri"/>
      <family val="2"/>
      <scheme val="minor"/>
    </font>
    <font>
      <sz val="12"/>
      <name val="Times New Roman"/>
      <family val="1"/>
    </font>
    <font>
      <b/>
      <sz val="12"/>
      <color rgb="FF0088CC"/>
      <name val="Times New Roman"/>
      <family val="1"/>
    </font>
    <font>
      <b/>
      <sz val="12"/>
      <color rgb="FF0000FF"/>
      <name val="Times New Roman"/>
      <family val="1"/>
    </font>
    <font>
      <b/>
      <sz val="12"/>
      <name val="Times New Roman"/>
      <family val="1"/>
    </font>
    <font>
      <b/>
      <sz val="11"/>
      <name val="Calibri"/>
      <family val="2"/>
      <scheme val="minor"/>
    </font>
    <font>
      <b/>
      <sz val="14"/>
      <name val="Calibri"/>
      <family val="2"/>
    </font>
    <font>
      <b/>
      <sz val="11"/>
      <name val="Calibri"/>
      <family val="2"/>
    </font>
    <font>
      <b/>
      <strike/>
      <sz val="11"/>
      <color theme="1" tint="0.499984740745262"/>
      <name val="Calibri"/>
      <family val="2"/>
      <scheme val="minor"/>
    </font>
    <font>
      <b/>
      <strike/>
      <sz val="11"/>
      <color theme="0" tint="-0.499984740745262"/>
      <name val="Calibri"/>
      <family val="2"/>
      <scheme val="minor"/>
    </font>
    <font>
      <sz val="10"/>
      <name val="Calibri"/>
      <family val="2"/>
      <scheme val="minor"/>
    </font>
    <font>
      <strike/>
      <sz val="10"/>
      <color theme="1" tint="0.499984740745262"/>
      <name val="Calibri"/>
      <family val="2"/>
      <scheme val="minor"/>
    </font>
    <font>
      <sz val="10"/>
      <color theme="1"/>
      <name val="Calibri"/>
      <family val="2"/>
      <scheme val="minor"/>
    </font>
    <font>
      <strike/>
      <sz val="10"/>
      <color theme="0" tint="-0.499984740745262"/>
      <name val="Calibri"/>
      <family val="2"/>
      <scheme val="minor"/>
    </font>
    <font>
      <i/>
      <sz val="10"/>
      <color rgb="FF4AAF5B"/>
      <name val="Calibri"/>
      <family val="2"/>
      <scheme val="minor"/>
    </font>
    <font>
      <i/>
      <sz val="10"/>
      <color rgb="FFFF0000"/>
      <name val="Calibri"/>
      <family val="2"/>
      <scheme val="minor"/>
    </font>
    <font>
      <b/>
      <sz val="10"/>
      <name val="Calibri"/>
      <family val="2"/>
      <scheme val="minor"/>
    </font>
    <font>
      <b/>
      <sz val="10"/>
      <color theme="0"/>
      <name val="Calibri"/>
      <family val="2"/>
      <scheme val="minor"/>
    </font>
    <font>
      <b/>
      <strike/>
      <sz val="10"/>
      <color theme="1" tint="0.499984740745262"/>
      <name val="Calibri"/>
      <family val="2"/>
      <scheme val="minor"/>
    </font>
    <font>
      <sz val="11"/>
      <name val="Calibri"/>
      <family val="2"/>
      <scheme val="minor"/>
    </font>
    <font>
      <sz val="10"/>
      <color theme="0" tint="-0.499984740745262"/>
      <name val="Calibri"/>
      <family val="2"/>
      <scheme val="minor"/>
    </font>
    <font>
      <strike/>
      <sz val="10"/>
      <name val="Calibri"/>
      <family val="2"/>
      <scheme val="minor"/>
    </font>
    <font>
      <i/>
      <strike/>
      <sz val="10"/>
      <color theme="1" tint="0.499984740745262"/>
      <name val="Calibri"/>
      <family val="2"/>
      <scheme val="minor"/>
    </font>
    <font>
      <vertAlign val="superscript"/>
      <sz val="14"/>
      <name val="Calibri"/>
      <family val="2"/>
      <scheme val="minor"/>
    </font>
    <font>
      <strike/>
      <vertAlign val="superscript"/>
      <sz val="14"/>
      <color theme="1" tint="0.499984740745262"/>
      <name val="Calibri"/>
      <family val="2"/>
      <scheme val="minor"/>
    </font>
    <font>
      <i/>
      <strike/>
      <sz val="10"/>
      <color theme="0" tint="-0.499984740745262"/>
      <name val="Calibri"/>
      <family val="2"/>
      <scheme val="minor"/>
    </font>
    <font>
      <strike/>
      <vertAlign val="superscript"/>
      <sz val="14"/>
      <color theme="0" tint="-0.499984740745262"/>
      <name val="Calibri"/>
      <family val="2"/>
      <scheme val="minor"/>
    </font>
    <font>
      <sz val="10"/>
      <color rgb="FFFF0000"/>
      <name val="Calibri"/>
      <family val="2"/>
      <scheme val="minor"/>
    </font>
    <font>
      <sz val="10"/>
      <color theme="0"/>
      <name val="Calibri"/>
      <family val="2"/>
      <scheme val="minor"/>
    </font>
    <font>
      <sz val="11"/>
      <name val="Calibri"/>
      <family val="2"/>
    </font>
    <font>
      <sz val="11"/>
      <name val="Webdings"/>
      <family val="1"/>
      <charset val="2"/>
    </font>
    <font>
      <i/>
      <sz val="11"/>
      <name val="Calibri"/>
      <family val="2"/>
      <scheme val="minor"/>
    </font>
    <font>
      <vertAlign val="superscript"/>
      <sz val="14"/>
      <name val="Calibri"/>
      <family val="2"/>
    </font>
    <font>
      <sz val="11"/>
      <color rgb="FF000000"/>
      <name val="Calibri"/>
      <family val="2"/>
      <scheme val="minor"/>
    </font>
    <font>
      <sz val="11"/>
      <color rgb="FFFF0000"/>
      <name val="Calibri"/>
      <family val="2"/>
    </font>
    <font>
      <sz val="8"/>
      <name val="Calibri"/>
      <family val="2"/>
      <scheme val="minor"/>
    </font>
    <font>
      <u/>
      <sz val="11"/>
      <color theme="10"/>
      <name val="Calibri"/>
      <family val="2"/>
      <scheme val="minor"/>
    </font>
    <font>
      <sz val="9"/>
      <color theme="1"/>
      <name val="Arial"/>
      <family val="2"/>
    </font>
    <font>
      <sz val="9"/>
      <name val="Arial"/>
      <family val="2"/>
    </font>
    <font>
      <b/>
      <strike/>
      <sz val="10"/>
      <color theme="0" tint="-0.499984740745262"/>
      <name val="Calibri"/>
      <family val="2"/>
      <scheme val="minor"/>
    </font>
    <font>
      <sz val="9"/>
      <color rgb="FF000000"/>
      <name val="Calibri"/>
      <family val="2"/>
    </font>
    <font>
      <vertAlign val="superscript"/>
      <sz val="10"/>
      <name val="Calibri"/>
      <family val="2"/>
      <scheme val="minor"/>
    </font>
    <font>
      <b/>
      <vertAlign val="superscript"/>
      <sz val="11"/>
      <name val="Calibri"/>
      <family val="2"/>
    </font>
    <font>
      <b/>
      <vertAlign val="superscript"/>
      <sz val="11"/>
      <name val="Calibri"/>
      <family val="2"/>
      <scheme val="minor"/>
    </font>
    <font>
      <vertAlign val="superscript"/>
      <sz val="11"/>
      <name val="Calibri"/>
      <family val="2"/>
      <scheme val="minor"/>
    </font>
    <font>
      <sz val="8"/>
      <color rgb="FF595959"/>
      <name val="Arial"/>
      <family val="2"/>
    </font>
    <font>
      <b/>
      <sz val="11"/>
      <color rgb="FF000000"/>
      <name val="Times New Roman"/>
      <family val="1"/>
    </font>
    <font>
      <sz val="11"/>
      <color rgb="FF000000"/>
      <name val="Times New Roman"/>
      <family val="1"/>
    </font>
    <font>
      <b/>
      <sz val="24"/>
      <color theme="1"/>
      <name val="Calibri"/>
      <family val="2"/>
      <scheme val="minor"/>
    </font>
    <font>
      <sz val="24"/>
      <color theme="1"/>
      <name val="Calibri"/>
      <family val="2"/>
      <scheme val="minor"/>
    </font>
    <font>
      <b/>
      <sz val="14"/>
      <name val="Calibri"/>
      <family val="2"/>
      <scheme val="minor"/>
    </font>
    <font>
      <sz val="14"/>
      <name val="Calibri"/>
      <family val="2"/>
      <scheme val="minor"/>
    </font>
    <font>
      <sz val="24"/>
      <name val="Calibri"/>
      <family val="2"/>
      <scheme val="minor"/>
    </font>
    <font>
      <b/>
      <i/>
      <sz val="16"/>
      <color rgb="FFA50021"/>
      <name val="Arial"/>
      <family val="2"/>
    </font>
    <font>
      <sz val="11"/>
      <color theme="0"/>
      <name val="Arial"/>
      <family val="2"/>
    </font>
    <font>
      <b/>
      <sz val="10"/>
      <color theme="0" tint="-0.499984740745262"/>
      <name val="Calibri"/>
      <family val="2"/>
      <scheme val="minor"/>
    </font>
    <font>
      <strike/>
      <sz val="12"/>
      <color rgb="FFFF0000"/>
      <name val="Calibri"/>
      <family val="2"/>
      <scheme val="minor"/>
    </font>
    <font>
      <sz val="12"/>
      <name val="Calibri"/>
      <family val="2"/>
      <scheme val="minor"/>
    </font>
    <font>
      <b/>
      <sz val="12"/>
      <name val="Calibri"/>
      <family val="2"/>
      <scheme val="minor"/>
    </font>
    <font>
      <u/>
      <sz val="12"/>
      <name val="Calibri"/>
      <family val="2"/>
      <scheme val="minor"/>
    </font>
    <font>
      <b/>
      <sz val="12"/>
      <color theme="5"/>
      <name val="Calibri"/>
      <family val="2"/>
      <scheme val="minor"/>
    </font>
    <font>
      <sz val="12"/>
      <color theme="1"/>
      <name val="Calibri"/>
      <family val="2"/>
      <scheme val="minor"/>
    </font>
    <font>
      <b/>
      <sz val="20"/>
      <color rgb="FF000000"/>
      <name val="Calibri"/>
      <family val="2"/>
    </font>
    <font>
      <sz val="8"/>
      <color theme="1"/>
      <name val="Arial"/>
      <family val="2"/>
    </font>
    <font>
      <sz val="8"/>
      <color theme="0"/>
      <name val="Arial"/>
      <family val="2"/>
    </font>
    <font>
      <b/>
      <u val="double"/>
      <sz val="14"/>
      <color rgb="FFFF0000"/>
      <name val="Calibri"/>
      <family val="2"/>
      <scheme val="minor"/>
    </font>
    <font>
      <i/>
      <sz val="10"/>
      <name val="Calibri"/>
      <family val="2"/>
      <scheme val="minor"/>
    </font>
    <font>
      <i/>
      <u/>
      <sz val="8"/>
      <color rgb="FF595959"/>
      <name val="Arial"/>
      <family val="2"/>
    </font>
    <font>
      <i/>
      <sz val="11"/>
      <color rgb="FF000000"/>
      <name val="Times New Roman"/>
      <family val="1"/>
    </font>
  </fonts>
  <fills count="11">
    <fill>
      <patternFill patternType="none"/>
    </fill>
    <fill>
      <patternFill patternType="gray125"/>
    </fill>
    <fill>
      <patternFill patternType="solid">
        <fgColor rgb="FFE6E6E6"/>
        <bgColor indexed="64"/>
      </patternFill>
    </fill>
    <fill>
      <patternFill patternType="solid">
        <fgColor theme="0"/>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2"/>
        <bgColor indexed="64"/>
      </patternFill>
    </fill>
    <fill>
      <patternFill patternType="solid">
        <fgColor rgb="FFC5D9F1"/>
        <bgColor indexed="64"/>
      </patternFill>
    </fill>
    <fill>
      <patternFill patternType="solid">
        <fgColor rgb="FFEEF3F8"/>
        <bgColor indexed="64"/>
      </patternFill>
    </fill>
    <fill>
      <patternFill patternType="solid">
        <fgColor rgb="FFFFFFFF"/>
        <bgColor indexed="64"/>
      </patternFill>
    </fill>
    <fill>
      <patternFill patternType="solid">
        <fgColor rgb="FFFFF2CC"/>
        <bgColor rgb="FF000000"/>
      </patternFill>
    </fill>
  </fills>
  <borders count="94">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rgb="FFA6A6A6"/>
      </left>
      <right style="thin">
        <color rgb="FFA6A6A6"/>
      </right>
      <top style="thin">
        <color rgb="FFA6A6A6"/>
      </top>
      <bottom style="thin">
        <color rgb="FFA6A6A6"/>
      </bottom>
      <diagonal/>
    </border>
    <border>
      <left style="thin">
        <color rgb="FFA6A6A6"/>
      </left>
      <right/>
      <top style="thin">
        <color rgb="FFA6A6A6"/>
      </top>
      <bottom style="thin">
        <color rgb="FFA6A6A6"/>
      </bottom>
      <diagonal/>
    </border>
    <border>
      <left/>
      <right/>
      <top style="thin">
        <color rgb="FFA6A6A6"/>
      </top>
      <bottom style="thin">
        <color rgb="FFA6A6A6"/>
      </bottom>
      <diagonal/>
    </border>
    <border>
      <left/>
      <right style="thin">
        <color rgb="FFA6A6A6"/>
      </right>
      <top style="thin">
        <color rgb="FFA6A6A6"/>
      </top>
      <bottom style="thin">
        <color rgb="FFA6A6A6"/>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right style="thin">
        <color indexed="64"/>
      </right>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theme="0"/>
      </left>
      <right/>
      <top/>
      <bottom/>
      <diagonal/>
    </border>
    <border>
      <left style="medium">
        <color indexed="64"/>
      </left>
      <right style="thin">
        <color indexed="64"/>
      </right>
      <top style="thin">
        <color indexed="64"/>
      </top>
      <bottom style="medium">
        <color theme="0"/>
      </bottom>
      <diagonal/>
    </border>
    <border>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medium">
        <color indexed="64"/>
      </left>
      <right style="medium">
        <color indexed="64"/>
      </right>
      <top style="thin">
        <color indexed="64"/>
      </top>
      <bottom style="medium">
        <color theme="0"/>
      </bottom>
      <diagonal/>
    </border>
    <border>
      <left style="medium">
        <color indexed="64"/>
      </left>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top/>
      <bottom style="medium">
        <color theme="0"/>
      </bottom>
      <diagonal/>
    </border>
    <border>
      <left style="medium">
        <color indexed="64"/>
      </left>
      <right style="medium">
        <color indexed="64"/>
      </right>
      <top style="thin">
        <color indexed="64"/>
      </top>
      <bottom style="medium">
        <color indexed="64"/>
      </bottom>
      <diagonal/>
    </border>
    <border diagonalUp="1">
      <left style="thin">
        <color indexed="64"/>
      </left>
      <right style="thin">
        <color indexed="64"/>
      </right>
      <top style="medium">
        <color indexed="64"/>
      </top>
      <bottom style="medium">
        <color indexed="64"/>
      </bottom>
      <diagonal style="thin">
        <color theme="0" tint="-0.24994659260841701"/>
      </diagonal>
    </border>
    <border diagonalUp="1">
      <left/>
      <right style="thin">
        <color indexed="64"/>
      </right>
      <top style="medium">
        <color indexed="64"/>
      </top>
      <bottom style="medium">
        <color indexed="64"/>
      </bottom>
      <diagonal style="thin">
        <color theme="0" tint="-0.24994659260841701"/>
      </diagonal>
    </border>
    <border diagonalUp="1">
      <left style="medium">
        <color indexed="64"/>
      </left>
      <right style="thin">
        <color indexed="64"/>
      </right>
      <top style="medium">
        <color indexed="64"/>
      </top>
      <bottom style="medium">
        <color indexed="64"/>
      </bottom>
      <diagonal style="thin">
        <color theme="0" tint="-0.24994659260841701"/>
      </diagonal>
    </border>
    <border diagonalUp="1">
      <left style="thin">
        <color indexed="64"/>
      </left>
      <right style="medium">
        <color indexed="64"/>
      </right>
      <top style="medium">
        <color indexed="64"/>
      </top>
      <bottom style="medium">
        <color indexed="64"/>
      </bottom>
      <diagonal style="thin">
        <color theme="0" tint="-0.24994659260841701"/>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theme="0" tint="-0.34998626667073579"/>
      </left>
      <right style="thin">
        <color theme="0" tint="-0.34998626667073579"/>
      </right>
      <top style="thin">
        <color theme="0" tint="-0.34998626667073579"/>
      </top>
      <bottom style="thin">
        <color rgb="FFA6A6A6"/>
      </bottom>
      <diagonal/>
    </border>
    <border diagonalUp="1">
      <left style="medium">
        <color indexed="64"/>
      </left>
      <right style="medium">
        <color indexed="64"/>
      </right>
      <top style="medium">
        <color indexed="64"/>
      </top>
      <bottom style="medium">
        <color indexed="64"/>
      </bottom>
      <diagonal style="thin">
        <color theme="0" tint="-0.499984740745262"/>
      </diagonal>
    </border>
    <border>
      <left/>
      <right style="medium">
        <color indexed="64"/>
      </right>
      <top/>
      <bottom style="thin">
        <color indexed="64"/>
      </bottom>
      <diagonal/>
    </border>
    <border>
      <left/>
      <right/>
      <top/>
      <bottom style="thin">
        <color rgb="FFA6A6A6"/>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top style="thin">
        <color theme="0" tint="-0.34998626667073579"/>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s>
  <cellStyleXfs count="4">
    <xf numFmtId="0" fontId="0" fillId="0" borderId="0"/>
    <xf numFmtId="44" fontId="13" fillId="0" borderId="0" applyFont="0" applyFill="0" applyBorder="0" applyAlignment="0" applyProtection="0"/>
    <xf numFmtId="0" fontId="55" fillId="0" borderId="0" applyNumberFormat="0" applyFill="0" applyBorder="0" applyAlignment="0" applyProtection="0"/>
    <xf numFmtId="9" fontId="13" fillId="0" borderId="0" applyFont="0" applyFill="0" applyBorder="0" applyAlignment="0" applyProtection="0"/>
  </cellStyleXfs>
  <cellXfs count="442">
    <xf numFmtId="0" fontId="0" fillId="0" borderId="0" xfId="0"/>
    <xf numFmtId="0" fontId="3" fillId="3" borderId="0" xfId="0" applyFont="1" applyFill="1" applyAlignment="1">
      <alignment horizontal="center" vertical="center" wrapText="1"/>
    </xf>
    <xf numFmtId="0" fontId="1" fillId="3" borderId="0" xfId="0" applyFont="1" applyFill="1" applyAlignment="1">
      <alignment horizontal="left" vertical="center" wrapText="1"/>
    </xf>
    <xf numFmtId="0" fontId="7" fillId="3" borderId="1" xfId="0" applyFont="1" applyFill="1" applyBorder="1"/>
    <xf numFmtId="0" fontId="7" fillId="3" borderId="2" xfId="0" applyFont="1" applyFill="1" applyBorder="1"/>
    <xf numFmtId="0" fontId="7" fillId="3" borderId="3" xfId="0" applyFont="1" applyFill="1" applyBorder="1"/>
    <xf numFmtId="0" fontId="7" fillId="3" borderId="0" xfId="0" applyFont="1" applyFill="1"/>
    <xf numFmtId="0" fontId="7" fillId="3" borderId="0" xfId="0" applyFont="1" applyFill="1" applyBorder="1"/>
    <xf numFmtId="0" fontId="9" fillId="3" borderId="0" xfId="0" applyFont="1" applyFill="1" applyAlignment="1">
      <alignment horizontal="center"/>
    </xf>
    <xf numFmtId="0" fontId="9" fillId="3" borderId="0" xfId="0" applyFont="1" applyFill="1"/>
    <xf numFmtId="0" fontId="7" fillId="3" borderId="0" xfId="0" applyFont="1" applyFill="1" applyAlignment="1">
      <alignment horizontal="left"/>
    </xf>
    <xf numFmtId="0" fontId="7" fillId="0" borderId="0" xfId="0" applyFont="1"/>
    <xf numFmtId="0" fontId="7" fillId="3" borderId="3" xfId="0" applyFont="1" applyFill="1" applyBorder="1" applyAlignment="1">
      <alignment vertical="center"/>
    </xf>
    <xf numFmtId="0" fontId="0" fillId="0" borderId="0" xfId="0" applyAlignment="1">
      <alignment vertical="center"/>
    </xf>
    <xf numFmtId="0" fontId="10" fillId="3" borderId="0" xfId="0" applyFont="1" applyFill="1" applyBorder="1" applyAlignment="1">
      <alignment vertical="center"/>
    </xf>
    <xf numFmtId="0" fontId="3" fillId="3" borderId="0" xfId="0" applyFont="1" applyFill="1" applyBorder="1" applyAlignment="1">
      <alignment vertical="center"/>
    </xf>
    <xf numFmtId="0" fontId="3" fillId="3" borderId="0" xfId="0" applyFont="1" applyFill="1" applyBorder="1" applyAlignment="1">
      <alignment vertical="center" wrapText="1"/>
    </xf>
    <xf numFmtId="0" fontId="4" fillId="2" borderId="11" xfId="0" applyFont="1" applyFill="1" applyBorder="1" applyAlignment="1">
      <alignment vertical="center"/>
    </xf>
    <xf numFmtId="0" fontId="4" fillId="2" borderId="12" xfId="0" applyFont="1" applyFill="1" applyBorder="1" applyAlignment="1">
      <alignment vertical="center"/>
    </xf>
    <xf numFmtId="0" fontId="7" fillId="3" borderId="0" xfId="0" applyFont="1" applyFill="1" applyBorder="1" applyAlignment="1">
      <alignment horizontal="center" vertical="center" wrapText="1"/>
    </xf>
    <xf numFmtId="0" fontId="0" fillId="0" borderId="0" xfId="0" applyBorder="1" applyAlignment="1">
      <alignment horizontal="center" vertical="center" wrapText="1"/>
    </xf>
    <xf numFmtId="0" fontId="18" fillId="0" borderId="0" xfId="0" applyFont="1" applyAlignment="1">
      <alignment horizontal="left" vertical="center" wrapText="1" indent="1"/>
    </xf>
    <xf numFmtId="0" fontId="20" fillId="0" borderId="0" xfId="0" applyFont="1" applyAlignment="1">
      <alignment vertical="center" wrapText="1"/>
    </xf>
    <xf numFmtId="0" fontId="21" fillId="0" borderId="0" xfId="0" applyFont="1" applyAlignment="1">
      <alignment horizontal="center" vertical="center" wrapText="1"/>
    </xf>
    <xf numFmtId="0" fontId="22" fillId="0" borderId="0" xfId="0" applyFont="1" applyAlignment="1">
      <alignment vertical="center" wrapText="1"/>
    </xf>
    <xf numFmtId="0" fontId="23" fillId="0" borderId="0" xfId="0" applyFont="1" applyAlignment="1">
      <alignment horizontal="center" vertical="center"/>
    </xf>
    <xf numFmtId="0" fontId="0" fillId="0" borderId="31" xfId="0" applyBorder="1"/>
    <xf numFmtId="0" fontId="24" fillId="3" borderId="32" xfId="0" applyFont="1" applyFill="1" applyBorder="1" applyAlignment="1">
      <alignment vertical="center"/>
    </xf>
    <xf numFmtId="0" fontId="24" fillId="7" borderId="33" xfId="0" applyFont="1" applyFill="1" applyBorder="1" applyAlignment="1">
      <alignment horizontal="center" vertical="center"/>
    </xf>
    <xf numFmtId="0" fontId="24" fillId="7" borderId="29" xfId="0" applyFont="1" applyFill="1" applyBorder="1" applyAlignment="1">
      <alignment horizontal="center" vertical="center"/>
    </xf>
    <xf numFmtId="0" fontId="24" fillId="7" borderId="36" xfId="0" applyFont="1" applyFill="1" applyBorder="1" applyAlignment="1">
      <alignment horizontal="center" vertical="center" wrapText="1"/>
    </xf>
    <xf numFmtId="0" fontId="24" fillId="7" borderId="33" xfId="0" applyFont="1" applyFill="1" applyBorder="1" applyAlignment="1">
      <alignment horizontal="center" vertical="center" wrapText="1"/>
    </xf>
    <xf numFmtId="0" fontId="24" fillId="7" borderId="39" xfId="0" applyFont="1" applyFill="1" applyBorder="1" applyAlignment="1">
      <alignment horizontal="center" vertical="center" wrapText="1"/>
    </xf>
    <xf numFmtId="0" fontId="24" fillId="7" borderId="40" xfId="0" applyFont="1" applyFill="1" applyBorder="1" applyAlignment="1">
      <alignment horizontal="center" vertical="center" wrapText="1"/>
    </xf>
    <xf numFmtId="0" fontId="24" fillId="7" borderId="41" xfId="0" applyFont="1" applyFill="1" applyBorder="1" applyAlignment="1">
      <alignment horizontal="center" vertical="center" wrapText="1"/>
    </xf>
    <xf numFmtId="0" fontId="14" fillId="3" borderId="32" xfId="0" applyFont="1" applyFill="1" applyBorder="1" applyAlignment="1">
      <alignment horizontal="center" vertical="center" wrapText="1"/>
    </xf>
    <xf numFmtId="0" fontId="30" fillId="7" borderId="13" xfId="0" applyFont="1" applyFill="1" applyBorder="1" applyAlignment="1">
      <alignment horizontal="left" vertical="center" wrapText="1"/>
    </xf>
    <xf numFmtId="0" fontId="32" fillId="7" borderId="44" xfId="0" applyFont="1" applyFill="1" applyBorder="1" applyAlignment="1">
      <alignment vertical="center" wrapText="1"/>
    </xf>
    <xf numFmtId="0" fontId="35" fillId="7" borderId="34" xfId="0" applyFont="1" applyFill="1" applyBorder="1" applyAlignment="1">
      <alignment horizontal="center" vertical="top" wrapText="1"/>
    </xf>
    <xf numFmtId="0" fontId="29" fillId="7" borderId="46" xfId="0" applyFont="1" applyFill="1" applyBorder="1" applyAlignment="1">
      <alignment horizontal="center" vertical="center" wrapText="1"/>
    </xf>
    <xf numFmtId="0" fontId="32" fillId="7" borderId="48" xfId="0" applyFont="1" applyFill="1" applyBorder="1" applyAlignment="1">
      <alignment vertical="center" wrapText="1"/>
    </xf>
    <xf numFmtId="0" fontId="32" fillId="7" borderId="49" xfId="0" applyFont="1" applyFill="1" applyBorder="1" applyAlignment="1">
      <alignment vertical="center" wrapText="1"/>
    </xf>
    <xf numFmtId="0" fontId="30" fillId="7" borderId="13" xfId="0" applyFont="1" applyFill="1" applyBorder="1" applyAlignment="1">
      <alignment horizontal="center" vertical="center" wrapText="1"/>
    </xf>
    <xf numFmtId="0" fontId="37" fillId="7" borderId="13" xfId="0" applyFont="1" applyFill="1" applyBorder="1" applyAlignment="1">
      <alignment horizontal="left" vertical="center" wrapText="1"/>
    </xf>
    <xf numFmtId="0" fontId="32" fillId="7" borderId="47" xfId="0" applyFont="1" applyFill="1" applyBorder="1" applyAlignment="1">
      <alignment vertical="center" wrapText="1"/>
    </xf>
    <xf numFmtId="0" fontId="35" fillId="7" borderId="50" xfId="0" applyFont="1" applyFill="1" applyBorder="1" applyAlignment="1">
      <alignment horizontal="center" vertical="top" wrapText="1"/>
    </xf>
    <xf numFmtId="0" fontId="29" fillId="7" borderId="0" xfId="0" applyFont="1" applyFill="1" applyAlignment="1">
      <alignment horizontal="center" vertical="center" wrapText="1"/>
    </xf>
    <xf numFmtId="0" fontId="40" fillId="7" borderId="51" xfId="0" applyFont="1" applyFill="1" applyBorder="1" applyAlignment="1">
      <alignment horizontal="center" vertical="center" wrapText="1"/>
    </xf>
    <xf numFmtId="0" fontId="40" fillId="7" borderId="47" xfId="0" applyFont="1" applyFill="1" applyBorder="1" applyAlignment="1">
      <alignment horizontal="center" vertical="center" wrapText="1"/>
    </xf>
    <xf numFmtId="0" fontId="40" fillId="7" borderId="52" xfId="0" applyFont="1" applyFill="1" applyBorder="1" applyAlignment="1">
      <alignment horizontal="center" vertical="center" wrapText="1"/>
    </xf>
    <xf numFmtId="0" fontId="17" fillId="0" borderId="31" xfId="0" applyFont="1" applyBorder="1"/>
    <xf numFmtId="0" fontId="30" fillId="7" borderId="13" xfId="0" applyFont="1" applyFill="1" applyBorder="1" applyAlignment="1">
      <alignment horizontal="left" vertical="top" wrapText="1"/>
    </xf>
    <xf numFmtId="0" fontId="32" fillId="7" borderId="26" xfId="0" applyFont="1" applyFill="1" applyBorder="1" applyAlignment="1">
      <alignment vertical="center" wrapText="1"/>
    </xf>
    <xf numFmtId="0" fontId="35" fillId="7" borderId="55" xfId="0" applyFont="1" applyFill="1" applyBorder="1" applyAlignment="1">
      <alignment horizontal="center" vertical="center" wrapText="1"/>
    </xf>
    <xf numFmtId="0" fontId="29" fillId="7" borderId="27" xfId="0" applyFont="1" applyFill="1" applyBorder="1" applyAlignment="1">
      <alignment horizontal="center" vertical="center" wrapText="1"/>
    </xf>
    <xf numFmtId="0" fontId="30" fillId="7" borderId="27" xfId="0" applyFont="1" applyFill="1" applyBorder="1" applyAlignment="1">
      <alignment horizontal="center" vertical="center" wrapText="1"/>
    </xf>
    <xf numFmtId="0" fontId="44" fillId="7" borderId="27" xfId="0" applyFont="1" applyFill="1" applyBorder="1" applyAlignment="1">
      <alignment horizontal="center" vertical="center" wrapText="1"/>
    </xf>
    <xf numFmtId="0" fontId="31" fillId="7" borderId="14" xfId="0" applyFont="1" applyFill="1" applyBorder="1" applyAlignment="1">
      <alignment horizontal="center" vertical="center" wrapText="1"/>
    </xf>
    <xf numFmtId="0" fontId="32" fillId="7" borderId="27" xfId="0" applyFont="1" applyFill="1" applyBorder="1" applyAlignment="1">
      <alignment horizontal="center" vertical="center" wrapText="1"/>
    </xf>
    <xf numFmtId="0" fontId="32" fillId="7" borderId="1" xfId="0" applyFont="1" applyFill="1" applyBorder="1" applyAlignment="1">
      <alignment horizontal="center" vertical="center" wrapText="1"/>
    </xf>
    <xf numFmtId="0" fontId="29" fillId="7" borderId="56" xfId="0" applyFont="1" applyFill="1" applyBorder="1" applyAlignment="1">
      <alignment horizontal="center" vertical="center" wrapText="1"/>
    </xf>
    <xf numFmtId="0" fontId="29" fillId="7" borderId="50" xfId="0" applyFont="1" applyFill="1" applyBorder="1" applyAlignment="1">
      <alignment horizontal="left" vertical="center" wrapText="1"/>
    </xf>
    <xf numFmtId="0" fontId="32" fillId="7" borderId="19" xfId="0" applyFont="1" applyFill="1" applyBorder="1" applyAlignment="1">
      <alignment horizontal="center" vertical="center" wrapText="1"/>
    </xf>
    <xf numFmtId="0" fontId="32" fillId="7" borderId="18" xfId="0" applyFont="1" applyFill="1" applyBorder="1" applyAlignment="1">
      <alignment horizontal="center" vertical="center" wrapText="1"/>
    </xf>
    <xf numFmtId="0" fontId="32" fillId="7" borderId="20" xfId="0" applyFont="1" applyFill="1" applyBorder="1" applyAlignment="1">
      <alignment horizontal="center" vertical="center" wrapText="1"/>
    </xf>
    <xf numFmtId="0" fontId="29" fillId="7" borderId="58" xfId="0" applyFont="1" applyFill="1" applyBorder="1" applyAlignment="1">
      <alignment horizontal="center" vertical="center" wrapText="1"/>
    </xf>
    <xf numFmtId="0" fontId="29" fillId="7" borderId="59" xfId="0" applyFont="1" applyFill="1" applyBorder="1" applyAlignment="1">
      <alignment horizontal="center" vertical="center" wrapText="1"/>
    </xf>
    <xf numFmtId="0" fontId="30" fillId="7" borderId="59" xfId="0" applyFont="1" applyFill="1" applyBorder="1" applyAlignment="1">
      <alignment horizontal="center" vertical="center" wrapText="1"/>
    </xf>
    <xf numFmtId="0" fontId="29" fillId="7" borderId="60" xfId="0" applyFont="1" applyFill="1" applyBorder="1" applyAlignment="1">
      <alignment horizontal="center" vertical="center" wrapText="1"/>
    </xf>
    <xf numFmtId="0" fontId="31" fillId="7" borderId="60" xfId="0" applyFont="1" applyFill="1" applyBorder="1" applyAlignment="1">
      <alignment horizontal="center" vertical="center" wrapText="1"/>
    </xf>
    <xf numFmtId="0" fontId="32" fillId="7" borderId="60" xfId="0" applyFont="1" applyFill="1" applyBorder="1" applyAlignment="1">
      <alignment horizontal="center" vertical="center" wrapText="1"/>
    </xf>
    <xf numFmtId="0" fontId="29" fillId="7" borderId="24" xfId="0" applyFont="1" applyFill="1" applyBorder="1" applyAlignment="1">
      <alignment horizontal="center" vertical="center" wrapText="1"/>
    </xf>
    <xf numFmtId="0" fontId="32" fillId="7" borderId="24" xfId="0" applyFont="1" applyFill="1" applyBorder="1" applyAlignment="1">
      <alignment horizontal="center" vertical="center" wrapText="1"/>
    </xf>
    <xf numFmtId="0" fontId="29" fillId="7" borderId="61" xfId="0" applyFont="1" applyFill="1" applyBorder="1" applyAlignment="1">
      <alignment horizontal="center" vertical="center" wrapText="1"/>
    </xf>
    <xf numFmtId="0" fontId="29" fillId="7" borderId="62" xfId="0" applyFont="1" applyFill="1" applyBorder="1" applyAlignment="1">
      <alignment horizontal="center" vertical="center" wrapText="1"/>
    </xf>
    <xf numFmtId="0" fontId="46" fillId="7" borderId="24" xfId="0" applyFont="1" applyFill="1" applyBorder="1" applyAlignment="1">
      <alignment horizontal="center" vertical="center" wrapText="1"/>
    </xf>
    <xf numFmtId="0" fontId="29" fillId="7" borderId="25" xfId="0" applyFont="1" applyFill="1" applyBorder="1" applyAlignment="1">
      <alignment horizontal="center" vertical="center" wrapText="1"/>
    </xf>
    <xf numFmtId="0" fontId="32" fillId="7" borderId="63" xfId="0" applyFont="1" applyFill="1" applyBorder="1" applyAlignment="1">
      <alignment horizontal="center" vertical="center" wrapText="1"/>
    </xf>
    <xf numFmtId="0" fontId="32" fillId="7" borderId="25" xfId="0" applyFont="1" applyFill="1" applyBorder="1" applyAlignment="1">
      <alignment horizontal="center" vertical="center" wrapText="1"/>
    </xf>
    <xf numFmtId="0" fontId="29" fillId="7" borderId="23" xfId="0" applyFont="1" applyFill="1" applyBorder="1" applyAlignment="1">
      <alignment horizontal="center" vertical="center" wrapText="1"/>
    </xf>
    <xf numFmtId="0" fontId="47" fillId="3" borderId="64" xfId="0" applyFont="1" applyFill="1" applyBorder="1" applyAlignment="1">
      <alignment horizontal="center" vertical="center" wrapText="1"/>
    </xf>
    <xf numFmtId="0" fontId="0" fillId="0" borderId="66" xfId="0" applyBorder="1" applyAlignment="1">
      <alignment horizontal="right" vertical="center"/>
    </xf>
    <xf numFmtId="0" fontId="0" fillId="0" borderId="68" xfId="0" applyBorder="1" applyAlignment="1">
      <alignment horizontal="right" vertical="center"/>
    </xf>
    <xf numFmtId="0" fontId="0" fillId="0" borderId="69" xfId="0" applyBorder="1" applyAlignment="1">
      <alignment horizontal="right" vertical="center"/>
    </xf>
    <xf numFmtId="0" fontId="0" fillId="3" borderId="32" xfId="0" applyFill="1" applyBorder="1"/>
    <xf numFmtId="0" fontId="14" fillId="0" borderId="0" xfId="0" applyFont="1" applyAlignment="1">
      <alignment vertical="center" wrapText="1"/>
    </xf>
    <xf numFmtId="0" fontId="0" fillId="0" borderId="0" xfId="0" applyAlignment="1">
      <alignment vertical="top"/>
    </xf>
    <xf numFmtId="0" fontId="0" fillId="0" borderId="0" xfId="0" applyAlignment="1">
      <alignment wrapText="1"/>
    </xf>
    <xf numFmtId="0" fontId="16" fillId="0" borderId="0" xfId="0" applyFont="1"/>
    <xf numFmtId="0" fontId="0" fillId="0" borderId="0" xfId="0" applyAlignment="1">
      <alignment horizontal="right" vertical="center"/>
    </xf>
    <xf numFmtId="0" fontId="38" fillId="0" borderId="0" xfId="0" applyFont="1" applyAlignment="1">
      <alignment horizontal="justify" vertical="center"/>
    </xf>
    <xf numFmtId="0" fontId="35" fillId="0" borderId="0" xfId="0" applyFont="1" applyAlignment="1">
      <alignment vertical="center" wrapText="1"/>
    </xf>
    <xf numFmtId="0" fontId="38" fillId="0" borderId="0" xfId="0" applyFont="1" applyAlignment="1">
      <alignment vertical="top"/>
    </xf>
    <xf numFmtId="0" fontId="38" fillId="0" borderId="0" xfId="0" applyFont="1"/>
    <xf numFmtId="0" fontId="38" fillId="0" borderId="0" xfId="0" applyFont="1" applyAlignment="1">
      <alignment horizontal="center"/>
    </xf>
    <xf numFmtId="0" fontId="24" fillId="0" borderId="0" xfId="0" applyFont="1" applyAlignment="1">
      <alignment vertical="center" wrapText="1"/>
    </xf>
    <xf numFmtId="0" fontId="38" fillId="0" borderId="0" xfId="0" applyFont="1" applyAlignment="1">
      <alignment vertical="center"/>
    </xf>
    <xf numFmtId="0" fontId="38" fillId="0" borderId="0" xfId="0" applyFont="1" applyAlignment="1">
      <alignment horizontal="left" vertical="center" wrapText="1"/>
    </xf>
    <xf numFmtId="0" fontId="15" fillId="0" borderId="0" xfId="0" applyFont="1" applyAlignment="1">
      <alignment horizontal="left" vertical="top" wrapText="1"/>
    </xf>
    <xf numFmtId="0" fontId="52" fillId="0" borderId="0" xfId="0" applyFont="1" applyAlignment="1">
      <alignment horizontal="justify" vertical="center"/>
    </xf>
    <xf numFmtId="0" fontId="53" fillId="0" borderId="0" xfId="0" applyFont="1" applyAlignment="1">
      <alignment vertical="top" wrapText="1"/>
    </xf>
    <xf numFmtId="0" fontId="0" fillId="3" borderId="0" xfId="0" applyFill="1" applyBorder="1"/>
    <xf numFmtId="0" fontId="7" fillId="0" borderId="0" xfId="0" applyFont="1" applyBorder="1"/>
    <xf numFmtId="0" fontId="7" fillId="0" borderId="0" xfId="0" applyFont="1" applyBorder="1" applyAlignment="1">
      <alignment vertical="center"/>
    </xf>
    <xf numFmtId="0" fontId="7" fillId="3" borderId="14" xfId="0" applyFont="1" applyFill="1" applyBorder="1"/>
    <xf numFmtId="0" fontId="7" fillId="3" borderId="13" xfId="0" applyFont="1" applyFill="1" applyBorder="1"/>
    <xf numFmtId="0" fontId="0" fillId="3" borderId="13" xfId="0" applyFill="1" applyBorder="1"/>
    <xf numFmtId="0" fontId="12" fillId="3" borderId="0" xfId="0" applyFont="1" applyFill="1" applyBorder="1" applyAlignment="1">
      <alignment horizontal="left" wrapText="1"/>
    </xf>
    <xf numFmtId="0" fontId="7" fillId="3" borderId="13" xfId="0" applyFont="1" applyFill="1" applyBorder="1" applyAlignment="1">
      <alignment vertical="center"/>
    </xf>
    <xf numFmtId="0" fontId="3" fillId="0" borderId="8" xfId="0" applyFont="1" applyFill="1" applyBorder="1" applyAlignment="1">
      <alignment horizontal="right" vertical="center" wrapText="1"/>
    </xf>
    <xf numFmtId="0" fontId="0" fillId="0" borderId="3" xfId="0" applyBorder="1"/>
    <xf numFmtId="0" fontId="7" fillId="3" borderId="0" xfId="0" applyFont="1" applyFill="1" applyBorder="1" applyAlignment="1">
      <alignment vertical="center"/>
    </xf>
    <xf numFmtId="0" fontId="0" fillId="3" borderId="3" xfId="0" applyFill="1" applyBorder="1"/>
    <xf numFmtId="0" fontId="0" fillId="3" borderId="15" xfId="0" applyFill="1" applyBorder="1"/>
    <xf numFmtId="0" fontId="0" fillId="3" borderId="16" xfId="0" applyFill="1" applyBorder="1"/>
    <xf numFmtId="0" fontId="0" fillId="3" borderId="17" xfId="0" applyFill="1" applyBorder="1"/>
    <xf numFmtId="0" fontId="7" fillId="3" borderId="0" xfId="0" applyFont="1" applyFill="1" applyBorder="1" applyAlignment="1">
      <alignment horizontal="center" vertical="center"/>
    </xf>
    <xf numFmtId="0" fontId="55" fillId="3" borderId="0" xfId="2" applyFill="1" applyBorder="1" applyAlignment="1">
      <alignment horizontal="center" vertical="center" wrapText="1"/>
    </xf>
    <xf numFmtId="44" fontId="4" fillId="3" borderId="11" xfId="1" applyFont="1" applyFill="1" applyBorder="1" applyAlignment="1">
      <alignment horizontal="right" vertical="center"/>
    </xf>
    <xf numFmtId="44" fontId="4" fillId="3" borderId="4" xfId="1" applyFont="1" applyFill="1" applyBorder="1" applyAlignment="1">
      <alignment horizontal="right" vertical="center"/>
    </xf>
    <xf numFmtId="44" fontId="3" fillId="3" borderId="11" xfId="1" applyFont="1" applyFill="1" applyBorder="1" applyAlignment="1" applyProtection="1">
      <alignment horizontal="right" vertical="center"/>
    </xf>
    <xf numFmtId="0" fontId="3" fillId="3" borderId="11" xfId="0" applyFont="1" applyFill="1" applyBorder="1" applyAlignment="1" applyProtection="1">
      <alignment horizontal="center" vertical="center" wrapText="1"/>
    </xf>
    <xf numFmtId="44" fontId="3" fillId="3" borderId="11" xfId="1" applyFont="1" applyFill="1" applyBorder="1" applyAlignment="1" applyProtection="1">
      <alignment horizontal="right" vertical="center" wrapText="1"/>
    </xf>
    <xf numFmtId="0" fontId="3" fillId="3" borderId="11" xfId="0" applyFont="1" applyFill="1" applyBorder="1" applyAlignment="1" applyProtection="1">
      <alignment vertical="center" wrapText="1"/>
    </xf>
    <xf numFmtId="44" fontId="3" fillId="3" borderId="11" xfId="1" applyFont="1" applyFill="1" applyBorder="1" applyAlignment="1" applyProtection="1">
      <alignment vertical="center" wrapText="1"/>
    </xf>
    <xf numFmtId="0" fontId="3" fillId="3" borderId="4" xfId="0" applyFont="1" applyFill="1" applyBorder="1" applyAlignment="1" applyProtection="1">
      <alignment horizontal="left" vertical="center" wrapText="1"/>
    </xf>
    <xf numFmtId="0" fontId="3" fillId="3" borderId="4" xfId="0" applyFont="1" applyFill="1" applyBorder="1" applyAlignment="1" applyProtection="1">
      <alignment vertical="center" wrapText="1"/>
    </xf>
    <xf numFmtId="0" fontId="5" fillId="3" borderId="4" xfId="0" applyFont="1" applyFill="1" applyBorder="1" applyAlignment="1" applyProtection="1">
      <alignment vertical="center" wrapText="1"/>
    </xf>
    <xf numFmtId="44" fontId="3" fillId="3" borderId="4" xfId="1" applyFont="1" applyFill="1" applyBorder="1" applyAlignment="1" applyProtection="1">
      <alignment horizontal="right" vertical="center" wrapText="1"/>
    </xf>
    <xf numFmtId="164" fontId="3" fillId="3" borderId="11" xfId="0" applyNumberFormat="1" applyFont="1" applyFill="1" applyBorder="1" applyAlignment="1" applyProtection="1">
      <alignment horizontal="left" vertical="center" wrapText="1"/>
    </xf>
    <xf numFmtId="164" fontId="3" fillId="3" borderId="11" xfId="0" applyNumberFormat="1" applyFont="1" applyFill="1" applyBorder="1" applyAlignment="1" applyProtection="1">
      <alignment horizontal="center" vertical="center" wrapText="1"/>
    </xf>
    <xf numFmtId="0" fontId="5" fillId="3" borderId="0" xfId="0" applyFont="1" applyFill="1" applyBorder="1" applyAlignment="1" applyProtection="1">
      <alignment vertical="center" wrapText="1"/>
    </xf>
    <xf numFmtId="44" fontId="56" fillId="3" borderId="11" xfId="1" applyFont="1" applyFill="1" applyBorder="1" applyAlignment="1" applyProtection="1">
      <alignment horizontal="right" vertical="center"/>
    </xf>
    <xf numFmtId="0" fontId="0" fillId="0" borderId="0" xfId="0" applyAlignment="1">
      <alignment horizontal="center" vertical="center"/>
    </xf>
    <xf numFmtId="0" fontId="16" fillId="0" borderId="0" xfId="0" applyFont="1" applyAlignment="1">
      <alignment horizontal="left" vertical="center"/>
    </xf>
    <xf numFmtId="0" fontId="16" fillId="0" borderId="0" xfId="0" applyFont="1" applyAlignment="1">
      <alignment horizontal="center" vertical="center"/>
    </xf>
    <xf numFmtId="0" fontId="0" fillId="0" borderId="0" xfId="0" applyAlignment="1">
      <alignment horizontal="center"/>
    </xf>
    <xf numFmtId="10" fontId="0" fillId="0" borderId="0" xfId="3" applyNumberFormat="1" applyFont="1"/>
    <xf numFmtId="44" fontId="0" fillId="0" borderId="33" xfId="1" applyFont="1" applyBorder="1" applyAlignment="1">
      <alignment horizontal="right" vertical="center"/>
    </xf>
    <xf numFmtId="44" fontId="0" fillId="8" borderId="36" xfId="1" applyFont="1" applyFill="1" applyBorder="1" applyAlignment="1">
      <alignment horizontal="right" vertical="center"/>
    </xf>
    <xf numFmtId="44" fontId="0" fillId="8" borderId="33" xfId="1" applyFont="1" applyFill="1" applyBorder="1" applyAlignment="1">
      <alignment horizontal="right" vertical="center"/>
    </xf>
    <xf numFmtId="44" fontId="0" fillId="0" borderId="35" xfId="1" applyFont="1" applyBorder="1" applyAlignment="1">
      <alignment horizontal="right" vertical="center"/>
    </xf>
    <xf numFmtId="44" fontId="0" fillId="0" borderId="66" xfId="1" applyFont="1" applyBorder="1" applyAlignment="1">
      <alignment horizontal="right" vertical="center"/>
    </xf>
    <xf numFmtId="44" fontId="0" fillId="0" borderId="36" xfId="1" applyFont="1" applyBorder="1" applyAlignment="1">
      <alignment horizontal="right" vertical="center"/>
    </xf>
    <xf numFmtId="44" fontId="0" fillId="0" borderId="67" xfId="1" applyFont="1" applyBorder="1" applyAlignment="1">
      <alignment horizontal="right" vertical="center"/>
    </xf>
    <xf numFmtId="44" fontId="16" fillId="0" borderId="35" xfId="1" applyFont="1" applyBorder="1" applyAlignment="1">
      <alignment horizontal="right" vertical="center"/>
    </xf>
    <xf numFmtId="44" fontId="16" fillId="0" borderId="66" xfId="1" applyFont="1" applyBorder="1" applyAlignment="1">
      <alignment horizontal="right" vertical="center"/>
    </xf>
    <xf numFmtId="44" fontId="16" fillId="0" borderId="67" xfId="1" applyFont="1" applyBorder="1" applyAlignment="1">
      <alignment horizontal="right" vertical="center"/>
    </xf>
    <xf numFmtId="44" fontId="16" fillId="8" borderId="33" xfId="1" applyFont="1" applyFill="1" applyBorder="1" applyAlignment="1">
      <alignment horizontal="right" vertical="center"/>
    </xf>
    <xf numFmtId="10" fontId="16" fillId="0" borderId="66" xfId="3" applyNumberFormat="1" applyFont="1" applyBorder="1" applyAlignment="1">
      <alignment horizontal="right" vertical="center"/>
    </xf>
    <xf numFmtId="44" fontId="16" fillId="8" borderId="36" xfId="1" applyFont="1" applyFill="1" applyBorder="1" applyAlignment="1">
      <alignment horizontal="right" vertical="center"/>
    </xf>
    <xf numFmtId="44" fontId="16" fillId="0" borderId="29" xfId="1" applyFont="1" applyBorder="1" applyAlignment="1">
      <alignment horizontal="right" vertical="center"/>
    </xf>
    <xf numFmtId="0" fontId="16" fillId="0" borderId="68" xfId="0" applyFont="1" applyBorder="1" applyAlignment="1">
      <alignment horizontal="right" vertical="center"/>
    </xf>
    <xf numFmtId="0" fontId="16" fillId="0" borderId="66" xfId="0" applyFont="1" applyBorder="1" applyAlignment="1">
      <alignment horizontal="right" vertical="center"/>
    </xf>
    <xf numFmtId="0" fontId="16" fillId="0" borderId="69" xfId="0" applyFont="1" applyBorder="1" applyAlignment="1">
      <alignment horizontal="right" vertical="center"/>
    </xf>
    <xf numFmtId="44" fontId="16" fillId="0" borderId="33" xfId="1" applyFont="1" applyBorder="1" applyAlignment="1">
      <alignment horizontal="right" vertical="center"/>
    </xf>
    <xf numFmtId="0" fontId="16" fillId="3" borderId="0" xfId="0" applyFont="1" applyFill="1" applyBorder="1"/>
    <xf numFmtId="10" fontId="0" fillId="5" borderId="55" xfId="3" applyNumberFormat="1" applyFont="1" applyFill="1" applyBorder="1" applyAlignment="1" applyProtection="1">
      <alignment horizontal="center" vertical="center" wrapText="1" shrinkToFit="1"/>
      <protection locked="0"/>
    </xf>
    <xf numFmtId="44" fontId="0" fillId="5" borderId="29" xfId="1" applyFont="1" applyFill="1" applyBorder="1" applyAlignment="1" applyProtection="1">
      <alignment horizontal="right" vertical="center"/>
      <protection locked="0"/>
    </xf>
    <xf numFmtId="0" fontId="24" fillId="7" borderId="33" xfId="0" applyFont="1" applyFill="1" applyBorder="1" applyAlignment="1">
      <alignment vertical="center" wrapText="1"/>
    </xf>
    <xf numFmtId="0" fontId="29" fillId="7" borderId="33" xfId="0" applyFont="1" applyFill="1" applyBorder="1" applyAlignment="1">
      <alignment vertical="center" wrapText="1"/>
    </xf>
    <xf numFmtId="0" fontId="57" fillId="5" borderId="4" xfId="0" applyFont="1" applyFill="1" applyBorder="1" applyAlignment="1" applyProtection="1">
      <alignment horizontal="center" vertical="center" wrapText="1"/>
      <protection locked="0"/>
    </xf>
    <xf numFmtId="44" fontId="57" fillId="5" borderId="11" xfId="1" applyFont="1" applyFill="1" applyBorder="1" applyAlignment="1" applyProtection="1">
      <alignment horizontal="right" vertical="center"/>
      <protection locked="0"/>
    </xf>
    <xf numFmtId="44" fontId="57" fillId="5" borderId="4" xfId="1" applyFont="1" applyFill="1" applyBorder="1" applyAlignment="1" applyProtection="1">
      <alignment horizontal="right" vertical="center"/>
      <protection locked="0"/>
    </xf>
    <xf numFmtId="0" fontId="57" fillId="5" borderId="11" xfId="0" applyFont="1" applyFill="1" applyBorder="1" applyAlignment="1" applyProtection="1">
      <alignment vertical="center" wrapText="1"/>
      <protection locked="0"/>
    </xf>
    <xf numFmtId="44" fontId="57" fillId="5" borderId="11" xfId="1" applyFont="1" applyFill="1" applyBorder="1" applyAlignment="1" applyProtection="1">
      <alignment vertical="center" wrapText="1"/>
      <protection locked="0"/>
    </xf>
    <xf numFmtId="44" fontId="57" fillId="3" borderId="11" xfId="1" applyFont="1" applyFill="1" applyBorder="1" applyAlignment="1">
      <alignment horizontal="right" vertical="center"/>
    </xf>
    <xf numFmtId="10" fontId="57" fillId="3" borderId="11" xfId="3" applyNumberFormat="1" applyFont="1" applyFill="1" applyBorder="1" applyAlignment="1">
      <alignment horizontal="center" vertical="center" wrapText="1"/>
    </xf>
    <xf numFmtId="44" fontId="57" fillId="3" borderId="11" xfId="1" applyFont="1" applyFill="1" applyBorder="1" applyAlignment="1">
      <alignment horizontal="center" vertical="center" wrapText="1"/>
    </xf>
    <xf numFmtId="0" fontId="57" fillId="5" borderId="4" xfId="0" applyFont="1" applyFill="1" applyBorder="1" applyAlignment="1" applyProtection="1">
      <alignment vertical="center" wrapText="1"/>
      <protection locked="0"/>
    </xf>
    <xf numFmtId="164" fontId="57" fillId="5" borderId="11" xfId="0" applyNumberFormat="1" applyFont="1" applyFill="1" applyBorder="1" applyAlignment="1" applyProtection="1">
      <alignment horizontal="center" vertical="center" wrapText="1"/>
      <protection locked="0"/>
    </xf>
    <xf numFmtId="0" fontId="28" fillId="7" borderId="33" xfId="0" applyFont="1" applyFill="1" applyBorder="1" applyAlignment="1">
      <alignment horizontal="center" vertical="center"/>
    </xf>
    <xf numFmtId="0" fontId="32" fillId="7" borderId="65" xfId="0" applyFont="1" applyFill="1" applyBorder="1" applyAlignment="1">
      <alignment horizontal="center" vertical="center" wrapText="1"/>
    </xf>
    <xf numFmtId="44" fontId="58" fillId="3" borderId="33" xfId="1" applyFont="1" applyFill="1" applyBorder="1" applyAlignment="1">
      <alignment horizontal="center" vertical="center" wrapText="1"/>
    </xf>
    <xf numFmtId="44" fontId="32" fillId="0" borderId="79" xfId="1" applyFont="1" applyFill="1" applyBorder="1" applyAlignment="1" applyProtection="1">
      <alignment horizontal="center" vertical="center" wrapText="1"/>
    </xf>
    <xf numFmtId="0" fontId="0" fillId="0" borderId="0" xfId="0" applyBorder="1"/>
    <xf numFmtId="0" fontId="12" fillId="3" borderId="0" xfId="0" applyFont="1" applyFill="1" applyBorder="1" applyAlignment="1">
      <alignment wrapText="1"/>
    </xf>
    <xf numFmtId="0" fontId="8" fillId="0" borderId="0" xfId="0" applyFont="1" applyFill="1" applyBorder="1" applyAlignment="1">
      <alignment vertical="center"/>
    </xf>
    <xf numFmtId="0" fontId="57" fillId="0" borderId="11" xfId="0" applyFont="1" applyFill="1" applyBorder="1" applyAlignment="1" applyProtection="1">
      <alignment vertical="center" wrapText="1"/>
    </xf>
    <xf numFmtId="44" fontId="57" fillId="0" borderId="11" xfId="1" applyFont="1" applyFill="1" applyBorder="1" applyAlignment="1" applyProtection="1">
      <alignment vertical="center" wrapText="1"/>
    </xf>
    <xf numFmtId="44" fontId="57" fillId="0" borderId="11" xfId="1" applyFont="1" applyFill="1" applyBorder="1" applyAlignment="1" applyProtection="1">
      <alignment horizontal="right" vertical="center"/>
    </xf>
    <xf numFmtId="0" fontId="57" fillId="0" borderId="11" xfId="0" applyFont="1" applyFill="1" applyBorder="1" applyAlignment="1" applyProtection="1">
      <alignment horizontal="center" vertical="center" wrapText="1"/>
    </xf>
    <xf numFmtId="44" fontId="0" fillId="5" borderId="36" xfId="1" applyFont="1" applyFill="1" applyBorder="1" applyAlignment="1" applyProtection="1">
      <alignment horizontal="right" vertical="center"/>
      <protection locked="0"/>
    </xf>
    <xf numFmtId="0" fontId="9" fillId="3" borderId="81" xfId="0" applyFont="1" applyFill="1" applyBorder="1" applyAlignment="1"/>
    <xf numFmtId="0" fontId="36" fillId="3" borderId="57" xfId="0" applyFont="1" applyFill="1" applyBorder="1" applyAlignment="1">
      <alignment horizontal="center" vertical="center" wrapText="1"/>
    </xf>
    <xf numFmtId="0" fontId="3" fillId="2" borderId="11" xfId="0" applyFont="1" applyFill="1" applyBorder="1" applyAlignment="1">
      <alignment horizontal="center" vertical="center" wrapText="1"/>
    </xf>
    <xf numFmtId="164" fontId="57" fillId="5" borderId="11" xfId="0" applyNumberFormat="1" applyFont="1" applyFill="1" applyBorder="1" applyAlignment="1" applyProtection="1">
      <alignment horizontal="left" vertical="center" wrapText="1"/>
      <protection locked="0"/>
    </xf>
    <xf numFmtId="0" fontId="57" fillId="5" borderId="11" xfId="0" applyFont="1" applyFill="1" applyBorder="1" applyAlignment="1" applyProtection="1">
      <alignment horizontal="center" vertical="center" wrapText="1"/>
      <protection locked="0"/>
    </xf>
    <xf numFmtId="0" fontId="57" fillId="5" borderId="4" xfId="0" applyFont="1" applyFill="1" applyBorder="1" applyAlignment="1" applyProtection="1">
      <alignment horizontal="left" vertical="center" wrapText="1"/>
      <protection locked="0"/>
    </xf>
    <xf numFmtId="0" fontId="3" fillId="2" borderId="4" xfId="0" applyFont="1" applyFill="1" applyBorder="1" applyAlignment="1">
      <alignment horizontal="center" vertical="center" wrapText="1"/>
    </xf>
    <xf numFmtId="0" fontId="4" fillId="2" borderId="8" xfId="0" applyFont="1" applyFill="1" applyBorder="1" applyAlignment="1">
      <alignment vertical="center"/>
    </xf>
    <xf numFmtId="0" fontId="4" fillId="2" borderId="84" xfId="0" applyFont="1" applyFill="1" applyBorder="1" applyAlignment="1">
      <alignment vertical="center"/>
    </xf>
    <xf numFmtId="0" fontId="4" fillId="2" borderId="85" xfId="0" applyFont="1" applyFill="1" applyBorder="1" applyAlignment="1">
      <alignment horizontal="center" vertical="center"/>
    </xf>
    <xf numFmtId="0" fontId="65" fillId="0" borderId="33" xfId="0" applyFont="1" applyBorder="1" applyAlignment="1">
      <alignment horizontal="center" vertical="center" wrapText="1"/>
    </xf>
    <xf numFmtId="0" fontId="65" fillId="0" borderId="30" xfId="0" applyFont="1" applyBorder="1" applyAlignment="1">
      <alignment horizontal="center" vertical="center" wrapText="1"/>
    </xf>
    <xf numFmtId="0" fontId="66" fillId="0" borderId="38" xfId="0" applyFont="1" applyBorder="1" applyAlignment="1">
      <alignment horizontal="center" vertical="center" wrapText="1"/>
    </xf>
    <xf numFmtId="166" fontId="66" fillId="0" borderId="73" xfId="0" applyNumberFormat="1" applyFont="1" applyBorder="1" applyAlignment="1">
      <alignment horizontal="center" vertical="center" wrapText="1"/>
    </xf>
    <xf numFmtId="0" fontId="66" fillId="0" borderId="73" xfId="0" applyFont="1" applyBorder="1" applyAlignment="1">
      <alignment horizontal="left" vertical="center" wrapText="1"/>
    </xf>
    <xf numFmtId="0" fontId="68" fillId="0" borderId="0" xfId="0" applyFont="1" applyAlignment="1">
      <alignment horizontal="center" vertical="center" wrapText="1"/>
    </xf>
    <xf numFmtId="0" fontId="73" fillId="0" borderId="0" xfId="0" applyFont="1"/>
    <xf numFmtId="1" fontId="57" fillId="5" borderId="10" xfId="0" applyNumberFormat="1" applyFont="1" applyFill="1" applyBorder="1" applyAlignment="1" applyProtection="1">
      <alignment horizontal="left" vertical="center" wrapText="1"/>
      <protection locked="0"/>
    </xf>
    <xf numFmtId="165" fontId="57" fillId="5" borderId="11" xfId="0" applyNumberFormat="1" applyFont="1" applyFill="1" applyBorder="1" applyAlignment="1" applyProtection="1">
      <alignment horizontal="center" vertical="center" wrapText="1"/>
      <protection locked="0"/>
    </xf>
    <xf numFmtId="0" fontId="23" fillId="0" borderId="0" xfId="0" applyFont="1" applyAlignment="1">
      <alignment vertical="center"/>
    </xf>
    <xf numFmtId="0" fontId="21" fillId="0" borderId="0" xfId="0" applyFont="1" applyAlignment="1">
      <alignment vertical="center" wrapText="1"/>
    </xf>
    <xf numFmtId="0" fontId="48" fillId="0" borderId="0" xfId="0" applyFont="1" applyAlignment="1">
      <alignment vertical="center" wrapText="1"/>
    </xf>
    <xf numFmtId="0" fontId="3" fillId="2" borderId="11" xfId="0" applyFont="1" applyFill="1" applyBorder="1" applyAlignment="1">
      <alignment horizontal="center" vertical="center" wrapText="1"/>
    </xf>
    <xf numFmtId="0" fontId="66" fillId="0" borderId="73" xfId="0" quotePrefix="1" applyFont="1" applyBorder="1" applyAlignment="1">
      <alignment horizontal="left" vertical="center" wrapText="1"/>
    </xf>
    <xf numFmtId="0" fontId="3" fillId="2" borderId="11"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0" fillId="0" borderId="0" xfId="0" applyFont="1" applyAlignment="1">
      <alignment horizontal="center" vertical="center"/>
    </xf>
    <xf numFmtId="10" fontId="0" fillId="9" borderId="55" xfId="3" applyNumberFormat="1" applyFont="1" applyFill="1" applyBorder="1" applyAlignment="1" applyProtection="1">
      <alignment horizontal="center" vertical="center" wrapText="1" shrinkToFit="1"/>
    </xf>
    <xf numFmtId="0" fontId="82" fillId="3" borderId="0" xfId="0" applyFont="1" applyFill="1"/>
    <xf numFmtId="0" fontId="82" fillId="3" borderId="0" xfId="0" applyFont="1" applyFill="1" applyBorder="1" applyAlignment="1">
      <alignment horizontal="center" vertical="center" wrapText="1"/>
    </xf>
    <xf numFmtId="0" fontId="82" fillId="3" borderId="1" xfId="0" applyFont="1" applyFill="1" applyBorder="1" applyAlignment="1">
      <alignment vertical="center"/>
    </xf>
    <xf numFmtId="0" fontId="82" fillId="3" borderId="3" xfId="0" applyFont="1" applyFill="1" applyBorder="1" applyAlignment="1">
      <alignment vertical="center"/>
    </xf>
    <xf numFmtId="0" fontId="82" fillId="3" borderId="0" xfId="0" applyFont="1" applyFill="1" applyAlignment="1">
      <alignment vertical="center"/>
    </xf>
    <xf numFmtId="0" fontId="82" fillId="3" borderId="0" xfId="0" applyFont="1" applyFill="1" applyBorder="1" applyAlignment="1">
      <alignment vertical="center"/>
    </xf>
    <xf numFmtId="0" fontId="82" fillId="0" borderId="0" xfId="0" applyFont="1" applyAlignment="1">
      <alignment vertical="center"/>
    </xf>
    <xf numFmtId="0" fontId="83" fillId="3" borderId="1" xfId="0" applyFont="1" applyFill="1" applyBorder="1"/>
    <xf numFmtId="0" fontId="83" fillId="3" borderId="3" xfId="0" applyFont="1" applyFill="1" applyBorder="1"/>
    <xf numFmtId="0" fontId="83" fillId="3" borderId="0" xfId="0" applyFont="1" applyFill="1" applyBorder="1" applyAlignment="1">
      <alignment horizontal="center" vertical="center" wrapText="1"/>
    </xf>
    <xf numFmtId="0" fontId="83" fillId="3" borderId="3" xfId="0" applyFont="1" applyFill="1" applyBorder="1" applyAlignment="1">
      <alignment vertical="center"/>
    </xf>
    <xf numFmtId="0" fontId="83" fillId="3" borderId="0" xfId="0" applyFont="1" applyFill="1" applyAlignment="1">
      <alignment vertical="center"/>
    </xf>
    <xf numFmtId="0" fontId="83" fillId="3" borderId="0" xfId="0" applyFont="1" applyFill="1" applyBorder="1" applyAlignment="1">
      <alignment vertical="center"/>
    </xf>
    <xf numFmtId="0" fontId="83" fillId="3" borderId="0" xfId="0" applyFont="1" applyFill="1"/>
    <xf numFmtId="0" fontId="83" fillId="0" borderId="0" xfId="0" applyFont="1"/>
    <xf numFmtId="0" fontId="57" fillId="5" borderId="11" xfId="0" applyFont="1" applyFill="1" applyBorder="1" applyAlignment="1" applyProtection="1">
      <alignment horizontal="center" vertical="center" wrapText="1"/>
      <protection locked="0"/>
    </xf>
    <xf numFmtId="0" fontId="3" fillId="2" borderId="11" xfId="0" applyFont="1" applyFill="1" applyBorder="1" applyAlignment="1">
      <alignment horizontal="center" vertical="center" wrapText="1"/>
    </xf>
    <xf numFmtId="164" fontId="57" fillId="5" borderId="11" xfId="0" applyNumberFormat="1" applyFont="1" applyFill="1" applyBorder="1" applyAlignment="1" applyProtection="1">
      <alignment horizontal="left" vertical="center" wrapText="1"/>
      <protection locked="0"/>
    </xf>
    <xf numFmtId="0" fontId="57" fillId="5" borderId="4" xfId="0" applyFont="1" applyFill="1" applyBorder="1" applyAlignment="1" applyProtection="1">
      <alignment horizontal="left" vertical="center" wrapText="1"/>
      <protection locked="0"/>
    </xf>
    <xf numFmtId="0" fontId="3" fillId="2" borderId="4" xfId="0" applyFont="1" applyFill="1" applyBorder="1" applyAlignment="1">
      <alignment horizontal="center" vertical="center" wrapText="1"/>
    </xf>
    <xf numFmtId="0" fontId="57" fillId="0" borderId="11" xfId="0" applyFont="1" applyBorder="1" applyAlignment="1">
      <alignment vertical="center" wrapText="1"/>
    </xf>
    <xf numFmtId="0" fontId="57" fillId="0" borderId="11" xfId="0" applyFont="1" applyBorder="1" applyAlignment="1">
      <alignment horizontal="center" vertical="center" wrapText="1"/>
    </xf>
    <xf numFmtId="0" fontId="3" fillId="3" borderId="11" xfId="0" applyFont="1" applyFill="1" applyBorder="1" applyAlignment="1">
      <alignment vertical="center" wrapText="1"/>
    </xf>
    <xf numFmtId="0" fontId="3" fillId="3" borderId="4" xfId="0" applyFont="1" applyFill="1" applyBorder="1" applyAlignment="1">
      <alignment horizontal="left" vertical="center" wrapText="1"/>
    </xf>
    <xf numFmtId="0" fontId="3" fillId="3" borderId="4" xfId="0" applyFont="1" applyFill="1" applyBorder="1" applyAlignment="1">
      <alignment vertical="center" wrapText="1"/>
    </xf>
    <xf numFmtId="0" fontId="5" fillId="3" borderId="4" xfId="0" applyFont="1" applyFill="1" applyBorder="1" applyAlignment="1">
      <alignment vertical="center" wrapText="1"/>
    </xf>
    <xf numFmtId="164" fontId="3" fillId="3" borderId="11" xfId="0" applyNumberFormat="1" applyFont="1" applyFill="1" applyBorder="1" applyAlignment="1">
      <alignment horizontal="left" vertical="center" wrapText="1"/>
    </xf>
    <xf numFmtId="164" fontId="3" fillId="3" borderId="11" xfId="0" applyNumberFormat="1" applyFont="1" applyFill="1" applyBorder="1" applyAlignment="1">
      <alignment horizontal="center" vertical="center" wrapText="1"/>
    </xf>
    <xf numFmtId="0" fontId="5" fillId="3" borderId="0" xfId="0" applyFont="1" applyFill="1" applyAlignment="1">
      <alignment vertical="center" wrapText="1"/>
    </xf>
    <xf numFmtId="0" fontId="3" fillId="3" borderId="11"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57" fillId="10" borderId="4" xfId="0" applyFont="1" applyFill="1" applyBorder="1" applyAlignment="1" applyProtection="1">
      <alignment horizontal="center" vertical="center" wrapText="1"/>
      <protection locked="0"/>
    </xf>
    <xf numFmtId="0" fontId="66" fillId="0" borderId="34" xfId="0" quotePrefix="1" applyFont="1" applyBorder="1" applyAlignment="1">
      <alignment horizontal="left" vertical="center" wrapText="1"/>
    </xf>
    <xf numFmtId="0" fontId="55" fillId="0" borderId="50" xfId="2" quotePrefix="1" applyBorder="1" applyAlignment="1">
      <alignment horizontal="left" vertical="center" wrapText="1"/>
    </xf>
    <xf numFmtId="0" fontId="66" fillId="0" borderId="38" xfId="0" quotePrefix="1" applyFont="1" applyBorder="1" applyAlignment="1">
      <alignment horizontal="left" vertical="center" wrapText="1"/>
    </xf>
    <xf numFmtId="0" fontId="80" fillId="3" borderId="19" xfId="0" applyFont="1" applyFill="1" applyBorder="1" applyAlignment="1">
      <alignment horizontal="left" vertical="center" wrapText="1" indent="1"/>
    </xf>
    <xf numFmtId="0" fontId="80" fillId="3" borderId="18" xfId="0" applyFont="1" applyFill="1" applyBorder="1" applyAlignment="1">
      <alignment horizontal="left" vertical="center" wrapText="1" indent="1"/>
    </xf>
    <xf numFmtId="0" fontId="80" fillId="3" borderId="20" xfId="0" applyFont="1" applyFill="1" applyBorder="1" applyAlignment="1">
      <alignment horizontal="left" vertical="center" wrapText="1" indent="1"/>
    </xf>
    <xf numFmtId="0" fontId="71" fillId="0" borderId="0" xfId="0" applyFont="1" applyFill="1" applyBorder="1" applyAlignment="1" applyProtection="1">
      <alignment horizontal="center" vertical="center" wrapText="1"/>
    </xf>
    <xf numFmtId="0" fontId="67" fillId="4" borderId="0" xfId="0" applyFont="1" applyFill="1" applyAlignment="1">
      <alignment horizontal="center" vertical="center" wrapText="1"/>
    </xf>
    <xf numFmtId="0" fontId="68" fillId="0" borderId="0" xfId="0" applyFont="1" applyAlignment="1">
      <alignment horizontal="center" vertical="center" wrapText="1"/>
    </xf>
    <xf numFmtId="0" fontId="69" fillId="0" borderId="28" xfId="0" applyFont="1" applyBorder="1" applyAlignment="1">
      <alignment horizontal="left" vertical="center" wrapText="1"/>
    </xf>
    <xf numFmtId="0" fontId="69" fillId="0" borderId="29" xfId="0" applyFont="1" applyBorder="1" applyAlignment="1">
      <alignment horizontal="left" vertical="center" wrapText="1"/>
    </xf>
    <xf numFmtId="0" fontId="69" fillId="0" borderId="30" xfId="0" applyFont="1" applyBorder="1" applyAlignment="1">
      <alignment horizontal="left" vertical="center" wrapText="1"/>
    </xf>
    <xf numFmtId="0" fontId="19" fillId="4" borderId="88" xfId="0" applyFont="1" applyFill="1" applyBorder="1" applyAlignment="1">
      <alignment horizontal="left" vertical="center" wrapText="1" indent="1"/>
    </xf>
    <xf numFmtId="0" fontId="19" fillId="4" borderId="89" xfId="0" applyFont="1" applyFill="1" applyBorder="1" applyAlignment="1">
      <alignment horizontal="left" vertical="center" wrapText="1" indent="1"/>
    </xf>
    <xf numFmtId="0" fontId="19" fillId="4" borderId="90" xfId="0" applyFont="1" applyFill="1" applyBorder="1" applyAlignment="1">
      <alignment horizontal="left" vertical="center" wrapText="1" indent="1"/>
    </xf>
    <xf numFmtId="0" fontId="76" fillId="3" borderId="19" xfId="0" applyFont="1" applyFill="1" applyBorder="1" applyAlignment="1">
      <alignment horizontal="left" vertical="center" wrapText="1" indent="1"/>
    </xf>
    <xf numFmtId="0" fontId="76" fillId="3" borderId="18" xfId="0" applyFont="1" applyFill="1" applyBorder="1" applyAlignment="1">
      <alignment horizontal="left" vertical="center" wrapText="1" indent="1"/>
    </xf>
    <xf numFmtId="0" fontId="76" fillId="3" borderId="20" xfId="0" applyFont="1" applyFill="1" applyBorder="1" applyAlignment="1">
      <alignment horizontal="left" vertical="center" wrapText="1" indent="1"/>
    </xf>
    <xf numFmtId="0" fontId="80" fillId="3" borderId="62" xfId="0" applyFont="1" applyFill="1" applyBorder="1" applyAlignment="1">
      <alignment horizontal="left" vertical="center" wrapText="1" indent="1"/>
    </xf>
    <xf numFmtId="0" fontId="80" fillId="3" borderId="92" xfId="0" applyFont="1" applyFill="1" applyBorder="1" applyAlignment="1">
      <alignment horizontal="left" vertical="center" wrapText="1" indent="1"/>
    </xf>
    <xf numFmtId="0" fontId="80" fillId="3" borderId="93" xfId="0" applyFont="1" applyFill="1" applyBorder="1" applyAlignment="1">
      <alignment horizontal="left" vertical="center" wrapText="1" indent="1"/>
    </xf>
    <xf numFmtId="0" fontId="69" fillId="4" borderId="19" xfId="0" applyFont="1" applyFill="1" applyBorder="1" applyAlignment="1">
      <alignment horizontal="left" vertical="center" wrapText="1" indent="1"/>
    </xf>
    <xf numFmtId="0" fontId="69" fillId="4" borderId="18" xfId="0" applyFont="1" applyFill="1" applyBorder="1" applyAlignment="1">
      <alignment horizontal="left" vertical="center" wrapText="1" indent="1"/>
    </xf>
    <xf numFmtId="0" fontId="69" fillId="4" borderId="20" xfId="0" applyFont="1" applyFill="1" applyBorder="1" applyAlignment="1">
      <alignment horizontal="left" vertical="center" wrapText="1" indent="1"/>
    </xf>
    <xf numFmtId="0" fontId="76" fillId="3" borderId="21" xfId="0" applyFont="1" applyFill="1" applyBorder="1" applyAlignment="1">
      <alignment horizontal="left" vertical="center" wrapText="1" indent="1"/>
    </xf>
    <xf numFmtId="0" fontId="76" fillId="3" borderId="22" xfId="0" applyFont="1" applyFill="1" applyBorder="1" applyAlignment="1">
      <alignment horizontal="left" vertical="center" wrapText="1" indent="1"/>
    </xf>
    <xf numFmtId="0" fontId="76" fillId="3" borderId="23" xfId="0" applyFont="1" applyFill="1" applyBorder="1" applyAlignment="1">
      <alignment horizontal="left" vertical="center" wrapText="1" indent="1"/>
    </xf>
    <xf numFmtId="0" fontId="76" fillId="3" borderId="91" xfId="0" applyFont="1" applyFill="1" applyBorder="1" applyAlignment="1">
      <alignment horizontal="left" vertical="center" wrapText="1" indent="1"/>
    </xf>
    <xf numFmtId="0" fontId="76" fillId="3" borderId="24" xfId="0" applyFont="1" applyFill="1" applyBorder="1" applyAlignment="1">
      <alignment horizontal="left" vertical="center" wrapText="1" indent="1"/>
    </xf>
    <xf numFmtId="0" fontId="76" fillId="3" borderId="25" xfId="0" applyFont="1" applyFill="1" applyBorder="1" applyAlignment="1">
      <alignment horizontal="left" vertical="center" wrapText="1" indent="1"/>
    </xf>
    <xf numFmtId="0" fontId="19" fillId="4" borderId="19" xfId="0" applyFont="1" applyFill="1" applyBorder="1" applyAlignment="1">
      <alignment horizontal="left" vertical="center" wrapText="1" indent="1"/>
    </xf>
    <xf numFmtId="0" fontId="19" fillId="4" borderId="18" xfId="0" applyFont="1" applyFill="1" applyBorder="1" applyAlignment="1">
      <alignment horizontal="left" vertical="center" wrapText="1" indent="1"/>
    </xf>
    <xf numFmtId="0" fontId="19" fillId="4" borderId="20" xfId="0" applyFont="1" applyFill="1" applyBorder="1" applyAlignment="1">
      <alignment horizontal="left" vertical="center" wrapText="1" indent="1"/>
    </xf>
    <xf numFmtId="0" fontId="8" fillId="4" borderId="8" xfId="0" applyFont="1" applyFill="1" applyBorder="1" applyAlignment="1">
      <alignment horizontal="center" vertical="center" wrapText="1"/>
    </xf>
    <xf numFmtId="0" fontId="8" fillId="4" borderId="9" xfId="0" applyFont="1" applyFill="1" applyBorder="1" applyAlignment="1">
      <alignment horizontal="center" vertical="center" wrapText="1"/>
    </xf>
    <xf numFmtId="0" fontId="8" fillId="4" borderId="10" xfId="0" applyFont="1" applyFill="1" applyBorder="1" applyAlignment="1">
      <alignment horizontal="center" vertical="center" wrapText="1"/>
    </xf>
    <xf numFmtId="0" fontId="12" fillId="3" borderId="0" xfId="0" applyFont="1" applyFill="1" applyBorder="1" applyAlignment="1">
      <alignment horizontal="left" vertical="center" wrapText="1"/>
    </xf>
    <xf numFmtId="0" fontId="57" fillId="5" borderId="8" xfId="0" applyFont="1" applyFill="1" applyBorder="1" applyAlignment="1" applyProtection="1">
      <alignment horizontal="center" vertical="center" wrapText="1"/>
      <protection locked="0"/>
    </xf>
    <xf numFmtId="0" fontId="57" fillId="5" borderId="9" xfId="0" applyFont="1" applyFill="1" applyBorder="1" applyAlignment="1" applyProtection="1">
      <alignment horizontal="center" vertical="center" wrapText="1"/>
      <protection locked="0"/>
    </xf>
    <xf numFmtId="0" fontId="57" fillId="5" borderId="10" xfId="0" applyFont="1" applyFill="1" applyBorder="1" applyAlignment="1" applyProtection="1">
      <alignment horizontal="center" vertical="center" wrapText="1"/>
      <protection locked="0"/>
    </xf>
    <xf numFmtId="0" fontId="57" fillId="5" borderId="84" xfId="0" applyFont="1" applyFill="1" applyBorder="1" applyAlignment="1" applyProtection="1">
      <alignment horizontal="center" vertical="center" wrapText="1"/>
      <protection locked="0"/>
    </xf>
    <xf numFmtId="0" fontId="57" fillId="5" borderId="85" xfId="0" applyFont="1" applyFill="1" applyBorder="1" applyAlignment="1" applyProtection="1">
      <alignment horizontal="center" vertical="center" wrapText="1"/>
      <protection locked="0"/>
    </xf>
    <xf numFmtId="0" fontId="57" fillId="5" borderId="86" xfId="0" applyFont="1" applyFill="1" applyBorder="1" applyAlignment="1" applyProtection="1">
      <alignment horizontal="center" vertical="center" wrapText="1"/>
      <protection locked="0"/>
    </xf>
    <xf numFmtId="0" fontId="10" fillId="6" borderId="8" xfId="0" applyFont="1" applyFill="1" applyBorder="1" applyAlignment="1">
      <alignment horizontal="left" vertical="center" wrapText="1"/>
    </xf>
    <xf numFmtId="0" fontId="10" fillId="6" borderId="82" xfId="0" applyFont="1" applyFill="1" applyBorder="1" applyAlignment="1">
      <alignment horizontal="left" vertical="center" wrapText="1"/>
    </xf>
    <xf numFmtId="0" fontId="10" fillId="6" borderId="83" xfId="0" applyFont="1" applyFill="1" applyBorder="1" applyAlignment="1">
      <alignment horizontal="left" vertical="center" wrapText="1"/>
    </xf>
    <xf numFmtId="0" fontId="10" fillId="6" borderId="87" xfId="0" applyFont="1" applyFill="1" applyBorder="1" applyAlignment="1">
      <alignment horizontal="left" vertical="center" wrapText="1"/>
    </xf>
    <xf numFmtId="0" fontId="57" fillId="5" borderId="8" xfId="0" applyFont="1" applyFill="1" applyBorder="1" applyAlignment="1" applyProtection="1">
      <alignment horizontal="center" vertical="center"/>
      <protection locked="0"/>
    </xf>
    <xf numFmtId="0" fontId="57" fillId="5" borderId="10" xfId="0" applyFont="1" applyFill="1" applyBorder="1" applyAlignment="1" applyProtection="1">
      <alignment horizontal="center" vertical="center"/>
      <protection locked="0"/>
    </xf>
    <xf numFmtId="0" fontId="4" fillId="2" borderId="8" xfId="0" applyFont="1" applyFill="1" applyBorder="1" applyAlignment="1">
      <alignment horizontal="left" vertical="center"/>
    </xf>
    <xf numFmtId="0" fontId="4" fillId="2" borderId="10" xfId="0" applyFont="1" applyFill="1" applyBorder="1" applyAlignment="1">
      <alignment horizontal="left" vertical="center"/>
    </xf>
    <xf numFmtId="0" fontId="4" fillId="2" borderId="8" xfId="0" applyFont="1" applyFill="1" applyBorder="1" applyAlignment="1">
      <alignment horizontal="left" vertical="center" wrapText="1"/>
    </xf>
    <xf numFmtId="0" fontId="4" fillId="2" borderId="10" xfId="0" applyFont="1" applyFill="1" applyBorder="1" applyAlignment="1">
      <alignment horizontal="left" vertical="center" wrapText="1"/>
    </xf>
    <xf numFmtId="0" fontId="10" fillId="6" borderId="9" xfId="0" applyFont="1" applyFill="1" applyBorder="1" applyAlignment="1">
      <alignment horizontal="left" vertical="center"/>
    </xf>
    <xf numFmtId="0" fontId="10" fillId="6" borderId="10" xfId="0" applyFont="1" applyFill="1" applyBorder="1" applyAlignment="1">
      <alignment horizontal="left" vertical="center"/>
    </xf>
    <xf numFmtId="0" fontId="57" fillId="5" borderId="8" xfId="0" applyNumberFormat="1" applyFont="1" applyFill="1" applyBorder="1" applyAlignment="1" applyProtection="1">
      <alignment horizontal="center" vertical="center" wrapText="1"/>
      <protection locked="0"/>
    </xf>
    <xf numFmtId="0" fontId="57" fillId="5" borderId="9" xfId="0" applyNumberFormat="1" applyFont="1" applyFill="1" applyBorder="1" applyAlignment="1" applyProtection="1">
      <alignment horizontal="center" vertical="center" wrapText="1"/>
      <protection locked="0"/>
    </xf>
    <xf numFmtId="0" fontId="57" fillId="5" borderId="10" xfId="0" applyNumberFormat="1" applyFont="1" applyFill="1" applyBorder="1" applyAlignment="1" applyProtection="1">
      <alignment horizontal="center" vertical="center" wrapText="1"/>
      <protection locked="0"/>
    </xf>
    <xf numFmtId="0" fontId="10" fillId="6" borderId="9" xfId="0" applyFont="1" applyFill="1" applyBorder="1" applyAlignment="1">
      <alignment horizontal="left" vertical="center" wrapText="1"/>
    </xf>
    <xf numFmtId="0" fontId="10" fillId="6" borderId="10" xfId="0" applyFont="1" applyFill="1" applyBorder="1" applyAlignment="1">
      <alignment horizontal="left" vertical="center" wrapText="1"/>
    </xf>
    <xf numFmtId="0" fontId="4" fillId="2" borderId="11" xfId="0" applyFont="1" applyFill="1" applyBorder="1" applyAlignment="1">
      <alignment horizontal="left" vertical="center"/>
    </xf>
    <xf numFmtId="0" fontId="57" fillId="5" borderId="11" xfId="0" applyFont="1" applyFill="1" applyBorder="1" applyAlignment="1" applyProtection="1">
      <alignment horizontal="center" vertical="center" wrapText="1"/>
      <protection locked="0"/>
    </xf>
    <xf numFmtId="0" fontId="4" fillId="2" borderId="8" xfId="0" applyFont="1" applyFill="1" applyBorder="1" applyAlignment="1">
      <alignment horizontal="center" vertical="center"/>
    </xf>
    <xf numFmtId="0" fontId="4" fillId="2" borderId="10" xfId="0" applyFont="1" applyFill="1" applyBorder="1" applyAlignment="1">
      <alignment horizontal="center" vertical="center"/>
    </xf>
    <xf numFmtId="0" fontId="57" fillId="5" borderId="87" xfId="0" applyFont="1" applyFill="1" applyBorder="1" applyAlignment="1" applyProtection="1">
      <alignment horizontal="center" vertical="center" wrapText="1"/>
      <protection locked="0"/>
    </xf>
    <xf numFmtId="0" fontId="57" fillId="5" borderId="83" xfId="0" applyFont="1" applyFill="1" applyBorder="1" applyAlignment="1" applyProtection="1">
      <alignment horizontal="center" vertical="center" wrapText="1"/>
      <protection locked="0"/>
    </xf>
    <xf numFmtId="0" fontId="4" fillId="2" borderId="11" xfId="0" applyFont="1" applyFill="1" applyBorder="1" applyAlignment="1">
      <alignment horizontal="right" vertical="center" wrapText="1"/>
    </xf>
    <xf numFmtId="0" fontId="3" fillId="2" borderId="11" xfId="0" applyFont="1" applyFill="1" applyBorder="1" applyAlignment="1">
      <alignment horizontal="left" vertical="center" wrapText="1"/>
    </xf>
    <xf numFmtId="0" fontId="57" fillId="5" borderId="78" xfId="0" applyFont="1" applyFill="1" applyBorder="1" applyAlignment="1" applyProtection="1">
      <alignment horizontal="left" vertical="center" wrapText="1"/>
      <protection locked="0"/>
    </xf>
    <xf numFmtId="0" fontId="2" fillId="4" borderId="5" xfId="0" applyFont="1" applyFill="1" applyBorder="1" applyAlignment="1">
      <alignment vertical="center" wrapText="1"/>
    </xf>
    <xf numFmtId="0" fontId="2" fillId="4" borderId="6" xfId="0" applyFont="1" applyFill="1" applyBorder="1" applyAlignment="1">
      <alignment vertical="center" wrapText="1"/>
    </xf>
    <xf numFmtId="0" fontId="2" fillId="4" borderId="7" xfId="0" applyFont="1" applyFill="1" applyBorder="1" applyAlignment="1">
      <alignment vertical="center" wrapText="1"/>
    </xf>
    <xf numFmtId="0" fontId="10" fillId="6" borderId="11" xfId="0" applyFont="1" applyFill="1" applyBorder="1" applyAlignment="1">
      <alignment horizontal="left"/>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3" fillId="2" borderId="10" xfId="0" applyFont="1" applyFill="1" applyBorder="1" applyAlignment="1">
      <alignment horizontal="center" vertical="center" wrapText="1"/>
    </xf>
    <xf numFmtId="164" fontId="57" fillId="5" borderId="87" xfId="0" applyNumberFormat="1" applyFont="1" applyFill="1" applyBorder="1" applyAlignment="1" applyProtection="1">
      <alignment horizontal="left" vertical="center" wrapText="1"/>
      <protection locked="0"/>
    </xf>
    <xf numFmtId="164" fontId="57" fillId="5" borderId="82" xfId="0" applyNumberFormat="1" applyFont="1" applyFill="1" applyBorder="1" applyAlignment="1" applyProtection="1">
      <alignment horizontal="left" vertical="center" wrapText="1"/>
      <protection locked="0"/>
    </xf>
    <xf numFmtId="164" fontId="57" fillId="5" borderId="83" xfId="0" applyNumberFormat="1" applyFont="1" applyFill="1" applyBorder="1" applyAlignment="1" applyProtection="1">
      <alignment horizontal="left" vertical="center" wrapText="1"/>
      <protection locked="0"/>
    </xf>
    <xf numFmtId="164" fontId="3" fillId="3" borderId="8" xfId="0" applyNumberFormat="1" applyFont="1" applyFill="1" applyBorder="1" applyAlignment="1">
      <alignment horizontal="center" vertical="center" wrapText="1"/>
    </xf>
    <xf numFmtId="164" fontId="3" fillId="3" borderId="10" xfId="0" applyNumberFormat="1" applyFont="1" applyFill="1" applyBorder="1" applyAlignment="1">
      <alignment horizontal="center" vertical="center" wrapText="1"/>
    </xf>
    <xf numFmtId="0" fontId="56" fillId="3" borderId="8" xfId="0" applyFont="1" applyFill="1" applyBorder="1" applyAlignment="1">
      <alignment horizontal="center" vertical="center"/>
    </xf>
    <xf numFmtId="0" fontId="56" fillId="3" borderId="9" xfId="0" applyFont="1" applyFill="1" applyBorder="1" applyAlignment="1">
      <alignment horizontal="center" vertical="center"/>
    </xf>
    <xf numFmtId="0" fontId="56" fillId="3" borderId="10" xfId="0" applyFont="1" applyFill="1" applyBorder="1" applyAlignment="1">
      <alignment horizontal="center" vertical="center"/>
    </xf>
    <xf numFmtId="0" fontId="3" fillId="2" borderId="11" xfId="0" applyFont="1" applyFill="1" applyBorder="1" applyAlignment="1">
      <alignment horizontal="center" vertical="center" wrapText="1"/>
    </xf>
    <xf numFmtId="0" fontId="57" fillId="5" borderId="11" xfId="0" applyFont="1" applyFill="1" applyBorder="1" applyAlignment="1" applyProtection="1">
      <alignment horizontal="left" vertical="center"/>
      <protection locked="0"/>
    </xf>
    <xf numFmtId="164" fontId="57" fillId="5" borderId="11" xfId="0" applyNumberFormat="1" applyFont="1" applyFill="1" applyBorder="1" applyAlignment="1" applyProtection="1">
      <alignment horizontal="left" vertical="center" wrapText="1"/>
      <protection locked="0"/>
    </xf>
    <xf numFmtId="0" fontId="2" fillId="4" borderId="4" xfId="0" applyFont="1" applyFill="1" applyBorder="1" applyAlignment="1">
      <alignment horizontal="justify" vertical="center" wrapText="1"/>
    </xf>
    <xf numFmtId="0" fontId="3" fillId="2" borderId="4" xfId="0" applyFont="1" applyFill="1" applyBorder="1" applyAlignment="1">
      <alignment horizontal="center" vertical="center" wrapText="1"/>
    </xf>
    <xf numFmtId="0" fontId="57" fillId="5" borderId="4" xfId="0" applyFont="1" applyFill="1" applyBorder="1" applyAlignment="1" applyProtection="1">
      <alignment horizontal="left" vertical="center" wrapText="1"/>
      <protection locked="0"/>
    </xf>
    <xf numFmtId="0" fontId="3" fillId="3" borderId="5" xfId="0" applyFont="1" applyFill="1" applyBorder="1" applyAlignment="1">
      <alignment horizontal="center" vertical="center" wrapText="1"/>
    </xf>
    <xf numFmtId="0" fontId="3" fillId="3" borderId="7" xfId="0" applyFont="1" applyFill="1" applyBorder="1" applyAlignment="1">
      <alignment horizontal="center" vertical="center" wrapText="1"/>
    </xf>
    <xf numFmtId="0" fontId="4" fillId="2" borderId="4" xfId="0" applyFont="1" applyFill="1" applyBorder="1" applyAlignment="1">
      <alignment horizontal="right" vertical="center" wrapText="1"/>
    </xf>
    <xf numFmtId="0" fontId="3" fillId="2" borderId="4" xfId="0" applyFont="1" applyFill="1" applyBorder="1" applyAlignment="1">
      <alignment horizontal="left" vertical="center" wrapText="1"/>
    </xf>
    <xf numFmtId="0" fontId="2" fillId="4" borderId="4" xfId="0" applyFont="1" applyFill="1" applyBorder="1" applyAlignment="1">
      <alignment vertical="center" wrapText="1"/>
    </xf>
    <xf numFmtId="0" fontId="7" fillId="4" borderId="4" xfId="0" applyFont="1" applyFill="1" applyBorder="1"/>
    <xf numFmtId="0" fontId="10" fillId="6" borderId="11" xfId="0" applyFont="1" applyFill="1" applyBorder="1" applyAlignment="1">
      <alignment horizontal="left" wrapText="1"/>
    </xf>
    <xf numFmtId="0" fontId="3" fillId="3" borderId="8" xfId="0" applyFont="1" applyFill="1" applyBorder="1" applyAlignment="1">
      <alignment horizontal="center" vertical="center" wrapText="1"/>
    </xf>
    <xf numFmtId="0" fontId="3" fillId="3" borderId="9" xfId="0" applyFont="1" applyFill="1" applyBorder="1" applyAlignment="1">
      <alignment horizontal="center" vertical="center" wrapText="1"/>
    </xf>
    <xf numFmtId="0" fontId="3" fillId="3" borderId="10" xfId="0" applyFont="1" applyFill="1" applyBorder="1" applyAlignment="1">
      <alignment horizontal="center" vertical="center" wrapText="1"/>
    </xf>
    <xf numFmtId="0" fontId="8" fillId="4" borderId="8" xfId="0" applyFont="1" applyFill="1" applyBorder="1" applyAlignment="1">
      <alignment horizontal="center" vertical="center"/>
    </xf>
    <xf numFmtId="0" fontId="8" fillId="4" borderId="9" xfId="0" applyFont="1" applyFill="1" applyBorder="1" applyAlignment="1">
      <alignment horizontal="center" vertical="center"/>
    </xf>
    <xf numFmtId="0" fontId="8" fillId="4" borderId="10" xfId="0" applyFont="1" applyFill="1" applyBorder="1" applyAlignment="1">
      <alignment horizontal="center" vertical="center"/>
    </xf>
    <xf numFmtId="0" fontId="3" fillId="3" borderId="8" xfId="0" applyFont="1" applyFill="1" applyBorder="1" applyAlignment="1" applyProtection="1">
      <alignment horizontal="center" vertical="center" wrapText="1"/>
    </xf>
    <xf numFmtId="0" fontId="3" fillId="3" borderId="9" xfId="0" applyFont="1" applyFill="1" applyBorder="1" applyAlignment="1" applyProtection="1">
      <alignment horizontal="center" vertical="center" wrapText="1"/>
    </xf>
    <xf numFmtId="0" fontId="3" fillId="3" borderId="10" xfId="0" applyFont="1" applyFill="1" applyBorder="1" applyAlignment="1" applyProtection="1">
      <alignment horizontal="center" vertical="center" wrapText="1"/>
    </xf>
    <xf numFmtId="0" fontId="3" fillId="3" borderId="5" xfId="0" applyFont="1" applyFill="1" applyBorder="1" applyAlignment="1" applyProtection="1">
      <alignment horizontal="center" vertical="center" wrapText="1"/>
    </xf>
    <xf numFmtId="0" fontId="3" fillId="3" borderId="7" xfId="0" applyFont="1" applyFill="1" applyBorder="1" applyAlignment="1" applyProtection="1">
      <alignment horizontal="center" vertical="center" wrapText="1"/>
    </xf>
    <xf numFmtId="0" fontId="7" fillId="4" borderId="4" xfId="0" applyFont="1" applyFill="1" applyBorder="1" applyAlignment="1"/>
    <xf numFmtId="0" fontId="56" fillId="3" borderId="8" xfId="0" applyFont="1" applyFill="1" applyBorder="1" applyAlignment="1" applyProtection="1">
      <alignment horizontal="center" vertical="center"/>
    </xf>
    <xf numFmtId="0" fontId="56" fillId="3" borderId="9" xfId="0" applyFont="1" applyFill="1" applyBorder="1" applyAlignment="1" applyProtection="1">
      <alignment horizontal="center" vertical="center"/>
    </xf>
    <xf numFmtId="0" fontId="56" fillId="3" borderId="10" xfId="0" applyFont="1" applyFill="1" applyBorder="1" applyAlignment="1" applyProtection="1">
      <alignment horizontal="center" vertical="center"/>
    </xf>
    <xf numFmtId="164" fontId="3" fillId="3" borderId="8" xfId="0" applyNumberFormat="1" applyFont="1" applyFill="1" applyBorder="1" applyAlignment="1" applyProtection="1">
      <alignment horizontal="center" vertical="center" wrapText="1"/>
    </xf>
    <xf numFmtId="164" fontId="3" fillId="3" borderId="10" xfId="0" applyNumberFormat="1" applyFont="1" applyFill="1" applyBorder="1" applyAlignment="1" applyProtection="1">
      <alignment horizontal="center" vertical="center" wrapText="1"/>
    </xf>
    <xf numFmtId="0" fontId="16" fillId="0" borderId="0" xfId="0" applyFont="1" applyAlignment="1">
      <alignment horizontal="right" vertical="center"/>
    </xf>
    <xf numFmtId="0" fontId="16" fillId="0" borderId="0" xfId="0" applyFont="1" applyAlignment="1">
      <alignment horizontal="center" vertical="center"/>
    </xf>
    <xf numFmtId="0" fontId="23" fillId="0" borderId="72" xfId="0" applyFont="1" applyFill="1" applyBorder="1" applyAlignment="1">
      <alignment horizontal="center" vertical="center"/>
    </xf>
    <xf numFmtId="0" fontId="28" fillId="7" borderId="34" xfId="0" applyFont="1" applyFill="1" applyBorder="1" applyAlignment="1">
      <alignment horizontal="center" vertical="center" wrapText="1"/>
    </xf>
    <xf numFmtId="0" fontId="28" fillId="7" borderId="38" xfId="0" applyFont="1" applyFill="1" applyBorder="1" applyAlignment="1">
      <alignment horizontal="center" vertical="center" wrapText="1"/>
    </xf>
    <xf numFmtId="0" fontId="24" fillId="7" borderId="28" xfId="0" applyFont="1" applyFill="1" applyBorder="1" applyAlignment="1">
      <alignment horizontal="center" vertical="center" wrapText="1"/>
    </xf>
    <xf numFmtId="0" fontId="24" fillId="7" borderId="29" xfId="0" applyFont="1" applyFill="1" applyBorder="1" applyAlignment="1">
      <alignment horizontal="center" vertical="center" wrapText="1"/>
    </xf>
    <xf numFmtId="0" fontId="24" fillId="7" borderId="35" xfId="0" applyFont="1" applyFill="1" applyBorder="1" applyAlignment="1">
      <alignment horizontal="center" vertical="center" wrapText="1"/>
    </xf>
    <xf numFmtId="0" fontId="24" fillId="7" borderId="37" xfId="0" applyFont="1" applyFill="1" applyBorder="1" applyAlignment="1">
      <alignment horizontal="center" vertical="center" wrapText="1"/>
    </xf>
    <xf numFmtId="0" fontId="24" fillId="7" borderId="30" xfId="0" applyFont="1" applyFill="1" applyBorder="1" applyAlignment="1">
      <alignment horizontal="center" vertical="center" wrapText="1"/>
    </xf>
    <xf numFmtId="0" fontId="28" fillId="7" borderId="28" xfId="0" applyFont="1" applyFill="1" applyBorder="1" applyAlignment="1">
      <alignment horizontal="center" vertical="center" wrapText="1"/>
    </xf>
    <xf numFmtId="0" fontId="28" fillId="7" borderId="29" xfId="0" applyFont="1" applyFill="1" applyBorder="1" applyAlignment="1">
      <alignment horizontal="center" vertical="center" wrapText="1"/>
    </xf>
    <xf numFmtId="0" fontId="28" fillId="7" borderId="30" xfId="0" applyFont="1" applyFill="1" applyBorder="1" applyAlignment="1">
      <alignment horizontal="center" vertical="center" wrapText="1"/>
    </xf>
    <xf numFmtId="0" fontId="24" fillId="7" borderId="28" xfId="0" applyFont="1" applyFill="1" applyBorder="1" applyAlignment="1">
      <alignment horizontal="center" vertical="center"/>
    </xf>
    <xf numFmtId="0" fontId="24" fillId="7" borderId="29" xfId="0" applyFont="1" applyFill="1" applyBorder="1" applyAlignment="1">
      <alignment horizontal="center" vertical="center"/>
    </xf>
    <xf numFmtId="0" fontId="24" fillId="7" borderId="30" xfId="0" applyFont="1" applyFill="1" applyBorder="1" applyAlignment="1">
      <alignment horizontal="center" vertical="center"/>
    </xf>
    <xf numFmtId="0" fontId="24" fillId="7" borderId="34" xfId="0" applyFont="1" applyFill="1" applyBorder="1" applyAlignment="1">
      <alignment horizontal="center" vertical="center" wrapText="1"/>
    </xf>
    <xf numFmtId="0" fontId="24" fillId="7" borderId="38" xfId="0" applyFont="1" applyFill="1" applyBorder="1" applyAlignment="1">
      <alignment horizontal="center" vertical="center" wrapText="1"/>
    </xf>
    <xf numFmtId="0" fontId="27" fillId="7" borderId="28" xfId="0" applyFont="1" applyFill="1" applyBorder="1" applyAlignment="1">
      <alignment horizontal="center" vertical="center" wrapText="1"/>
    </xf>
    <xf numFmtId="0" fontId="27" fillId="7" borderId="29" xfId="0" applyFont="1" applyFill="1" applyBorder="1" applyAlignment="1">
      <alignment horizontal="center" vertical="center" wrapText="1"/>
    </xf>
    <xf numFmtId="0" fontId="27" fillId="7" borderId="30" xfId="0" applyFont="1" applyFill="1" applyBorder="1" applyAlignment="1">
      <alignment horizontal="center" vertical="center" wrapText="1"/>
    </xf>
    <xf numFmtId="0" fontId="35" fillId="7" borderId="34" xfId="0" applyFont="1" applyFill="1" applyBorder="1" applyAlignment="1">
      <alignment horizontal="center" vertical="top" wrapText="1"/>
    </xf>
    <xf numFmtId="0" fontId="35" fillId="7" borderId="50" xfId="0" applyFont="1" applyFill="1" applyBorder="1" applyAlignment="1">
      <alignment horizontal="center" vertical="top" wrapText="1"/>
    </xf>
    <xf numFmtId="0" fontId="35" fillId="7" borderId="54" xfId="0" applyFont="1" applyFill="1" applyBorder="1" applyAlignment="1">
      <alignment horizontal="center" vertical="top" wrapText="1"/>
    </xf>
    <xf numFmtId="0" fontId="36" fillId="3" borderId="32" xfId="0" applyFont="1" applyFill="1" applyBorder="1" applyAlignment="1">
      <alignment horizontal="center" vertical="top" wrapText="1"/>
    </xf>
    <xf numFmtId="0" fontId="58" fillId="7" borderId="70" xfId="0" applyFont="1" applyFill="1" applyBorder="1" applyAlignment="1">
      <alignment horizontal="center" vertical="top" wrapText="1"/>
    </xf>
    <xf numFmtId="0" fontId="58" fillId="7" borderId="31" xfId="0" applyFont="1" applyFill="1" applyBorder="1" applyAlignment="1">
      <alignment horizontal="center" vertical="top" wrapText="1"/>
    </xf>
    <xf numFmtId="0" fontId="58" fillId="7" borderId="80" xfId="0" applyFont="1" applyFill="1" applyBorder="1" applyAlignment="1">
      <alignment horizontal="center" vertical="top" wrapText="1"/>
    </xf>
    <xf numFmtId="0" fontId="29" fillId="7" borderId="32" xfId="0" applyFont="1" applyFill="1" applyBorder="1" applyAlignment="1">
      <alignment horizontal="left" vertical="top" wrapText="1"/>
    </xf>
    <xf numFmtId="0" fontId="29" fillId="7" borderId="13" xfId="0" applyFont="1" applyFill="1" applyBorder="1" applyAlignment="1">
      <alignment horizontal="left" vertical="top" wrapText="1"/>
    </xf>
    <xf numFmtId="0" fontId="32" fillId="7" borderId="27" xfId="0" applyFont="1" applyFill="1" applyBorder="1" applyAlignment="1">
      <alignment horizontal="center" vertical="center" wrapText="1"/>
    </xf>
    <xf numFmtId="0" fontId="32" fillId="7" borderId="26" xfId="0" applyFont="1" applyFill="1" applyBorder="1" applyAlignment="1">
      <alignment horizontal="center" vertical="center" wrapText="1"/>
    </xf>
    <xf numFmtId="0" fontId="29" fillId="7" borderId="53" xfId="0" applyFont="1" applyFill="1" applyBorder="1" applyAlignment="1">
      <alignment horizontal="left" vertical="top" wrapText="1"/>
    </xf>
    <xf numFmtId="0" fontId="29" fillId="7" borderId="17" xfId="0" applyFont="1" applyFill="1" applyBorder="1" applyAlignment="1">
      <alignment horizontal="left" vertical="top" wrapText="1"/>
    </xf>
    <xf numFmtId="0" fontId="29" fillId="7" borderId="42" xfId="0" applyFont="1" applyFill="1" applyBorder="1" applyAlignment="1">
      <alignment horizontal="left" vertical="center" wrapText="1"/>
    </xf>
    <xf numFmtId="0" fontId="29" fillId="7" borderId="43" xfId="0" applyFont="1" applyFill="1" applyBorder="1" applyAlignment="1">
      <alignment horizontal="left" vertical="center" wrapText="1"/>
    </xf>
    <xf numFmtId="0" fontId="32" fillId="7" borderId="75" xfId="0" applyFont="1" applyFill="1" applyBorder="1" applyAlignment="1">
      <alignment horizontal="center" vertical="center" wrapText="1"/>
    </xf>
    <xf numFmtId="0" fontId="32" fillId="7" borderId="76" xfId="0" applyFont="1" applyFill="1" applyBorder="1" applyAlignment="1">
      <alignment horizontal="center" vertical="center" wrapText="1"/>
    </xf>
    <xf numFmtId="0" fontId="32" fillId="7" borderId="77" xfId="0" applyFont="1" applyFill="1" applyBorder="1" applyAlignment="1">
      <alignment horizontal="center" vertical="center" wrapText="1"/>
    </xf>
    <xf numFmtId="0" fontId="29" fillId="7" borderId="48" xfId="0" applyFont="1" applyFill="1" applyBorder="1" applyAlignment="1">
      <alignment horizontal="center" vertical="center" wrapText="1"/>
    </xf>
    <xf numFmtId="0" fontId="29" fillId="7" borderId="51" xfId="0" applyFont="1" applyFill="1" applyBorder="1" applyAlignment="1">
      <alignment horizontal="center" vertical="center" wrapText="1"/>
    </xf>
    <xf numFmtId="0" fontId="29" fillId="7" borderId="74" xfId="0" applyFont="1" applyFill="1" applyBorder="1" applyAlignment="1">
      <alignment horizontal="center" vertical="center" wrapText="1"/>
    </xf>
    <xf numFmtId="0" fontId="85" fillId="7" borderId="44" xfId="0" applyFont="1" applyFill="1" applyBorder="1" applyAlignment="1">
      <alignment horizontal="center" vertical="center" wrapText="1"/>
    </xf>
    <xf numFmtId="0" fontId="85" fillId="7" borderId="47" xfId="0" applyFont="1" applyFill="1" applyBorder="1" applyAlignment="1">
      <alignment horizontal="center" vertical="center" wrapText="1"/>
    </xf>
    <xf numFmtId="0" fontId="85" fillId="7" borderId="26" xfId="0" applyFont="1" applyFill="1" applyBorder="1" applyAlignment="1">
      <alignment horizontal="center" vertical="center" wrapText="1"/>
    </xf>
    <xf numFmtId="0" fontId="29" fillId="7" borderId="44" xfId="0" applyFont="1" applyFill="1" applyBorder="1" applyAlignment="1">
      <alignment horizontal="left" vertical="center" wrapText="1"/>
    </xf>
    <xf numFmtId="0" fontId="29" fillId="7" borderId="47" xfId="0" applyFont="1" applyFill="1" applyBorder="1" applyAlignment="1">
      <alignment horizontal="left" vertical="center" wrapText="1"/>
    </xf>
    <xf numFmtId="0" fontId="29" fillId="7" borderId="26" xfId="0" applyFont="1" applyFill="1" applyBorder="1" applyAlignment="1">
      <alignment horizontal="left" vertical="center" wrapText="1"/>
    </xf>
    <xf numFmtId="0" fontId="31" fillId="7" borderId="44" xfId="0" applyFont="1" applyFill="1" applyBorder="1" applyAlignment="1">
      <alignment horizontal="left" vertical="center" wrapText="1"/>
    </xf>
    <xf numFmtId="0" fontId="31" fillId="7" borderId="47" xfId="0" applyFont="1" applyFill="1" applyBorder="1" applyAlignment="1">
      <alignment horizontal="left" vertical="center" wrapText="1"/>
    </xf>
    <xf numFmtId="0" fontId="31" fillId="7" borderId="26" xfId="0" applyFont="1" applyFill="1" applyBorder="1" applyAlignment="1">
      <alignment horizontal="left" vertical="center" wrapText="1"/>
    </xf>
    <xf numFmtId="0" fontId="31" fillId="7" borderId="34" xfId="0" applyFont="1" applyFill="1" applyBorder="1" applyAlignment="1">
      <alignment horizontal="left" vertical="center" wrapText="1"/>
    </xf>
    <xf numFmtId="0" fontId="31" fillId="7" borderId="50" xfId="0" applyFont="1" applyFill="1" applyBorder="1" applyAlignment="1">
      <alignment horizontal="left" vertical="center" wrapText="1"/>
    </xf>
    <xf numFmtId="0" fontId="31" fillId="7" borderId="54" xfId="0" applyFont="1" applyFill="1" applyBorder="1" applyAlignment="1">
      <alignment horizontal="left" vertical="center" wrapText="1"/>
    </xf>
    <xf numFmtId="0" fontId="48" fillId="0" borderId="0" xfId="0" applyFont="1" applyAlignment="1">
      <alignment horizontal="left" vertical="center" wrapText="1"/>
    </xf>
    <xf numFmtId="0" fontId="24" fillId="0" borderId="42" xfId="0" applyFont="1" applyBorder="1" applyAlignment="1">
      <alignment horizontal="left" vertical="center" wrapText="1"/>
    </xf>
    <xf numFmtId="0" fontId="24" fillId="0" borderId="46" xfId="0" applyFont="1" applyBorder="1" applyAlignment="1">
      <alignment horizontal="left" vertical="center" wrapText="1"/>
    </xf>
    <xf numFmtId="0" fontId="24" fillId="0" borderId="70" xfId="0" applyFont="1" applyBorder="1" applyAlignment="1">
      <alignment horizontal="left" vertical="center" wrapText="1"/>
    </xf>
    <xf numFmtId="0" fontId="38" fillId="0" borderId="32" xfId="0" applyFont="1" applyBorder="1" applyAlignment="1">
      <alignment horizontal="left" vertical="center"/>
    </xf>
    <xf numFmtId="0" fontId="38" fillId="0" borderId="0" xfId="0" applyFont="1" applyBorder="1" applyAlignment="1">
      <alignment horizontal="left" vertical="center"/>
    </xf>
    <xf numFmtId="0" fontId="38" fillId="0" borderId="31" xfId="0" applyFont="1" applyBorder="1" applyAlignment="1">
      <alignment horizontal="left" vertical="center"/>
    </xf>
    <xf numFmtId="0" fontId="38" fillId="0" borderId="32" xfId="0" applyFont="1" applyBorder="1" applyAlignment="1">
      <alignment horizontal="left" vertical="center" wrapText="1"/>
    </xf>
    <xf numFmtId="0" fontId="38" fillId="0" borderId="0" xfId="0" applyFont="1" applyBorder="1" applyAlignment="1">
      <alignment horizontal="left" vertical="center" wrapText="1"/>
    </xf>
    <xf numFmtId="0" fontId="38" fillId="0" borderId="31" xfId="0" applyFont="1" applyBorder="1" applyAlignment="1">
      <alignment horizontal="left" vertical="center" wrapText="1"/>
    </xf>
    <xf numFmtId="0" fontId="38" fillId="0" borderId="71" xfId="0" applyFont="1" applyBorder="1" applyAlignment="1">
      <alignment horizontal="left" vertical="center"/>
    </xf>
    <xf numFmtId="0" fontId="38" fillId="0" borderId="72" xfId="0" applyFont="1" applyBorder="1" applyAlignment="1">
      <alignment horizontal="left" vertical="center"/>
    </xf>
    <xf numFmtId="0" fontId="38" fillId="0" borderId="73" xfId="0" applyFont="1" applyBorder="1" applyAlignment="1">
      <alignment horizontal="left" vertical="center"/>
    </xf>
    <xf numFmtId="0" fontId="38" fillId="0" borderId="0" xfId="0" applyFont="1" applyAlignment="1">
      <alignment horizontal="left" vertical="center" wrapText="1"/>
    </xf>
    <xf numFmtId="0" fontId="48" fillId="0" borderId="0" xfId="0" applyFont="1" applyAlignment="1">
      <alignment horizontal="left" vertical="top" wrapText="1"/>
    </xf>
    <xf numFmtId="0" fontId="15" fillId="0" borderId="0" xfId="0" applyFont="1" applyAlignment="1">
      <alignment horizontal="left" vertical="top" wrapText="1"/>
    </xf>
    <xf numFmtId="0" fontId="38" fillId="0" borderId="0" xfId="0" applyFont="1" applyAlignment="1">
      <alignment horizontal="left" vertical="top" wrapText="1"/>
    </xf>
    <xf numFmtId="0" fontId="29" fillId="7" borderId="44" xfId="0" applyFont="1" applyFill="1" applyBorder="1" applyAlignment="1">
      <alignment horizontal="left" vertical="center"/>
    </xf>
    <xf numFmtId="0" fontId="29" fillId="7" borderId="47" xfId="0" applyFont="1" applyFill="1" applyBorder="1" applyAlignment="1">
      <alignment horizontal="left" vertical="center"/>
    </xf>
    <xf numFmtId="0" fontId="29" fillId="7" borderId="26" xfId="0" applyFont="1" applyFill="1" applyBorder="1" applyAlignment="1">
      <alignment horizontal="left" vertical="center"/>
    </xf>
    <xf numFmtId="0" fontId="29" fillId="7" borderId="45" xfId="0" applyFont="1" applyFill="1" applyBorder="1" applyAlignment="1">
      <alignment horizontal="left" vertical="center" wrapText="1"/>
    </xf>
    <xf numFmtId="0" fontId="29" fillId="7" borderId="3" xfId="0" applyFont="1" applyFill="1" applyBorder="1" applyAlignment="1">
      <alignment horizontal="left" vertical="center" wrapText="1"/>
    </xf>
    <xf numFmtId="0" fontId="29" fillId="7" borderId="13" xfId="0" applyFont="1" applyFill="1" applyBorder="1" applyAlignment="1">
      <alignment horizontal="left" vertical="center" wrapText="1"/>
    </xf>
    <xf numFmtId="0" fontId="29" fillId="7" borderId="15" xfId="0" applyFont="1" applyFill="1" applyBorder="1" applyAlignment="1">
      <alignment horizontal="left" vertical="center" wrapText="1"/>
    </xf>
    <xf numFmtId="0" fontId="29" fillId="7" borderId="17" xfId="0" applyFont="1" applyFill="1" applyBorder="1" applyAlignment="1">
      <alignment horizontal="left" vertical="center" wrapText="1"/>
    </xf>
    <xf numFmtId="0" fontId="66" fillId="0" borderId="34" xfId="0" applyFont="1" applyBorder="1" applyAlignment="1">
      <alignment horizontal="center" vertical="center" wrapText="1"/>
    </xf>
    <xf numFmtId="0" fontId="66" fillId="0" borderId="50" xfId="0" applyFont="1" applyBorder="1" applyAlignment="1">
      <alignment horizontal="center" vertical="center" wrapText="1"/>
    </xf>
    <xf numFmtId="0" fontId="66" fillId="0" borderId="38" xfId="0" applyFont="1" applyBorder="1" applyAlignment="1">
      <alignment horizontal="center" vertical="center" wrapText="1"/>
    </xf>
    <xf numFmtId="166" fontId="66" fillId="0" borderId="34" xfId="0" applyNumberFormat="1" applyFont="1" applyBorder="1" applyAlignment="1">
      <alignment horizontal="center" vertical="center" wrapText="1"/>
    </xf>
    <xf numFmtId="166" fontId="66" fillId="0" borderId="50" xfId="0" applyNumberFormat="1" applyFont="1" applyBorder="1" applyAlignment="1">
      <alignment horizontal="center" vertical="center" wrapText="1"/>
    </xf>
    <xf numFmtId="166" fontId="66" fillId="0" borderId="38" xfId="0" applyNumberFormat="1" applyFont="1" applyBorder="1" applyAlignment="1">
      <alignment horizontal="center" vertical="center" wrapText="1"/>
    </xf>
  </cellXfs>
  <cellStyles count="4">
    <cellStyle name="Currency" xfId="1" builtinId="4"/>
    <cellStyle name="Hyperlink" xfId="2" builtinId="8"/>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23</xdr:row>
          <xdr:rowOff>0</xdr:rowOff>
        </xdr:from>
        <xdr:to>
          <xdr:col>8</xdr:col>
          <xdr:colOff>0</xdr:colOff>
          <xdr:row>23</xdr:row>
          <xdr:rowOff>219075</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12</xdr:row>
          <xdr:rowOff>0</xdr:rowOff>
        </xdr:from>
        <xdr:to>
          <xdr:col>11</xdr:col>
          <xdr:colOff>0</xdr:colOff>
          <xdr:row>12</xdr:row>
          <xdr:rowOff>485775</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3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22</xdr:row>
          <xdr:rowOff>0</xdr:rowOff>
        </xdr:from>
        <xdr:to>
          <xdr:col>11</xdr:col>
          <xdr:colOff>0</xdr:colOff>
          <xdr:row>22</xdr:row>
          <xdr:rowOff>485775</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0300-000002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32</xdr:row>
          <xdr:rowOff>0</xdr:rowOff>
        </xdr:from>
        <xdr:to>
          <xdr:col>11</xdr:col>
          <xdr:colOff>0</xdr:colOff>
          <xdr:row>32</xdr:row>
          <xdr:rowOff>485775</xdr:rowOff>
        </xdr:to>
        <xdr:sp macro="" textlink="">
          <xdr:nvSpPr>
            <xdr:cNvPr id="36867" name="Button 3" hidden="1">
              <a:extLst>
                <a:ext uri="{63B3BB69-23CF-44E3-9099-C40C66FF867C}">
                  <a14:compatExt spid="_x0000_s36867"/>
                </a:ext>
                <a:ext uri="{FF2B5EF4-FFF2-40B4-BE49-F238E27FC236}">
                  <a16:creationId xmlns:a16="http://schemas.microsoft.com/office/drawing/2014/main" id="{00000000-0008-0000-0300-000003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42</xdr:row>
          <xdr:rowOff>0</xdr:rowOff>
        </xdr:from>
        <xdr:to>
          <xdr:col>11</xdr:col>
          <xdr:colOff>0</xdr:colOff>
          <xdr:row>42</xdr:row>
          <xdr:rowOff>247650</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0300-000004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53</xdr:row>
          <xdr:rowOff>0</xdr:rowOff>
        </xdr:from>
        <xdr:to>
          <xdr:col>11</xdr:col>
          <xdr:colOff>0</xdr:colOff>
          <xdr:row>53</xdr:row>
          <xdr:rowOff>428625</xdr:rowOff>
        </xdr:to>
        <xdr:sp macro="" textlink="">
          <xdr:nvSpPr>
            <xdr:cNvPr id="36869" name="Button 5" hidden="1">
              <a:extLst>
                <a:ext uri="{63B3BB69-23CF-44E3-9099-C40C66FF867C}">
                  <a14:compatExt spid="_x0000_s36869"/>
                </a:ext>
                <a:ext uri="{FF2B5EF4-FFF2-40B4-BE49-F238E27FC236}">
                  <a16:creationId xmlns:a16="http://schemas.microsoft.com/office/drawing/2014/main" id="{00000000-0008-0000-0300-000005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61</xdr:row>
          <xdr:rowOff>0</xdr:rowOff>
        </xdr:from>
        <xdr:to>
          <xdr:col>11</xdr:col>
          <xdr:colOff>0</xdr:colOff>
          <xdr:row>61</xdr:row>
          <xdr:rowOff>419100</xdr:rowOff>
        </xdr:to>
        <xdr:sp macro="" textlink="">
          <xdr:nvSpPr>
            <xdr:cNvPr id="36870" name="Button 6" hidden="1">
              <a:extLst>
                <a:ext uri="{63B3BB69-23CF-44E3-9099-C40C66FF867C}">
                  <a14:compatExt spid="_x0000_s36870"/>
                </a:ext>
                <a:ext uri="{FF2B5EF4-FFF2-40B4-BE49-F238E27FC236}">
                  <a16:creationId xmlns:a16="http://schemas.microsoft.com/office/drawing/2014/main" id="{00000000-0008-0000-0300-000006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69</xdr:row>
          <xdr:rowOff>0</xdr:rowOff>
        </xdr:from>
        <xdr:to>
          <xdr:col>11</xdr:col>
          <xdr:colOff>0</xdr:colOff>
          <xdr:row>69</xdr:row>
          <xdr:rowOff>428625</xdr:rowOff>
        </xdr:to>
        <xdr:sp macro="" textlink="">
          <xdr:nvSpPr>
            <xdr:cNvPr id="36871" name="Button 7" hidden="1">
              <a:extLst>
                <a:ext uri="{63B3BB69-23CF-44E3-9099-C40C66FF867C}">
                  <a14:compatExt spid="_x0000_s36871"/>
                </a:ext>
                <a:ext uri="{FF2B5EF4-FFF2-40B4-BE49-F238E27FC236}">
                  <a16:creationId xmlns:a16="http://schemas.microsoft.com/office/drawing/2014/main" id="{00000000-0008-0000-0300-000007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77</xdr:row>
          <xdr:rowOff>0</xdr:rowOff>
        </xdr:from>
        <xdr:to>
          <xdr:col>11</xdr:col>
          <xdr:colOff>0</xdr:colOff>
          <xdr:row>77</xdr:row>
          <xdr:rowOff>428625</xdr:rowOff>
        </xdr:to>
        <xdr:sp macro="" textlink="">
          <xdr:nvSpPr>
            <xdr:cNvPr id="36872" name="Button 8" hidden="1">
              <a:extLst>
                <a:ext uri="{63B3BB69-23CF-44E3-9099-C40C66FF867C}">
                  <a14:compatExt spid="_x0000_s36872"/>
                </a:ext>
                <a:ext uri="{FF2B5EF4-FFF2-40B4-BE49-F238E27FC236}">
                  <a16:creationId xmlns:a16="http://schemas.microsoft.com/office/drawing/2014/main" id="{00000000-0008-0000-0300-000008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88</xdr:row>
          <xdr:rowOff>0</xdr:rowOff>
        </xdr:from>
        <xdr:to>
          <xdr:col>11</xdr:col>
          <xdr:colOff>0</xdr:colOff>
          <xdr:row>88</xdr:row>
          <xdr:rowOff>428625</xdr:rowOff>
        </xdr:to>
        <xdr:sp macro="" textlink="">
          <xdr:nvSpPr>
            <xdr:cNvPr id="36873" name="Button 9" hidden="1">
              <a:extLst>
                <a:ext uri="{63B3BB69-23CF-44E3-9099-C40C66FF867C}">
                  <a14:compatExt spid="_x0000_s36873"/>
                </a:ext>
                <a:ext uri="{FF2B5EF4-FFF2-40B4-BE49-F238E27FC236}">
                  <a16:creationId xmlns:a16="http://schemas.microsoft.com/office/drawing/2014/main" id="{00000000-0008-0000-0300-000009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99</xdr:row>
          <xdr:rowOff>0</xdr:rowOff>
        </xdr:from>
        <xdr:to>
          <xdr:col>11</xdr:col>
          <xdr:colOff>0</xdr:colOff>
          <xdr:row>99</xdr:row>
          <xdr:rowOff>428625</xdr:rowOff>
        </xdr:to>
        <xdr:sp macro="" textlink="">
          <xdr:nvSpPr>
            <xdr:cNvPr id="36874" name="Button 10" hidden="1">
              <a:extLst>
                <a:ext uri="{63B3BB69-23CF-44E3-9099-C40C66FF867C}">
                  <a14:compatExt spid="_x0000_s36874"/>
                </a:ext>
                <a:ext uri="{FF2B5EF4-FFF2-40B4-BE49-F238E27FC236}">
                  <a16:creationId xmlns:a16="http://schemas.microsoft.com/office/drawing/2014/main" id="{00000000-0008-0000-0300-00000A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7</xdr:row>
          <xdr:rowOff>0</xdr:rowOff>
        </xdr:from>
        <xdr:to>
          <xdr:col>11</xdr:col>
          <xdr:colOff>0</xdr:colOff>
          <xdr:row>7</xdr:row>
          <xdr:rowOff>485775</xdr:rowOff>
        </xdr:to>
        <xdr:sp macro="" textlink="">
          <xdr:nvSpPr>
            <xdr:cNvPr id="36875" name="Button 11" hidden="1">
              <a:extLst>
                <a:ext uri="{63B3BB69-23CF-44E3-9099-C40C66FF867C}">
                  <a14:compatExt spid="_x0000_s36875"/>
                </a:ext>
                <a:ext uri="{FF2B5EF4-FFF2-40B4-BE49-F238E27FC236}">
                  <a16:creationId xmlns:a16="http://schemas.microsoft.com/office/drawing/2014/main" id="{00000000-0008-0000-0300-00000B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12</xdr:row>
          <xdr:rowOff>0</xdr:rowOff>
        </xdr:from>
        <xdr:to>
          <xdr:col>11</xdr:col>
          <xdr:colOff>0</xdr:colOff>
          <xdr:row>12</xdr:row>
          <xdr:rowOff>485775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22</xdr:row>
          <xdr:rowOff>0</xdr:rowOff>
        </xdr:from>
        <xdr:to>
          <xdr:col>11</xdr:col>
          <xdr:colOff>0</xdr:colOff>
          <xdr:row>22</xdr:row>
          <xdr:rowOff>485775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32</xdr:row>
          <xdr:rowOff>0</xdr:rowOff>
        </xdr:from>
        <xdr:to>
          <xdr:col>11</xdr:col>
          <xdr:colOff>0</xdr:colOff>
          <xdr:row>32</xdr:row>
          <xdr:rowOff>485775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400-000003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42</xdr:row>
          <xdr:rowOff>0</xdr:rowOff>
        </xdr:from>
        <xdr:to>
          <xdr:col>11</xdr:col>
          <xdr:colOff>0</xdr:colOff>
          <xdr:row>42</xdr:row>
          <xdr:rowOff>247650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400-000004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53</xdr:row>
          <xdr:rowOff>0</xdr:rowOff>
        </xdr:from>
        <xdr:to>
          <xdr:col>11</xdr:col>
          <xdr:colOff>0</xdr:colOff>
          <xdr:row>53</xdr:row>
          <xdr:rowOff>428625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400-000005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61</xdr:row>
          <xdr:rowOff>0</xdr:rowOff>
        </xdr:from>
        <xdr:to>
          <xdr:col>11</xdr:col>
          <xdr:colOff>0</xdr:colOff>
          <xdr:row>61</xdr:row>
          <xdr:rowOff>419100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400-000006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69</xdr:row>
          <xdr:rowOff>0</xdr:rowOff>
        </xdr:from>
        <xdr:to>
          <xdr:col>11</xdr:col>
          <xdr:colOff>0</xdr:colOff>
          <xdr:row>69</xdr:row>
          <xdr:rowOff>428625</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400-000007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77</xdr:row>
          <xdr:rowOff>0</xdr:rowOff>
        </xdr:from>
        <xdr:to>
          <xdr:col>11</xdr:col>
          <xdr:colOff>0</xdr:colOff>
          <xdr:row>77</xdr:row>
          <xdr:rowOff>428625</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400-000008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88</xdr:row>
          <xdr:rowOff>0</xdr:rowOff>
        </xdr:from>
        <xdr:to>
          <xdr:col>11</xdr:col>
          <xdr:colOff>0</xdr:colOff>
          <xdr:row>88</xdr:row>
          <xdr:rowOff>428625</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400-00000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99</xdr:row>
          <xdr:rowOff>0</xdr:rowOff>
        </xdr:from>
        <xdr:to>
          <xdr:col>11</xdr:col>
          <xdr:colOff>0</xdr:colOff>
          <xdr:row>99</xdr:row>
          <xdr:rowOff>428625</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400-00000A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7</xdr:row>
          <xdr:rowOff>0</xdr:rowOff>
        </xdr:from>
        <xdr:to>
          <xdr:col>11</xdr:col>
          <xdr:colOff>0</xdr:colOff>
          <xdr:row>7</xdr:row>
          <xdr:rowOff>485775</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400-00000B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12</xdr:row>
          <xdr:rowOff>0</xdr:rowOff>
        </xdr:from>
        <xdr:to>
          <xdr:col>11</xdr:col>
          <xdr:colOff>0</xdr:colOff>
          <xdr:row>12</xdr:row>
          <xdr:rowOff>485775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22</xdr:row>
          <xdr:rowOff>0</xdr:rowOff>
        </xdr:from>
        <xdr:to>
          <xdr:col>11</xdr:col>
          <xdr:colOff>0</xdr:colOff>
          <xdr:row>22</xdr:row>
          <xdr:rowOff>485775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32</xdr:row>
          <xdr:rowOff>0</xdr:rowOff>
        </xdr:from>
        <xdr:to>
          <xdr:col>11</xdr:col>
          <xdr:colOff>0</xdr:colOff>
          <xdr:row>32</xdr:row>
          <xdr:rowOff>485775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500-000003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42</xdr:row>
          <xdr:rowOff>0</xdr:rowOff>
        </xdr:from>
        <xdr:to>
          <xdr:col>11</xdr:col>
          <xdr:colOff>0</xdr:colOff>
          <xdr:row>42</xdr:row>
          <xdr:rowOff>247650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500-000004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53</xdr:row>
          <xdr:rowOff>0</xdr:rowOff>
        </xdr:from>
        <xdr:to>
          <xdr:col>11</xdr:col>
          <xdr:colOff>0</xdr:colOff>
          <xdr:row>53</xdr:row>
          <xdr:rowOff>428625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500-000005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61</xdr:row>
          <xdr:rowOff>0</xdr:rowOff>
        </xdr:from>
        <xdr:to>
          <xdr:col>11</xdr:col>
          <xdr:colOff>0</xdr:colOff>
          <xdr:row>61</xdr:row>
          <xdr:rowOff>419100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500-00000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69</xdr:row>
          <xdr:rowOff>0</xdr:rowOff>
        </xdr:from>
        <xdr:to>
          <xdr:col>11</xdr:col>
          <xdr:colOff>0</xdr:colOff>
          <xdr:row>69</xdr:row>
          <xdr:rowOff>428625</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500-000007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77</xdr:row>
          <xdr:rowOff>0</xdr:rowOff>
        </xdr:from>
        <xdr:to>
          <xdr:col>11</xdr:col>
          <xdr:colOff>0</xdr:colOff>
          <xdr:row>77</xdr:row>
          <xdr:rowOff>428625</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88</xdr:row>
          <xdr:rowOff>0</xdr:rowOff>
        </xdr:from>
        <xdr:to>
          <xdr:col>11</xdr:col>
          <xdr:colOff>0</xdr:colOff>
          <xdr:row>88</xdr:row>
          <xdr:rowOff>428625</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500-000009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99</xdr:row>
          <xdr:rowOff>0</xdr:rowOff>
        </xdr:from>
        <xdr:to>
          <xdr:col>11</xdr:col>
          <xdr:colOff>0</xdr:colOff>
          <xdr:row>99</xdr:row>
          <xdr:rowOff>428625</xdr:rowOff>
        </xdr:to>
        <xdr:sp macro="" textlink="">
          <xdr:nvSpPr>
            <xdr:cNvPr id="10250" name="Button 10" hidden="1">
              <a:extLst>
                <a:ext uri="{63B3BB69-23CF-44E3-9099-C40C66FF867C}">
                  <a14:compatExt spid="_x0000_s10250"/>
                </a:ext>
                <a:ext uri="{FF2B5EF4-FFF2-40B4-BE49-F238E27FC236}">
                  <a16:creationId xmlns:a16="http://schemas.microsoft.com/office/drawing/2014/main" id="{00000000-0008-0000-0500-00000A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7</xdr:row>
          <xdr:rowOff>0</xdr:rowOff>
        </xdr:from>
        <xdr:to>
          <xdr:col>11</xdr:col>
          <xdr:colOff>0</xdr:colOff>
          <xdr:row>7</xdr:row>
          <xdr:rowOff>485775</xdr:rowOff>
        </xdr:to>
        <xdr:sp macro="" textlink="">
          <xdr:nvSpPr>
            <xdr:cNvPr id="10251" name="Button 11" hidden="1">
              <a:extLst>
                <a:ext uri="{63B3BB69-23CF-44E3-9099-C40C66FF867C}">
                  <a14:compatExt spid="_x0000_s10251"/>
                </a:ext>
                <a:ext uri="{FF2B5EF4-FFF2-40B4-BE49-F238E27FC236}">
                  <a16:creationId xmlns:a16="http://schemas.microsoft.com/office/drawing/2014/main" id="{00000000-0008-0000-0500-00000B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12</xdr:row>
          <xdr:rowOff>0</xdr:rowOff>
        </xdr:from>
        <xdr:to>
          <xdr:col>11</xdr:col>
          <xdr:colOff>0</xdr:colOff>
          <xdr:row>12</xdr:row>
          <xdr:rowOff>485775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6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22</xdr:row>
          <xdr:rowOff>0</xdr:rowOff>
        </xdr:from>
        <xdr:to>
          <xdr:col>11</xdr:col>
          <xdr:colOff>0</xdr:colOff>
          <xdr:row>22</xdr:row>
          <xdr:rowOff>485775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32</xdr:row>
          <xdr:rowOff>0</xdr:rowOff>
        </xdr:from>
        <xdr:to>
          <xdr:col>11</xdr:col>
          <xdr:colOff>0</xdr:colOff>
          <xdr:row>32</xdr:row>
          <xdr:rowOff>485775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600-00000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42</xdr:row>
          <xdr:rowOff>0</xdr:rowOff>
        </xdr:from>
        <xdr:to>
          <xdr:col>11</xdr:col>
          <xdr:colOff>0</xdr:colOff>
          <xdr:row>42</xdr:row>
          <xdr:rowOff>247650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6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53</xdr:row>
          <xdr:rowOff>0</xdr:rowOff>
        </xdr:from>
        <xdr:to>
          <xdr:col>11</xdr:col>
          <xdr:colOff>0</xdr:colOff>
          <xdr:row>53</xdr:row>
          <xdr:rowOff>428625</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600-000005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61</xdr:row>
          <xdr:rowOff>0</xdr:rowOff>
        </xdr:from>
        <xdr:to>
          <xdr:col>11</xdr:col>
          <xdr:colOff>0</xdr:colOff>
          <xdr:row>61</xdr:row>
          <xdr:rowOff>419100</xdr:rowOff>
        </xdr:to>
        <xdr:sp macro="" textlink="">
          <xdr:nvSpPr>
            <xdr:cNvPr id="13318" name="Button 6" hidden="1">
              <a:extLst>
                <a:ext uri="{63B3BB69-23CF-44E3-9099-C40C66FF867C}">
                  <a14:compatExt spid="_x0000_s13318"/>
                </a:ext>
                <a:ext uri="{FF2B5EF4-FFF2-40B4-BE49-F238E27FC236}">
                  <a16:creationId xmlns:a16="http://schemas.microsoft.com/office/drawing/2014/main" id="{00000000-0008-0000-0600-000006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69</xdr:row>
          <xdr:rowOff>0</xdr:rowOff>
        </xdr:from>
        <xdr:to>
          <xdr:col>11</xdr:col>
          <xdr:colOff>0</xdr:colOff>
          <xdr:row>69</xdr:row>
          <xdr:rowOff>428625</xdr:rowOff>
        </xdr:to>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600-000007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77</xdr:row>
          <xdr:rowOff>0</xdr:rowOff>
        </xdr:from>
        <xdr:to>
          <xdr:col>11</xdr:col>
          <xdr:colOff>0</xdr:colOff>
          <xdr:row>77</xdr:row>
          <xdr:rowOff>428625</xdr:rowOff>
        </xdr:to>
        <xdr:sp macro="" textlink="">
          <xdr:nvSpPr>
            <xdr:cNvPr id="13320" name="Button 8" hidden="1">
              <a:extLst>
                <a:ext uri="{63B3BB69-23CF-44E3-9099-C40C66FF867C}">
                  <a14:compatExt spid="_x0000_s13320"/>
                </a:ext>
                <a:ext uri="{FF2B5EF4-FFF2-40B4-BE49-F238E27FC236}">
                  <a16:creationId xmlns:a16="http://schemas.microsoft.com/office/drawing/2014/main" id="{00000000-0008-0000-0600-000008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88</xdr:row>
          <xdr:rowOff>0</xdr:rowOff>
        </xdr:from>
        <xdr:to>
          <xdr:col>11</xdr:col>
          <xdr:colOff>0</xdr:colOff>
          <xdr:row>88</xdr:row>
          <xdr:rowOff>428625</xdr:rowOff>
        </xdr:to>
        <xdr:sp macro="" textlink="">
          <xdr:nvSpPr>
            <xdr:cNvPr id="13321" name="Button 9" hidden="1">
              <a:extLst>
                <a:ext uri="{63B3BB69-23CF-44E3-9099-C40C66FF867C}">
                  <a14:compatExt spid="_x0000_s13321"/>
                </a:ext>
                <a:ext uri="{FF2B5EF4-FFF2-40B4-BE49-F238E27FC236}">
                  <a16:creationId xmlns:a16="http://schemas.microsoft.com/office/drawing/2014/main" id="{00000000-0008-0000-0600-000009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99</xdr:row>
          <xdr:rowOff>0</xdr:rowOff>
        </xdr:from>
        <xdr:to>
          <xdr:col>11</xdr:col>
          <xdr:colOff>0</xdr:colOff>
          <xdr:row>99</xdr:row>
          <xdr:rowOff>428625</xdr:rowOff>
        </xdr:to>
        <xdr:sp macro="" textlink="">
          <xdr:nvSpPr>
            <xdr:cNvPr id="13322" name="Button 10" hidden="1">
              <a:extLst>
                <a:ext uri="{63B3BB69-23CF-44E3-9099-C40C66FF867C}">
                  <a14:compatExt spid="_x0000_s13322"/>
                </a:ext>
                <a:ext uri="{FF2B5EF4-FFF2-40B4-BE49-F238E27FC236}">
                  <a16:creationId xmlns:a16="http://schemas.microsoft.com/office/drawing/2014/main" id="{00000000-0008-0000-0600-00000A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7</xdr:row>
          <xdr:rowOff>0</xdr:rowOff>
        </xdr:from>
        <xdr:to>
          <xdr:col>11</xdr:col>
          <xdr:colOff>0</xdr:colOff>
          <xdr:row>7</xdr:row>
          <xdr:rowOff>485775</xdr:rowOff>
        </xdr:to>
        <xdr:sp macro="" textlink="">
          <xdr:nvSpPr>
            <xdr:cNvPr id="13323" name="Button 11" hidden="1">
              <a:extLst>
                <a:ext uri="{63B3BB69-23CF-44E3-9099-C40C66FF867C}">
                  <a14:compatExt spid="_x0000_s13323"/>
                </a:ext>
                <a:ext uri="{FF2B5EF4-FFF2-40B4-BE49-F238E27FC236}">
                  <a16:creationId xmlns:a16="http://schemas.microsoft.com/office/drawing/2014/main" id="{00000000-0008-0000-0600-00000B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12</xdr:row>
          <xdr:rowOff>0</xdr:rowOff>
        </xdr:from>
        <xdr:to>
          <xdr:col>11</xdr:col>
          <xdr:colOff>0</xdr:colOff>
          <xdr:row>12</xdr:row>
          <xdr:rowOff>485775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22</xdr:row>
          <xdr:rowOff>0</xdr:rowOff>
        </xdr:from>
        <xdr:to>
          <xdr:col>11</xdr:col>
          <xdr:colOff>0</xdr:colOff>
          <xdr:row>22</xdr:row>
          <xdr:rowOff>485775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7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32</xdr:row>
          <xdr:rowOff>0</xdr:rowOff>
        </xdr:from>
        <xdr:to>
          <xdr:col>11</xdr:col>
          <xdr:colOff>0</xdr:colOff>
          <xdr:row>32</xdr:row>
          <xdr:rowOff>485775</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700-00000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42</xdr:row>
          <xdr:rowOff>0</xdr:rowOff>
        </xdr:from>
        <xdr:to>
          <xdr:col>11</xdr:col>
          <xdr:colOff>0</xdr:colOff>
          <xdr:row>42</xdr:row>
          <xdr:rowOff>247650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7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53</xdr:row>
          <xdr:rowOff>0</xdr:rowOff>
        </xdr:from>
        <xdr:to>
          <xdr:col>11</xdr:col>
          <xdr:colOff>0</xdr:colOff>
          <xdr:row>53</xdr:row>
          <xdr:rowOff>428625</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700-000005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61</xdr:row>
          <xdr:rowOff>0</xdr:rowOff>
        </xdr:from>
        <xdr:to>
          <xdr:col>11</xdr:col>
          <xdr:colOff>0</xdr:colOff>
          <xdr:row>61</xdr:row>
          <xdr:rowOff>419100</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700-000006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69</xdr:row>
          <xdr:rowOff>0</xdr:rowOff>
        </xdr:from>
        <xdr:to>
          <xdr:col>11</xdr:col>
          <xdr:colOff>0</xdr:colOff>
          <xdr:row>69</xdr:row>
          <xdr:rowOff>428625</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700-000007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77</xdr:row>
          <xdr:rowOff>0</xdr:rowOff>
        </xdr:from>
        <xdr:to>
          <xdr:col>11</xdr:col>
          <xdr:colOff>0</xdr:colOff>
          <xdr:row>77</xdr:row>
          <xdr:rowOff>428625</xdr:rowOff>
        </xdr:to>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700-000008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88</xdr:row>
          <xdr:rowOff>0</xdr:rowOff>
        </xdr:from>
        <xdr:to>
          <xdr:col>11</xdr:col>
          <xdr:colOff>0</xdr:colOff>
          <xdr:row>88</xdr:row>
          <xdr:rowOff>428625</xdr:rowOff>
        </xdr:to>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700-000009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99</xdr:row>
          <xdr:rowOff>0</xdr:rowOff>
        </xdr:from>
        <xdr:to>
          <xdr:col>11</xdr:col>
          <xdr:colOff>0</xdr:colOff>
          <xdr:row>99</xdr:row>
          <xdr:rowOff>428625</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700-00000A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7</xdr:row>
          <xdr:rowOff>0</xdr:rowOff>
        </xdr:from>
        <xdr:to>
          <xdr:col>11</xdr:col>
          <xdr:colOff>0</xdr:colOff>
          <xdr:row>7</xdr:row>
          <xdr:rowOff>485775</xdr:rowOff>
        </xdr:to>
        <xdr:sp macro="" textlink="">
          <xdr:nvSpPr>
            <xdr:cNvPr id="12299" name="Button 11" hidden="1">
              <a:extLst>
                <a:ext uri="{63B3BB69-23CF-44E3-9099-C40C66FF867C}">
                  <a14:compatExt spid="_x0000_s12299"/>
                </a:ext>
                <a:ext uri="{FF2B5EF4-FFF2-40B4-BE49-F238E27FC236}">
                  <a16:creationId xmlns:a16="http://schemas.microsoft.com/office/drawing/2014/main" id="{00000000-0008-0000-0700-00000B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12</xdr:row>
          <xdr:rowOff>0</xdr:rowOff>
        </xdr:from>
        <xdr:to>
          <xdr:col>11</xdr:col>
          <xdr:colOff>0</xdr:colOff>
          <xdr:row>12</xdr:row>
          <xdr:rowOff>485775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8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22</xdr:row>
          <xdr:rowOff>0</xdr:rowOff>
        </xdr:from>
        <xdr:to>
          <xdr:col>11</xdr:col>
          <xdr:colOff>0</xdr:colOff>
          <xdr:row>22</xdr:row>
          <xdr:rowOff>485775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8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32</xdr:row>
          <xdr:rowOff>0</xdr:rowOff>
        </xdr:from>
        <xdr:to>
          <xdr:col>11</xdr:col>
          <xdr:colOff>0</xdr:colOff>
          <xdr:row>32</xdr:row>
          <xdr:rowOff>485775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800-00000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42</xdr:row>
          <xdr:rowOff>0</xdr:rowOff>
        </xdr:from>
        <xdr:to>
          <xdr:col>11</xdr:col>
          <xdr:colOff>0</xdr:colOff>
          <xdr:row>42</xdr:row>
          <xdr:rowOff>247650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800-00000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53</xdr:row>
          <xdr:rowOff>0</xdr:rowOff>
        </xdr:from>
        <xdr:to>
          <xdr:col>11</xdr:col>
          <xdr:colOff>0</xdr:colOff>
          <xdr:row>53</xdr:row>
          <xdr:rowOff>428625</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800-000005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61</xdr:row>
          <xdr:rowOff>0</xdr:rowOff>
        </xdr:from>
        <xdr:to>
          <xdr:col>11</xdr:col>
          <xdr:colOff>0</xdr:colOff>
          <xdr:row>61</xdr:row>
          <xdr:rowOff>419100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800-000006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69</xdr:row>
          <xdr:rowOff>0</xdr:rowOff>
        </xdr:from>
        <xdr:to>
          <xdr:col>11</xdr:col>
          <xdr:colOff>0</xdr:colOff>
          <xdr:row>69</xdr:row>
          <xdr:rowOff>428625</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800-000007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77</xdr:row>
          <xdr:rowOff>0</xdr:rowOff>
        </xdr:from>
        <xdr:to>
          <xdr:col>11</xdr:col>
          <xdr:colOff>0</xdr:colOff>
          <xdr:row>77</xdr:row>
          <xdr:rowOff>428625</xdr:rowOff>
        </xdr:to>
        <xdr:sp macro="" textlink="">
          <xdr:nvSpPr>
            <xdr:cNvPr id="11272" name="Button 8" hidden="1">
              <a:extLst>
                <a:ext uri="{63B3BB69-23CF-44E3-9099-C40C66FF867C}">
                  <a14:compatExt spid="_x0000_s11272"/>
                </a:ext>
                <a:ext uri="{FF2B5EF4-FFF2-40B4-BE49-F238E27FC236}">
                  <a16:creationId xmlns:a16="http://schemas.microsoft.com/office/drawing/2014/main" id="{00000000-0008-0000-0800-000008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88</xdr:row>
          <xdr:rowOff>0</xdr:rowOff>
        </xdr:from>
        <xdr:to>
          <xdr:col>11</xdr:col>
          <xdr:colOff>0</xdr:colOff>
          <xdr:row>88</xdr:row>
          <xdr:rowOff>428625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8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99</xdr:row>
          <xdr:rowOff>0</xdr:rowOff>
        </xdr:from>
        <xdr:to>
          <xdr:col>11</xdr:col>
          <xdr:colOff>0</xdr:colOff>
          <xdr:row>99</xdr:row>
          <xdr:rowOff>428625</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800-00000A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7</xdr:row>
          <xdr:rowOff>0</xdr:rowOff>
        </xdr:from>
        <xdr:to>
          <xdr:col>11</xdr:col>
          <xdr:colOff>0</xdr:colOff>
          <xdr:row>7</xdr:row>
          <xdr:rowOff>485775</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800-00000B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12</xdr:row>
          <xdr:rowOff>0</xdr:rowOff>
        </xdr:from>
        <xdr:to>
          <xdr:col>11</xdr:col>
          <xdr:colOff>0</xdr:colOff>
          <xdr:row>12</xdr:row>
          <xdr:rowOff>485775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22</xdr:row>
          <xdr:rowOff>0</xdr:rowOff>
        </xdr:from>
        <xdr:to>
          <xdr:col>11</xdr:col>
          <xdr:colOff>0</xdr:colOff>
          <xdr:row>22</xdr:row>
          <xdr:rowOff>485775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900-000002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32</xdr:row>
          <xdr:rowOff>0</xdr:rowOff>
        </xdr:from>
        <xdr:to>
          <xdr:col>11</xdr:col>
          <xdr:colOff>0</xdr:colOff>
          <xdr:row>32</xdr:row>
          <xdr:rowOff>485775</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900-00000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42</xdr:row>
          <xdr:rowOff>0</xdr:rowOff>
        </xdr:from>
        <xdr:to>
          <xdr:col>11</xdr:col>
          <xdr:colOff>0</xdr:colOff>
          <xdr:row>42</xdr:row>
          <xdr:rowOff>247650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900-000004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53</xdr:row>
          <xdr:rowOff>0</xdr:rowOff>
        </xdr:from>
        <xdr:to>
          <xdr:col>11</xdr:col>
          <xdr:colOff>0</xdr:colOff>
          <xdr:row>53</xdr:row>
          <xdr:rowOff>428625</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900-000005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61</xdr:row>
          <xdr:rowOff>0</xdr:rowOff>
        </xdr:from>
        <xdr:to>
          <xdr:col>11</xdr:col>
          <xdr:colOff>0</xdr:colOff>
          <xdr:row>61</xdr:row>
          <xdr:rowOff>419100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900-000006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69</xdr:row>
          <xdr:rowOff>0</xdr:rowOff>
        </xdr:from>
        <xdr:to>
          <xdr:col>11</xdr:col>
          <xdr:colOff>0</xdr:colOff>
          <xdr:row>69</xdr:row>
          <xdr:rowOff>428625</xdr:rowOff>
        </xdr:to>
        <xdr:sp macro="" textlink="">
          <xdr:nvSpPr>
            <xdr:cNvPr id="14343" name="Button 7" hidden="1">
              <a:extLst>
                <a:ext uri="{63B3BB69-23CF-44E3-9099-C40C66FF867C}">
                  <a14:compatExt spid="_x0000_s14343"/>
                </a:ext>
                <a:ext uri="{FF2B5EF4-FFF2-40B4-BE49-F238E27FC236}">
                  <a16:creationId xmlns:a16="http://schemas.microsoft.com/office/drawing/2014/main" id="{00000000-0008-0000-0900-000007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77</xdr:row>
          <xdr:rowOff>0</xdr:rowOff>
        </xdr:from>
        <xdr:to>
          <xdr:col>11</xdr:col>
          <xdr:colOff>0</xdr:colOff>
          <xdr:row>77</xdr:row>
          <xdr:rowOff>428625</xdr:rowOff>
        </xdr:to>
        <xdr:sp macro="" textlink="">
          <xdr:nvSpPr>
            <xdr:cNvPr id="14344" name="Button 8" hidden="1">
              <a:extLst>
                <a:ext uri="{63B3BB69-23CF-44E3-9099-C40C66FF867C}">
                  <a14:compatExt spid="_x0000_s14344"/>
                </a:ext>
                <a:ext uri="{FF2B5EF4-FFF2-40B4-BE49-F238E27FC236}">
                  <a16:creationId xmlns:a16="http://schemas.microsoft.com/office/drawing/2014/main" id="{00000000-0008-0000-0900-000008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88</xdr:row>
          <xdr:rowOff>0</xdr:rowOff>
        </xdr:from>
        <xdr:to>
          <xdr:col>11</xdr:col>
          <xdr:colOff>0</xdr:colOff>
          <xdr:row>88</xdr:row>
          <xdr:rowOff>428625</xdr:rowOff>
        </xdr:to>
        <xdr:sp macro="" textlink="">
          <xdr:nvSpPr>
            <xdr:cNvPr id="14345" name="Button 9" hidden="1">
              <a:extLst>
                <a:ext uri="{63B3BB69-23CF-44E3-9099-C40C66FF867C}">
                  <a14:compatExt spid="_x0000_s14345"/>
                </a:ext>
                <a:ext uri="{FF2B5EF4-FFF2-40B4-BE49-F238E27FC236}">
                  <a16:creationId xmlns:a16="http://schemas.microsoft.com/office/drawing/2014/main" id="{00000000-0008-0000-0900-000009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99</xdr:row>
          <xdr:rowOff>0</xdr:rowOff>
        </xdr:from>
        <xdr:to>
          <xdr:col>11</xdr:col>
          <xdr:colOff>0</xdr:colOff>
          <xdr:row>99</xdr:row>
          <xdr:rowOff>428625</xdr:rowOff>
        </xdr:to>
        <xdr:sp macro="" textlink="">
          <xdr:nvSpPr>
            <xdr:cNvPr id="14346" name="Button 10" hidden="1">
              <a:extLst>
                <a:ext uri="{63B3BB69-23CF-44E3-9099-C40C66FF867C}">
                  <a14:compatExt spid="_x0000_s14346"/>
                </a:ext>
                <a:ext uri="{FF2B5EF4-FFF2-40B4-BE49-F238E27FC236}">
                  <a16:creationId xmlns:a16="http://schemas.microsoft.com/office/drawing/2014/main" id="{00000000-0008-0000-0900-00000A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7</xdr:row>
          <xdr:rowOff>0</xdr:rowOff>
        </xdr:from>
        <xdr:to>
          <xdr:col>11</xdr:col>
          <xdr:colOff>0</xdr:colOff>
          <xdr:row>7</xdr:row>
          <xdr:rowOff>485775</xdr:rowOff>
        </xdr:to>
        <xdr:sp macro="" textlink="">
          <xdr:nvSpPr>
            <xdr:cNvPr id="14347" name="Button 11" hidden="1">
              <a:extLst>
                <a:ext uri="{63B3BB69-23CF-44E3-9099-C40C66FF867C}">
                  <a14:compatExt spid="_x0000_s14347"/>
                </a:ext>
                <a:ext uri="{FF2B5EF4-FFF2-40B4-BE49-F238E27FC236}">
                  <a16:creationId xmlns:a16="http://schemas.microsoft.com/office/drawing/2014/main" id="{00000000-0008-0000-0900-00000B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12</xdr:row>
          <xdr:rowOff>0</xdr:rowOff>
        </xdr:from>
        <xdr:to>
          <xdr:col>11</xdr:col>
          <xdr:colOff>0</xdr:colOff>
          <xdr:row>12</xdr:row>
          <xdr:rowOff>485775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A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22</xdr:row>
          <xdr:rowOff>0</xdr:rowOff>
        </xdr:from>
        <xdr:to>
          <xdr:col>11</xdr:col>
          <xdr:colOff>0</xdr:colOff>
          <xdr:row>22</xdr:row>
          <xdr:rowOff>485775</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A00-000002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32</xdr:row>
          <xdr:rowOff>0</xdr:rowOff>
        </xdr:from>
        <xdr:to>
          <xdr:col>11</xdr:col>
          <xdr:colOff>0</xdr:colOff>
          <xdr:row>32</xdr:row>
          <xdr:rowOff>485775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A00-00000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42</xdr:row>
          <xdr:rowOff>0</xdr:rowOff>
        </xdr:from>
        <xdr:to>
          <xdr:col>11</xdr:col>
          <xdr:colOff>0</xdr:colOff>
          <xdr:row>42</xdr:row>
          <xdr:rowOff>247650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A00-00000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53</xdr:row>
          <xdr:rowOff>0</xdr:rowOff>
        </xdr:from>
        <xdr:to>
          <xdr:col>11</xdr:col>
          <xdr:colOff>0</xdr:colOff>
          <xdr:row>53</xdr:row>
          <xdr:rowOff>428625</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A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61</xdr:row>
          <xdr:rowOff>0</xdr:rowOff>
        </xdr:from>
        <xdr:to>
          <xdr:col>11</xdr:col>
          <xdr:colOff>0</xdr:colOff>
          <xdr:row>61</xdr:row>
          <xdr:rowOff>419100</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A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69</xdr:row>
          <xdr:rowOff>0</xdr:rowOff>
        </xdr:from>
        <xdr:to>
          <xdr:col>11</xdr:col>
          <xdr:colOff>0</xdr:colOff>
          <xdr:row>69</xdr:row>
          <xdr:rowOff>428625</xdr:rowOff>
        </xdr:to>
        <xdr:sp macro="" textlink="">
          <xdr:nvSpPr>
            <xdr:cNvPr id="15367" name="Button 7" hidden="1">
              <a:extLst>
                <a:ext uri="{63B3BB69-23CF-44E3-9099-C40C66FF867C}">
                  <a14:compatExt spid="_x0000_s15367"/>
                </a:ext>
                <a:ext uri="{FF2B5EF4-FFF2-40B4-BE49-F238E27FC236}">
                  <a16:creationId xmlns:a16="http://schemas.microsoft.com/office/drawing/2014/main" id="{00000000-0008-0000-0A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77</xdr:row>
          <xdr:rowOff>0</xdr:rowOff>
        </xdr:from>
        <xdr:to>
          <xdr:col>11</xdr:col>
          <xdr:colOff>0</xdr:colOff>
          <xdr:row>77</xdr:row>
          <xdr:rowOff>428625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A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88</xdr:row>
          <xdr:rowOff>0</xdr:rowOff>
        </xdr:from>
        <xdr:to>
          <xdr:col>11</xdr:col>
          <xdr:colOff>0</xdr:colOff>
          <xdr:row>88</xdr:row>
          <xdr:rowOff>428625</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A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99</xdr:row>
          <xdr:rowOff>0</xdr:rowOff>
        </xdr:from>
        <xdr:to>
          <xdr:col>11</xdr:col>
          <xdr:colOff>0</xdr:colOff>
          <xdr:row>99</xdr:row>
          <xdr:rowOff>428625</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A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7</xdr:row>
          <xdr:rowOff>0</xdr:rowOff>
        </xdr:from>
        <xdr:to>
          <xdr:col>11</xdr:col>
          <xdr:colOff>0</xdr:colOff>
          <xdr:row>7</xdr:row>
          <xdr:rowOff>485775</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A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12</xdr:row>
          <xdr:rowOff>0</xdr:rowOff>
        </xdr:from>
        <xdr:to>
          <xdr:col>11</xdr:col>
          <xdr:colOff>0</xdr:colOff>
          <xdr:row>12</xdr:row>
          <xdr:rowOff>485775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B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22</xdr:row>
          <xdr:rowOff>0</xdr:rowOff>
        </xdr:from>
        <xdr:to>
          <xdr:col>11</xdr:col>
          <xdr:colOff>0</xdr:colOff>
          <xdr:row>22</xdr:row>
          <xdr:rowOff>485775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B00-000002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32</xdr:row>
          <xdr:rowOff>0</xdr:rowOff>
        </xdr:from>
        <xdr:to>
          <xdr:col>11</xdr:col>
          <xdr:colOff>0</xdr:colOff>
          <xdr:row>32</xdr:row>
          <xdr:rowOff>485775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B00-000003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42</xdr:row>
          <xdr:rowOff>0</xdr:rowOff>
        </xdr:from>
        <xdr:to>
          <xdr:col>11</xdr:col>
          <xdr:colOff>0</xdr:colOff>
          <xdr:row>42</xdr:row>
          <xdr:rowOff>247650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B00-000004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53</xdr:row>
          <xdr:rowOff>0</xdr:rowOff>
        </xdr:from>
        <xdr:to>
          <xdr:col>11</xdr:col>
          <xdr:colOff>0</xdr:colOff>
          <xdr:row>53</xdr:row>
          <xdr:rowOff>428625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B00-000005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61</xdr:row>
          <xdr:rowOff>0</xdr:rowOff>
        </xdr:from>
        <xdr:to>
          <xdr:col>11</xdr:col>
          <xdr:colOff>0</xdr:colOff>
          <xdr:row>61</xdr:row>
          <xdr:rowOff>419100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B00-000006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69</xdr:row>
          <xdr:rowOff>0</xdr:rowOff>
        </xdr:from>
        <xdr:to>
          <xdr:col>11</xdr:col>
          <xdr:colOff>0</xdr:colOff>
          <xdr:row>69</xdr:row>
          <xdr:rowOff>428625</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B00-000007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77</xdr:row>
          <xdr:rowOff>0</xdr:rowOff>
        </xdr:from>
        <xdr:to>
          <xdr:col>11</xdr:col>
          <xdr:colOff>0</xdr:colOff>
          <xdr:row>77</xdr:row>
          <xdr:rowOff>428625</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B00-000008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88</xdr:row>
          <xdr:rowOff>0</xdr:rowOff>
        </xdr:from>
        <xdr:to>
          <xdr:col>11</xdr:col>
          <xdr:colOff>0</xdr:colOff>
          <xdr:row>88</xdr:row>
          <xdr:rowOff>428625</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B00-000009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99</xdr:row>
          <xdr:rowOff>0</xdr:rowOff>
        </xdr:from>
        <xdr:to>
          <xdr:col>11</xdr:col>
          <xdr:colOff>0</xdr:colOff>
          <xdr:row>99</xdr:row>
          <xdr:rowOff>428625</xdr:rowOff>
        </xdr:to>
        <xdr:sp macro="" textlink="">
          <xdr:nvSpPr>
            <xdr:cNvPr id="16394" name="Button 10" hidden="1">
              <a:extLst>
                <a:ext uri="{63B3BB69-23CF-44E3-9099-C40C66FF867C}">
                  <a14:compatExt spid="_x0000_s16394"/>
                </a:ext>
                <a:ext uri="{FF2B5EF4-FFF2-40B4-BE49-F238E27FC236}">
                  <a16:creationId xmlns:a16="http://schemas.microsoft.com/office/drawing/2014/main" id="{00000000-0008-0000-0B00-00000A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7</xdr:row>
          <xdr:rowOff>0</xdr:rowOff>
        </xdr:from>
        <xdr:to>
          <xdr:col>11</xdr:col>
          <xdr:colOff>0</xdr:colOff>
          <xdr:row>7</xdr:row>
          <xdr:rowOff>485775</xdr:rowOff>
        </xdr:to>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900" b="0" i="0" u="none" strike="noStrike" baseline="0">
                  <a:solidFill>
                    <a:srgbClr val="000000"/>
                  </a:solidFill>
                  <a:latin typeface="Calibri"/>
                  <a:cs typeface="Calibri"/>
                </a:rPr>
                <a:t>Add line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66675</xdr:rowOff>
        </xdr:from>
        <xdr:to>
          <xdr:col>0</xdr:col>
          <xdr:colOff>2543175</xdr:colOff>
          <xdr:row>5</xdr:row>
          <xdr:rowOff>123825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D00-0000017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E" sz="2000" b="1" i="0" u="none" strike="noStrike" baseline="0">
                  <a:solidFill>
                    <a:srgbClr val="000000"/>
                  </a:solidFill>
                  <a:latin typeface="Calibri"/>
                  <a:cs typeface="Calibri"/>
                </a:rPr>
                <a:t>CLICK HERE TO IMPORT DATA FROM DCRT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5</xdr:row>
          <xdr:rowOff>171450</xdr:rowOff>
        </xdr:from>
        <xdr:to>
          <xdr:col>0</xdr:col>
          <xdr:colOff>2543175</xdr:colOff>
          <xdr:row>7</xdr:row>
          <xdr:rowOff>123825</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D00-0000027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E" sz="2000" b="1" i="0" u="none" strike="noStrike" baseline="0">
                  <a:solidFill>
                    <a:srgbClr val="000000"/>
                  </a:solidFill>
                  <a:latin typeface="Calibri"/>
                  <a:cs typeface="Calibri"/>
                </a:rPr>
                <a:t>Validation &amp; Export </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3.vml"/><Relationship Id="rId7" Type="http://schemas.openxmlformats.org/officeDocument/2006/relationships/ctrlProp" Target="../ctrlProps/ctrlProp16.xml"/><Relationship Id="rId12" Type="http://schemas.openxmlformats.org/officeDocument/2006/relationships/ctrlProp" Target="../ctrlProps/ctrlProp21.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3" Type="http://schemas.openxmlformats.org/officeDocument/2006/relationships/vmlDrawing" Target="../drawings/vmlDrawing4.vml"/><Relationship Id="rId7" Type="http://schemas.openxmlformats.org/officeDocument/2006/relationships/ctrlProp" Target="../ctrlProps/ctrlProp27.xml"/><Relationship Id="rId12" Type="http://schemas.openxmlformats.org/officeDocument/2006/relationships/ctrlProp" Target="../ctrlProps/ctrlProp32.x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0" Type="http://schemas.openxmlformats.org/officeDocument/2006/relationships/ctrlProp" Target="../ctrlProps/ctrlProp30.xml"/><Relationship Id="rId4" Type="http://schemas.openxmlformats.org/officeDocument/2006/relationships/ctrlProp" Target="../ctrlProps/ctrlProp24.x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9.xml"/><Relationship Id="rId13" Type="http://schemas.openxmlformats.org/officeDocument/2006/relationships/ctrlProp" Target="../ctrlProps/ctrlProp44.xml"/><Relationship Id="rId3" Type="http://schemas.openxmlformats.org/officeDocument/2006/relationships/vmlDrawing" Target="../drawings/vmlDrawing5.v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ctrlProp" Target="../ctrlProps/ctrlProp36.xml"/><Relationship Id="rId10" Type="http://schemas.openxmlformats.org/officeDocument/2006/relationships/ctrlProp" Target="../ctrlProps/ctrlProp41.xml"/><Relationship Id="rId4" Type="http://schemas.openxmlformats.org/officeDocument/2006/relationships/ctrlProp" Target="../ctrlProps/ctrlProp35.xml"/><Relationship Id="rId9" Type="http://schemas.openxmlformats.org/officeDocument/2006/relationships/ctrlProp" Target="../ctrlProps/ctrlProp40.xml"/><Relationship Id="rId14" Type="http://schemas.openxmlformats.org/officeDocument/2006/relationships/ctrlProp" Target="../ctrlProps/ctrlProp4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0.xml"/><Relationship Id="rId13" Type="http://schemas.openxmlformats.org/officeDocument/2006/relationships/ctrlProp" Target="../ctrlProps/ctrlProp55.xml"/><Relationship Id="rId3" Type="http://schemas.openxmlformats.org/officeDocument/2006/relationships/vmlDrawing" Target="../drawings/vmlDrawing6.vml"/><Relationship Id="rId7" Type="http://schemas.openxmlformats.org/officeDocument/2006/relationships/ctrlProp" Target="../ctrlProps/ctrlProp49.xml"/><Relationship Id="rId12" Type="http://schemas.openxmlformats.org/officeDocument/2006/relationships/ctrlProp" Target="../ctrlProps/ctrlProp54.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 Id="rId14" Type="http://schemas.openxmlformats.org/officeDocument/2006/relationships/ctrlProp" Target="../ctrlProps/ctrlProp5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61.xml"/><Relationship Id="rId13" Type="http://schemas.openxmlformats.org/officeDocument/2006/relationships/ctrlProp" Target="../ctrlProps/ctrlProp66.xml"/><Relationship Id="rId3" Type="http://schemas.openxmlformats.org/officeDocument/2006/relationships/vmlDrawing" Target="../drawings/vmlDrawing7.vml"/><Relationship Id="rId7" Type="http://schemas.openxmlformats.org/officeDocument/2006/relationships/ctrlProp" Target="../ctrlProps/ctrlProp60.xml"/><Relationship Id="rId12" Type="http://schemas.openxmlformats.org/officeDocument/2006/relationships/ctrlProp" Target="../ctrlProps/ctrlProp65.x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trlProp" Target="../ctrlProps/ctrlProp59.xml"/><Relationship Id="rId11" Type="http://schemas.openxmlformats.org/officeDocument/2006/relationships/ctrlProp" Target="../ctrlProps/ctrlProp64.xml"/><Relationship Id="rId5" Type="http://schemas.openxmlformats.org/officeDocument/2006/relationships/ctrlProp" Target="../ctrlProps/ctrlProp58.xml"/><Relationship Id="rId10" Type="http://schemas.openxmlformats.org/officeDocument/2006/relationships/ctrlProp" Target="../ctrlProps/ctrlProp63.xml"/><Relationship Id="rId4" Type="http://schemas.openxmlformats.org/officeDocument/2006/relationships/ctrlProp" Target="../ctrlProps/ctrlProp57.xml"/><Relationship Id="rId9" Type="http://schemas.openxmlformats.org/officeDocument/2006/relationships/ctrlProp" Target="../ctrlProps/ctrlProp62.xml"/><Relationship Id="rId14" Type="http://schemas.openxmlformats.org/officeDocument/2006/relationships/ctrlProp" Target="../ctrlProps/ctrlProp67.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3" Type="http://schemas.openxmlformats.org/officeDocument/2006/relationships/vmlDrawing" Target="../drawings/vmlDrawing8.vml"/><Relationship Id="rId7" Type="http://schemas.openxmlformats.org/officeDocument/2006/relationships/ctrlProp" Target="../ctrlProps/ctrlProp71.xml"/><Relationship Id="rId12" Type="http://schemas.openxmlformats.org/officeDocument/2006/relationships/ctrlProp" Target="../ctrlProps/ctrlProp76.x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3.xml"/><Relationship Id="rId13" Type="http://schemas.openxmlformats.org/officeDocument/2006/relationships/ctrlProp" Target="../ctrlProps/ctrlProp88.xml"/><Relationship Id="rId3" Type="http://schemas.openxmlformats.org/officeDocument/2006/relationships/vmlDrawing" Target="../drawings/vmlDrawing9.vml"/><Relationship Id="rId7" Type="http://schemas.openxmlformats.org/officeDocument/2006/relationships/ctrlProp" Target="../ctrlProps/ctrlProp82.xml"/><Relationship Id="rId12" Type="http://schemas.openxmlformats.org/officeDocument/2006/relationships/ctrlProp" Target="../ctrlProps/ctrlProp87.xml"/><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trlProp" Target="../ctrlProps/ctrlProp81.xml"/><Relationship Id="rId11" Type="http://schemas.openxmlformats.org/officeDocument/2006/relationships/ctrlProp" Target="../ctrlProps/ctrlProp86.xml"/><Relationship Id="rId5" Type="http://schemas.openxmlformats.org/officeDocument/2006/relationships/ctrlProp" Target="../ctrlProps/ctrlProp80.xml"/><Relationship Id="rId10" Type="http://schemas.openxmlformats.org/officeDocument/2006/relationships/ctrlProp" Target="../ctrlProps/ctrlProp85.xml"/><Relationship Id="rId4" Type="http://schemas.openxmlformats.org/officeDocument/2006/relationships/ctrlProp" Target="../ctrlProps/ctrlProp79.xml"/><Relationship Id="rId9" Type="http://schemas.openxmlformats.org/officeDocument/2006/relationships/ctrlProp" Target="../ctrlProps/ctrlProp84.xml"/><Relationship Id="rId14" Type="http://schemas.openxmlformats.org/officeDocument/2006/relationships/ctrlProp" Target="../ctrlProps/ctrlProp89.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94.xml"/><Relationship Id="rId13" Type="http://schemas.openxmlformats.org/officeDocument/2006/relationships/ctrlProp" Target="../ctrlProps/ctrlProp99.xml"/><Relationship Id="rId3" Type="http://schemas.openxmlformats.org/officeDocument/2006/relationships/vmlDrawing" Target="../drawings/vmlDrawing10.vml"/><Relationship Id="rId7" Type="http://schemas.openxmlformats.org/officeDocument/2006/relationships/ctrlProp" Target="../ctrlProps/ctrlProp93.xml"/><Relationship Id="rId12" Type="http://schemas.openxmlformats.org/officeDocument/2006/relationships/ctrlProp" Target="../ctrlProps/ctrlProp98.xml"/><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trlProp" Target="../ctrlProps/ctrlProp92.xml"/><Relationship Id="rId11" Type="http://schemas.openxmlformats.org/officeDocument/2006/relationships/ctrlProp" Target="../ctrlProps/ctrlProp97.xml"/><Relationship Id="rId5" Type="http://schemas.openxmlformats.org/officeDocument/2006/relationships/ctrlProp" Target="../ctrlProps/ctrlProp91.xml"/><Relationship Id="rId10" Type="http://schemas.openxmlformats.org/officeDocument/2006/relationships/ctrlProp" Target="../ctrlProps/ctrlProp96.xml"/><Relationship Id="rId4" Type="http://schemas.openxmlformats.org/officeDocument/2006/relationships/ctrlProp" Target="../ctrlProps/ctrlProp90.xml"/><Relationship Id="rId9" Type="http://schemas.openxmlformats.org/officeDocument/2006/relationships/ctrlProp" Target="../ctrlProps/ctrlProp95.xml"/><Relationship Id="rId14" Type="http://schemas.openxmlformats.org/officeDocument/2006/relationships/ctrlProp" Target="../ctrlProps/ctrlProp10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ctrlProp" Target="../ctrlProps/ctrlProp102.xml"/><Relationship Id="rId4" Type="http://schemas.openxmlformats.org/officeDocument/2006/relationships/ctrlProp" Target="../ctrlProps/ctrlProp101.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ec.europa.eu/info/funding-tenders/opportunities/docs/2021-2027/common/guidance/aga_en.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pageSetUpPr fitToPage="1"/>
  </sheetPr>
  <dimension ref="C1:K25"/>
  <sheetViews>
    <sheetView showGridLines="0" showRowColHeaders="0" tabSelected="1" zoomScaleNormal="100" workbookViewId="0">
      <selection activeCell="C1" sqref="C1:K1"/>
    </sheetView>
  </sheetViews>
  <sheetFormatPr defaultRowHeight="15" x14ac:dyDescent="0.25"/>
  <cols>
    <col min="1" max="2" width="3.7109375" customWidth="1"/>
    <col min="3" max="3" width="14.42578125" style="13" customWidth="1"/>
    <col min="4" max="4" width="14.5703125" style="13" customWidth="1"/>
    <col min="5" max="5" width="13.28515625" style="13" customWidth="1"/>
    <col min="6" max="6" width="10.85546875" style="13" bestFit="1" customWidth="1"/>
    <col min="7" max="7" width="15" style="13" customWidth="1"/>
    <col min="8" max="8" width="14.28515625" style="13" customWidth="1"/>
    <col min="9" max="9" width="15.42578125" style="13" customWidth="1"/>
    <col min="10" max="10" width="13.140625" style="13" customWidth="1"/>
    <col min="11" max="11" width="11.85546875" style="13" customWidth="1"/>
    <col min="12" max="12" width="3.7109375" customWidth="1"/>
  </cols>
  <sheetData>
    <row r="1" spans="3:11" ht="25.5" customHeight="1" x14ac:dyDescent="0.25">
      <c r="C1" s="250" t="s">
        <v>188</v>
      </c>
      <c r="D1" s="250"/>
      <c r="E1" s="250"/>
      <c r="F1" s="250"/>
      <c r="G1" s="250"/>
      <c r="H1" s="250"/>
      <c r="I1" s="250"/>
      <c r="J1" s="250"/>
      <c r="K1" s="250"/>
    </row>
    <row r="2" spans="3:11" ht="31.5" x14ac:dyDescent="0.25">
      <c r="C2" s="251" t="s">
        <v>189</v>
      </c>
      <c r="D2" s="251"/>
      <c r="E2" s="251"/>
      <c r="F2" s="251"/>
      <c r="G2" s="251"/>
      <c r="H2" s="251"/>
      <c r="I2" s="251"/>
      <c r="J2" s="251"/>
      <c r="K2" s="251"/>
    </row>
    <row r="3" spans="3:11" ht="31.5" customHeight="1" x14ac:dyDescent="0.25">
      <c r="C3" s="198"/>
      <c r="D3" s="198"/>
      <c r="E3" s="249" t="s">
        <v>232</v>
      </c>
      <c r="F3" s="249"/>
      <c r="G3" s="249"/>
      <c r="H3" s="249"/>
      <c r="I3" s="249"/>
      <c r="J3" s="198"/>
      <c r="K3" s="198"/>
    </row>
    <row r="4" spans="3:11" ht="15.75" customHeight="1" thickBot="1" x14ac:dyDescent="0.3">
      <c r="C4" s="198"/>
      <c r="D4" s="198"/>
      <c r="E4" s="198"/>
      <c r="F4" s="198"/>
      <c r="G4" s="198"/>
      <c r="H4" s="198"/>
      <c r="I4" s="198"/>
      <c r="J4" s="198"/>
      <c r="K4" s="198"/>
    </row>
    <row r="5" spans="3:11" ht="152.25" customHeight="1" thickBot="1" x14ac:dyDescent="0.3">
      <c r="C5" s="252" t="s">
        <v>248</v>
      </c>
      <c r="D5" s="253"/>
      <c r="E5" s="253"/>
      <c r="F5" s="253"/>
      <c r="G5" s="253"/>
      <c r="H5" s="253"/>
      <c r="I5" s="253"/>
      <c r="J5" s="253"/>
      <c r="K5" s="254"/>
    </row>
    <row r="6" spans="3:11" ht="32.25" thickBot="1" x14ac:dyDescent="0.3">
      <c r="C6" s="198"/>
      <c r="D6" s="21"/>
      <c r="E6" s="21"/>
      <c r="F6" s="21"/>
      <c r="G6" s="21"/>
      <c r="H6" s="21"/>
      <c r="I6" s="21"/>
      <c r="J6" s="21"/>
      <c r="K6" s="21"/>
    </row>
    <row r="7" spans="3:11" ht="18.75" customHeight="1" x14ac:dyDescent="0.25">
      <c r="C7" s="255" t="s">
        <v>205</v>
      </c>
      <c r="D7" s="256"/>
      <c r="E7" s="256"/>
      <c r="F7" s="256"/>
      <c r="G7" s="256"/>
      <c r="H7" s="256"/>
      <c r="I7" s="256"/>
      <c r="J7" s="256"/>
      <c r="K7" s="257"/>
    </row>
    <row r="8" spans="3:11" ht="70.5" customHeight="1" x14ac:dyDescent="0.25">
      <c r="C8" s="258" t="s">
        <v>214</v>
      </c>
      <c r="D8" s="259"/>
      <c r="E8" s="259"/>
      <c r="F8" s="259"/>
      <c r="G8" s="259"/>
      <c r="H8" s="259"/>
      <c r="I8" s="259"/>
      <c r="J8" s="259"/>
      <c r="K8" s="260"/>
    </row>
    <row r="9" spans="3:11" ht="113.25" customHeight="1" x14ac:dyDescent="0.25">
      <c r="C9" s="267" t="s">
        <v>255</v>
      </c>
      <c r="D9" s="268"/>
      <c r="E9" s="268"/>
      <c r="F9" s="268"/>
      <c r="G9" s="268"/>
      <c r="H9" s="268"/>
      <c r="I9" s="268"/>
      <c r="J9" s="268"/>
      <c r="K9" s="269"/>
    </row>
    <row r="10" spans="3:11" ht="56.25" customHeight="1" x14ac:dyDescent="0.25">
      <c r="C10" s="258" t="s">
        <v>209</v>
      </c>
      <c r="D10" s="259"/>
      <c r="E10" s="259"/>
      <c r="F10" s="259"/>
      <c r="G10" s="259"/>
      <c r="H10" s="259"/>
      <c r="I10" s="259"/>
      <c r="J10" s="259"/>
      <c r="K10" s="260"/>
    </row>
    <row r="11" spans="3:11" ht="51.75" customHeight="1" x14ac:dyDescent="0.25">
      <c r="C11" s="258" t="s">
        <v>211</v>
      </c>
      <c r="D11" s="259"/>
      <c r="E11" s="259"/>
      <c r="F11" s="259"/>
      <c r="G11" s="259"/>
      <c r="H11" s="259"/>
      <c r="I11" s="259"/>
      <c r="J11" s="259"/>
      <c r="K11" s="260"/>
    </row>
    <row r="12" spans="3:11" ht="51" customHeight="1" x14ac:dyDescent="0.25">
      <c r="C12" s="258" t="s">
        <v>210</v>
      </c>
      <c r="D12" s="259"/>
      <c r="E12" s="259"/>
      <c r="F12" s="259"/>
      <c r="G12" s="259"/>
      <c r="H12" s="259"/>
      <c r="I12" s="259"/>
      <c r="J12" s="259"/>
      <c r="K12" s="260"/>
    </row>
    <row r="13" spans="3:11" ht="20.25" customHeight="1" x14ac:dyDescent="0.25">
      <c r="C13" s="264" t="s">
        <v>206</v>
      </c>
      <c r="D13" s="265"/>
      <c r="E13" s="265"/>
      <c r="F13" s="265"/>
      <c r="G13" s="265"/>
      <c r="H13" s="265"/>
      <c r="I13" s="265"/>
      <c r="J13" s="265"/>
      <c r="K13" s="266"/>
    </row>
    <row r="14" spans="3:11" ht="36.75" customHeight="1" x14ac:dyDescent="0.25">
      <c r="C14" s="258" t="s">
        <v>215</v>
      </c>
      <c r="D14" s="259"/>
      <c r="E14" s="259"/>
      <c r="F14" s="259"/>
      <c r="G14" s="259"/>
      <c r="H14" s="259"/>
      <c r="I14" s="259"/>
      <c r="J14" s="259"/>
      <c r="K14" s="260"/>
    </row>
    <row r="15" spans="3:11" ht="21.75" customHeight="1" x14ac:dyDescent="0.25">
      <c r="C15" s="258" t="s">
        <v>207</v>
      </c>
      <c r="D15" s="259"/>
      <c r="E15" s="259"/>
      <c r="F15" s="259"/>
      <c r="G15" s="259"/>
      <c r="H15" s="259"/>
      <c r="I15" s="259"/>
      <c r="J15" s="259"/>
      <c r="K15" s="260"/>
    </row>
    <row r="16" spans="3:11" ht="34.5" customHeight="1" x14ac:dyDescent="0.25">
      <c r="C16" s="267" t="s">
        <v>212</v>
      </c>
      <c r="D16" s="268"/>
      <c r="E16" s="268"/>
      <c r="F16" s="268"/>
      <c r="G16" s="268"/>
      <c r="H16" s="268"/>
      <c r="I16" s="268"/>
      <c r="J16" s="268"/>
      <c r="K16" s="269"/>
    </row>
    <row r="17" spans="3:11" ht="34.5" customHeight="1" x14ac:dyDescent="0.25">
      <c r="C17" s="258" t="s">
        <v>268</v>
      </c>
      <c r="D17" s="259"/>
      <c r="E17" s="259"/>
      <c r="F17" s="259"/>
      <c r="G17" s="259"/>
      <c r="H17" s="259"/>
      <c r="I17" s="259"/>
      <c r="J17" s="259"/>
      <c r="K17" s="260"/>
    </row>
    <row r="18" spans="3:11" ht="18.75" customHeight="1" x14ac:dyDescent="0.25">
      <c r="C18" s="264" t="s">
        <v>216</v>
      </c>
      <c r="D18" s="265"/>
      <c r="E18" s="265"/>
      <c r="F18" s="265"/>
      <c r="G18" s="265"/>
      <c r="H18" s="265"/>
      <c r="I18" s="265"/>
      <c r="J18" s="265"/>
      <c r="K18" s="266"/>
    </row>
    <row r="19" spans="3:11" ht="32.25" customHeight="1" x14ac:dyDescent="0.25">
      <c r="C19" s="258" t="s">
        <v>217</v>
      </c>
      <c r="D19" s="259"/>
      <c r="E19" s="259"/>
      <c r="F19" s="259"/>
      <c r="G19" s="259"/>
      <c r="H19" s="259"/>
      <c r="I19" s="259"/>
      <c r="J19" s="259"/>
      <c r="K19" s="260"/>
    </row>
    <row r="20" spans="3:11" ht="36" customHeight="1" thickBot="1" x14ac:dyDescent="0.3">
      <c r="C20" s="270" t="s">
        <v>208</v>
      </c>
      <c r="D20" s="271"/>
      <c r="E20" s="271"/>
      <c r="F20" s="271"/>
      <c r="G20" s="271"/>
      <c r="H20" s="271"/>
      <c r="I20" s="271"/>
      <c r="J20" s="271"/>
      <c r="K20" s="272"/>
    </row>
    <row r="21" spans="3:11" ht="18.75" x14ac:dyDescent="0.25">
      <c r="C21" s="273" t="s">
        <v>218</v>
      </c>
      <c r="D21" s="274"/>
      <c r="E21" s="274"/>
      <c r="F21" s="274"/>
      <c r="G21" s="274"/>
      <c r="H21" s="274"/>
      <c r="I21" s="274"/>
      <c r="J21" s="274"/>
      <c r="K21" s="275"/>
    </row>
    <row r="22" spans="3:11" ht="33" customHeight="1" x14ac:dyDescent="0.25">
      <c r="C22" s="246" t="s">
        <v>219</v>
      </c>
      <c r="D22" s="247"/>
      <c r="E22" s="247"/>
      <c r="F22" s="247"/>
      <c r="G22" s="247"/>
      <c r="H22" s="247"/>
      <c r="I22" s="247"/>
      <c r="J22" s="247"/>
      <c r="K22" s="248"/>
    </row>
    <row r="23" spans="3:11" ht="21" customHeight="1" x14ac:dyDescent="0.25">
      <c r="C23" s="246" t="s">
        <v>220</v>
      </c>
      <c r="D23" s="247"/>
      <c r="E23" s="247"/>
      <c r="F23" s="247"/>
      <c r="G23" s="247"/>
      <c r="H23" s="247"/>
      <c r="I23" s="247"/>
      <c r="J23" s="247"/>
      <c r="K23" s="248"/>
    </row>
    <row r="24" spans="3:11" ht="35.25" customHeight="1" x14ac:dyDescent="0.25">
      <c r="C24" s="246" t="s">
        <v>221</v>
      </c>
      <c r="D24" s="247"/>
      <c r="E24" s="247"/>
      <c r="F24" s="247"/>
      <c r="G24" s="247"/>
      <c r="H24" s="247"/>
      <c r="I24" s="247"/>
      <c r="J24" s="247"/>
      <c r="K24" s="248"/>
    </row>
    <row r="25" spans="3:11" ht="21" customHeight="1" thickBot="1" x14ac:dyDescent="0.3">
      <c r="C25" s="261" t="s">
        <v>225</v>
      </c>
      <c r="D25" s="262"/>
      <c r="E25" s="262"/>
      <c r="F25" s="262"/>
      <c r="G25" s="262"/>
      <c r="H25" s="262"/>
      <c r="I25" s="262"/>
      <c r="J25" s="262"/>
      <c r="K25" s="263"/>
    </row>
  </sheetData>
  <sheetProtection algorithmName="SHA-512" hashValue="OD1/x5P/ixxeLj3/1/XmxxbuVyQdqrvJcXNSnptP7wgmwF3sKj0niQKfZwhkSDfwW/43gWsQQw8bYaLzR7S/XA==" saltValue="OI5qhL1w0VRgff1uFc2I3Q==" spinCount="100000" sheet="1" objects="1" scenarios="1"/>
  <mergeCells count="23">
    <mergeCell ref="C25:K25"/>
    <mergeCell ref="C8:K8"/>
    <mergeCell ref="C10:K10"/>
    <mergeCell ref="C12:K12"/>
    <mergeCell ref="C15:K15"/>
    <mergeCell ref="C13:K13"/>
    <mergeCell ref="C14:K14"/>
    <mergeCell ref="C16:K16"/>
    <mergeCell ref="C18:K18"/>
    <mergeCell ref="C20:K20"/>
    <mergeCell ref="C19:K19"/>
    <mergeCell ref="C9:K9"/>
    <mergeCell ref="C24:K24"/>
    <mergeCell ref="C11:K11"/>
    <mergeCell ref="C21:K21"/>
    <mergeCell ref="C22:K22"/>
    <mergeCell ref="C23:K23"/>
    <mergeCell ref="E3:I3"/>
    <mergeCell ref="C1:K1"/>
    <mergeCell ref="C2:K2"/>
    <mergeCell ref="C5:K5"/>
    <mergeCell ref="C7:K7"/>
    <mergeCell ref="C17:K17"/>
  </mergeCells>
  <printOptions horizontalCentered="1"/>
  <pageMargins left="0.70866141732283472" right="0.70866141732283472" top="0.74803149606299213" bottom="0.74803149606299213" header="0.31496062992125984" footer="0.31496062992125984"/>
  <pageSetup paperSize="9" scale="71" orientation="portrait" verticalDpi="0" r:id="rId1"/>
  <headerFooter scaleWithDoc="0">
    <oddHeader>&amp;CGeneral information</oddHeader>
    <oddFooter>Page &amp;P of &amp;N</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79998168889431442"/>
    <pageSetUpPr fitToPage="1"/>
  </sheetPr>
  <dimension ref="A1:M26"/>
  <sheetViews>
    <sheetView showGridLines="0" showRowColHeaders="0" zoomScaleNormal="100" workbookViewId="0">
      <pane xSplit="2" ySplit="2" topLeftCell="C3" activePane="bottomRight" state="frozen"/>
      <selection pane="topRight" activeCell="C1" sqref="C1"/>
      <selection pane="bottomLeft" activeCell="A3" sqref="A3"/>
      <selection pane="bottomRight" activeCell="D7" sqref="D7:F7"/>
    </sheetView>
  </sheetViews>
  <sheetFormatPr defaultRowHeight="15" x14ac:dyDescent="0.25"/>
  <cols>
    <col min="1" max="2" width="3.42578125" customWidth="1"/>
    <col min="3" max="6" width="19.5703125" customWidth="1"/>
    <col min="7" max="7" width="3.42578125" customWidth="1"/>
    <col min="8" max="8" width="15.7109375" customWidth="1"/>
    <col min="9" max="9" width="3.42578125" customWidth="1"/>
  </cols>
  <sheetData>
    <row r="1" spans="1:13" x14ac:dyDescent="0.25">
      <c r="A1" s="3"/>
      <c r="B1" s="4"/>
      <c r="C1" s="4"/>
      <c r="D1" s="4"/>
      <c r="E1" s="4"/>
      <c r="F1" s="4"/>
      <c r="G1" s="4"/>
      <c r="H1" s="4"/>
      <c r="I1" s="104"/>
      <c r="J1" s="102"/>
    </row>
    <row r="2" spans="1:13" ht="49.5" customHeight="1" x14ac:dyDescent="0.25">
      <c r="A2" s="5"/>
      <c r="B2" s="7"/>
      <c r="C2" s="276" t="s">
        <v>170</v>
      </c>
      <c r="D2" s="277"/>
      <c r="E2" s="277"/>
      <c r="F2" s="278"/>
      <c r="G2" s="177"/>
      <c r="H2" s="177"/>
      <c r="I2" s="105"/>
      <c r="J2" s="102"/>
    </row>
    <row r="3" spans="1:13" ht="15" customHeight="1" x14ac:dyDescent="0.25">
      <c r="A3" s="110"/>
      <c r="B3" s="101"/>
      <c r="C3" s="101"/>
      <c r="D3" s="101"/>
      <c r="E3" s="101"/>
      <c r="F3" s="101"/>
      <c r="G3" s="101"/>
      <c r="H3" s="101"/>
      <c r="I3" s="106"/>
    </row>
    <row r="4" spans="1:13" ht="27.75" hidden="1" customHeight="1" x14ac:dyDescent="0.25">
      <c r="A4" s="5"/>
      <c r="B4" s="7"/>
      <c r="C4" s="279"/>
      <c r="D4" s="279"/>
      <c r="E4" s="279"/>
      <c r="F4" s="279"/>
      <c r="G4" s="176"/>
      <c r="H4" s="176"/>
      <c r="I4" s="105"/>
      <c r="J4" s="102"/>
    </row>
    <row r="5" spans="1:13" ht="15" hidden="1" customHeight="1" x14ac:dyDescent="0.25">
      <c r="A5" s="5"/>
      <c r="B5" s="7"/>
      <c r="C5" s="107"/>
      <c r="D5" s="107"/>
      <c r="E5" s="107"/>
      <c r="F5" s="107"/>
      <c r="G5" s="16"/>
      <c r="H5" s="16"/>
      <c r="I5" s="105"/>
      <c r="J5" s="102"/>
    </row>
    <row r="6" spans="1:13" ht="21" customHeight="1" x14ac:dyDescent="0.25">
      <c r="A6" s="5"/>
      <c r="B6" s="7"/>
      <c r="C6" s="286" t="s">
        <v>171</v>
      </c>
      <c r="D6" s="287"/>
      <c r="E6" s="287"/>
      <c r="F6" s="288"/>
      <c r="G6" s="16"/>
      <c r="H6" s="16"/>
      <c r="I6" s="105"/>
      <c r="J6" s="102"/>
    </row>
    <row r="7" spans="1:13" ht="18.95" customHeight="1" x14ac:dyDescent="0.25">
      <c r="A7" s="5"/>
      <c r="B7" s="7"/>
      <c r="C7" s="190" t="s">
        <v>173</v>
      </c>
      <c r="D7" s="280"/>
      <c r="E7" s="281"/>
      <c r="F7" s="282"/>
      <c r="G7" s="107"/>
      <c r="H7" s="16"/>
      <c r="I7" s="105"/>
      <c r="J7" s="102"/>
    </row>
    <row r="8" spans="1:13" s="13" customFormat="1" ht="18.95" customHeight="1" x14ac:dyDescent="0.25">
      <c r="A8" s="12"/>
      <c r="B8" s="111"/>
      <c r="C8" s="18" t="s">
        <v>172</v>
      </c>
      <c r="D8" s="283"/>
      <c r="E8" s="284"/>
      <c r="F8" s="285"/>
      <c r="G8" s="14"/>
      <c r="H8" s="16"/>
      <c r="I8" s="108"/>
      <c r="J8" s="103"/>
    </row>
    <row r="9" spans="1:13" ht="15" customHeight="1" x14ac:dyDescent="0.25">
      <c r="A9" s="5"/>
      <c r="B9" s="7"/>
      <c r="C9" s="107"/>
      <c r="D9" s="107"/>
      <c r="E9" s="107"/>
      <c r="F9" s="107"/>
      <c r="G9" s="15"/>
      <c r="H9" s="16"/>
      <c r="I9" s="105"/>
      <c r="J9" s="102"/>
    </row>
    <row r="10" spans="1:13" ht="21" customHeight="1" x14ac:dyDescent="0.25">
      <c r="A10" s="5"/>
      <c r="B10" s="7"/>
      <c r="C10" s="289" t="s">
        <v>180</v>
      </c>
      <c r="D10" s="287"/>
      <c r="E10" s="287"/>
      <c r="F10" s="288"/>
      <c r="G10" s="15"/>
      <c r="H10" s="16"/>
      <c r="I10" s="105"/>
      <c r="J10" s="102"/>
    </row>
    <row r="11" spans="1:13" ht="18.95" hidden="1" customHeight="1" x14ac:dyDescent="0.25">
      <c r="A11" s="5"/>
      <c r="B11" s="7"/>
      <c r="C11" s="292" t="s">
        <v>201</v>
      </c>
      <c r="D11" s="293"/>
      <c r="E11" s="290"/>
      <c r="F11" s="291"/>
      <c r="G11" s="16"/>
      <c r="H11" s="16"/>
      <c r="I11" s="105"/>
      <c r="J11" s="102"/>
      <c r="M11" s="175"/>
    </row>
    <row r="12" spans="1:13" ht="63.75" customHeight="1" x14ac:dyDescent="0.25">
      <c r="A12" s="112"/>
      <c r="B12" s="101"/>
      <c r="C12" s="294" t="s">
        <v>257</v>
      </c>
      <c r="D12" s="295"/>
      <c r="E12" s="280"/>
      <c r="F12" s="282"/>
      <c r="G12" s="101"/>
      <c r="H12" s="16"/>
      <c r="I12" s="106"/>
    </row>
    <row r="13" spans="1:13" ht="15" customHeight="1" x14ac:dyDescent="0.25">
      <c r="A13" s="5"/>
      <c r="B13" s="7"/>
      <c r="C13" s="107"/>
      <c r="D13" s="107"/>
      <c r="E13" s="107"/>
      <c r="F13" s="107"/>
      <c r="G13" s="15"/>
      <c r="H13" s="107"/>
      <c r="I13" s="105"/>
      <c r="J13" s="102"/>
    </row>
    <row r="14" spans="1:13" ht="21" customHeight="1" x14ac:dyDescent="0.25">
      <c r="A14" s="5"/>
      <c r="B14" s="7"/>
      <c r="C14" s="286" t="s">
        <v>175</v>
      </c>
      <c r="D14" s="287"/>
      <c r="E14" s="287"/>
      <c r="F14" s="288"/>
      <c r="G14" s="15"/>
      <c r="H14" s="16"/>
      <c r="I14" s="105"/>
      <c r="J14" s="102"/>
    </row>
    <row r="15" spans="1:13" ht="18.95" customHeight="1" x14ac:dyDescent="0.25">
      <c r="A15" s="5"/>
      <c r="B15" s="7"/>
      <c r="C15" s="190" t="s">
        <v>176</v>
      </c>
      <c r="D15" s="307"/>
      <c r="E15" s="281"/>
      <c r="F15" s="308"/>
      <c r="G15" s="16"/>
      <c r="H15" s="16"/>
      <c r="I15" s="105"/>
    </row>
    <row r="16" spans="1:13" ht="18.95" customHeight="1" x14ac:dyDescent="0.25">
      <c r="A16" s="112"/>
      <c r="B16" s="101"/>
      <c r="C16" s="191" t="s">
        <v>178</v>
      </c>
      <c r="D16" s="201"/>
      <c r="E16" s="192" t="s">
        <v>177</v>
      </c>
      <c r="F16" s="201"/>
      <c r="G16" s="101"/>
      <c r="H16" s="16"/>
      <c r="I16" s="106"/>
    </row>
    <row r="17" spans="1:9" x14ac:dyDescent="0.25">
      <c r="A17" s="5"/>
      <c r="B17" s="7"/>
      <c r="C17" s="107"/>
      <c r="D17" s="107"/>
      <c r="E17" s="107"/>
      <c r="F17" s="107"/>
      <c r="G17" s="15"/>
      <c r="H17" s="107"/>
      <c r="I17" s="105"/>
    </row>
    <row r="18" spans="1:9" ht="21" customHeight="1" x14ac:dyDescent="0.25">
      <c r="A18" s="5"/>
      <c r="B18" s="7"/>
      <c r="C18" s="286" t="s">
        <v>187</v>
      </c>
      <c r="D18" s="301"/>
      <c r="E18" s="301"/>
      <c r="F18" s="302"/>
      <c r="G18" s="16"/>
      <c r="H18" s="14"/>
      <c r="I18" s="105"/>
    </row>
    <row r="19" spans="1:9" ht="18.95" customHeight="1" x14ac:dyDescent="0.25">
      <c r="A19" s="110"/>
      <c r="C19" s="17" t="s">
        <v>174</v>
      </c>
      <c r="D19" s="298"/>
      <c r="E19" s="299"/>
      <c r="F19" s="300"/>
      <c r="H19" s="15"/>
      <c r="I19" s="105"/>
    </row>
    <row r="20" spans="1:9" ht="18.95" customHeight="1" x14ac:dyDescent="0.25">
      <c r="A20" s="110"/>
      <c r="C20" s="18" t="s">
        <v>14</v>
      </c>
      <c r="D20" s="280"/>
      <c r="E20" s="281"/>
      <c r="F20" s="282"/>
      <c r="H20" s="15"/>
      <c r="I20" s="106"/>
    </row>
    <row r="21" spans="1:9" ht="18.95" customHeight="1" x14ac:dyDescent="0.25">
      <c r="A21" s="110"/>
      <c r="C21" s="303" t="s">
        <v>186</v>
      </c>
      <c r="D21" s="303"/>
      <c r="E21" s="304"/>
      <c r="F21" s="304"/>
      <c r="H21" s="15"/>
      <c r="I21" s="106"/>
    </row>
    <row r="22" spans="1:9" x14ac:dyDescent="0.25">
      <c r="A22" s="110"/>
      <c r="C22" s="101"/>
      <c r="D22" s="101"/>
      <c r="E22" s="101"/>
      <c r="F22" s="101"/>
      <c r="H22" s="16"/>
      <c r="I22" s="105"/>
    </row>
    <row r="23" spans="1:9" ht="30" customHeight="1" x14ac:dyDescent="0.25">
      <c r="A23" s="110"/>
      <c r="C23" s="286" t="s">
        <v>179</v>
      </c>
      <c r="D23" s="296"/>
      <c r="E23" s="296"/>
      <c r="F23" s="297"/>
      <c r="H23" s="101"/>
      <c r="I23" s="105"/>
    </row>
    <row r="24" spans="1:9" ht="18.95" customHeight="1" x14ac:dyDescent="0.25">
      <c r="A24" s="110"/>
      <c r="C24" s="305" t="s">
        <v>190</v>
      </c>
      <c r="D24" s="306"/>
      <c r="E24" s="305" t="s">
        <v>102</v>
      </c>
      <c r="F24" s="306"/>
      <c r="H24" s="15"/>
      <c r="I24" s="105"/>
    </row>
    <row r="25" spans="1:9" ht="18.95" customHeight="1" x14ac:dyDescent="0.25">
      <c r="A25" s="110"/>
      <c r="C25" s="109" t="s">
        <v>103</v>
      </c>
      <c r="D25" s="200"/>
      <c r="E25" s="281"/>
      <c r="F25" s="282"/>
      <c r="H25" s="16"/>
      <c r="I25" s="105"/>
    </row>
    <row r="26" spans="1:9" x14ac:dyDescent="0.25">
      <c r="A26" s="113"/>
      <c r="B26" s="114"/>
      <c r="C26" s="114"/>
      <c r="D26" s="114"/>
      <c r="E26" s="114"/>
      <c r="F26" s="114"/>
      <c r="G26" s="114"/>
      <c r="H26" s="114"/>
      <c r="I26" s="115"/>
    </row>
  </sheetData>
  <sheetProtection algorithmName="SHA-512" hashValue="gnrhKhJTzOPRAoALwSFszq+wLD45Z7F3bKgIpH5JozLO+/uSil9fcqjKyDJ/xwF0/2xYsuxN71Ldm7iRtLrL1w==" saltValue="dInuVqXVmHbAgZmPkANWVQ==" spinCount="100000" sheet="1" objects="1" scenarios="1" formatCells="0" selectLockedCells="1"/>
  <mergeCells count="21">
    <mergeCell ref="C10:F10"/>
    <mergeCell ref="E11:F11"/>
    <mergeCell ref="C11:D11"/>
    <mergeCell ref="C12:D12"/>
    <mergeCell ref="E25:F25"/>
    <mergeCell ref="D20:F20"/>
    <mergeCell ref="C23:F23"/>
    <mergeCell ref="D19:F19"/>
    <mergeCell ref="E12:F12"/>
    <mergeCell ref="C18:F18"/>
    <mergeCell ref="C21:D21"/>
    <mergeCell ref="E21:F21"/>
    <mergeCell ref="E24:F24"/>
    <mergeCell ref="C14:F14"/>
    <mergeCell ref="D15:F15"/>
    <mergeCell ref="C24:D24"/>
    <mergeCell ref="C2:F2"/>
    <mergeCell ref="C4:F4"/>
    <mergeCell ref="D7:F7"/>
    <mergeCell ref="D8:F8"/>
    <mergeCell ref="C6:F6"/>
  </mergeCells>
  <dataValidations xWindow="668" yWindow="463" count="12">
    <dataValidation type="whole" allowBlank="1" showInputMessage="1" showErrorMessage="1" errorTitle="Invalid PIC number!" error="The PIC must be a 9-digit number starting with 8 or 9. You can get your PIC on the Funding &amp; Tenders portal." promptTitle="PIC number" prompt="must be a valid 9-digit number" sqref="D19:F19" xr:uid="{00000000-0002-0000-0100-000000000000}">
      <formula1>800000000</formula1>
      <formula2>999999999</formula2>
    </dataValidation>
    <dataValidation type="list" allowBlank="1" showInputMessage="1" showErrorMessage="1" errorTitle="Invalid data!" error="Must be a 9-digit number starting with a 1 or a 2" promptTitle="Period number" prompt="Select number in the drop-down menu" sqref="D15:F15" xr:uid="{00000000-0002-0000-0100-000002000000}">
      <formula1>"1,2,3,4,5,6"</formula1>
    </dataValidation>
    <dataValidation type="date" allowBlank="1" showInputMessage="1" showErrorMessage="1" errorTitle="Invalid date" error="Date must be like dd-mm-yyyy and not previous to 01-12-2022" promptTitle="Insert date" prompt="using dd-mm-yyyy format" sqref="F16" xr:uid="{00000000-0002-0000-0100-000003000000}">
      <formula1>44328</formula1>
      <formula2>55153</formula2>
    </dataValidation>
    <dataValidation type="list" allowBlank="1" showInputMessage="1" showErrorMessage="1" promptTitle="Select type" prompt="from drop-down menu" sqref="E11:F11" xr:uid="{00000000-0002-0000-0100-000004000000}">
      <formula1>"Interim,Final"</formula1>
    </dataValidation>
    <dataValidation type="list" allowBlank="1" showInputMessage="1" showErrorMessage="1" promptTitle="Select YES/NO" prompt="from drop-down menu" sqref="E12:F12" xr:uid="{00000000-0002-0000-0100-000005000000}">
      <formula1>"YES,NO"</formula1>
    </dataValidation>
    <dataValidation type="list" allowBlank="1" showInputMessage="1" showErrorMessage="1" promptTitle="Select regime" prompt="from the drop-down menu. Must be in line with the one agreed in the grant agreement." sqref="E21:F21" xr:uid="{00000000-0002-0000-0100-000006000000}">
      <formula1>"25% flat rate,Actual costs"</formula1>
    </dataValidation>
    <dataValidation type="whole" allowBlank="1" showInputMessage="1" showErrorMessage="1" errorTitle="Invalid data!" error="Must be a 9-digit number starting with a 1" promptTitle="Project number" prompt="9-digit number starting with a 1" sqref="D7:F7" xr:uid="{00000000-0002-0000-0100-000007000000}">
      <formula1>100000000</formula1>
      <formula2>199999999</formula2>
    </dataValidation>
    <dataValidation type="textLength" allowBlank="1" showInputMessage="1" showErrorMessage="1" errorTitle="Invalid short name" error="Short name is too long. Must be less than 10 characters." promptTitle="Short name length" prompt="Must be less than 10 characters and must not contain &quot;,&quot; &quot;*&quot; &quot;:&quot; &quot;?&quot; &quot;/&quot; &quot;\&quot; &quot;[&quot; &quot;]&quot;" sqref="D20:F20" xr:uid="{00000000-0002-0000-0100-000008000000}">
      <formula1>1</formula1>
      <formula2>10</formula2>
    </dataValidation>
    <dataValidation type="custom" allowBlank="1" showInputMessage="1" showErrorMessage="1" errorTitle="Invalid project name" error="The project name of the proposal must not contain any of the following characters: * / \ ? &gt; &lt; | : &quot; " promptTitle="Special characters not allowed" prompt="* / \ ? &gt; &lt; | : &quot; " sqref="D8:F8" xr:uid="{00000000-0002-0000-0100-000009000000}">
      <formula1>AND(COUNTIF(D8,"*~**")=0,COUNTIF(D8,"*~/*")=0,COUNTIF(D8,"*\*")=0,COUNTIF(D8,"*~?*")=0,COUNTIF(D8,"*~&gt;*")=0,COUNTIF(D8,"*~&lt;*")=0,COUNTIF(D8,"*|*")=0,COUNTIF(D8,"*~:*")=0,COUNTIF(D8,"*""*")=0)</formula1>
    </dataValidation>
    <dataValidation type="date" allowBlank="1" showInputMessage="1" showErrorMessage="1" errorTitle="Invalid date" error="Date must be like dd-mm-yyyy and not previous to 12-05-2021" promptTitle="Insert date" prompt="using dd-mm-yyyy format" sqref="D16" xr:uid="{00000000-0002-0000-0100-00000A000000}">
      <formula1>44328</formula1>
      <formula2>55153</formula2>
    </dataValidation>
    <dataValidation type="whole" allowBlank="1" showInputMessage="1" showErrorMessage="1" promptTitle="Work package number" prompt="must be a whole number" sqref="D25" xr:uid="{00000000-0002-0000-0100-000001000000}">
      <formula1>1</formula1>
      <formula2>1000</formula2>
    </dataValidation>
    <dataValidation type="list" allowBlank="1" showInputMessage="1" showErrorMessage="1" errorTitle="Invalid activity" error="You need to select the activity from the drop-down list." sqref="E25:F25" xr:uid="{8666D775-7076-403A-8461-CF7A89957866}">
      <formula1>"Generating knowledge,Integrating knowledge,Studies,Design"</formula1>
    </dataValidation>
  </dataValidations>
  <printOptions horizontalCentered="1"/>
  <pageMargins left="0.70866141732283472" right="0.70866141732283472" top="0.74803149606299213" bottom="0.74803149606299213" header="0.31496062992125984" footer="0.31496062992125984"/>
  <pageSetup paperSize="9" scale="81" fitToHeight="0" orientation="portrait" verticalDpi="0" r:id="rId1"/>
  <headerFooter scaleWithDoc="0">
    <oddHeader>&amp;A</oddHead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53" r:id="rId4" name="Button 9">
              <controlPr defaultSize="0" print="0" autoFill="0" autoPict="0" macro="[0]!AddLine">
                <anchor moveWithCells="1" sizeWithCells="1">
                  <from>
                    <xdr:col>7</xdr:col>
                    <xdr:colOff>0</xdr:colOff>
                    <xdr:row>23</xdr:row>
                    <xdr:rowOff>0</xdr:rowOff>
                  </from>
                  <to>
                    <xdr:col>8</xdr:col>
                    <xdr:colOff>0</xdr:colOff>
                    <xdr:row>23</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dimension ref="A1:B29"/>
  <sheetViews>
    <sheetView workbookViewId="0">
      <selection activeCell="B30" sqref="B30"/>
    </sheetView>
  </sheetViews>
  <sheetFormatPr defaultRowHeight="15" x14ac:dyDescent="0.25"/>
  <cols>
    <col min="1" max="1" width="18.28515625" customWidth="1"/>
    <col min="2" max="2" width="19.140625" bestFit="1" customWidth="1"/>
  </cols>
  <sheetData>
    <row r="1" spans="1:2" x14ac:dyDescent="0.25">
      <c r="A1" s="88" t="s">
        <v>118</v>
      </c>
      <c r="B1" s="88" t="s">
        <v>119</v>
      </c>
    </row>
    <row r="2" spans="1:2" x14ac:dyDescent="0.25">
      <c r="A2" s="136" t="s">
        <v>120</v>
      </c>
      <c r="B2" s="137">
        <v>1.0629999999999999</v>
      </c>
    </row>
    <row r="3" spans="1:2" x14ac:dyDescent="0.25">
      <c r="A3" s="136" t="s">
        <v>121</v>
      </c>
      <c r="B3" s="137">
        <v>1</v>
      </c>
    </row>
    <row r="4" spans="1:2" x14ac:dyDescent="0.25">
      <c r="A4" s="136" t="s">
        <v>122</v>
      </c>
      <c r="B4" s="137">
        <v>0.54800000000000004</v>
      </c>
    </row>
    <row r="5" spans="1:2" x14ac:dyDescent="0.25">
      <c r="A5" s="136" t="s">
        <v>123</v>
      </c>
      <c r="B5" s="137">
        <v>0.755</v>
      </c>
    </row>
    <row r="6" spans="1:2" x14ac:dyDescent="0.25">
      <c r="A6" s="136" t="s">
        <v>124</v>
      </c>
      <c r="B6" s="137">
        <v>0.77500000000000002</v>
      </c>
    </row>
    <row r="7" spans="1:2" x14ac:dyDescent="0.25">
      <c r="A7" s="136" t="s">
        <v>125</v>
      </c>
      <c r="B7" s="137">
        <v>0.79100000000000004</v>
      </c>
    </row>
    <row r="8" spans="1:2" x14ac:dyDescent="0.25">
      <c r="A8" s="136" t="s">
        <v>126</v>
      </c>
      <c r="B8" s="137">
        <v>1.32</v>
      </c>
    </row>
    <row r="9" spans="1:2" x14ac:dyDescent="0.25">
      <c r="A9" s="136" t="s">
        <v>127</v>
      </c>
      <c r="B9" s="137">
        <v>0.80300000000000005</v>
      </c>
    </row>
    <row r="10" spans="1:2" x14ac:dyDescent="0.25">
      <c r="A10" s="136" t="s">
        <v>128</v>
      </c>
      <c r="B10" s="137">
        <v>1.1950000000000001</v>
      </c>
    </row>
    <row r="11" spans="1:2" x14ac:dyDescent="0.25">
      <c r="A11" s="136" t="s">
        <v>129</v>
      </c>
      <c r="B11" s="137">
        <v>1.1639999999999999</v>
      </c>
    </row>
    <row r="12" spans="1:2" x14ac:dyDescent="0.25">
      <c r="A12" s="136" t="s">
        <v>130</v>
      </c>
      <c r="B12" s="137">
        <v>0.98299999999999998</v>
      </c>
    </row>
    <row r="13" spans="1:2" x14ac:dyDescent="0.25">
      <c r="A13" s="136" t="s">
        <v>131</v>
      </c>
      <c r="B13" s="137">
        <v>0.81599999999999995</v>
      </c>
    </row>
    <row r="14" spans="1:2" x14ac:dyDescent="0.25">
      <c r="A14" s="136" t="s">
        <v>132</v>
      </c>
      <c r="B14" s="137">
        <v>0.72</v>
      </c>
    </row>
    <row r="15" spans="1:2" x14ac:dyDescent="0.25">
      <c r="A15" s="136" t="s">
        <v>133</v>
      </c>
      <c r="B15" s="137">
        <v>1.1950000000000001</v>
      </c>
    </row>
    <row r="16" spans="1:2" x14ac:dyDescent="0.25">
      <c r="A16" s="136" t="s">
        <v>134</v>
      </c>
      <c r="B16" s="137">
        <v>0.97399999999999998</v>
      </c>
    </row>
    <row r="17" spans="1:2" x14ac:dyDescent="0.25">
      <c r="A17" s="136" t="s">
        <v>135</v>
      </c>
      <c r="B17" s="137">
        <v>0.76</v>
      </c>
    </row>
    <row r="18" spans="1:2" x14ac:dyDescent="0.25">
      <c r="A18" s="136" t="s">
        <v>136</v>
      </c>
      <c r="B18" s="137">
        <v>0.72799999999999998</v>
      </c>
    </row>
    <row r="19" spans="1:2" x14ac:dyDescent="0.25">
      <c r="A19" s="136" t="s">
        <v>137</v>
      </c>
      <c r="B19" s="137">
        <v>1</v>
      </c>
    </row>
    <row r="20" spans="1:2" x14ac:dyDescent="0.25">
      <c r="A20" s="136" t="s">
        <v>138</v>
      </c>
      <c r="B20" s="137">
        <v>0.88100000000000001</v>
      </c>
    </row>
    <row r="21" spans="1:2" x14ac:dyDescent="0.25">
      <c r="A21" s="136" t="s">
        <v>139</v>
      </c>
      <c r="B21" s="137">
        <v>1.0960000000000001</v>
      </c>
    </row>
    <row r="22" spans="1:2" x14ac:dyDescent="0.25">
      <c r="A22" s="136" t="s">
        <v>140</v>
      </c>
      <c r="B22" s="137">
        <v>1.2869999999999999</v>
      </c>
    </row>
    <row r="23" spans="1:2" x14ac:dyDescent="0.25">
      <c r="A23" s="136" t="s">
        <v>141</v>
      </c>
      <c r="B23" s="137">
        <v>0.70499999999999996</v>
      </c>
    </row>
    <row r="24" spans="1:2" x14ac:dyDescent="0.25">
      <c r="A24" s="136" t="s">
        <v>142</v>
      </c>
      <c r="B24" s="137">
        <v>0.84299999999999997</v>
      </c>
    </row>
    <row r="25" spans="1:2" x14ac:dyDescent="0.25">
      <c r="A25" s="136" t="s">
        <v>143</v>
      </c>
      <c r="B25" s="137">
        <v>0.65400000000000003</v>
      </c>
    </row>
    <row r="26" spans="1:2" x14ac:dyDescent="0.25">
      <c r="A26" s="136" t="s">
        <v>144</v>
      </c>
      <c r="B26" s="137">
        <v>0.78100000000000003</v>
      </c>
    </row>
    <row r="27" spans="1:2" x14ac:dyDescent="0.25">
      <c r="A27" s="136" t="s">
        <v>145</v>
      </c>
      <c r="B27" s="137">
        <v>0.83299999999999996</v>
      </c>
    </row>
    <row r="28" spans="1:2" x14ac:dyDescent="0.25">
      <c r="A28" s="136" t="s">
        <v>146</v>
      </c>
      <c r="B28" s="137">
        <v>0.91300000000000003</v>
      </c>
    </row>
    <row r="29" spans="1:2" x14ac:dyDescent="0.25">
      <c r="A29" s="136" t="s">
        <v>147</v>
      </c>
      <c r="B29" s="137">
        <v>1.254</v>
      </c>
    </row>
  </sheetData>
  <sheetProtection algorithmName="SHA-512" hashValue="0nzyuN9zfLkf1dy0sHFtbrn3jd9FfRIMvM0+s+u9HaEghW2IjXNunDZuj4YjlXtZcukrvLiJD9kZ/HpB+drW4A==" saltValue="l2ctsSkPochGRqqT+Lk6fw==" spinCount="100000" sheet="1" objects="1" scenarios="1"/>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1D59F-EE54-4B63-901E-90D9264F589C}">
  <sheetPr codeName="Sheet16">
    <tabColor theme="7" tint="0.79998168889431442"/>
    <pageSetUpPr fitToPage="1"/>
  </sheetPr>
  <dimension ref="A1:K107"/>
  <sheetViews>
    <sheetView showGridLines="0" showRowColHeaders="0" zoomScaleNormal="100" zoomScaleSheetLayoutView="85" workbookViewId="0">
      <pane ySplit="1" topLeftCell="A2" activePane="bottomLeft" state="frozen"/>
      <selection pane="bottomLeft" activeCell="C2" sqref="C2:I2"/>
    </sheetView>
  </sheetViews>
  <sheetFormatPr defaultRowHeight="15" x14ac:dyDescent="0.25"/>
  <cols>
    <col min="1" max="1" width="2.7109375" style="225" customWidth="1"/>
    <col min="2" max="2" width="2.7109375" style="11" customWidth="1"/>
    <col min="3" max="9" width="24.140625" style="11" customWidth="1"/>
    <col min="10" max="10" width="3.140625" style="11" customWidth="1"/>
    <col min="11" max="11" width="11.140625" style="11" customWidth="1"/>
  </cols>
  <sheetData>
    <row r="1" spans="1:11" ht="21" customHeight="1" x14ac:dyDescent="0.25">
      <c r="A1" s="218"/>
      <c r="B1" s="4"/>
      <c r="C1" s="6"/>
      <c r="D1" s="117" t="str">
        <f ca="1">HYPERLINK("#"&amp;CELL("address",C4), C4)</f>
        <v>A. Personnel costs</v>
      </c>
      <c r="E1" s="117" t="str">
        <f ca="1">HYPERLINK("#"&amp;CELL("address",C40), C40)</f>
        <v>B. Subcontracting</v>
      </c>
      <c r="F1" s="117" t="str">
        <f ca="1">HYPERLINK("#"&amp;CELL("address",C50), C50)</f>
        <v>C. Purchases</v>
      </c>
      <c r="G1" s="117" t="str">
        <f ca="1">HYPERLINK("#"&amp;CELL("address",C85), C85)</f>
        <v>D. Other cost categories</v>
      </c>
      <c r="H1" s="117"/>
      <c r="I1" s="4"/>
      <c r="J1" s="111"/>
      <c r="K1" s="111"/>
    </row>
    <row r="2" spans="1:11" ht="27" customHeight="1" x14ac:dyDescent="0.25">
      <c r="A2" s="219"/>
      <c r="B2" s="6"/>
      <c r="C2" s="343" t="s">
        <v>230</v>
      </c>
      <c r="D2" s="344"/>
      <c r="E2" s="344"/>
      <c r="F2" s="344"/>
      <c r="G2" s="344"/>
      <c r="H2" s="344"/>
      <c r="I2" s="345"/>
      <c r="J2" s="111"/>
      <c r="K2" s="111"/>
    </row>
    <row r="3" spans="1:11" ht="12.95" customHeight="1" x14ac:dyDescent="0.25">
      <c r="A3" s="219"/>
      <c r="B3" s="6"/>
      <c r="C3" s="6"/>
      <c r="D3" s="6"/>
      <c r="E3" s="6"/>
      <c r="F3" s="6"/>
      <c r="G3" s="6"/>
      <c r="H3" s="6"/>
      <c r="I3" s="6"/>
      <c r="J3" s="111"/>
      <c r="K3" s="111"/>
    </row>
    <row r="4" spans="1:11" ht="39.950000000000003" customHeight="1" x14ac:dyDescent="0.25">
      <c r="A4" s="219"/>
      <c r="B4" s="6"/>
      <c r="C4" s="183" t="s">
        <v>32</v>
      </c>
      <c r="D4" s="183"/>
      <c r="E4" s="6"/>
      <c r="F4" s="6"/>
      <c r="G4" s="6"/>
      <c r="H4" s="8"/>
      <c r="I4" s="6"/>
      <c r="J4" s="111"/>
      <c r="K4" s="111"/>
    </row>
    <row r="5" spans="1:11" ht="116.25" customHeight="1" x14ac:dyDescent="0.25">
      <c r="A5" s="219"/>
      <c r="B5" s="6"/>
      <c r="C5" s="330" t="s">
        <v>262</v>
      </c>
      <c r="D5" s="330"/>
      <c r="E5" s="330"/>
      <c r="F5" s="330"/>
      <c r="G5" s="330"/>
      <c r="H5" s="330"/>
      <c r="I5" s="330"/>
      <c r="J5" s="111"/>
      <c r="K5" s="111"/>
    </row>
    <row r="6" spans="1:11" ht="15" customHeight="1" x14ac:dyDescent="0.25">
      <c r="A6" s="219"/>
      <c r="B6" s="6"/>
      <c r="C6" s="6"/>
      <c r="D6" s="6"/>
      <c r="E6" s="6"/>
      <c r="F6" s="6"/>
      <c r="G6" s="6"/>
      <c r="H6" s="8"/>
      <c r="I6" s="6"/>
      <c r="J6" s="111"/>
      <c r="K6" s="111"/>
    </row>
    <row r="7" spans="1:11" ht="14.45" customHeight="1" x14ac:dyDescent="0.25">
      <c r="A7" s="219"/>
      <c r="B7" s="6"/>
      <c r="C7" s="315" t="s">
        <v>21</v>
      </c>
      <c r="D7" s="315"/>
      <c r="E7" s="315"/>
      <c r="F7" s="315"/>
      <c r="G7" s="315"/>
      <c r="H7" s="315"/>
      <c r="I7" s="315"/>
      <c r="J7" s="111"/>
      <c r="K7" s="111"/>
    </row>
    <row r="8" spans="1:11" s="20" customFormat="1" ht="36" x14ac:dyDescent="0.25">
      <c r="A8" s="220"/>
      <c r="B8" s="19"/>
      <c r="C8" s="227" t="s">
        <v>246</v>
      </c>
      <c r="D8" s="241" t="s">
        <v>15</v>
      </c>
      <c r="E8" s="241" t="s">
        <v>263</v>
      </c>
      <c r="F8" s="227" t="s">
        <v>17</v>
      </c>
      <c r="G8" s="227" t="s">
        <v>19</v>
      </c>
      <c r="H8" s="227" t="s">
        <v>107</v>
      </c>
      <c r="I8" s="227" t="s">
        <v>18</v>
      </c>
      <c r="J8" s="111"/>
      <c r="K8" s="19"/>
    </row>
    <row r="9" spans="1:11" ht="14.45" customHeight="1" x14ac:dyDescent="0.25">
      <c r="A9" s="221" t="s">
        <v>234</v>
      </c>
      <c r="B9" s="6"/>
      <c r="C9" s="164"/>
      <c r="D9" s="165"/>
      <c r="E9" s="164"/>
      <c r="F9" s="166">
        <f>IFERROR(D9/E9,0)</f>
        <v>0</v>
      </c>
      <c r="G9" s="226"/>
      <c r="H9" s="164"/>
      <c r="I9" s="166">
        <f>IFERROR(F9*H9,0)</f>
        <v>0</v>
      </c>
      <c r="J9" s="111"/>
      <c r="K9" s="111"/>
    </row>
    <row r="10" spans="1:11" ht="14.45" hidden="1" customHeight="1" x14ac:dyDescent="0.25">
      <c r="A10" s="221"/>
      <c r="B10" s="6"/>
      <c r="C10" s="231"/>
      <c r="D10" s="179"/>
      <c r="E10" s="231"/>
      <c r="F10" s="180"/>
      <c r="G10" s="232"/>
      <c r="H10" s="231"/>
      <c r="I10" s="180"/>
      <c r="J10" s="111"/>
      <c r="K10" s="111"/>
    </row>
    <row r="11" spans="1:11" ht="14.45" customHeight="1" x14ac:dyDescent="0.25">
      <c r="A11" s="221"/>
      <c r="B11" s="6"/>
      <c r="C11" s="309" t="s">
        <v>2</v>
      </c>
      <c r="D11" s="309"/>
      <c r="E11" s="309"/>
      <c r="F11" s="309"/>
      <c r="G11" s="309"/>
      <c r="H11" s="309"/>
      <c r="I11" s="118">
        <f>SUM(I9:I10)</f>
        <v>0</v>
      </c>
      <c r="J11" s="111"/>
      <c r="K11" s="111"/>
    </row>
    <row r="12" spans="1:11" ht="14.45" customHeight="1" x14ac:dyDescent="0.25">
      <c r="A12" s="221"/>
      <c r="B12" s="6"/>
      <c r="C12" s="315" t="s">
        <v>168</v>
      </c>
      <c r="D12" s="315"/>
      <c r="E12" s="315"/>
      <c r="F12" s="315"/>
      <c r="G12" s="315"/>
      <c r="H12" s="315"/>
      <c r="I12" s="315"/>
      <c r="J12" s="111"/>
      <c r="K12" s="111"/>
    </row>
    <row r="13" spans="1:11" s="20" customFormat="1" ht="36" x14ac:dyDescent="0.25">
      <c r="A13" s="220"/>
      <c r="B13" s="19"/>
      <c r="C13" s="327" t="s">
        <v>246</v>
      </c>
      <c r="D13" s="327"/>
      <c r="E13" s="327"/>
      <c r="F13" s="227" t="s">
        <v>104</v>
      </c>
      <c r="G13" s="227" t="s">
        <v>19</v>
      </c>
      <c r="H13" s="227" t="s">
        <v>106</v>
      </c>
      <c r="I13" s="227" t="s">
        <v>26</v>
      </c>
      <c r="J13" s="111"/>
      <c r="K13" s="19"/>
    </row>
    <row r="14" spans="1:11" x14ac:dyDescent="0.25">
      <c r="A14" s="221" t="s">
        <v>235</v>
      </c>
      <c r="B14" s="6"/>
      <c r="C14" s="304"/>
      <c r="D14" s="304"/>
      <c r="E14" s="304"/>
      <c r="F14" s="165"/>
      <c r="G14" s="226"/>
      <c r="H14" s="164"/>
      <c r="I14" s="166">
        <f>IFERROR(F14*H14,0)</f>
        <v>0</v>
      </c>
      <c r="J14" s="111"/>
      <c r="K14" s="111"/>
    </row>
    <row r="15" spans="1:11" ht="15" hidden="1" customHeight="1" x14ac:dyDescent="0.25">
      <c r="A15" s="221"/>
      <c r="B15" s="6"/>
      <c r="C15" s="340"/>
      <c r="D15" s="341"/>
      <c r="E15" s="342"/>
      <c r="F15" s="122"/>
      <c r="G15" s="233"/>
      <c r="H15" s="233"/>
      <c r="I15" s="120"/>
      <c r="J15" s="111"/>
      <c r="K15" s="111"/>
    </row>
    <row r="16" spans="1:11" x14ac:dyDescent="0.25">
      <c r="A16" s="221"/>
      <c r="B16" s="6"/>
      <c r="C16" s="309" t="s">
        <v>2</v>
      </c>
      <c r="D16" s="309"/>
      <c r="E16" s="309"/>
      <c r="F16" s="309"/>
      <c r="G16" s="309"/>
      <c r="H16" s="309"/>
      <c r="I16" s="118">
        <f>SUM(I14:I15)</f>
        <v>0</v>
      </c>
      <c r="J16" s="111"/>
      <c r="K16" s="111"/>
    </row>
    <row r="17" spans="1:11" ht="15" hidden="1" customHeight="1" x14ac:dyDescent="0.25">
      <c r="A17" s="221"/>
      <c r="B17" s="6"/>
      <c r="C17" s="310" t="s">
        <v>258</v>
      </c>
      <c r="D17" s="310"/>
      <c r="E17" s="310"/>
      <c r="F17" s="310"/>
      <c r="G17" s="310"/>
      <c r="H17" s="310"/>
      <c r="I17" s="310"/>
      <c r="J17" s="111"/>
      <c r="K17" s="111"/>
    </row>
    <row r="18" spans="1:11" ht="50.1" hidden="1" customHeight="1" x14ac:dyDescent="0.25">
      <c r="A18" s="221"/>
      <c r="B18" s="6"/>
      <c r="C18" s="311"/>
      <c r="D18" s="311"/>
      <c r="E18" s="311"/>
      <c r="F18" s="311"/>
      <c r="G18" s="311"/>
      <c r="H18" s="311"/>
      <c r="I18" s="311"/>
      <c r="J18" s="111"/>
      <c r="K18" s="111"/>
    </row>
    <row r="19" spans="1:11" ht="15" customHeight="1" x14ac:dyDescent="0.25">
      <c r="A19" s="221"/>
      <c r="B19" s="6"/>
      <c r="C19" s="6"/>
      <c r="D19" s="6"/>
      <c r="E19" s="6"/>
      <c r="F19" s="6"/>
      <c r="G19" s="6"/>
      <c r="H19" s="8"/>
      <c r="I19" s="6"/>
      <c r="J19" s="111"/>
      <c r="K19" s="111"/>
    </row>
    <row r="20" spans="1:11" ht="39.950000000000003" customHeight="1" x14ac:dyDescent="0.25">
      <c r="A20" s="221"/>
      <c r="B20" s="6"/>
      <c r="C20" s="330" t="s">
        <v>259</v>
      </c>
      <c r="D20" s="330"/>
      <c r="E20" s="330"/>
      <c r="F20" s="330"/>
      <c r="G20" s="330"/>
      <c r="H20" s="330"/>
      <c r="I20" s="330"/>
      <c r="J20" s="111"/>
      <c r="K20" s="111"/>
    </row>
    <row r="21" spans="1:11" ht="15" customHeight="1" x14ac:dyDescent="0.25">
      <c r="A21" s="221"/>
      <c r="B21" s="6"/>
      <c r="C21" s="6"/>
      <c r="D21" s="6"/>
      <c r="E21" s="6"/>
      <c r="F21" s="6"/>
      <c r="G21" s="6"/>
      <c r="H21" s="8"/>
      <c r="I21" s="6"/>
      <c r="J21" s="111"/>
      <c r="K21" s="111"/>
    </row>
    <row r="22" spans="1:11" ht="15" customHeight="1" x14ac:dyDescent="0.25">
      <c r="A22" s="221"/>
      <c r="B22" s="6"/>
      <c r="C22" s="339" t="s">
        <v>149</v>
      </c>
      <c r="D22" s="339"/>
      <c r="E22" s="339"/>
      <c r="F22" s="339"/>
      <c r="G22" s="339"/>
      <c r="H22" s="339"/>
      <c r="I22" s="339"/>
      <c r="J22" s="111"/>
      <c r="K22" s="111"/>
    </row>
    <row r="23" spans="1:11" s="20" customFormat="1" ht="36" x14ac:dyDescent="0.25">
      <c r="A23" s="220"/>
      <c r="B23" s="19"/>
      <c r="C23" s="327" t="s">
        <v>246</v>
      </c>
      <c r="D23" s="327"/>
      <c r="E23" s="327"/>
      <c r="F23" s="227" t="s">
        <v>105</v>
      </c>
      <c r="G23" s="227" t="s">
        <v>19</v>
      </c>
      <c r="H23" s="227" t="s">
        <v>106</v>
      </c>
      <c r="I23" s="227" t="s">
        <v>26</v>
      </c>
      <c r="J23" s="111"/>
      <c r="K23" s="19"/>
    </row>
    <row r="24" spans="1:11" x14ac:dyDescent="0.25">
      <c r="A24" s="221" t="s">
        <v>236</v>
      </c>
      <c r="B24" s="6"/>
      <c r="C24" s="304"/>
      <c r="D24" s="304"/>
      <c r="E24" s="304"/>
      <c r="F24" s="165"/>
      <c r="G24" s="226"/>
      <c r="H24" s="164"/>
      <c r="I24" s="166">
        <f>IFERROR(F24*H24,0)</f>
        <v>0</v>
      </c>
      <c r="J24" s="111"/>
      <c r="K24" s="111"/>
    </row>
    <row r="25" spans="1:11" ht="15" hidden="1" customHeight="1" x14ac:dyDescent="0.25">
      <c r="A25" s="221"/>
      <c r="B25" s="6"/>
      <c r="C25" s="340"/>
      <c r="D25" s="341"/>
      <c r="E25" s="342"/>
      <c r="F25" s="124"/>
      <c r="G25" s="233"/>
      <c r="H25" s="233"/>
      <c r="I25" s="120"/>
      <c r="J25" s="111"/>
      <c r="K25" s="111"/>
    </row>
    <row r="26" spans="1:11" x14ac:dyDescent="0.25">
      <c r="A26" s="221"/>
      <c r="B26" s="6"/>
      <c r="C26" s="309" t="s">
        <v>2</v>
      </c>
      <c r="D26" s="309"/>
      <c r="E26" s="309"/>
      <c r="F26" s="309"/>
      <c r="G26" s="309"/>
      <c r="H26" s="309"/>
      <c r="I26" s="118">
        <f>SUM(I24:I25)</f>
        <v>0</v>
      </c>
      <c r="J26" s="111"/>
      <c r="K26" s="111"/>
    </row>
    <row r="27" spans="1:11" ht="15" hidden="1" customHeight="1" x14ac:dyDescent="0.25">
      <c r="A27" s="221"/>
      <c r="B27" s="6"/>
      <c r="C27" s="310" t="s">
        <v>258</v>
      </c>
      <c r="D27" s="310"/>
      <c r="E27" s="310"/>
      <c r="F27" s="310"/>
      <c r="G27" s="310"/>
      <c r="H27" s="310"/>
      <c r="I27" s="310"/>
      <c r="J27" s="111"/>
      <c r="K27" s="111"/>
    </row>
    <row r="28" spans="1:11" ht="50.1" hidden="1" customHeight="1" x14ac:dyDescent="0.25">
      <c r="A28" s="221"/>
      <c r="B28" s="6"/>
      <c r="C28" s="311"/>
      <c r="D28" s="311"/>
      <c r="E28" s="311"/>
      <c r="F28" s="311"/>
      <c r="G28" s="311"/>
      <c r="H28" s="311"/>
      <c r="I28" s="311"/>
      <c r="J28" s="111"/>
      <c r="K28" s="111"/>
    </row>
    <row r="29" spans="1:11" ht="15" customHeight="1" x14ac:dyDescent="0.25">
      <c r="A29" s="221"/>
      <c r="B29" s="6"/>
      <c r="C29" s="6"/>
      <c r="D29" s="6"/>
      <c r="E29" s="6"/>
      <c r="F29" s="6"/>
      <c r="G29" s="6"/>
      <c r="H29" s="8"/>
      <c r="I29" s="6"/>
      <c r="J29" s="111"/>
      <c r="K29" s="111"/>
    </row>
    <row r="30" spans="1:11" ht="39.950000000000003" customHeight="1" x14ac:dyDescent="0.25">
      <c r="A30" s="221"/>
      <c r="B30" s="6"/>
      <c r="C30" s="330" t="s">
        <v>24</v>
      </c>
      <c r="D30" s="330"/>
      <c r="E30" s="330"/>
      <c r="F30" s="330"/>
      <c r="G30" s="330"/>
      <c r="H30" s="330"/>
      <c r="I30" s="330"/>
      <c r="J30" s="111"/>
      <c r="K30" s="111"/>
    </row>
    <row r="31" spans="1:11" ht="15" customHeight="1" x14ac:dyDescent="0.25">
      <c r="A31" s="221"/>
      <c r="B31" s="6"/>
      <c r="C31" s="6"/>
      <c r="D31" s="6"/>
      <c r="E31" s="6"/>
      <c r="F31" s="6"/>
      <c r="G31" s="6"/>
      <c r="H31" s="8"/>
      <c r="I31" s="6"/>
      <c r="J31" s="111"/>
      <c r="K31" s="111"/>
    </row>
    <row r="32" spans="1:11" ht="14.45" customHeight="1" x14ac:dyDescent="0.25">
      <c r="A32" s="221"/>
      <c r="B32" s="6"/>
      <c r="C32" s="315" t="s">
        <v>169</v>
      </c>
      <c r="D32" s="315"/>
      <c r="E32" s="315"/>
      <c r="F32" s="315"/>
      <c r="G32" s="315"/>
      <c r="H32" s="315"/>
      <c r="I32" s="315"/>
      <c r="J32" s="111"/>
      <c r="K32" s="111"/>
    </row>
    <row r="33" spans="1:11" s="20" customFormat="1" ht="48" x14ac:dyDescent="0.25">
      <c r="A33" s="220"/>
      <c r="B33" s="19"/>
      <c r="C33" s="227" t="s">
        <v>246</v>
      </c>
      <c r="D33" s="227" t="s">
        <v>19</v>
      </c>
      <c r="E33" s="227" t="s">
        <v>23</v>
      </c>
      <c r="F33" s="227" t="s">
        <v>226</v>
      </c>
      <c r="G33" s="227" t="s">
        <v>229</v>
      </c>
      <c r="H33" s="227" t="s">
        <v>228</v>
      </c>
      <c r="I33" s="227" t="s">
        <v>247</v>
      </c>
      <c r="J33" s="116"/>
      <c r="K33" s="19"/>
    </row>
    <row r="34" spans="1:11" x14ac:dyDescent="0.25">
      <c r="A34" s="221" t="s">
        <v>237</v>
      </c>
      <c r="B34" s="6"/>
      <c r="C34" s="164"/>
      <c r="D34" s="226"/>
      <c r="E34" s="242"/>
      <c r="F34" s="167">
        <f>IF(E34="",0,VLOOKUP(E34,'Countries&amp;Coefficients'!$A$2:$B$29,2,0))</f>
        <v>0</v>
      </c>
      <c r="G34" s="168">
        <f>5080/18</f>
        <v>282.22222222222223</v>
      </c>
      <c r="H34" s="164"/>
      <c r="I34" s="166">
        <f>IFERROR(F34*G34*H34,0)</f>
        <v>0</v>
      </c>
      <c r="J34" s="111"/>
      <c r="K34" s="111"/>
    </row>
    <row r="35" spans="1:11" ht="15" hidden="1" customHeight="1" x14ac:dyDescent="0.25">
      <c r="A35" s="221"/>
      <c r="B35" s="6"/>
      <c r="C35" s="340"/>
      <c r="D35" s="342"/>
      <c r="E35" s="233"/>
      <c r="F35" s="233"/>
      <c r="G35" s="122"/>
      <c r="H35" s="233"/>
      <c r="I35" s="120"/>
      <c r="J35" s="111"/>
      <c r="K35" s="111"/>
    </row>
    <row r="36" spans="1:11" x14ac:dyDescent="0.25">
      <c r="A36" s="221"/>
      <c r="B36" s="6"/>
      <c r="C36" s="309" t="s">
        <v>2</v>
      </c>
      <c r="D36" s="309"/>
      <c r="E36" s="309"/>
      <c r="F36" s="309"/>
      <c r="G36" s="309"/>
      <c r="H36" s="309"/>
      <c r="I36" s="118">
        <f>SUM(I33:I35)</f>
        <v>0</v>
      </c>
      <c r="J36" s="111"/>
      <c r="K36" s="111"/>
    </row>
    <row r="37" spans="1:11" ht="15" hidden="1" customHeight="1" x14ac:dyDescent="0.25">
      <c r="A37" s="221"/>
      <c r="B37" s="6"/>
      <c r="C37" s="310" t="s">
        <v>258</v>
      </c>
      <c r="D37" s="310"/>
      <c r="E37" s="310"/>
      <c r="F37" s="310"/>
      <c r="G37" s="310"/>
      <c r="H37" s="310"/>
      <c r="I37" s="310"/>
      <c r="J37" s="111"/>
      <c r="K37" s="111"/>
    </row>
    <row r="38" spans="1:11" ht="50.1" hidden="1" customHeight="1" x14ac:dyDescent="0.25">
      <c r="A38" s="221"/>
      <c r="B38" s="6"/>
      <c r="C38" s="311"/>
      <c r="D38" s="311"/>
      <c r="E38" s="311"/>
      <c r="F38" s="311"/>
      <c r="G38" s="311"/>
      <c r="H38" s="311"/>
      <c r="I38" s="311"/>
      <c r="J38" s="111"/>
      <c r="K38" s="111"/>
    </row>
    <row r="39" spans="1:11" x14ac:dyDescent="0.25">
      <c r="A39" s="221"/>
      <c r="B39" s="6"/>
      <c r="C39" s="6"/>
      <c r="D39" s="6"/>
      <c r="E39" s="6"/>
      <c r="F39" s="6"/>
      <c r="G39" s="6"/>
      <c r="H39" s="6"/>
      <c r="I39" s="6"/>
      <c r="J39" s="111"/>
      <c r="K39" s="111"/>
    </row>
    <row r="40" spans="1:11" ht="38.450000000000003" customHeight="1" x14ac:dyDescent="0.25">
      <c r="A40" s="221"/>
      <c r="B40" s="6"/>
      <c r="C40" s="9" t="s">
        <v>42</v>
      </c>
      <c r="D40" s="6"/>
      <c r="E40" s="6"/>
      <c r="F40" s="6"/>
      <c r="G40" s="6"/>
      <c r="H40" s="6"/>
      <c r="I40" s="6"/>
      <c r="J40" s="111"/>
      <c r="K40" s="111"/>
    </row>
    <row r="41" spans="1:11" ht="51" customHeight="1" x14ac:dyDescent="0.25">
      <c r="A41" s="221"/>
      <c r="B41" s="6"/>
      <c r="C41" s="330" t="s">
        <v>10</v>
      </c>
      <c r="D41" s="330"/>
      <c r="E41" s="330"/>
      <c r="F41" s="330"/>
      <c r="G41" s="330"/>
      <c r="H41" s="330"/>
      <c r="I41" s="330"/>
      <c r="J41" s="111"/>
      <c r="K41" s="111"/>
    </row>
    <row r="42" spans="1:11" ht="15" customHeight="1" x14ac:dyDescent="0.25">
      <c r="A42" s="221"/>
      <c r="B42" s="6"/>
      <c r="C42" s="6"/>
      <c r="D42" s="6"/>
      <c r="E42" s="6"/>
      <c r="F42" s="6"/>
      <c r="G42" s="6"/>
      <c r="H42" s="6"/>
      <c r="I42" s="6"/>
      <c r="J42" s="111"/>
      <c r="K42" s="111"/>
    </row>
    <row r="43" spans="1:11" ht="23.25" x14ac:dyDescent="0.25">
      <c r="A43" s="221"/>
      <c r="B43" s="6"/>
      <c r="C43" s="230" t="s">
        <v>5</v>
      </c>
      <c r="D43" s="230" t="s">
        <v>1</v>
      </c>
      <c r="E43" s="230" t="s">
        <v>0</v>
      </c>
      <c r="F43" s="230" t="s">
        <v>9</v>
      </c>
      <c r="G43" s="331" t="s">
        <v>8</v>
      </c>
      <c r="H43" s="331"/>
      <c r="I43" s="230" t="s">
        <v>4</v>
      </c>
      <c r="J43" s="111"/>
      <c r="K43" s="111"/>
    </row>
    <row r="44" spans="1:11" x14ac:dyDescent="0.25">
      <c r="A44" s="221" t="s">
        <v>238</v>
      </c>
      <c r="B44" s="6"/>
      <c r="C44" s="229"/>
      <c r="D44" s="169"/>
      <c r="E44" s="161"/>
      <c r="F44" s="161"/>
      <c r="G44" s="332"/>
      <c r="H44" s="332"/>
      <c r="I44" s="165"/>
      <c r="J44" s="111"/>
      <c r="K44" s="111"/>
    </row>
    <row r="45" spans="1:11" ht="15" hidden="1" customHeight="1" x14ac:dyDescent="0.25">
      <c r="A45" s="221"/>
      <c r="B45" s="6"/>
      <c r="C45" s="234"/>
      <c r="D45" s="235"/>
      <c r="E45" s="235"/>
      <c r="F45" s="236"/>
      <c r="G45" s="333"/>
      <c r="H45" s="334"/>
      <c r="I45" s="128"/>
      <c r="J45" s="111"/>
      <c r="K45" s="111"/>
    </row>
    <row r="46" spans="1:11" x14ac:dyDescent="0.25">
      <c r="A46" s="221"/>
      <c r="B46" s="6"/>
      <c r="C46" s="335" t="s">
        <v>2</v>
      </c>
      <c r="D46" s="335"/>
      <c r="E46" s="335"/>
      <c r="F46" s="335"/>
      <c r="G46" s="335"/>
      <c r="H46" s="335"/>
      <c r="I46" s="119">
        <f>SUM(I44:I45)</f>
        <v>0</v>
      </c>
      <c r="J46" s="111"/>
      <c r="K46" s="111"/>
    </row>
    <row r="47" spans="1:11" ht="15" hidden="1" customHeight="1" x14ac:dyDescent="0.25">
      <c r="A47" s="221"/>
      <c r="B47" s="6"/>
      <c r="C47" s="336" t="s">
        <v>258</v>
      </c>
      <c r="D47" s="336"/>
      <c r="E47" s="336"/>
      <c r="F47" s="336"/>
      <c r="G47" s="336"/>
      <c r="H47" s="336"/>
      <c r="I47" s="336"/>
      <c r="J47" s="111"/>
      <c r="K47" s="111"/>
    </row>
    <row r="48" spans="1:11" ht="50.1" hidden="1" customHeight="1" x14ac:dyDescent="0.25">
      <c r="A48" s="221"/>
      <c r="B48" s="6"/>
      <c r="C48" s="311"/>
      <c r="D48" s="311"/>
      <c r="E48" s="311"/>
      <c r="F48" s="311"/>
      <c r="G48" s="311"/>
      <c r="H48" s="311"/>
      <c r="I48" s="311"/>
      <c r="J48" s="111"/>
      <c r="K48" s="111"/>
    </row>
    <row r="49" spans="1:11" x14ac:dyDescent="0.25">
      <c r="A49" s="221"/>
      <c r="B49" s="6"/>
      <c r="C49" s="6"/>
      <c r="D49" s="6"/>
      <c r="E49" s="6"/>
      <c r="F49" s="6"/>
      <c r="G49" s="6"/>
      <c r="H49" s="6"/>
      <c r="I49" s="6"/>
      <c r="J49" s="111"/>
      <c r="K49" s="111"/>
    </row>
    <row r="50" spans="1:11" ht="27.95" customHeight="1" x14ac:dyDescent="0.25">
      <c r="A50" s="221"/>
      <c r="B50" s="6"/>
      <c r="C50" s="9" t="s">
        <v>162</v>
      </c>
      <c r="D50" s="6"/>
      <c r="E50" s="6"/>
      <c r="F50" s="6"/>
      <c r="G50" s="6"/>
      <c r="H50" s="6"/>
      <c r="I50" s="6"/>
      <c r="J50" s="111"/>
      <c r="K50" s="111"/>
    </row>
    <row r="51" spans="1:11" ht="39" customHeight="1" x14ac:dyDescent="0.25">
      <c r="A51" s="221"/>
      <c r="B51" s="6"/>
      <c r="C51" s="337" t="s">
        <v>13</v>
      </c>
      <c r="D51" s="337"/>
      <c r="E51" s="337"/>
      <c r="F51" s="337"/>
      <c r="G51" s="337"/>
      <c r="H51" s="338"/>
      <c r="I51" s="338"/>
      <c r="J51" s="111"/>
      <c r="K51" s="111"/>
    </row>
    <row r="52" spans="1:11" x14ac:dyDescent="0.25">
      <c r="A52" s="221"/>
      <c r="B52" s="6"/>
      <c r="C52" s="6"/>
      <c r="D52" s="6"/>
      <c r="E52" s="6"/>
      <c r="F52" s="6"/>
      <c r="G52" s="6"/>
      <c r="H52" s="6"/>
      <c r="I52" s="6"/>
      <c r="J52" s="111"/>
      <c r="K52" s="111"/>
    </row>
    <row r="53" spans="1:11" x14ac:dyDescent="0.25">
      <c r="A53" s="221"/>
      <c r="B53" s="6"/>
      <c r="C53" s="315" t="s">
        <v>43</v>
      </c>
      <c r="D53" s="315"/>
      <c r="E53" s="315"/>
      <c r="F53" s="315"/>
      <c r="G53" s="315"/>
      <c r="H53" s="315"/>
      <c r="I53" s="315"/>
      <c r="J53" s="111"/>
      <c r="K53" s="111"/>
    </row>
    <row r="54" spans="1:11" ht="24" x14ac:dyDescent="0.25">
      <c r="A54" s="221"/>
      <c r="B54" s="6"/>
      <c r="C54" s="227" t="s">
        <v>245</v>
      </c>
      <c r="D54" s="227" t="s">
        <v>0</v>
      </c>
      <c r="E54" s="227" t="s">
        <v>9</v>
      </c>
      <c r="F54" s="327" t="s">
        <v>7</v>
      </c>
      <c r="G54" s="327"/>
      <c r="H54" s="327"/>
      <c r="I54" s="227" t="s">
        <v>12</v>
      </c>
      <c r="J54" s="111"/>
      <c r="K54" s="111"/>
    </row>
    <row r="55" spans="1:11" x14ac:dyDescent="0.25">
      <c r="A55" s="221" t="s">
        <v>239</v>
      </c>
      <c r="B55" s="6"/>
      <c r="C55" s="228"/>
      <c r="D55" s="170"/>
      <c r="E55" s="161"/>
      <c r="F55" s="328"/>
      <c r="G55" s="328"/>
      <c r="H55" s="328"/>
      <c r="I55" s="165"/>
      <c r="J55" s="111"/>
      <c r="K55" s="111"/>
    </row>
    <row r="56" spans="1:11" ht="15" hidden="1" customHeight="1" x14ac:dyDescent="0.25">
      <c r="A56" s="221"/>
      <c r="B56" s="6"/>
      <c r="C56" s="237"/>
      <c r="D56" s="238"/>
      <c r="E56" s="239"/>
      <c r="F56" s="324"/>
      <c r="G56" s="325"/>
      <c r="H56" s="326"/>
      <c r="I56" s="132"/>
      <c r="J56" s="111"/>
      <c r="K56" s="111"/>
    </row>
    <row r="57" spans="1:11" x14ac:dyDescent="0.25">
      <c r="A57" s="221"/>
      <c r="B57" s="6"/>
      <c r="C57" s="309" t="s">
        <v>2</v>
      </c>
      <c r="D57" s="309"/>
      <c r="E57" s="309"/>
      <c r="F57" s="309"/>
      <c r="G57" s="309"/>
      <c r="H57" s="309"/>
      <c r="I57" s="118">
        <f>SUM(I55:I56)</f>
        <v>0</v>
      </c>
      <c r="J57" s="111"/>
      <c r="K57" s="111"/>
    </row>
    <row r="58" spans="1:11" ht="15" hidden="1" customHeight="1" x14ac:dyDescent="0.25">
      <c r="A58" s="221"/>
      <c r="B58" s="6"/>
      <c r="C58" s="310" t="s">
        <v>258</v>
      </c>
      <c r="D58" s="310"/>
      <c r="E58" s="310"/>
      <c r="F58" s="310"/>
      <c r="G58" s="310"/>
      <c r="H58" s="310"/>
      <c r="I58" s="310"/>
      <c r="J58" s="111"/>
      <c r="K58" s="111"/>
    </row>
    <row r="59" spans="1:11" ht="50.1" hidden="1" customHeight="1" x14ac:dyDescent="0.25">
      <c r="A59" s="221"/>
      <c r="B59" s="6"/>
      <c r="C59" s="311"/>
      <c r="D59" s="311"/>
      <c r="E59" s="311"/>
      <c r="F59" s="311"/>
      <c r="G59" s="311"/>
      <c r="H59" s="311"/>
      <c r="I59" s="311"/>
      <c r="J59" s="111"/>
      <c r="K59" s="111"/>
    </row>
    <row r="60" spans="1:11" x14ac:dyDescent="0.25">
      <c r="A60" s="221"/>
      <c r="B60" s="6"/>
      <c r="C60" s="1"/>
      <c r="D60" s="1"/>
      <c r="E60" s="1"/>
      <c r="F60" s="2"/>
      <c r="G60" s="2"/>
      <c r="H60" s="10"/>
      <c r="I60" s="10"/>
      <c r="J60" s="111"/>
      <c r="K60" s="111"/>
    </row>
    <row r="61" spans="1:11" x14ac:dyDescent="0.25">
      <c r="A61" s="221"/>
      <c r="B61" s="6"/>
      <c r="C61" s="315" t="s">
        <v>164</v>
      </c>
      <c r="D61" s="315"/>
      <c r="E61" s="315"/>
      <c r="F61" s="315"/>
      <c r="G61" s="315"/>
      <c r="H61" s="315"/>
      <c r="I61" s="315"/>
      <c r="J61" s="111"/>
      <c r="K61" s="111"/>
    </row>
    <row r="62" spans="1:11" ht="24" x14ac:dyDescent="0.25">
      <c r="A62" s="221"/>
      <c r="B62" s="6"/>
      <c r="C62" s="227" t="s">
        <v>245</v>
      </c>
      <c r="D62" s="227" t="s">
        <v>25</v>
      </c>
      <c r="E62" s="227" t="s">
        <v>0</v>
      </c>
      <c r="F62" s="227" t="s">
        <v>9</v>
      </c>
      <c r="G62" s="327" t="s">
        <v>7</v>
      </c>
      <c r="H62" s="327"/>
      <c r="I62" s="227" t="s">
        <v>12</v>
      </c>
      <c r="J62" s="111"/>
      <c r="K62" s="111"/>
    </row>
    <row r="63" spans="1:11" x14ac:dyDescent="0.25">
      <c r="A63" s="221" t="s">
        <v>240</v>
      </c>
      <c r="B63" s="6"/>
      <c r="C63" s="228"/>
      <c r="D63" s="163"/>
      <c r="E63" s="226"/>
      <c r="F63" s="161"/>
      <c r="G63" s="328"/>
      <c r="H63" s="328"/>
      <c r="I63" s="165"/>
      <c r="J63" s="111"/>
      <c r="K63" s="111"/>
    </row>
    <row r="64" spans="1:11" ht="15" hidden="1" customHeight="1" x14ac:dyDescent="0.25">
      <c r="A64" s="221"/>
      <c r="B64" s="6"/>
      <c r="C64" s="237"/>
      <c r="D64" s="238"/>
      <c r="E64" s="240"/>
      <c r="F64" s="239"/>
      <c r="G64" s="324"/>
      <c r="H64" s="326"/>
      <c r="I64" s="132"/>
      <c r="J64" s="111"/>
      <c r="K64" s="111"/>
    </row>
    <row r="65" spans="1:11" x14ac:dyDescent="0.25">
      <c r="A65" s="221"/>
      <c r="B65" s="6"/>
      <c r="C65" s="309" t="s">
        <v>2</v>
      </c>
      <c r="D65" s="309"/>
      <c r="E65" s="309"/>
      <c r="F65" s="309"/>
      <c r="G65" s="309"/>
      <c r="H65" s="309"/>
      <c r="I65" s="118">
        <f>SUM(I63:I64)</f>
        <v>0</v>
      </c>
      <c r="J65" s="111"/>
      <c r="K65" s="111"/>
    </row>
    <row r="66" spans="1:11" ht="15" hidden="1" customHeight="1" x14ac:dyDescent="0.25">
      <c r="A66" s="221"/>
      <c r="B66" s="6"/>
      <c r="C66" s="310" t="s">
        <v>258</v>
      </c>
      <c r="D66" s="310"/>
      <c r="E66" s="310"/>
      <c r="F66" s="310"/>
      <c r="G66" s="310"/>
      <c r="H66" s="310"/>
      <c r="I66" s="310"/>
      <c r="J66" s="111"/>
      <c r="K66" s="111"/>
    </row>
    <row r="67" spans="1:11" ht="50.1" hidden="1" customHeight="1" x14ac:dyDescent="0.25">
      <c r="A67" s="222"/>
      <c r="B67" s="6"/>
      <c r="C67" s="311"/>
      <c r="D67" s="311"/>
      <c r="E67" s="311"/>
      <c r="F67" s="311"/>
      <c r="G67" s="311"/>
      <c r="H67" s="311"/>
      <c r="I67" s="311"/>
      <c r="J67" s="111"/>
      <c r="K67" s="111"/>
    </row>
    <row r="68" spans="1:11" x14ac:dyDescent="0.25">
      <c r="A68" s="223"/>
      <c r="B68" s="6"/>
      <c r="C68" s="6"/>
      <c r="D68" s="6"/>
      <c r="E68" s="6"/>
      <c r="F68" s="6"/>
      <c r="G68" s="6"/>
      <c r="H68" s="6"/>
      <c r="I68" s="6"/>
      <c r="J68" s="111"/>
      <c r="K68" s="111"/>
    </row>
    <row r="69" spans="1:11" x14ac:dyDescent="0.25">
      <c r="A69" s="223"/>
      <c r="B69" s="6"/>
      <c r="C69" s="315" t="s">
        <v>165</v>
      </c>
      <c r="D69" s="315"/>
      <c r="E69" s="315"/>
      <c r="F69" s="315"/>
      <c r="G69" s="315"/>
      <c r="H69" s="315"/>
      <c r="I69" s="315"/>
      <c r="J69" s="111"/>
      <c r="K69" s="111"/>
    </row>
    <row r="70" spans="1:11" ht="24" x14ac:dyDescent="0.25">
      <c r="A70" s="223"/>
      <c r="B70" s="6"/>
      <c r="C70" s="327" t="s">
        <v>245</v>
      </c>
      <c r="D70" s="327"/>
      <c r="E70" s="227" t="s">
        <v>0</v>
      </c>
      <c r="F70" s="227" t="s">
        <v>9</v>
      </c>
      <c r="G70" s="327" t="s">
        <v>7</v>
      </c>
      <c r="H70" s="327"/>
      <c r="I70" s="227" t="s">
        <v>12</v>
      </c>
      <c r="J70" s="111"/>
      <c r="K70" s="111"/>
    </row>
    <row r="71" spans="1:11" x14ac:dyDescent="0.25">
      <c r="A71" s="223" t="s">
        <v>241</v>
      </c>
      <c r="B71" s="6"/>
      <c r="C71" s="329"/>
      <c r="D71" s="329"/>
      <c r="E71" s="226"/>
      <c r="F71" s="161"/>
      <c r="G71" s="328"/>
      <c r="H71" s="328"/>
      <c r="I71" s="165"/>
      <c r="J71" s="111"/>
      <c r="K71" s="111"/>
    </row>
    <row r="72" spans="1:11" ht="15" hidden="1" customHeight="1" x14ac:dyDescent="0.25">
      <c r="A72" s="223"/>
      <c r="B72" s="6"/>
      <c r="C72" s="322"/>
      <c r="D72" s="323"/>
      <c r="E72" s="240"/>
      <c r="F72" s="239"/>
      <c r="G72" s="324"/>
      <c r="H72" s="326"/>
      <c r="I72" s="132"/>
      <c r="J72" s="111"/>
      <c r="K72" s="111"/>
    </row>
    <row r="73" spans="1:11" x14ac:dyDescent="0.25">
      <c r="A73" s="223"/>
      <c r="B73" s="6"/>
      <c r="C73" s="309" t="s">
        <v>2</v>
      </c>
      <c r="D73" s="309"/>
      <c r="E73" s="309"/>
      <c r="F73" s="309"/>
      <c r="G73" s="309"/>
      <c r="H73" s="309"/>
      <c r="I73" s="118">
        <f>SUM(I71:I72)</f>
        <v>0</v>
      </c>
      <c r="J73" s="111"/>
      <c r="K73" s="111"/>
    </row>
    <row r="74" spans="1:11" ht="15" hidden="1" customHeight="1" x14ac:dyDescent="0.25">
      <c r="A74" s="223"/>
      <c r="B74" s="6"/>
      <c r="C74" s="310" t="s">
        <v>258</v>
      </c>
      <c r="D74" s="310"/>
      <c r="E74" s="310"/>
      <c r="F74" s="310"/>
      <c r="G74" s="310"/>
      <c r="H74" s="310"/>
      <c r="I74" s="310"/>
      <c r="J74" s="111"/>
      <c r="K74" s="111"/>
    </row>
    <row r="75" spans="1:11" ht="50.1" hidden="1" customHeight="1" x14ac:dyDescent="0.25">
      <c r="A75" s="223"/>
      <c r="B75" s="6"/>
      <c r="C75" s="311"/>
      <c r="D75" s="311"/>
      <c r="E75" s="311"/>
      <c r="F75" s="311"/>
      <c r="G75" s="311"/>
      <c r="H75" s="311"/>
      <c r="I75" s="311"/>
      <c r="J75" s="111"/>
      <c r="K75" s="111"/>
    </row>
    <row r="76" spans="1:11" x14ac:dyDescent="0.25">
      <c r="A76" s="221"/>
      <c r="B76" s="6"/>
      <c r="C76" s="6"/>
      <c r="D76" s="6"/>
      <c r="E76" s="6"/>
      <c r="F76" s="6"/>
      <c r="G76" s="6"/>
      <c r="H76" s="6"/>
      <c r="I76" s="6"/>
      <c r="J76" s="111"/>
      <c r="K76" s="111"/>
    </row>
    <row r="77" spans="1:11" x14ac:dyDescent="0.25">
      <c r="A77" s="221"/>
      <c r="B77" s="6"/>
      <c r="C77" s="315" t="s">
        <v>45</v>
      </c>
      <c r="D77" s="315"/>
      <c r="E77" s="315"/>
      <c r="F77" s="315"/>
      <c r="G77" s="315"/>
      <c r="H77" s="315"/>
      <c r="I77" s="315"/>
      <c r="J77" s="111"/>
      <c r="K77" s="111"/>
    </row>
    <row r="78" spans="1:11" ht="24" x14ac:dyDescent="0.25">
      <c r="A78" s="221"/>
      <c r="B78" s="6"/>
      <c r="C78" s="227" t="s">
        <v>245</v>
      </c>
      <c r="D78" s="227" t="s">
        <v>0</v>
      </c>
      <c r="E78" s="227" t="s">
        <v>9</v>
      </c>
      <c r="F78" s="327" t="s">
        <v>7</v>
      </c>
      <c r="G78" s="327"/>
      <c r="H78" s="327"/>
      <c r="I78" s="227" t="s">
        <v>12</v>
      </c>
      <c r="J78" s="111"/>
      <c r="K78" s="111"/>
    </row>
    <row r="79" spans="1:11" x14ac:dyDescent="0.25">
      <c r="A79" s="221" t="s">
        <v>242</v>
      </c>
      <c r="B79" s="6"/>
      <c r="C79" s="228"/>
      <c r="D79" s="170"/>
      <c r="E79" s="161"/>
      <c r="F79" s="328"/>
      <c r="G79" s="328"/>
      <c r="H79" s="328"/>
      <c r="I79" s="165"/>
      <c r="J79" s="111"/>
      <c r="K79" s="111"/>
    </row>
    <row r="80" spans="1:11" ht="15" hidden="1" customHeight="1" x14ac:dyDescent="0.25">
      <c r="A80" s="221"/>
      <c r="B80" s="6"/>
      <c r="C80" s="237"/>
      <c r="D80" s="238"/>
      <c r="E80" s="239"/>
      <c r="F80" s="324"/>
      <c r="G80" s="325"/>
      <c r="H80" s="326"/>
      <c r="I80" s="132"/>
      <c r="J80" s="111"/>
      <c r="K80" s="111"/>
    </row>
    <row r="81" spans="1:11" ht="21.75" customHeight="1" x14ac:dyDescent="0.25">
      <c r="A81" s="221"/>
      <c r="B81" s="6"/>
      <c r="C81" s="309" t="s">
        <v>2</v>
      </c>
      <c r="D81" s="309"/>
      <c r="E81" s="309"/>
      <c r="F81" s="309"/>
      <c r="G81" s="309"/>
      <c r="H81" s="309"/>
      <c r="I81" s="118">
        <f>SUM(I79:I80)</f>
        <v>0</v>
      </c>
      <c r="J81" s="111"/>
      <c r="K81" s="111"/>
    </row>
    <row r="82" spans="1:11" ht="15" hidden="1" customHeight="1" x14ac:dyDescent="0.25">
      <c r="A82" s="221"/>
      <c r="B82" s="6"/>
      <c r="C82" s="310" t="s">
        <v>258</v>
      </c>
      <c r="D82" s="310"/>
      <c r="E82" s="310"/>
      <c r="F82" s="310"/>
      <c r="G82" s="310"/>
      <c r="H82" s="310"/>
      <c r="I82" s="310"/>
      <c r="J82" s="111"/>
      <c r="K82" s="111"/>
    </row>
    <row r="83" spans="1:11" ht="50.1" hidden="1" customHeight="1" x14ac:dyDescent="0.25">
      <c r="A83" s="222"/>
      <c r="B83" s="6"/>
      <c r="C83" s="311"/>
      <c r="D83" s="311"/>
      <c r="E83" s="311"/>
      <c r="F83" s="311"/>
      <c r="G83" s="311"/>
      <c r="H83" s="311"/>
      <c r="I83" s="311"/>
      <c r="J83" s="111"/>
      <c r="K83" s="111"/>
    </row>
    <row r="84" spans="1:11" x14ac:dyDescent="0.25">
      <c r="A84" s="222"/>
      <c r="B84" s="6"/>
      <c r="C84" s="6"/>
      <c r="D84" s="6"/>
      <c r="E84" s="6"/>
      <c r="F84" s="6"/>
      <c r="G84" s="6"/>
      <c r="H84" s="6"/>
      <c r="I84" s="6"/>
      <c r="J84" s="111"/>
      <c r="K84" s="111"/>
    </row>
    <row r="85" spans="1:11" ht="26.1" customHeight="1" x14ac:dyDescent="0.25">
      <c r="A85" s="222"/>
      <c r="B85" s="6"/>
      <c r="C85" s="9" t="s">
        <v>35</v>
      </c>
      <c r="D85" s="6"/>
      <c r="E85" s="6"/>
      <c r="F85" s="6"/>
      <c r="G85" s="6"/>
      <c r="H85" s="6"/>
      <c r="I85" s="6"/>
      <c r="J85" s="111"/>
      <c r="K85" s="111"/>
    </row>
    <row r="86" spans="1:11" ht="26.1" customHeight="1" x14ac:dyDescent="0.25">
      <c r="A86" s="222"/>
      <c r="B86" s="6"/>
      <c r="C86" s="312" t="s">
        <v>260</v>
      </c>
      <c r="D86" s="313"/>
      <c r="E86" s="313"/>
      <c r="F86" s="313"/>
      <c r="G86" s="313"/>
      <c r="H86" s="313"/>
      <c r="I86" s="314"/>
      <c r="J86" s="111"/>
      <c r="K86" s="111"/>
    </row>
    <row r="87" spans="1:11" x14ac:dyDescent="0.25">
      <c r="A87" s="221"/>
      <c r="B87" s="6"/>
      <c r="C87" s="6"/>
      <c r="D87" s="6"/>
      <c r="E87" s="6"/>
      <c r="F87" s="6"/>
      <c r="G87" s="6"/>
      <c r="H87" s="6"/>
      <c r="I87" s="6"/>
      <c r="J87" s="111"/>
      <c r="K87" s="111"/>
    </row>
    <row r="88" spans="1:11" x14ac:dyDescent="0.25">
      <c r="A88" s="221"/>
      <c r="B88" s="6"/>
      <c r="C88" s="315" t="s">
        <v>166</v>
      </c>
      <c r="D88" s="315"/>
      <c r="E88" s="315"/>
      <c r="F88" s="315"/>
      <c r="G88" s="315"/>
      <c r="H88" s="315"/>
      <c r="I88" s="315"/>
      <c r="J88" s="111"/>
      <c r="K88" s="111"/>
    </row>
    <row r="89" spans="1:11" ht="24" x14ac:dyDescent="0.25">
      <c r="A89" s="221"/>
      <c r="B89" s="6"/>
      <c r="C89" s="227" t="s">
        <v>245</v>
      </c>
      <c r="D89" s="227" t="s">
        <v>0</v>
      </c>
      <c r="E89" s="227" t="s">
        <v>9</v>
      </c>
      <c r="F89" s="327" t="s">
        <v>7</v>
      </c>
      <c r="G89" s="327"/>
      <c r="H89" s="327"/>
      <c r="I89" s="227" t="s">
        <v>12</v>
      </c>
      <c r="J89" s="111"/>
      <c r="K89" s="111"/>
    </row>
    <row r="90" spans="1:11" x14ac:dyDescent="0.25">
      <c r="A90" s="221" t="s">
        <v>243</v>
      </c>
      <c r="B90" s="6"/>
      <c r="C90" s="228"/>
      <c r="D90" s="170"/>
      <c r="E90" s="161"/>
      <c r="F90" s="328"/>
      <c r="G90" s="328"/>
      <c r="H90" s="328"/>
      <c r="I90" s="165"/>
      <c r="J90" s="111"/>
      <c r="K90" s="111"/>
    </row>
    <row r="91" spans="1:11" ht="15" hidden="1" customHeight="1" x14ac:dyDescent="0.25">
      <c r="A91" s="219"/>
      <c r="B91" s="6"/>
      <c r="C91" s="237"/>
      <c r="D91" s="238"/>
      <c r="E91" s="239"/>
      <c r="F91" s="324"/>
      <c r="G91" s="325"/>
      <c r="H91" s="326"/>
      <c r="I91" s="132"/>
      <c r="J91" s="111"/>
      <c r="K91" s="111"/>
    </row>
    <row r="92" spans="1:11" x14ac:dyDescent="0.25">
      <c r="A92" s="219"/>
      <c r="B92" s="6"/>
      <c r="C92" s="309" t="s">
        <v>2</v>
      </c>
      <c r="D92" s="309"/>
      <c r="E92" s="309"/>
      <c r="F92" s="309"/>
      <c r="G92" s="309"/>
      <c r="H92" s="309"/>
      <c r="I92" s="118">
        <f>SUM(I90:I91)</f>
        <v>0</v>
      </c>
      <c r="J92" s="111"/>
      <c r="K92" s="111"/>
    </row>
    <row r="93" spans="1:11" ht="15" hidden="1" customHeight="1" x14ac:dyDescent="0.25">
      <c r="A93" s="219"/>
      <c r="B93" s="6"/>
      <c r="C93" s="310" t="s">
        <v>258</v>
      </c>
      <c r="D93" s="310"/>
      <c r="E93" s="310"/>
      <c r="F93" s="310"/>
      <c r="G93" s="310"/>
      <c r="H93" s="310"/>
      <c r="I93" s="310"/>
      <c r="J93" s="111"/>
      <c r="K93" s="111"/>
    </row>
    <row r="94" spans="1:11" ht="50.1" hidden="1" customHeight="1" x14ac:dyDescent="0.25">
      <c r="A94" s="224"/>
      <c r="B94" s="6"/>
      <c r="C94" s="311"/>
      <c r="D94" s="311"/>
      <c r="E94" s="311"/>
      <c r="F94" s="311"/>
      <c r="G94" s="311"/>
      <c r="H94" s="311"/>
      <c r="I94" s="311"/>
      <c r="J94" s="111"/>
      <c r="K94" s="111"/>
    </row>
    <row r="95" spans="1:11" x14ac:dyDescent="0.25">
      <c r="A95" s="224"/>
      <c r="B95" s="6"/>
      <c r="C95" s="6"/>
      <c r="D95" s="6"/>
      <c r="E95" s="6"/>
      <c r="F95" s="6"/>
      <c r="G95" s="6"/>
      <c r="H95" s="6"/>
      <c r="I95" s="6"/>
      <c r="J95" s="111"/>
      <c r="K95" s="111"/>
    </row>
    <row r="96" spans="1:11" ht="30.6" hidden="1" customHeight="1" x14ac:dyDescent="0.25">
      <c r="A96" s="224"/>
      <c r="B96" s="6"/>
      <c r="C96" s="9" t="s">
        <v>163</v>
      </c>
      <c r="D96" s="6"/>
      <c r="E96" s="6"/>
      <c r="F96" s="6"/>
      <c r="G96" s="6"/>
      <c r="H96" s="6"/>
      <c r="I96" s="6"/>
      <c r="J96" s="111"/>
      <c r="K96" s="111"/>
    </row>
    <row r="97" spans="1:11" ht="51.95" hidden="1" customHeight="1" x14ac:dyDescent="0.25">
      <c r="A97" s="224"/>
      <c r="B97" s="6"/>
      <c r="C97" s="312" t="s">
        <v>261</v>
      </c>
      <c r="D97" s="313"/>
      <c r="E97" s="313"/>
      <c r="F97" s="313"/>
      <c r="G97" s="313"/>
      <c r="H97" s="313"/>
      <c r="I97" s="314"/>
      <c r="J97" s="111"/>
      <c r="K97" s="111"/>
    </row>
    <row r="98" spans="1:11" hidden="1" x14ac:dyDescent="0.25">
      <c r="A98" s="224"/>
      <c r="B98" s="6"/>
      <c r="C98" s="6"/>
      <c r="D98" s="6"/>
      <c r="E98" s="6"/>
      <c r="F98" s="6"/>
      <c r="G98" s="6"/>
      <c r="H98" s="6"/>
      <c r="I98" s="6"/>
      <c r="J98" s="111"/>
      <c r="K98" s="111"/>
    </row>
    <row r="99" spans="1:11" hidden="1" x14ac:dyDescent="0.25">
      <c r="A99" s="224"/>
      <c r="B99" s="6"/>
      <c r="C99" s="315" t="s">
        <v>6</v>
      </c>
      <c r="D99" s="315"/>
      <c r="E99" s="315"/>
      <c r="F99" s="315"/>
      <c r="G99" s="315"/>
      <c r="H99" s="315"/>
      <c r="I99" s="315"/>
      <c r="J99" s="111"/>
      <c r="K99" s="111"/>
    </row>
    <row r="100" spans="1:11" ht="24" hidden="1" customHeight="1" x14ac:dyDescent="0.25">
      <c r="A100" s="224"/>
      <c r="B100" s="6"/>
      <c r="C100" s="316" t="s">
        <v>213</v>
      </c>
      <c r="D100" s="317"/>
      <c r="E100" s="317"/>
      <c r="F100" s="317"/>
      <c r="G100" s="317"/>
      <c r="H100" s="318"/>
      <c r="I100" s="227" t="s">
        <v>12</v>
      </c>
      <c r="J100" s="111"/>
      <c r="K100" s="111"/>
    </row>
    <row r="101" spans="1:11" hidden="1" x14ac:dyDescent="0.25">
      <c r="A101" s="224" t="s">
        <v>244</v>
      </c>
      <c r="B101" s="6"/>
      <c r="C101" s="319"/>
      <c r="D101" s="320"/>
      <c r="E101" s="320"/>
      <c r="F101" s="320"/>
      <c r="G101" s="320"/>
      <c r="H101" s="321"/>
      <c r="I101" s="165"/>
      <c r="J101" s="111"/>
      <c r="K101" s="111"/>
    </row>
    <row r="102" spans="1:11" ht="15" hidden="1" customHeight="1" x14ac:dyDescent="0.25">
      <c r="A102" s="224"/>
      <c r="B102" s="6"/>
      <c r="C102" s="322"/>
      <c r="D102" s="323"/>
      <c r="E102" s="239"/>
      <c r="F102" s="324"/>
      <c r="G102" s="325"/>
      <c r="H102" s="326"/>
      <c r="I102" s="132"/>
      <c r="J102" s="111"/>
      <c r="K102" s="111"/>
    </row>
    <row r="103" spans="1:11" hidden="1" x14ac:dyDescent="0.25">
      <c r="A103" s="224"/>
      <c r="B103" s="6"/>
      <c r="C103" s="309" t="s">
        <v>2</v>
      </c>
      <c r="D103" s="309"/>
      <c r="E103" s="309"/>
      <c r="F103" s="309"/>
      <c r="G103" s="309"/>
      <c r="H103" s="309"/>
      <c r="I103" s="118">
        <f>SUM(I101:I102)</f>
        <v>0</v>
      </c>
      <c r="J103" s="111"/>
      <c r="K103" s="111"/>
    </row>
    <row r="104" spans="1:11" ht="15" hidden="1" customHeight="1" x14ac:dyDescent="0.25">
      <c r="A104" s="224"/>
      <c r="B104" s="6"/>
      <c r="C104" s="310" t="s">
        <v>258</v>
      </c>
      <c r="D104" s="310"/>
      <c r="E104" s="310"/>
      <c r="F104" s="310"/>
      <c r="G104" s="310"/>
      <c r="H104" s="310"/>
      <c r="I104" s="310"/>
      <c r="J104" s="111"/>
      <c r="K104" s="111"/>
    </row>
    <row r="105" spans="1:11" ht="50.1" hidden="1" customHeight="1" x14ac:dyDescent="0.25">
      <c r="A105" s="224"/>
      <c r="B105" s="6"/>
      <c r="C105" s="311"/>
      <c r="D105" s="311"/>
      <c r="E105" s="311"/>
      <c r="F105" s="311"/>
      <c r="G105" s="311"/>
      <c r="H105" s="311"/>
      <c r="I105" s="311"/>
      <c r="J105" s="111"/>
      <c r="K105" s="111"/>
    </row>
    <row r="107" spans="1:11" x14ac:dyDescent="0.25">
      <c r="C107" s="199" t="s">
        <v>202</v>
      </c>
    </row>
  </sheetData>
  <sheetProtection algorithmName="SHA-512" hashValue="JjlXDCNorcRyP310DB+j2DJIRFHj/NOFrgFujUiU9ZFiaaKB7b7OBMlqHqhIKo56R16kzCe1euoe4cfIDMDqjA==" saltValue="ViGC7Pev5/eup1mXAdDuMA==" spinCount="100000" sheet="1" objects="1" scenarios="1"/>
  <mergeCells count="81">
    <mergeCell ref="C20:I20"/>
    <mergeCell ref="C2:I2"/>
    <mergeCell ref="C5:I5"/>
    <mergeCell ref="C7:I7"/>
    <mergeCell ref="C11:H11"/>
    <mergeCell ref="C12:I12"/>
    <mergeCell ref="C13:E13"/>
    <mergeCell ref="C14:E14"/>
    <mergeCell ref="C15:E15"/>
    <mergeCell ref="C16:H16"/>
    <mergeCell ref="C17:I17"/>
    <mergeCell ref="C18:I18"/>
    <mergeCell ref="C37:I37"/>
    <mergeCell ref="C22:I22"/>
    <mergeCell ref="C23:E23"/>
    <mergeCell ref="C24:E24"/>
    <mergeCell ref="C25:E25"/>
    <mergeCell ref="C26:H26"/>
    <mergeCell ref="C27:I27"/>
    <mergeCell ref="C28:I28"/>
    <mergeCell ref="C30:I30"/>
    <mergeCell ref="C32:I32"/>
    <mergeCell ref="C35:D35"/>
    <mergeCell ref="C36:H36"/>
    <mergeCell ref="F55:H55"/>
    <mergeCell ref="C38:I38"/>
    <mergeCell ref="C41:I41"/>
    <mergeCell ref="G43:H43"/>
    <mergeCell ref="G44:H44"/>
    <mergeCell ref="G45:H45"/>
    <mergeCell ref="C46:H46"/>
    <mergeCell ref="C47:I47"/>
    <mergeCell ref="C48:I48"/>
    <mergeCell ref="C51:I51"/>
    <mergeCell ref="C53:I53"/>
    <mergeCell ref="F54:H54"/>
    <mergeCell ref="C69:I69"/>
    <mergeCell ref="F56:H56"/>
    <mergeCell ref="C57:H57"/>
    <mergeCell ref="C58:I58"/>
    <mergeCell ref="C59:I59"/>
    <mergeCell ref="C61:I61"/>
    <mergeCell ref="G62:H62"/>
    <mergeCell ref="G63:H63"/>
    <mergeCell ref="G64:H64"/>
    <mergeCell ref="C65:H65"/>
    <mergeCell ref="C66:I66"/>
    <mergeCell ref="C67:I67"/>
    <mergeCell ref="F79:H79"/>
    <mergeCell ref="C70:D70"/>
    <mergeCell ref="G70:H70"/>
    <mergeCell ref="C71:D71"/>
    <mergeCell ref="G71:H71"/>
    <mergeCell ref="C72:D72"/>
    <mergeCell ref="G72:H72"/>
    <mergeCell ref="C73:H73"/>
    <mergeCell ref="C74:I74"/>
    <mergeCell ref="C75:I75"/>
    <mergeCell ref="C77:I77"/>
    <mergeCell ref="F78:H78"/>
    <mergeCell ref="C94:I94"/>
    <mergeCell ref="F80:H80"/>
    <mergeCell ref="C81:H81"/>
    <mergeCell ref="C82:I82"/>
    <mergeCell ref="C83:I83"/>
    <mergeCell ref="C86:I86"/>
    <mergeCell ref="C88:I88"/>
    <mergeCell ref="F89:H89"/>
    <mergeCell ref="F90:H90"/>
    <mergeCell ref="F91:H91"/>
    <mergeCell ref="C92:H92"/>
    <mergeCell ref="C93:I93"/>
    <mergeCell ref="C103:H103"/>
    <mergeCell ref="C104:I104"/>
    <mergeCell ref="C105:I105"/>
    <mergeCell ref="C97:I97"/>
    <mergeCell ref="C99:I99"/>
    <mergeCell ref="C100:H100"/>
    <mergeCell ref="C101:H101"/>
    <mergeCell ref="C102:D102"/>
    <mergeCell ref="F102:H102"/>
  </mergeCells>
  <dataValidations count="5">
    <dataValidation allowBlank="1" showInputMessage="1" showErrorMessage="1" prompt="Insert comment" sqref="C18:I18 C28:I28 C38:I38 C48:I48 C59:I59 C67:I67 C75:I75 C83:I83 C94:I94 C105:I105" xr:uid="{CDEDBF71-7D37-4819-B49D-94530363C854}"/>
    <dataValidation type="decimal" allowBlank="1" showInputMessage="1" showErrorMessage="1" errorTitle="Invalid data!" error="Must be a decimal value." sqref="D63 H10 E10" xr:uid="{6272CB30-84CF-4C54-A17F-4B302DCF9558}">
      <formula1>0</formula1>
      <formula2>1000000000</formula2>
    </dataValidation>
    <dataValidation type="list" allowBlank="1" showInputMessage="1" showErrorMessage="1" promptTitle="Select data" prompt="from the drop-down menu" sqref="F44:F45 E55:E56 F63:F64 F71:F72 E79:E80 E90:E91 E102" xr:uid="{1C030FF9-D3EC-4587-9476-698231FDCC1C}">
      <formula1>"YES,NO"</formula1>
    </dataValidation>
    <dataValidation type="decimal" allowBlank="1" showInputMessage="1" showErrorMessage="1" errorTitle="Invalid data!" error="Must be a decimal value" sqref="D10" xr:uid="{E0C91CCD-1671-40A1-8899-4E975FBFFD3D}">
      <formula1>0</formula1>
      <formula2>1000000000</formula2>
    </dataValidation>
    <dataValidation type="decimal" allowBlank="1" showInputMessage="1" showErrorMessage="1" errorTitle="Invalid data!" error="Must be a decimal value" sqref="I90 I79 I71 I63 I55 I44 F24 F14 I101 D9" xr:uid="{4203D0A4-7E6C-4125-9019-F081C578225D}">
      <formula1>-1000000000</formula1>
      <formula2>1000000000</formula2>
    </dataValidation>
  </dataValidations>
  <printOptions horizontalCentered="1" gridLines="1"/>
  <pageMargins left="0.70866141732283472" right="0.70866141732283472" top="0.74803149606299213" bottom="0.74803149606299213" header="0.31496062992125984" footer="0.31496062992125984"/>
  <pageSetup scale="53" fitToHeight="0" orientation="portrait" r:id="rId1"/>
  <headerFooter scaleWithDoc="0">
    <oddHeader>&amp;A</oddHead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AddLineUoR">
                <anchor moveWithCells="1" sizeWithCells="1">
                  <from>
                    <xdr:col>10</xdr:col>
                    <xdr:colOff>0</xdr:colOff>
                    <xdr:row>12</xdr:row>
                    <xdr:rowOff>0</xdr:rowOff>
                  </from>
                  <to>
                    <xdr:col>11</xdr:col>
                    <xdr:colOff>0</xdr:colOff>
                    <xdr:row>12</xdr:row>
                    <xdr:rowOff>485775</xdr:rowOff>
                  </to>
                </anchor>
              </controlPr>
            </control>
          </mc:Choice>
        </mc:AlternateContent>
        <mc:AlternateContent xmlns:mc="http://schemas.openxmlformats.org/markup-compatibility/2006">
          <mc:Choice Requires="x14">
            <control shapeId="36866" r:id="rId5" name="Button 2">
              <controlPr defaultSize="0" print="0" autoFill="0" autoPict="0" macro="[0]!AddLineUoR">
                <anchor moveWithCells="1" sizeWithCells="1">
                  <from>
                    <xdr:col>10</xdr:col>
                    <xdr:colOff>0</xdr:colOff>
                    <xdr:row>22</xdr:row>
                    <xdr:rowOff>0</xdr:rowOff>
                  </from>
                  <to>
                    <xdr:col>11</xdr:col>
                    <xdr:colOff>0</xdr:colOff>
                    <xdr:row>22</xdr:row>
                    <xdr:rowOff>485775</xdr:rowOff>
                  </to>
                </anchor>
              </controlPr>
            </control>
          </mc:Choice>
        </mc:AlternateContent>
        <mc:AlternateContent xmlns:mc="http://schemas.openxmlformats.org/markup-compatibility/2006">
          <mc:Choice Requires="x14">
            <control shapeId="36867" r:id="rId6" name="Button 3">
              <controlPr defaultSize="0" print="0" autoFill="0" autoPict="0" macro="[0]!AddLineUoR">
                <anchor moveWithCells="1" sizeWithCells="1">
                  <from>
                    <xdr:col>10</xdr:col>
                    <xdr:colOff>0</xdr:colOff>
                    <xdr:row>32</xdr:row>
                    <xdr:rowOff>0</xdr:rowOff>
                  </from>
                  <to>
                    <xdr:col>11</xdr:col>
                    <xdr:colOff>0</xdr:colOff>
                    <xdr:row>32</xdr:row>
                    <xdr:rowOff>485775</xdr:rowOff>
                  </to>
                </anchor>
              </controlPr>
            </control>
          </mc:Choice>
        </mc:AlternateContent>
        <mc:AlternateContent xmlns:mc="http://schemas.openxmlformats.org/markup-compatibility/2006">
          <mc:Choice Requires="x14">
            <control shapeId="36868" r:id="rId7" name="Button 4">
              <controlPr defaultSize="0" print="0" autoFill="0" autoPict="0" macro="[0]!AddLineUoR">
                <anchor moveWithCells="1" sizeWithCells="1">
                  <from>
                    <xdr:col>10</xdr:col>
                    <xdr:colOff>0</xdr:colOff>
                    <xdr:row>42</xdr:row>
                    <xdr:rowOff>0</xdr:rowOff>
                  </from>
                  <to>
                    <xdr:col>11</xdr:col>
                    <xdr:colOff>0</xdr:colOff>
                    <xdr:row>42</xdr:row>
                    <xdr:rowOff>247650</xdr:rowOff>
                  </to>
                </anchor>
              </controlPr>
            </control>
          </mc:Choice>
        </mc:AlternateContent>
        <mc:AlternateContent xmlns:mc="http://schemas.openxmlformats.org/markup-compatibility/2006">
          <mc:Choice Requires="x14">
            <control shapeId="36869" r:id="rId8" name="Button 5">
              <controlPr defaultSize="0" print="0" autoFill="0" autoPict="0" macro="[0]!AddLineUoR">
                <anchor moveWithCells="1" sizeWithCells="1">
                  <from>
                    <xdr:col>10</xdr:col>
                    <xdr:colOff>0</xdr:colOff>
                    <xdr:row>53</xdr:row>
                    <xdr:rowOff>0</xdr:rowOff>
                  </from>
                  <to>
                    <xdr:col>11</xdr:col>
                    <xdr:colOff>0</xdr:colOff>
                    <xdr:row>53</xdr:row>
                    <xdr:rowOff>428625</xdr:rowOff>
                  </to>
                </anchor>
              </controlPr>
            </control>
          </mc:Choice>
        </mc:AlternateContent>
        <mc:AlternateContent xmlns:mc="http://schemas.openxmlformats.org/markup-compatibility/2006">
          <mc:Choice Requires="x14">
            <control shapeId="36870" r:id="rId9" name="Button 6">
              <controlPr defaultSize="0" print="0" autoFill="0" autoPict="0" macro="[0]!AddLineUoR">
                <anchor moveWithCells="1" sizeWithCells="1">
                  <from>
                    <xdr:col>10</xdr:col>
                    <xdr:colOff>0</xdr:colOff>
                    <xdr:row>61</xdr:row>
                    <xdr:rowOff>0</xdr:rowOff>
                  </from>
                  <to>
                    <xdr:col>11</xdr:col>
                    <xdr:colOff>0</xdr:colOff>
                    <xdr:row>61</xdr:row>
                    <xdr:rowOff>419100</xdr:rowOff>
                  </to>
                </anchor>
              </controlPr>
            </control>
          </mc:Choice>
        </mc:AlternateContent>
        <mc:AlternateContent xmlns:mc="http://schemas.openxmlformats.org/markup-compatibility/2006">
          <mc:Choice Requires="x14">
            <control shapeId="36871" r:id="rId10" name="Button 7">
              <controlPr defaultSize="0" print="0" autoFill="0" autoPict="0" macro="[0]!AddLineUoR">
                <anchor moveWithCells="1" sizeWithCells="1">
                  <from>
                    <xdr:col>10</xdr:col>
                    <xdr:colOff>0</xdr:colOff>
                    <xdr:row>69</xdr:row>
                    <xdr:rowOff>0</xdr:rowOff>
                  </from>
                  <to>
                    <xdr:col>11</xdr:col>
                    <xdr:colOff>0</xdr:colOff>
                    <xdr:row>69</xdr:row>
                    <xdr:rowOff>428625</xdr:rowOff>
                  </to>
                </anchor>
              </controlPr>
            </control>
          </mc:Choice>
        </mc:AlternateContent>
        <mc:AlternateContent xmlns:mc="http://schemas.openxmlformats.org/markup-compatibility/2006">
          <mc:Choice Requires="x14">
            <control shapeId="36872" r:id="rId11" name="Button 8">
              <controlPr defaultSize="0" print="0" autoFill="0" autoPict="0" macro="[0]!AddLineUoR">
                <anchor moveWithCells="1" sizeWithCells="1">
                  <from>
                    <xdr:col>10</xdr:col>
                    <xdr:colOff>0</xdr:colOff>
                    <xdr:row>77</xdr:row>
                    <xdr:rowOff>0</xdr:rowOff>
                  </from>
                  <to>
                    <xdr:col>11</xdr:col>
                    <xdr:colOff>0</xdr:colOff>
                    <xdr:row>77</xdr:row>
                    <xdr:rowOff>428625</xdr:rowOff>
                  </to>
                </anchor>
              </controlPr>
            </control>
          </mc:Choice>
        </mc:AlternateContent>
        <mc:AlternateContent xmlns:mc="http://schemas.openxmlformats.org/markup-compatibility/2006">
          <mc:Choice Requires="x14">
            <control shapeId="36873" r:id="rId12" name="Button 9">
              <controlPr defaultSize="0" print="0" autoFill="0" autoPict="0" macro="[0]!AddLineUoR">
                <anchor moveWithCells="1" sizeWithCells="1">
                  <from>
                    <xdr:col>10</xdr:col>
                    <xdr:colOff>0</xdr:colOff>
                    <xdr:row>88</xdr:row>
                    <xdr:rowOff>0</xdr:rowOff>
                  </from>
                  <to>
                    <xdr:col>11</xdr:col>
                    <xdr:colOff>0</xdr:colOff>
                    <xdr:row>88</xdr:row>
                    <xdr:rowOff>428625</xdr:rowOff>
                  </to>
                </anchor>
              </controlPr>
            </control>
          </mc:Choice>
        </mc:AlternateContent>
        <mc:AlternateContent xmlns:mc="http://schemas.openxmlformats.org/markup-compatibility/2006">
          <mc:Choice Requires="x14">
            <control shapeId="36874" r:id="rId13" name="Button 10">
              <controlPr defaultSize="0" print="0" autoFill="0" autoPict="0" macro="[0]!AddLineUoR">
                <anchor moveWithCells="1" sizeWithCells="1">
                  <from>
                    <xdr:col>10</xdr:col>
                    <xdr:colOff>0</xdr:colOff>
                    <xdr:row>99</xdr:row>
                    <xdr:rowOff>0</xdr:rowOff>
                  </from>
                  <to>
                    <xdr:col>11</xdr:col>
                    <xdr:colOff>0</xdr:colOff>
                    <xdr:row>99</xdr:row>
                    <xdr:rowOff>428625</xdr:rowOff>
                  </to>
                </anchor>
              </controlPr>
            </control>
          </mc:Choice>
        </mc:AlternateContent>
        <mc:AlternateContent xmlns:mc="http://schemas.openxmlformats.org/markup-compatibility/2006">
          <mc:Choice Requires="x14">
            <control shapeId="36875" r:id="rId14" name="Button 11">
              <controlPr defaultSize="0" print="0" autoFill="0" autoPict="0" macro="[0]!AddLineUoR">
                <anchor moveWithCells="1" sizeWithCells="1">
                  <from>
                    <xdr:col>10</xdr:col>
                    <xdr:colOff>0</xdr:colOff>
                    <xdr:row>7</xdr:row>
                    <xdr:rowOff>0</xdr:rowOff>
                  </from>
                  <to>
                    <xdr:col>11</xdr:col>
                    <xdr:colOff>0</xdr:colOff>
                    <xdr:row>7</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errorTitle="Invalid data!" error="Country must be selected from the list." xr:uid="{0B402EB0-B386-4F12-A1C5-46F7E9E81D8A}">
          <x14:formula1>
            <xm:f>'Countries&amp;Coefficients'!$A$2:$A$29</xm:f>
          </x14:formula1>
          <xm:sqref>E34</xm:sqref>
        </x14:dataValidation>
        <x14:dataValidation type="custom" operator="lessThanOrEqual" allowBlank="1" showInputMessage="1" showErrorMessage="1" errorTitle="Invalid data!" error="Must be a whole number of days or half days that is less or equal to: (nb months in the reporting period)*215/12. Rounding up to closest 0.5 is accepted." xr:uid="{38B87C06-A8B5-4B96-BB9B-EF6E6B34CDB9}">
          <x14:formula1>
            <xm:f>AND(MOD(E9,0.5)=0,E9&lt;=CEILING(ROUND(('General info on reporting'!$F$16-'General info on reporting'!$D$16)*12/365,0)*215/12,0.5))</xm:f>
          </x14:formula1>
          <xm:sqref>H24 H34 H14 E9</xm:sqref>
        </x14:dataValidation>
        <x14:dataValidation type="custom" operator="lessThanOrEqual" allowBlank="1" showInputMessage="1" showErrorMessage="1" errorTitle="Invalid data!" error="Must be a whole number of days or half days that is less or equal to: (nb months in the reporting period)*215/12 AND that is less or equal to the &quot;Maximum declarable day-equivalents&quot;. Rounding up to closest 0.5 is accepted." xr:uid="{FE3D9527-E602-44AE-AE18-28A72BAFA340}">
          <x14:formula1>
            <xm:f>AND(MOD(H9,0.5)=0,H9&lt;=CEILING(ROUND(('General info on reporting'!$F$16-'General info on reporting'!$D$16)*12/365,0)*215/12,0.5),H9&lt;=E9)</xm:f>
          </x14:formula1>
          <xm:sqref>H9</xm:sqref>
        </x14:dataValidation>
        <x14:dataValidation type="list" allowBlank="1" showInputMessage="1" showErrorMessage="1" errorTitle="Invalid WP" error="You need to select the WP from the drop-down list." xr:uid="{DEFDFF02-0882-4B98-B9FF-E411FED63A59}">
          <x14:formula1>
            <xm:f>ListActivitiesReported!#REF!</xm:f>
          </x14:formula1>
          <xm:sqref>G9 D90 D79 E71 E63 D55 E44 D34 G24 G14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7" tint="0.79998168889431442"/>
    <pageSetUpPr fitToPage="1"/>
  </sheetPr>
  <dimension ref="A1:K107"/>
  <sheetViews>
    <sheetView showGridLines="0" showRowColHeaders="0" zoomScaleNormal="100" zoomScaleSheetLayoutView="85" workbookViewId="0">
      <pane ySplit="1" topLeftCell="A2" activePane="bottomLeft" state="frozen"/>
      <selection pane="bottomLeft" activeCell="C2" sqref="C2:I2"/>
    </sheetView>
  </sheetViews>
  <sheetFormatPr defaultRowHeight="15" x14ac:dyDescent="0.25"/>
  <cols>
    <col min="1" max="1" width="2.7109375" style="225" customWidth="1"/>
    <col min="2" max="2" width="2.7109375" style="11" customWidth="1"/>
    <col min="3" max="9" width="24.140625" style="11" customWidth="1"/>
    <col min="10" max="10" width="3.140625" style="11" customWidth="1"/>
    <col min="11" max="11" width="11.140625" style="11" customWidth="1"/>
  </cols>
  <sheetData>
    <row r="1" spans="1:11" ht="21" customHeight="1" x14ac:dyDescent="0.25">
      <c r="A1" s="218"/>
      <c r="B1" s="4"/>
      <c r="C1" s="6"/>
      <c r="D1" s="117" t="str">
        <f ca="1">HYPERLINK("#"&amp;CELL("address",C4), C4)</f>
        <v>A. Personnel costs</v>
      </c>
      <c r="E1" s="117" t="str">
        <f ca="1">HYPERLINK("#"&amp;CELL("address",C40), C40)</f>
        <v>B. Subcontracting</v>
      </c>
      <c r="F1" s="117" t="str">
        <f ca="1">HYPERLINK("#"&amp;CELL("address",C50), C50)</f>
        <v>C. Purchases</v>
      </c>
      <c r="G1" s="117" t="str">
        <f ca="1">HYPERLINK("#"&amp;CELL("address",C85), C85)</f>
        <v>D. Other cost categories</v>
      </c>
      <c r="H1" s="117"/>
      <c r="I1" s="4"/>
      <c r="J1" s="111"/>
      <c r="K1" s="111"/>
    </row>
    <row r="2" spans="1:11" ht="27" customHeight="1" x14ac:dyDescent="0.25">
      <c r="A2" s="219"/>
      <c r="B2" s="6"/>
      <c r="C2" s="343" t="s">
        <v>192</v>
      </c>
      <c r="D2" s="344"/>
      <c r="E2" s="344"/>
      <c r="F2" s="344"/>
      <c r="G2" s="344"/>
      <c r="H2" s="344"/>
      <c r="I2" s="345"/>
      <c r="J2" s="111"/>
      <c r="K2" s="111"/>
    </row>
    <row r="3" spans="1:11" ht="12.95" customHeight="1" x14ac:dyDescent="0.25">
      <c r="A3" s="219"/>
      <c r="B3" s="6"/>
      <c r="C3" s="6"/>
      <c r="D3" s="6"/>
      <c r="E3" s="6"/>
      <c r="F3" s="6"/>
      <c r="G3" s="6"/>
      <c r="H3" s="6"/>
      <c r="I3" s="6"/>
      <c r="J3" s="111"/>
      <c r="K3" s="111"/>
    </row>
    <row r="4" spans="1:11" ht="39.950000000000003" customHeight="1" x14ac:dyDescent="0.25">
      <c r="A4" s="219"/>
      <c r="B4" s="6"/>
      <c r="C4" s="183" t="s">
        <v>32</v>
      </c>
      <c r="D4" s="183"/>
      <c r="E4" s="6"/>
      <c r="F4" s="6"/>
      <c r="G4" s="6"/>
      <c r="H4" s="8"/>
      <c r="I4" s="6"/>
      <c r="J4" s="111"/>
      <c r="K4" s="111"/>
    </row>
    <row r="5" spans="1:11" ht="116.25" customHeight="1" x14ac:dyDescent="0.25">
      <c r="A5" s="219"/>
      <c r="B5" s="6"/>
      <c r="C5" s="330" t="s">
        <v>262</v>
      </c>
      <c r="D5" s="330"/>
      <c r="E5" s="330"/>
      <c r="F5" s="330"/>
      <c r="G5" s="330"/>
      <c r="H5" s="330"/>
      <c r="I5" s="330"/>
      <c r="J5" s="111"/>
      <c r="K5" s="111"/>
    </row>
    <row r="6" spans="1:11" ht="15" customHeight="1" x14ac:dyDescent="0.25">
      <c r="A6" s="219"/>
      <c r="B6" s="6"/>
      <c r="C6" s="6"/>
      <c r="D6" s="6"/>
      <c r="E6" s="6"/>
      <c r="F6" s="6"/>
      <c r="G6" s="6"/>
      <c r="H6" s="8"/>
      <c r="I6" s="6"/>
      <c r="J6" s="111"/>
      <c r="K6" s="111"/>
    </row>
    <row r="7" spans="1:11" ht="14.45" customHeight="1" x14ac:dyDescent="0.25">
      <c r="A7" s="219"/>
      <c r="B7" s="6"/>
      <c r="C7" s="315" t="s">
        <v>21</v>
      </c>
      <c r="D7" s="315"/>
      <c r="E7" s="315"/>
      <c r="F7" s="315"/>
      <c r="G7" s="315"/>
      <c r="H7" s="315"/>
      <c r="I7" s="315"/>
      <c r="J7" s="111"/>
      <c r="K7" s="111"/>
    </row>
    <row r="8" spans="1:11" s="20" customFormat="1" ht="36" x14ac:dyDescent="0.25">
      <c r="A8" s="220"/>
      <c r="B8" s="19"/>
      <c r="C8" s="227" t="s">
        <v>246</v>
      </c>
      <c r="D8" s="241" t="s">
        <v>15</v>
      </c>
      <c r="E8" s="241" t="s">
        <v>263</v>
      </c>
      <c r="F8" s="227" t="s">
        <v>17</v>
      </c>
      <c r="G8" s="227" t="s">
        <v>19</v>
      </c>
      <c r="H8" s="227" t="s">
        <v>107</v>
      </c>
      <c r="I8" s="227" t="s">
        <v>18</v>
      </c>
      <c r="J8" s="111"/>
      <c r="K8" s="19"/>
    </row>
    <row r="9" spans="1:11" ht="14.45" customHeight="1" x14ac:dyDescent="0.25">
      <c r="A9" s="221" t="s">
        <v>234</v>
      </c>
      <c r="B9" s="6"/>
      <c r="C9" s="164"/>
      <c r="D9" s="165"/>
      <c r="E9" s="164"/>
      <c r="F9" s="166">
        <f>IFERROR(D9/E9,0)</f>
        <v>0</v>
      </c>
      <c r="G9" s="226"/>
      <c r="H9" s="164"/>
      <c r="I9" s="166">
        <f>IFERROR(F9*H9,0)</f>
        <v>0</v>
      </c>
      <c r="J9" s="111"/>
      <c r="K9" s="111"/>
    </row>
    <row r="10" spans="1:11" ht="14.45" hidden="1" customHeight="1" x14ac:dyDescent="0.25">
      <c r="A10" s="221"/>
      <c r="B10" s="6"/>
      <c r="C10" s="231"/>
      <c r="D10" s="179"/>
      <c r="E10" s="231"/>
      <c r="F10" s="180"/>
      <c r="G10" s="232"/>
      <c r="H10" s="231"/>
      <c r="I10" s="180"/>
      <c r="J10" s="111"/>
      <c r="K10" s="111"/>
    </row>
    <row r="11" spans="1:11" ht="14.45" customHeight="1" x14ac:dyDescent="0.25">
      <c r="A11" s="221"/>
      <c r="B11" s="6"/>
      <c r="C11" s="309" t="s">
        <v>2</v>
      </c>
      <c r="D11" s="309"/>
      <c r="E11" s="309"/>
      <c r="F11" s="309"/>
      <c r="G11" s="309"/>
      <c r="H11" s="309"/>
      <c r="I11" s="118">
        <f>SUM(I9:I10)</f>
        <v>0</v>
      </c>
      <c r="J11" s="111"/>
      <c r="K11" s="111"/>
    </row>
    <row r="12" spans="1:11" ht="14.45" customHeight="1" x14ac:dyDescent="0.25">
      <c r="A12" s="221"/>
      <c r="B12" s="6"/>
      <c r="C12" s="315" t="s">
        <v>168</v>
      </c>
      <c r="D12" s="315"/>
      <c r="E12" s="315"/>
      <c r="F12" s="315"/>
      <c r="G12" s="315"/>
      <c r="H12" s="315"/>
      <c r="I12" s="315"/>
      <c r="J12" s="111"/>
      <c r="K12" s="111"/>
    </row>
    <row r="13" spans="1:11" s="20" customFormat="1" ht="36" x14ac:dyDescent="0.25">
      <c r="A13" s="220"/>
      <c r="B13" s="19"/>
      <c r="C13" s="327" t="s">
        <v>246</v>
      </c>
      <c r="D13" s="327"/>
      <c r="E13" s="327"/>
      <c r="F13" s="227" t="s">
        <v>104</v>
      </c>
      <c r="G13" s="227" t="s">
        <v>19</v>
      </c>
      <c r="H13" s="227" t="s">
        <v>106</v>
      </c>
      <c r="I13" s="227" t="s">
        <v>26</v>
      </c>
      <c r="J13" s="111"/>
      <c r="K13" s="19"/>
    </row>
    <row r="14" spans="1:11" x14ac:dyDescent="0.25">
      <c r="A14" s="221" t="s">
        <v>235</v>
      </c>
      <c r="B14" s="6"/>
      <c r="C14" s="304"/>
      <c r="D14" s="304"/>
      <c r="E14" s="304"/>
      <c r="F14" s="165"/>
      <c r="G14" s="226"/>
      <c r="H14" s="164"/>
      <c r="I14" s="166">
        <f>IFERROR(F14*H14,0)</f>
        <v>0</v>
      </c>
      <c r="J14" s="111"/>
      <c r="K14" s="111"/>
    </row>
    <row r="15" spans="1:11" ht="15" hidden="1" customHeight="1" x14ac:dyDescent="0.25">
      <c r="A15" s="221"/>
      <c r="B15" s="6"/>
      <c r="C15" s="340"/>
      <c r="D15" s="341"/>
      <c r="E15" s="342"/>
      <c r="F15" s="122"/>
      <c r="G15" s="233"/>
      <c r="H15" s="233"/>
      <c r="I15" s="120"/>
      <c r="J15" s="111"/>
      <c r="K15" s="111"/>
    </row>
    <row r="16" spans="1:11" x14ac:dyDescent="0.25">
      <c r="A16" s="221"/>
      <c r="B16" s="6"/>
      <c r="C16" s="309" t="s">
        <v>2</v>
      </c>
      <c r="D16" s="309"/>
      <c r="E16" s="309"/>
      <c r="F16" s="309"/>
      <c r="G16" s="309"/>
      <c r="H16" s="309"/>
      <c r="I16" s="118">
        <f>SUM(I14:I15)</f>
        <v>0</v>
      </c>
      <c r="J16" s="111"/>
      <c r="K16" s="111"/>
    </row>
    <row r="17" spans="1:11" ht="15" hidden="1" customHeight="1" x14ac:dyDescent="0.25">
      <c r="A17" s="221"/>
      <c r="B17" s="6"/>
      <c r="C17" s="310" t="s">
        <v>258</v>
      </c>
      <c r="D17" s="310"/>
      <c r="E17" s="310"/>
      <c r="F17" s="310"/>
      <c r="G17" s="310"/>
      <c r="H17" s="310"/>
      <c r="I17" s="310"/>
      <c r="J17" s="111"/>
      <c r="K17" s="111"/>
    </row>
    <row r="18" spans="1:11" ht="50.1" hidden="1" customHeight="1" x14ac:dyDescent="0.25">
      <c r="A18" s="221"/>
      <c r="B18" s="6"/>
      <c r="C18" s="311"/>
      <c r="D18" s="311"/>
      <c r="E18" s="311"/>
      <c r="F18" s="311"/>
      <c r="G18" s="311"/>
      <c r="H18" s="311"/>
      <c r="I18" s="311"/>
      <c r="J18" s="111"/>
      <c r="K18" s="111"/>
    </row>
    <row r="19" spans="1:11" ht="15" customHeight="1" x14ac:dyDescent="0.25">
      <c r="A19" s="221"/>
      <c r="B19" s="6"/>
      <c r="C19" s="6"/>
      <c r="D19" s="6"/>
      <c r="E19" s="6"/>
      <c r="F19" s="6"/>
      <c r="G19" s="6"/>
      <c r="H19" s="8"/>
      <c r="I19" s="6"/>
      <c r="J19" s="111"/>
      <c r="K19" s="111"/>
    </row>
    <row r="20" spans="1:11" ht="39.950000000000003" customHeight="1" x14ac:dyDescent="0.25">
      <c r="A20" s="221"/>
      <c r="B20" s="6"/>
      <c r="C20" s="330" t="s">
        <v>259</v>
      </c>
      <c r="D20" s="330"/>
      <c r="E20" s="330"/>
      <c r="F20" s="330"/>
      <c r="G20" s="330"/>
      <c r="H20" s="330"/>
      <c r="I20" s="330"/>
      <c r="J20" s="111"/>
      <c r="K20" s="111"/>
    </row>
    <row r="21" spans="1:11" ht="15" customHeight="1" x14ac:dyDescent="0.25">
      <c r="A21" s="221"/>
      <c r="B21" s="6"/>
      <c r="C21" s="6"/>
      <c r="D21" s="6"/>
      <c r="E21" s="6"/>
      <c r="F21" s="6"/>
      <c r="G21" s="6"/>
      <c r="H21" s="8"/>
      <c r="I21" s="6"/>
      <c r="J21" s="111"/>
      <c r="K21" s="111"/>
    </row>
    <row r="22" spans="1:11" ht="15" customHeight="1" x14ac:dyDescent="0.25">
      <c r="A22" s="221"/>
      <c r="B22" s="6"/>
      <c r="C22" s="339" t="s">
        <v>149</v>
      </c>
      <c r="D22" s="339"/>
      <c r="E22" s="339"/>
      <c r="F22" s="339"/>
      <c r="G22" s="339"/>
      <c r="H22" s="339"/>
      <c r="I22" s="339"/>
      <c r="J22" s="111"/>
      <c r="K22" s="111"/>
    </row>
    <row r="23" spans="1:11" s="20" customFormat="1" ht="36" x14ac:dyDescent="0.25">
      <c r="A23" s="220"/>
      <c r="B23" s="19"/>
      <c r="C23" s="327" t="s">
        <v>246</v>
      </c>
      <c r="D23" s="327"/>
      <c r="E23" s="327"/>
      <c r="F23" s="227" t="s">
        <v>105</v>
      </c>
      <c r="G23" s="227" t="s">
        <v>19</v>
      </c>
      <c r="H23" s="227" t="s">
        <v>106</v>
      </c>
      <c r="I23" s="227" t="s">
        <v>26</v>
      </c>
      <c r="J23" s="111"/>
      <c r="K23" s="19"/>
    </row>
    <row r="24" spans="1:11" x14ac:dyDescent="0.25">
      <c r="A24" s="221" t="s">
        <v>236</v>
      </c>
      <c r="B24" s="6"/>
      <c r="C24" s="304"/>
      <c r="D24" s="304"/>
      <c r="E24" s="304"/>
      <c r="F24" s="165"/>
      <c r="G24" s="226"/>
      <c r="H24" s="164"/>
      <c r="I24" s="166">
        <f>IFERROR(F24*H24,0)</f>
        <v>0</v>
      </c>
      <c r="J24" s="111"/>
      <c r="K24" s="111"/>
    </row>
    <row r="25" spans="1:11" ht="15" hidden="1" customHeight="1" x14ac:dyDescent="0.25">
      <c r="A25" s="221"/>
      <c r="B25" s="6"/>
      <c r="C25" s="340"/>
      <c r="D25" s="341"/>
      <c r="E25" s="342"/>
      <c r="F25" s="124"/>
      <c r="G25" s="233"/>
      <c r="H25" s="233"/>
      <c r="I25" s="120"/>
      <c r="J25" s="111"/>
      <c r="K25" s="111"/>
    </row>
    <row r="26" spans="1:11" x14ac:dyDescent="0.25">
      <c r="A26" s="221"/>
      <c r="B26" s="6"/>
      <c r="C26" s="309" t="s">
        <v>2</v>
      </c>
      <c r="D26" s="309"/>
      <c r="E26" s="309"/>
      <c r="F26" s="309"/>
      <c r="G26" s="309"/>
      <c r="H26" s="309"/>
      <c r="I26" s="118">
        <f>SUM(I24:I25)</f>
        <v>0</v>
      </c>
      <c r="J26" s="111"/>
      <c r="K26" s="111"/>
    </row>
    <row r="27" spans="1:11" ht="15" hidden="1" customHeight="1" x14ac:dyDescent="0.25">
      <c r="A27" s="221"/>
      <c r="B27" s="6"/>
      <c r="C27" s="310" t="s">
        <v>258</v>
      </c>
      <c r="D27" s="310"/>
      <c r="E27" s="310"/>
      <c r="F27" s="310"/>
      <c r="G27" s="310"/>
      <c r="H27" s="310"/>
      <c r="I27" s="310"/>
      <c r="J27" s="111"/>
      <c r="K27" s="111"/>
    </row>
    <row r="28" spans="1:11" ht="50.1" hidden="1" customHeight="1" x14ac:dyDescent="0.25">
      <c r="A28" s="221"/>
      <c r="B28" s="6"/>
      <c r="C28" s="311"/>
      <c r="D28" s="311"/>
      <c r="E28" s="311"/>
      <c r="F28" s="311"/>
      <c r="G28" s="311"/>
      <c r="H28" s="311"/>
      <c r="I28" s="311"/>
      <c r="J28" s="111"/>
      <c r="K28" s="111"/>
    </row>
    <row r="29" spans="1:11" ht="15" customHeight="1" x14ac:dyDescent="0.25">
      <c r="A29" s="221"/>
      <c r="B29" s="6"/>
      <c r="C29" s="6"/>
      <c r="D29" s="6"/>
      <c r="E29" s="6"/>
      <c r="F29" s="6"/>
      <c r="G29" s="6"/>
      <c r="H29" s="8"/>
      <c r="I29" s="6"/>
      <c r="J29" s="111"/>
      <c r="K29" s="111"/>
    </row>
    <row r="30" spans="1:11" ht="39.950000000000003" customHeight="1" x14ac:dyDescent="0.25">
      <c r="A30" s="221"/>
      <c r="B30" s="6"/>
      <c r="C30" s="330" t="s">
        <v>24</v>
      </c>
      <c r="D30" s="330"/>
      <c r="E30" s="330"/>
      <c r="F30" s="330"/>
      <c r="G30" s="330"/>
      <c r="H30" s="330"/>
      <c r="I30" s="330"/>
      <c r="J30" s="111"/>
      <c r="K30" s="111"/>
    </row>
    <row r="31" spans="1:11" ht="15" customHeight="1" x14ac:dyDescent="0.25">
      <c r="A31" s="221"/>
      <c r="B31" s="6"/>
      <c r="C31" s="6"/>
      <c r="D31" s="6"/>
      <c r="E31" s="6"/>
      <c r="F31" s="6"/>
      <c r="G31" s="6"/>
      <c r="H31" s="8"/>
      <c r="I31" s="6"/>
      <c r="J31" s="111"/>
      <c r="K31" s="111"/>
    </row>
    <row r="32" spans="1:11" ht="14.45" customHeight="1" x14ac:dyDescent="0.25">
      <c r="A32" s="221"/>
      <c r="B32" s="6"/>
      <c r="C32" s="315" t="s">
        <v>169</v>
      </c>
      <c r="D32" s="315"/>
      <c r="E32" s="315"/>
      <c r="F32" s="315"/>
      <c r="G32" s="315"/>
      <c r="H32" s="315"/>
      <c r="I32" s="315"/>
      <c r="J32" s="111"/>
      <c r="K32" s="111"/>
    </row>
    <row r="33" spans="1:11" s="20" customFormat="1" ht="48" x14ac:dyDescent="0.25">
      <c r="A33" s="220"/>
      <c r="B33" s="19"/>
      <c r="C33" s="227" t="s">
        <v>246</v>
      </c>
      <c r="D33" s="227" t="s">
        <v>19</v>
      </c>
      <c r="E33" s="227" t="s">
        <v>23</v>
      </c>
      <c r="F33" s="227" t="s">
        <v>226</v>
      </c>
      <c r="G33" s="227" t="s">
        <v>229</v>
      </c>
      <c r="H33" s="227" t="s">
        <v>228</v>
      </c>
      <c r="I33" s="227" t="s">
        <v>247</v>
      </c>
      <c r="J33" s="116"/>
      <c r="K33" s="19"/>
    </row>
    <row r="34" spans="1:11" x14ac:dyDescent="0.25">
      <c r="A34" s="221" t="s">
        <v>237</v>
      </c>
      <c r="B34" s="6"/>
      <c r="C34" s="164"/>
      <c r="D34" s="226"/>
      <c r="E34" s="242"/>
      <c r="F34" s="167">
        <f>IF(E34="",0,VLOOKUP(E34,'Countries&amp;Coefficients'!$A$2:$B$29,2,0))</f>
        <v>0</v>
      </c>
      <c r="G34" s="168">
        <f>5080/18</f>
        <v>282.22222222222223</v>
      </c>
      <c r="H34" s="164"/>
      <c r="I34" s="166">
        <f>IFERROR(F34*G34*H34,0)</f>
        <v>0</v>
      </c>
      <c r="J34" s="111"/>
      <c r="K34" s="111"/>
    </row>
    <row r="35" spans="1:11" ht="15" hidden="1" customHeight="1" x14ac:dyDescent="0.25">
      <c r="A35" s="221"/>
      <c r="B35" s="6"/>
      <c r="C35" s="340"/>
      <c r="D35" s="342"/>
      <c r="E35" s="233"/>
      <c r="F35" s="233"/>
      <c r="G35" s="122"/>
      <c r="H35" s="233"/>
      <c r="I35" s="120"/>
      <c r="J35" s="111"/>
      <c r="K35" s="111"/>
    </row>
    <row r="36" spans="1:11" x14ac:dyDescent="0.25">
      <c r="A36" s="221"/>
      <c r="B36" s="6"/>
      <c r="C36" s="309" t="s">
        <v>2</v>
      </c>
      <c r="D36" s="309"/>
      <c r="E36" s="309"/>
      <c r="F36" s="309"/>
      <c r="G36" s="309"/>
      <c r="H36" s="309"/>
      <c r="I36" s="118">
        <f>SUM(I33:I35)</f>
        <v>0</v>
      </c>
      <c r="J36" s="111"/>
      <c r="K36" s="111"/>
    </row>
    <row r="37" spans="1:11" ht="15" hidden="1" customHeight="1" x14ac:dyDescent="0.25">
      <c r="A37" s="221"/>
      <c r="B37" s="6"/>
      <c r="C37" s="310" t="s">
        <v>258</v>
      </c>
      <c r="D37" s="310"/>
      <c r="E37" s="310"/>
      <c r="F37" s="310"/>
      <c r="G37" s="310"/>
      <c r="H37" s="310"/>
      <c r="I37" s="310"/>
      <c r="J37" s="111"/>
      <c r="K37" s="111"/>
    </row>
    <row r="38" spans="1:11" ht="50.1" hidden="1" customHeight="1" x14ac:dyDescent="0.25">
      <c r="A38" s="221"/>
      <c r="B38" s="6"/>
      <c r="C38" s="311"/>
      <c r="D38" s="311"/>
      <c r="E38" s="311"/>
      <c r="F38" s="311"/>
      <c r="G38" s="311"/>
      <c r="H38" s="311"/>
      <c r="I38" s="311"/>
      <c r="J38" s="111"/>
      <c r="K38" s="111"/>
    </row>
    <row r="39" spans="1:11" x14ac:dyDescent="0.25">
      <c r="A39" s="221"/>
      <c r="B39" s="6"/>
      <c r="C39" s="6"/>
      <c r="D39" s="6"/>
      <c r="E39" s="6"/>
      <c r="F39" s="6"/>
      <c r="G39" s="6"/>
      <c r="H39" s="6"/>
      <c r="I39" s="6"/>
      <c r="J39" s="111"/>
      <c r="K39" s="111"/>
    </row>
    <row r="40" spans="1:11" ht="38.450000000000003" customHeight="1" x14ac:dyDescent="0.25">
      <c r="A40" s="221"/>
      <c r="B40" s="6"/>
      <c r="C40" s="9" t="s">
        <v>42</v>
      </c>
      <c r="D40" s="6"/>
      <c r="E40" s="6"/>
      <c r="F40" s="6"/>
      <c r="G40" s="6"/>
      <c r="H40" s="6"/>
      <c r="I40" s="6"/>
      <c r="J40" s="111"/>
      <c r="K40" s="111"/>
    </row>
    <row r="41" spans="1:11" ht="51" customHeight="1" x14ac:dyDescent="0.25">
      <c r="A41" s="221"/>
      <c r="B41" s="6"/>
      <c r="C41" s="330" t="s">
        <v>10</v>
      </c>
      <c r="D41" s="330"/>
      <c r="E41" s="330"/>
      <c r="F41" s="330"/>
      <c r="G41" s="330"/>
      <c r="H41" s="330"/>
      <c r="I41" s="330"/>
      <c r="J41" s="111"/>
      <c r="K41" s="111"/>
    </row>
    <row r="42" spans="1:11" ht="15" customHeight="1" x14ac:dyDescent="0.25">
      <c r="A42" s="221"/>
      <c r="B42" s="6"/>
      <c r="C42" s="6"/>
      <c r="D42" s="6"/>
      <c r="E42" s="6"/>
      <c r="F42" s="6"/>
      <c r="G42" s="6"/>
      <c r="H42" s="6"/>
      <c r="I42" s="6"/>
      <c r="J42" s="111"/>
      <c r="K42" s="111"/>
    </row>
    <row r="43" spans="1:11" ht="23.25" x14ac:dyDescent="0.25">
      <c r="A43" s="221"/>
      <c r="B43" s="6"/>
      <c r="C43" s="230" t="s">
        <v>5</v>
      </c>
      <c r="D43" s="230" t="s">
        <v>1</v>
      </c>
      <c r="E43" s="230" t="s">
        <v>0</v>
      </c>
      <c r="F43" s="230" t="s">
        <v>9</v>
      </c>
      <c r="G43" s="331" t="s">
        <v>8</v>
      </c>
      <c r="H43" s="331"/>
      <c r="I43" s="230" t="s">
        <v>4</v>
      </c>
      <c r="J43" s="111"/>
      <c r="K43" s="111"/>
    </row>
    <row r="44" spans="1:11" x14ac:dyDescent="0.25">
      <c r="A44" s="221" t="s">
        <v>238</v>
      </c>
      <c r="B44" s="6"/>
      <c r="C44" s="229"/>
      <c r="D44" s="169"/>
      <c r="E44" s="161"/>
      <c r="F44" s="161"/>
      <c r="G44" s="332"/>
      <c r="H44" s="332"/>
      <c r="I44" s="165"/>
      <c r="J44" s="111"/>
      <c r="K44" s="111"/>
    </row>
    <row r="45" spans="1:11" ht="15" hidden="1" customHeight="1" x14ac:dyDescent="0.25">
      <c r="A45" s="221"/>
      <c r="B45" s="6"/>
      <c r="C45" s="234"/>
      <c r="D45" s="235"/>
      <c r="E45" s="235"/>
      <c r="F45" s="236"/>
      <c r="G45" s="333"/>
      <c r="H45" s="334"/>
      <c r="I45" s="128"/>
      <c r="J45" s="111"/>
      <c r="K45" s="111"/>
    </row>
    <row r="46" spans="1:11" x14ac:dyDescent="0.25">
      <c r="A46" s="221"/>
      <c r="B46" s="6"/>
      <c r="C46" s="335" t="s">
        <v>2</v>
      </c>
      <c r="D46" s="335"/>
      <c r="E46" s="335"/>
      <c r="F46" s="335"/>
      <c r="G46" s="335"/>
      <c r="H46" s="335"/>
      <c r="I46" s="119">
        <f>SUM(I44:I45)</f>
        <v>0</v>
      </c>
      <c r="J46" s="111"/>
      <c r="K46" s="111"/>
    </row>
    <row r="47" spans="1:11" ht="15" hidden="1" customHeight="1" x14ac:dyDescent="0.25">
      <c r="A47" s="221"/>
      <c r="B47" s="6"/>
      <c r="C47" s="336" t="s">
        <v>258</v>
      </c>
      <c r="D47" s="336"/>
      <c r="E47" s="336"/>
      <c r="F47" s="336"/>
      <c r="G47" s="336"/>
      <c r="H47" s="336"/>
      <c r="I47" s="336"/>
      <c r="J47" s="111"/>
      <c r="K47" s="111"/>
    </row>
    <row r="48" spans="1:11" ht="50.1" hidden="1" customHeight="1" x14ac:dyDescent="0.25">
      <c r="A48" s="221"/>
      <c r="B48" s="6"/>
      <c r="C48" s="311"/>
      <c r="D48" s="311"/>
      <c r="E48" s="311"/>
      <c r="F48" s="311"/>
      <c r="G48" s="311"/>
      <c r="H48" s="311"/>
      <c r="I48" s="311"/>
      <c r="J48" s="111"/>
      <c r="K48" s="111"/>
    </row>
    <row r="49" spans="1:11" x14ac:dyDescent="0.25">
      <c r="A49" s="221"/>
      <c r="B49" s="6"/>
      <c r="C49" s="6"/>
      <c r="D49" s="6"/>
      <c r="E49" s="6"/>
      <c r="F49" s="6"/>
      <c r="G49" s="6"/>
      <c r="H49" s="6"/>
      <c r="I49" s="6"/>
      <c r="J49" s="111"/>
      <c r="K49" s="111"/>
    </row>
    <row r="50" spans="1:11" ht="27.95" customHeight="1" x14ac:dyDescent="0.25">
      <c r="A50" s="221"/>
      <c r="B50" s="6"/>
      <c r="C50" s="9" t="s">
        <v>162</v>
      </c>
      <c r="D50" s="6"/>
      <c r="E50" s="6"/>
      <c r="F50" s="6"/>
      <c r="G50" s="6"/>
      <c r="H50" s="6"/>
      <c r="I50" s="6"/>
      <c r="J50" s="111"/>
      <c r="K50" s="111"/>
    </row>
    <row r="51" spans="1:11" ht="39" customHeight="1" x14ac:dyDescent="0.25">
      <c r="A51" s="221"/>
      <c r="B51" s="6"/>
      <c r="C51" s="337" t="s">
        <v>13</v>
      </c>
      <c r="D51" s="337"/>
      <c r="E51" s="337"/>
      <c r="F51" s="337"/>
      <c r="G51" s="337"/>
      <c r="H51" s="338"/>
      <c r="I51" s="338"/>
      <c r="J51" s="111"/>
      <c r="K51" s="111"/>
    </row>
    <row r="52" spans="1:11" x14ac:dyDescent="0.25">
      <c r="A52" s="221"/>
      <c r="B52" s="6"/>
      <c r="C52" s="6"/>
      <c r="D52" s="6"/>
      <c r="E52" s="6"/>
      <c r="F52" s="6"/>
      <c r="G52" s="6"/>
      <c r="H52" s="6"/>
      <c r="I52" s="6"/>
      <c r="J52" s="111"/>
      <c r="K52" s="111"/>
    </row>
    <row r="53" spans="1:11" x14ac:dyDescent="0.25">
      <c r="A53" s="221"/>
      <c r="B53" s="6"/>
      <c r="C53" s="315" t="s">
        <v>43</v>
      </c>
      <c r="D53" s="315"/>
      <c r="E53" s="315"/>
      <c r="F53" s="315"/>
      <c r="G53" s="315"/>
      <c r="H53" s="315"/>
      <c r="I53" s="315"/>
      <c r="J53" s="111"/>
      <c r="K53" s="111"/>
    </row>
    <row r="54" spans="1:11" ht="24" x14ac:dyDescent="0.25">
      <c r="A54" s="221"/>
      <c r="B54" s="6"/>
      <c r="C54" s="227" t="s">
        <v>245</v>
      </c>
      <c r="D54" s="227" t="s">
        <v>0</v>
      </c>
      <c r="E54" s="227" t="s">
        <v>9</v>
      </c>
      <c r="F54" s="327" t="s">
        <v>7</v>
      </c>
      <c r="G54" s="327"/>
      <c r="H54" s="327"/>
      <c r="I54" s="227" t="s">
        <v>12</v>
      </c>
      <c r="J54" s="111"/>
      <c r="K54" s="111"/>
    </row>
    <row r="55" spans="1:11" x14ac:dyDescent="0.25">
      <c r="A55" s="221" t="s">
        <v>239</v>
      </c>
      <c r="B55" s="6"/>
      <c r="C55" s="228"/>
      <c r="D55" s="170"/>
      <c r="E55" s="161"/>
      <c r="F55" s="328"/>
      <c r="G55" s="328"/>
      <c r="H55" s="328"/>
      <c r="I55" s="165"/>
      <c r="J55" s="111"/>
      <c r="K55" s="111"/>
    </row>
    <row r="56" spans="1:11" ht="15" hidden="1" customHeight="1" x14ac:dyDescent="0.25">
      <c r="A56" s="221"/>
      <c r="B56" s="6"/>
      <c r="C56" s="237"/>
      <c r="D56" s="238"/>
      <c r="E56" s="239"/>
      <c r="F56" s="324"/>
      <c r="G56" s="325"/>
      <c r="H56" s="326"/>
      <c r="I56" s="132"/>
      <c r="J56" s="111"/>
      <c r="K56" s="111"/>
    </row>
    <row r="57" spans="1:11" x14ac:dyDescent="0.25">
      <c r="A57" s="221"/>
      <c r="B57" s="6"/>
      <c r="C57" s="309" t="s">
        <v>2</v>
      </c>
      <c r="D57" s="309"/>
      <c r="E57" s="309"/>
      <c r="F57" s="309"/>
      <c r="G57" s="309"/>
      <c r="H57" s="309"/>
      <c r="I57" s="118">
        <f>SUM(I55:I56)</f>
        <v>0</v>
      </c>
      <c r="J57" s="111"/>
      <c r="K57" s="111"/>
    </row>
    <row r="58" spans="1:11" ht="15" hidden="1" customHeight="1" x14ac:dyDescent="0.25">
      <c r="A58" s="221"/>
      <c r="B58" s="6"/>
      <c r="C58" s="310" t="s">
        <v>258</v>
      </c>
      <c r="D58" s="310"/>
      <c r="E58" s="310"/>
      <c r="F58" s="310"/>
      <c r="G58" s="310"/>
      <c r="H58" s="310"/>
      <c r="I58" s="310"/>
      <c r="J58" s="111"/>
      <c r="K58" s="111"/>
    </row>
    <row r="59" spans="1:11" ht="50.1" hidden="1" customHeight="1" x14ac:dyDescent="0.25">
      <c r="A59" s="221"/>
      <c r="B59" s="6"/>
      <c r="C59" s="311"/>
      <c r="D59" s="311"/>
      <c r="E59" s="311"/>
      <c r="F59" s="311"/>
      <c r="G59" s="311"/>
      <c r="H59" s="311"/>
      <c r="I59" s="311"/>
      <c r="J59" s="111"/>
      <c r="K59" s="111"/>
    </row>
    <row r="60" spans="1:11" x14ac:dyDescent="0.25">
      <c r="A60" s="221"/>
      <c r="B60" s="6"/>
      <c r="C60" s="1"/>
      <c r="D60" s="1"/>
      <c r="E60" s="1"/>
      <c r="F60" s="2"/>
      <c r="G60" s="2"/>
      <c r="H60" s="10"/>
      <c r="I60" s="10"/>
      <c r="J60" s="111"/>
      <c r="K60" s="111"/>
    </row>
    <row r="61" spans="1:11" x14ac:dyDescent="0.25">
      <c r="A61" s="221"/>
      <c r="B61" s="6"/>
      <c r="C61" s="315" t="s">
        <v>164</v>
      </c>
      <c r="D61" s="315"/>
      <c r="E61" s="315"/>
      <c r="F61" s="315"/>
      <c r="G61" s="315"/>
      <c r="H61" s="315"/>
      <c r="I61" s="315"/>
      <c r="J61" s="111"/>
      <c r="K61" s="111"/>
    </row>
    <row r="62" spans="1:11" ht="24" x14ac:dyDescent="0.25">
      <c r="A62" s="221"/>
      <c r="B62" s="6"/>
      <c r="C62" s="227" t="s">
        <v>245</v>
      </c>
      <c r="D62" s="227" t="s">
        <v>25</v>
      </c>
      <c r="E62" s="227" t="s">
        <v>0</v>
      </c>
      <c r="F62" s="227" t="s">
        <v>9</v>
      </c>
      <c r="G62" s="327" t="s">
        <v>7</v>
      </c>
      <c r="H62" s="327"/>
      <c r="I62" s="227" t="s">
        <v>12</v>
      </c>
      <c r="J62" s="111"/>
      <c r="K62" s="111"/>
    </row>
    <row r="63" spans="1:11" x14ac:dyDescent="0.25">
      <c r="A63" s="221" t="s">
        <v>240</v>
      </c>
      <c r="B63" s="6"/>
      <c r="C63" s="228"/>
      <c r="D63" s="163"/>
      <c r="E63" s="226"/>
      <c r="F63" s="161"/>
      <c r="G63" s="328"/>
      <c r="H63" s="328"/>
      <c r="I63" s="165"/>
      <c r="J63" s="111"/>
      <c r="K63" s="111"/>
    </row>
    <row r="64" spans="1:11" ht="15" hidden="1" customHeight="1" x14ac:dyDescent="0.25">
      <c r="A64" s="221"/>
      <c r="B64" s="6"/>
      <c r="C64" s="237"/>
      <c r="D64" s="238"/>
      <c r="E64" s="240"/>
      <c r="F64" s="239"/>
      <c r="G64" s="324"/>
      <c r="H64" s="326"/>
      <c r="I64" s="132"/>
      <c r="J64" s="111"/>
      <c r="K64" s="111"/>
    </row>
    <row r="65" spans="1:11" x14ac:dyDescent="0.25">
      <c r="A65" s="221"/>
      <c r="B65" s="6"/>
      <c r="C65" s="309" t="s">
        <v>2</v>
      </c>
      <c r="D65" s="309"/>
      <c r="E65" s="309"/>
      <c r="F65" s="309"/>
      <c r="G65" s="309"/>
      <c r="H65" s="309"/>
      <c r="I65" s="118">
        <f>SUM(I63:I64)</f>
        <v>0</v>
      </c>
      <c r="J65" s="111"/>
      <c r="K65" s="111"/>
    </row>
    <row r="66" spans="1:11" ht="15" hidden="1" customHeight="1" x14ac:dyDescent="0.25">
      <c r="A66" s="221"/>
      <c r="B66" s="6"/>
      <c r="C66" s="310" t="s">
        <v>258</v>
      </c>
      <c r="D66" s="310"/>
      <c r="E66" s="310"/>
      <c r="F66" s="310"/>
      <c r="G66" s="310"/>
      <c r="H66" s="310"/>
      <c r="I66" s="310"/>
      <c r="J66" s="111"/>
      <c r="K66" s="111"/>
    </row>
    <row r="67" spans="1:11" ht="50.1" hidden="1" customHeight="1" x14ac:dyDescent="0.25">
      <c r="A67" s="222"/>
      <c r="B67" s="6"/>
      <c r="C67" s="311"/>
      <c r="D67" s="311"/>
      <c r="E67" s="311"/>
      <c r="F67" s="311"/>
      <c r="G67" s="311"/>
      <c r="H67" s="311"/>
      <c r="I67" s="311"/>
      <c r="J67" s="111"/>
      <c r="K67" s="111"/>
    </row>
    <row r="68" spans="1:11" x14ac:dyDescent="0.25">
      <c r="A68" s="223"/>
      <c r="B68" s="6"/>
      <c r="C68" s="6"/>
      <c r="D68" s="6"/>
      <c r="E68" s="6"/>
      <c r="F68" s="6"/>
      <c r="G68" s="6"/>
      <c r="H68" s="6"/>
      <c r="I68" s="6"/>
      <c r="J68" s="111"/>
      <c r="K68" s="111"/>
    </row>
    <row r="69" spans="1:11" x14ac:dyDescent="0.25">
      <c r="A69" s="223"/>
      <c r="B69" s="6"/>
      <c r="C69" s="315" t="s">
        <v>165</v>
      </c>
      <c r="D69" s="315"/>
      <c r="E69" s="315"/>
      <c r="F69" s="315"/>
      <c r="G69" s="315"/>
      <c r="H69" s="315"/>
      <c r="I69" s="315"/>
      <c r="J69" s="111"/>
      <c r="K69" s="111"/>
    </row>
    <row r="70" spans="1:11" ht="24" x14ac:dyDescent="0.25">
      <c r="A70" s="223"/>
      <c r="B70" s="6"/>
      <c r="C70" s="327" t="s">
        <v>245</v>
      </c>
      <c r="D70" s="327"/>
      <c r="E70" s="227" t="s">
        <v>0</v>
      </c>
      <c r="F70" s="227" t="s">
        <v>9</v>
      </c>
      <c r="G70" s="327" t="s">
        <v>7</v>
      </c>
      <c r="H70" s="327"/>
      <c r="I70" s="227" t="s">
        <v>12</v>
      </c>
      <c r="J70" s="111"/>
      <c r="K70" s="111"/>
    </row>
    <row r="71" spans="1:11" x14ac:dyDescent="0.25">
      <c r="A71" s="223" t="s">
        <v>241</v>
      </c>
      <c r="B71" s="6"/>
      <c r="C71" s="329"/>
      <c r="D71" s="329"/>
      <c r="E71" s="226"/>
      <c r="F71" s="161"/>
      <c r="G71" s="328"/>
      <c r="H71" s="328"/>
      <c r="I71" s="165"/>
      <c r="J71" s="111"/>
      <c r="K71" s="111"/>
    </row>
    <row r="72" spans="1:11" ht="15" hidden="1" customHeight="1" x14ac:dyDescent="0.25">
      <c r="A72" s="223"/>
      <c r="B72" s="6"/>
      <c r="C72" s="322"/>
      <c r="D72" s="323"/>
      <c r="E72" s="240"/>
      <c r="F72" s="239"/>
      <c r="G72" s="324"/>
      <c r="H72" s="326"/>
      <c r="I72" s="132"/>
      <c r="J72" s="111"/>
      <c r="K72" s="111"/>
    </row>
    <row r="73" spans="1:11" x14ac:dyDescent="0.25">
      <c r="A73" s="223"/>
      <c r="B73" s="6"/>
      <c r="C73" s="309" t="s">
        <v>2</v>
      </c>
      <c r="D73" s="309"/>
      <c r="E73" s="309"/>
      <c r="F73" s="309"/>
      <c r="G73" s="309"/>
      <c r="H73" s="309"/>
      <c r="I73" s="118">
        <f>SUM(I71:I72)</f>
        <v>0</v>
      </c>
      <c r="J73" s="111"/>
      <c r="K73" s="111"/>
    </row>
    <row r="74" spans="1:11" ht="15" hidden="1" customHeight="1" x14ac:dyDescent="0.25">
      <c r="A74" s="223"/>
      <c r="B74" s="6"/>
      <c r="C74" s="310" t="s">
        <v>258</v>
      </c>
      <c r="D74" s="310"/>
      <c r="E74" s="310"/>
      <c r="F74" s="310"/>
      <c r="G74" s="310"/>
      <c r="H74" s="310"/>
      <c r="I74" s="310"/>
      <c r="J74" s="111"/>
      <c r="K74" s="111"/>
    </row>
    <row r="75" spans="1:11" ht="50.1" hidden="1" customHeight="1" x14ac:dyDescent="0.25">
      <c r="A75" s="223"/>
      <c r="B75" s="6"/>
      <c r="C75" s="311"/>
      <c r="D75" s="311"/>
      <c r="E75" s="311"/>
      <c r="F75" s="311"/>
      <c r="G75" s="311"/>
      <c r="H75" s="311"/>
      <c r="I75" s="311"/>
      <c r="J75" s="111"/>
      <c r="K75" s="111"/>
    </row>
    <row r="76" spans="1:11" x14ac:dyDescent="0.25">
      <c r="A76" s="221"/>
      <c r="B76" s="6"/>
      <c r="C76" s="6"/>
      <c r="D76" s="6"/>
      <c r="E76" s="6"/>
      <c r="F76" s="6"/>
      <c r="G76" s="6"/>
      <c r="H76" s="6"/>
      <c r="I76" s="6"/>
      <c r="J76" s="111"/>
      <c r="K76" s="111"/>
    </row>
    <row r="77" spans="1:11" x14ac:dyDescent="0.25">
      <c r="A77" s="221"/>
      <c r="B77" s="6"/>
      <c r="C77" s="315" t="s">
        <v>45</v>
      </c>
      <c r="D77" s="315"/>
      <c r="E77" s="315"/>
      <c r="F77" s="315"/>
      <c r="G77" s="315"/>
      <c r="H77" s="315"/>
      <c r="I77" s="315"/>
      <c r="J77" s="111"/>
      <c r="K77" s="111"/>
    </row>
    <row r="78" spans="1:11" ht="24" x14ac:dyDescent="0.25">
      <c r="A78" s="221"/>
      <c r="B78" s="6"/>
      <c r="C78" s="227" t="s">
        <v>245</v>
      </c>
      <c r="D78" s="227" t="s">
        <v>0</v>
      </c>
      <c r="E78" s="227" t="s">
        <v>9</v>
      </c>
      <c r="F78" s="327" t="s">
        <v>7</v>
      </c>
      <c r="G78" s="327"/>
      <c r="H78" s="327"/>
      <c r="I78" s="227" t="s">
        <v>12</v>
      </c>
      <c r="J78" s="111"/>
      <c r="K78" s="111"/>
    </row>
    <row r="79" spans="1:11" x14ac:dyDescent="0.25">
      <c r="A79" s="221" t="s">
        <v>242</v>
      </c>
      <c r="B79" s="6"/>
      <c r="C79" s="228"/>
      <c r="D79" s="170"/>
      <c r="E79" s="161"/>
      <c r="F79" s="328"/>
      <c r="G79" s="328"/>
      <c r="H79" s="328"/>
      <c r="I79" s="165"/>
      <c r="J79" s="111"/>
      <c r="K79" s="111"/>
    </row>
    <row r="80" spans="1:11" ht="15" hidden="1" customHeight="1" x14ac:dyDescent="0.25">
      <c r="A80" s="221"/>
      <c r="B80" s="6"/>
      <c r="C80" s="237"/>
      <c r="D80" s="238"/>
      <c r="E80" s="239"/>
      <c r="F80" s="324"/>
      <c r="G80" s="325"/>
      <c r="H80" s="326"/>
      <c r="I80" s="132"/>
      <c r="J80" s="111"/>
      <c r="K80" s="111"/>
    </row>
    <row r="81" spans="1:11" ht="21.75" customHeight="1" x14ac:dyDescent="0.25">
      <c r="A81" s="221"/>
      <c r="B81" s="6"/>
      <c r="C81" s="309" t="s">
        <v>2</v>
      </c>
      <c r="D81" s="309"/>
      <c r="E81" s="309"/>
      <c r="F81" s="309"/>
      <c r="G81" s="309"/>
      <c r="H81" s="309"/>
      <c r="I81" s="118">
        <f>SUM(I79:I80)</f>
        <v>0</v>
      </c>
      <c r="J81" s="111"/>
      <c r="K81" s="111"/>
    </row>
    <row r="82" spans="1:11" ht="15" hidden="1" customHeight="1" x14ac:dyDescent="0.25">
      <c r="A82" s="221"/>
      <c r="B82" s="6"/>
      <c r="C82" s="310" t="s">
        <v>258</v>
      </c>
      <c r="D82" s="310"/>
      <c r="E82" s="310"/>
      <c r="F82" s="310"/>
      <c r="G82" s="310"/>
      <c r="H82" s="310"/>
      <c r="I82" s="310"/>
      <c r="J82" s="111"/>
      <c r="K82" s="111"/>
    </row>
    <row r="83" spans="1:11" ht="50.1" hidden="1" customHeight="1" x14ac:dyDescent="0.25">
      <c r="A83" s="222"/>
      <c r="B83" s="6"/>
      <c r="C83" s="311"/>
      <c r="D83" s="311"/>
      <c r="E83" s="311"/>
      <c r="F83" s="311"/>
      <c r="G83" s="311"/>
      <c r="H83" s="311"/>
      <c r="I83" s="311"/>
      <c r="J83" s="111"/>
      <c r="K83" s="111"/>
    </row>
    <row r="84" spans="1:11" x14ac:dyDescent="0.25">
      <c r="A84" s="222"/>
      <c r="B84" s="6"/>
      <c r="C84" s="6"/>
      <c r="D84" s="6"/>
      <c r="E84" s="6"/>
      <c r="F84" s="6"/>
      <c r="G84" s="6"/>
      <c r="H84" s="6"/>
      <c r="I84" s="6"/>
      <c r="J84" s="111"/>
      <c r="K84" s="111"/>
    </row>
    <row r="85" spans="1:11" ht="26.1" customHeight="1" x14ac:dyDescent="0.25">
      <c r="A85" s="222"/>
      <c r="B85" s="6"/>
      <c r="C85" s="9" t="s">
        <v>35</v>
      </c>
      <c r="D85" s="6"/>
      <c r="E85" s="6"/>
      <c r="F85" s="6"/>
      <c r="G85" s="6"/>
      <c r="H85" s="6"/>
      <c r="I85" s="6"/>
      <c r="J85" s="111"/>
      <c r="K85" s="111"/>
    </row>
    <row r="86" spans="1:11" ht="26.1" customHeight="1" x14ac:dyDescent="0.25">
      <c r="A86" s="222"/>
      <c r="B86" s="6"/>
      <c r="C86" s="312" t="s">
        <v>260</v>
      </c>
      <c r="D86" s="313"/>
      <c r="E86" s="313"/>
      <c r="F86" s="313"/>
      <c r="G86" s="313"/>
      <c r="H86" s="313"/>
      <c r="I86" s="314"/>
      <c r="J86" s="111"/>
      <c r="K86" s="111"/>
    </row>
    <row r="87" spans="1:11" x14ac:dyDescent="0.25">
      <c r="A87" s="221"/>
      <c r="B87" s="6"/>
      <c r="C87" s="6"/>
      <c r="D87" s="6"/>
      <c r="E87" s="6"/>
      <c r="F87" s="6"/>
      <c r="G87" s="6"/>
      <c r="H87" s="6"/>
      <c r="I87" s="6"/>
      <c r="J87" s="111"/>
      <c r="K87" s="111"/>
    </row>
    <row r="88" spans="1:11" x14ac:dyDescent="0.25">
      <c r="A88" s="221"/>
      <c r="B88" s="6"/>
      <c r="C88" s="315" t="s">
        <v>166</v>
      </c>
      <c r="D88" s="315"/>
      <c r="E88" s="315"/>
      <c r="F88" s="315"/>
      <c r="G88" s="315"/>
      <c r="H88" s="315"/>
      <c r="I88" s="315"/>
      <c r="J88" s="111"/>
      <c r="K88" s="111"/>
    </row>
    <row r="89" spans="1:11" ht="24" x14ac:dyDescent="0.25">
      <c r="A89" s="221"/>
      <c r="B89" s="6"/>
      <c r="C89" s="227" t="s">
        <v>245</v>
      </c>
      <c r="D89" s="227" t="s">
        <v>0</v>
      </c>
      <c r="E89" s="227" t="s">
        <v>9</v>
      </c>
      <c r="F89" s="327" t="s">
        <v>7</v>
      </c>
      <c r="G89" s="327"/>
      <c r="H89" s="327"/>
      <c r="I89" s="227" t="s">
        <v>12</v>
      </c>
      <c r="J89" s="111"/>
      <c r="K89" s="111"/>
    </row>
    <row r="90" spans="1:11" x14ac:dyDescent="0.25">
      <c r="A90" s="221" t="s">
        <v>243</v>
      </c>
      <c r="B90" s="6"/>
      <c r="C90" s="228"/>
      <c r="D90" s="170"/>
      <c r="E90" s="161"/>
      <c r="F90" s="328"/>
      <c r="G90" s="328"/>
      <c r="H90" s="328"/>
      <c r="I90" s="165"/>
      <c r="J90" s="111"/>
      <c r="K90" s="111"/>
    </row>
    <row r="91" spans="1:11" ht="15" hidden="1" customHeight="1" x14ac:dyDescent="0.25">
      <c r="A91" s="219"/>
      <c r="B91" s="6"/>
      <c r="C91" s="237"/>
      <c r="D91" s="238"/>
      <c r="E91" s="239"/>
      <c r="F91" s="324"/>
      <c r="G91" s="325"/>
      <c r="H91" s="326"/>
      <c r="I91" s="132"/>
      <c r="J91" s="111"/>
      <c r="K91" s="111"/>
    </row>
    <row r="92" spans="1:11" x14ac:dyDescent="0.25">
      <c r="A92" s="219"/>
      <c r="B92" s="6"/>
      <c r="C92" s="309" t="s">
        <v>2</v>
      </c>
      <c r="D92" s="309"/>
      <c r="E92" s="309"/>
      <c r="F92" s="309"/>
      <c r="G92" s="309"/>
      <c r="H92" s="309"/>
      <c r="I92" s="118">
        <f>SUM(I90:I91)</f>
        <v>0</v>
      </c>
      <c r="J92" s="111"/>
      <c r="K92" s="111"/>
    </row>
    <row r="93" spans="1:11" ht="15" hidden="1" customHeight="1" x14ac:dyDescent="0.25">
      <c r="A93" s="219"/>
      <c r="B93" s="6"/>
      <c r="C93" s="310" t="s">
        <v>258</v>
      </c>
      <c r="D93" s="310"/>
      <c r="E93" s="310"/>
      <c r="F93" s="310"/>
      <c r="G93" s="310"/>
      <c r="H93" s="310"/>
      <c r="I93" s="310"/>
      <c r="J93" s="111"/>
      <c r="K93" s="111"/>
    </row>
    <row r="94" spans="1:11" ht="50.1" hidden="1" customHeight="1" x14ac:dyDescent="0.25">
      <c r="A94" s="224"/>
      <c r="B94" s="6"/>
      <c r="C94" s="311"/>
      <c r="D94" s="311"/>
      <c r="E94" s="311"/>
      <c r="F94" s="311"/>
      <c r="G94" s="311"/>
      <c r="H94" s="311"/>
      <c r="I94" s="311"/>
      <c r="J94" s="111"/>
      <c r="K94" s="111"/>
    </row>
    <row r="95" spans="1:11" x14ac:dyDescent="0.25">
      <c r="A95" s="224"/>
      <c r="B95" s="6"/>
      <c r="C95" s="6"/>
      <c r="D95" s="6"/>
      <c r="E95" s="6"/>
      <c r="F95" s="6"/>
      <c r="G95" s="6"/>
      <c r="H95" s="6"/>
      <c r="I95" s="6"/>
      <c r="J95" s="111"/>
      <c r="K95" s="111"/>
    </row>
    <row r="96" spans="1:11" ht="30.6" hidden="1" customHeight="1" x14ac:dyDescent="0.25">
      <c r="A96" s="224"/>
      <c r="B96" s="6"/>
      <c r="C96" s="9" t="s">
        <v>163</v>
      </c>
      <c r="D96" s="6"/>
      <c r="E96" s="6"/>
      <c r="F96" s="6"/>
      <c r="G96" s="6"/>
      <c r="H96" s="6"/>
      <c r="I96" s="6"/>
      <c r="J96" s="111"/>
      <c r="K96" s="111"/>
    </row>
    <row r="97" spans="1:11" ht="51.95" hidden="1" customHeight="1" x14ac:dyDescent="0.25">
      <c r="A97" s="224"/>
      <c r="B97" s="6"/>
      <c r="C97" s="312" t="s">
        <v>261</v>
      </c>
      <c r="D97" s="313"/>
      <c r="E97" s="313"/>
      <c r="F97" s="313"/>
      <c r="G97" s="313"/>
      <c r="H97" s="313"/>
      <c r="I97" s="314"/>
      <c r="J97" s="111"/>
      <c r="K97" s="111"/>
    </row>
    <row r="98" spans="1:11" hidden="1" x14ac:dyDescent="0.25">
      <c r="A98" s="224"/>
      <c r="B98" s="6"/>
      <c r="C98" s="6"/>
      <c r="D98" s="6"/>
      <c r="E98" s="6"/>
      <c r="F98" s="6"/>
      <c r="G98" s="6"/>
      <c r="H98" s="6"/>
      <c r="I98" s="6"/>
      <c r="J98" s="111"/>
      <c r="K98" s="111"/>
    </row>
    <row r="99" spans="1:11" hidden="1" x14ac:dyDescent="0.25">
      <c r="A99" s="224"/>
      <c r="B99" s="6"/>
      <c r="C99" s="315" t="s">
        <v>6</v>
      </c>
      <c r="D99" s="315"/>
      <c r="E99" s="315"/>
      <c r="F99" s="315"/>
      <c r="G99" s="315"/>
      <c r="H99" s="315"/>
      <c r="I99" s="315"/>
      <c r="J99" s="111"/>
      <c r="K99" s="111"/>
    </row>
    <row r="100" spans="1:11" ht="24" hidden="1" customHeight="1" x14ac:dyDescent="0.25">
      <c r="A100" s="224"/>
      <c r="B100" s="6"/>
      <c r="C100" s="316" t="s">
        <v>213</v>
      </c>
      <c r="D100" s="317"/>
      <c r="E100" s="317"/>
      <c r="F100" s="317"/>
      <c r="G100" s="317"/>
      <c r="H100" s="318"/>
      <c r="I100" s="227" t="s">
        <v>12</v>
      </c>
      <c r="J100" s="111"/>
      <c r="K100" s="111"/>
    </row>
    <row r="101" spans="1:11" hidden="1" x14ac:dyDescent="0.25">
      <c r="A101" s="224" t="s">
        <v>244</v>
      </c>
      <c r="B101" s="6"/>
      <c r="C101" s="319"/>
      <c r="D101" s="320"/>
      <c r="E101" s="320"/>
      <c r="F101" s="320"/>
      <c r="G101" s="320"/>
      <c r="H101" s="321"/>
      <c r="I101" s="165"/>
      <c r="J101" s="111"/>
      <c r="K101" s="111"/>
    </row>
    <row r="102" spans="1:11" ht="15" hidden="1" customHeight="1" x14ac:dyDescent="0.25">
      <c r="A102" s="224"/>
      <c r="B102" s="6"/>
      <c r="C102" s="322"/>
      <c r="D102" s="323"/>
      <c r="E102" s="239"/>
      <c r="F102" s="324"/>
      <c r="G102" s="325"/>
      <c r="H102" s="326"/>
      <c r="I102" s="132"/>
      <c r="J102" s="111"/>
      <c r="K102" s="111"/>
    </row>
    <row r="103" spans="1:11" hidden="1" x14ac:dyDescent="0.25">
      <c r="A103" s="224"/>
      <c r="B103" s="6"/>
      <c r="C103" s="309" t="s">
        <v>2</v>
      </c>
      <c r="D103" s="309"/>
      <c r="E103" s="309"/>
      <c r="F103" s="309"/>
      <c r="G103" s="309"/>
      <c r="H103" s="309"/>
      <c r="I103" s="118">
        <f>SUM(I101:I102)</f>
        <v>0</v>
      </c>
      <c r="J103" s="111"/>
      <c r="K103" s="111"/>
    </row>
    <row r="104" spans="1:11" ht="15" hidden="1" customHeight="1" x14ac:dyDescent="0.25">
      <c r="A104" s="224"/>
      <c r="B104" s="6"/>
      <c r="C104" s="310" t="s">
        <v>258</v>
      </c>
      <c r="D104" s="310"/>
      <c r="E104" s="310"/>
      <c r="F104" s="310"/>
      <c r="G104" s="310"/>
      <c r="H104" s="310"/>
      <c r="I104" s="310"/>
      <c r="J104" s="111"/>
      <c r="K104" s="111"/>
    </row>
    <row r="105" spans="1:11" ht="50.1" hidden="1" customHeight="1" x14ac:dyDescent="0.25">
      <c r="A105" s="224"/>
      <c r="B105" s="6"/>
      <c r="C105" s="311"/>
      <c r="D105" s="311"/>
      <c r="E105" s="311"/>
      <c r="F105" s="311"/>
      <c r="G105" s="311"/>
      <c r="H105" s="311"/>
      <c r="I105" s="311"/>
      <c r="J105" s="111"/>
      <c r="K105" s="111"/>
    </row>
    <row r="107" spans="1:11" x14ac:dyDescent="0.25">
      <c r="C107" s="199" t="s">
        <v>202</v>
      </c>
    </row>
  </sheetData>
  <sheetProtection algorithmName="SHA-512" hashValue="L1hK7i9sAaT6TQpTFdq2Z2zrwe2LFBYOpr536NEwzQ1t2Cpbl4QNluqBQFIJLIbnps/sUN3kYuZCHLSqFceLIA==" saltValue="XsQUiHt9Z4PSItzu/WKhiw==" spinCount="100000" sheet="1" objects="1" scenarios="1"/>
  <mergeCells count="81">
    <mergeCell ref="C102:D102"/>
    <mergeCell ref="F102:H102"/>
    <mergeCell ref="C103:H103"/>
    <mergeCell ref="C104:I104"/>
    <mergeCell ref="C105:I105"/>
    <mergeCell ref="C97:I97"/>
    <mergeCell ref="C99:I99"/>
    <mergeCell ref="C100:H100"/>
    <mergeCell ref="C101:H101"/>
    <mergeCell ref="C94:I94"/>
    <mergeCell ref="F90:H90"/>
    <mergeCell ref="F91:H91"/>
    <mergeCell ref="C92:H92"/>
    <mergeCell ref="F80:H80"/>
    <mergeCell ref="C81:H81"/>
    <mergeCell ref="C82:I82"/>
    <mergeCell ref="C83:I83"/>
    <mergeCell ref="C86:I86"/>
    <mergeCell ref="C93:I93"/>
    <mergeCell ref="F79:H79"/>
    <mergeCell ref="C69:I69"/>
    <mergeCell ref="C70:D70"/>
    <mergeCell ref="G70:H70"/>
    <mergeCell ref="C71:D71"/>
    <mergeCell ref="G71:H71"/>
    <mergeCell ref="C72:D72"/>
    <mergeCell ref="G72:H72"/>
    <mergeCell ref="C73:H73"/>
    <mergeCell ref="C74:I74"/>
    <mergeCell ref="C75:I75"/>
    <mergeCell ref="C77:I77"/>
    <mergeCell ref="F78:H78"/>
    <mergeCell ref="C88:I88"/>
    <mergeCell ref="F89:H89"/>
    <mergeCell ref="C67:I67"/>
    <mergeCell ref="F55:H55"/>
    <mergeCell ref="F56:H56"/>
    <mergeCell ref="C57:H57"/>
    <mergeCell ref="C58:I58"/>
    <mergeCell ref="C59:I59"/>
    <mergeCell ref="C61:I61"/>
    <mergeCell ref="G62:H62"/>
    <mergeCell ref="G63:H63"/>
    <mergeCell ref="G64:H64"/>
    <mergeCell ref="C65:H65"/>
    <mergeCell ref="C66:I66"/>
    <mergeCell ref="F54:H54"/>
    <mergeCell ref="C37:I37"/>
    <mergeCell ref="C38:I38"/>
    <mergeCell ref="C41:I41"/>
    <mergeCell ref="G43:H43"/>
    <mergeCell ref="G44:H44"/>
    <mergeCell ref="G45:H45"/>
    <mergeCell ref="C46:H46"/>
    <mergeCell ref="C47:I47"/>
    <mergeCell ref="C48:I48"/>
    <mergeCell ref="C51:I51"/>
    <mergeCell ref="C53:I53"/>
    <mergeCell ref="C36:H36"/>
    <mergeCell ref="C23:E23"/>
    <mergeCell ref="C24:E24"/>
    <mergeCell ref="C25:E25"/>
    <mergeCell ref="C26:H26"/>
    <mergeCell ref="C27:I27"/>
    <mergeCell ref="C28:I28"/>
    <mergeCell ref="C30:I30"/>
    <mergeCell ref="C32:I32"/>
    <mergeCell ref="C35:D35"/>
    <mergeCell ref="C22:I22"/>
    <mergeCell ref="C2:I2"/>
    <mergeCell ref="C5:I5"/>
    <mergeCell ref="C7:I7"/>
    <mergeCell ref="C12:I12"/>
    <mergeCell ref="C13:E13"/>
    <mergeCell ref="C14:E14"/>
    <mergeCell ref="C15:E15"/>
    <mergeCell ref="C16:H16"/>
    <mergeCell ref="C17:I17"/>
    <mergeCell ref="C18:I18"/>
    <mergeCell ref="C20:I20"/>
    <mergeCell ref="C11:H11"/>
  </mergeCells>
  <dataValidations count="5">
    <dataValidation type="list" allowBlank="1" showInputMessage="1" showErrorMessage="1" promptTitle="Select data" prompt="from the drop-down menu" sqref="F44:F45 E55:E56 F63:F64 F71:F72 E79:E80 E90:E91 E102" xr:uid="{3307EBD8-BEA0-4CFD-91CA-5E36EA5E2450}">
      <formula1>"YES,NO"</formula1>
    </dataValidation>
    <dataValidation type="decimal" allowBlank="1" showInputMessage="1" showErrorMessage="1" errorTitle="Invalid data!" error="Must be a decimal value." sqref="D63 H10 E10" xr:uid="{CD4FA7F7-2260-4A7D-AB1C-63D08254E98D}">
      <formula1>0</formula1>
      <formula2>1000000000</formula2>
    </dataValidation>
    <dataValidation allowBlank="1" showInputMessage="1" showErrorMessage="1" prompt="Insert comment" sqref="C18:I18 C28:I28 C38:I38 C48:I48 C59:I59 C67:I67 C75:I75 C83:I83 C94:I94 C105:I105" xr:uid="{6C2673B0-BE4B-4B6D-834C-D5E2601FA6F3}"/>
    <dataValidation type="decimal" allowBlank="1" showInputMessage="1" showErrorMessage="1" errorTitle="Invalid data!" error="Must be a decimal value" sqref="D10" xr:uid="{38B4AFCC-D5AD-4A1D-B629-0E22132F76D5}">
      <formula1>0</formula1>
      <formula2>1000000000</formula2>
    </dataValidation>
    <dataValidation type="decimal" allowBlank="1" showInputMessage="1" showErrorMessage="1" errorTitle="Invalid data!" error="Must be a decimal value" sqref="I90 I79 I71 I63 I55 I44 I101 F14 F24 D9" xr:uid="{D25A62E9-992C-4670-82CA-54A604817E69}">
      <formula1>-1000000000</formula1>
      <formula2>1000000000</formula2>
    </dataValidation>
  </dataValidations>
  <printOptions horizontalCentered="1" gridLines="1"/>
  <pageMargins left="0.70866141732283472" right="0.70866141732283472" top="0.74803149606299213" bottom="0.74803149606299213" header="0.31496062992125984" footer="0.31496062992125984"/>
  <pageSetup scale="53" fitToHeight="0" orientation="portrait" r:id="rId1"/>
  <headerFooter scaleWithDoc="0">
    <oddHeader>&amp;A</oddHead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AddLineUoR">
                <anchor moveWithCells="1" sizeWithCells="1">
                  <from>
                    <xdr:col>10</xdr:col>
                    <xdr:colOff>0</xdr:colOff>
                    <xdr:row>12</xdr:row>
                    <xdr:rowOff>0</xdr:rowOff>
                  </from>
                  <to>
                    <xdr:col>11</xdr:col>
                    <xdr:colOff>0</xdr:colOff>
                    <xdr:row>12</xdr:row>
                    <xdr:rowOff>485775</xdr:rowOff>
                  </to>
                </anchor>
              </controlPr>
            </control>
          </mc:Choice>
        </mc:AlternateContent>
        <mc:AlternateContent xmlns:mc="http://schemas.openxmlformats.org/markup-compatibility/2006">
          <mc:Choice Requires="x14">
            <control shapeId="9218" r:id="rId5" name="Button 2">
              <controlPr defaultSize="0" print="0" autoFill="0" autoPict="0" macro="[0]!AddLineUoR">
                <anchor moveWithCells="1" sizeWithCells="1">
                  <from>
                    <xdr:col>10</xdr:col>
                    <xdr:colOff>0</xdr:colOff>
                    <xdr:row>22</xdr:row>
                    <xdr:rowOff>0</xdr:rowOff>
                  </from>
                  <to>
                    <xdr:col>11</xdr:col>
                    <xdr:colOff>0</xdr:colOff>
                    <xdr:row>22</xdr:row>
                    <xdr:rowOff>485775</xdr:rowOff>
                  </to>
                </anchor>
              </controlPr>
            </control>
          </mc:Choice>
        </mc:AlternateContent>
        <mc:AlternateContent xmlns:mc="http://schemas.openxmlformats.org/markup-compatibility/2006">
          <mc:Choice Requires="x14">
            <control shapeId="9219" r:id="rId6" name="Button 3">
              <controlPr defaultSize="0" print="0" autoFill="0" autoPict="0" macro="[0]!AddLineUoR">
                <anchor moveWithCells="1" sizeWithCells="1">
                  <from>
                    <xdr:col>10</xdr:col>
                    <xdr:colOff>0</xdr:colOff>
                    <xdr:row>32</xdr:row>
                    <xdr:rowOff>0</xdr:rowOff>
                  </from>
                  <to>
                    <xdr:col>11</xdr:col>
                    <xdr:colOff>0</xdr:colOff>
                    <xdr:row>32</xdr:row>
                    <xdr:rowOff>485775</xdr:rowOff>
                  </to>
                </anchor>
              </controlPr>
            </control>
          </mc:Choice>
        </mc:AlternateContent>
        <mc:AlternateContent xmlns:mc="http://schemas.openxmlformats.org/markup-compatibility/2006">
          <mc:Choice Requires="x14">
            <control shapeId="9220" r:id="rId7" name="Button 4">
              <controlPr defaultSize="0" print="0" autoFill="0" autoPict="0" macro="[0]!AddLineUoR">
                <anchor moveWithCells="1" sizeWithCells="1">
                  <from>
                    <xdr:col>10</xdr:col>
                    <xdr:colOff>0</xdr:colOff>
                    <xdr:row>42</xdr:row>
                    <xdr:rowOff>0</xdr:rowOff>
                  </from>
                  <to>
                    <xdr:col>11</xdr:col>
                    <xdr:colOff>0</xdr:colOff>
                    <xdr:row>42</xdr:row>
                    <xdr:rowOff>247650</xdr:rowOff>
                  </to>
                </anchor>
              </controlPr>
            </control>
          </mc:Choice>
        </mc:AlternateContent>
        <mc:AlternateContent xmlns:mc="http://schemas.openxmlformats.org/markup-compatibility/2006">
          <mc:Choice Requires="x14">
            <control shapeId="9221" r:id="rId8" name="Button 5">
              <controlPr defaultSize="0" print="0" autoFill="0" autoPict="0" macro="[0]!AddLineUoR">
                <anchor moveWithCells="1" sizeWithCells="1">
                  <from>
                    <xdr:col>10</xdr:col>
                    <xdr:colOff>0</xdr:colOff>
                    <xdr:row>53</xdr:row>
                    <xdr:rowOff>0</xdr:rowOff>
                  </from>
                  <to>
                    <xdr:col>11</xdr:col>
                    <xdr:colOff>0</xdr:colOff>
                    <xdr:row>53</xdr:row>
                    <xdr:rowOff>428625</xdr:rowOff>
                  </to>
                </anchor>
              </controlPr>
            </control>
          </mc:Choice>
        </mc:AlternateContent>
        <mc:AlternateContent xmlns:mc="http://schemas.openxmlformats.org/markup-compatibility/2006">
          <mc:Choice Requires="x14">
            <control shapeId="9222" r:id="rId9" name="Button 6">
              <controlPr defaultSize="0" print="0" autoFill="0" autoPict="0" macro="[0]!AddLineUoR">
                <anchor moveWithCells="1" sizeWithCells="1">
                  <from>
                    <xdr:col>10</xdr:col>
                    <xdr:colOff>0</xdr:colOff>
                    <xdr:row>61</xdr:row>
                    <xdr:rowOff>0</xdr:rowOff>
                  </from>
                  <to>
                    <xdr:col>11</xdr:col>
                    <xdr:colOff>0</xdr:colOff>
                    <xdr:row>61</xdr:row>
                    <xdr:rowOff>419100</xdr:rowOff>
                  </to>
                </anchor>
              </controlPr>
            </control>
          </mc:Choice>
        </mc:AlternateContent>
        <mc:AlternateContent xmlns:mc="http://schemas.openxmlformats.org/markup-compatibility/2006">
          <mc:Choice Requires="x14">
            <control shapeId="9223" r:id="rId10" name="Button 7">
              <controlPr defaultSize="0" print="0" autoFill="0" autoPict="0" macro="[0]!AddLineUoR">
                <anchor moveWithCells="1" sizeWithCells="1">
                  <from>
                    <xdr:col>10</xdr:col>
                    <xdr:colOff>0</xdr:colOff>
                    <xdr:row>69</xdr:row>
                    <xdr:rowOff>0</xdr:rowOff>
                  </from>
                  <to>
                    <xdr:col>11</xdr:col>
                    <xdr:colOff>0</xdr:colOff>
                    <xdr:row>69</xdr:row>
                    <xdr:rowOff>428625</xdr:rowOff>
                  </to>
                </anchor>
              </controlPr>
            </control>
          </mc:Choice>
        </mc:AlternateContent>
        <mc:AlternateContent xmlns:mc="http://schemas.openxmlformats.org/markup-compatibility/2006">
          <mc:Choice Requires="x14">
            <control shapeId="9224" r:id="rId11" name="Button 8">
              <controlPr defaultSize="0" print="0" autoFill="0" autoPict="0" macro="[0]!AddLineUoR">
                <anchor moveWithCells="1" sizeWithCells="1">
                  <from>
                    <xdr:col>10</xdr:col>
                    <xdr:colOff>0</xdr:colOff>
                    <xdr:row>77</xdr:row>
                    <xdr:rowOff>0</xdr:rowOff>
                  </from>
                  <to>
                    <xdr:col>11</xdr:col>
                    <xdr:colOff>0</xdr:colOff>
                    <xdr:row>77</xdr:row>
                    <xdr:rowOff>428625</xdr:rowOff>
                  </to>
                </anchor>
              </controlPr>
            </control>
          </mc:Choice>
        </mc:AlternateContent>
        <mc:AlternateContent xmlns:mc="http://schemas.openxmlformats.org/markup-compatibility/2006">
          <mc:Choice Requires="x14">
            <control shapeId="9225" r:id="rId12" name="Button 9">
              <controlPr defaultSize="0" print="0" autoFill="0" autoPict="0" macro="[0]!AddLineUoR">
                <anchor moveWithCells="1" sizeWithCells="1">
                  <from>
                    <xdr:col>10</xdr:col>
                    <xdr:colOff>0</xdr:colOff>
                    <xdr:row>88</xdr:row>
                    <xdr:rowOff>0</xdr:rowOff>
                  </from>
                  <to>
                    <xdr:col>11</xdr:col>
                    <xdr:colOff>0</xdr:colOff>
                    <xdr:row>88</xdr:row>
                    <xdr:rowOff>428625</xdr:rowOff>
                  </to>
                </anchor>
              </controlPr>
            </control>
          </mc:Choice>
        </mc:AlternateContent>
        <mc:AlternateContent xmlns:mc="http://schemas.openxmlformats.org/markup-compatibility/2006">
          <mc:Choice Requires="x14">
            <control shapeId="9226" r:id="rId13" name="Button 10">
              <controlPr defaultSize="0" print="0" autoFill="0" autoPict="0" macro="[0]!AddLineUoR">
                <anchor moveWithCells="1" sizeWithCells="1">
                  <from>
                    <xdr:col>10</xdr:col>
                    <xdr:colOff>0</xdr:colOff>
                    <xdr:row>99</xdr:row>
                    <xdr:rowOff>0</xdr:rowOff>
                  </from>
                  <to>
                    <xdr:col>11</xdr:col>
                    <xdr:colOff>0</xdr:colOff>
                    <xdr:row>99</xdr:row>
                    <xdr:rowOff>428625</xdr:rowOff>
                  </to>
                </anchor>
              </controlPr>
            </control>
          </mc:Choice>
        </mc:AlternateContent>
        <mc:AlternateContent xmlns:mc="http://schemas.openxmlformats.org/markup-compatibility/2006">
          <mc:Choice Requires="x14">
            <control shapeId="9227" r:id="rId14" name="Button 11">
              <controlPr defaultSize="0" print="0" autoFill="0" autoPict="0" macro="[0]!AddLineUoR">
                <anchor moveWithCells="1" sizeWithCells="1">
                  <from>
                    <xdr:col>10</xdr:col>
                    <xdr:colOff>0</xdr:colOff>
                    <xdr:row>7</xdr:row>
                    <xdr:rowOff>0</xdr:rowOff>
                  </from>
                  <to>
                    <xdr:col>11</xdr:col>
                    <xdr:colOff>0</xdr:colOff>
                    <xdr:row>7</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errorTitle="Invalid data!" error="Country must be selected from the list." xr:uid="{C7146681-DED3-492B-8147-5F0D6770EA2E}">
          <x14:formula1>
            <xm:f>'Countries&amp;Coefficients'!$A$2:$A$29</xm:f>
          </x14:formula1>
          <xm:sqref>E34</xm:sqref>
        </x14:dataValidation>
        <x14:dataValidation type="custom" operator="lessThanOrEqual" allowBlank="1" showInputMessage="1" showErrorMessage="1" errorTitle="Invalid data!" error="Must be a whole number of days or half days that is less or equal to: (nb months in the reporting period)*215/12. Rounding up to closest 0.5 is accepted." xr:uid="{EE633A2F-9B09-4750-B7D9-83814AB92C98}">
          <x14:formula1>
            <xm:f>AND(MOD(E9,0.5)=0,E9&lt;=CEILING(ROUND(('General info on reporting'!$F$16-'General info on reporting'!$D$16)*12/365,0)*215/12,0.5))</xm:f>
          </x14:formula1>
          <xm:sqref>H34 H24 H14 E9</xm:sqref>
        </x14:dataValidation>
        <x14:dataValidation type="custom" operator="lessThanOrEqual" allowBlank="1" showInputMessage="1" showErrorMessage="1" errorTitle="Invalid data!" error="Must be a whole number of days or half days that is less or equal to: (nb months in the reporting period)*215/12 AND that is less or equal to the &quot;Maximum declarable day-equivalents&quot;. Rounding up to closest 0.5 is accepted." xr:uid="{199905DA-E40E-4F77-9A7F-01B276646BE4}">
          <x14:formula1>
            <xm:f>AND(MOD(H9,0.5)=0,H9&lt;=CEILING(ROUND(('General info on reporting'!$F$16-'General info on reporting'!$D$16)*12/365,0)*215/12,0.5),H9&lt;=E9)</xm:f>
          </x14:formula1>
          <xm:sqref>H9</xm:sqref>
        </x14:dataValidation>
        <x14:dataValidation type="list" allowBlank="1" showInputMessage="1" showErrorMessage="1" errorTitle="Invalid WP" error="You need to select the WP from the drop-down list." xr:uid="{6181697A-8591-40D8-B6B3-E194F7355B14}">
          <x14:formula1>
            <xm:f>ListActivitiesReported!#REF!</xm:f>
          </x14:formula1>
          <xm:sqref>G9 D90 D79 E71 E63 D55 E44 D34 G24 G14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7" tint="0.79998168889431442"/>
    <pageSetUpPr fitToPage="1"/>
  </sheetPr>
  <dimension ref="A1:K107"/>
  <sheetViews>
    <sheetView showGridLines="0" showRowColHeaders="0" zoomScaleNormal="100" zoomScaleSheetLayoutView="85" workbookViewId="0">
      <pane ySplit="1" topLeftCell="A2" activePane="bottomLeft" state="frozen"/>
      <selection pane="bottomLeft" activeCell="C2" sqref="C2:I2"/>
    </sheetView>
  </sheetViews>
  <sheetFormatPr defaultRowHeight="15" x14ac:dyDescent="0.25"/>
  <cols>
    <col min="1" max="1" width="2.7109375" style="225" customWidth="1"/>
    <col min="2" max="2" width="2.7109375" style="11" customWidth="1"/>
    <col min="3" max="9" width="24.140625" style="11" customWidth="1"/>
    <col min="10" max="10" width="3.140625" style="11" customWidth="1"/>
    <col min="11" max="11" width="11.140625" style="11" customWidth="1"/>
  </cols>
  <sheetData>
    <row r="1" spans="1:11" ht="21" customHeight="1" x14ac:dyDescent="0.25">
      <c r="A1" s="218"/>
      <c r="B1" s="4"/>
      <c r="C1" s="6"/>
      <c r="D1" s="117" t="str">
        <f ca="1">HYPERLINK("#"&amp;CELL("address",C4), C4)</f>
        <v>A. Personnel costs</v>
      </c>
      <c r="E1" s="117" t="str">
        <f ca="1">HYPERLINK("#"&amp;CELL("address",C40), C40)</f>
        <v>B. Subcontracting</v>
      </c>
      <c r="F1" s="117" t="str">
        <f ca="1">HYPERLINK("#"&amp;CELL("address",C50), C50)</f>
        <v>C. Purchases</v>
      </c>
      <c r="G1" s="117" t="str">
        <f ca="1">HYPERLINK("#"&amp;CELL("address",C85), C85)</f>
        <v>D. Other cost categories</v>
      </c>
      <c r="H1" s="117"/>
      <c r="I1" s="4"/>
      <c r="J1" s="111"/>
      <c r="K1" s="111"/>
    </row>
    <row r="2" spans="1:11" ht="27" customHeight="1" x14ac:dyDescent="0.25">
      <c r="A2" s="219"/>
      <c r="B2" s="6"/>
      <c r="C2" s="343" t="s">
        <v>194</v>
      </c>
      <c r="D2" s="344"/>
      <c r="E2" s="344"/>
      <c r="F2" s="344"/>
      <c r="G2" s="344"/>
      <c r="H2" s="344"/>
      <c r="I2" s="345"/>
      <c r="J2" s="111"/>
      <c r="K2" s="111"/>
    </row>
    <row r="3" spans="1:11" ht="12.95" customHeight="1" x14ac:dyDescent="0.25">
      <c r="A3" s="219"/>
      <c r="B3" s="6"/>
      <c r="C3" s="6"/>
      <c r="D3" s="6"/>
      <c r="E3" s="6"/>
      <c r="F3" s="6"/>
      <c r="G3" s="6"/>
      <c r="H3" s="6"/>
      <c r="I3" s="6"/>
      <c r="J3" s="111"/>
      <c r="K3" s="111"/>
    </row>
    <row r="4" spans="1:11" ht="39.950000000000003" customHeight="1" x14ac:dyDescent="0.25">
      <c r="A4" s="219"/>
      <c r="B4" s="6"/>
      <c r="C4" s="183" t="s">
        <v>32</v>
      </c>
      <c r="D4" s="183"/>
      <c r="E4" s="6"/>
      <c r="F4" s="6"/>
      <c r="G4" s="6"/>
      <c r="H4" s="8"/>
      <c r="I4" s="6"/>
      <c r="J4" s="111"/>
      <c r="K4" s="111"/>
    </row>
    <row r="5" spans="1:11" ht="116.25" customHeight="1" x14ac:dyDescent="0.25">
      <c r="A5" s="219"/>
      <c r="B5" s="6"/>
      <c r="C5" s="330" t="s">
        <v>262</v>
      </c>
      <c r="D5" s="330"/>
      <c r="E5" s="330"/>
      <c r="F5" s="330"/>
      <c r="G5" s="330"/>
      <c r="H5" s="330"/>
      <c r="I5" s="330"/>
      <c r="J5" s="111"/>
      <c r="K5" s="111"/>
    </row>
    <row r="6" spans="1:11" ht="15" customHeight="1" x14ac:dyDescent="0.25">
      <c r="A6" s="219"/>
      <c r="B6" s="6"/>
      <c r="C6" s="6"/>
      <c r="D6" s="6"/>
      <c r="E6" s="6"/>
      <c r="F6" s="6"/>
      <c r="G6" s="6"/>
      <c r="H6" s="8"/>
      <c r="I6" s="6"/>
      <c r="J6" s="111"/>
      <c r="K6" s="111"/>
    </row>
    <row r="7" spans="1:11" ht="14.45" customHeight="1" x14ac:dyDescent="0.25">
      <c r="A7" s="219"/>
      <c r="B7" s="6"/>
      <c r="C7" s="315" t="s">
        <v>21</v>
      </c>
      <c r="D7" s="315"/>
      <c r="E7" s="315"/>
      <c r="F7" s="315"/>
      <c r="G7" s="315"/>
      <c r="H7" s="315"/>
      <c r="I7" s="315"/>
      <c r="J7" s="111"/>
      <c r="K7" s="111"/>
    </row>
    <row r="8" spans="1:11" s="20" customFormat="1" ht="36" x14ac:dyDescent="0.25">
      <c r="A8" s="220"/>
      <c r="B8" s="19"/>
      <c r="C8" s="227" t="s">
        <v>246</v>
      </c>
      <c r="D8" s="241" t="s">
        <v>15</v>
      </c>
      <c r="E8" s="241" t="s">
        <v>263</v>
      </c>
      <c r="F8" s="227" t="s">
        <v>17</v>
      </c>
      <c r="G8" s="227" t="s">
        <v>19</v>
      </c>
      <c r="H8" s="227" t="s">
        <v>107</v>
      </c>
      <c r="I8" s="227" t="s">
        <v>18</v>
      </c>
      <c r="J8" s="111"/>
      <c r="K8" s="19"/>
    </row>
    <row r="9" spans="1:11" ht="14.45" customHeight="1" x14ac:dyDescent="0.25">
      <c r="A9" s="221" t="s">
        <v>234</v>
      </c>
      <c r="B9" s="6"/>
      <c r="C9" s="164"/>
      <c r="D9" s="165"/>
      <c r="E9" s="164"/>
      <c r="F9" s="166">
        <f>IFERROR(D9/E9,0)</f>
        <v>0</v>
      </c>
      <c r="G9" s="226"/>
      <c r="H9" s="164"/>
      <c r="I9" s="166">
        <f>IFERROR(F9*H9,0)</f>
        <v>0</v>
      </c>
      <c r="J9" s="111"/>
      <c r="K9" s="111"/>
    </row>
    <row r="10" spans="1:11" ht="14.45" hidden="1" customHeight="1" x14ac:dyDescent="0.25">
      <c r="A10" s="221"/>
      <c r="B10" s="6"/>
      <c r="C10" s="231"/>
      <c r="D10" s="179"/>
      <c r="E10" s="231"/>
      <c r="F10" s="180"/>
      <c r="G10" s="232"/>
      <c r="H10" s="231"/>
      <c r="I10" s="180"/>
      <c r="J10" s="111"/>
      <c r="K10" s="111"/>
    </row>
    <row r="11" spans="1:11" ht="14.45" customHeight="1" x14ac:dyDescent="0.25">
      <c r="A11" s="221"/>
      <c r="B11" s="6"/>
      <c r="C11" s="309" t="s">
        <v>2</v>
      </c>
      <c r="D11" s="309"/>
      <c r="E11" s="309"/>
      <c r="F11" s="309"/>
      <c r="G11" s="309"/>
      <c r="H11" s="309"/>
      <c r="I11" s="118">
        <f>SUM(I9:I10)</f>
        <v>0</v>
      </c>
      <c r="J11" s="111"/>
      <c r="K11" s="111"/>
    </row>
    <row r="12" spans="1:11" ht="14.45" customHeight="1" x14ac:dyDescent="0.25">
      <c r="A12" s="221"/>
      <c r="B12" s="6"/>
      <c r="C12" s="315" t="s">
        <v>168</v>
      </c>
      <c r="D12" s="315"/>
      <c r="E12" s="315"/>
      <c r="F12" s="315"/>
      <c r="G12" s="315"/>
      <c r="H12" s="315"/>
      <c r="I12" s="315"/>
      <c r="J12" s="111"/>
      <c r="K12" s="111"/>
    </row>
    <row r="13" spans="1:11" s="20" customFormat="1" ht="36" x14ac:dyDescent="0.25">
      <c r="A13" s="220"/>
      <c r="B13" s="19"/>
      <c r="C13" s="327" t="s">
        <v>246</v>
      </c>
      <c r="D13" s="327"/>
      <c r="E13" s="327"/>
      <c r="F13" s="227" t="s">
        <v>104</v>
      </c>
      <c r="G13" s="227" t="s">
        <v>19</v>
      </c>
      <c r="H13" s="227" t="s">
        <v>106</v>
      </c>
      <c r="I13" s="227" t="s">
        <v>26</v>
      </c>
      <c r="J13" s="111"/>
      <c r="K13" s="19"/>
    </row>
    <row r="14" spans="1:11" x14ac:dyDescent="0.25">
      <c r="A14" s="221" t="s">
        <v>235</v>
      </c>
      <c r="B14" s="6"/>
      <c r="C14" s="304"/>
      <c r="D14" s="304"/>
      <c r="E14" s="304"/>
      <c r="F14" s="165"/>
      <c r="G14" s="226"/>
      <c r="H14" s="164"/>
      <c r="I14" s="166">
        <f>IFERROR(F14*H14,0)</f>
        <v>0</v>
      </c>
      <c r="J14" s="111"/>
      <c r="K14" s="111"/>
    </row>
    <row r="15" spans="1:11" ht="15" hidden="1" customHeight="1" x14ac:dyDescent="0.25">
      <c r="A15" s="221"/>
      <c r="B15" s="6"/>
      <c r="C15" s="340"/>
      <c r="D15" s="341"/>
      <c r="E15" s="342"/>
      <c r="F15" s="122"/>
      <c r="G15" s="233"/>
      <c r="H15" s="233"/>
      <c r="I15" s="120"/>
      <c r="J15" s="111"/>
      <c r="K15" s="111"/>
    </row>
    <row r="16" spans="1:11" x14ac:dyDescent="0.25">
      <c r="A16" s="221"/>
      <c r="B16" s="6"/>
      <c r="C16" s="309" t="s">
        <v>2</v>
      </c>
      <c r="D16" s="309"/>
      <c r="E16" s="309"/>
      <c r="F16" s="309"/>
      <c r="G16" s="309"/>
      <c r="H16" s="309"/>
      <c r="I16" s="118">
        <f>SUM(I14:I15)</f>
        <v>0</v>
      </c>
      <c r="J16" s="111"/>
      <c r="K16" s="111"/>
    </row>
    <row r="17" spans="1:11" ht="15" hidden="1" customHeight="1" x14ac:dyDescent="0.25">
      <c r="A17" s="221"/>
      <c r="B17" s="6"/>
      <c r="C17" s="310" t="s">
        <v>258</v>
      </c>
      <c r="D17" s="310"/>
      <c r="E17" s="310"/>
      <c r="F17" s="310"/>
      <c r="G17" s="310"/>
      <c r="H17" s="310"/>
      <c r="I17" s="310"/>
      <c r="J17" s="111"/>
      <c r="K17" s="111"/>
    </row>
    <row r="18" spans="1:11" ht="50.1" hidden="1" customHeight="1" x14ac:dyDescent="0.25">
      <c r="A18" s="221"/>
      <c r="B18" s="6"/>
      <c r="C18" s="311"/>
      <c r="D18" s="311"/>
      <c r="E18" s="311"/>
      <c r="F18" s="311"/>
      <c r="G18" s="311"/>
      <c r="H18" s="311"/>
      <c r="I18" s="311"/>
      <c r="J18" s="111"/>
      <c r="K18" s="111"/>
    </row>
    <row r="19" spans="1:11" ht="15" customHeight="1" x14ac:dyDescent="0.25">
      <c r="A19" s="221"/>
      <c r="B19" s="6"/>
      <c r="C19" s="6"/>
      <c r="D19" s="6"/>
      <c r="E19" s="6"/>
      <c r="F19" s="6"/>
      <c r="G19" s="6"/>
      <c r="H19" s="8"/>
      <c r="I19" s="6"/>
      <c r="J19" s="111"/>
      <c r="K19" s="111"/>
    </row>
    <row r="20" spans="1:11" ht="39.950000000000003" customHeight="1" x14ac:dyDescent="0.25">
      <c r="A20" s="221"/>
      <c r="B20" s="6"/>
      <c r="C20" s="330" t="s">
        <v>259</v>
      </c>
      <c r="D20" s="330"/>
      <c r="E20" s="330"/>
      <c r="F20" s="330"/>
      <c r="G20" s="330"/>
      <c r="H20" s="330"/>
      <c r="I20" s="330"/>
      <c r="J20" s="111"/>
      <c r="K20" s="111"/>
    </row>
    <row r="21" spans="1:11" ht="15" customHeight="1" x14ac:dyDescent="0.25">
      <c r="A21" s="221"/>
      <c r="B21" s="6"/>
      <c r="C21" s="6"/>
      <c r="D21" s="6"/>
      <c r="E21" s="6"/>
      <c r="F21" s="6"/>
      <c r="G21" s="6"/>
      <c r="H21" s="8"/>
      <c r="I21" s="6"/>
      <c r="J21" s="111"/>
      <c r="K21" s="111"/>
    </row>
    <row r="22" spans="1:11" ht="15" customHeight="1" x14ac:dyDescent="0.25">
      <c r="A22" s="221"/>
      <c r="B22" s="6"/>
      <c r="C22" s="339" t="s">
        <v>149</v>
      </c>
      <c r="D22" s="339"/>
      <c r="E22" s="339"/>
      <c r="F22" s="339"/>
      <c r="G22" s="339"/>
      <c r="H22" s="339"/>
      <c r="I22" s="339"/>
      <c r="J22" s="111"/>
      <c r="K22" s="111"/>
    </row>
    <row r="23" spans="1:11" s="20" customFormat="1" ht="36" x14ac:dyDescent="0.25">
      <c r="A23" s="220"/>
      <c r="B23" s="19"/>
      <c r="C23" s="327" t="s">
        <v>246</v>
      </c>
      <c r="D23" s="327"/>
      <c r="E23" s="327"/>
      <c r="F23" s="227" t="s">
        <v>105</v>
      </c>
      <c r="G23" s="227" t="s">
        <v>19</v>
      </c>
      <c r="H23" s="227" t="s">
        <v>106</v>
      </c>
      <c r="I23" s="227" t="s">
        <v>26</v>
      </c>
      <c r="J23" s="111"/>
      <c r="K23" s="19"/>
    </row>
    <row r="24" spans="1:11" x14ac:dyDescent="0.25">
      <c r="A24" s="221" t="s">
        <v>236</v>
      </c>
      <c r="B24" s="6"/>
      <c r="C24" s="304"/>
      <c r="D24" s="304"/>
      <c r="E24" s="304"/>
      <c r="F24" s="165"/>
      <c r="G24" s="226"/>
      <c r="H24" s="164"/>
      <c r="I24" s="166">
        <f>IFERROR(F24*H24,0)</f>
        <v>0</v>
      </c>
      <c r="J24" s="111"/>
      <c r="K24" s="111"/>
    </row>
    <row r="25" spans="1:11" ht="15" hidden="1" customHeight="1" x14ac:dyDescent="0.25">
      <c r="A25" s="221"/>
      <c r="B25" s="6"/>
      <c r="C25" s="340"/>
      <c r="D25" s="341"/>
      <c r="E25" s="342"/>
      <c r="F25" s="124"/>
      <c r="G25" s="233"/>
      <c r="H25" s="233"/>
      <c r="I25" s="120"/>
      <c r="J25" s="111"/>
      <c r="K25" s="111"/>
    </row>
    <row r="26" spans="1:11" x14ac:dyDescent="0.25">
      <c r="A26" s="221"/>
      <c r="B26" s="6"/>
      <c r="C26" s="309" t="s">
        <v>2</v>
      </c>
      <c r="D26" s="309"/>
      <c r="E26" s="309"/>
      <c r="F26" s="309"/>
      <c r="G26" s="309"/>
      <c r="H26" s="309"/>
      <c r="I26" s="118">
        <f>SUM(I24:I25)</f>
        <v>0</v>
      </c>
      <c r="J26" s="111"/>
      <c r="K26" s="111"/>
    </row>
    <row r="27" spans="1:11" ht="15" hidden="1" customHeight="1" x14ac:dyDescent="0.25">
      <c r="A27" s="221"/>
      <c r="B27" s="6"/>
      <c r="C27" s="310" t="s">
        <v>258</v>
      </c>
      <c r="D27" s="310"/>
      <c r="E27" s="310"/>
      <c r="F27" s="310"/>
      <c r="G27" s="310"/>
      <c r="H27" s="310"/>
      <c r="I27" s="310"/>
      <c r="J27" s="111"/>
      <c r="K27" s="111"/>
    </row>
    <row r="28" spans="1:11" ht="50.1" hidden="1" customHeight="1" x14ac:dyDescent="0.25">
      <c r="A28" s="221"/>
      <c r="B28" s="6"/>
      <c r="C28" s="311"/>
      <c r="D28" s="311"/>
      <c r="E28" s="311"/>
      <c r="F28" s="311"/>
      <c r="G28" s="311"/>
      <c r="H28" s="311"/>
      <c r="I28" s="311"/>
      <c r="J28" s="111"/>
      <c r="K28" s="111"/>
    </row>
    <row r="29" spans="1:11" ht="15" customHeight="1" x14ac:dyDescent="0.25">
      <c r="A29" s="221"/>
      <c r="B29" s="6"/>
      <c r="C29" s="6"/>
      <c r="D29" s="6"/>
      <c r="E29" s="6"/>
      <c r="F29" s="6"/>
      <c r="G29" s="6"/>
      <c r="H29" s="8"/>
      <c r="I29" s="6"/>
      <c r="J29" s="111"/>
      <c r="K29" s="111"/>
    </row>
    <row r="30" spans="1:11" ht="39.950000000000003" customHeight="1" x14ac:dyDescent="0.25">
      <c r="A30" s="221"/>
      <c r="B30" s="6"/>
      <c r="C30" s="330" t="s">
        <v>24</v>
      </c>
      <c r="D30" s="330"/>
      <c r="E30" s="330"/>
      <c r="F30" s="330"/>
      <c r="G30" s="330"/>
      <c r="H30" s="330"/>
      <c r="I30" s="330"/>
      <c r="J30" s="111"/>
      <c r="K30" s="111"/>
    </row>
    <row r="31" spans="1:11" ht="15" customHeight="1" x14ac:dyDescent="0.25">
      <c r="A31" s="221"/>
      <c r="B31" s="6"/>
      <c r="C31" s="6"/>
      <c r="D31" s="6"/>
      <c r="E31" s="6"/>
      <c r="F31" s="6"/>
      <c r="G31" s="6"/>
      <c r="H31" s="8"/>
      <c r="I31" s="6"/>
      <c r="J31" s="111"/>
      <c r="K31" s="111"/>
    </row>
    <row r="32" spans="1:11" ht="14.45" customHeight="1" x14ac:dyDescent="0.25">
      <c r="A32" s="221"/>
      <c r="B32" s="6"/>
      <c r="C32" s="315" t="s">
        <v>169</v>
      </c>
      <c r="D32" s="315"/>
      <c r="E32" s="315"/>
      <c r="F32" s="315"/>
      <c r="G32" s="315"/>
      <c r="H32" s="315"/>
      <c r="I32" s="315"/>
      <c r="J32" s="111"/>
      <c r="K32" s="111"/>
    </row>
    <row r="33" spans="1:11" s="20" customFormat="1" ht="48" x14ac:dyDescent="0.25">
      <c r="A33" s="220"/>
      <c r="B33" s="19"/>
      <c r="C33" s="227" t="s">
        <v>246</v>
      </c>
      <c r="D33" s="227" t="s">
        <v>19</v>
      </c>
      <c r="E33" s="227" t="s">
        <v>23</v>
      </c>
      <c r="F33" s="227" t="s">
        <v>226</v>
      </c>
      <c r="G33" s="227" t="s">
        <v>229</v>
      </c>
      <c r="H33" s="227" t="s">
        <v>228</v>
      </c>
      <c r="I33" s="227" t="s">
        <v>247</v>
      </c>
      <c r="J33" s="116"/>
      <c r="K33" s="19"/>
    </row>
    <row r="34" spans="1:11" x14ac:dyDescent="0.25">
      <c r="A34" s="221" t="s">
        <v>237</v>
      </c>
      <c r="B34" s="6"/>
      <c r="C34" s="164"/>
      <c r="D34" s="226"/>
      <c r="E34" s="242"/>
      <c r="F34" s="167">
        <f>IF(E34="",0,VLOOKUP(E34,'Countries&amp;Coefficients'!$A$2:$B$29,2,0))</f>
        <v>0</v>
      </c>
      <c r="G34" s="168">
        <f>5080/18</f>
        <v>282.22222222222223</v>
      </c>
      <c r="H34" s="164"/>
      <c r="I34" s="166">
        <f>IFERROR(F34*G34*H34,0)</f>
        <v>0</v>
      </c>
      <c r="J34" s="111"/>
      <c r="K34" s="111"/>
    </row>
    <row r="35" spans="1:11" ht="15" hidden="1" customHeight="1" x14ac:dyDescent="0.25">
      <c r="A35" s="221"/>
      <c r="B35" s="6"/>
      <c r="C35" s="340"/>
      <c r="D35" s="342"/>
      <c r="E35" s="233"/>
      <c r="F35" s="233"/>
      <c r="G35" s="122"/>
      <c r="H35" s="233"/>
      <c r="I35" s="120"/>
      <c r="J35" s="111"/>
      <c r="K35" s="111"/>
    </row>
    <row r="36" spans="1:11" x14ac:dyDescent="0.25">
      <c r="A36" s="221"/>
      <c r="B36" s="6"/>
      <c r="C36" s="309" t="s">
        <v>2</v>
      </c>
      <c r="D36" s="309"/>
      <c r="E36" s="309"/>
      <c r="F36" s="309"/>
      <c r="G36" s="309"/>
      <c r="H36" s="309"/>
      <c r="I36" s="118">
        <f>SUM(I33:I35)</f>
        <v>0</v>
      </c>
      <c r="J36" s="111"/>
      <c r="K36" s="111"/>
    </row>
    <row r="37" spans="1:11" ht="15" hidden="1" customHeight="1" x14ac:dyDescent="0.25">
      <c r="A37" s="221"/>
      <c r="B37" s="6"/>
      <c r="C37" s="310" t="s">
        <v>258</v>
      </c>
      <c r="D37" s="310"/>
      <c r="E37" s="310"/>
      <c r="F37" s="310"/>
      <c r="G37" s="310"/>
      <c r="H37" s="310"/>
      <c r="I37" s="310"/>
      <c r="J37" s="111"/>
      <c r="K37" s="111"/>
    </row>
    <row r="38" spans="1:11" ht="50.1" hidden="1" customHeight="1" x14ac:dyDescent="0.25">
      <c r="A38" s="221"/>
      <c r="B38" s="6"/>
      <c r="C38" s="311"/>
      <c r="D38" s="311"/>
      <c r="E38" s="311"/>
      <c r="F38" s="311"/>
      <c r="G38" s="311"/>
      <c r="H38" s="311"/>
      <c r="I38" s="311"/>
      <c r="J38" s="111"/>
      <c r="K38" s="111"/>
    </row>
    <row r="39" spans="1:11" x14ac:dyDescent="0.25">
      <c r="A39" s="221"/>
      <c r="B39" s="6"/>
      <c r="C39" s="6"/>
      <c r="D39" s="6"/>
      <c r="E39" s="6"/>
      <c r="F39" s="6"/>
      <c r="G39" s="6"/>
      <c r="H39" s="6"/>
      <c r="I39" s="6"/>
      <c r="J39" s="111"/>
      <c r="K39" s="111"/>
    </row>
    <row r="40" spans="1:11" ht="38.450000000000003" customHeight="1" x14ac:dyDescent="0.25">
      <c r="A40" s="221"/>
      <c r="B40" s="6"/>
      <c r="C40" s="9" t="s">
        <v>42</v>
      </c>
      <c r="D40" s="6"/>
      <c r="E40" s="6"/>
      <c r="F40" s="6"/>
      <c r="G40" s="6"/>
      <c r="H40" s="6"/>
      <c r="I40" s="6"/>
      <c r="J40" s="111"/>
      <c r="K40" s="111"/>
    </row>
    <row r="41" spans="1:11" ht="51" customHeight="1" x14ac:dyDescent="0.25">
      <c r="A41" s="221"/>
      <c r="B41" s="6"/>
      <c r="C41" s="330" t="s">
        <v>10</v>
      </c>
      <c r="D41" s="330"/>
      <c r="E41" s="330"/>
      <c r="F41" s="330"/>
      <c r="G41" s="330"/>
      <c r="H41" s="330"/>
      <c r="I41" s="330"/>
      <c r="J41" s="111"/>
      <c r="K41" s="111"/>
    </row>
    <row r="42" spans="1:11" ht="15" customHeight="1" x14ac:dyDescent="0.25">
      <c r="A42" s="221"/>
      <c r="B42" s="6"/>
      <c r="C42" s="6"/>
      <c r="D42" s="6"/>
      <c r="E42" s="6"/>
      <c r="F42" s="6"/>
      <c r="G42" s="6"/>
      <c r="H42" s="6"/>
      <c r="I42" s="6"/>
      <c r="J42" s="111"/>
      <c r="K42" s="111"/>
    </row>
    <row r="43" spans="1:11" ht="23.25" x14ac:dyDescent="0.25">
      <c r="A43" s="221"/>
      <c r="B43" s="6"/>
      <c r="C43" s="230" t="s">
        <v>5</v>
      </c>
      <c r="D43" s="230" t="s">
        <v>1</v>
      </c>
      <c r="E43" s="230" t="s">
        <v>0</v>
      </c>
      <c r="F43" s="230" t="s">
        <v>9</v>
      </c>
      <c r="G43" s="331" t="s">
        <v>8</v>
      </c>
      <c r="H43" s="331"/>
      <c r="I43" s="230" t="s">
        <v>4</v>
      </c>
      <c r="J43" s="111"/>
      <c r="K43" s="111"/>
    </row>
    <row r="44" spans="1:11" x14ac:dyDescent="0.25">
      <c r="A44" s="221" t="s">
        <v>238</v>
      </c>
      <c r="B44" s="6"/>
      <c r="C44" s="229"/>
      <c r="D44" s="169"/>
      <c r="E44" s="161"/>
      <c r="F44" s="161"/>
      <c r="G44" s="332"/>
      <c r="H44" s="332"/>
      <c r="I44" s="165"/>
      <c r="J44" s="111"/>
      <c r="K44" s="111"/>
    </row>
    <row r="45" spans="1:11" ht="15" hidden="1" customHeight="1" x14ac:dyDescent="0.25">
      <c r="A45" s="221"/>
      <c r="B45" s="6"/>
      <c r="C45" s="234"/>
      <c r="D45" s="235"/>
      <c r="E45" s="235"/>
      <c r="F45" s="236"/>
      <c r="G45" s="333"/>
      <c r="H45" s="334"/>
      <c r="I45" s="128"/>
      <c r="J45" s="111"/>
      <c r="K45" s="111"/>
    </row>
    <row r="46" spans="1:11" x14ac:dyDescent="0.25">
      <c r="A46" s="221"/>
      <c r="B46" s="6"/>
      <c r="C46" s="335" t="s">
        <v>2</v>
      </c>
      <c r="D46" s="335"/>
      <c r="E46" s="335"/>
      <c r="F46" s="335"/>
      <c r="G46" s="335"/>
      <c r="H46" s="335"/>
      <c r="I46" s="119">
        <f>SUM(I44:I45)</f>
        <v>0</v>
      </c>
      <c r="J46" s="111"/>
      <c r="K46" s="111"/>
    </row>
    <row r="47" spans="1:11" ht="15" hidden="1" customHeight="1" x14ac:dyDescent="0.25">
      <c r="A47" s="221"/>
      <c r="B47" s="6"/>
      <c r="C47" s="336" t="s">
        <v>258</v>
      </c>
      <c r="D47" s="336"/>
      <c r="E47" s="336"/>
      <c r="F47" s="336"/>
      <c r="G47" s="336"/>
      <c r="H47" s="336"/>
      <c r="I47" s="336"/>
      <c r="J47" s="111"/>
      <c r="K47" s="111"/>
    </row>
    <row r="48" spans="1:11" ht="50.1" hidden="1" customHeight="1" x14ac:dyDescent="0.25">
      <c r="A48" s="221"/>
      <c r="B48" s="6"/>
      <c r="C48" s="311"/>
      <c r="D48" s="311"/>
      <c r="E48" s="311"/>
      <c r="F48" s="311"/>
      <c r="G48" s="311"/>
      <c r="H48" s="311"/>
      <c r="I48" s="311"/>
      <c r="J48" s="111"/>
      <c r="K48" s="111"/>
    </row>
    <row r="49" spans="1:11" x14ac:dyDescent="0.25">
      <c r="A49" s="221"/>
      <c r="B49" s="6"/>
      <c r="C49" s="6"/>
      <c r="D49" s="6"/>
      <c r="E49" s="6"/>
      <c r="F49" s="6"/>
      <c r="G49" s="6"/>
      <c r="H49" s="6"/>
      <c r="I49" s="6"/>
      <c r="J49" s="111"/>
      <c r="K49" s="111"/>
    </row>
    <row r="50" spans="1:11" ht="27.95" customHeight="1" x14ac:dyDescent="0.25">
      <c r="A50" s="221"/>
      <c r="B50" s="6"/>
      <c r="C50" s="9" t="s">
        <v>162</v>
      </c>
      <c r="D50" s="6"/>
      <c r="E50" s="6"/>
      <c r="F50" s="6"/>
      <c r="G50" s="6"/>
      <c r="H50" s="6"/>
      <c r="I50" s="6"/>
      <c r="J50" s="111"/>
      <c r="K50" s="111"/>
    </row>
    <row r="51" spans="1:11" ht="39" customHeight="1" x14ac:dyDescent="0.25">
      <c r="A51" s="221"/>
      <c r="B51" s="6"/>
      <c r="C51" s="337" t="s">
        <v>13</v>
      </c>
      <c r="D51" s="337"/>
      <c r="E51" s="337"/>
      <c r="F51" s="337"/>
      <c r="G51" s="337"/>
      <c r="H51" s="338"/>
      <c r="I51" s="338"/>
      <c r="J51" s="111"/>
      <c r="K51" s="111"/>
    </row>
    <row r="52" spans="1:11" x14ac:dyDescent="0.25">
      <c r="A52" s="221"/>
      <c r="B52" s="6"/>
      <c r="C52" s="6"/>
      <c r="D52" s="6"/>
      <c r="E52" s="6"/>
      <c r="F52" s="6"/>
      <c r="G52" s="6"/>
      <c r="H52" s="6"/>
      <c r="I52" s="6"/>
      <c r="J52" s="111"/>
      <c r="K52" s="111"/>
    </row>
    <row r="53" spans="1:11" x14ac:dyDescent="0.25">
      <c r="A53" s="221"/>
      <c r="B53" s="6"/>
      <c r="C53" s="315" t="s">
        <v>43</v>
      </c>
      <c r="D53" s="315"/>
      <c r="E53" s="315"/>
      <c r="F53" s="315"/>
      <c r="G53" s="315"/>
      <c r="H53" s="315"/>
      <c r="I53" s="315"/>
      <c r="J53" s="111"/>
      <c r="K53" s="111"/>
    </row>
    <row r="54" spans="1:11" ht="24" x14ac:dyDescent="0.25">
      <c r="A54" s="221"/>
      <c r="B54" s="6"/>
      <c r="C54" s="227" t="s">
        <v>245</v>
      </c>
      <c r="D54" s="227" t="s">
        <v>0</v>
      </c>
      <c r="E54" s="227" t="s">
        <v>9</v>
      </c>
      <c r="F54" s="327" t="s">
        <v>7</v>
      </c>
      <c r="G54" s="327"/>
      <c r="H54" s="327"/>
      <c r="I54" s="227" t="s">
        <v>12</v>
      </c>
      <c r="J54" s="111"/>
      <c r="K54" s="111"/>
    </row>
    <row r="55" spans="1:11" x14ac:dyDescent="0.25">
      <c r="A55" s="221" t="s">
        <v>239</v>
      </c>
      <c r="B55" s="6"/>
      <c r="C55" s="228"/>
      <c r="D55" s="170"/>
      <c r="E55" s="161"/>
      <c r="F55" s="328"/>
      <c r="G55" s="328"/>
      <c r="H55" s="328"/>
      <c r="I55" s="165"/>
      <c r="J55" s="111"/>
      <c r="K55" s="111"/>
    </row>
    <row r="56" spans="1:11" ht="15" hidden="1" customHeight="1" x14ac:dyDescent="0.25">
      <c r="A56" s="221"/>
      <c r="B56" s="6"/>
      <c r="C56" s="237"/>
      <c r="D56" s="238"/>
      <c r="E56" s="239"/>
      <c r="F56" s="324"/>
      <c r="G56" s="325"/>
      <c r="H56" s="326"/>
      <c r="I56" s="132"/>
      <c r="J56" s="111"/>
      <c r="K56" s="111"/>
    </row>
    <row r="57" spans="1:11" x14ac:dyDescent="0.25">
      <c r="A57" s="221"/>
      <c r="B57" s="6"/>
      <c r="C57" s="309" t="s">
        <v>2</v>
      </c>
      <c r="D57" s="309"/>
      <c r="E57" s="309"/>
      <c r="F57" s="309"/>
      <c r="G57" s="309"/>
      <c r="H57" s="309"/>
      <c r="I57" s="118">
        <f>SUM(I55:I56)</f>
        <v>0</v>
      </c>
      <c r="J57" s="111"/>
      <c r="K57" s="111"/>
    </row>
    <row r="58" spans="1:11" ht="15" hidden="1" customHeight="1" x14ac:dyDescent="0.25">
      <c r="A58" s="221"/>
      <c r="B58" s="6"/>
      <c r="C58" s="310" t="s">
        <v>258</v>
      </c>
      <c r="D58" s="310"/>
      <c r="E58" s="310"/>
      <c r="F58" s="310"/>
      <c r="G58" s="310"/>
      <c r="H58" s="310"/>
      <c r="I58" s="310"/>
      <c r="J58" s="111"/>
      <c r="K58" s="111"/>
    </row>
    <row r="59" spans="1:11" ht="50.1" hidden="1" customHeight="1" x14ac:dyDescent="0.25">
      <c r="A59" s="221"/>
      <c r="B59" s="6"/>
      <c r="C59" s="311"/>
      <c r="D59" s="311"/>
      <c r="E59" s="311"/>
      <c r="F59" s="311"/>
      <c r="G59" s="311"/>
      <c r="H59" s="311"/>
      <c r="I59" s="311"/>
      <c r="J59" s="111"/>
      <c r="K59" s="111"/>
    </row>
    <row r="60" spans="1:11" x14ac:dyDescent="0.25">
      <c r="A60" s="221"/>
      <c r="B60" s="6"/>
      <c r="C60" s="1"/>
      <c r="D60" s="1"/>
      <c r="E60" s="1"/>
      <c r="F60" s="2"/>
      <c r="G60" s="2"/>
      <c r="H60" s="10"/>
      <c r="I60" s="10"/>
      <c r="J60" s="111"/>
      <c r="K60" s="111"/>
    </row>
    <row r="61" spans="1:11" x14ac:dyDescent="0.25">
      <c r="A61" s="221"/>
      <c r="B61" s="6"/>
      <c r="C61" s="315" t="s">
        <v>164</v>
      </c>
      <c r="D61" s="315"/>
      <c r="E61" s="315"/>
      <c r="F61" s="315"/>
      <c r="G61" s="315"/>
      <c r="H61" s="315"/>
      <c r="I61" s="315"/>
      <c r="J61" s="111"/>
      <c r="K61" s="111"/>
    </row>
    <row r="62" spans="1:11" ht="24" x14ac:dyDescent="0.25">
      <c r="A62" s="221"/>
      <c r="B62" s="6"/>
      <c r="C62" s="227" t="s">
        <v>245</v>
      </c>
      <c r="D62" s="227" t="s">
        <v>25</v>
      </c>
      <c r="E62" s="227" t="s">
        <v>0</v>
      </c>
      <c r="F62" s="227" t="s">
        <v>9</v>
      </c>
      <c r="G62" s="327" t="s">
        <v>7</v>
      </c>
      <c r="H62" s="327"/>
      <c r="I62" s="227" t="s">
        <v>12</v>
      </c>
      <c r="J62" s="111"/>
      <c r="K62" s="111"/>
    </row>
    <row r="63" spans="1:11" x14ac:dyDescent="0.25">
      <c r="A63" s="221" t="s">
        <v>240</v>
      </c>
      <c r="B63" s="6"/>
      <c r="C63" s="228"/>
      <c r="D63" s="163"/>
      <c r="E63" s="226"/>
      <c r="F63" s="161"/>
      <c r="G63" s="328"/>
      <c r="H63" s="328"/>
      <c r="I63" s="165"/>
      <c r="J63" s="111"/>
      <c r="K63" s="111"/>
    </row>
    <row r="64" spans="1:11" ht="15" hidden="1" customHeight="1" x14ac:dyDescent="0.25">
      <c r="A64" s="221"/>
      <c r="B64" s="6"/>
      <c r="C64" s="237"/>
      <c r="D64" s="238"/>
      <c r="E64" s="240"/>
      <c r="F64" s="239"/>
      <c r="G64" s="324"/>
      <c r="H64" s="326"/>
      <c r="I64" s="132"/>
      <c r="J64" s="111"/>
      <c r="K64" s="111"/>
    </row>
    <row r="65" spans="1:11" x14ac:dyDescent="0.25">
      <c r="A65" s="221"/>
      <c r="B65" s="6"/>
      <c r="C65" s="309" t="s">
        <v>2</v>
      </c>
      <c r="D65" s="309"/>
      <c r="E65" s="309"/>
      <c r="F65" s="309"/>
      <c r="G65" s="309"/>
      <c r="H65" s="309"/>
      <c r="I65" s="118">
        <f>SUM(I63:I64)</f>
        <v>0</v>
      </c>
      <c r="J65" s="111"/>
      <c r="K65" s="111"/>
    </row>
    <row r="66" spans="1:11" ht="15" hidden="1" customHeight="1" x14ac:dyDescent="0.25">
      <c r="A66" s="221"/>
      <c r="B66" s="6"/>
      <c r="C66" s="310" t="s">
        <v>258</v>
      </c>
      <c r="D66" s="310"/>
      <c r="E66" s="310"/>
      <c r="F66" s="310"/>
      <c r="G66" s="310"/>
      <c r="H66" s="310"/>
      <c r="I66" s="310"/>
      <c r="J66" s="111"/>
      <c r="K66" s="111"/>
    </row>
    <row r="67" spans="1:11" ht="50.1" hidden="1" customHeight="1" x14ac:dyDescent="0.25">
      <c r="A67" s="222"/>
      <c r="B67" s="6"/>
      <c r="C67" s="311"/>
      <c r="D67" s="311"/>
      <c r="E67" s="311"/>
      <c r="F67" s="311"/>
      <c r="G67" s="311"/>
      <c r="H67" s="311"/>
      <c r="I67" s="311"/>
      <c r="J67" s="111"/>
      <c r="K67" s="111"/>
    </row>
    <row r="68" spans="1:11" x14ac:dyDescent="0.25">
      <c r="A68" s="223"/>
      <c r="B68" s="6"/>
      <c r="C68" s="6"/>
      <c r="D68" s="6"/>
      <c r="E68" s="6"/>
      <c r="F68" s="6"/>
      <c r="G68" s="6"/>
      <c r="H68" s="6"/>
      <c r="I68" s="6"/>
      <c r="J68" s="111"/>
      <c r="K68" s="111"/>
    </row>
    <row r="69" spans="1:11" x14ac:dyDescent="0.25">
      <c r="A69" s="223"/>
      <c r="B69" s="6"/>
      <c r="C69" s="315" t="s">
        <v>165</v>
      </c>
      <c r="D69" s="315"/>
      <c r="E69" s="315"/>
      <c r="F69" s="315"/>
      <c r="G69" s="315"/>
      <c r="H69" s="315"/>
      <c r="I69" s="315"/>
      <c r="J69" s="111"/>
      <c r="K69" s="111"/>
    </row>
    <row r="70" spans="1:11" ht="24" x14ac:dyDescent="0.25">
      <c r="A70" s="223"/>
      <c r="B70" s="6"/>
      <c r="C70" s="327" t="s">
        <v>245</v>
      </c>
      <c r="D70" s="327"/>
      <c r="E70" s="227" t="s">
        <v>0</v>
      </c>
      <c r="F70" s="227" t="s">
        <v>9</v>
      </c>
      <c r="G70" s="327" t="s">
        <v>7</v>
      </c>
      <c r="H70" s="327"/>
      <c r="I70" s="227" t="s">
        <v>12</v>
      </c>
      <c r="J70" s="111"/>
      <c r="K70" s="111"/>
    </row>
    <row r="71" spans="1:11" x14ac:dyDescent="0.25">
      <c r="A71" s="223" t="s">
        <v>241</v>
      </c>
      <c r="B71" s="6"/>
      <c r="C71" s="329"/>
      <c r="D71" s="329"/>
      <c r="E71" s="226"/>
      <c r="F71" s="161"/>
      <c r="G71" s="328"/>
      <c r="H71" s="328"/>
      <c r="I71" s="165"/>
      <c r="J71" s="111"/>
      <c r="K71" s="111"/>
    </row>
    <row r="72" spans="1:11" ht="15" hidden="1" customHeight="1" x14ac:dyDescent="0.25">
      <c r="A72" s="223"/>
      <c r="B72" s="6"/>
      <c r="C72" s="322"/>
      <c r="D72" s="323"/>
      <c r="E72" s="240"/>
      <c r="F72" s="239"/>
      <c r="G72" s="324"/>
      <c r="H72" s="326"/>
      <c r="I72" s="132"/>
      <c r="J72" s="111"/>
      <c r="K72" s="111"/>
    </row>
    <row r="73" spans="1:11" x14ac:dyDescent="0.25">
      <c r="A73" s="223"/>
      <c r="B73" s="6"/>
      <c r="C73" s="309" t="s">
        <v>2</v>
      </c>
      <c r="D73" s="309"/>
      <c r="E73" s="309"/>
      <c r="F73" s="309"/>
      <c r="G73" s="309"/>
      <c r="H73" s="309"/>
      <c r="I73" s="118">
        <f>SUM(I71:I72)</f>
        <v>0</v>
      </c>
      <c r="J73" s="111"/>
      <c r="K73" s="111"/>
    </row>
    <row r="74" spans="1:11" ht="15" hidden="1" customHeight="1" x14ac:dyDescent="0.25">
      <c r="A74" s="223"/>
      <c r="B74" s="6"/>
      <c r="C74" s="310" t="s">
        <v>258</v>
      </c>
      <c r="D74" s="310"/>
      <c r="E74" s="310"/>
      <c r="F74" s="310"/>
      <c r="G74" s="310"/>
      <c r="H74" s="310"/>
      <c r="I74" s="310"/>
      <c r="J74" s="111"/>
      <c r="K74" s="111"/>
    </row>
    <row r="75" spans="1:11" ht="50.1" hidden="1" customHeight="1" x14ac:dyDescent="0.25">
      <c r="A75" s="223"/>
      <c r="B75" s="6"/>
      <c r="C75" s="311"/>
      <c r="D75" s="311"/>
      <c r="E75" s="311"/>
      <c r="F75" s="311"/>
      <c r="G75" s="311"/>
      <c r="H75" s="311"/>
      <c r="I75" s="311"/>
      <c r="J75" s="111"/>
      <c r="K75" s="111"/>
    </row>
    <row r="76" spans="1:11" x14ac:dyDescent="0.25">
      <c r="A76" s="221"/>
      <c r="B76" s="6"/>
      <c r="C76" s="6"/>
      <c r="D76" s="6"/>
      <c r="E76" s="6"/>
      <c r="F76" s="6"/>
      <c r="G76" s="6"/>
      <c r="H76" s="6"/>
      <c r="I76" s="6"/>
      <c r="J76" s="111"/>
      <c r="K76" s="111"/>
    </row>
    <row r="77" spans="1:11" x14ac:dyDescent="0.25">
      <c r="A77" s="221"/>
      <c r="B77" s="6"/>
      <c r="C77" s="315" t="s">
        <v>45</v>
      </c>
      <c r="D77" s="315"/>
      <c r="E77" s="315"/>
      <c r="F77" s="315"/>
      <c r="G77" s="315"/>
      <c r="H77" s="315"/>
      <c r="I77" s="315"/>
      <c r="J77" s="111"/>
      <c r="K77" s="111"/>
    </row>
    <row r="78" spans="1:11" ht="24" x14ac:dyDescent="0.25">
      <c r="A78" s="221"/>
      <c r="B78" s="6"/>
      <c r="C78" s="227" t="s">
        <v>245</v>
      </c>
      <c r="D78" s="227" t="s">
        <v>0</v>
      </c>
      <c r="E78" s="227" t="s">
        <v>9</v>
      </c>
      <c r="F78" s="327" t="s">
        <v>7</v>
      </c>
      <c r="G78" s="327"/>
      <c r="H78" s="327"/>
      <c r="I78" s="227" t="s">
        <v>12</v>
      </c>
      <c r="J78" s="111"/>
      <c r="K78" s="111"/>
    </row>
    <row r="79" spans="1:11" x14ac:dyDescent="0.25">
      <c r="A79" s="221" t="s">
        <v>242</v>
      </c>
      <c r="B79" s="6"/>
      <c r="C79" s="228"/>
      <c r="D79" s="170"/>
      <c r="E79" s="161"/>
      <c r="F79" s="328"/>
      <c r="G79" s="328"/>
      <c r="H79" s="328"/>
      <c r="I79" s="165"/>
      <c r="J79" s="111"/>
      <c r="K79" s="111"/>
    </row>
    <row r="80" spans="1:11" ht="15" hidden="1" customHeight="1" x14ac:dyDescent="0.25">
      <c r="A80" s="221"/>
      <c r="B80" s="6"/>
      <c r="C80" s="237"/>
      <c r="D80" s="238"/>
      <c r="E80" s="239"/>
      <c r="F80" s="324"/>
      <c r="G80" s="325"/>
      <c r="H80" s="326"/>
      <c r="I80" s="132"/>
      <c r="J80" s="111"/>
      <c r="K80" s="111"/>
    </row>
    <row r="81" spans="1:11" ht="21.75" customHeight="1" x14ac:dyDescent="0.25">
      <c r="A81" s="221"/>
      <c r="B81" s="6"/>
      <c r="C81" s="309" t="s">
        <v>2</v>
      </c>
      <c r="D81" s="309"/>
      <c r="E81" s="309"/>
      <c r="F81" s="309"/>
      <c r="G81" s="309"/>
      <c r="H81" s="309"/>
      <c r="I81" s="118">
        <f>SUM(I79:I80)</f>
        <v>0</v>
      </c>
      <c r="J81" s="111"/>
      <c r="K81" s="111"/>
    </row>
    <row r="82" spans="1:11" ht="15" hidden="1" customHeight="1" x14ac:dyDescent="0.25">
      <c r="A82" s="221"/>
      <c r="B82" s="6"/>
      <c r="C82" s="310" t="s">
        <v>258</v>
      </c>
      <c r="D82" s="310"/>
      <c r="E82" s="310"/>
      <c r="F82" s="310"/>
      <c r="G82" s="310"/>
      <c r="H82" s="310"/>
      <c r="I82" s="310"/>
      <c r="J82" s="111"/>
      <c r="K82" s="111"/>
    </row>
    <row r="83" spans="1:11" ht="50.1" hidden="1" customHeight="1" x14ac:dyDescent="0.25">
      <c r="A83" s="222"/>
      <c r="B83" s="6"/>
      <c r="C83" s="311"/>
      <c r="D83" s="311"/>
      <c r="E83" s="311"/>
      <c r="F83" s="311"/>
      <c r="G83" s="311"/>
      <c r="H83" s="311"/>
      <c r="I83" s="311"/>
      <c r="J83" s="111"/>
      <c r="K83" s="111"/>
    </row>
    <row r="84" spans="1:11" x14ac:dyDescent="0.25">
      <c r="A84" s="222"/>
      <c r="B84" s="6"/>
      <c r="C84" s="6"/>
      <c r="D84" s="6"/>
      <c r="E84" s="6"/>
      <c r="F84" s="6"/>
      <c r="G84" s="6"/>
      <c r="H84" s="6"/>
      <c r="I84" s="6"/>
      <c r="J84" s="111"/>
      <c r="K84" s="111"/>
    </row>
    <row r="85" spans="1:11" ht="26.1" customHeight="1" x14ac:dyDescent="0.25">
      <c r="A85" s="222"/>
      <c r="B85" s="6"/>
      <c r="C85" s="9" t="s">
        <v>35</v>
      </c>
      <c r="D85" s="6"/>
      <c r="E85" s="6"/>
      <c r="F85" s="6"/>
      <c r="G85" s="6"/>
      <c r="H85" s="6"/>
      <c r="I85" s="6"/>
      <c r="J85" s="111"/>
      <c r="K85" s="111"/>
    </row>
    <row r="86" spans="1:11" ht="26.1" customHeight="1" x14ac:dyDescent="0.25">
      <c r="A86" s="222"/>
      <c r="B86" s="6"/>
      <c r="C86" s="312" t="s">
        <v>260</v>
      </c>
      <c r="D86" s="313"/>
      <c r="E86" s="313"/>
      <c r="F86" s="313"/>
      <c r="G86" s="313"/>
      <c r="H86" s="313"/>
      <c r="I86" s="314"/>
      <c r="J86" s="111"/>
      <c r="K86" s="111"/>
    </row>
    <row r="87" spans="1:11" x14ac:dyDescent="0.25">
      <c r="A87" s="221"/>
      <c r="B87" s="6"/>
      <c r="C87" s="6"/>
      <c r="D87" s="6"/>
      <c r="E87" s="6"/>
      <c r="F87" s="6"/>
      <c r="G87" s="6"/>
      <c r="H87" s="6"/>
      <c r="I87" s="6"/>
      <c r="J87" s="111"/>
      <c r="K87" s="111"/>
    </row>
    <row r="88" spans="1:11" x14ac:dyDescent="0.25">
      <c r="A88" s="221"/>
      <c r="B88" s="6"/>
      <c r="C88" s="315" t="s">
        <v>166</v>
      </c>
      <c r="D88" s="315"/>
      <c r="E88" s="315"/>
      <c r="F88" s="315"/>
      <c r="G88" s="315"/>
      <c r="H88" s="315"/>
      <c r="I88" s="315"/>
      <c r="J88" s="111"/>
      <c r="K88" s="111"/>
    </row>
    <row r="89" spans="1:11" ht="24" x14ac:dyDescent="0.25">
      <c r="A89" s="221"/>
      <c r="B89" s="6"/>
      <c r="C89" s="227" t="s">
        <v>245</v>
      </c>
      <c r="D89" s="227" t="s">
        <v>0</v>
      </c>
      <c r="E89" s="227" t="s">
        <v>9</v>
      </c>
      <c r="F89" s="327" t="s">
        <v>7</v>
      </c>
      <c r="G89" s="327"/>
      <c r="H89" s="327"/>
      <c r="I89" s="227" t="s">
        <v>12</v>
      </c>
      <c r="J89" s="111"/>
      <c r="K89" s="111"/>
    </row>
    <row r="90" spans="1:11" x14ac:dyDescent="0.25">
      <c r="A90" s="221" t="s">
        <v>243</v>
      </c>
      <c r="B90" s="6"/>
      <c r="C90" s="228"/>
      <c r="D90" s="170"/>
      <c r="E90" s="161"/>
      <c r="F90" s="328"/>
      <c r="G90" s="328"/>
      <c r="H90" s="328"/>
      <c r="I90" s="165"/>
      <c r="J90" s="111"/>
      <c r="K90" s="111"/>
    </row>
    <row r="91" spans="1:11" ht="15" hidden="1" customHeight="1" x14ac:dyDescent="0.25">
      <c r="A91" s="219"/>
      <c r="B91" s="6"/>
      <c r="C91" s="237"/>
      <c r="D91" s="238"/>
      <c r="E91" s="239"/>
      <c r="F91" s="324"/>
      <c r="G91" s="325"/>
      <c r="H91" s="326"/>
      <c r="I91" s="132"/>
      <c r="J91" s="111"/>
      <c r="K91" s="111"/>
    </row>
    <row r="92" spans="1:11" x14ac:dyDescent="0.25">
      <c r="A92" s="219"/>
      <c r="B92" s="6"/>
      <c r="C92" s="309" t="s">
        <v>2</v>
      </c>
      <c r="D92" s="309"/>
      <c r="E92" s="309"/>
      <c r="F92" s="309"/>
      <c r="G92" s="309"/>
      <c r="H92" s="309"/>
      <c r="I92" s="118">
        <f>SUM(I90:I91)</f>
        <v>0</v>
      </c>
      <c r="J92" s="111"/>
      <c r="K92" s="111"/>
    </row>
    <row r="93" spans="1:11" ht="15" hidden="1" customHeight="1" x14ac:dyDescent="0.25">
      <c r="A93" s="219"/>
      <c r="B93" s="6"/>
      <c r="C93" s="310" t="s">
        <v>258</v>
      </c>
      <c r="D93" s="310"/>
      <c r="E93" s="310"/>
      <c r="F93" s="310"/>
      <c r="G93" s="310"/>
      <c r="H93" s="310"/>
      <c r="I93" s="310"/>
      <c r="J93" s="111"/>
      <c r="K93" s="111"/>
    </row>
    <row r="94" spans="1:11" ht="50.1" hidden="1" customHeight="1" x14ac:dyDescent="0.25">
      <c r="A94" s="224"/>
      <c r="B94" s="6"/>
      <c r="C94" s="311"/>
      <c r="D94" s="311"/>
      <c r="E94" s="311"/>
      <c r="F94" s="311"/>
      <c r="G94" s="311"/>
      <c r="H94" s="311"/>
      <c r="I94" s="311"/>
      <c r="J94" s="111"/>
      <c r="K94" s="111"/>
    </row>
    <row r="95" spans="1:11" x14ac:dyDescent="0.25">
      <c r="A95" s="224"/>
      <c r="B95" s="6"/>
      <c r="C95" s="6"/>
      <c r="D95" s="6"/>
      <c r="E95" s="6"/>
      <c r="F95" s="6"/>
      <c r="G95" s="6"/>
      <c r="H95" s="6"/>
      <c r="I95" s="6"/>
      <c r="J95" s="111"/>
      <c r="K95" s="111"/>
    </row>
    <row r="96" spans="1:11" ht="30.6" hidden="1" customHeight="1" x14ac:dyDescent="0.25">
      <c r="A96" s="224"/>
      <c r="B96" s="6"/>
      <c r="C96" s="9" t="s">
        <v>163</v>
      </c>
      <c r="D96" s="6"/>
      <c r="E96" s="6"/>
      <c r="F96" s="6"/>
      <c r="G96" s="6"/>
      <c r="H96" s="6"/>
      <c r="I96" s="6"/>
      <c r="J96" s="111"/>
      <c r="K96" s="111"/>
    </row>
    <row r="97" spans="1:11" ht="51.95" hidden="1" customHeight="1" x14ac:dyDescent="0.25">
      <c r="A97" s="224"/>
      <c r="B97" s="6"/>
      <c r="C97" s="312" t="s">
        <v>261</v>
      </c>
      <c r="D97" s="313"/>
      <c r="E97" s="313"/>
      <c r="F97" s="313"/>
      <c r="G97" s="313"/>
      <c r="H97" s="313"/>
      <c r="I97" s="314"/>
      <c r="J97" s="111"/>
      <c r="K97" s="111"/>
    </row>
    <row r="98" spans="1:11" hidden="1" x14ac:dyDescent="0.25">
      <c r="A98" s="224"/>
      <c r="B98" s="6"/>
      <c r="C98" s="6"/>
      <c r="D98" s="6"/>
      <c r="E98" s="6"/>
      <c r="F98" s="6"/>
      <c r="G98" s="6"/>
      <c r="H98" s="6"/>
      <c r="I98" s="6"/>
      <c r="J98" s="111"/>
      <c r="K98" s="111"/>
    </row>
    <row r="99" spans="1:11" hidden="1" x14ac:dyDescent="0.25">
      <c r="A99" s="224"/>
      <c r="B99" s="6"/>
      <c r="C99" s="315" t="s">
        <v>6</v>
      </c>
      <c r="D99" s="315"/>
      <c r="E99" s="315"/>
      <c r="F99" s="315"/>
      <c r="G99" s="315"/>
      <c r="H99" s="315"/>
      <c r="I99" s="315"/>
      <c r="J99" s="111"/>
      <c r="K99" s="111"/>
    </row>
    <row r="100" spans="1:11" ht="24" hidden="1" customHeight="1" x14ac:dyDescent="0.25">
      <c r="A100" s="224"/>
      <c r="B100" s="6"/>
      <c r="C100" s="316" t="s">
        <v>213</v>
      </c>
      <c r="D100" s="317"/>
      <c r="E100" s="317"/>
      <c r="F100" s="317"/>
      <c r="G100" s="317"/>
      <c r="H100" s="318"/>
      <c r="I100" s="227" t="s">
        <v>12</v>
      </c>
      <c r="J100" s="111"/>
      <c r="K100" s="111"/>
    </row>
    <row r="101" spans="1:11" hidden="1" x14ac:dyDescent="0.25">
      <c r="A101" s="224" t="s">
        <v>244</v>
      </c>
      <c r="B101" s="6"/>
      <c r="C101" s="319"/>
      <c r="D101" s="320"/>
      <c r="E101" s="320"/>
      <c r="F101" s="320"/>
      <c r="G101" s="320"/>
      <c r="H101" s="321"/>
      <c r="I101" s="165"/>
      <c r="J101" s="111"/>
      <c r="K101" s="111"/>
    </row>
    <row r="102" spans="1:11" ht="15" hidden="1" customHeight="1" x14ac:dyDescent="0.25">
      <c r="A102" s="224"/>
      <c r="B102" s="6"/>
      <c r="C102" s="322"/>
      <c r="D102" s="323"/>
      <c r="E102" s="239"/>
      <c r="F102" s="324"/>
      <c r="G102" s="325"/>
      <c r="H102" s="326"/>
      <c r="I102" s="132"/>
      <c r="J102" s="111"/>
      <c r="K102" s="111"/>
    </row>
    <row r="103" spans="1:11" hidden="1" x14ac:dyDescent="0.25">
      <c r="A103" s="224"/>
      <c r="B103" s="6"/>
      <c r="C103" s="309" t="s">
        <v>2</v>
      </c>
      <c r="D103" s="309"/>
      <c r="E103" s="309"/>
      <c r="F103" s="309"/>
      <c r="G103" s="309"/>
      <c r="H103" s="309"/>
      <c r="I103" s="118">
        <f>SUM(I101:I102)</f>
        <v>0</v>
      </c>
      <c r="J103" s="111"/>
      <c r="K103" s="111"/>
    </row>
    <row r="104" spans="1:11" ht="15" hidden="1" customHeight="1" x14ac:dyDescent="0.25">
      <c r="A104" s="224"/>
      <c r="B104" s="6"/>
      <c r="C104" s="310" t="s">
        <v>258</v>
      </c>
      <c r="D104" s="310"/>
      <c r="E104" s="310"/>
      <c r="F104" s="310"/>
      <c r="G104" s="310"/>
      <c r="H104" s="310"/>
      <c r="I104" s="310"/>
      <c r="J104" s="111"/>
      <c r="K104" s="111"/>
    </row>
    <row r="105" spans="1:11" ht="50.1" hidden="1" customHeight="1" x14ac:dyDescent="0.25">
      <c r="A105" s="224"/>
      <c r="B105" s="6"/>
      <c r="C105" s="311"/>
      <c r="D105" s="311"/>
      <c r="E105" s="311"/>
      <c r="F105" s="311"/>
      <c r="G105" s="311"/>
      <c r="H105" s="311"/>
      <c r="I105" s="311"/>
      <c r="J105" s="111"/>
      <c r="K105" s="111"/>
    </row>
    <row r="107" spans="1:11" x14ac:dyDescent="0.25">
      <c r="C107" s="199" t="s">
        <v>202</v>
      </c>
    </row>
  </sheetData>
  <sheetProtection algorithmName="SHA-512" hashValue="Ldu+6IzGziENO/OkCxnYJuoCLpkS5Y7FY+dBWCaS/v3tdk+oFU2RUgH1krl3QgIuipfoVtVqQ46VXbBVywLtaA==" saltValue="wqFb5IQIqw4ygGxbANAfGw==" spinCount="100000" sheet="1" objects="1" scenarios="1"/>
  <mergeCells count="81">
    <mergeCell ref="C102:D102"/>
    <mergeCell ref="F102:H102"/>
    <mergeCell ref="C103:H103"/>
    <mergeCell ref="C104:I104"/>
    <mergeCell ref="C105:I105"/>
    <mergeCell ref="C97:I97"/>
    <mergeCell ref="C99:I99"/>
    <mergeCell ref="C100:H100"/>
    <mergeCell ref="C101:H101"/>
    <mergeCell ref="C94:I94"/>
    <mergeCell ref="F90:H90"/>
    <mergeCell ref="F91:H91"/>
    <mergeCell ref="C92:H92"/>
    <mergeCell ref="F80:H80"/>
    <mergeCell ref="C81:H81"/>
    <mergeCell ref="C82:I82"/>
    <mergeCell ref="C83:I83"/>
    <mergeCell ref="C86:I86"/>
    <mergeCell ref="C93:I93"/>
    <mergeCell ref="F79:H79"/>
    <mergeCell ref="C69:I69"/>
    <mergeCell ref="C70:D70"/>
    <mergeCell ref="G70:H70"/>
    <mergeCell ref="C71:D71"/>
    <mergeCell ref="G71:H71"/>
    <mergeCell ref="C72:D72"/>
    <mergeCell ref="G72:H72"/>
    <mergeCell ref="C73:H73"/>
    <mergeCell ref="C74:I74"/>
    <mergeCell ref="C75:I75"/>
    <mergeCell ref="C77:I77"/>
    <mergeCell ref="F78:H78"/>
    <mergeCell ref="C88:I88"/>
    <mergeCell ref="F89:H89"/>
    <mergeCell ref="C67:I67"/>
    <mergeCell ref="F55:H55"/>
    <mergeCell ref="F56:H56"/>
    <mergeCell ref="C57:H57"/>
    <mergeCell ref="C58:I58"/>
    <mergeCell ref="C59:I59"/>
    <mergeCell ref="C61:I61"/>
    <mergeCell ref="G62:H62"/>
    <mergeCell ref="G63:H63"/>
    <mergeCell ref="G64:H64"/>
    <mergeCell ref="C65:H65"/>
    <mergeCell ref="C66:I66"/>
    <mergeCell ref="F54:H54"/>
    <mergeCell ref="C37:I37"/>
    <mergeCell ref="C38:I38"/>
    <mergeCell ref="C41:I41"/>
    <mergeCell ref="G43:H43"/>
    <mergeCell ref="G44:H44"/>
    <mergeCell ref="G45:H45"/>
    <mergeCell ref="C46:H46"/>
    <mergeCell ref="C47:I47"/>
    <mergeCell ref="C48:I48"/>
    <mergeCell ref="C51:I51"/>
    <mergeCell ref="C53:I53"/>
    <mergeCell ref="C36:H36"/>
    <mergeCell ref="C23:E23"/>
    <mergeCell ref="C24:E24"/>
    <mergeCell ref="C25:E25"/>
    <mergeCell ref="C26:H26"/>
    <mergeCell ref="C27:I27"/>
    <mergeCell ref="C28:I28"/>
    <mergeCell ref="C30:I30"/>
    <mergeCell ref="C32:I32"/>
    <mergeCell ref="C35:D35"/>
    <mergeCell ref="C22:I22"/>
    <mergeCell ref="C2:I2"/>
    <mergeCell ref="C5:I5"/>
    <mergeCell ref="C7:I7"/>
    <mergeCell ref="C12:I12"/>
    <mergeCell ref="C13:E13"/>
    <mergeCell ref="C14:E14"/>
    <mergeCell ref="C15:E15"/>
    <mergeCell ref="C16:H16"/>
    <mergeCell ref="C17:I17"/>
    <mergeCell ref="C18:I18"/>
    <mergeCell ref="C20:I20"/>
    <mergeCell ref="C11:H11"/>
  </mergeCells>
  <dataValidations count="5">
    <dataValidation type="list" allowBlank="1" showInputMessage="1" showErrorMessage="1" promptTitle="Select data" prompt="from the drop-down menu" sqref="F44:F45 E55:E56 F63:F64 F71:F72 E79:E80 E90:E91 E102" xr:uid="{26DFA5A1-5928-4F99-A4B4-2EAE280DFEEA}">
      <formula1>"YES,NO"</formula1>
    </dataValidation>
    <dataValidation type="decimal" allowBlank="1" showInputMessage="1" showErrorMessage="1" errorTitle="Invalid data!" error="Must be a decimal value." sqref="D63 H10 E10" xr:uid="{933CBB6D-E039-4AAC-8E8D-9FA46F74ECA9}">
      <formula1>0</formula1>
      <formula2>1000000000</formula2>
    </dataValidation>
    <dataValidation allowBlank="1" showInputMessage="1" showErrorMessage="1" prompt="Insert comment" sqref="C18:I18 C28:I28 C38:I38 C48:I48 C59:I59 C67:I67 C75:I75 C83:I83 C94:I94 C105:I105" xr:uid="{44765F66-78C7-42B1-A232-E8C9C7BC073F}"/>
    <dataValidation type="decimal" allowBlank="1" showInputMessage="1" showErrorMessage="1" errorTitle="Invalid data!" error="Must be a decimal value" sqref="D10" xr:uid="{16142A83-3FA6-40DC-A5A5-8C7FC0BE694B}">
      <formula1>0</formula1>
      <formula2>1000000000</formula2>
    </dataValidation>
    <dataValidation type="decimal" allowBlank="1" showInputMessage="1" showErrorMessage="1" errorTitle="Invalid data!" error="Must be a decimal value" sqref="I90 I79 I71 I63 I55 I44 F24 F14 I101 D9" xr:uid="{A0D34B3F-2AA0-48CD-AD8D-E3C22A18E620}">
      <formula1>-1000000000</formula1>
      <formula2>1000000000</formula2>
    </dataValidation>
  </dataValidations>
  <printOptions horizontalCentered="1" gridLines="1"/>
  <pageMargins left="0.70866141732283472" right="0.70866141732283472" top="0.74803149606299213" bottom="0.74803149606299213" header="0.31496062992125984" footer="0.31496062992125984"/>
  <pageSetup scale="53" fitToHeight="0" orientation="portrait" r:id="rId1"/>
  <headerFooter scaleWithDoc="0">
    <oddHeader>&amp;A</oddHead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AddLineUoR">
                <anchor moveWithCells="1" sizeWithCells="1">
                  <from>
                    <xdr:col>10</xdr:col>
                    <xdr:colOff>0</xdr:colOff>
                    <xdr:row>12</xdr:row>
                    <xdr:rowOff>0</xdr:rowOff>
                  </from>
                  <to>
                    <xdr:col>11</xdr:col>
                    <xdr:colOff>0</xdr:colOff>
                    <xdr:row>12</xdr:row>
                    <xdr:rowOff>485775</xdr:rowOff>
                  </to>
                </anchor>
              </controlPr>
            </control>
          </mc:Choice>
        </mc:AlternateContent>
        <mc:AlternateContent xmlns:mc="http://schemas.openxmlformats.org/markup-compatibility/2006">
          <mc:Choice Requires="x14">
            <control shapeId="10242" r:id="rId5" name="Button 2">
              <controlPr defaultSize="0" print="0" autoFill="0" autoPict="0" macro="[0]!AddLineUoR">
                <anchor moveWithCells="1" sizeWithCells="1">
                  <from>
                    <xdr:col>10</xdr:col>
                    <xdr:colOff>0</xdr:colOff>
                    <xdr:row>22</xdr:row>
                    <xdr:rowOff>0</xdr:rowOff>
                  </from>
                  <to>
                    <xdr:col>11</xdr:col>
                    <xdr:colOff>0</xdr:colOff>
                    <xdr:row>22</xdr:row>
                    <xdr:rowOff>485775</xdr:rowOff>
                  </to>
                </anchor>
              </controlPr>
            </control>
          </mc:Choice>
        </mc:AlternateContent>
        <mc:AlternateContent xmlns:mc="http://schemas.openxmlformats.org/markup-compatibility/2006">
          <mc:Choice Requires="x14">
            <control shapeId="10243" r:id="rId6" name="Button 3">
              <controlPr defaultSize="0" print="0" autoFill="0" autoPict="0" macro="[0]!AddLineUoR">
                <anchor moveWithCells="1" sizeWithCells="1">
                  <from>
                    <xdr:col>10</xdr:col>
                    <xdr:colOff>0</xdr:colOff>
                    <xdr:row>32</xdr:row>
                    <xdr:rowOff>0</xdr:rowOff>
                  </from>
                  <to>
                    <xdr:col>11</xdr:col>
                    <xdr:colOff>0</xdr:colOff>
                    <xdr:row>32</xdr:row>
                    <xdr:rowOff>485775</xdr:rowOff>
                  </to>
                </anchor>
              </controlPr>
            </control>
          </mc:Choice>
        </mc:AlternateContent>
        <mc:AlternateContent xmlns:mc="http://schemas.openxmlformats.org/markup-compatibility/2006">
          <mc:Choice Requires="x14">
            <control shapeId="10244" r:id="rId7" name="Button 4">
              <controlPr defaultSize="0" print="0" autoFill="0" autoPict="0" macro="[0]!AddLineUoR">
                <anchor moveWithCells="1" sizeWithCells="1">
                  <from>
                    <xdr:col>10</xdr:col>
                    <xdr:colOff>0</xdr:colOff>
                    <xdr:row>42</xdr:row>
                    <xdr:rowOff>0</xdr:rowOff>
                  </from>
                  <to>
                    <xdr:col>11</xdr:col>
                    <xdr:colOff>0</xdr:colOff>
                    <xdr:row>42</xdr:row>
                    <xdr:rowOff>247650</xdr:rowOff>
                  </to>
                </anchor>
              </controlPr>
            </control>
          </mc:Choice>
        </mc:AlternateContent>
        <mc:AlternateContent xmlns:mc="http://schemas.openxmlformats.org/markup-compatibility/2006">
          <mc:Choice Requires="x14">
            <control shapeId="10245" r:id="rId8" name="Button 5">
              <controlPr defaultSize="0" print="0" autoFill="0" autoPict="0" macro="[0]!AddLineUoR">
                <anchor moveWithCells="1" sizeWithCells="1">
                  <from>
                    <xdr:col>10</xdr:col>
                    <xdr:colOff>0</xdr:colOff>
                    <xdr:row>53</xdr:row>
                    <xdr:rowOff>0</xdr:rowOff>
                  </from>
                  <to>
                    <xdr:col>11</xdr:col>
                    <xdr:colOff>0</xdr:colOff>
                    <xdr:row>53</xdr:row>
                    <xdr:rowOff>428625</xdr:rowOff>
                  </to>
                </anchor>
              </controlPr>
            </control>
          </mc:Choice>
        </mc:AlternateContent>
        <mc:AlternateContent xmlns:mc="http://schemas.openxmlformats.org/markup-compatibility/2006">
          <mc:Choice Requires="x14">
            <control shapeId="10246" r:id="rId9" name="Button 6">
              <controlPr defaultSize="0" print="0" autoFill="0" autoPict="0" macro="[0]!AddLineUoR">
                <anchor moveWithCells="1" sizeWithCells="1">
                  <from>
                    <xdr:col>10</xdr:col>
                    <xdr:colOff>0</xdr:colOff>
                    <xdr:row>61</xdr:row>
                    <xdr:rowOff>0</xdr:rowOff>
                  </from>
                  <to>
                    <xdr:col>11</xdr:col>
                    <xdr:colOff>0</xdr:colOff>
                    <xdr:row>61</xdr:row>
                    <xdr:rowOff>419100</xdr:rowOff>
                  </to>
                </anchor>
              </controlPr>
            </control>
          </mc:Choice>
        </mc:AlternateContent>
        <mc:AlternateContent xmlns:mc="http://schemas.openxmlformats.org/markup-compatibility/2006">
          <mc:Choice Requires="x14">
            <control shapeId="10247" r:id="rId10" name="Button 7">
              <controlPr defaultSize="0" print="0" autoFill="0" autoPict="0" macro="[0]!AddLineUoR">
                <anchor moveWithCells="1" sizeWithCells="1">
                  <from>
                    <xdr:col>10</xdr:col>
                    <xdr:colOff>0</xdr:colOff>
                    <xdr:row>69</xdr:row>
                    <xdr:rowOff>0</xdr:rowOff>
                  </from>
                  <to>
                    <xdr:col>11</xdr:col>
                    <xdr:colOff>0</xdr:colOff>
                    <xdr:row>69</xdr:row>
                    <xdr:rowOff>428625</xdr:rowOff>
                  </to>
                </anchor>
              </controlPr>
            </control>
          </mc:Choice>
        </mc:AlternateContent>
        <mc:AlternateContent xmlns:mc="http://schemas.openxmlformats.org/markup-compatibility/2006">
          <mc:Choice Requires="x14">
            <control shapeId="10248" r:id="rId11" name="Button 8">
              <controlPr defaultSize="0" print="0" autoFill="0" autoPict="0" macro="[0]!AddLineUoR">
                <anchor moveWithCells="1" sizeWithCells="1">
                  <from>
                    <xdr:col>10</xdr:col>
                    <xdr:colOff>0</xdr:colOff>
                    <xdr:row>77</xdr:row>
                    <xdr:rowOff>0</xdr:rowOff>
                  </from>
                  <to>
                    <xdr:col>11</xdr:col>
                    <xdr:colOff>0</xdr:colOff>
                    <xdr:row>77</xdr:row>
                    <xdr:rowOff>428625</xdr:rowOff>
                  </to>
                </anchor>
              </controlPr>
            </control>
          </mc:Choice>
        </mc:AlternateContent>
        <mc:AlternateContent xmlns:mc="http://schemas.openxmlformats.org/markup-compatibility/2006">
          <mc:Choice Requires="x14">
            <control shapeId="10249" r:id="rId12" name="Button 9">
              <controlPr defaultSize="0" print="0" autoFill="0" autoPict="0" macro="[0]!AddLineUoR">
                <anchor moveWithCells="1" sizeWithCells="1">
                  <from>
                    <xdr:col>10</xdr:col>
                    <xdr:colOff>0</xdr:colOff>
                    <xdr:row>88</xdr:row>
                    <xdr:rowOff>0</xdr:rowOff>
                  </from>
                  <to>
                    <xdr:col>11</xdr:col>
                    <xdr:colOff>0</xdr:colOff>
                    <xdr:row>88</xdr:row>
                    <xdr:rowOff>428625</xdr:rowOff>
                  </to>
                </anchor>
              </controlPr>
            </control>
          </mc:Choice>
        </mc:AlternateContent>
        <mc:AlternateContent xmlns:mc="http://schemas.openxmlformats.org/markup-compatibility/2006">
          <mc:Choice Requires="x14">
            <control shapeId="10250" r:id="rId13" name="Button 10">
              <controlPr defaultSize="0" print="0" autoFill="0" autoPict="0" macro="[0]!AddLineUoR">
                <anchor moveWithCells="1" sizeWithCells="1">
                  <from>
                    <xdr:col>10</xdr:col>
                    <xdr:colOff>0</xdr:colOff>
                    <xdr:row>99</xdr:row>
                    <xdr:rowOff>0</xdr:rowOff>
                  </from>
                  <to>
                    <xdr:col>11</xdr:col>
                    <xdr:colOff>0</xdr:colOff>
                    <xdr:row>99</xdr:row>
                    <xdr:rowOff>428625</xdr:rowOff>
                  </to>
                </anchor>
              </controlPr>
            </control>
          </mc:Choice>
        </mc:AlternateContent>
        <mc:AlternateContent xmlns:mc="http://schemas.openxmlformats.org/markup-compatibility/2006">
          <mc:Choice Requires="x14">
            <control shapeId="10251" r:id="rId14" name="Button 11">
              <controlPr defaultSize="0" print="0" autoFill="0" autoPict="0" macro="[0]!AddLineUoR">
                <anchor moveWithCells="1" sizeWithCells="1">
                  <from>
                    <xdr:col>10</xdr:col>
                    <xdr:colOff>0</xdr:colOff>
                    <xdr:row>7</xdr:row>
                    <xdr:rowOff>0</xdr:rowOff>
                  </from>
                  <to>
                    <xdr:col>11</xdr:col>
                    <xdr:colOff>0</xdr:colOff>
                    <xdr:row>7</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errorTitle="Invalid data!" error="Country must be selected from the list." xr:uid="{69EA6EDF-70C9-4802-A65A-69B028F2599F}">
          <x14:formula1>
            <xm:f>'Countries&amp;Coefficients'!$A$2:$A$29</xm:f>
          </x14:formula1>
          <xm:sqref>E34</xm:sqref>
        </x14:dataValidation>
        <x14:dataValidation type="custom" operator="lessThanOrEqual" allowBlank="1" showInputMessage="1" showErrorMessage="1" errorTitle="Invalid data!" error="Must be a whole number of days or half days that is less or equal to: (nb months in the reporting period)*215/12. Rounding up to closest 0.5 is accepted." xr:uid="{2004781D-C3BB-4737-BE34-212A987D0A71}">
          <x14:formula1>
            <xm:f>AND(MOD(E9,0.5)=0,E9&lt;=CEILING(ROUND(('General info on reporting'!$F$16-'General info on reporting'!$D$16)*12/365,0)*215/12,0.5))</xm:f>
          </x14:formula1>
          <xm:sqref>H34 H24 H14 E9</xm:sqref>
        </x14:dataValidation>
        <x14:dataValidation type="custom" operator="lessThanOrEqual" allowBlank="1" showInputMessage="1" showErrorMessage="1" errorTitle="Invalid data!" error="Must be a whole number of days or half days that is less or equal to: (nb months in the reporting period)*215/12 AND that is less or equal to the &quot;Maximum declarable day-equivalents&quot;. Rounding up to closest 0.5 is accepted." xr:uid="{C333485D-9890-49C6-91B8-FC7E6AE983D8}">
          <x14:formula1>
            <xm:f>AND(MOD(H9,0.5)=0,H9&lt;=CEILING(ROUND(('General info on reporting'!$F$16-'General info on reporting'!$D$16)*12/365,0)*215/12,0.5),H9&lt;=E9)</xm:f>
          </x14:formula1>
          <xm:sqref>H9</xm:sqref>
        </x14:dataValidation>
        <x14:dataValidation type="list" allowBlank="1" showInputMessage="1" showErrorMessage="1" errorTitle="Invalid WP" error="You need to select the WP from the drop-down list." xr:uid="{2A5CF32D-E1BE-4056-B3BF-00CE7B4DE418}">
          <x14:formula1>
            <xm:f>ListActivitiesReported!#REF!</xm:f>
          </x14:formula1>
          <xm:sqref>G9 D90 D79 E71 E63 D55 E44 D34 G24 G14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theme="7" tint="0.79998168889431442"/>
    <pageSetUpPr fitToPage="1"/>
  </sheetPr>
  <dimension ref="A1:K107"/>
  <sheetViews>
    <sheetView showGridLines="0" showRowColHeaders="0" zoomScaleNormal="100" zoomScaleSheetLayoutView="85" workbookViewId="0">
      <pane ySplit="1" topLeftCell="A2" activePane="bottomLeft" state="frozen"/>
      <selection pane="bottomLeft" activeCell="C2" sqref="C2:I2"/>
    </sheetView>
  </sheetViews>
  <sheetFormatPr defaultRowHeight="15" x14ac:dyDescent="0.25"/>
  <cols>
    <col min="1" max="1" width="2.7109375" style="225" customWidth="1"/>
    <col min="2" max="2" width="2.7109375" style="11" customWidth="1"/>
    <col min="3" max="9" width="24.140625" style="11" customWidth="1"/>
    <col min="10" max="10" width="3.140625" style="11" customWidth="1"/>
    <col min="11" max="11" width="11.140625" style="11" customWidth="1"/>
  </cols>
  <sheetData>
    <row r="1" spans="1:11" ht="21" customHeight="1" x14ac:dyDescent="0.25">
      <c r="A1" s="218"/>
      <c r="B1" s="4"/>
      <c r="C1" s="6"/>
      <c r="D1" s="117" t="str">
        <f ca="1">HYPERLINK("#"&amp;CELL("address",C4), C4)</f>
        <v>A. Personnel costs</v>
      </c>
      <c r="E1" s="117" t="str">
        <f ca="1">HYPERLINK("#"&amp;CELL("address",C40), C40)</f>
        <v>B. Subcontracting</v>
      </c>
      <c r="F1" s="117" t="str">
        <f ca="1">HYPERLINK("#"&amp;CELL("address",C50), C50)</f>
        <v>C. Purchases</v>
      </c>
      <c r="G1" s="117" t="str">
        <f ca="1">HYPERLINK("#"&amp;CELL("address",C85), C85)</f>
        <v>D. Other cost categories</v>
      </c>
      <c r="H1" s="117"/>
      <c r="I1" s="4"/>
      <c r="J1" s="111"/>
      <c r="K1" s="111"/>
    </row>
    <row r="2" spans="1:11" ht="27" customHeight="1" x14ac:dyDescent="0.25">
      <c r="A2" s="219"/>
      <c r="B2" s="6"/>
      <c r="C2" s="343" t="s">
        <v>195</v>
      </c>
      <c r="D2" s="344"/>
      <c r="E2" s="344"/>
      <c r="F2" s="344"/>
      <c r="G2" s="344"/>
      <c r="H2" s="344"/>
      <c r="I2" s="345"/>
      <c r="J2" s="111"/>
      <c r="K2" s="111"/>
    </row>
    <row r="3" spans="1:11" ht="12.95" customHeight="1" x14ac:dyDescent="0.25">
      <c r="A3" s="219"/>
      <c r="B3" s="6"/>
      <c r="C3" s="6"/>
      <c r="D3" s="6"/>
      <c r="E3" s="6"/>
      <c r="F3" s="6"/>
      <c r="G3" s="6"/>
      <c r="H3" s="6"/>
      <c r="I3" s="6"/>
      <c r="J3" s="111"/>
      <c r="K3" s="111"/>
    </row>
    <row r="4" spans="1:11" ht="39.950000000000003" customHeight="1" x14ac:dyDescent="0.25">
      <c r="A4" s="219"/>
      <c r="B4" s="6"/>
      <c r="C4" s="183" t="s">
        <v>32</v>
      </c>
      <c r="D4" s="183"/>
      <c r="E4" s="6"/>
      <c r="F4" s="6"/>
      <c r="G4" s="6"/>
      <c r="H4" s="8"/>
      <c r="I4" s="6"/>
      <c r="J4" s="111"/>
      <c r="K4" s="111"/>
    </row>
    <row r="5" spans="1:11" ht="116.25" customHeight="1" x14ac:dyDescent="0.25">
      <c r="A5" s="219"/>
      <c r="B5" s="6"/>
      <c r="C5" s="330" t="s">
        <v>262</v>
      </c>
      <c r="D5" s="330"/>
      <c r="E5" s="330"/>
      <c r="F5" s="330"/>
      <c r="G5" s="330"/>
      <c r="H5" s="330"/>
      <c r="I5" s="330"/>
      <c r="J5" s="111"/>
      <c r="K5" s="111"/>
    </row>
    <row r="6" spans="1:11" ht="15" customHeight="1" x14ac:dyDescent="0.25">
      <c r="A6" s="219"/>
      <c r="B6" s="6"/>
      <c r="C6" s="6"/>
      <c r="D6" s="6"/>
      <c r="E6" s="6"/>
      <c r="F6" s="6"/>
      <c r="G6" s="6"/>
      <c r="H6" s="8"/>
      <c r="I6" s="6"/>
      <c r="J6" s="111"/>
      <c r="K6" s="111"/>
    </row>
    <row r="7" spans="1:11" ht="14.45" customHeight="1" x14ac:dyDescent="0.25">
      <c r="A7" s="219"/>
      <c r="B7" s="6"/>
      <c r="C7" s="315" t="s">
        <v>21</v>
      </c>
      <c r="D7" s="315"/>
      <c r="E7" s="315"/>
      <c r="F7" s="315"/>
      <c r="G7" s="315"/>
      <c r="H7" s="315"/>
      <c r="I7" s="315"/>
      <c r="J7" s="111"/>
      <c r="K7" s="111"/>
    </row>
    <row r="8" spans="1:11" s="20" customFormat="1" ht="36" x14ac:dyDescent="0.25">
      <c r="A8" s="220"/>
      <c r="B8" s="19"/>
      <c r="C8" s="227" t="s">
        <v>246</v>
      </c>
      <c r="D8" s="227" t="s">
        <v>15</v>
      </c>
      <c r="E8" s="227" t="s">
        <v>263</v>
      </c>
      <c r="F8" s="227" t="s">
        <v>17</v>
      </c>
      <c r="G8" s="227" t="s">
        <v>19</v>
      </c>
      <c r="H8" s="227" t="s">
        <v>107</v>
      </c>
      <c r="I8" s="227" t="s">
        <v>18</v>
      </c>
      <c r="J8" s="111"/>
      <c r="K8" s="19"/>
    </row>
    <row r="9" spans="1:11" ht="14.45" customHeight="1" x14ac:dyDescent="0.25">
      <c r="A9" s="221" t="s">
        <v>234</v>
      </c>
      <c r="B9" s="6"/>
      <c r="C9" s="164"/>
      <c r="D9" s="165"/>
      <c r="E9" s="164"/>
      <c r="F9" s="166">
        <f>IFERROR(D9/E9,0)</f>
        <v>0</v>
      </c>
      <c r="G9" s="226"/>
      <c r="H9" s="164"/>
      <c r="I9" s="166">
        <f>IFERROR(F9*H9,0)</f>
        <v>0</v>
      </c>
      <c r="J9" s="111"/>
      <c r="K9" s="111"/>
    </row>
    <row r="10" spans="1:11" ht="14.45" hidden="1" customHeight="1" x14ac:dyDescent="0.25">
      <c r="A10" s="221"/>
      <c r="B10" s="6"/>
      <c r="C10" s="231"/>
      <c r="D10" s="179"/>
      <c r="E10" s="231"/>
      <c r="F10" s="180"/>
      <c r="G10" s="232"/>
      <c r="H10" s="231"/>
      <c r="I10" s="180"/>
      <c r="J10" s="111"/>
      <c r="K10" s="111"/>
    </row>
    <row r="11" spans="1:11" ht="14.45" customHeight="1" x14ac:dyDescent="0.25">
      <c r="A11" s="221"/>
      <c r="B11" s="6"/>
      <c r="C11" s="309" t="s">
        <v>2</v>
      </c>
      <c r="D11" s="309"/>
      <c r="E11" s="309"/>
      <c r="F11" s="309"/>
      <c r="G11" s="309"/>
      <c r="H11" s="309"/>
      <c r="I11" s="118">
        <f>SUM(I9:I10)</f>
        <v>0</v>
      </c>
      <c r="J11" s="111"/>
      <c r="K11" s="111"/>
    </row>
    <row r="12" spans="1:11" ht="14.45" customHeight="1" x14ac:dyDescent="0.25">
      <c r="A12" s="221"/>
      <c r="B12" s="6"/>
      <c r="C12" s="315" t="s">
        <v>168</v>
      </c>
      <c r="D12" s="315"/>
      <c r="E12" s="315"/>
      <c r="F12" s="315"/>
      <c r="G12" s="315"/>
      <c r="H12" s="315"/>
      <c r="I12" s="315"/>
      <c r="J12" s="111"/>
      <c r="K12" s="111"/>
    </row>
    <row r="13" spans="1:11" s="20" customFormat="1" ht="36" x14ac:dyDescent="0.25">
      <c r="A13" s="220"/>
      <c r="B13" s="19"/>
      <c r="C13" s="327" t="s">
        <v>246</v>
      </c>
      <c r="D13" s="327"/>
      <c r="E13" s="327"/>
      <c r="F13" s="227" t="s">
        <v>104</v>
      </c>
      <c r="G13" s="227" t="s">
        <v>19</v>
      </c>
      <c r="H13" s="227" t="s">
        <v>106</v>
      </c>
      <c r="I13" s="227" t="s">
        <v>26</v>
      </c>
      <c r="J13" s="111"/>
      <c r="K13" s="19"/>
    </row>
    <row r="14" spans="1:11" x14ac:dyDescent="0.25">
      <c r="A14" s="221" t="s">
        <v>235</v>
      </c>
      <c r="B14" s="6"/>
      <c r="C14" s="304"/>
      <c r="D14" s="304"/>
      <c r="E14" s="304"/>
      <c r="F14" s="165"/>
      <c r="G14" s="226"/>
      <c r="H14" s="164"/>
      <c r="I14" s="166">
        <f>IFERROR(F14*H14,0)</f>
        <v>0</v>
      </c>
      <c r="J14" s="111"/>
      <c r="K14" s="111"/>
    </row>
    <row r="15" spans="1:11" ht="15" hidden="1" customHeight="1" x14ac:dyDescent="0.25">
      <c r="A15" s="221"/>
      <c r="B15" s="6"/>
      <c r="C15" s="340"/>
      <c r="D15" s="341"/>
      <c r="E15" s="342"/>
      <c r="F15" s="122"/>
      <c r="G15" s="233"/>
      <c r="H15" s="233"/>
      <c r="I15" s="120"/>
      <c r="J15" s="111"/>
      <c r="K15" s="111"/>
    </row>
    <row r="16" spans="1:11" x14ac:dyDescent="0.25">
      <c r="A16" s="221"/>
      <c r="B16" s="6"/>
      <c r="C16" s="309" t="s">
        <v>2</v>
      </c>
      <c r="D16" s="309"/>
      <c r="E16" s="309"/>
      <c r="F16" s="309"/>
      <c r="G16" s="309"/>
      <c r="H16" s="309"/>
      <c r="I16" s="118">
        <f>SUM(I14:I15)</f>
        <v>0</v>
      </c>
      <c r="J16" s="111"/>
      <c r="K16" s="111"/>
    </row>
    <row r="17" spans="1:11" ht="15" hidden="1" customHeight="1" x14ac:dyDescent="0.25">
      <c r="A17" s="221"/>
      <c r="B17" s="6"/>
      <c r="C17" s="310" t="s">
        <v>258</v>
      </c>
      <c r="D17" s="310"/>
      <c r="E17" s="310"/>
      <c r="F17" s="310"/>
      <c r="G17" s="310"/>
      <c r="H17" s="310"/>
      <c r="I17" s="310"/>
      <c r="J17" s="111"/>
      <c r="K17" s="111"/>
    </row>
    <row r="18" spans="1:11" ht="50.1" hidden="1" customHeight="1" x14ac:dyDescent="0.25">
      <c r="A18" s="221"/>
      <c r="B18" s="6"/>
      <c r="C18" s="311"/>
      <c r="D18" s="311"/>
      <c r="E18" s="311"/>
      <c r="F18" s="311"/>
      <c r="G18" s="311"/>
      <c r="H18" s="311"/>
      <c r="I18" s="311"/>
      <c r="J18" s="111"/>
      <c r="K18" s="111"/>
    </row>
    <row r="19" spans="1:11" ht="15" customHeight="1" x14ac:dyDescent="0.25">
      <c r="A19" s="221"/>
      <c r="B19" s="6"/>
      <c r="C19" s="6"/>
      <c r="D19" s="6"/>
      <c r="E19" s="6"/>
      <c r="F19" s="6"/>
      <c r="G19" s="6"/>
      <c r="H19" s="8"/>
      <c r="I19" s="6"/>
      <c r="J19" s="111"/>
      <c r="K19" s="111"/>
    </row>
    <row r="20" spans="1:11" ht="39.950000000000003" customHeight="1" x14ac:dyDescent="0.25">
      <c r="A20" s="221"/>
      <c r="B20" s="6"/>
      <c r="C20" s="330" t="s">
        <v>259</v>
      </c>
      <c r="D20" s="330"/>
      <c r="E20" s="330"/>
      <c r="F20" s="330"/>
      <c r="G20" s="330"/>
      <c r="H20" s="330"/>
      <c r="I20" s="330"/>
      <c r="J20" s="111"/>
      <c r="K20" s="111"/>
    </row>
    <row r="21" spans="1:11" ht="15" customHeight="1" x14ac:dyDescent="0.25">
      <c r="A21" s="221"/>
      <c r="B21" s="6"/>
      <c r="C21" s="6"/>
      <c r="D21" s="6"/>
      <c r="E21" s="6"/>
      <c r="F21" s="6"/>
      <c r="G21" s="6"/>
      <c r="H21" s="8"/>
      <c r="I21" s="6"/>
      <c r="J21" s="111"/>
      <c r="K21" s="111"/>
    </row>
    <row r="22" spans="1:11" ht="15" customHeight="1" x14ac:dyDescent="0.25">
      <c r="A22" s="221"/>
      <c r="B22" s="6"/>
      <c r="C22" s="339" t="s">
        <v>149</v>
      </c>
      <c r="D22" s="339"/>
      <c r="E22" s="339"/>
      <c r="F22" s="339"/>
      <c r="G22" s="339"/>
      <c r="H22" s="339"/>
      <c r="I22" s="339"/>
      <c r="J22" s="111"/>
      <c r="K22" s="111"/>
    </row>
    <row r="23" spans="1:11" s="20" customFormat="1" ht="36" x14ac:dyDescent="0.25">
      <c r="A23" s="220"/>
      <c r="B23" s="19"/>
      <c r="C23" s="327" t="s">
        <v>246</v>
      </c>
      <c r="D23" s="327"/>
      <c r="E23" s="327"/>
      <c r="F23" s="227" t="s">
        <v>105</v>
      </c>
      <c r="G23" s="227" t="s">
        <v>19</v>
      </c>
      <c r="H23" s="227" t="s">
        <v>106</v>
      </c>
      <c r="I23" s="227" t="s">
        <v>26</v>
      </c>
      <c r="J23" s="111"/>
      <c r="K23" s="19"/>
    </row>
    <row r="24" spans="1:11" x14ac:dyDescent="0.25">
      <c r="A24" s="221" t="s">
        <v>236</v>
      </c>
      <c r="B24" s="6"/>
      <c r="C24" s="304"/>
      <c r="D24" s="304"/>
      <c r="E24" s="304"/>
      <c r="F24" s="165"/>
      <c r="G24" s="226"/>
      <c r="H24" s="164"/>
      <c r="I24" s="166">
        <f>IFERROR(F24*H24,0)</f>
        <v>0</v>
      </c>
      <c r="J24" s="111"/>
      <c r="K24" s="111"/>
    </row>
    <row r="25" spans="1:11" ht="15" hidden="1" customHeight="1" x14ac:dyDescent="0.25">
      <c r="A25" s="221"/>
      <c r="B25" s="6"/>
      <c r="C25" s="340"/>
      <c r="D25" s="341"/>
      <c r="E25" s="342"/>
      <c r="F25" s="124"/>
      <c r="G25" s="233"/>
      <c r="H25" s="233"/>
      <c r="I25" s="120"/>
      <c r="J25" s="111"/>
      <c r="K25" s="111"/>
    </row>
    <row r="26" spans="1:11" x14ac:dyDescent="0.25">
      <c r="A26" s="221"/>
      <c r="B26" s="6"/>
      <c r="C26" s="309" t="s">
        <v>2</v>
      </c>
      <c r="D26" s="309"/>
      <c r="E26" s="309"/>
      <c r="F26" s="309"/>
      <c r="G26" s="309"/>
      <c r="H26" s="309"/>
      <c r="I26" s="118">
        <f>SUM(I24:I25)</f>
        <v>0</v>
      </c>
      <c r="J26" s="111"/>
      <c r="K26" s="111"/>
    </row>
    <row r="27" spans="1:11" ht="15" hidden="1" customHeight="1" x14ac:dyDescent="0.25">
      <c r="A27" s="221"/>
      <c r="B27" s="6"/>
      <c r="C27" s="310" t="s">
        <v>258</v>
      </c>
      <c r="D27" s="310"/>
      <c r="E27" s="310"/>
      <c r="F27" s="310"/>
      <c r="G27" s="310"/>
      <c r="H27" s="310"/>
      <c r="I27" s="310"/>
      <c r="J27" s="111"/>
      <c r="K27" s="111"/>
    </row>
    <row r="28" spans="1:11" ht="50.1" hidden="1" customHeight="1" x14ac:dyDescent="0.25">
      <c r="A28" s="221"/>
      <c r="B28" s="6"/>
      <c r="C28" s="311"/>
      <c r="D28" s="311"/>
      <c r="E28" s="311"/>
      <c r="F28" s="311"/>
      <c r="G28" s="311"/>
      <c r="H28" s="311"/>
      <c r="I28" s="311"/>
      <c r="J28" s="111"/>
      <c r="K28" s="111"/>
    </row>
    <row r="29" spans="1:11" ht="15" customHeight="1" x14ac:dyDescent="0.25">
      <c r="A29" s="221"/>
      <c r="B29" s="6"/>
      <c r="C29" s="6"/>
      <c r="D29" s="6"/>
      <c r="E29" s="6"/>
      <c r="F29" s="6"/>
      <c r="G29" s="6"/>
      <c r="H29" s="8"/>
      <c r="I29" s="6"/>
      <c r="J29" s="111"/>
      <c r="K29" s="111"/>
    </row>
    <row r="30" spans="1:11" ht="39.950000000000003" customHeight="1" x14ac:dyDescent="0.25">
      <c r="A30" s="221"/>
      <c r="B30" s="6"/>
      <c r="C30" s="330" t="s">
        <v>24</v>
      </c>
      <c r="D30" s="330"/>
      <c r="E30" s="330"/>
      <c r="F30" s="330"/>
      <c r="G30" s="330"/>
      <c r="H30" s="330"/>
      <c r="I30" s="330"/>
      <c r="J30" s="111"/>
      <c r="K30" s="111"/>
    </row>
    <row r="31" spans="1:11" ht="15" customHeight="1" x14ac:dyDescent="0.25">
      <c r="A31" s="221"/>
      <c r="B31" s="6"/>
      <c r="C31" s="6"/>
      <c r="D31" s="6"/>
      <c r="E31" s="6"/>
      <c r="F31" s="6"/>
      <c r="G31" s="6"/>
      <c r="H31" s="8"/>
      <c r="I31" s="6"/>
      <c r="J31" s="111"/>
      <c r="K31" s="111"/>
    </row>
    <row r="32" spans="1:11" ht="14.45" customHeight="1" x14ac:dyDescent="0.25">
      <c r="A32" s="221"/>
      <c r="B32" s="6"/>
      <c r="C32" s="315" t="s">
        <v>169</v>
      </c>
      <c r="D32" s="315"/>
      <c r="E32" s="315"/>
      <c r="F32" s="315"/>
      <c r="G32" s="315"/>
      <c r="H32" s="315"/>
      <c r="I32" s="315"/>
      <c r="J32" s="111"/>
      <c r="K32" s="111"/>
    </row>
    <row r="33" spans="1:11" s="20" customFormat="1" ht="48" x14ac:dyDescent="0.25">
      <c r="A33" s="220"/>
      <c r="B33" s="19"/>
      <c r="C33" s="227" t="s">
        <v>246</v>
      </c>
      <c r="D33" s="227" t="s">
        <v>19</v>
      </c>
      <c r="E33" s="227" t="s">
        <v>23</v>
      </c>
      <c r="F33" s="227" t="s">
        <v>226</v>
      </c>
      <c r="G33" s="227" t="s">
        <v>229</v>
      </c>
      <c r="H33" s="227" t="s">
        <v>228</v>
      </c>
      <c r="I33" s="227" t="s">
        <v>247</v>
      </c>
      <c r="J33" s="116"/>
      <c r="K33" s="19"/>
    </row>
    <row r="34" spans="1:11" x14ac:dyDescent="0.25">
      <c r="A34" s="221" t="s">
        <v>237</v>
      </c>
      <c r="B34" s="6"/>
      <c r="C34" s="164"/>
      <c r="D34" s="226"/>
      <c r="E34" s="242"/>
      <c r="F34" s="167">
        <f>IF(E34="",0,VLOOKUP(E34,'Countries&amp;Coefficients'!$A$2:$B$29,2,0))</f>
        <v>0</v>
      </c>
      <c r="G34" s="168">
        <f>5080/18</f>
        <v>282.22222222222223</v>
      </c>
      <c r="H34" s="164"/>
      <c r="I34" s="166">
        <f>IFERROR(F34*G34*H34,0)</f>
        <v>0</v>
      </c>
      <c r="J34" s="111"/>
      <c r="K34" s="111"/>
    </row>
    <row r="35" spans="1:11" ht="15" hidden="1" customHeight="1" x14ac:dyDescent="0.25">
      <c r="A35" s="221"/>
      <c r="B35" s="6"/>
      <c r="C35" s="340"/>
      <c r="D35" s="342"/>
      <c r="E35" s="233"/>
      <c r="F35" s="233"/>
      <c r="G35" s="122"/>
      <c r="H35" s="233"/>
      <c r="I35" s="120"/>
      <c r="J35" s="111"/>
      <c r="K35" s="111"/>
    </row>
    <row r="36" spans="1:11" x14ac:dyDescent="0.25">
      <c r="A36" s="221"/>
      <c r="B36" s="6"/>
      <c r="C36" s="309" t="s">
        <v>2</v>
      </c>
      <c r="D36" s="309"/>
      <c r="E36" s="309"/>
      <c r="F36" s="309"/>
      <c r="G36" s="309"/>
      <c r="H36" s="309"/>
      <c r="I36" s="118">
        <f>SUM(I33:I35)</f>
        <v>0</v>
      </c>
      <c r="J36" s="111"/>
      <c r="K36" s="111"/>
    </row>
    <row r="37" spans="1:11" ht="15" hidden="1" customHeight="1" x14ac:dyDescent="0.25">
      <c r="A37" s="221"/>
      <c r="B37" s="6"/>
      <c r="C37" s="310" t="s">
        <v>258</v>
      </c>
      <c r="D37" s="310"/>
      <c r="E37" s="310"/>
      <c r="F37" s="310"/>
      <c r="G37" s="310"/>
      <c r="H37" s="310"/>
      <c r="I37" s="310"/>
      <c r="J37" s="111"/>
      <c r="K37" s="111"/>
    </row>
    <row r="38" spans="1:11" ht="50.1" hidden="1" customHeight="1" x14ac:dyDescent="0.25">
      <c r="A38" s="221"/>
      <c r="B38" s="6"/>
      <c r="C38" s="311"/>
      <c r="D38" s="311"/>
      <c r="E38" s="311"/>
      <c r="F38" s="311"/>
      <c r="G38" s="311"/>
      <c r="H38" s="311"/>
      <c r="I38" s="311"/>
      <c r="J38" s="111"/>
      <c r="K38" s="111"/>
    </row>
    <row r="39" spans="1:11" x14ac:dyDescent="0.25">
      <c r="A39" s="221"/>
      <c r="B39" s="6"/>
      <c r="C39" s="6"/>
      <c r="D39" s="6"/>
      <c r="E39" s="6"/>
      <c r="F39" s="6"/>
      <c r="G39" s="6"/>
      <c r="H39" s="6"/>
      <c r="I39" s="6"/>
      <c r="J39" s="111"/>
      <c r="K39" s="111"/>
    </row>
    <row r="40" spans="1:11" ht="38.450000000000003" customHeight="1" x14ac:dyDescent="0.25">
      <c r="A40" s="221"/>
      <c r="B40" s="6"/>
      <c r="C40" s="9" t="s">
        <v>42</v>
      </c>
      <c r="D40" s="6"/>
      <c r="E40" s="6"/>
      <c r="F40" s="6"/>
      <c r="G40" s="6"/>
      <c r="H40" s="6"/>
      <c r="I40" s="6"/>
      <c r="J40" s="111"/>
      <c r="K40" s="111"/>
    </row>
    <row r="41" spans="1:11" ht="51" customHeight="1" x14ac:dyDescent="0.25">
      <c r="A41" s="221"/>
      <c r="B41" s="6"/>
      <c r="C41" s="330" t="s">
        <v>10</v>
      </c>
      <c r="D41" s="330"/>
      <c r="E41" s="330"/>
      <c r="F41" s="330"/>
      <c r="G41" s="330"/>
      <c r="H41" s="330"/>
      <c r="I41" s="330"/>
      <c r="J41" s="111"/>
      <c r="K41" s="111"/>
    </row>
    <row r="42" spans="1:11" ht="15" customHeight="1" x14ac:dyDescent="0.25">
      <c r="A42" s="221"/>
      <c r="B42" s="6"/>
      <c r="C42" s="6"/>
      <c r="D42" s="6"/>
      <c r="E42" s="6"/>
      <c r="F42" s="6"/>
      <c r="G42" s="6"/>
      <c r="H42" s="6"/>
      <c r="I42" s="6"/>
      <c r="J42" s="111"/>
      <c r="K42" s="111"/>
    </row>
    <row r="43" spans="1:11" ht="23.25" x14ac:dyDescent="0.25">
      <c r="A43" s="221"/>
      <c r="B43" s="6"/>
      <c r="C43" s="230" t="s">
        <v>5</v>
      </c>
      <c r="D43" s="230" t="s">
        <v>1</v>
      </c>
      <c r="E43" s="230" t="s">
        <v>0</v>
      </c>
      <c r="F43" s="230" t="s">
        <v>9</v>
      </c>
      <c r="G43" s="331" t="s">
        <v>8</v>
      </c>
      <c r="H43" s="331"/>
      <c r="I43" s="230" t="s">
        <v>4</v>
      </c>
      <c r="J43" s="111"/>
      <c r="K43" s="111"/>
    </row>
    <row r="44" spans="1:11" x14ac:dyDescent="0.25">
      <c r="A44" s="221" t="s">
        <v>238</v>
      </c>
      <c r="B44" s="6"/>
      <c r="C44" s="229"/>
      <c r="D44" s="169"/>
      <c r="E44" s="161"/>
      <c r="F44" s="161"/>
      <c r="G44" s="332"/>
      <c r="H44" s="332"/>
      <c r="I44" s="165"/>
      <c r="J44" s="111"/>
      <c r="K44" s="111"/>
    </row>
    <row r="45" spans="1:11" ht="15" hidden="1" customHeight="1" x14ac:dyDescent="0.25">
      <c r="A45" s="221"/>
      <c r="B45" s="6"/>
      <c r="C45" s="234"/>
      <c r="D45" s="235"/>
      <c r="E45" s="235"/>
      <c r="F45" s="236"/>
      <c r="G45" s="333"/>
      <c r="H45" s="334"/>
      <c r="I45" s="128"/>
      <c r="J45" s="111"/>
      <c r="K45" s="111"/>
    </row>
    <row r="46" spans="1:11" x14ac:dyDescent="0.25">
      <c r="A46" s="221"/>
      <c r="B46" s="6"/>
      <c r="C46" s="335" t="s">
        <v>2</v>
      </c>
      <c r="D46" s="335"/>
      <c r="E46" s="335"/>
      <c r="F46" s="335"/>
      <c r="G46" s="335"/>
      <c r="H46" s="335"/>
      <c r="I46" s="119">
        <f>SUM(I44:I45)</f>
        <v>0</v>
      </c>
      <c r="J46" s="111"/>
      <c r="K46" s="111"/>
    </row>
    <row r="47" spans="1:11" ht="15" hidden="1" customHeight="1" x14ac:dyDescent="0.25">
      <c r="A47" s="221"/>
      <c r="B47" s="6"/>
      <c r="C47" s="336" t="s">
        <v>258</v>
      </c>
      <c r="D47" s="336"/>
      <c r="E47" s="336"/>
      <c r="F47" s="336"/>
      <c r="G47" s="336"/>
      <c r="H47" s="336"/>
      <c r="I47" s="336"/>
      <c r="J47" s="111"/>
      <c r="K47" s="111"/>
    </row>
    <row r="48" spans="1:11" ht="50.1" hidden="1" customHeight="1" x14ac:dyDescent="0.25">
      <c r="A48" s="221"/>
      <c r="B48" s="6"/>
      <c r="C48" s="311"/>
      <c r="D48" s="311"/>
      <c r="E48" s="311"/>
      <c r="F48" s="311"/>
      <c r="G48" s="311"/>
      <c r="H48" s="311"/>
      <c r="I48" s="311"/>
      <c r="J48" s="111"/>
      <c r="K48" s="111"/>
    </row>
    <row r="49" spans="1:11" x14ac:dyDescent="0.25">
      <c r="A49" s="221"/>
      <c r="B49" s="6"/>
      <c r="C49" s="6"/>
      <c r="D49" s="6"/>
      <c r="E49" s="6"/>
      <c r="F49" s="6"/>
      <c r="G49" s="6"/>
      <c r="H49" s="6"/>
      <c r="I49" s="6"/>
      <c r="J49" s="111"/>
      <c r="K49" s="111"/>
    </row>
    <row r="50" spans="1:11" ht="27.95" customHeight="1" x14ac:dyDescent="0.25">
      <c r="A50" s="221"/>
      <c r="B50" s="6"/>
      <c r="C50" s="9" t="s">
        <v>162</v>
      </c>
      <c r="D50" s="6"/>
      <c r="E50" s="6"/>
      <c r="F50" s="6"/>
      <c r="G50" s="6"/>
      <c r="H50" s="6"/>
      <c r="I50" s="6"/>
      <c r="J50" s="111"/>
      <c r="K50" s="111"/>
    </row>
    <row r="51" spans="1:11" ht="39" customHeight="1" x14ac:dyDescent="0.25">
      <c r="A51" s="221"/>
      <c r="B51" s="6"/>
      <c r="C51" s="337" t="s">
        <v>13</v>
      </c>
      <c r="D51" s="337"/>
      <c r="E51" s="337"/>
      <c r="F51" s="337"/>
      <c r="G51" s="337"/>
      <c r="H51" s="338"/>
      <c r="I51" s="338"/>
      <c r="J51" s="111"/>
      <c r="K51" s="111"/>
    </row>
    <row r="52" spans="1:11" x14ac:dyDescent="0.25">
      <c r="A52" s="221"/>
      <c r="B52" s="6"/>
      <c r="C52" s="6"/>
      <c r="D52" s="6"/>
      <c r="E52" s="6"/>
      <c r="F52" s="6"/>
      <c r="G52" s="6"/>
      <c r="H52" s="6"/>
      <c r="I52" s="6"/>
      <c r="J52" s="111"/>
      <c r="K52" s="111"/>
    </row>
    <row r="53" spans="1:11" x14ac:dyDescent="0.25">
      <c r="A53" s="221"/>
      <c r="B53" s="6"/>
      <c r="C53" s="315" t="s">
        <v>43</v>
      </c>
      <c r="D53" s="315"/>
      <c r="E53" s="315"/>
      <c r="F53" s="315"/>
      <c r="G53" s="315"/>
      <c r="H53" s="315"/>
      <c r="I53" s="315"/>
      <c r="J53" s="111"/>
      <c r="K53" s="111"/>
    </row>
    <row r="54" spans="1:11" ht="24" x14ac:dyDescent="0.25">
      <c r="A54" s="221"/>
      <c r="B54" s="6"/>
      <c r="C54" s="227" t="s">
        <v>245</v>
      </c>
      <c r="D54" s="227" t="s">
        <v>0</v>
      </c>
      <c r="E54" s="227" t="s">
        <v>9</v>
      </c>
      <c r="F54" s="327" t="s">
        <v>7</v>
      </c>
      <c r="G54" s="327"/>
      <c r="H54" s="327"/>
      <c r="I54" s="227" t="s">
        <v>12</v>
      </c>
      <c r="J54" s="111"/>
      <c r="K54" s="111"/>
    </row>
    <row r="55" spans="1:11" x14ac:dyDescent="0.25">
      <c r="A55" s="221" t="s">
        <v>239</v>
      </c>
      <c r="B55" s="6"/>
      <c r="C55" s="228"/>
      <c r="D55" s="170"/>
      <c r="E55" s="161"/>
      <c r="F55" s="328"/>
      <c r="G55" s="328"/>
      <c r="H55" s="328"/>
      <c r="I55" s="165"/>
      <c r="J55" s="111"/>
      <c r="K55" s="111"/>
    </row>
    <row r="56" spans="1:11" ht="15" hidden="1" customHeight="1" x14ac:dyDescent="0.25">
      <c r="A56" s="221"/>
      <c r="B56" s="6"/>
      <c r="C56" s="237"/>
      <c r="D56" s="238"/>
      <c r="E56" s="239"/>
      <c r="F56" s="324"/>
      <c r="G56" s="325"/>
      <c r="H56" s="326"/>
      <c r="I56" s="132"/>
      <c r="J56" s="111"/>
      <c r="K56" s="111"/>
    </row>
    <row r="57" spans="1:11" x14ac:dyDescent="0.25">
      <c r="A57" s="221"/>
      <c r="B57" s="6"/>
      <c r="C57" s="309" t="s">
        <v>2</v>
      </c>
      <c r="D57" s="309"/>
      <c r="E57" s="309"/>
      <c r="F57" s="309"/>
      <c r="G57" s="309"/>
      <c r="H57" s="309"/>
      <c r="I57" s="118">
        <f>SUM(I55:I56)</f>
        <v>0</v>
      </c>
      <c r="J57" s="111"/>
      <c r="K57" s="111"/>
    </row>
    <row r="58" spans="1:11" ht="15" hidden="1" customHeight="1" x14ac:dyDescent="0.25">
      <c r="A58" s="221"/>
      <c r="B58" s="6"/>
      <c r="C58" s="310" t="s">
        <v>258</v>
      </c>
      <c r="D58" s="310"/>
      <c r="E58" s="310"/>
      <c r="F58" s="310"/>
      <c r="G58" s="310"/>
      <c r="H58" s="310"/>
      <c r="I58" s="310"/>
      <c r="J58" s="111"/>
      <c r="K58" s="111"/>
    </row>
    <row r="59" spans="1:11" ht="50.1" hidden="1" customHeight="1" x14ac:dyDescent="0.25">
      <c r="A59" s="221"/>
      <c r="B59" s="6"/>
      <c r="C59" s="311"/>
      <c r="D59" s="311"/>
      <c r="E59" s="311"/>
      <c r="F59" s="311"/>
      <c r="G59" s="311"/>
      <c r="H59" s="311"/>
      <c r="I59" s="311"/>
      <c r="J59" s="111"/>
      <c r="K59" s="111"/>
    </row>
    <row r="60" spans="1:11" x14ac:dyDescent="0.25">
      <c r="A60" s="221"/>
      <c r="B60" s="6"/>
      <c r="C60" s="1"/>
      <c r="D60" s="1"/>
      <c r="E60" s="1"/>
      <c r="F60" s="2"/>
      <c r="G60" s="2"/>
      <c r="H60" s="10"/>
      <c r="I60" s="10"/>
      <c r="J60" s="111"/>
      <c r="K60" s="111"/>
    </row>
    <row r="61" spans="1:11" x14ac:dyDescent="0.25">
      <c r="A61" s="221"/>
      <c r="B61" s="6"/>
      <c r="C61" s="315" t="s">
        <v>164</v>
      </c>
      <c r="D61" s="315"/>
      <c r="E61" s="315"/>
      <c r="F61" s="315"/>
      <c r="G61" s="315"/>
      <c r="H61" s="315"/>
      <c r="I61" s="315"/>
      <c r="J61" s="111"/>
      <c r="K61" s="111"/>
    </row>
    <row r="62" spans="1:11" ht="24" x14ac:dyDescent="0.25">
      <c r="A62" s="221"/>
      <c r="B62" s="6"/>
      <c r="C62" s="227" t="s">
        <v>245</v>
      </c>
      <c r="D62" s="227" t="s">
        <v>25</v>
      </c>
      <c r="E62" s="227" t="s">
        <v>0</v>
      </c>
      <c r="F62" s="227" t="s">
        <v>9</v>
      </c>
      <c r="G62" s="327" t="s">
        <v>7</v>
      </c>
      <c r="H62" s="327"/>
      <c r="I62" s="227" t="s">
        <v>12</v>
      </c>
      <c r="J62" s="111"/>
      <c r="K62" s="111"/>
    </row>
    <row r="63" spans="1:11" x14ac:dyDescent="0.25">
      <c r="A63" s="221" t="s">
        <v>240</v>
      </c>
      <c r="B63" s="6"/>
      <c r="C63" s="228"/>
      <c r="D63" s="163"/>
      <c r="E63" s="226"/>
      <c r="F63" s="161"/>
      <c r="G63" s="328"/>
      <c r="H63" s="328"/>
      <c r="I63" s="165"/>
      <c r="J63" s="111"/>
      <c r="K63" s="111"/>
    </row>
    <row r="64" spans="1:11" ht="15" hidden="1" customHeight="1" x14ac:dyDescent="0.25">
      <c r="A64" s="221"/>
      <c r="B64" s="6"/>
      <c r="C64" s="237"/>
      <c r="D64" s="238"/>
      <c r="E64" s="240"/>
      <c r="F64" s="239"/>
      <c r="G64" s="324"/>
      <c r="H64" s="326"/>
      <c r="I64" s="132"/>
      <c r="J64" s="111"/>
      <c r="K64" s="111"/>
    </row>
    <row r="65" spans="1:11" x14ac:dyDescent="0.25">
      <c r="A65" s="221"/>
      <c r="B65" s="6"/>
      <c r="C65" s="309" t="s">
        <v>2</v>
      </c>
      <c r="D65" s="309"/>
      <c r="E65" s="309"/>
      <c r="F65" s="309"/>
      <c r="G65" s="309"/>
      <c r="H65" s="309"/>
      <c r="I65" s="118">
        <f>SUM(I63:I64)</f>
        <v>0</v>
      </c>
      <c r="J65" s="111"/>
      <c r="K65" s="111"/>
    </row>
    <row r="66" spans="1:11" ht="15" hidden="1" customHeight="1" x14ac:dyDescent="0.25">
      <c r="A66" s="221"/>
      <c r="B66" s="6"/>
      <c r="C66" s="310" t="s">
        <v>258</v>
      </c>
      <c r="D66" s="310"/>
      <c r="E66" s="310"/>
      <c r="F66" s="310"/>
      <c r="G66" s="310"/>
      <c r="H66" s="310"/>
      <c r="I66" s="310"/>
      <c r="J66" s="111"/>
      <c r="K66" s="111"/>
    </row>
    <row r="67" spans="1:11" ht="50.1" hidden="1" customHeight="1" x14ac:dyDescent="0.25">
      <c r="A67" s="222"/>
      <c r="B67" s="6"/>
      <c r="C67" s="311"/>
      <c r="D67" s="311"/>
      <c r="E67" s="311"/>
      <c r="F67" s="311"/>
      <c r="G67" s="311"/>
      <c r="H67" s="311"/>
      <c r="I67" s="311"/>
      <c r="J67" s="111"/>
      <c r="K67" s="111"/>
    </row>
    <row r="68" spans="1:11" x14ac:dyDescent="0.25">
      <c r="A68" s="223"/>
      <c r="B68" s="6"/>
      <c r="C68" s="6"/>
      <c r="D68" s="6"/>
      <c r="E68" s="6"/>
      <c r="F68" s="6"/>
      <c r="G68" s="6"/>
      <c r="H68" s="6"/>
      <c r="I68" s="6"/>
      <c r="J68" s="111"/>
      <c r="K68" s="111"/>
    </row>
    <row r="69" spans="1:11" x14ac:dyDescent="0.25">
      <c r="A69" s="223"/>
      <c r="B69" s="6"/>
      <c r="C69" s="315" t="s">
        <v>165</v>
      </c>
      <c r="D69" s="315"/>
      <c r="E69" s="315"/>
      <c r="F69" s="315"/>
      <c r="G69" s="315"/>
      <c r="H69" s="315"/>
      <c r="I69" s="315"/>
      <c r="J69" s="111"/>
      <c r="K69" s="111"/>
    </row>
    <row r="70" spans="1:11" ht="24" x14ac:dyDescent="0.25">
      <c r="A70" s="223"/>
      <c r="B70" s="6"/>
      <c r="C70" s="327" t="s">
        <v>245</v>
      </c>
      <c r="D70" s="327"/>
      <c r="E70" s="227" t="s">
        <v>0</v>
      </c>
      <c r="F70" s="227" t="s">
        <v>9</v>
      </c>
      <c r="G70" s="327" t="s">
        <v>7</v>
      </c>
      <c r="H70" s="327"/>
      <c r="I70" s="227" t="s">
        <v>12</v>
      </c>
      <c r="J70" s="111"/>
      <c r="K70" s="111"/>
    </row>
    <row r="71" spans="1:11" x14ac:dyDescent="0.25">
      <c r="A71" s="223" t="s">
        <v>241</v>
      </c>
      <c r="B71" s="6"/>
      <c r="C71" s="329"/>
      <c r="D71" s="329"/>
      <c r="E71" s="226"/>
      <c r="F71" s="161"/>
      <c r="G71" s="328"/>
      <c r="H71" s="328"/>
      <c r="I71" s="165"/>
      <c r="J71" s="111"/>
      <c r="K71" s="111"/>
    </row>
    <row r="72" spans="1:11" ht="15" hidden="1" customHeight="1" x14ac:dyDescent="0.25">
      <c r="A72" s="223"/>
      <c r="B72" s="6"/>
      <c r="C72" s="322"/>
      <c r="D72" s="323"/>
      <c r="E72" s="240"/>
      <c r="F72" s="239"/>
      <c r="G72" s="324"/>
      <c r="H72" s="326"/>
      <c r="I72" s="132"/>
      <c r="J72" s="111"/>
      <c r="K72" s="111"/>
    </row>
    <row r="73" spans="1:11" x14ac:dyDescent="0.25">
      <c r="A73" s="223"/>
      <c r="B73" s="6"/>
      <c r="C73" s="309" t="s">
        <v>2</v>
      </c>
      <c r="D73" s="309"/>
      <c r="E73" s="309"/>
      <c r="F73" s="309"/>
      <c r="G73" s="309"/>
      <c r="H73" s="309"/>
      <c r="I73" s="118">
        <f>SUM(I71:I72)</f>
        <v>0</v>
      </c>
      <c r="J73" s="111"/>
      <c r="K73" s="111"/>
    </row>
    <row r="74" spans="1:11" ht="15" hidden="1" customHeight="1" x14ac:dyDescent="0.25">
      <c r="A74" s="223"/>
      <c r="B74" s="6"/>
      <c r="C74" s="310" t="s">
        <v>258</v>
      </c>
      <c r="D74" s="310"/>
      <c r="E74" s="310"/>
      <c r="F74" s="310"/>
      <c r="G74" s="310"/>
      <c r="H74" s="310"/>
      <c r="I74" s="310"/>
      <c r="J74" s="111"/>
      <c r="K74" s="111"/>
    </row>
    <row r="75" spans="1:11" ht="50.1" hidden="1" customHeight="1" x14ac:dyDescent="0.25">
      <c r="A75" s="223"/>
      <c r="B75" s="6"/>
      <c r="C75" s="311"/>
      <c r="D75" s="311"/>
      <c r="E75" s="311"/>
      <c r="F75" s="311"/>
      <c r="G75" s="311"/>
      <c r="H75" s="311"/>
      <c r="I75" s="311"/>
      <c r="J75" s="111"/>
      <c r="K75" s="111"/>
    </row>
    <row r="76" spans="1:11" x14ac:dyDescent="0.25">
      <c r="A76" s="221"/>
      <c r="B76" s="6"/>
      <c r="C76" s="6"/>
      <c r="D76" s="6"/>
      <c r="E76" s="6"/>
      <c r="F76" s="6"/>
      <c r="G76" s="6"/>
      <c r="H76" s="6"/>
      <c r="I76" s="6"/>
      <c r="J76" s="111"/>
      <c r="K76" s="111"/>
    </row>
    <row r="77" spans="1:11" x14ac:dyDescent="0.25">
      <c r="A77" s="221"/>
      <c r="B77" s="6"/>
      <c r="C77" s="315" t="s">
        <v>45</v>
      </c>
      <c r="D77" s="315"/>
      <c r="E77" s="315"/>
      <c r="F77" s="315"/>
      <c r="G77" s="315"/>
      <c r="H77" s="315"/>
      <c r="I77" s="315"/>
      <c r="J77" s="111"/>
      <c r="K77" s="111"/>
    </row>
    <row r="78" spans="1:11" ht="24" x14ac:dyDescent="0.25">
      <c r="A78" s="221"/>
      <c r="B78" s="6"/>
      <c r="C78" s="227" t="s">
        <v>245</v>
      </c>
      <c r="D78" s="227" t="s">
        <v>0</v>
      </c>
      <c r="E78" s="227" t="s">
        <v>9</v>
      </c>
      <c r="F78" s="327" t="s">
        <v>7</v>
      </c>
      <c r="G78" s="327"/>
      <c r="H78" s="327"/>
      <c r="I78" s="227" t="s">
        <v>12</v>
      </c>
      <c r="J78" s="111"/>
      <c r="K78" s="111"/>
    </row>
    <row r="79" spans="1:11" x14ac:dyDescent="0.25">
      <c r="A79" s="221" t="s">
        <v>242</v>
      </c>
      <c r="B79" s="6"/>
      <c r="C79" s="228"/>
      <c r="D79" s="170"/>
      <c r="E79" s="161"/>
      <c r="F79" s="328"/>
      <c r="G79" s="328"/>
      <c r="H79" s="328"/>
      <c r="I79" s="165"/>
      <c r="J79" s="111"/>
      <c r="K79" s="111"/>
    </row>
    <row r="80" spans="1:11" ht="15" hidden="1" customHeight="1" x14ac:dyDescent="0.25">
      <c r="A80" s="221"/>
      <c r="B80" s="6"/>
      <c r="C80" s="237"/>
      <c r="D80" s="238"/>
      <c r="E80" s="239"/>
      <c r="F80" s="324"/>
      <c r="G80" s="325"/>
      <c r="H80" s="326"/>
      <c r="I80" s="132"/>
      <c r="J80" s="111"/>
      <c r="K80" s="111"/>
    </row>
    <row r="81" spans="1:11" ht="21.75" customHeight="1" x14ac:dyDescent="0.25">
      <c r="A81" s="221"/>
      <c r="B81" s="6"/>
      <c r="C81" s="309" t="s">
        <v>2</v>
      </c>
      <c r="D81" s="309"/>
      <c r="E81" s="309"/>
      <c r="F81" s="309"/>
      <c r="G81" s="309"/>
      <c r="H81" s="309"/>
      <c r="I81" s="118">
        <f>SUM(I79:I80)</f>
        <v>0</v>
      </c>
      <c r="J81" s="111"/>
      <c r="K81" s="111"/>
    </row>
    <row r="82" spans="1:11" ht="15" hidden="1" customHeight="1" x14ac:dyDescent="0.25">
      <c r="A82" s="221"/>
      <c r="B82" s="6"/>
      <c r="C82" s="310" t="s">
        <v>258</v>
      </c>
      <c r="D82" s="310"/>
      <c r="E82" s="310"/>
      <c r="F82" s="310"/>
      <c r="G82" s="310"/>
      <c r="H82" s="310"/>
      <c r="I82" s="310"/>
      <c r="J82" s="111"/>
      <c r="K82" s="111"/>
    </row>
    <row r="83" spans="1:11" ht="50.1" hidden="1" customHeight="1" x14ac:dyDescent="0.25">
      <c r="A83" s="222"/>
      <c r="B83" s="6"/>
      <c r="C83" s="311"/>
      <c r="D83" s="311"/>
      <c r="E83" s="311"/>
      <c r="F83" s="311"/>
      <c r="G83" s="311"/>
      <c r="H83" s="311"/>
      <c r="I83" s="311"/>
      <c r="J83" s="111"/>
      <c r="K83" s="111"/>
    </row>
    <row r="84" spans="1:11" x14ac:dyDescent="0.25">
      <c r="A84" s="222"/>
      <c r="B84" s="6"/>
      <c r="C84" s="6"/>
      <c r="D84" s="6"/>
      <c r="E84" s="6"/>
      <c r="F84" s="6"/>
      <c r="G84" s="6"/>
      <c r="H84" s="6"/>
      <c r="I84" s="6"/>
      <c r="J84" s="111"/>
      <c r="K84" s="111"/>
    </row>
    <row r="85" spans="1:11" ht="26.1" customHeight="1" x14ac:dyDescent="0.25">
      <c r="A85" s="222"/>
      <c r="B85" s="6"/>
      <c r="C85" s="9" t="s">
        <v>35</v>
      </c>
      <c r="D85" s="6"/>
      <c r="E85" s="6"/>
      <c r="F85" s="6"/>
      <c r="G85" s="6"/>
      <c r="H85" s="6"/>
      <c r="I85" s="6"/>
      <c r="J85" s="111"/>
      <c r="K85" s="111"/>
    </row>
    <row r="86" spans="1:11" ht="26.1" customHeight="1" x14ac:dyDescent="0.25">
      <c r="A86" s="222"/>
      <c r="B86" s="6"/>
      <c r="C86" s="312" t="s">
        <v>260</v>
      </c>
      <c r="D86" s="313"/>
      <c r="E86" s="313"/>
      <c r="F86" s="313"/>
      <c r="G86" s="313"/>
      <c r="H86" s="313"/>
      <c r="I86" s="314"/>
      <c r="J86" s="111"/>
      <c r="K86" s="111"/>
    </row>
    <row r="87" spans="1:11" x14ac:dyDescent="0.25">
      <c r="A87" s="221"/>
      <c r="B87" s="6"/>
      <c r="C87" s="6"/>
      <c r="D87" s="6"/>
      <c r="E87" s="6"/>
      <c r="F87" s="6"/>
      <c r="G87" s="6"/>
      <c r="H87" s="6"/>
      <c r="I87" s="6"/>
      <c r="J87" s="111"/>
      <c r="K87" s="111"/>
    </row>
    <row r="88" spans="1:11" x14ac:dyDescent="0.25">
      <c r="A88" s="221"/>
      <c r="B88" s="6"/>
      <c r="C88" s="315" t="s">
        <v>166</v>
      </c>
      <c r="D88" s="315"/>
      <c r="E88" s="315"/>
      <c r="F88" s="315"/>
      <c r="G88" s="315"/>
      <c r="H88" s="315"/>
      <c r="I88" s="315"/>
      <c r="J88" s="111"/>
      <c r="K88" s="111"/>
    </row>
    <row r="89" spans="1:11" ht="24" x14ac:dyDescent="0.25">
      <c r="A89" s="221"/>
      <c r="B89" s="6"/>
      <c r="C89" s="227" t="s">
        <v>245</v>
      </c>
      <c r="D89" s="227" t="s">
        <v>0</v>
      </c>
      <c r="E89" s="227" t="s">
        <v>9</v>
      </c>
      <c r="F89" s="327" t="s">
        <v>7</v>
      </c>
      <c r="G89" s="327"/>
      <c r="H89" s="327"/>
      <c r="I89" s="227" t="s">
        <v>12</v>
      </c>
      <c r="J89" s="111"/>
      <c r="K89" s="111"/>
    </row>
    <row r="90" spans="1:11" x14ac:dyDescent="0.25">
      <c r="A90" s="221" t="s">
        <v>243</v>
      </c>
      <c r="B90" s="6"/>
      <c r="C90" s="228"/>
      <c r="D90" s="170"/>
      <c r="E90" s="161"/>
      <c r="F90" s="328"/>
      <c r="G90" s="328"/>
      <c r="H90" s="328"/>
      <c r="I90" s="165"/>
      <c r="J90" s="111"/>
      <c r="K90" s="111"/>
    </row>
    <row r="91" spans="1:11" ht="15" hidden="1" customHeight="1" x14ac:dyDescent="0.25">
      <c r="A91" s="219"/>
      <c r="B91" s="6"/>
      <c r="C91" s="237"/>
      <c r="D91" s="238"/>
      <c r="E91" s="239"/>
      <c r="F91" s="324"/>
      <c r="G91" s="325"/>
      <c r="H91" s="326"/>
      <c r="I91" s="132"/>
      <c r="J91" s="111"/>
      <c r="K91" s="111"/>
    </row>
    <row r="92" spans="1:11" x14ac:dyDescent="0.25">
      <c r="A92" s="219"/>
      <c r="B92" s="6"/>
      <c r="C92" s="309" t="s">
        <v>2</v>
      </c>
      <c r="D92" s="309"/>
      <c r="E92" s="309"/>
      <c r="F92" s="309"/>
      <c r="G92" s="309"/>
      <c r="H92" s="309"/>
      <c r="I92" s="118">
        <f>SUM(I90:I91)</f>
        <v>0</v>
      </c>
      <c r="J92" s="111"/>
      <c r="K92" s="111"/>
    </row>
    <row r="93" spans="1:11" ht="15" hidden="1" customHeight="1" x14ac:dyDescent="0.25">
      <c r="A93" s="219"/>
      <c r="B93" s="6"/>
      <c r="C93" s="310" t="s">
        <v>258</v>
      </c>
      <c r="D93" s="310"/>
      <c r="E93" s="310"/>
      <c r="F93" s="310"/>
      <c r="G93" s="310"/>
      <c r="H93" s="310"/>
      <c r="I93" s="310"/>
      <c r="J93" s="111"/>
      <c r="K93" s="111"/>
    </row>
    <row r="94" spans="1:11" ht="50.1" hidden="1" customHeight="1" x14ac:dyDescent="0.25">
      <c r="A94" s="224"/>
      <c r="B94" s="6"/>
      <c r="C94" s="311"/>
      <c r="D94" s="311"/>
      <c r="E94" s="311"/>
      <c r="F94" s="311"/>
      <c r="G94" s="311"/>
      <c r="H94" s="311"/>
      <c r="I94" s="311"/>
      <c r="J94" s="111"/>
      <c r="K94" s="111"/>
    </row>
    <row r="95" spans="1:11" x14ac:dyDescent="0.25">
      <c r="A95" s="224"/>
      <c r="B95" s="6"/>
      <c r="C95" s="6"/>
      <c r="D95" s="6"/>
      <c r="E95" s="6"/>
      <c r="F95" s="6"/>
      <c r="G95" s="6"/>
      <c r="H95" s="6"/>
      <c r="I95" s="6"/>
      <c r="J95" s="111"/>
      <c r="K95" s="111"/>
    </row>
    <row r="96" spans="1:11" ht="30.6" hidden="1" customHeight="1" x14ac:dyDescent="0.25">
      <c r="A96" s="224"/>
      <c r="B96" s="6"/>
      <c r="C96" s="9" t="s">
        <v>163</v>
      </c>
      <c r="D96" s="6"/>
      <c r="E96" s="6"/>
      <c r="F96" s="6"/>
      <c r="G96" s="6"/>
      <c r="H96" s="6"/>
      <c r="I96" s="6"/>
      <c r="J96" s="111"/>
      <c r="K96" s="111"/>
    </row>
    <row r="97" spans="1:11" ht="51.95" hidden="1" customHeight="1" x14ac:dyDescent="0.25">
      <c r="A97" s="224"/>
      <c r="B97" s="6"/>
      <c r="C97" s="312" t="s">
        <v>261</v>
      </c>
      <c r="D97" s="313"/>
      <c r="E97" s="313"/>
      <c r="F97" s="313"/>
      <c r="G97" s="313"/>
      <c r="H97" s="313"/>
      <c r="I97" s="314"/>
      <c r="J97" s="111"/>
      <c r="K97" s="111"/>
    </row>
    <row r="98" spans="1:11" hidden="1" x14ac:dyDescent="0.25">
      <c r="A98" s="224"/>
      <c r="B98" s="6"/>
      <c r="C98" s="6"/>
      <c r="D98" s="6"/>
      <c r="E98" s="6"/>
      <c r="F98" s="6"/>
      <c r="G98" s="6"/>
      <c r="H98" s="6"/>
      <c r="I98" s="6"/>
      <c r="J98" s="111"/>
      <c r="K98" s="111"/>
    </row>
    <row r="99" spans="1:11" hidden="1" x14ac:dyDescent="0.25">
      <c r="A99" s="224"/>
      <c r="B99" s="6"/>
      <c r="C99" s="315" t="s">
        <v>6</v>
      </c>
      <c r="D99" s="315"/>
      <c r="E99" s="315"/>
      <c r="F99" s="315"/>
      <c r="G99" s="315"/>
      <c r="H99" s="315"/>
      <c r="I99" s="315"/>
      <c r="J99" s="111"/>
      <c r="K99" s="111"/>
    </row>
    <row r="100" spans="1:11" ht="24" hidden="1" customHeight="1" x14ac:dyDescent="0.25">
      <c r="A100" s="224"/>
      <c r="B100" s="6"/>
      <c r="C100" s="316" t="s">
        <v>213</v>
      </c>
      <c r="D100" s="317"/>
      <c r="E100" s="317"/>
      <c r="F100" s="317"/>
      <c r="G100" s="317"/>
      <c r="H100" s="318"/>
      <c r="I100" s="227" t="s">
        <v>12</v>
      </c>
      <c r="J100" s="111"/>
      <c r="K100" s="111"/>
    </row>
    <row r="101" spans="1:11" hidden="1" x14ac:dyDescent="0.25">
      <c r="A101" s="224" t="s">
        <v>244</v>
      </c>
      <c r="B101" s="6"/>
      <c r="C101" s="319"/>
      <c r="D101" s="320"/>
      <c r="E101" s="320"/>
      <c r="F101" s="320"/>
      <c r="G101" s="320"/>
      <c r="H101" s="321"/>
      <c r="I101" s="165"/>
      <c r="J101" s="111"/>
      <c r="K101" s="111"/>
    </row>
    <row r="102" spans="1:11" ht="15" hidden="1" customHeight="1" x14ac:dyDescent="0.25">
      <c r="A102" s="224"/>
      <c r="B102" s="6"/>
      <c r="C102" s="322"/>
      <c r="D102" s="323"/>
      <c r="E102" s="239"/>
      <c r="F102" s="324"/>
      <c r="G102" s="325"/>
      <c r="H102" s="326"/>
      <c r="I102" s="132"/>
      <c r="J102" s="111"/>
      <c r="K102" s="111"/>
    </row>
    <row r="103" spans="1:11" hidden="1" x14ac:dyDescent="0.25">
      <c r="A103" s="224"/>
      <c r="B103" s="6"/>
      <c r="C103" s="309" t="s">
        <v>2</v>
      </c>
      <c r="D103" s="309"/>
      <c r="E103" s="309"/>
      <c r="F103" s="309"/>
      <c r="G103" s="309"/>
      <c r="H103" s="309"/>
      <c r="I103" s="118">
        <f>SUM(I101:I102)</f>
        <v>0</v>
      </c>
      <c r="J103" s="111"/>
      <c r="K103" s="111"/>
    </row>
    <row r="104" spans="1:11" ht="15" hidden="1" customHeight="1" x14ac:dyDescent="0.25">
      <c r="A104" s="224"/>
      <c r="B104" s="6"/>
      <c r="C104" s="310" t="s">
        <v>258</v>
      </c>
      <c r="D104" s="310"/>
      <c r="E104" s="310"/>
      <c r="F104" s="310"/>
      <c r="G104" s="310"/>
      <c r="H104" s="310"/>
      <c r="I104" s="310"/>
      <c r="J104" s="111"/>
      <c r="K104" s="111"/>
    </row>
    <row r="105" spans="1:11" ht="50.1" hidden="1" customHeight="1" x14ac:dyDescent="0.25">
      <c r="A105" s="224"/>
      <c r="B105" s="6"/>
      <c r="C105" s="311"/>
      <c r="D105" s="311"/>
      <c r="E105" s="311"/>
      <c r="F105" s="311"/>
      <c r="G105" s="311"/>
      <c r="H105" s="311"/>
      <c r="I105" s="311"/>
      <c r="J105" s="111"/>
      <c r="K105" s="111"/>
    </row>
    <row r="107" spans="1:11" x14ac:dyDescent="0.25">
      <c r="C107" s="199" t="s">
        <v>202</v>
      </c>
    </row>
  </sheetData>
  <sheetProtection algorithmName="SHA-512" hashValue="sK7wBskjMxxkKzi+Vqp/wb/Gxs/edvdybm4xifPoz20IpoShZtTWkIuHRtDGdwM0ukbGKUBAygmp29PnksSD+A==" saltValue="JoYZOZV5EXimbOLoPhghhA==" spinCount="100000" sheet="1" objects="1" scenarios="1"/>
  <mergeCells count="81">
    <mergeCell ref="C102:D102"/>
    <mergeCell ref="F102:H102"/>
    <mergeCell ref="C103:H103"/>
    <mergeCell ref="C104:I104"/>
    <mergeCell ref="C105:I105"/>
    <mergeCell ref="C97:I97"/>
    <mergeCell ref="C99:I99"/>
    <mergeCell ref="C100:H100"/>
    <mergeCell ref="C101:H101"/>
    <mergeCell ref="C94:I94"/>
    <mergeCell ref="F90:H90"/>
    <mergeCell ref="F91:H91"/>
    <mergeCell ref="C92:H92"/>
    <mergeCell ref="F80:H80"/>
    <mergeCell ref="C81:H81"/>
    <mergeCell ref="C82:I82"/>
    <mergeCell ref="C83:I83"/>
    <mergeCell ref="C86:I86"/>
    <mergeCell ref="C93:I93"/>
    <mergeCell ref="F79:H79"/>
    <mergeCell ref="C69:I69"/>
    <mergeCell ref="C70:D70"/>
    <mergeCell ref="G70:H70"/>
    <mergeCell ref="C71:D71"/>
    <mergeCell ref="G71:H71"/>
    <mergeCell ref="C72:D72"/>
    <mergeCell ref="G72:H72"/>
    <mergeCell ref="C73:H73"/>
    <mergeCell ref="C74:I74"/>
    <mergeCell ref="C75:I75"/>
    <mergeCell ref="C77:I77"/>
    <mergeCell ref="F78:H78"/>
    <mergeCell ref="C88:I88"/>
    <mergeCell ref="F89:H89"/>
    <mergeCell ref="C67:I67"/>
    <mergeCell ref="F55:H55"/>
    <mergeCell ref="F56:H56"/>
    <mergeCell ref="C57:H57"/>
    <mergeCell ref="C58:I58"/>
    <mergeCell ref="C59:I59"/>
    <mergeCell ref="C61:I61"/>
    <mergeCell ref="G62:H62"/>
    <mergeCell ref="G63:H63"/>
    <mergeCell ref="G64:H64"/>
    <mergeCell ref="C65:H65"/>
    <mergeCell ref="C66:I66"/>
    <mergeCell ref="F54:H54"/>
    <mergeCell ref="C37:I37"/>
    <mergeCell ref="C38:I38"/>
    <mergeCell ref="C41:I41"/>
    <mergeCell ref="G43:H43"/>
    <mergeCell ref="G44:H44"/>
    <mergeCell ref="G45:H45"/>
    <mergeCell ref="C46:H46"/>
    <mergeCell ref="C47:I47"/>
    <mergeCell ref="C48:I48"/>
    <mergeCell ref="C51:I51"/>
    <mergeCell ref="C53:I53"/>
    <mergeCell ref="C36:H36"/>
    <mergeCell ref="C23:E23"/>
    <mergeCell ref="C24:E24"/>
    <mergeCell ref="C25:E25"/>
    <mergeCell ref="C26:H26"/>
    <mergeCell ref="C27:I27"/>
    <mergeCell ref="C28:I28"/>
    <mergeCell ref="C30:I30"/>
    <mergeCell ref="C32:I32"/>
    <mergeCell ref="C35:D35"/>
    <mergeCell ref="C22:I22"/>
    <mergeCell ref="C2:I2"/>
    <mergeCell ref="C5:I5"/>
    <mergeCell ref="C7:I7"/>
    <mergeCell ref="C12:I12"/>
    <mergeCell ref="C13:E13"/>
    <mergeCell ref="C14:E14"/>
    <mergeCell ref="C15:E15"/>
    <mergeCell ref="C16:H16"/>
    <mergeCell ref="C17:I17"/>
    <mergeCell ref="C18:I18"/>
    <mergeCell ref="C20:I20"/>
    <mergeCell ref="C11:H11"/>
  </mergeCells>
  <dataValidations count="5">
    <dataValidation type="list" allowBlank="1" showInputMessage="1" showErrorMessage="1" promptTitle="Select data" prompt="from the drop-down menu" sqref="F44:F45 E55:E56 F63:F64 F71:F72 E79:E80 E90:E91 E102" xr:uid="{4DD8D050-3F1B-4E28-BF7C-F08E4311EB1B}">
      <formula1>"YES,NO"</formula1>
    </dataValidation>
    <dataValidation type="decimal" allowBlank="1" showInputMessage="1" showErrorMessage="1" errorTitle="Invalid data!" error="Must be a decimal value." sqref="D63 H10 E10" xr:uid="{B3DDFBD4-B949-46D7-93E2-37B4DD2A76D2}">
      <formula1>0</formula1>
      <formula2>1000000000</formula2>
    </dataValidation>
    <dataValidation allowBlank="1" showInputMessage="1" showErrorMessage="1" prompt="Insert comment" sqref="C18:I18 C28:I28 C38:I38 C48:I48 C59:I59 C67:I67 C75:I75 C83:I83 C94:I94 C105:I105" xr:uid="{1B1C0B60-CBC1-40B1-9135-74F94AB68C27}"/>
    <dataValidation type="decimal" allowBlank="1" showInputMessage="1" showErrorMessage="1" errorTitle="Invalid data!" error="Must be a decimal value" sqref="D10" xr:uid="{8F205FE2-A6F2-4CE2-8521-AFA5BAB3DDA4}">
      <formula1>0</formula1>
      <formula2>1000000000</formula2>
    </dataValidation>
    <dataValidation type="decimal" allowBlank="1" showInputMessage="1" showErrorMessage="1" errorTitle="Invalid data!" error="Must be a decimal value" sqref="I90 I79 I71 I63 I55 I44 F24 F14 I101 D9" xr:uid="{856E58F6-B5E2-437E-A7A9-BF2CC0E10946}">
      <formula1>-1000000000</formula1>
      <formula2>1000000000</formula2>
    </dataValidation>
  </dataValidations>
  <printOptions horizontalCentered="1" gridLines="1"/>
  <pageMargins left="0.70866141732283472" right="0.70866141732283472" top="0.74803149606299213" bottom="0.74803149606299213" header="0.31496062992125984" footer="0.31496062992125984"/>
  <pageSetup scale="53" fitToHeight="0" orientation="portrait" r:id="rId1"/>
  <headerFooter scaleWithDoc="0">
    <oddHeader>&amp;A</oddHead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AddLineUoR">
                <anchor moveWithCells="1" sizeWithCells="1">
                  <from>
                    <xdr:col>10</xdr:col>
                    <xdr:colOff>0</xdr:colOff>
                    <xdr:row>12</xdr:row>
                    <xdr:rowOff>0</xdr:rowOff>
                  </from>
                  <to>
                    <xdr:col>11</xdr:col>
                    <xdr:colOff>0</xdr:colOff>
                    <xdr:row>12</xdr:row>
                    <xdr:rowOff>485775</xdr:rowOff>
                  </to>
                </anchor>
              </controlPr>
            </control>
          </mc:Choice>
        </mc:AlternateContent>
        <mc:AlternateContent xmlns:mc="http://schemas.openxmlformats.org/markup-compatibility/2006">
          <mc:Choice Requires="x14">
            <control shapeId="13314" r:id="rId5" name="Button 2">
              <controlPr defaultSize="0" print="0" autoFill="0" autoPict="0" macro="[0]!AddLineUoR">
                <anchor moveWithCells="1" sizeWithCells="1">
                  <from>
                    <xdr:col>10</xdr:col>
                    <xdr:colOff>0</xdr:colOff>
                    <xdr:row>22</xdr:row>
                    <xdr:rowOff>0</xdr:rowOff>
                  </from>
                  <to>
                    <xdr:col>11</xdr:col>
                    <xdr:colOff>0</xdr:colOff>
                    <xdr:row>22</xdr:row>
                    <xdr:rowOff>485775</xdr:rowOff>
                  </to>
                </anchor>
              </controlPr>
            </control>
          </mc:Choice>
        </mc:AlternateContent>
        <mc:AlternateContent xmlns:mc="http://schemas.openxmlformats.org/markup-compatibility/2006">
          <mc:Choice Requires="x14">
            <control shapeId="13315" r:id="rId6" name="Button 3">
              <controlPr defaultSize="0" print="0" autoFill="0" autoPict="0" macro="[0]!AddLineUoR">
                <anchor moveWithCells="1" sizeWithCells="1">
                  <from>
                    <xdr:col>10</xdr:col>
                    <xdr:colOff>0</xdr:colOff>
                    <xdr:row>32</xdr:row>
                    <xdr:rowOff>0</xdr:rowOff>
                  </from>
                  <to>
                    <xdr:col>11</xdr:col>
                    <xdr:colOff>0</xdr:colOff>
                    <xdr:row>32</xdr:row>
                    <xdr:rowOff>485775</xdr:rowOff>
                  </to>
                </anchor>
              </controlPr>
            </control>
          </mc:Choice>
        </mc:AlternateContent>
        <mc:AlternateContent xmlns:mc="http://schemas.openxmlformats.org/markup-compatibility/2006">
          <mc:Choice Requires="x14">
            <control shapeId="13316" r:id="rId7" name="Button 4">
              <controlPr defaultSize="0" print="0" autoFill="0" autoPict="0" macro="[0]!AddLineUoR">
                <anchor moveWithCells="1" sizeWithCells="1">
                  <from>
                    <xdr:col>10</xdr:col>
                    <xdr:colOff>0</xdr:colOff>
                    <xdr:row>42</xdr:row>
                    <xdr:rowOff>0</xdr:rowOff>
                  </from>
                  <to>
                    <xdr:col>11</xdr:col>
                    <xdr:colOff>0</xdr:colOff>
                    <xdr:row>42</xdr:row>
                    <xdr:rowOff>247650</xdr:rowOff>
                  </to>
                </anchor>
              </controlPr>
            </control>
          </mc:Choice>
        </mc:AlternateContent>
        <mc:AlternateContent xmlns:mc="http://schemas.openxmlformats.org/markup-compatibility/2006">
          <mc:Choice Requires="x14">
            <control shapeId="13317" r:id="rId8" name="Button 5">
              <controlPr defaultSize="0" print="0" autoFill="0" autoPict="0" macro="[0]!AddLineUoR">
                <anchor moveWithCells="1" sizeWithCells="1">
                  <from>
                    <xdr:col>10</xdr:col>
                    <xdr:colOff>0</xdr:colOff>
                    <xdr:row>53</xdr:row>
                    <xdr:rowOff>0</xdr:rowOff>
                  </from>
                  <to>
                    <xdr:col>11</xdr:col>
                    <xdr:colOff>0</xdr:colOff>
                    <xdr:row>53</xdr:row>
                    <xdr:rowOff>428625</xdr:rowOff>
                  </to>
                </anchor>
              </controlPr>
            </control>
          </mc:Choice>
        </mc:AlternateContent>
        <mc:AlternateContent xmlns:mc="http://schemas.openxmlformats.org/markup-compatibility/2006">
          <mc:Choice Requires="x14">
            <control shapeId="13318" r:id="rId9" name="Button 6">
              <controlPr defaultSize="0" print="0" autoFill="0" autoPict="0" macro="[0]!AddLineUoR">
                <anchor moveWithCells="1" sizeWithCells="1">
                  <from>
                    <xdr:col>10</xdr:col>
                    <xdr:colOff>0</xdr:colOff>
                    <xdr:row>61</xdr:row>
                    <xdr:rowOff>0</xdr:rowOff>
                  </from>
                  <to>
                    <xdr:col>11</xdr:col>
                    <xdr:colOff>0</xdr:colOff>
                    <xdr:row>61</xdr:row>
                    <xdr:rowOff>419100</xdr:rowOff>
                  </to>
                </anchor>
              </controlPr>
            </control>
          </mc:Choice>
        </mc:AlternateContent>
        <mc:AlternateContent xmlns:mc="http://schemas.openxmlformats.org/markup-compatibility/2006">
          <mc:Choice Requires="x14">
            <control shapeId="13319" r:id="rId10" name="Button 7">
              <controlPr defaultSize="0" print="0" autoFill="0" autoPict="0" macro="[0]!AddLineUoR">
                <anchor moveWithCells="1" sizeWithCells="1">
                  <from>
                    <xdr:col>10</xdr:col>
                    <xdr:colOff>0</xdr:colOff>
                    <xdr:row>69</xdr:row>
                    <xdr:rowOff>0</xdr:rowOff>
                  </from>
                  <to>
                    <xdr:col>11</xdr:col>
                    <xdr:colOff>0</xdr:colOff>
                    <xdr:row>69</xdr:row>
                    <xdr:rowOff>428625</xdr:rowOff>
                  </to>
                </anchor>
              </controlPr>
            </control>
          </mc:Choice>
        </mc:AlternateContent>
        <mc:AlternateContent xmlns:mc="http://schemas.openxmlformats.org/markup-compatibility/2006">
          <mc:Choice Requires="x14">
            <control shapeId="13320" r:id="rId11" name="Button 8">
              <controlPr defaultSize="0" print="0" autoFill="0" autoPict="0" macro="[0]!AddLineUoR">
                <anchor moveWithCells="1" sizeWithCells="1">
                  <from>
                    <xdr:col>10</xdr:col>
                    <xdr:colOff>0</xdr:colOff>
                    <xdr:row>77</xdr:row>
                    <xdr:rowOff>0</xdr:rowOff>
                  </from>
                  <to>
                    <xdr:col>11</xdr:col>
                    <xdr:colOff>0</xdr:colOff>
                    <xdr:row>77</xdr:row>
                    <xdr:rowOff>428625</xdr:rowOff>
                  </to>
                </anchor>
              </controlPr>
            </control>
          </mc:Choice>
        </mc:AlternateContent>
        <mc:AlternateContent xmlns:mc="http://schemas.openxmlformats.org/markup-compatibility/2006">
          <mc:Choice Requires="x14">
            <control shapeId="13321" r:id="rId12" name="Button 9">
              <controlPr defaultSize="0" print="0" autoFill="0" autoPict="0" macro="[0]!AddLineUoR">
                <anchor moveWithCells="1" sizeWithCells="1">
                  <from>
                    <xdr:col>10</xdr:col>
                    <xdr:colOff>0</xdr:colOff>
                    <xdr:row>88</xdr:row>
                    <xdr:rowOff>0</xdr:rowOff>
                  </from>
                  <to>
                    <xdr:col>11</xdr:col>
                    <xdr:colOff>0</xdr:colOff>
                    <xdr:row>88</xdr:row>
                    <xdr:rowOff>428625</xdr:rowOff>
                  </to>
                </anchor>
              </controlPr>
            </control>
          </mc:Choice>
        </mc:AlternateContent>
        <mc:AlternateContent xmlns:mc="http://schemas.openxmlformats.org/markup-compatibility/2006">
          <mc:Choice Requires="x14">
            <control shapeId="13322" r:id="rId13" name="Button 10">
              <controlPr defaultSize="0" print="0" autoFill="0" autoPict="0" macro="[0]!AddLineUoR">
                <anchor moveWithCells="1" sizeWithCells="1">
                  <from>
                    <xdr:col>10</xdr:col>
                    <xdr:colOff>0</xdr:colOff>
                    <xdr:row>99</xdr:row>
                    <xdr:rowOff>0</xdr:rowOff>
                  </from>
                  <to>
                    <xdr:col>11</xdr:col>
                    <xdr:colOff>0</xdr:colOff>
                    <xdr:row>99</xdr:row>
                    <xdr:rowOff>428625</xdr:rowOff>
                  </to>
                </anchor>
              </controlPr>
            </control>
          </mc:Choice>
        </mc:AlternateContent>
        <mc:AlternateContent xmlns:mc="http://schemas.openxmlformats.org/markup-compatibility/2006">
          <mc:Choice Requires="x14">
            <control shapeId="13323" r:id="rId14" name="Button 11">
              <controlPr defaultSize="0" print="0" autoFill="0" autoPict="0" macro="[0]!AddLineUoR">
                <anchor moveWithCells="1" sizeWithCells="1">
                  <from>
                    <xdr:col>10</xdr:col>
                    <xdr:colOff>0</xdr:colOff>
                    <xdr:row>7</xdr:row>
                    <xdr:rowOff>0</xdr:rowOff>
                  </from>
                  <to>
                    <xdr:col>11</xdr:col>
                    <xdr:colOff>0</xdr:colOff>
                    <xdr:row>7</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errorTitle="Invalid data!" error="Country must be selected from the list." xr:uid="{048F25F8-B37D-4D3E-8F99-D75265BA9EEF}">
          <x14:formula1>
            <xm:f>'Countries&amp;Coefficients'!$A$2:$A$29</xm:f>
          </x14:formula1>
          <xm:sqref>E34</xm:sqref>
        </x14:dataValidation>
        <x14:dataValidation type="custom" operator="lessThanOrEqual" allowBlank="1" showInputMessage="1" showErrorMessage="1" errorTitle="Invalid data!" error="Must be a whole number of days or half days that is less or equal to: (nb months in the reporting period)*215/12. Rounding up to closest 0.5 is accepted." xr:uid="{88250899-669F-4F0D-9B11-78E376100785}">
          <x14:formula1>
            <xm:f>AND(MOD(E9,0.5)=0,E9&lt;=CEILING(ROUND(('General info on reporting'!$F$16-'General info on reporting'!$D$16)*12/365,0)*215/12,0.5))</xm:f>
          </x14:formula1>
          <xm:sqref>H14 H24 H34 E9</xm:sqref>
        </x14:dataValidation>
        <x14:dataValidation type="custom" operator="lessThanOrEqual" allowBlank="1" showInputMessage="1" showErrorMessage="1" errorTitle="Invalid data!" error="Must be a whole number of days or half days that is less or equal to: (nb months in the reporting period)*215/12 AND that is less or equal to the &quot;Maximum declarable day-equivalents&quot;. Rounding up to closest 0.5 is accepted." xr:uid="{58D84BD3-7E4F-4F55-BD41-17DF7B86CA56}">
          <x14:formula1>
            <xm:f>AND(MOD(H9,0.5)=0,H9&lt;=CEILING(ROUND(('General info on reporting'!$F$16-'General info on reporting'!$D$16)*12/365,0)*215/12,0.5),H9&lt;=E9)</xm:f>
          </x14:formula1>
          <xm:sqref>H9</xm:sqref>
        </x14:dataValidation>
        <x14:dataValidation type="list" allowBlank="1" showInputMessage="1" showErrorMessage="1" errorTitle="Invalid WP" error="You need to select the WP from the drop-down list." xr:uid="{6DBDD4DB-D3CB-4DBB-A325-2FB1B51FEE68}">
          <x14:formula1>
            <xm:f>ListActivitiesReported!#REF!</xm:f>
          </x14:formula1>
          <xm:sqref>G9 D90 D79 E71 E63 D55 E44 D34 G24 G14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7" tint="0.79998168889431442"/>
    <pageSetUpPr fitToPage="1"/>
  </sheetPr>
  <dimension ref="A1:K107"/>
  <sheetViews>
    <sheetView showGridLines="0" showRowColHeaders="0" zoomScaleNormal="100" zoomScaleSheetLayoutView="85" workbookViewId="0">
      <pane ySplit="1" topLeftCell="A2" activePane="bottomLeft" state="frozen"/>
      <selection pane="bottomLeft" activeCell="C2" sqref="C2:I2"/>
    </sheetView>
  </sheetViews>
  <sheetFormatPr defaultRowHeight="15" x14ac:dyDescent="0.25"/>
  <cols>
    <col min="1" max="2" width="2.7109375" style="11" customWidth="1"/>
    <col min="3" max="9" width="24.140625" style="11" customWidth="1"/>
    <col min="10" max="10" width="3.140625" style="11" customWidth="1"/>
    <col min="11" max="11" width="11.140625" style="11" customWidth="1"/>
  </cols>
  <sheetData>
    <row r="1" spans="1:11" ht="21" customHeight="1" x14ac:dyDescent="0.25">
      <c r="A1" s="3"/>
      <c r="B1" s="4"/>
      <c r="C1" s="6"/>
      <c r="D1" s="117" t="str">
        <f ca="1">HYPERLINK("#"&amp;CELL("address",C4), C4)</f>
        <v>A. Personnel costs</v>
      </c>
      <c r="E1" s="117" t="str">
        <f ca="1">HYPERLINK("#"&amp;CELL("address",C40), C40)</f>
        <v>B. Subcontracting</v>
      </c>
      <c r="F1" s="117" t="str">
        <f ca="1">HYPERLINK("#"&amp;CELL("address",C50), C50)</f>
        <v>C. Purchases</v>
      </c>
      <c r="G1" s="117" t="str">
        <f ca="1">HYPERLINK("#"&amp;CELL("address",C85), C85)</f>
        <v>D. Other cost categories</v>
      </c>
      <c r="H1" s="117"/>
      <c r="I1" s="4"/>
      <c r="J1" s="111"/>
      <c r="K1" s="111"/>
    </row>
    <row r="2" spans="1:11" ht="27" customHeight="1" x14ac:dyDescent="0.25">
      <c r="A2" s="5"/>
      <c r="B2" s="6"/>
      <c r="C2" s="343" t="s">
        <v>200</v>
      </c>
      <c r="D2" s="344"/>
      <c r="E2" s="344"/>
      <c r="F2" s="344"/>
      <c r="G2" s="344"/>
      <c r="H2" s="344"/>
      <c r="I2" s="345"/>
      <c r="J2" s="111"/>
      <c r="K2" s="111"/>
    </row>
    <row r="3" spans="1:11" ht="12.95" customHeight="1" x14ac:dyDescent="0.25">
      <c r="A3" s="5"/>
      <c r="B3" s="6"/>
      <c r="C3" s="6"/>
      <c r="D3" s="6"/>
      <c r="E3" s="6"/>
      <c r="F3" s="6"/>
      <c r="G3" s="6"/>
      <c r="H3" s="6"/>
      <c r="I3" s="6"/>
      <c r="J3" s="111"/>
      <c r="K3" s="111"/>
    </row>
    <row r="4" spans="1:11" ht="39.950000000000003" customHeight="1" x14ac:dyDescent="0.25">
      <c r="A4" s="5"/>
      <c r="B4" s="6"/>
      <c r="C4" s="183" t="s">
        <v>32</v>
      </c>
      <c r="D4" s="183"/>
      <c r="E4" s="6"/>
      <c r="F4" s="6"/>
      <c r="G4" s="6"/>
      <c r="H4" s="8"/>
      <c r="I4" s="6"/>
      <c r="J4" s="111"/>
      <c r="K4" s="111"/>
    </row>
    <row r="5" spans="1:11" ht="39.950000000000003" customHeight="1" x14ac:dyDescent="0.25">
      <c r="A5" s="5"/>
      <c r="B5" s="6"/>
      <c r="C5" s="330" t="s">
        <v>150</v>
      </c>
      <c r="D5" s="330"/>
      <c r="E5" s="330"/>
      <c r="F5" s="330"/>
      <c r="G5" s="330"/>
      <c r="H5" s="330"/>
      <c r="I5" s="330"/>
      <c r="J5" s="111"/>
      <c r="K5" s="111"/>
    </row>
    <row r="6" spans="1:11" ht="15" customHeight="1" x14ac:dyDescent="0.25">
      <c r="A6" s="5"/>
      <c r="B6" s="6"/>
      <c r="C6" s="6"/>
      <c r="D6" s="6"/>
      <c r="E6" s="6"/>
      <c r="F6" s="6"/>
      <c r="G6" s="6"/>
      <c r="H6" s="8"/>
      <c r="I6" s="6"/>
      <c r="J6" s="111"/>
      <c r="K6" s="111"/>
    </row>
    <row r="7" spans="1:11" ht="14.45" customHeight="1" x14ac:dyDescent="0.25">
      <c r="A7" s="5"/>
      <c r="B7" s="6"/>
      <c r="C7" s="315" t="s">
        <v>21</v>
      </c>
      <c r="D7" s="315"/>
      <c r="E7" s="315"/>
      <c r="F7" s="315"/>
      <c r="G7" s="315"/>
      <c r="H7" s="315"/>
      <c r="I7" s="315"/>
      <c r="J7" s="111"/>
      <c r="K7" s="111"/>
    </row>
    <row r="8" spans="1:11" s="20" customFormat="1" ht="36" x14ac:dyDescent="0.25">
      <c r="A8" s="19"/>
      <c r="B8" s="19"/>
      <c r="C8" s="185" t="s">
        <v>20</v>
      </c>
      <c r="D8" s="185" t="s">
        <v>15</v>
      </c>
      <c r="E8" s="185" t="s">
        <v>16</v>
      </c>
      <c r="F8" s="185" t="s">
        <v>17</v>
      </c>
      <c r="G8" s="185" t="s">
        <v>19</v>
      </c>
      <c r="H8" s="185" t="s">
        <v>107</v>
      </c>
      <c r="I8" s="185" t="s">
        <v>18</v>
      </c>
      <c r="J8" s="111"/>
      <c r="K8" s="19"/>
    </row>
    <row r="9" spans="1:11" ht="14.45" customHeight="1" x14ac:dyDescent="0.25">
      <c r="A9" s="5"/>
      <c r="B9" s="6"/>
      <c r="C9" s="164"/>
      <c r="D9" s="165"/>
      <c r="E9" s="164"/>
      <c r="F9" s="166">
        <f>IFERROR(D9/E9,0)</f>
        <v>0</v>
      </c>
      <c r="G9" s="187"/>
      <c r="H9" s="164"/>
      <c r="I9" s="166">
        <f>IFERROR(F9*H9,0)</f>
        <v>0</v>
      </c>
      <c r="J9" s="111"/>
      <c r="K9" s="111"/>
    </row>
    <row r="10" spans="1:11" ht="14.45" hidden="1" customHeight="1" x14ac:dyDescent="0.25">
      <c r="A10" s="5"/>
      <c r="B10" s="6"/>
      <c r="C10" s="178"/>
      <c r="D10" s="179"/>
      <c r="E10" s="178"/>
      <c r="F10" s="180"/>
      <c r="G10" s="181"/>
      <c r="H10" s="178"/>
      <c r="I10" s="180"/>
      <c r="J10" s="111"/>
      <c r="K10" s="111"/>
    </row>
    <row r="11" spans="1:11" ht="14.45" customHeight="1" x14ac:dyDescent="0.25">
      <c r="A11" s="5"/>
      <c r="B11" s="6"/>
      <c r="C11" s="309" t="s">
        <v>2</v>
      </c>
      <c r="D11" s="309"/>
      <c r="E11" s="309"/>
      <c r="F11" s="309"/>
      <c r="G11" s="309"/>
      <c r="H11" s="309"/>
      <c r="I11" s="118">
        <f>SUM(I9:I10)</f>
        <v>0</v>
      </c>
      <c r="J11" s="111"/>
      <c r="K11" s="111"/>
    </row>
    <row r="12" spans="1:11" ht="14.45" customHeight="1" x14ac:dyDescent="0.25">
      <c r="A12" s="5"/>
      <c r="B12" s="6"/>
      <c r="C12" s="315" t="s">
        <v>168</v>
      </c>
      <c r="D12" s="315"/>
      <c r="E12" s="315"/>
      <c r="F12" s="315"/>
      <c r="G12" s="315"/>
      <c r="H12" s="315"/>
      <c r="I12" s="315"/>
      <c r="J12" s="111"/>
      <c r="K12" s="111"/>
    </row>
    <row r="13" spans="1:11" s="20" customFormat="1" ht="36" x14ac:dyDescent="0.25">
      <c r="A13" s="19"/>
      <c r="B13" s="19"/>
      <c r="C13" s="327" t="s">
        <v>20</v>
      </c>
      <c r="D13" s="327"/>
      <c r="E13" s="327"/>
      <c r="F13" s="185" t="s">
        <v>104</v>
      </c>
      <c r="G13" s="185" t="s">
        <v>19</v>
      </c>
      <c r="H13" s="185" t="s">
        <v>106</v>
      </c>
      <c r="I13" s="185" t="s">
        <v>26</v>
      </c>
      <c r="J13" s="111"/>
      <c r="K13" s="19"/>
    </row>
    <row r="14" spans="1:11" x14ac:dyDescent="0.25">
      <c r="A14" s="5"/>
      <c r="B14" s="6"/>
      <c r="C14" s="304"/>
      <c r="D14" s="304"/>
      <c r="E14" s="304"/>
      <c r="F14" s="162"/>
      <c r="G14" s="187"/>
      <c r="H14" s="164"/>
      <c r="I14" s="166">
        <f>IFERROR(F14*H14,0)</f>
        <v>0</v>
      </c>
      <c r="J14" s="111"/>
      <c r="K14" s="111"/>
    </row>
    <row r="15" spans="1:11" ht="15" hidden="1" customHeight="1" x14ac:dyDescent="0.25">
      <c r="A15" s="5"/>
      <c r="B15" s="6"/>
      <c r="C15" s="346"/>
      <c r="D15" s="347"/>
      <c r="E15" s="348"/>
      <c r="F15" s="122"/>
      <c r="G15" s="123"/>
      <c r="H15" s="123"/>
      <c r="I15" s="120"/>
      <c r="J15" s="111"/>
      <c r="K15" s="111"/>
    </row>
    <row r="16" spans="1:11" x14ac:dyDescent="0.25">
      <c r="A16" s="5"/>
      <c r="B16" s="6"/>
      <c r="C16" s="309" t="s">
        <v>2</v>
      </c>
      <c r="D16" s="309"/>
      <c r="E16" s="309"/>
      <c r="F16" s="309"/>
      <c r="G16" s="309"/>
      <c r="H16" s="309"/>
      <c r="I16" s="118">
        <f>SUM(I14:I15)</f>
        <v>0</v>
      </c>
      <c r="J16" s="111"/>
      <c r="K16" s="111"/>
    </row>
    <row r="17" spans="1:11" ht="15" hidden="1" customHeight="1" x14ac:dyDescent="0.25">
      <c r="A17" s="5"/>
      <c r="B17" s="6"/>
      <c r="C17" s="310" t="s">
        <v>193</v>
      </c>
      <c r="D17" s="310"/>
      <c r="E17" s="310"/>
      <c r="F17" s="310"/>
      <c r="G17" s="310"/>
      <c r="H17" s="310"/>
      <c r="I17" s="310"/>
      <c r="J17" s="111"/>
      <c r="K17" s="111"/>
    </row>
    <row r="18" spans="1:11" ht="50.1" hidden="1" customHeight="1" x14ac:dyDescent="0.25">
      <c r="A18" s="5"/>
      <c r="B18" s="6"/>
      <c r="C18" s="311"/>
      <c r="D18" s="311"/>
      <c r="E18" s="311"/>
      <c r="F18" s="311"/>
      <c r="G18" s="311"/>
      <c r="H18" s="311"/>
      <c r="I18" s="311"/>
      <c r="J18" s="111"/>
      <c r="K18" s="111"/>
    </row>
    <row r="19" spans="1:11" ht="15" customHeight="1" x14ac:dyDescent="0.25">
      <c r="A19" s="5"/>
      <c r="B19" s="6"/>
      <c r="C19" s="6"/>
      <c r="D19" s="6"/>
      <c r="E19" s="6"/>
      <c r="F19" s="6"/>
      <c r="G19" s="6"/>
      <c r="H19" s="8"/>
      <c r="I19" s="6"/>
      <c r="J19" s="111"/>
      <c r="K19" s="111"/>
    </row>
    <row r="20" spans="1:11" ht="39.950000000000003" customHeight="1" x14ac:dyDescent="0.25">
      <c r="A20" s="5"/>
      <c r="B20" s="6"/>
      <c r="C20" s="330" t="s">
        <v>100</v>
      </c>
      <c r="D20" s="330"/>
      <c r="E20" s="330"/>
      <c r="F20" s="330"/>
      <c r="G20" s="330"/>
      <c r="H20" s="330"/>
      <c r="I20" s="330"/>
      <c r="J20" s="111"/>
      <c r="K20" s="111"/>
    </row>
    <row r="21" spans="1:11" ht="15" customHeight="1" x14ac:dyDescent="0.25">
      <c r="A21" s="5"/>
      <c r="B21" s="6"/>
      <c r="C21" s="6"/>
      <c r="D21" s="6"/>
      <c r="E21" s="6"/>
      <c r="F21" s="6"/>
      <c r="G21" s="6"/>
      <c r="H21" s="8"/>
      <c r="I21" s="6"/>
      <c r="J21" s="111"/>
      <c r="K21" s="111"/>
    </row>
    <row r="22" spans="1:11" ht="15" customHeight="1" x14ac:dyDescent="0.25">
      <c r="A22" s="5"/>
      <c r="B22" s="6"/>
      <c r="C22" s="339" t="s">
        <v>149</v>
      </c>
      <c r="D22" s="339"/>
      <c r="E22" s="339"/>
      <c r="F22" s="339"/>
      <c r="G22" s="339"/>
      <c r="H22" s="339"/>
      <c r="I22" s="339"/>
      <c r="J22" s="111"/>
      <c r="K22" s="111"/>
    </row>
    <row r="23" spans="1:11" s="20" customFormat="1" ht="36" x14ac:dyDescent="0.25">
      <c r="A23" s="19"/>
      <c r="B23" s="19"/>
      <c r="C23" s="327" t="s">
        <v>20</v>
      </c>
      <c r="D23" s="327"/>
      <c r="E23" s="327"/>
      <c r="F23" s="185" t="s">
        <v>105</v>
      </c>
      <c r="G23" s="185" t="s">
        <v>19</v>
      </c>
      <c r="H23" s="185" t="s">
        <v>106</v>
      </c>
      <c r="I23" s="185" t="s">
        <v>26</v>
      </c>
      <c r="J23" s="111"/>
      <c r="K23" s="19"/>
    </row>
    <row r="24" spans="1:11" x14ac:dyDescent="0.25">
      <c r="A24" s="5"/>
      <c r="B24" s="6"/>
      <c r="C24" s="304"/>
      <c r="D24" s="304"/>
      <c r="E24" s="304"/>
      <c r="F24" s="162"/>
      <c r="G24" s="187"/>
      <c r="H24" s="164"/>
      <c r="I24" s="166">
        <f>IFERROR(F24*H24,0)</f>
        <v>0</v>
      </c>
      <c r="J24" s="111"/>
      <c r="K24" s="111"/>
    </row>
    <row r="25" spans="1:11" ht="15" hidden="1" customHeight="1" x14ac:dyDescent="0.25">
      <c r="A25" s="5"/>
      <c r="B25" s="6"/>
      <c r="C25" s="346"/>
      <c r="D25" s="347"/>
      <c r="E25" s="348"/>
      <c r="F25" s="124"/>
      <c r="G25" s="123"/>
      <c r="H25" s="123"/>
      <c r="I25" s="120"/>
      <c r="J25" s="111"/>
      <c r="K25" s="111"/>
    </row>
    <row r="26" spans="1:11" x14ac:dyDescent="0.25">
      <c r="A26" s="5"/>
      <c r="B26" s="6"/>
      <c r="C26" s="309" t="s">
        <v>2</v>
      </c>
      <c r="D26" s="309"/>
      <c r="E26" s="309"/>
      <c r="F26" s="309"/>
      <c r="G26" s="309"/>
      <c r="H26" s="309"/>
      <c r="I26" s="118">
        <f>SUM(I24:I25)</f>
        <v>0</v>
      </c>
      <c r="J26" s="111"/>
      <c r="K26" s="111"/>
    </row>
    <row r="27" spans="1:11" ht="15" hidden="1" customHeight="1" x14ac:dyDescent="0.25">
      <c r="A27" s="5"/>
      <c r="B27" s="6"/>
      <c r="C27" s="310" t="s">
        <v>193</v>
      </c>
      <c r="D27" s="310"/>
      <c r="E27" s="310"/>
      <c r="F27" s="310"/>
      <c r="G27" s="310"/>
      <c r="H27" s="310"/>
      <c r="I27" s="310"/>
      <c r="J27" s="111"/>
      <c r="K27" s="111"/>
    </row>
    <row r="28" spans="1:11" ht="50.1" hidden="1" customHeight="1" x14ac:dyDescent="0.25">
      <c r="A28" s="5"/>
      <c r="B28" s="6"/>
      <c r="C28" s="311"/>
      <c r="D28" s="311"/>
      <c r="E28" s="311"/>
      <c r="F28" s="311"/>
      <c r="G28" s="311"/>
      <c r="H28" s="311"/>
      <c r="I28" s="311"/>
      <c r="J28" s="111"/>
      <c r="K28" s="111"/>
    </row>
    <row r="29" spans="1:11" ht="15" customHeight="1" x14ac:dyDescent="0.25">
      <c r="A29" s="5"/>
      <c r="B29" s="6"/>
      <c r="C29" s="6"/>
      <c r="D29" s="6"/>
      <c r="E29" s="6"/>
      <c r="F29" s="6"/>
      <c r="G29" s="6"/>
      <c r="H29" s="8"/>
      <c r="I29" s="6"/>
      <c r="J29" s="111"/>
      <c r="K29" s="111"/>
    </row>
    <row r="30" spans="1:11" ht="39.950000000000003" customHeight="1" x14ac:dyDescent="0.25">
      <c r="A30" s="5"/>
      <c r="B30" s="6"/>
      <c r="C30" s="330" t="s">
        <v>24</v>
      </c>
      <c r="D30" s="330"/>
      <c r="E30" s="330"/>
      <c r="F30" s="330"/>
      <c r="G30" s="330"/>
      <c r="H30" s="330"/>
      <c r="I30" s="330"/>
      <c r="J30" s="111"/>
      <c r="K30" s="111"/>
    </row>
    <row r="31" spans="1:11" ht="15" customHeight="1" x14ac:dyDescent="0.25">
      <c r="A31" s="5"/>
      <c r="B31" s="6"/>
      <c r="C31" s="6"/>
      <c r="D31" s="6"/>
      <c r="E31" s="6"/>
      <c r="F31" s="6"/>
      <c r="G31" s="6"/>
      <c r="H31" s="8"/>
      <c r="I31" s="6"/>
      <c r="J31" s="111"/>
      <c r="K31" s="111"/>
    </row>
    <row r="32" spans="1:11" ht="14.45" customHeight="1" x14ac:dyDescent="0.25">
      <c r="A32" s="5"/>
      <c r="B32" s="6"/>
      <c r="C32" s="315" t="s">
        <v>169</v>
      </c>
      <c r="D32" s="315"/>
      <c r="E32" s="315"/>
      <c r="F32" s="315"/>
      <c r="G32" s="315"/>
      <c r="H32" s="315"/>
      <c r="I32" s="315"/>
      <c r="J32" s="111"/>
      <c r="K32" s="111"/>
    </row>
    <row r="33" spans="1:11" s="20" customFormat="1" ht="48" x14ac:dyDescent="0.25">
      <c r="A33" s="19"/>
      <c r="B33" s="19"/>
      <c r="C33" s="185" t="s">
        <v>22</v>
      </c>
      <c r="D33" s="185" t="s">
        <v>19</v>
      </c>
      <c r="E33" s="185" t="s">
        <v>23</v>
      </c>
      <c r="F33" s="207" t="s">
        <v>226</v>
      </c>
      <c r="G33" s="208" t="s">
        <v>229</v>
      </c>
      <c r="H33" s="208" t="s">
        <v>228</v>
      </c>
      <c r="I33" s="207" t="s">
        <v>227</v>
      </c>
      <c r="J33" s="116"/>
      <c r="K33" s="19"/>
    </row>
    <row r="34" spans="1:11" x14ac:dyDescent="0.25">
      <c r="A34" s="5"/>
      <c r="B34" s="6"/>
      <c r="C34" s="164"/>
      <c r="D34" s="187"/>
      <c r="E34" s="187"/>
      <c r="F34" s="167">
        <f>IF(E34="",0,VLOOKUP(E34,'Countries&amp;Coefficients'!$A$2:$B$29,2,0))</f>
        <v>0</v>
      </c>
      <c r="G34" s="168">
        <f>5080/18</f>
        <v>282.22222222222223</v>
      </c>
      <c r="H34" s="164"/>
      <c r="I34" s="166">
        <f>IFERROR(F34*G34*H34,0)</f>
        <v>0</v>
      </c>
      <c r="J34" s="111"/>
      <c r="K34" s="111"/>
    </row>
    <row r="35" spans="1:11" ht="15" hidden="1" customHeight="1" x14ac:dyDescent="0.25">
      <c r="A35" s="5"/>
      <c r="B35" s="6"/>
      <c r="C35" s="346"/>
      <c r="D35" s="348"/>
      <c r="E35" s="123"/>
      <c r="F35" s="123"/>
      <c r="G35" s="122"/>
      <c r="H35" s="123"/>
      <c r="I35" s="120"/>
      <c r="J35" s="111"/>
      <c r="K35" s="111"/>
    </row>
    <row r="36" spans="1:11" x14ac:dyDescent="0.25">
      <c r="A36" s="5"/>
      <c r="B36" s="6"/>
      <c r="C36" s="309" t="s">
        <v>2</v>
      </c>
      <c r="D36" s="309"/>
      <c r="E36" s="309"/>
      <c r="F36" s="309"/>
      <c r="G36" s="309"/>
      <c r="H36" s="309"/>
      <c r="I36" s="118">
        <f>SUM(I33:I35)</f>
        <v>0</v>
      </c>
      <c r="J36" s="111"/>
      <c r="K36" s="111"/>
    </row>
    <row r="37" spans="1:11" ht="15" hidden="1" customHeight="1" x14ac:dyDescent="0.25">
      <c r="A37" s="5"/>
      <c r="B37" s="6"/>
      <c r="C37" s="310" t="s">
        <v>193</v>
      </c>
      <c r="D37" s="310"/>
      <c r="E37" s="310"/>
      <c r="F37" s="310"/>
      <c r="G37" s="310"/>
      <c r="H37" s="310"/>
      <c r="I37" s="310"/>
      <c r="J37" s="111"/>
      <c r="K37" s="111"/>
    </row>
    <row r="38" spans="1:11" ht="50.1" hidden="1" customHeight="1" x14ac:dyDescent="0.25">
      <c r="A38" s="5"/>
      <c r="B38" s="6"/>
      <c r="C38" s="311"/>
      <c r="D38" s="311"/>
      <c r="E38" s="311"/>
      <c r="F38" s="311"/>
      <c r="G38" s="311"/>
      <c r="H38" s="311"/>
      <c r="I38" s="311"/>
      <c r="J38" s="111"/>
      <c r="K38" s="111"/>
    </row>
    <row r="39" spans="1:11" x14ac:dyDescent="0.25">
      <c r="A39" s="5"/>
      <c r="B39" s="6"/>
      <c r="C39" s="6"/>
      <c r="D39" s="6"/>
      <c r="E39" s="6"/>
      <c r="F39" s="6"/>
      <c r="G39" s="6"/>
      <c r="H39" s="6"/>
      <c r="I39" s="6"/>
      <c r="J39" s="111"/>
      <c r="K39" s="111"/>
    </row>
    <row r="40" spans="1:11" ht="38.450000000000003" customHeight="1" x14ac:dyDescent="0.25">
      <c r="A40" s="5"/>
      <c r="B40" s="6"/>
      <c r="C40" s="9" t="s">
        <v>42</v>
      </c>
      <c r="D40" s="6"/>
      <c r="E40" s="6"/>
      <c r="F40" s="6"/>
      <c r="G40" s="6"/>
      <c r="H40" s="6"/>
      <c r="I40" s="6"/>
      <c r="J40" s="111"/>
      <c r="K40" s="111"/>
    </row>
    <row r="41" spans="1:11" ht="51" customHeight="1" x14ac:dyDescent="0.25">
      <c r="A41" s="5"/>
      <c r="B41" s="6"/>
      <c r="C41" s="330" t="s">
        <v>10</v>
      </c>
      <c r="D41" s="330"/>
      <c r="E41" s="330"/>
      <c r="F41" s="330"/>
      <c r="G41" s="330"/>
      <c r="H41" s="330"/>
      <c r="I41" s="330"/>
      <c r="J41" s="111"/>
      <c r="K41" s="111"/>
    </row>
    <row r="42" spans="1:11" ht="15" customHeight="1" x14ac:dyDescent="0.25">
      <c r="A42" s="5"/>
      <c r="B42" s="6"/>
      <c r="C42" s="6"/>
      <c r="D42" s="6"/>
      <c r="E42" s="6"/>
      <c r="F42" s="6"/>
      <c r="G42" s="6"/>
      <c r="H42" s="6"/>
      <c r="I42" s="6"/>
      <c r="J42" s="111"/>
      <c r="K42" s="111"/>
    </row>
    <row r="43" spans="1:11" ht="23.25" x14ac:dyDescent="0.25">
      <c r="A43" s="5"/>
      <c r="B43" s="6"/>
      <c r="C43" s="189" t="s">
        <v>5</v>
      </c>
      <c r="D43" s="189" t="s">
        <v>1</v>
      </c>
      <c r="E43" s="189" t="s">
        <v>0</v>
      </c>
      <c r="F43" s="189" t="s">
        <v>9</v>
      </c>
      <c r="G43" s="331" t="s">
        <v>8</v>
      </c>
      <c r="H43" s="331"/>
      <c r="I43" s="189" t="s">
        <v>4</v>
      </c>
      <c r="J43" s="111"/>
      <c r="K43" s="111"/>
    </row>
    <row r="44" spans="1:11" x14ac:dyDescent="0.25">
      <c r="A44" s="5"/>
      <c r="B44" s="6"/>
      <c r="C44" s="188"/>
      <c r="D44" s="169"/>
      <c r="E44" s="161"/>
      <c r="F44" s="161"/>
      <c r="G44" s="332"/>
      <c r="H44" s="332"/>
      <c r="I44" s="163"/>
      <c r="J44" s="111"/>
      <c r="K44" s="111"/>
    </row>
    <row r="45" spans="1:11" ht="15" hidden="1" customHeight="1" x14ac:dyDescent="0.25">
      <c r="A45" s="5"/>
      <c r="B45" s="6"/>
      <c r="C45" s="125"/>
      <c r="D45" s="126"/>
      <c r="E45" s="126"/>
      <c r="F45" s="127"/>
      <c r="G45" s="349"/>
      <c r="H45" s="350"/>
      <c r="I45" s="128"/>
      <c r="J45" s="111"/>
      <c r="K45" s="111"/>
    </row>
    <row r="46" spans="1:11" x14ac:dyDescent="0.25">
      <c r="A46" s="5"/>
      <c r="B46" s="6"/>
      <c r="C46" s="335" t="s">
        <v>2</v>
      </c>
      <c r="D46" s="335"/>
      <c r="E46" s="335"/>
      <c r="F46" s="335"/>
      <c r="G46" s="335"/>
      <c r="H46" s="335"/>
      <c r="I46" s="119">
        <f>SUM(I44:I45)</f>
        <v>0</v>
      </c>
      <c r="J46" s="111"/>
      <c r="K46" s="111"/>
    </row>
    <row r="47" spans="1:11" ht="15" hidden="1" customHeight="1" x14ac:dyDescent="0.25">
      <c r="A47" s="5"/>
      <c r="B47" s="6"/>
      <c r="C47" s="336" t="s">
        <v>193</v>
      </c>
      <c r="D47" s="336"/>
      <c r="E47" s="336"/>
      <c r="F47" s="336"/>
      <c r="G47" s="336"/>
      <c r="H47" s="336"/>
      <c r="I47" s="336"/>
      <c r="J47" s="111"/>
      <c r="K47" s="111"/>
    </row>
    <row r="48" spans="1:11" ht="50.1" hidden="1" customHeight="1" x14ac:dyDescent="0.25">
      <c r="A48" s="5"/>
      <c r="B48" s="6"/>
      <c r="C48" s="311"/>
      <c r="D48" s="311"/>
      <c r="E48" s="311"/>
      <c r="F48" s="311"/>
      <c r="G48" s="311"/>
      <c r="H48" s="311"/>
      <c r="I48" s="311"/>
      <c r="J48" s="111"/>
      <c r="K48" s="111"/>
    </row>
    <row r="49" spans="1:11" x14ac:dyDescent="0.25">
      <c r="A49" s="5"/>
      <c r="B49" s="6"/>
      <c r="C49" s="6"/>
      <c r="D49" s="6"/>
      <c r="E49" s="6"/>
      <c r="F49" s="6"/>
      <c r="G49" s="6"/>
      <c r="H49" s="6"/>
      <c r="I49" s="6"/>
      <c r="J49" s="111"/>
      <c r="K49" s="111"/>
    </row>
    <row r="50" spans="1:11" ht="27.95" customHeight="1" x14ac:dyDescent="0.25">
      <c r="A50" s="5"/>
      <c r="B50" s="6"/>
      <c r="C50" s="9" t="s">
        <v>162</v>
      </c>
      <c r="D50" s="6"/>
      <c r="E50" s="6"/>
      <c r="F50" s="6"/>
      <c r="G50" s="6"/>
      <c r="H50" s="6"/>
      <c r="I50" s="6"/>
      <c r="J50" s="111"/>
      <c r="K50" s="111"/>
    </row>
    <row r="51" spans="1:11" ht="39" customHeight="1" x14ac:dyDescent="0.25">
      <c r="A51" s="5"/>
      <c r="B51" s="6"/>
      <c r="C51" s="337" t="s">
        <v>13</v>
      </c>
      <c r="D51" s="337"/>
      <c r="E51" s="337"/>
      <c r="F51" s="337"/>
      <c r="G51" s="337"/>
      <c r="H51" s="351"/>
      <c r="I51" s="351"/>
      <c r="J51" s="111"/>
      <c r="K51" s="111"/>
    </row>
    <row r="52" spans="1:11" x14ac:dyDescent="0.25">
      <c r="A52" s="5"/>
      <c r="B52" s="6"/>
      <c r="C52" s="6"/>
      <c r="D52" s="6"/>
      <c r="E52" s="6"/>
      <c r="F52" s="6"/>
      <c r="G52" s="6"/>
      <c r="H52" s="6"/>
      <c r="I52" s="6"/>
      <c r="J52" s="111"/>
      <c r="K52" s="111"/>
    </row>
    <row r="53" spans="1:11" x14ac:dyDescent="0.25">
      <c r="A53" s="5"/>
      <c r="B53" s="6"/>
      <c r="C53" s="315" t="s">
        <v>43</v>
      </c>
      <c r="D53" s="315"/>
      <c r="E53" s="315"/>
      <c r="F53" s="315"/>
      <c r="G53" s="315"/>
      <c r="H53" s="315"/>
      <c r="I53" s="315"/>
      <c r="J53" s="111"/>
      <c r="K53" s="111"/>
    </row>
    <row r="54" spans="1:11" ht="24" x14ac:dyDescent="0.25">
      <c r="A54" s="5"/>
      <c r="B54" s="6"/>
      <c r="C54" s="185" t="s">
        <v>3</v>
      </c>
      <c r="D54" s="185" t="s">
        <v>0</v>
      </c>
      <c r="E54" s="185" t="s">
        <v>9</v>
      </c>
      <c r="F54" s="327" t="s">
        <v>7</v>
      </c>
      <c r="G54" s="327"/>
      <c r="H54" s="327"/>
      <c r="I54" s="185" t="s">
        <v>12</v>
      </c>
      <c r="J54" s="111"/>
      <c r="K54" s="111"/>
    </row>
    <row r="55" spans="1:11" x14ac:dyDescent="0.25">
      <c r="A55" s="5"/>
      <c r="B55" s="6"/>
      <c r="C55" s="186"/>
      <c r="D55" s="170"/>
      <c r="E55" s="161"/>
      <c r="F55" s="328"/>
      <c r="G55" s="328"/>
      <c r="H55" s="328"/>
      <c r="I55" s="163"/>
      <c r="J55" s="111"/>
      <c r="K55" s="111"/>
    </row>
    <row r="56" spans="1:11" ht="15" hidden="1" customHeight="1" x14ac:dyDescent="0.25">
      <c r="A56" s="5"/>
      <c r="B56" s="6"/>
      <c r="C56" s="129"/>
      <c r="D56" s="130"/>
      <c r="E56" s="131"/>
      <c r="F56" s="352"/>
      <c r="G56" s="353"/>
      <c r="H56" s="354"/>
      <c r="I56" s="132"/>
      <c r="J56" s="111"/>
      <c r="K56" s="111"/>
    </row>
    <row r="57" spans="1:11" x14ac:dyDescent="0.25">
      <c r="A57" s="5"/>
      <c r="B57" s="6"/>
      <c r="C57" s="309" t="s">
        <v>2</v>
      </c>
      <c r="D57" s="309"/>
      <c r="E57" s="309"/>
      <c r="F57" s="309"/>
      <c r="G57" s="309"/>
      <c r="H57" s="309"/>
      <c r="I57" s="118">
        <f>SUM(I55:I56)</f>
        <v>0</v>
      </c>
      <c r="J57" s="111"/>
      <c r="K57" s="111"/>
    </row>
    <row r="58" spans="1:11" ht="15" hidden="1" customHeight="1" x14ac:dyDescent="0.25">
      <c r="A58" s="5"/>
      <c r="B58" s="6"/>
      <c r="C58" s="310" t="s">
        <v>193</v>
      </c>
      <c r="D58" s="310"/>
      <c r="E58" s="310"/>
      <c r="F58" s="310"/>
      <c r="G58" s="310"/>
      <c r="H58" s="310"/>
      <c r="I58" s="310"/>
      <c r="J58" s="111"/>
      <c r="K58" s="111"/>
    </row>
    <row r="59" spans="1:11" ht="50.1" hidden="1" customHeight="1" x14ac:dyDescent="0.25">
      <c r="A59" s="5"/>
      <c r="B59" s="6"/>
      <c r="C59" s="311"/>
      <c r="D59" s="311"/>
      <c r="E59" s="311"/>
      <c r="F59" s="311"/>
      <c r="G59" s="311"/>
      <c r="H59" s="311"/>
      <c r="I59" s="311"/>
      <c r="J59" s="111"/>
      <c r="K59" s="111"/>
    </row>
    <row r="60" spans="1:11" x14ac:dyDescent="0.25">
      <c r="A60" s="5"/>
      <c r="B60" s="6"/>
      <c r="C60" s="1"/>
      <c r="D60" s="1"/>
      <c r="E60" s="1"/>
      <c r="F60" s="2"/>
      <c r="G60" s="2"/>
      <c r="H60" s="10"/>
      <c r="I60" s="10"/>
      <c r="J60" s="111"/>
      <c r="K60" s="111"/>
    </row>
    <row r="61" spans="1:11" x14ac:dyDescent="0.25">
      <c r="A61" s="5"/>
      <c r="B61" s="6"/>
      <c r="C61" s="315" t="s">
        <v>164</v>
      </c>
      <c r="D61" s="315"/>
      <c r="E61" s="315"/>
      <c r="F61" s="315"/>
      <c r="G61" s="315"/>
      <c r="H61" s="315"/>
      <c r="I61" s="315"/>
      <c r="J61" s="111"/>
      <c r="K61" s="111"/>
    </row>
    <row r="62" spans="1:11" ht="24" x14ac:dyDescent="0.25">
      <c r="A62" s="5"/>
      <c r="B62" s="6"/>
      <c r="C62" s="185" t="s">
        <v>3</v>
      </c>
      <c r="D62" s="185" t="s">
        <v>25</v>
      </c>
      <c r="E62" s="185" t="s">
        <v>0</v>
      </c>
      <c r="F62" s="185" t="s">
        <v>9</v>
      </c>
      <c r="G62" s="327" t="s">
        <v>7</v>
      </c>
      <c r="H62" s="327"/>
      <c r="I62" s="185" t="s">
        <v>12</v>
      </c>
      <c r="J62" s="111"/>
      <c r="K62" s="111"/>
    </row>
    <row r="63" spans="1:11" x14ac:dyDescent="0.25">
      <c r="A63" s="5"/>
      <c r="B63" s="6"/>
      <c r="C63" s="186"/>
      <c r="D63" s="163"/>
      <c r="E63" s="187"/>
      <c r="F63" s="161"/>
      <c r="G63" s="328"/>
      <c r="H63" s="328"/>
      <c r="I63" s="163"/>
      <c r="J63" s="111"/>
      <c r="K63" s="111"/>
    </row>
    <row r="64" spans="1:11" ht="15" hidden="1" customHeight="1" x14ac:dyDescent="0.25">
      <c r="A64" s="5"/>
      <c r="B64" s="6"/>
      <c r="C64" s="129"/>
      <c r="D64" s="130"/>
      <c r="E64" s="121"/>
      <c r="F64" s="131"/>
      <c r="G64" s="352"/>
      <c r="H64" s="354"/>
      <c r="I64" s="132"/>
      <c r="J64" s="111"/>
      <c r="K64" s="111"/>
    </row>
    <row r="65" spans="1:11" x14ac:dyDescent="0.25">
      <c r="A65" s="5"/>
      <c r="B65" s="6"/>
      <c r="C65" s="309" t="s">
        <v>2</v>
      </c>
      <c r="D65" s="309"/>
      <c r="E65" s="309"/>
      <c r="F65" s="309"/>
      <c r="G65" s="309"/>
      <c r="H65" s="309"/>
      <c r="I65" s="118">
        <f>SUM(I63:I64)</f>
        <v>0</v>
      </c>
      <c r="J65" s="111"/>
      <c r="K65" s="111"/>
    </row>
    <row r="66" spans="1:11" ht="15" hidden="1" customHeight="1" x14ac:dyDescent="0.25">
      <c r="A66" s="5"/>
      <c r="B66" s="6"/>
      <c r="C66" s="310" t="s">
        <v>193</v>
      </c>
      <c r="D66" s="310"/>
      <c r="E66" s="310"/>
      <c r="F66" s="310"/>
      <c r="G66" s="310"/>
      <c r="H66" s="310"/>
      <c r="I66" s="310"/>
      <c r="J66" s="111"/>
      <c r="K66" s="111"/>
    </row>
    <row r="67" spans="1:11" ht="50.1" hidden="1" customHeight="1" x14ac:dyDescent="0.25">
      <c r="A67" s="6"/>
      <c r="B67" s="6"/>
      <c r="C67" s="311"/>
      <c r="D67" s="311"/>
      <c r="E67" s="311"/>
      <c r="F67" s="311"/>
      <c r="G67" s="311"/>
      <c r="H67" s="311"/>
      <c r="I67" s="311"/>
      <c r="J67" s="111"/>
      <c r="K67" s="111"/>
    </row>
    <row r="68" spans="1:11" x14ac:dyDescent="0.25">
      <c r="A68" s="7"/>
      <c r="B68" s="6"/>
      <c r="C68" s="6"/>
      <c r="D68" s="6"/>
      <c r="E68" s="6"/>
      <c r="F68" s="6"/>
      <c r="G68" s="6"/>
      <c r="H68" s="6"/>
      <c r="I68" s="6"/>
      <c r="J68" s="111"/>
      <c r="K68" s="111"/>
    </row>
    <row r="69" spans="1:11" x14ac:dyDescent="0.25">
      <c r="A69" s="7"/>
      <c r="B69" s="6"/>
      <c r="C69" s="315" t="s">
        <v>165</v>
      </c>
      <c r="D69" s="315"/>
      <c r="E69" s="315"/>
      <c r="F69" s="315"/>
      <c r="G69" s="315"/>
      <c r="H69" s="315"/>
      <c r="I69" s="315"/>
      <c r="J69" s="111"/>
      <c r="K69" s="111"/>
    </row>
    <row r="70" spans="1:11" ht="24" x14ac:dyDescent="0.25">
      <c r="A70" s="7"/>
      <c r="B70" s="6"/>
      <c r="C70" s="327" t="s">
        <v>3</v>
      </c>
      <c r="D70" s="327"/>
      <c r="E70" s="185" t="s">
        <v>0</v>
      </c>
      <c r="F70" s="185" t="s">
        <v>9</v>
      </c>
      <c r="G70" s="327" t="s">
        <v>7</v>
      </c>
      <c r="H70" s="327"/>
      <c r="I70" s="185" t="s">
        <v>12</v>
      </c>
      <c r="J70" s="111"/>
      <c r="K70" s="111"/>
    </row>
    <row r="71" spans="1:11" x14ac:dyDescent="0.25">
      <c r="A71" s="7"/>
      <c r="B71" s="6"/>
      <c r="C71" s="329"/>
      <c r="D71" s="329"/>
      <c r="E71" s="187"/>
      <c r="F71" s="161"/>
      <c r="G71" s="328"/>
      <c r="H71" s="328"/>
      <c r="I71" s="162"/>
      <c r="J71" s="111"/>
      <c r="K71" s="111"/>
    </row>
    <row r="72" spans="1:11" ht="15" hidden="1" customHeight="1" x14ac:dyDescent="0.25">
      <c r="A72" s="7"/>
      <c r="B72" s="6"/>
      <c r="C72" s="355"/>
      <c r="D72" s="356"/>
      <c r="E72" s="121"/>
      <c r="F72" s="131"/>
      <c r="G72" s="352"/>
      <c r="H72" s="354"/>
      <c r="I72" s="132"/>
      <c r="J72" s="111"/>
      <c r="K72" s="111"/>
    </row>
    <row r="73" spans="1:11" x14ac:dyDescent="0.25">
      <c r="A73" s="7"/>
      <c r="B73" s="6"/>
      <c r="C73" s="309" t="s">
        <v>2</v>
      </c>
      <c r="D73" s="309"/>
      <c r="E73" s="309"/>
      <c r="F73" s="309"/>
      <c r="G73" s="309"/>
      <c r="H73" s="309"/>
      <c r="I73" s="118">
        <f>SUM(I71:I72)</f>
        <v>0</v>
      </c>
      <c r="J73" s="111"/>
      <c r="K73" s="111"/>
    </row>
    <row r="74" spans="1:11" ht="15" hidden="1" customHeight="1" x14ac:dyDescent="0.25">
      <c r="A74" s="7"/>
      <c r="B74" s="6"/>
      <c r="C74" s="310" t="s">
        <v>193</v>
      </c>
      <c r="D74" s="310"/>
      <c r="E74" s="310"/>
      <c r="F74" s="310"/>
      <c r="G74" s="310"/>
      <c r="H74" s="310"/>
      <c r="I74" s="310"/>
      <c r="J74" s="111"/>
      <c r="K74" s="111"/>
    </row>
    <row r="75" spans="1:11" ht="50.1" hidden="1" customHeight="1" x14ac:dyDescent="0.25">
      <c r="A75" s="7"/>
      <c r="B75" s="6"/>
      <c r="C75" s="311"/>
      <c r="D75" s="311"/>
      <c r="E75" s="311"/>
      <c r="F75" s="311"/>
      <c r="G75" s="311"/>
      <c r="H75" s="311"/>
      <c r="I75" s="311"/>
      <c r="J75" s="111"/>
      <c r="K75" s="111"/>
    </row>
    <row r="76" spans="1:11" x14ac:dyDescent="0.25">
      <c r="A76" s="5"/>
      <c r="B76" s="6"/>
      <c r="C76" s="6"/>
      <c r="D76" s="6"/>
      <c r="E76" s="6"/>
      <c r="F76" s="6"/>
      <c r="G76" s="6"/>
      <c r="H76" s="6"/>
      <c r="I76" s="6"/>
      <c r="J76" s="111"/>
      <c r="K76" s="111"/>
    </row>
    <row r="77" spans="1:11" x14ac:dyDescent="0.25">
      <c r="A77" s="5"/>
      <c r="B77" s="6"/>
      <c r="C77" s="315" t="s">
        <v>45</v>
      </c>
      <c r="D77" s="315"/>
      <c r="E77" s="315"/>
      <c r="F77" s="315"/>
      <c r="G77" s="315"/>
      <c r="H77" s="315"/>
      <c r="I77" s="315"/>
      <c r="J77" s="111"/>
      <c r="K77" s="111"/>
    </row>
    <row r="78" spans="1:11" ht="24" x14ac:dyDescent="0.25">
      <c r="A78" s="5"/>
      <c r="B78" s="6"/>
      <c r="C78" s="185" t="s">
        <v>3</v>
      </c>
      <c r="D78" s="185" t="s">
        <v>0</v>
      </c>
      <c r="E78" s="185" t="s">
        <v>9</v>
      </c>
      <c r="F78" s="327" t="s">
        <v>7</v>
      </c>
      <c r="G78" s="327"/>
      <c r="H78" s="327"/>
      <c r="I78" s="185" t="s">
        <v>12</v>
      </c>
      <c r="J78" s="111"/>
      <c r="K78" s="111"/>
    </row>
    <row r="79" spans="1:11" x14ac:dyDescent="0.25">
      <c r="A79" s="5"/>
      <c r="B79" s="6"/>
      <c r="C79" s="186"/>
      <c r="D79" s="170"/>
      <c r="E79" s="161"/>
      <c r="F79" s="328"/>
      <c r="G79" s="328"/>
      <c r="H79" s="328"/>
      <c r="I79" s="162"/>
      <c r="J79" s="111"/>
      <c r="K79" s="111"/>
    </row>
    <row r="80" spans="1:11" ht="15" hidden="1" customHeight="1" x14ac:dyDescent="0.25">
      <c r="A80" s="5"/>
      <c r="B80" s="6"/>
      <c r="C80" s="129"/>
      <c r="D80" s="130"/>
      <c r="E80" s="131"/>
      <c r="F80" s="352"/>
      <c r="G80" s="353"/>
      <c r="H80" s="354"/>
      <c r="I80" s="132"/>
      <c r="J80" s="111"/>
      <c r="K80" s="111"/>
    </row>
    <row r="81" spans="1:11" ht="21.75" customHeight="1" x14ac:dyDescent="0.25">
      <c r="A81" s="5"/>
      <c r="B81" s="6"/>
      <c r="C81" s="309" t="s">
        <v>2</v>
      </c>
      <c r="D81" s="309"/>
      <c r="E81" s="309"/>
      <c r="F81" s="309"/>
      <c r="G81" s="309"/>
      <c r="H81" s="309"/>
      <c r="I81" s="118">
        <f>SUM(I79:I80)</f>
        <v>0</v>
      </c>
      <c r="J81" s="111"/>
      <c r="K81" s="111"/>
    </row>
    <row r="82" spans="1:11" ht="15" hidden="1" customHeight="1" x14ac:dyDescent="0.25">
      <c r="A82" s="5"/>
      <c r="B82" s="6"/>
      <c r="C82" s="310" t="s">
        <v>193</v>
      </c>
      <c r="D82" s="310"/>
      <c r="E82" s="310"/>
      <c r="F82" s="310"/>
      <c r="G82" s="310"/>
      <c r="H82" s="310"/>
      <c r="I82" s="310"/>
      <c r="J82" s="111"/>
      <c r="K82" s="111"/>
    </row>
    <row r="83" spans="1:11" ht="50.1" hidden="1" customHeight="1" x14ac:dyDescent="0.25">
      <c r="A83" s="6"/>
      <c r="B83" s="6"/>
      <c r="C83" s="311"/>
      <c r="D83" s="311"/>
      <c r="E83" s="311"/>
      <c r="F83" s="311"/>
      <c r="G83" s="311"/>
      <c r="H83" s="311"/>
      <c r="I83" s="311"/>
      <c r="J83" s="111"/>
      <c r="K83" s="111"/>
    </row>
    <row r="84" spans="1:11" x14ac:dyDescent="0.25">
      <c r="A84" s="6"/>
      <c r="B84" s="6"/>
      <c r="C84" s="6"/>
      <c r="D84" s="6"/>
      <c r="E84" s="6"/>
      <c r="F84" s="6"/>
      <c r="G84" s="6"/>
      <c r="H84" s="6"/>
      <c r="I84" s="6"/>
      <c r="J84" s="111"/>
      <c r="K84" s="111"/>
    </row>
    <row r="85" spans="1:11" ht="26.1" customHeight="1" x14ac:dyDescent="0.25">
      <c r="A85" s="6"/>
      <c r="B85" s="6"/>
      <c r="C85" s="9" t="s">
        <v>35</v>
      </c>
      <c r="D85" s="6"/>
      <c r="E85" s="6"/>
      <c r="F85" s="6"/>
      <c r="G85" s="6"/>
      <c r="H85" s="6"/>
      <c r="I85" s="6"/>
      <c r="J85" s="111"/>
      <c r="K85" s="111"/>
    </row>
    <row r="86" spans="1:11" ht="26.1" customHeight="1" x14ac:dyDescent="0.25">
      <c r="A86" s="6"/>
      <c r="B86" s="6"/>
      <c r="C86" s="312" t="s">
        <v>11</v>
      </c>
      <c r="D86" s="313"/>
      <c r="E86" s="313"/>
      <c r="F86" s="313"/>
      <c r="G86" s="313"/>
      <c r="H86" s="313"/>
      <c r="I86" s="314"/>
      <c r="J86" s="111"/>
      <c r="K86" s="111"/>
    </row>
    <row r="87" spans="1:11" x14ac:dyDescent="0.25">
      <c r="A87" s="5"/>
      <c r="B87" s="6"/>
      <c r="C87" s="6"/>
      <c r="D87" s="6"/>
      <c r="E87" s="6"/>
      <c r="F87" s="6"/>
      <c r="G87" s="6"/>
      <c r="H87" s="6"/>
      <c r="I87" s="6"/>
      <c r="J87" s="111"/>
      <c r="K87" s="111"/>
    </row>
    <row r="88" spans="1:11" x14ac:dyDescent="0.25">
      <c r="A88" s="5"/>
      <c r="B88" s="6"/>
      <c r="C88" s="315" t="s">
        <v>166</v>
      </c>
      <c r="D88" s="315"/>
      <c r="E88" s="315"/>
      <c r="F88" s="315"/>
      <c r="G88" s="315"/>
      <c r="H88" s="315"/>
      <c r="I88" s="315"/>
      <c r="J88" s="111"/>
      <c r="K88" s="111"/>
    </row>
    <row r="89" spans="1:11" ht="24" x14ac:dyDescent="0.25">
      <c r="A89" s="5"/>
      <c r="B89" s="6"/>
      <c r="C89" s="185" t="s">
        <v>3</v>
      </c>
      <c r="D89" s="185" t="s">
        <v>0</v>
      </c>
      <c r="E89" s="185" t="s">
        <v>9</v>
      </c>
      <c r="F89" s="327" t="s">
        <v>7</v>
      </c>
      <c r="G89" s="327"/>
      <c r="H89" s="327"/>
      <c r="I89" s="185" t="s">
        <v>12</v>
      </c>
      <c r="J89" s="111"/>
      <c r="K89" s="111"/>
    </row>
    <row r="90" spans="1:11" x14ac:dyDescent="0.25">
      <c r="A90" s="5"/>
      <c r="B90" s="6"/>
      <c r="C90" s="186"/>
      <c r="D90" s="170"/>
      <c r="E90" s="161"/>
      <c r="F90" s="328"/>
      <c r="G90" s="328"/>
      <c r="H90" s="328"/>
      <c r="I90" s="162"/>
      <c r="J90" s="111"/>
      <c r="K90" s="111"/>
    </row>
    <row r="91" spans="1:11" ht="15" hidden="1" customHeight="1" x14ac:dyDescent="0.25">
      <c r="A91" s="5"/>
      <c r="B91" s="6"/>
      <c r="C91" s="129"/>
      <c r="D91" s="130"/>
      <c r="E91" s="131"/>
      <c r="F91" s="352"/>
      <c r="G91" s="353"/>
      <c r="H91" s="354"/>
      <c r="I91" s="132"/>
      <c r="J91" s="111"/>
      <c r="K91" s="111"/>
    </row>
    <row r="92" spans="1:11" x14ac:dyDescent="0.25">
      <c r="A92" s="5"/>
      <c r="B92" s="6"/>
      <c r="C92" s="309" t="s">
        <v>2</v>
      </c>
      <c r="D92" s="309"/>
      <c r="E92" s="309"/>
      <c r="F92" s="309"/>
      <c r="G92" s="309"/>
      <c r="H92" s="309"/>
      <c r="I92" s="118">
        <f>SUM(I90:I91)</f>
        <v>0</v>
      </c>
      <c r="J92" s="111"/>
      <c r="K92" s="111"/>
    </row>
    <row r="93" spans="1:11" ht="15" hidden="1" customHeight="1" x14ac:dyDescent="0.25">
      <c r="A93" s="5"/>
      <c r="B93" s="6"/>
      <c r="C93" s="310" t="s">
        <v>193</v>
      </c>
      <c r="D93" s="310"/>
      <c r="E93" s="310"/>
      <c r="F93" s="310"/>
      <c r="G93" s="310"/>
      <c r="H93" s="310"/>
      <c r="I93" s="310"/>
      <c r="J93" s="111"/>
      <c r="K93" s="111"/>
    </row>
    <row r="94" spans="1:11" ht="50.1" hidden="1" customHeight="1" x14ac:dyDescent="0.25">
      <c r="A94" s="6"/>
      <c r="B94" s="6"/>
      <c r="C94" s="311"/>
      <c r="D94" s="311"/>
      <c r="E94" s="311"/>
      <c r="F94" s="311"/>
      <c r="G94" s="311"/>
      <c r="H94" s="311"/>
      <c r="I94" s="311"/>
      <c r="J94" s="111"/>
      <c r="K94" s="111"/>
    </row>
    <row r="95" spans="1:11" x14ac:dyDescent="0.25">
      <c r="A95" s="6"/>
      <c r="B95" s="6"/>
      <c r="C95" s="6"/>
      <c r="D95" s="6"/>
      <c r="E95" s="6"/>
      <c r="F95" s="6"/>
      <c r="G95" s="6"/>
      <c r="H95" s="6"/>
      <c r="I95" s="6"/>
      <c r="J95" s="111"/>
      <c r="K95" s="111"/>
    </row>
    <row r="96" spans="1:11" ht="30.6" hidden="1" customHeight="1" x14ac:dyDescent="0.25">
      <c r="A96" s="6"/>
      <c r="B96" s="6"/>
      <c r="C96" s="9" t="s">
        <v>163</v>
      </c>
      <c r="D96" s="6"/>
      <c r="E96" s="6"/>
      <c r="F96" s="6"/>
      <c r="G96" s="6"/>
      <c r="H96" s="6"/>
      <c r="I96" s="6"/>
      <c r="J96" s="111"/>
      <c r="K96" s="111"/>
    </row>
    <row r="97" spans="1:11" ht="51.95" hidden="1" customHeight="1" x14ac:dyDescent="0.25">
      <c r="A97" s="6"/>
      <c r="B97" s="6"/>
      <c r="C97" s="312" t="s">
        <v>101</v>
      </c>
      <c r="D97" s="313"/>
      <c r="E97" s="313"/>
      <c r="F97" s="313"/>
      <c r="G97" s="313"/>
      <c r="H97" s="313"/>
      <c r="I97" s="314"/>
      <c r="J97" s="111"/>
      <c r="K97" s="111"/>
    </row>
    <row r="98" spans="1:11" hidden="1" x14ac:dyDescent="0.25">
      <c r="A98" s="6"/>
      <c r="B98" s="6"/>
      <c r="C98" s="6"/>
      <c r="D98" s="6"/>
      <c r="E98" s="6"/>
      <c r="F98" s="6"/>
      <c r="G98" s="6"/>
      <c r="H98" s="6"/>
      <c r="I98" s="6"/>
      <c r="J98" s="111"/>
      <c r="K98" s="111"/>
    </row>
    <row r="99" spans="1:11" hidden="1" x14ac:dyDescent="0.25">
      <c r="A99" s="6"/>
      <c r="B99" s="6"/>
      <c r="C99" s="315" t="s">
        <v>6</v>
      </c>
      <c r="D99" s="315"/>
      <c r="E99" s="315"/>
      <c r="F99" s="315"/>
      <c r="G99" s="315"/>
      <c r="H99" s="315"/>
      <c r="I99" s="315"/>
      <c r="J99" s="111"/>
      <c r="K99" s="111"/>
    </row>
    <row r="100" spans="1:11" ht="24" hidden="1" x14ac:dyDescent="0.25">
      <c r="A100" s="6"/>
      <c r="B100" s="6"/>
      <c r="C100" s="316" t="s">
        <v>213</v>
      </c>
      <c r="D100" s="317"/>
      <c r="E100" s="317"/>
      <c r="F100" s="317"/>
      <c r="G100" s="317"/>
      <c r="H100" s="318"/>
      <c r="I100" s="205" t="s">
        <v>12</v>
      </c>
      <c r="J100" s="111"/>
      <c r="K100" s="111"/>
    </row>
    <row r="101" spans="1:11" hidden="1" x14ac:dyDescent="0.25">
      <c r="A101" s="6"/>
      <c r="B101" s="6"/>
      <c r="C101" s="319"/>
      <c r="D101" s="320"/>
      <c r="E101" s="320"/>
      <c r="F101" s="320"/>
      <c r="G101" s="320"/>
      <c r="H101" s="321"/>
      <c r="I101" s="162"/>
      <c r="J101" s="111"/>
      <c r="K101" s="111"/>
    </row>
    <row r="102" spans="1:11" ht="15" hidden="1" customHeight="1" x14ac:dyDescent="0.25">
      <c r="A102" s="6"/>
      <c r="B102" s="6"/>
      <c r="C102" s="355"/>
      <c r="D102" s="356"/>
      <c r="E102" s="131"/>
      <c r="F102" s="352"/>
      <c r="G102" s="353"/>
      <c r="H102" s="354"/>
      <c r="I102" s="132"/>
      <c r="J102" s="111"/>
      <c r="K102" s="111"/>
    </row>
    <row r="103" spans="1:11" hidden="1" x14ac:dyDescent="0.25">
      <c r="A103" s="6"/>
      <c r="B103" s="6"/>
      <c r="C103" s="309" t="s">
        <v>2</v>
      </c>
      <c r="D103" s="309"/>
      <c r="E103" s="309"/>
      <c r="F103" s="309"/>
      <c r="G103" s="309"/>
      <c r="H103" s="309"/>
      <c r="I103" s="118">
        <f>SUM(I101:I102)</f>
        <v>0</v>
      </c>
      <c r="J103" s="111"/>
      <c r="K103" s="111"/>
    </row>
    <row r="104" spans="1:11" ht="15" hidden="1" customHeight="1" x14ac:dyDescent="0.25">
      <c r="A104" s="6"/>
      <c r="B104" s="6"/>
      <c r="C104" s="310" t="s">
        <v>193</v>
      </c>
      <c r="D104" s="310"/>
      <c r="E104" s="310"/>
      <c r="F104" s="310"/>
      <c r="G104" s="310"/>
      <c r="H104" s="310"/>
      <c r="I104" s="310"/>
      <c r="J104" s="111"/>
      <c r="K104" s="111"/>
    </row>
    <row r="105" spans="1:11" ht="50.1" hidden="1" customHeight="1" x14ac:dyDescent="0.25">
      <c r="A105" s="6"/>
      <c r="B105" s="6"/>
      <c r="C105" s="311"/>
      <c r="D105" s="311"/>
      <c r="E105" s="311"/>
      <c r="F105" s="311"/>
      <c r="G105" s="311"/>
      <c r="H105" s="311"/>
      <c r="I105" s="311"/>
      <c r="J105" s="111"/>
      <c r="K105" s="111"/>
    </row>
    <row r="107" spans="1:11" x14ac:dyDescent="0.25">
      <c r="C107" s="199" t="s">
        <v>202</v>
      </c>
    </row>
  </sheetData>
  <sheetProtection algorithmName="SHA-512" hashValue="WPo6qWPzQr0rD341xe3UA+3n8ON8AclcJaS6zxqknkTLVztjbFMzCVkSlNpm6Drh5WQBCLokhbxdfIZnqJwIbw==" saltValue="/RE+wQY4lx6r37ZLneg0BQ==" spinCount="100000" sheet="1" objects="1" scenarios="1"/>
  <mergeCells count="81">
    <mergeCell ref="C102:D102"/>
    <mergeCell ref="F102:H102"/>
    <mergeCell ref="C103:H103"/>
    <mergeCell ref="C104:I104"/>
    <mergeCell ref="C105:I105"/>
    <mergeCell ref="C97:I97"/>
    <mergeCell ref="C99:I99"/>
    <mergeCell ref="C100:H100"/>
    <mergeCell ref="C101:H101"/>
    <mergeCell ref="C94:I94"/>
    <mergeCell ref="F90:H90"/>
    <mergeCell ref="F91:H91"/>
    <mergeCell ref="C92:H92"/>
    <mergeCell ref="F80:H80"/>
    <mergeCell ref="C81:H81"/>
    <mergeCell ref="C82:I82"/>
    <mergeCell ref="C83:I83"/>
    <mergeCell ref="C86:I86"/>
    <mergeCell ref="C93:I93"/>
    <mergeCell ref="F79:H79"/>
    <mergeCell ref="C69:I69"/>
    <mergeCell ref="C70:D70"/>
    <mergeCell ref="G70:H70"/>
    <mergeCell ref="C71:D71"/>
    <mergeCell ref="G71:H71"/>
    <mergeCell ref="C72:D72"/>
    <mergeCell ref="G72:H72"/>
    <mergeCell ref="C73:H73"/>
    <mergeCell ref="C74:I74"/>
    <mergeCell ref="C75:I75"/>
    <mergeCell ref="C77:I77"/>
    <mergeCell ref="F78:H78"/>
    <mergeCell ref="C88:I88"/>
    <mergeCell ref="F89:H89"/>
    <mergeCell ref="C67:I67"/>
    <mergeCell ref="F55:H55"/>
    <mergeCell ref="F56:H56"/>
    <mergeCell ref="C57:H57"/>
    <mergeCell ref="C58:I58"/>
    <mergeCell ref="C59:I59"/>
    <mergeCell ref="C61:I61"/>
    <mergeCell ref="G62:H62"/>
    <mergeCell ref="G63:H63"/>
    <mergeCell ref="G64:H64"/>
    <mergeCell ref="C65:H65"/>
    <mergeCell ref="C66:I66"/>
    <mergeCell ref="F54:H54"/>
    <mergeCell ref="C37:I37"/>
    <mergeCell ref="C38:I38"/>
    <mergeCell ref="C41:I41"/>
    <mergeCell ref="G43:H43"/>
    <mergeCell ref="G44:H44"/>
    <mergeCell ref="G45:H45"/>
    <mergeCell ref="C46:H46"/>
    <mergeCell ref="C47:I47"/>
    <mergeCell ref="C48:I48"/>
    <mergeCell ref="C51:I51"/>
    <mergeCell ref="C53:I53"/>
    <mergeCell ref="C36:H36"/>
    <mergeCell ref="C23:E23"/>
    <mergeCell ref="C24:E24"/>
    <mergeCell ref="C25:E25"/>
    <mergeCell ref="C26:H26"/>
    <mergeCell ref="C27:I27"/>
    <mergeCell ref="C28:I28"/>
    <mergeCell ref="C30:I30"/>
    <mergeCell ref="C32:I32"/>
    <mergeCell ref="C35:D35"/>
    <mergeCell ref="C22:I22"/>
    <mergeCell ref="C2:I2"/>
    <mergeCell ref="C5:I5"/>
    <mergeCell ref="C7:I7"/>
    <mergeCell ref="C12:I12"/>
    <mergeCell ref="C13:E13"/>
    <mergeCell ref="C14:E14"/>
    <mergeCell ref="C15:E15"/>
    <mergeCell ref="C16:H16"/>
    <mergeCell ref="C17:I17"/>
    <mergeCell ref="C18:I18"/>
    <mergeCell ref="C20:I20"/>
    <mergeCell ref="C11:H11"/>
  </mergeCells>
  <dataValidations count="5">
    <dataValidation type="list" allowBlank="1" showInputMessage="1" showErrorMessage="1" promptTitle="Select data" prompt="from the drop-down menu" sqref="F44:F45 E55:E56 F63:F64 F71:F72 E79:E80 E90:E91 E102" xr:uid="{00000000-0002-0000-0700-000000000000}">
      <formula1>"YES,NO"</formula1>
    </dataValidation>
    <dataValidation type="decimal" allowBlank="1" showInputMessage="1" showErrorMessage="1" errorTitle="Invalid data!" error="Must be a decimal value." sqref="F24 F14 H10 E9:E10 I55 I44 I90 I63 D63 I101 I71 I79" xr:uid="{00000000-0002-0000-0700-000001000000}">
      <formula1>0</formula1>
      <formula2>1000000000</formula2>
    </dataValidation>
    <dataValidation allowBlank="1" showInputMessage="1" showErrorMessage="1" prompt="Insert comment" sqref="C18:I18 C28:I28 C38:I38 C48:I48 C59:I59 C67:I67 C75:I75 C83:I83 C94:I94 C105:I105" xr:uid="{00000000-0002-0000-0700-000002000000}"/>
    <dataValidation type="decimal" allowBlank="1" showInputMessage="1" showErrorMessage="1" errorTitle="Invalid data!" error="Must be a decimal value" sqref="D9:D10" xr:uid="{00000000-0002-0000-0700-000003000000}">
      <formula1>0</formula1>
      <formula2>1000000000</formula2>
    </dataValidation>
    <dataValidation type="custom" operator="lessThanOrEqual" allowBlank="1" showInputMessage="1" showErrorMessage="1" errorTitle="Invalid data!" error="Must be a whole number of days or half days." sqref="H9 H14 H24 H34" xr:uid="{D965B2BF-37F7-4F20-9E26-525096176090}">
      <formula1>AND(H9&gt;=0,MOD(H9,0.5)=0)</formula1>
    </dataValidation>
  </dataValidations>
  <printOptions horizontalCentered="1" gridLines="1"/>
  <pageMargins left="0.70866141732283472" right="0.70866141732283472" top="0.74803149606299213" bottom="0.74803149606299213" header="0.31496062992125984" footer="0.31496062992125984"/>
  <pageSetup scale="53" fitToHeight="0" orientation="portrait" r:id="rId1"/>
  <headerFooter scaleWithDoc="0">
    <oddHeader>&amp;A</oddHead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AddLineUoR">
                <anchor moveWithCells="1" sizeWithCells="1">
                  <from>
                    <xdr:col>10</xdr:col>
                    <xdr:colOff>0</xdr:colOff>
                    <xdr:row>12</xdr:row>
                    <xdr:rowOff>0</xdr:rowOff>
                  </from>
                  <to>
                    <xdr:col>11</xdr:col>
                    <xdr:colOff>0</xdr:colOff>
                    <xdr:row>12</xdr:row>
                    <xdr:rowOff>485775</xdr:rowOff>
                  </to>
                </anchor>
              </controlPr>
            </control>
          </mc:Choice>
        </mc:AlternateContent>
        <mc:AlternateContent xmlns:mc="http://schemas.openxmlformats.org/markup-compatibility/2006">
          <mc:Choice Requires="x14">
            <control shapeId="12290" r:id="rId5" name="Button 2">
              <controlPr defaultSize="0" print="0" autoFill="0" autoPict="0" macro="[0]!AddLineUoR">
                <anchor moveWithCells="1" sizeWithCells="1">
                  <from>
                    <xdr:col>10</xdr:col>
                    <xdr:colOff>0</xdr:colOff>
                    <xdr:row>22</xdr:row>
                    <xdr:rowOff>0</xdr:rowOff>
                  </from>
                  <to>
                    <xdr:col>11</xdr:col>
                    <xdr:colOff>0</xdr:colOff>
                    <xdr:row>22</xdr:row>
                    <xdr:rowOff>485775</xdr:rowOff>
                  </to>
                </anchor>
              </controlPr>
            </control>
          </mc:Choice>
        </mc:AlternateContent>
        <mc:AlternateContent xmlns:mc="http://schemas.openxmlformats.org/markup-compatibility/2006">
          <mc:Choice Requires="x14">
            <control shapeId="12291" r:id="rId6" name="Button 3">
              <controlPr defaultSize="0" print="0" autoFill="0" autoPict="0" macro="[0]!AddLineUoR">
                <anchor moveWithCells="1" sizeWithCells="1">
                  <from>
                    <xdr:col>10</xdr:col>
                    <xdr:colOff>0</xdr:colOff>
                    <xdr:row>32</xdr:row>
                    <xdr:rowOff>0</xdr:rowOff>
                  </from>
                  <to>
                    <xdr:col>11</xdr:col>
                    <xdr:colOff>0</xdr:colOff>
                    <xdr:row>32</xdr:row>
                    <xdr:rowOff>485775</xdr:rowOff>
                  </to>
                </anchor>
              </controlPr>
            </control>
          </mc:Choice>
        </mc:AlternateContent>
        <mc:AlternateContent xmlns:mc="http://schemas.openxmlformats.org/markup-compatibility/2006">
          <mc:Choice Requires="x14">
            <control shapeId="12292" r:id="rId7" name="Button 4">
              <controlPr defaultSize="0" print="0" autoFill="0" autoPict="0" macro="[0]!AddLineUoR">
                <anchor moveWithCells="1" sizeWithCells="1">
                  <from>
                    <xdr:col>10</xdr:col>
                    <xdr:colOff>0</xdr:colOff>
                    <xdr:row>42</xdr:row>
                    <xdr:rowOff>0</xdr:rowOff>
                  </from>
                  <to>
                    <xdr:col>11</xdr:col>
                    <xdr:colOff>0</xdr:colOff>
                    <xdr:row>42</xdr:row>
                    <xdr:rowOff>247650</xdr:rowOff>
                  </to>
                </anchor>
              </controlPr>
            </control>
          </mc:Choice>
        </mc:AlternateContent>
        <mc:AlternateContent xmlns:mc="http://schemas.openxmlformats.org/markup-compatibility/2006">
          <mc:Choice Requires="x14">
            <control shapeId="12293" r:id="rId8" name="Button 5">
              <controlPr defaultSize="0" print="0" autoFill="0" autoPict="0" macro="[0]!AddLineUoR">
                <anchor moveWithCells="1" sizeWithCells="1">
                  <from>
                    <xdr:col>10</xdr:col>
                    <xdr:colOff>0</xdr:colOff>
                    <xdr:row>53</xdr:row>
                    <xdr:rowOff>0</xdr:rowOff>
                  </from>
                  <to>
                    <xdr:col>11</xdr:col>
                    <xdr:colOff>0</xdr:colOff>
                    <xdr:row>53</xdr:row>
                    <xdr:rowOff>428625</xdr:rowOff>
                  </to>
                </anchor>
              </controlPr>
            </control>
          </mc:Choice>
        </mc:AlternateContent>
        <mc:AlternateContent xmlns:mc="http://schemas.openxmlformats.org/markup-compatibility/2006">
          <mc:Choice Requires="x14">
            <control shapeId="12294" r:id="rId9" name="Button 6">
              <controlPr defaultSize="0" print="0" autoFill="0" autoPict="0" macro="[0]!AddLineUoR">
                <anchor moveWithCells="1" sizeWithCells="1">
                  <from>
                    <xdr:col>10</xdr:col>
                    <xdr:colOff>0</xdr:colOff>
                    <xdr:row>61</xdr:row>
                    <xdr:rowOff>0</xdr:rowOff>
                  </from>
                  <to>
                    <xdr:col>11</xdr:col>
                    <xdr:colOff>0</xdr:colOff>
                    <xdr:row>61</xdr:row>
                    <xdr:rowOff>419100</xdr:rowOff>
                  </to>
                </anchor>
              </controlPr>
            </control>
          </mc:Choice>
        </mc:AlternateContent>
        <mc:AlternateContent xmlns:mc="http://schemas.openxmlformats.org/markup-compatibility/2006">
          <mc:Choice Requires="x14">
            <control shapeId="12295" r:id="rId10" name="Button 7">
              <controlPr defaultSize="0" print="0" autoFill="0" autoPict="0" macro="[0]!AddLineUoR">
                <anchor moveWithCells="1" sizeWithCells="1">
                  <from>
                    <xdr:col>10</xdr:col>
                    <xdr:colOff>0</xdr:colOff>
                    <xdr:row>69</xdr:row>
                    <xdr:rowOff>0</xdr:rowOff>
                  </from>
                  <to>
                    <xdr:col>11</xdr:col>
                    <xdr:colOff>0</xdr:colOff>
                    <xdr:row>69</xdr:row>
                    <xdr:rowOff>428625</xdr:rowOff>
                  </to>
                </anchor>
              </controlPr>
            </control>
          </mc:Choice>
        </mc:AlternateContent>
        <mc:AlternateContent xmlns:mc="http://schemas.openxmlformats.org/markup-compatibility/2006">
          <mc:Choice Requires="x14">
            <control shapeId="12296" r:id="rId11" name="Button 8">
              <controlPr defaultSize="0" print="0" autoFill="0" autoPict="0" macro="[0]!AddLineUoR">
                <anchor moveWithCells="1" sizeWithCells="1">
                  <from>
                    <xdr:col>10</xdr:col>
                    <xdr:colOff>0</xdr:colOff>
                    <xdr:row>77</xdr:row>
                    <xdr:rowOff>0</xdr:rowOff>
                  </from>
                  <to>
                    <xdr:col>11</xdr:col>
                    <xdr:colOff>0</xdr:colOff>
                    <xdr:row>77</xdr:row>
                    <xdr:rowOff>428625</xdr:rowOff>
                  </to>
                </anchor>
              </controlPr>
            </control>
          </mc:Choice>
        </mc:AlternateContent>
        <mc:AlternateContent xmlns:mc="http://schemas.openxmlformats.org/markup-compatibility/2006">
          <mc:Choice Requires="x14">
            <control shapeId="12297" r:id="rId12" name="Button 9">
              <controlPr defaultSize="0" print="0" autoFill="0" autoPict="0" macro="[0]!AddLineUoR">
                <anchor moveWithCells="1" sizeWithCells="1">
                  <from>
                    <xdr:col>10</xdr:col>
                    <xdr:colOff>0</xdr:colOff>
                    <xdr:row>88</xdr:row>
                    <xdr:rowOff>0</xdr:rowOff>
                  </from>
                  <to>
                    <xdr:col>11</xdr:col>
                    <xdr:colOff>0</xdr:colOff>
                    <xdr:row>88</xdr:row>
                    <xdr:rowOff>428625</xdr:rowOff>
                  </to>
                </anchor>
              </controlPr>
            </control>
          </mc:Choice>
        </mc:AlternateContent>
        <mc:AlternateContent xmlns:mc="http://schemas.openxmlformats.org/markup-compatibility/2006">
          <mc:Choice Requires="x14">
            <control shapeId="12298" r:id="rId13" name="Button 10">
              <controlPr defaultSize="0" print="0" autoFill="0" autoPict="0" macro="[0]!AddLineUoR">
                <anchor moveWithCells="1" sizeWithCells="1">
                  <from>
                    <xdr:col>10</xdr:col>
                    <xdr:colOff>0</xdr:colOff>
                    <xdr:row>99</xdr:row>
                    <xdr:rowOff>0</xdr:rowOff>
                  </from>
                  <to>
                    <xdr:col>11</xdr:col>
                    <xdr:colOff>0</xdr:colOff>
                    <xdr:row>99</xdr:row>
                    <xdr:rowOff>428625</xdr:rowOff>
                  </to>
                </anchor>
              </controlPr>
            </control>
          </mc:Choice>
        </mc:AlternateContent>
        <mc:AlternateContent xmlns:mc="http://schemas.openxmlformats.org/markup-compatibility/2006">
          <mc:Choice Requires="x14">
            <control shapeId="12299" r:id="rId14" name="Button 11">
              <controlPr defaultSize="0" print="0" autoFill="0" autoPict="0" macro="[0]!AddLineUoR">
                <anchor moveWithCells="1" sizeWithCells="1">
                  <from>
                    <xdr:col>10</xdr:col>
                    <xdr:colOff>0</xdr:colOff>
                    <xdr:row>7</xdr:row>
                    <xdr:rowOff>0</xdr:rowOff>
                  </from>
                  <to>
                    <xdr:col>11</xdr:col>
                    <xdr:colOff>0</xdr:colOff>
                    <xdr:row>7</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Title="Invalid data!" error="Country must be selected from the list." xr:uid="{00000000-0002-0000-0700-000004000000}">
          <x14:formula1>
            <xm:f>'Countries&amp;Coefficients'!$A$2:$A$29</xm:f>
          </x14:formula1>
          <xm:sqref>E34</xm:sqref>
        </x14:dataValidation>
        <x14:dataValidation type="list" allowBlank="1" showInputMessage="1" showErrorMessage="1" errorTitle="Invalid WP" error="You need to select the WP from the drop-down list." xr:uid="{00000000-0002-0000-0700-000005000000}">
          <x14:formula1>
            <xm:f>ListActivitiesReported!#REF!</xm:f>
          </x14:formula1>
          <xm:sqref>G9:G10 D90 D79 E71 E63 D55 E44 D34 G24 G14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theme="7" tint="0.79998168889431442"/>
    <pageSetUpPr fitToPage="1"/>
  </sheetPr>
  <dimension ref="A1:K107"/>
  <sheetViews>
    <sheetView showGridLines="0" showRowColHeaders="0" zoomScaleNormal="100" zoomScaleSheetLayoutView="85" workbookViewId="0">
      <pane ySplit="1" topLeftCell="A2" activePane="bottomLeft" state="frozen"/>
      <selection pane="bottomLeft" activeCell="C2" sqref="C2:I2"/>
    </sheetView>
  </sheetViews>
  <sheetFormatPr defaultRowHeight="15" x14ac:dyDescent="0.25"/>
  <cols>
    <col min="1" max="2" width="2.7109375" style="11" customWidth="1"/>
    <col min="3" max="9" width="24.140625" style="11" customWidth="1"/>
    <col min="10" max="10" width="3.140625" style="11" customWidth="1"/>
    <col min="11" max="11" width="11.140625" style="11" customWidth="1"/>
  </cols>
  <sheetData>
    <row r="1" spans="1:11" ht="21" customHeight="1" x14ac:dyDescent="0.25">
      <c r="A1" s="3"/>
      <c r="B1" s="4"/>
      <c r="C1" s="6"/>
      <c r="D1" s="117" t="str">
        <f ca="1">HYPERLINK("#"&amp;CELL("address",C4), C4)</f>
        <v>A. Personnel costs</v>
      </c>
      <c r="E1" s="117" t="str">
        <f ca="1">HYPERLINK("#"&amp;CELL("address",C40), C40)</f>
        <v>B. Subcontracting</v>
      </c>
      <c r="F1" s="117" t="str">
        <f ca="1">HYPERLINK("#"&amp;CELL("address",C50), C50)</f>
        <v>C. Purchases</v>
      </c>
      <c r="G1" s="117" t="str">
        <f ca="1">HYPERLINK("#"&amp;CELL("address",C85), C85)</f>
        <v>D. Other cost categories</v>
      </c>
      <c r="H1" s="117"/>
      <c r="I1" s="4"/>
      <c r="J1" s="111"/>
      <c r="K1" s="111"/>
    </row>
    <row r="2" spans="1:11" ht="27" customHeight="1" x14ac:dyDescent="0.25">
      <c r="A2" s="5"/>
      <c r="B2" s="6"/>
      <c r="C2" s="343" t="s">
        <v>199</v>
      </c>
      <c r="D2" s="344"/>
      <c r="E2" s="344"/>
      <c r="F2" s="344"/>
      <c r="G2" s="344"/>
      <c r="H2" s="344"/>
      <c r="I2" s="345"/>
      <c r="J2" s="111"/>
      <c r="K2" s="111"/>
    </row>
    <row r="3" spans="1:11" ht="12.95" customHeight="1" x14ac:dyDescent="0.25">
      <c r="A3" s="5"/>
      <c r="B3" s="6"/>
      <c r="C3" s="6"/>
      <c r="D3" s="6"/>
      <c r="E3" s="6"/>
      <c r="F3" s="6"/>
      <c r="G3" s="6"/>
      <c r="H3" s="6"/>
      <c r="I3" s="6"/>
      <c r="J3" s="111"/>
      <c r="K3" s="111"/>
    </row>
    <row r="4" spans="1:11" ht="39.950000000000003" customHeight="1" x14ac:dyDescent="0.25">
      <c r="A4" s="5"/>
      <c r="B4" s="6"/>
      <c r="C4" s="183" t="s">
        <v>32</v>
      </c>
      <c r="D4" s="183"/>
      <c r="E4" s="6"/>
      <c r="F4" s="6"/>
      <c r="G4" s="6"/>
      <c r="H4" s="8"/>
      <c r="I4" s="6"/>
      <c r="J4" s="111"/>
      <c r="K4" s="111"/>
    </row>
    <row r="5" spans="1:11" ht="39.950000000000003" customHeight="1" x14ac:dyDescent="0.25">
      <c r="A5" s="5"/>
      <c r="B5" s="6"/>
      <c r="C5" s="330" t="s">
        <v>150</v>
      </c>
      <c r="D5" s="330"/>
      <c r="E5" s="330"/>
      <c r="F5" s="330"/>
      <c r="G5" s="330"/>
      <c r="H5" s="330"/>
      <c r="I5" s="330"/>
      <c r="J5" s="111"/>
      <c r="K5" s="111"/>
    </row>
    <row r="6" spans="1:11" ht="15" customHeight="1" x14ac:dyDescent="0.25">
      <c r="A6" s="5"/>
      <c r="B6" s="6"/>
      <c r="C6" s="6"/>
      <c r="D6" s="6"/>
      <c r="E6" s="6"/>
      <c r="F6" s="6"/>
      <c r="G6" s="6"/>
      <c r="H6" s="8"/>
      <c r="I6" s="6"/>
      <c r="J6" s="111"/>
      <c r="K6" s="111"/>
    </row>
    <row r="7" spans="1:11" ht="14.45" customHeight="1" x14ac:dyDescent="0.25">
      <c r="A7" s="5"/>
      <c r="B7" s="6"/>
      <c r="C7" s="315" t="s">
        <v>21</v>
      </c>
      <c r="D7" s="315"/>
      <c r="E7" s="315"/>
      <c r="F7" s="315"/>
      <c r="G7" s="315"/>
      <c r="H7" s="315"/>
      <c r="I7" s="315"/>
      <c r="J7" s="111"/>
      <c r="K7" s="111"/>
    </row>
    <row r="8" spans="1:11" s="20" customFormat="1" ht="36" x14ac:dyDescent="0.25">
      <c r="A8" s="19"/>
      <c r="B8" s="19"/>
      <c r="C8" s="185" t="s">
        <v>20</v>
      </c>
      <c r="D8" s="185" t="s">
        <v>15</v>
      </c>
      <c r="E8" s="185" t="s">
        <v>16</v>
      </c>
      <c r="F8" s="185" t="s">
        <v>17</v>
      </c>
      <c r="G8" s="185" t="s">
        <v>19</v>
      </c>
      <c r="H8" s="185" t="s">
        <v>107</v>
      </c>
      <c r="I8" s="185" t="s">
        <v>18</v>
      </c>
      <c r="J8" s="111"/>
      <c r="K8" s="19"/>
    </row>
    <row r="9" spans="1:11" ht="14.45" customHeight="1" x14ac:dyDescent="0.25">
      <c r="A9" s="5"/>
      <c r="B9" s="6"/>
      <c r="C9" s="164"/>
      <c r="D9" s="165"/>
      <c r="E9" s="164"/>
      <c r="F9" s="166">
        <f>IFERROR(D9/E9,0)</f>
        <v>0</v>
      </c>
      <c r="G9" s="187"/>
      <c r="H9" s="164"/>
      <c r="I9" s="166">
        <f>IFERROR(F9*H9,0)</f>
        <v>0</v>
      </c>
      <c r="J9" s="111"/>
      <c r="K9" s="111"/>
    </row>
    <row r="10" spans="1:11" ht="14.45" hidden="1" customHeight="1" x14ac:dyDescent="0.25">
      <c r="A10" s="5"/>
      <c r="B10" s="6"/>
      <c r="C10" s="178"/>
      <c r="D10" s="179"/>
      <c r="E10" s="178"/>
      <c r="F10" s="180"/>
      <c r="G10" s="181"/>
      <c r="H10" s="178"/>
      <c r="I10" s="180"/>
      <c r="J10" s="111"/>
      <c r="K10" s="111"/>
    </row>
    <row r="11" spans="1:11" ht="14.45" customHeight="1" x14ac:dyDescent="0.25">
      <c r="A11" s="5"/>
      <c r="B11" s="6"/>
      <c r="C11" s="309" t="s">
        <v>2</v>
      </c>
      <c r="D11" s="309"/>
      <c r="E11" s="309"/>
      <c r="F11" s="309"/>
      <c r="G11" s="309"/>
      <c r="H11" s="309"/>
      <c r="I11" s="118">
        <f>SUM(I9:I10)</f>
        <v>0</v>
      </c>
      <c r="J11" s="111"/>
      <c r="K11" s="111"/>
    </row>
    <row r="12" spans="1:11" ht="14.45" customHeight="1" x14ac:dyDescent="0.25">
      <c r="A12" s="5"/>
      <c r="B12" s="6"/>
      <c r="C12" s="315" t="s">
        <v>168</v>
      </c>
      <c r="D12" s="315"/>
      <c r="E12" s="315"/>
      <c r="F12" s="315"/>
      <c r="G12" s="315"/>
      <c r="H12" s="315"/>
      <c r="I12" s="315"/>
      <c r="J12" s="111"/>
      <c r="K12" s="111"/>
    </row>
    <row r="13" spans="1:11" s="20" customFormat="1" ht="36" x14ac:dyDescent="0.25">
      <c r="A13" s="19"/>
      <c r="B13" s="19"/>
      <c r="C13" s="327" t="s">
        <v>20</v>
      </c>
      <c r="D13" s="327"/>
      <c r="E13" s="327"/>
      <c r="F13" s="185" t="s">
        <v>104</v>
      </c>
      <c r="G13" s="185" t="s">
        <v>19</v>
      </c>
      <c r="H13" s="185" t="s">
        <v>106</v>
      </c>
      <c r="I13" s="185" t="s">
        <v>26</v>
      </c>
      <c r="J13" s="111"/>
      <c r="K13" s="19"/>
    </row>
    <row r="14" spans="1:11" x14ac:dyDescent="0.25">
      <c r="A14" s="5"/>
      <c r="B14" s="6"/>
      <c r="C14" s="304"/>
      <c r="D14" s="304"/>
      <c r="E14" s="304"/>
      <c r="F14" s="162"/>
      <c r="G14" s="187"/>
      <c r="H14" s="164"/>
      <c r="I14" s="166">
        <f>IFERROR(F14*H14,0)</f>
        <v>0</v>
      </c>
      <c r="J14" s="111"/>
      <c r="K14" s="111"/>
    </row>
    <row r="15" spans="1:11" ht="15" hidden="1" customHeight="1" x14ac:dyDescent="0.25">
      <c r="A15" s="5"/>
      <c r="B15" s="6"/>
      <c r="C15" s="346"/>
      <c r="D15" s="347"/>
      <c r="E15" s="348"/>
      <c r="F15" s="122"/>
      <c r="G15" s="123"/>
      <c r="H15" s="123"/>
      <c r="I15" s="120"/>
      <c r="J15" s="111"/>
      <c r="K15" s="111"/>
    </row>
    <row r="16" spans="1:11" x14ac:dyDescent="0.25">
      <c r="A16" s="5"/>
      <c r="B16" s="6"/>
      <c r="C16" s="309" t="s">
        <v>2</v>
      </c>
      <c r="D16" s="309"/>
      <c r="E16" s="309"/>
      <c r="F16" s="309"/>
      <c r="G16" s="309"/>
      <c r="H16" s="309"/>
      <c r="I16" s="118">
        <f>SUM(I14:I15)</f>
        <v>0</v>
      </c>
      <c r="J16" s="111"/>
      <c r="K16" s="111"/>
    </row>
    <row r="17" spans="1:11" ht="15" hidden="1" customHeight="1" x14ac:dyDescent="0.25">
      <c r="A17" s="5"/>
      <c r="B17" s="6"/>
      <c r="C17" s="310" t="s">
        <v>193</v>
      </c>
      <c r="D17" s="310"/>
      <c r="E17" s="310"/>
      <c r="F17" s="310"/>
      <c r="G17" s="310"/>
      <c r="H17" s="310"/>
      <c r="I17" s="310"/>
      <c r="J17" s="111"/>
      <c r="K17" s="111"/>
    </row>
    <row r="18" spans="1:11" ht="50.1" hidden="1" customHeight="1" x14ac:dyDescent="0.25">
      <c r="A18" s="5"/>
      <c r="B18" s="6"/>
      <c r="C18" s="311"/>
      <c r="D18" s="311"/>
      <c r="E18" s="311"/>
      <c r="F18" s="311"/>
      <c r="G18" s="311"/>
      <c r="H18" s="311"/>
      <c r="I18" s="311"/>
      <c r="J18" s="111"/>
      <c r="K18" s="111"/>
    </row>
    <row r="19" spans="1:11" ht="15" customHeight="1" x14ac:dyDescent="0.25">
      <c r="A19" s="5"/>
      <c r="B19" s="6"/>
      <c r="C19" s="6"/>
      <c r="D19" s="6"/>
      <c r="E19" s="6"/>
      <c r="F19" s="6"/>
      <c r="G19" s="6"/>
      <c r="H19" s="8"/>
      <c r="I19" s="6"/>
      <c r="J19" s="111"/>
      <c r="K19" s="111"/>
    </row>
    <row r="20" spans="1:11" ht="39.950000000000003" customHeight="1" x14ac:dyDescent="0.25">
      <c r="A20" s="5"/>
      <c r="B20" s="6"/>
      <c r="C20" s="330" t="s">
        <v>100</v>
      </c>
      <c r="D20" s="330"/>
      <c r="E20" s="330"/>
      <c r="F20" s="330"/>
      <c r="G20" s="330"/>
      <c r="H20" s="330"/>
      <c r="I20" s="330"/>
      <c r="J20" s="111"/>
      <c r="K20" s="111"/>
    </row>
    <row r="21" spans="1:11" ht="15" customHeight="1" x14ac:dyDescent="0.25">
      <c r="A21" s="5"/>
      <c r="B21" s="6"/>
      <c r="C21" s="6"/>
      <c r="D21" s="6"/>
      <c r="E21" s="6"/>
      <c r="F21" s="6"/>
      <c r="G21" s="6"/>
      <c r="H21" s="8"/>
      <c r="I21" s="6"/>
      <c r="J21" s="111"/>
      <c r="K21" s="111"/>
    </row>
    <row r="22" spans="1:11" ht="15" customHeight="1" x14ac:dyDescent="0.25">
      <c r="A22" s="5"/>
      <c r="B22" s="6"/>
      <c r="C22" s="339" t="s">
        <v>149</v>
      </c>
      <c r="D22" s="339"/>
      <c r="E22" s="339"/>
      <c r="F22" s="339"/>
      <c r="G22" s="339"/>
      <c r="H22" s="339"/>
      <c r="I22" s="339"/>
      <c r="J22" s="111"/>
      <c r="K22" s="111"/>
    </row>
    <row r="23" spans="1:11" s="20" customFormat="1" ht="36" x14ac:dyDescent="0.25">
      <c r="A23" s="19"/>
      <c r="B23" s="19"/>
      <c r="C23" s="327" t="s">
        <v>20</v>
      </c>
      <c r="D23" s="327"/>
      <c r="E23" s="327"/>
      <c r="F23" s="185" t="s">
        <v>105</v>
      </c>
      <c r="G23" s="185" t="s">
        <v>19</v>
      </c>
      <c r="H23" s="185" t="s">
        <v>106</v>
      </c>
      <c r="I23" s="185" t="s">
        <v>26</v>
      </c>
      <c r="J23" s="111"/>
      <c r="K23" s="19"/>
    </row>
    <row r="24" spans="1:11" x14ac:dyDescent="0.25">
      <c r="A24" s="5"/>
      <c r="B24" s="6"/>
      <c r="C24" s="304"/>
      <c r="D24" s="304"/>
      <c r="E24" s="304"/>
      <c r="F24" s="162"/>
      <c r="G24" s="187"/>
      <c r="H24" s="164"/>
      <c r="I24" s="166">
        <f>IFERROR(F24*H24,0)</f>
        <v>0</v>
      </c>
      <c r="J24" s="111"/>
      <c r="K24" s="111"/>
    </row>
    <row r="25" spans="1:11" ht="15" hidden="1" customHeight="1" x14ac:dyDescent="0.25">
      <c r="A25" s="5"/>
      <c r="B25" s="6"/>
      <c r="C25" s="346"/>
      <c r="D25" s="347"/>
      <c r="E25" s="348"/>
      <c r="F25" s="124"/>
      <c r="G25" s="123"/>
      <c r="H25" s="123"/>
      <c r="I25" s="120"/>
      <c r="J25" s="111"/>
      <c r="K25" s="111"/>
    </row>
    <row r="26" spans="1:11" x14ac:dyDescent="0.25">
      <c r="A26" s="5"/>
      <c r="B26" s="6"/>
      <c r="C26" s="309" t="s">
        <v>2</v>
      </c>
      <c r="D26" s="309"/>
      <c r="E26" s="309"/>
      <c r="F26" s="309"/>
      <c r="G26" s="309"/>
      <c r="H26" s="309"/>
      <c r="I26" s="118">
        <f>SUM(I24:I25)</f>
        <v>0</v>
      </c>
      <c r="J26" s="111"/>
      <c r="K26" s="111"/>
    </row>
    <row r="27" spans="1:11" ht="15" hidden="1" customHeight="1" x14ac:dyDescent="0.25">
      <c r="A27" s="5"/>
      <c r="B27" s="6"/>
      <c r="C27" s="310" t="s">
        <v>193</v>
      </c>
      <c r="D27" s="310"/>
      <c r="E27" s="310"/>
      <c r="F27" s="310"/>
      <c r="G27" s="310"/>
      <c r="H27" s="310"/>
      <c r="I27" s="310"/>
      <c r="J27" s="111"/>
      <c r="K27" s="111"/>
    </row>
    <row r="28" spans="1:11" ht="50.1" hidden="1" customHeight="1" x14ac:dyDescent="0.25">
      <c r="A28" s="5"/>
      <c r="B28" s="6"/>
      <c r="C28" s="311"/>
      <c r="D28" s="311"/>
      <c r="E28" s="311"/>
      <c r="F28" s="311"/>
      <c r="G28" s="311"/>
      <c r="H28" s="311"/>
      <c r="I28" s="311"/>
      <c r="J28" s="111"/>
      <c r="K28" s="111"/>
    </row>
    <row r="29" spans="1:11" ht="15" customHeight="1" x14ac:dyDescent="0.25">
      <c r="A29" s="5"/>
      <c r="B29" s="6"/>
      <c r="C29" s="6"/>
      <c r="D29" s="6"/>
      <c r="E29" s="6"/>
      <c r="F29" s="6"/>
      <c r="G29" s="6"/>
      <c r="H29" s="8"/>
      <c r="I29" s="6"/>
      <c r="J29" s="111"/>
      <c r="K29" s="111"/>
    </row>
    <row r="30" spans="1:11" ht="39.950000000000003" customHeight="1" x14ac:dyDescent="0.25">
      <c r="A30" s="5"/>
      <c r="B30" s="6"/>
      <c r="C30" s="330" t="s">
        <v>24</v>
      </c>
      <c r="D30" s="330"/>
      <c r="E30" s="330"/>
      <c r="F30" s="330"/>
      <c r="G30" s="330"/>
      <c r="H30" s="330"/>
      <c r="I30" s="330"/>
      <c r="J30" s="111"/>
      <c r="K30" s="111"/>
    </row>
    <row r="31" spans="1:11" ht="15" customHeight="1" x14ac:dyDescent="0.25">
      <c r="A31" s="5"/>
      <c r="B31" s="6"/>
      <c r="C31" s="6"/>
      <c r="D31" s="6"/>
      <c r="E31" s="6"/>
      <c r="F31" s="6"/>
      <c r="G31" s="6"/>
      <c r="H31" s="8"/>
      <c r="I31" s="6"/>
      <c r="J31" s="111"/>
      <c r="K31" s="111"/>
    </row>
    <row r="32" spans="1:11" ht="14.45" customHeight="1" x14ac:dyDescent="0.25">
      <c r="A32" s="5"/>
      <c r="B32" s="6"/>
      <c r="C32" s="315" t="s">
        <v>169</v>
      </c>
      <c r="D32" s="315"/>
      <c r="E32" s="315"/>
      <c r="F32" s="315"/>
      <c r="G32" s="315"/>
      <c r="H32" s="315"/>
      <c r="I32" s="315"/>
      <c r="J32" s="111"/>
      <c r="K32" s="111"/>
    </row>
    <row r="33" spans="1:11" s="20" customFormat="1" ht="48" x14ac:dyDescent="0.25">
      <c r="A33" s="19"/>
      <c r="B33" s="19"/>
      <c r="C33" s="185" t="s">
        <v>22</v>
      </c>
      <c r="D33" s="185" t="s">
        <v>19</v>
      </c>
      <c r="E33" s="185" t="s">
        <v>23</v>
      </c>
      <c r="F33" s="207" t="s">
        <v>226</v>
      </c>
      <c r="G33" s="208" t="s">
        <v>229</v>
      </c>
      <c r="H33" s="208" t="s">
        <v>228</v>
      </c>
      <c r="I33" s="207" t="s">
        <v>227</v>
      </c>
      <c r="J33" s="116"/>
      <c r="K33" s="19"/>
    </row>
    <row r="34" spans="1:11" x14ac:dyDescent="0.25">
      <c r="A34" s="5"/>
      <c r="B34" s="6"/>
      <c r="C34" s="164"/>
      <c r="D34" s="187"/>
      <c r="E34" s="187"/>
      <c r="F34" s="167">
        <f>IF(E34="",0,VLOOKUP(E34,'Countries&amp;Coefficients'!$A$2:$B$29,2,0))</f>
        <v>0</v>
      </c>
      <c r="G34" s="168">
        <f>5080/18</f>
        <v>282.22222222222223</v>
      </c>
      <c r="H34" s="164"/>
      <c r="I34" s="166">
        <f>IFERROR(F34*G34*H34,0)</f>
        <v>0</v>
      </c>
      <c r="J34" s="111"/>
      <c r="K34" s="111"/>
    </row>
    <row r="35" spans="1:11" ht="15" hidden="1" customHeight="1" x14ac:dyDescent="0.25">
      <c r="A35" s="5"/>
      <c r="B35" s="6"/>
      <c r="C35" s="346"/>
      <c r="D35" s="348"/>
      <c r="E35" s="123"/>
      <c r="F35" s="123"/>
      <c r="G35" s="122"/>
      <c r="H35" s="123"/>
      <c r="I35" s="120"/>
      <c r="J35" s="111"/>
      <c r="K35" s="111"/>
    </row>
    <row r="36" spans="1:11" x14ac:dyDescent="0.25">
      <c r="A36" s="5"/>
      <c r="B36" s="6"/>
      <c r="C36" s="309" t="s">
        <v>2</v>
      </c>
      <c r="D36" s="309"/>
      <c r="E36" s="309"/>
      <c r="F36" s="309"/>
      <c r="G36" s="309"/>
      <c r="H36" s="309"/>
      <c r="I36" s="118">
        <f>SUM(I33:I35)</f>
        <v>0</v>
      </c>
      <c r="J36" s="111"/>
      <c r="K36" s="111"/>
    </row>
    <row r="37" spans="1:11" ht="15" hidden="1" customHeight="1" x14ac:dyDescent="0.25">
      <c r="A37" s="5"/>
      <c r="B37" s="6"/>
      <c r="C37" s="310" t="s">
        <v>193</v>
      </c>
      <c r="D37" s="310"/>
      <c r="E37" s="310"/>
      <c r="F37" s="310"/>
      <c r="G37" s="310"/>
      <c r="H37" s="310"/>
      <c r="I37" s="310"/>
      <c r="J37" s="111"/>
      <c r="K37" s="111"/>
    </row>
    <row r="38" spans="1:11" ht="50.1" hidden="1" customHeight="1" x14ac:dyDescent="0.25">
      <c r="A38" s="5"/>
      <c r="B38" s="6"/>
      <c r="C38" s="311"/>
      <c r="D38" s="311"/>
      <c r="E38" s="311"/>
      <c r="F38" s="311"/>
      <c r="G38" s="311"/>
      <c r="H38" s="311"/>
      <c r="I38" s="311"/>
      <c r="J38" s="111"/>
      <c r="K38" s="111"/>
    </row>
    <row r="39" spans="1:11" x14ac:dyDescent="0.25">
      <c r="A39" s="5"/>
      <c r="B39" s="6"/>
      <c r="C39" s="6"/>
      <c r="D39" s="6"/>
      <c r="E39" s="6"/>
      <c r="F39" s="6"/>
      <c r="G39" s="6"/>
      <c r="H39" s="6"/>
      <c r="I39" s="6"/>
      <c r="J39" s="111"/>
      <c r="K39" s="111"/>
    </row>
    <row r="40" spans="1:11" ht="38.450000000000003" customHeight="1" x14ac:dyDescent="0.25">
      <c r="A40" s="5"/>
      <c r="B40" s="6"/>
      <c r="C40" s="9" t="s">
        <v>42</v>
      </c>
      <c r="D40" s="6"/>
      <c r="E40" s="6"/>
      <c r="F40" s="6"/>
      <c r="G40" s="6"/>
      <c r="H40" s="6"/>
      <c r="I40" s="6"/>
      <c r="J40" s="111"/>
      <c r="K40" s="111"/>
    </row>
    <row r="41" spans="1:11" ht="51" customHeight="1" x14ac:dyDescent="0.25">
      <c r="A41" s="5"/>
      <c r="B41" s="6"/>
      <c r="C41" s="330" t="s">
        <v>10</v>
      </c>
      <c r="D41" s="330"/>
      <c r="E41" s="330"/>
      <c r="F41" s="330"/>
      <c r="G41" s="330"/>
      <c r="H41" s="330"/>
      <c r="I41" s="330"/>
      <c r="J41" s="111"/>
      <c r="K41" s="111"/>
    </row>
    <row r="42" spans="1:11" ht="15" customHeight="1" x14ac:dyDescent="0.25">
      <c r="A42" s="5"/>
      <c r="B42" s="6"/>
      <c r="C42" s="6"/>
      <c r="D42" s="6"/>
      <c r="E42" s="6"/>
      <c r="F42" s="6"/>
      <c r="G42" s="6"/>
      <c r="H42" s="6"/>
      <c r="I42" s="6"/>
      <c r="J42" s="111"/>
      <c r="K42" s="111"/>
    </row>
    <row r="43" spans="1:11" ht="23.25" x14ac:dyDescent="0.25">
      <c r="A43" s="5"/>
      <c r="B43" s="6"/>
      <c r="C43" s="189" t="s">
        <v>5</v>
      </c>
      <c r="D43" s="189" t="s">
        <v>1</v>
      </c>
      <c r="E43" s="189" t="s">
        <v>0</v>
      </c>
      <c r="F43" s="189" t="s">
        <v>9</v>
      </c>
      <c r="G43" s="331" t="s">
        <v>8</v>
      </c>
      <c r="H43" s="331"/>
      <c r="I43" s="189" t="s">
        <v>4</v>
      </c>
      <c r="J43" s="111"/>
      <c r="K43" s="111"/>
    </row>
    <row r="44" spans="1:11" x14ac:dyDescent="0.25">
      <c r="A44" s="5"/>
      <c r="B44" s="6"/>
      <c r="C44" s="188"/>
      <c r="D44" s="169"/>
      <c r="E44" s="161"/>
      <c r="F44" s="161"/>
      <c r="G44" s="332"/>
      <c r="H44" s="332"/>
      <c r="I44" s="163"/>
      <c r="J44" s="111"/>
      <c r="K44" s="111"/>
    </row>
    <row r="45" spans="1:11" ht="15" hidden="1" customHeight="1" x14ac:dyDescent="0.25">
      <c r="A45" s="5"/>
      <c r="B45" s="6"/>
      <c r="C45" s="125"/>
      <c r="D45" s="126"/>
      <c r="E45" s="126"/>
      <c r="F45" s="127"/>
      <c r="G45" s="349"/>
      <c r="H45" s="350"/>
      <c r="I45" s="128"/>
      <c r="J45" s="111"/>
      <c r="K45" s="111"/>
    </row>
    <row r="46" spans="1:11" x14ac:dyDescent="0.25">
      <c r="A46" s="5"/>
      <c r="B46" s="6"/>
      <c r="C46" s="335" t="s">
        <v>2</v>
      </c>
      <c r="D46" s="335"/>
      <c r="E46" s="335"/>
      <c r="F46" s="335"/>
      <c r="G46" s="335"/>
      <c r="H46" s="335"/>
      <c r="I46" s="119">
        <f>SUM(I44:I45)</f>
        <v>0</v>
      </c>
      <c r="J46" s="111"/>
      <c r="K46" s="111"/>
    </row>
    <row r="47" spans="1:11" ht="15" hidden="1" customHeight="1" x14ac:dyDescent="0.25">
      <c r="A47" s="5"/>
      <c r="B47" s="6"/>
      <c r="C47" s="336" t="s">
        <v>193</v>
      </c>
      <c r="D47" s="336"/>
      <c r="E47" s="336"/>
      <c r="F47" s="336"/>
      <c r="G47" s="336"/>
      <c r="H47" s="336"/>
      <c r="I47" s="336"/>
      <c r="J47" s="111"/>
      <c r="K47" s="111"/>
    </row>
    <row r="48" spans="1:11" ht="50.1" hidden="1" customHeight="1" x14ac:dyDescent="0.25">
      <c r="A48" s="5"/>
      <c r="B48" s="6"/>
      <c r="C48" s="311"/>
      <c r="D48" s="311"/>
      <c r="E48" s="311"/>
      <c r="F48" s="311"/>
      <c r="G48" s="311"/>
      <c r="H48" s="311"/>
      <c r="I48" s="311"/>
      <c r="J48" s="111"/>
      <c r="K48" s="111"/>
    </row>
    <row r="49" spans="1:11" x14ac:dyDescent="0.25">
      <c r="A49" s="5"/>
      <c r="B49" s="6"/>
      <c r="C49" s="6"/>
      <c r="D49" s="6"/>
      <c r="E49" s="6"/>
      <c r="F49" s="6"/>
      <c r="G49" s="6"/>
      <c r="H49" s="6"/>
      <c r="I49" s="6"/>
      <c r="J49" s="111"/>
      <c r="K49" s="111"/>
    </row>
    <row r="50" spans="1:11" ht="27.95" customHeight="1" x14ac:dyDescent="0.25">
      <c r="A50" s="5"/>
      <c r="B50" s="6"/>
      <c r="C50" s="9" t="s">
        <v>162</v>
      </c>
      <c r="D50" s="6"/>
      <c r="E50" s="6"/>
      <c r="F50" s="6"/>
      <c r="G50" s="6"/>
      <c r="H50" s="6"/>
      <c r="I50" s="6"/>
      <c r="J50" s="111"/>
      <c r="K50" s="111"/>
    </row>
    <row r="51" spans="1:11" ht="39" customHeight="1" x14ac:dyDescent="0.25">
      <c r="A51" s="5"/>
      <c r="B51" s="6"/>
      <c r="C51" s="337" t="s">
        <v>13</v>
      </c>
      <c r="D51" s="337"/>
      <c r="E51" s="337"/>
      <c r="F51" s="337"/>
      <c r="G51" s="337"/>
      <c r="H51" s="351"/>
      <c r="I51" s="351"/>
      <c r="J51" s="111"/>
      <c r="K51" s="111"/>
    </row>
    <row r="52" spans="1:11" x14ac:dyDescent="0.25">
      <c r="A52" s="5"/>
      <c r="B52" s="6"/>
      <c r="C52" s="6"/>
      <c r="D52" s="6"/>
      <c r="E52" s="6"/>
      <c r="F52" s="6"/>
      <c r="G52" s="6"/>
      <c r="H52" s="6"/>
      <c r="I52" s="6"/>
      <c r="J52" s="111"/>
      <c r="K52" s="111"/>
    </row>
    <row r="53" spans="1:11" x14ac:dyDescent="0.25">
      <c r="A53" s="5"/>
      <c r="B53" s="6"/>
      <c r="C53" s="315" t="s">
        <v>43</v>
      </c>
      <c r="D53" s="315"/>
      <c r="E53" s="315"/>
      <c r="F53" s="315"/>
      <c r="G53" s="315"/>
      <c r="H53" s="315"/>
      <c r="I53" s="315"/>
      <c r="J53" s="111"/>
      <c r="K53" s="111"/>
    </row>
    <row r="54" spans="1:11" ht="24" x14ac:dyDescent="0.25">
      <c r="A54" s="5"/>
      <c r="B54" s="6"/>
      <c r="C54" s="185" t="s">
        <v>3</v>
      </c>
      <c r="D54" s="185" t="s">
        <v>0</v>
      </c>
      <c r="E54" s="185" t="s">
        <v>9</v>
      </c>
      <c r="F54" s="327" t="s">
        <v>7</v>
      </c>
      <c r="G54" s="327"/>
      <c r="H54" s="327"/>
      <c r="I54" s="185" t="s">
        <v>12</v>
      </c>
      <c r="J54" s="111"/>
      <c r="K54" s="111"/>
    </row>
    <row r="55" spans="1:11" x14ac:dyDescent="0.25">
      <c r="A55" s="5"/>
      <c r="B55" s="6"/>
      <c r="C55" s="186"/>
      <c r="D55" s="170"/>
      <c r="E55" s="161"/>
      <c r="F55" s="328"/>
      <c r="G55" s="328"/>
      <c r="H55" s="328"/>
      <c r="I55" s="163"/>
      <c r="J55" s="111"/>
      <c r="K55" s="111"/>
    </row>
    <row r="56" spans="1:11" ht="15" hidden="1" customHeight="1" x14ac:dyDescent="0.25">
      <c r="A56" s="5"/>
      <c r="B56" s="6"/>
      <c r="C56" s="129"/>
      <c r="D56" s="130"/>
      <c r="E56" s="131"/>
      <c r="F56" s="352"/>
      <c r="G56" s="353"/>
      <c r="H56" s="354"/>
      <c r="I56" s="132"/>
      <c r="J56" s="111"/>
      <c r="K56" s="111"/>
    </row>
    <row r="57" spans="1:11" x14ac:dyDescent="0.25">
      <c r="A57" s="5"/>
      <c r="B57" s="6"/>
      <c r="C57" s="309" t="s">
        <v>2</v>
      </c>
      <c r="D57" s="309"/>
      <c r="E57" s="309"/>
      <c r="F57" s="309"/>
      <c r="G57" s="309"/>
      <c r="H57" s="309"/>
      <c r="I57" s="118">
        <f>SUM(I55:I56)</f>
        <v>0</v>
      </c>
      <c r="J57" s="111"/>
      <c r="K57" s="111"/>
    </row>
    <row r="58" spans="1:11" ht="15" hidden="1" customHeight="1" x14ac:dyDescent="0.25">
      <c r="A58" s="5"/>
      <c r="B58" s="6"/>
      <c r="C58" s="310" t="s">
        <v>193</v>
      </c>
      <c r="D58" s="310"/>
      <c r="E58" s="310"/>
      <c r="F58" s="310"/>
      <c r="G58" s="310"/>
      <c r="H58" s="310"/>
      <c r="I58" s="310"/>
      <c r="J58" s="111"/>
      <c r="K58" s="111"/>
    </row>
    <row r="59" spans="1:11" ht="50.1" hidden="1" customHeight="1" x14ac:dyDescent="0.25">
      <c r="A59" s="5"/>
      <c r="B59" s="6"/>
      <c r="C59" s="311"/>
      <c r="D59" s="311"/>
      <c r="E59" s="311"/>
      <c r="F59" s="311"/>
      <c r="G59" s="311"/>
      <c r="H59" s="311"/>
      <c r="I59" s="311"/>
      <c r="J59" s="111"/>
      <c r="K59" s="111"/>
    </row>
    <row r="60" spans="1:11" x14ac:dyDescent="0.25">
      <c r="A60" s="5"/>
      <c r="B60" s="6"/>
      <c r="C60" s="1"/>
      <c r="D60" s="1"/>
      <c r="E60" s="1"/>
      <c r="F60" s="2"/>
      <c r="G60" s="2"/>
      <c r="H60" s="10"/>
      <c r="I60" s="10"/>
      <c r="J60" s="111"/>
      <c r="K60" s="111"/>
    </row>
    <row r="61" spans="1:11" x14ac:dyDescent="0.25">
      <c r="A61" s="5"/>
      <c r="B61" s="6"/>
      <c r="C61" s="315" t="s">
        <v>164</v>
      </c>
      <c r="D61" s="315"/>
      <c r="E61" s="315"/>
      <c r="F61" s="315"/>
      <c r="G61" s="315"/>
      <c r="H61" s="315"/>
      <c r="I61" s="315"/>
      <c r="J61" s="111"/>
      <c r="K61" s="111"/>
    </row>
    <row r="62" spans="1:11" ht="24" x14ac:dyDescent="0.25">
      <c r="A62" s="5"/>
      <c r="B62" s="6"/>
      <c r="C62" s="185" t="s">
        <v>3</v>
      </c>
      <c r="D62" s="185" t="s">
        <v>25</v>
      </c>
      <c r="E62" s="185" t="s">
        <v>0</v>
      </c>
      <c r="F62" s="185" t="s">
        <v>9</v>
      </c>
      <c r="G62" s="327" t="s">
        <v>7</v>
      </c>
      <c r="H62" s="327"/>
      <c r="I62" s="185" t="s">
        <v>12</v>
      </c>
      <c r="J62" s="111"/>
      <c r="K62" s="111"/>
    </row>
    <row r="63" spans="1:11" x14ac:dyDescent="0.25">
      <c r="A63" s="5"/>
      <c r="B63" s="6"/>
      <c r="C63" s="186"/>
      <c r="D63" s="163"/>
      <c r="E63" s="187"/>
      <c r="F63" s="161"/>
      <c r="G63" s="328"/>
      <c r="H63" s="328"/>
      <c r="I63" s="163"/>
      <c r="J63" s="111"/>
      <c r="K63" s="111"/>
    </row>
    <row r="64" spans="1:11" ht="15" hidden="1" customHeight="1" x14ac:dyDescent="0.25">
      <c r="A64" s="5"/>
      <c r="B64" s="6"/>
      <c r="C64" s="129"/>
      <c r="D64" s="130"/>
      <c r="E64" s="121"/>
      <c r="F64" s="131"/>
      <c r="G64" s="352"/>
      <c r="H64" s="354"/>
      <c r="I64" s="132"/>
      <c r="J64" s="111"/>
      <c r="K64" s="111"/>
    </row>
    <row r="65" spans="1:11" x14ac:dyDescent="0.25">
      <c r="A65" s="5"/>
      <c r="B65" s="6"/>
      <c r="C65" s="309" t="s">
        <v>2</v>
      </c>
      <c r="D65" s="309"/>
      <c r="E65" s="309"/>
      <c r="F65" s="309"/>
      <c r="G65" s="309"/>
      <c r="H65" s="309"/>
      <c r="I65" s="118">
        <f>SUM(I63:I64)</f>
        <v>0</v>
      </c>
      <c r="J65" s="111"/>
      <c r="K65" s="111"/>
    </row>
    <row r="66" spans="1:11" ht="15" hidden="1" customHeight="1" x14ac:dyDescent="0.25">
      <c r="A66" s="5"/>
      <c r="B66" s="6"/>
      <c r="C66" s="310" t="s">
        <v>193</v>
      </c>
      <c r="D66" s="310"/>
      <c r="E66" s="310"/>
      <c r="F66" s="310"/>
      <c r="G66" s="310"/>
      <c r="H66" s="310"/>
      <c r="I66" s="310"/>
      <c r="J66" s="111"/>
      <c r="K66" s="111"/>
    </row>
    <row r="67" spans="1:11" ht="50.1" hidden="1" customHeight="1" x14ac:dyDescent="0.25">
      <c r="A67" s="6"/>
      <c r="B67" s="6"/>
      <c r="C67" s="311"/>
      <c r="D67" s="311"/>
      <c r="E67" s="311"/>
      <c r="F67" s="311"/>
      <c r="G67" s="311"/>
      <c r="H67" s="311"/>
      <c r="I67" s="311"/>
      <c r="J67" s="111"/>
      <c r="K67" s="111"/>
    </row>
    <row r="68" spans="1:11" x14ac:dyDescent="0.25">
      <c r="A68" s="7"/>
      <c r="B68" s="6"/>
      <c r="C68" s="6"/>
      <c r="D68" s="6"/>
      <c r="E68" s="6"/>
      <c r="F68" s="6"/>
      <c r="G68" s="6"/>
      <c r="H68" s="6"/>
      <c r="I68" s="6"/>
      <c r="J68" s="111"/>
      <c r="K68" s="111"/>
    </row>
    <row r="69" spans="1:11" x14ac:dyDescent="0.25">
      <c r="A69" s="7"/>
      <c r="B69" s="6"/>
      <c r="C69" s="315" t="s">
        <v>165</v>
      </c>
      <c r="D69" s="315"/>
      <c r="E69" s="315"/>
      <c r="F69" s="315"/>
      <c r="G69" s="315"/>
      <c r="H69" s="315"/>
      <c r="I69" s="315"/>
      <c r="J69" s="111"/>
      <c r="K69" s="111"/>
    </row>
    <row r="70" spans="1:11" ht="24" x14ac:dyDescent="0.25">
      <c r="A70" s="7"/>
      <c r="B70" s="6"/>
      <c r="C70" s="327" t="s">
        <v>3</v>
      </c>
      <c r="D70" s="327"/>
      <c r="E70" s="185" t="s">
        <v>0</v>
      </c>
      <c r="F70" s="185" t="s">
        <v>9</v>
      </c>
      <c r="G70" s="327" t="s">
        <v>7</v>
      </c>
      <c r="H70" s="327"/>
      <c r="I70" s="185" t="s">
        <v>12</v>
      </c>
      <c r="J70" s="111"/>
      <c r="K70" s="111"/>
    </row>
    <row r="71" spans="1:11" x14ac:dyDescent="0.25">
      <c r="A71" s="7"/>
      <c r="B71" s="6"/>
      <c r="C71" s="329"/>
      <c r="D71" s="329"/>
      <c r="E71" s="187"/>
      <c r="F71" s="161"/>
      <c r="G71" s="328"/>
      <c r="H71" s="328"/>
      <c r="I71" s="162"/>
      <c r="J71" s="111"/>
      <c r="K71" s="111"/>
    </row>
    <row r="72" spans="1:11" ht="15" hidden="1" customHeight="1" x14ac:dyDescent="0.25">
      <c r="A72" s="7"/>
      <c r="B72" s="6"/>
      <c r="C72" s="355"/>
      <c r="D72" s="356"/>
      <c r="E72" s="121"/>
      <c r="F72" s="131"/>
      <c r="G72" s="352"/>
      <c r="H72" s="354"/>
      <c r="I72" s="132"/>
      <c r="J72" s="111"/>
      <c r="K72" s="111"/>
    </row>
    <row r="73" spans="1:11" x14ac:dyDescent="0.25">
      <c r="A73" s="7"/>
      <c r="B73" s="6"/>
      <c r="C73" s="309" t="s">
        <v>2</v>
      </c>
      <c r="D73" s="309"/>
      <c r="E73" s="309"/>
      <c r="F73" s="309"/>
      <c r="G73" s="309"/>
      <c r="H73" s="309"/>
      <c r="I73" s="118">
        <f>SUM(I71:I72)</f>
        <v>0</v>
      </c>
      <c r="J73" s="111"/>
      <c r="K73" s="111"/>
    </row>
    <row r="74" spans="1:11" ht="15" hidden="1" customHeight="1" x14ac:dyDescent="0.25">
      <c r="A74" s="7"/>
      <c r="B74" s="6"/>
      <c r="C74" s="310" t="s">
        <v>193</v>
      </c>
      <c r="D74" s="310"/>
      <c r="E74" s="310"/>
      <c r="F74" s="310"/>
      <c r="G74" s="310"/>
      <c r="H74" s="310"/>
      <c r="I74" s="310"/>
      <c r="J74" s="111"/>
      <c r="K74" s="111"/>
    </row>
    <row r="75" spans="1:11" ht="50.1" hidden="1" customHeight="1" x14ac:dyDescent="0.25">
      <c r="A75" s="7"/>
      <c r="B75" s="6"/>
      <c r="C75" s="311"/>
      <c r="D75" s="311"/>
      <c r="E75" s="311"/>
      <c r="F75" s="311"/>
      <c r="G75" s="311"/>
      <c r="H75" s="311"/>
      <c r="I75" s="311"/>
      <c r="J75" s="111"/>
      <c r="K75" s="111"/>
    </row>
    <row r="76" spans="1:11" x14ac:dyDescent="0.25">
      <c r="A76" s="5"/>
      <c r="B76" s="6"/>
      <c r="C76" s="6"/>
      <c r="D76" s="6"/>
      <c r="E76" s="6"/>
      <c r="F76" s="6"/>
      <c r="G76" s="6"/>
      <c r="H76" s="6"/>
      <c r="I76" s="6"/>
      <c r="J76" s="111"/>
      <c r="K76" s="111"/>
    </row>
    <row r="77" spans="1:11" x14ac:dyDescent="0.25">
      <c r="A77" s="5"/>
      <c r="B77" s="6"/>
      <c r="C77" s="315" t="s">
        <v>45</v>
      </c>
      <c r="D77" s="315"/>
      <c r="E77" s="315"/>
      <c r="F77" s="315"/>
      <c r="G77" s="315"/>
      <c r="H77" s="315"/>
      <c r="I77" s="315"/>
      <c r="J77" s="111"/>
      <c r="K77" s="111"/>
    </row>
    <row r="78" spans="1:11" ht="24" x14ac:dyDescent="0.25">
      <c r="A78" s="5"/>
      <c r="B78" s="6"/>
      <c r="C78" s="185" t="s">
        <v>3</v>
      </c>
      <c r="D78" s="185" t="s">
        <v>0</v>
      </c>
      <c r="E78" s="185" t="s">
        <v>9</v>
      </c>
      <c r="F78" s="327" t="s">
        <v>7</v>
      </c>
      <c r="G78" s="327"/>
      <c r="H78" s="327"/>
      <c r="I78" s="185" t="s">
        <v>12</v>
      </c>
      <c r="J78" s="111"/>
      <c r="K78" s="111"/>
    </row>
    <row r="79" spans="1:11" x14ac:dyDescent="0.25">
      <c r="A79" s="5"/>
      <c r="B79" s="6"/>
      <c r="C79" s="186"/>
      <c r="D79" s="170"/>
      <c r="E79" s="161"/>
      <c r="F79" s="328"/>
      <c r="G79" s="328"/>
      <c r="H79" s="328"/>
      <c r="I79" s="162"/>
      <c r="J79" s="111"/>
      <c r="K79" s="111"/>
    </row>
    <row r="80" spans="1:11" ht="15" hidden="1" customHeight="1" x14ac:dyDescent="0.25">
      <c r="A80" s="5"/>
      <c r="B80" s="6"/>
      <c r="C80" s="129"/>
      <c r="D80" s="130"/>
      <c r="E80" s="131"/>
      <c r="F80" s="352"/>
      <c r="G80" s="353"/>
      <c r="H80" s="354"/>
      <c r="I80" s="132"/>
      <c r="J80" s="111"/>
      <c r="K80" s="111"/>
    </row>
    <row r="81" spans="1:11" ht="21.75" customHeight="1" x14ac:dyDescent="0.25">
      <c r="A81" s="5"/>
      <c r="B81" s="6"/>
      <c r="C81" s="309" t="s">
        <v>2</v>
      </c>
      <c r="D81" s="309"/>
      <c r="E81" s="309"/>
      <c r="F81" s="309"/>
      <c r="G81" s="309"/>
      <c r="H81" s="309"/>
      <c r="I81" s="118">
        <f>SUM(I79:I80)</f>
        <v>0</v>
      </c>
      <c r="J81" s="111"/>
      <c r="K81" s="111"/>
    </row>
    <row r="82" spans="1:11" ht="15" hidden="1" customHeight="1" x14ac:dyDescent="0.25">
      <c r="A82" s="5"/>
      <c r="B82" s="6"/>
      <c r="C82" s="310" t="s">
        <v>193</v>
      </c>
      <c r="D82" s="310"/>
      <c r="E82" s="310"/>
      <c r="F82" s="310"/>
      <c r="G82" s="310"/>
      <c r="H82" s="310"/>
      <c r="I82" s="310"/>
      <c r="J82" s="111"/>
      <c r="K82" s="111"/>
    </row>
    <row r="83" spans="1:11" ht="50.1" hidden="1" customHeight="1" x14ac:dyDescent="0.25">
      <c r="A83" s="6"/>
      <c r="B83" s="6"/>
      <c r="C83" s="311"/>
      <c r="D83" s="311"/>
      <c r="E83" s="311"/>
      <c r="F83" s="311"/>
      <c r="G83" s="311"/>
      <c r="H83" s="311"/>
      <c r="I83" s="311"/>
      <c r="J83" s="111"/>
      <c r="K83" s="111"/>
    </row>
    <row r="84" spans="1:11" x14ac:dyDescent="0.25">
      <c r="A84" s="6"/>
      <c r="B84" s="6"/>
      <c r="C84" s="6"/>
      <c r="D84" s="6"/>
      <c r="E84" s="6"/>
      <c r="F84" s="6"/>
      <c r="G84" s="6"/>
      <c r="H84" s="6"/>
      <c r="I84" s="6"/>
      <c r="J84" s="111"/>
      <c r="K84" s="111"/>
    </row>
    <row r="85" spans="1:11" ht="26.1" customHeight="1" x14ac:dyDescent="0.25">
      <c r="A85" s="6"/>
      <c r="B85" s="6"/>
      <c r="C85" s="9" t="s">
        <v>35</v>
      </c>
      <c r="D85" s="6"/>
      <c r="E85" s="6"/>
      <c r="F85" s="6"/>
      <c r="G85" s="6"/>
      <c r="H85" s="6"/>
      <c r="I85" s="6"/>
      <c r="J85" s="111"/>
      <c r="K85" s="111"/>
    </row>
    <row r="86" spans="1:11" ht="26.1" customHeight="1" x14ac:dyDescent="0.25">
      <c r="A86" s="6"/>
      <c r="B86" s="6"/>
      <c r="C86" s="312" t="s">
        <v>11</v>
      </c>
      <c r="D86" s="313"/>
      <c r="E86" s="313"/>
      <c r="F86" s="313"/>
      <c r="G86" s="313"/>
      <c r="H86" s="313"/>
      <c r="I86" s="314"/>
      <c r="J86" s="111"/>
      <c r="K86" s="111"/>
    </row>
    <row r="87" spans="1:11" x14ac:dyDescent="0.25">
      <c r="A87" s="5"/>
      <c r="B87" s="6"/>
      <c r="C87" s="6"/>
      <c r="D87" s="6"/>
      <c r="E87" s="6"/>
      <c r="F87" s="6"/>
      <c r="G87" s="6"/>
      <c r="H87" s="6"/>
      <c r="I87" s="6"/>
      <c r="J87" s="111"/>
      <c r="K87" s="111"/>
    </row>
    <row r="88" spans="1:11" x14ac:dyDescent="0.25">
      <c r="A88" s="5"/>
      <c r="B88" s="6"/>
      <c r="C88" s="315" t="s">
        <v>166</v>
      </c>
      <c r="D88" s="315"/>
      <c r="E88" s="315"/>
      <c r="F88" s="315"/>
      <c r="G88" s="315"/>
      <c r="H88" s="315"/>
      <c r="I88" s="315"/>
      <c r="J88" s="111"/>
      <c r="K88" s="111"/>
    </row>
    <row r="89" spans="1:11" ht="24" x14ac:dyDescent="0.25">
      <c r="A89" s="5"/>
      <c r="B89" s="6"/>
      <c r="C89" s="185" t="s">
        <v>3</v>
      </c>
      <c r="D89" s="185" t="s">
        <v>0</v>
      </c>
      <c r="E89" s="185" t="s">
        <v>9</v>
      </c>
      <c r="F89" s="327" t="s">
        <v>7</v>
      </c>
      <c r="G89" s="327"/>
      <c r="H89" s="327"/>
      <c r="I89" s="185" t="s">
        <v>12</v>
      </c>
      <c r="J89" s="111"/>
      <c r="K89" s="111"/>
    </row>
    <row r="90" spans="1:11" x14ac:dyDescent="0.25">
      <c r="A90" s="5"/>
      <c r="B90" s="6"/>
      <c r="C90" s="186"/>
      <c r="D90" s="170"/>
      <c r="E90" s="161"/>
      <c r="F90" s="328"/>
      <c r="G90" s="328"/>
      <c r="H90" s="328"/>
      <c r="I90" s="162"/>
      <c r="J90" s="111"/>
      <c r="K90" s="111"/>
    </row>
    <row r="91" spans="1:11" ht="15" hidden="1" customHeight="1" x14ac:dyDescent="0.25">
      <c r="A91" s="5"/>
      <c r="B91" s="6"/>
      <c r="C91" s="129"/>
      <c r="D91" s="130"/>
      <c r="E91" s="131"/>
      <c r="F91" s="352"/>
      <c r="G91" s="353"/>
      <c r="H91" s="354"/>
      <c r="I91" s="132"/>
      <c r="J91" s="111"/>
      <c r="K91" s="111"/>
    </row>
    <row r="92" spans="1:11" x14ac:dyDescent="0.25">
      <c r="A92" s="5"/>
      <c r="B92" s="6"/>
      <c r="C92" s="309" t="s">
        <v>2</v>
      </c>
      <c r="D92" s="309"/>
      <c r="E92" s="309"/>
      <c r="F92" s="309"/>
      <c r="G92" s="309"/>
      <c r="H92" s="309"/>
      <c r="I92" s="118">
        <f>SUM(I90:I91)</f>
        <v>0</v>
      </c>
      <c r="J92" s="111"/>
      <c r="K92" s="111"/>
    </row>
    <row r="93" spans="1:11" ht="15" hidden="1" customHeight="1" x14ac:dyDescent="0.25">
      <c r="A93" s="5"/>
      <c r="B93" s="6"/>
      <c r="C93" s="310" t="s">
        <v>193</v>
      </c>
      <c r="D93" s="310"/>
      <c r="E93" s="310"/>
      <c r="F93" s="310"/>
      <c r="G93" s="310"/>
      <c r="H93" s="310"/>
      <c r="I93" s="310"/>
      <c r="J93" s="111"/>
      <c r="K93" s="111"/>
    </row>
    <row r="94" spans="1:11" ht="50.1" hidden="1" customHeight="1" x14ac:dyDescent="0.25">
      <c r="A94" s="6"/>
      <c r="B94" s="6"/>
      <c r="C94" s="311"/>
      <c r="D94" s="311"/>
      <c r="E94" s="311"/>
      <c r="F94" s="311"/>
      <c r="G94" s="311"/>
      <c r="H94" s="311"/>
      <c r="I94" s="311"/>
      <c r="J94" s="111"/>
      <c r="K94" s="111"/>
    </row>
    <row r="95" spans="1:11" x14ac:dyDescent="0.25">
      <c r="A95" s="6"/>
      <c r="B95" s="6"/>
      <c r="C95" s="6"/>
      <c r="D95" s="6"/>
      <c r="E95" s="6"/>
      <c r="F95" s="6"/>
      <c r="G95" s="6"/>
      <c r="H95" s="6"/>
      <c r="I95" s="6"/>
      <c r="J95" s="111"/>
      <c r="K95" s="111"/>
    </row>
    <row r="96" spans="1:11" ht="30.6" hidden="1" customHeight="1" x14ac:dyDescent="0.25">
      <c r="A96" s="6"/>
      <c r="B96" s="6"/>
      <c r="C96" s="9" t="s">
        <v>163</v>
      </c>
      <c r="D96" s="6"/>
      <c r="E96" s="6"/>
      <c r="F96" s="6"/>
      <c r="G96" s="6"/>
      <c r="H96" s="6"/>
      <c r="I96" s="6"/>
      <c r="J96" s="111"/>
      <c r="K96" s="111"/>
    </row>
    <row r="97" spans="1:11" ht="51.95" hidden="1" customHeight="1" x14ac:dyDescent="0.25">
      <c r="A97" s="6"/>
      <c r="B97" s="6"/>
      <c r="C97" s="312" t="s">
        <v>101</v>
      </c>
      <c r="D97" s="313"/>
      <c r="E97" s="313"/>
      <c r="F97" s="313"/>
      <c r="G97" s="313"/>
      <c r="H97" s="313"/>
      <c r="I97" s="314"/>
      <c r="J97" s="111"/>
      <c r="K97" s="111"/>
    </row>
    <row r="98" spans="1:11" hidden="1" x14ac:dyDescent="0.25">
      <c r="A98" s="6"/>
      <c r="B98" s="6"/>
      <c r="C98" s="6"/>
      <c r="D98" s="6"/>
      <c r="E98" s="6"/>
      <c r="F98" s="6"/>
      <c r="G98" s="6"/>
      <c r="H98" s="6"/>
      <c r="I98" s="6"/>
      <c r="J98" s="111"/>
      <c r="K98" s="111"/>
    </row>
    <row r="99" spans="1:11" hidden="1" x14ac:dyDescent="0.25">
      <c r="A99" s="6"/>
      <c r="B99" s="6"/>
      <c r="C99" s="315" t="s">
        <v>6</v>
      </c>
      <c r="D99" s="315"/>
      <c r="E99" s="315"/>
      <c r="F99" s="315"/>
      <c r="G99" s="315"/>
      <c r="H99" s="315"/>
      <c r="I99" s="315"/>
      <c r="J99" s="111"/>
      <c r="K99" s="111"/>
    </row>
    <row r="100" spans="1:11" ht="24" hidden="1" x14ac:dyDescent="0.25">
      <c r="A100" s="6"/>
      <c r="B100" s="6"/>
      <c r="C100" s="316" t="s">
        <v>213</v>
      </c>
      <c r="D100" s="317"/>
      <c r="E100" s="317"/>
      <c r="F100" s="317"/>
      <c r="G100" s="317"/>
      <c r="H100" s="318"/>
      <c r="I100" s="205" t="s">
        <v>12</v>
      </c>
      <c r="J100" s="111"/>
      <c r="K100" s="111"/>
    </row>
    <row r="101" spans="1:11" hidden="1" x14ac:dyDescent="0.25">
      <c r="A101" s="6"/>
      <c r="B101" s="6"/>
      <c r="C101" s="319"/>
      <c r="D101" s="320"/>
      <c r="E101" s="320"/>
      <c r="F101" s="320"/>
      <c r="G101" s="320"/>
      <c r="H101" s="321"/>
      <c r="I101" s="162"/>
      <c r="J101" s="111"/>
      <c r="K101" s="111"/>
    </row>
    <row r="102" spans="1:11" ht="15" hidden="1" customHeight="1" x14ac:dyDescent="0.25">
      <c r="A102" s="6"/>
      <c r="B102" s="6"/>
      <c r="C102" s="355"/>
      <c r="D102" s="356"/>
      <c r="E102" s="131"/>
      <c r="F102" s="352"/>
      <c r="G102" s="353"/>
      <c r="H102" s="354"/>
      <c r="I102" s="132"/>
      <c r="J102" s="111"/>
      <c r="K102" s="111"/>
    </row>
    <row r="103" spans="1:11" hidden="1" x14ac:dyDescent="0.25">
      <c r="A103" s="6"/>
      <c r="B103" s="6"/>
      <c r="C103" s="309" t="s">
        <v>2</v>
      </c>
      <c r="D103" s="309"/>
      <c r="E103" s="309"/>
      <c r="F103" s="309"/>
      <c r="G103" s="309"/>
      <c r="H103" s="309"/>
      <c r="I103" s="118">
        <f>SUM(I101:I102)</f>
        <v>0</v>
      </c>
      <c r="J103" s="111"/>
      <c r="K103" s="111"/>
    </row>
    <row r="104" spans="1:11" ht="15" hidden="1" customHeight="1" x14ac:dyDescent="0.25">
      <c r="A104" s="6"/>
      <c r="B104" s="6"/>
      <c r="C104" s="310" t="s">
        <v>193</v>
      </c>
      <c r="D104" s="310"/>
      <c r="E104" s="310"/>
      <c r="F104" s="310"/>
      <c r="G104" s="310"/>
      <c r="H104" s="310"/>
      <c r="I104" s="310"/>
      <c r="J104" s="111"/>
      <c r="K104" s="111"/>
    </row>
    <row r="105" spans="1:11" ht="50.1" hidden="1" customHeight="1" x14ac:dyDescent="0.25">
      <c r="A105" s="6"/>
      <c r="B105" s="6"/>
      <c r="C105" s="311"/>
      <c r="D105" s="311"/>
      <c r="E105" s="311"/>
      <c r="F105" s="311"/>
      <c r="G105" s="311"/>
      <c r="H105" s="311"/>
      <c r="I105" s="311"/>
      <c r="J105" s="111"/>
      <c r="K105" s="111"/>
    </row>
    <row r="107" spans="1:11" x14ac:dyDescent="0.25">
      <c r="C107" s="199" t="s">
        <v>202</v>
      </c>
    </row>
  </sheetData>
  <sheetProtection algorithmName="SHA-512" hashValue="F/QPDz0Dvzvn+bF686puvjVzLODpznXIB2kgJ9MCFP9zWL6ym4/1hhvG0qe0zXWXUJ/TdQkcvq+88nxN9/l2WA==" saltValue="YkQkon2zPOR38PrZsrGQJw==" spinCount="100000" sheet="1" objects="1" scenarios="1"/>
  <mergeCells count="81">
    <mergeCell ref="C102:D102"/>
    <mergeCell ref="F102:H102"/>
    <mergeCell ref="C103:H103"/>
    <mergeCell ref="C104:I104"/>
    <mergeCell ref="C105:I105"/>
    <mergeCell ref="C97:I97"/>
    <mergeCell ref="C99:I99"/>
    <mergeCell ref="C100:H100"/>
    <mergeCell ref="C101:H101"/>
    <mergeCell ref="C94:I94"/>
    <mergeCell ref="F90:H90"/>
    <mergeCell ref="F91:H91"/>
    <mergeCell ref="C92:H92"/>
    <mergeCell ref="F80:H80"/>
    <mergeCell ref="C81:H81"/>
    <mergeCell ref="C82:I82"/>
    <mergeCell ref="C83:I83"/>
    <mergeCell ref="C86:I86"/>
    <mergeCell ref="C93:I93"/>
    <mergeCell ref="F79:H79"/>
    <mergeCell ref="C69:I69"/>
    <mergeCell ref="C70:D70"/>
    <mergeCell ref="G70:H70"/>
    <mergeCell ref="C71:D71"/>
    <mergeCell ref="G71:H71"/>
    <mergeCell ref="C72:D72"/>
    <mergeCell ref="G72:H72"/>
    <mergeCell ref="C73:H73"/>
    <mergeCell ref="C74:I74"/>
    <mergeCell ref="C75:I75"/>
    <mergeCell ref="C77:I77"/>
    <mergeCell ref="F78:H78"/>
    <mergeCell ref="C88:I88"/>
    <mergeCell ref="F89:H89"/>
    <mergeCell ref="C67:I67"/>
    <mergeCell ref="F55:H55"/>
    <mergeCell ref="F56:H56"/>
    <mergeCell ref="C57:H57"/>
    <mergeCell ref="C58:I58"/>
    <mergeCell ref="C59:I59"/>
    <mergeCell ref="C61:I61"/>
    <mergeCell ref="G62:H62"/>
    <mergeCell ref="G63:H63"/>
    <mergeCell ref="G64:H64"/>
    <mergeCell ref="C65:H65"/>
    <mergeCell ref="C66:I66"/>
    <mergeCell ref="F54:H54"/>
    <mergeCell ref="C37:I37"/>
    <mergeCell ref="C38:I38"/>
    <mergeCell ref="C41:I41"/>
    <mergeCell ref="G43:H43"/>
    <mergeCell ref="G44:H44"/>
    <mergeCell ref="G45:H45"/>
    <mergeCell ref="C46:H46"/>
    <mergeCell ref="C47:I47"/>
    <mergeCell ref="C48:I48"/>
    <mergeCell ref="C51:I51"/>
    <mergeCell ref="C53:I53"/>
    <mergeCell ref="C36:H36"/>
    <mergeCell ref="C23:E23"/>
    <mergeCell ref="C24:E24"/>
    <mergeCell ref="C25:E25"/>
    <mergeCell ref="C26:H26"/>
    <mergeCell ref="C27:I27"/>
    <mergeCell ref="C28:I28"/>
    <mergeCell ref="C30:I30"/>
    <mergeCell ref="C32:I32"/>
    <mergeCell ref="C35:D35"/>
    <mergeCell ref="C22:I22"/>
    <mergeCell ref="C2:I2"/>
    <mergeCell ref="C5:I5"/>
    <mergeCell ref="C7:I7"/>
    <mergeCell ref="C12:I12"/>
    <mergeCell ref="C13:E13"/>
    <mergeCell ref="C14:E14"/>
    <mergeCell ref="C15:E15"/>
    <mergeCell ref="C16:H16"/>
    <mergeCell ref="C17:I17"/>
    <mergeCell ref="C18:I18"/>
    <mergeCell ref="C20:I20"/>
    <mergeCell ref="C11:H11"/>
  </mergeCells>
  <dataValidations count="5">
    <dataValidation type="list" allowBlank="1" showInputMessage="1" showErrorMessage="1" promptTitle="Select data" prompt="from the drop-down menu" sqref="F44:F45 E55:E56 F63:F64 F71:F72 E79:E80 E90:E91 E102" xr:uid="{00000000-0002-0000-0800-000000000000}">
      <formula1>"YES,NO"</formula1>
    </dataValidation>
    <dataValidation type="decimal" allowBlank="1" showInputMessage="1" showErrorMessage="1" errorTitle="Invalid data!" error="Must be a decimal value." sqref="F24 F14 H10 E9:E10 I55 I44 I90 I63 D63 I101 I71 I79" xr:uid="{00000000-0002-0000-0800-000001000000}">
      <formula1>0</formula1>
      <formula2>1000000000</formula2>
    </dataValidation>
    <dataValidation allowBlank="1" showInputMessage="1" showErrorMessage="1" prompt="Insert comment" sqref="C18:I18 C28:I28 C38:I38 C48:I48 C59:I59 C67:I67 C75:I75 C83:I83 C94:I94 C105:I105" xr:uid="{00000000-0002-0000-0800-000002000000}"/>
    <dataValidation type="decimal" allowBlank="1" showInputMessage="1" showErrorMessage="1" errorTitle="Invalid data!" error="Must be a decimal value" sqref="D9:D10" xr:uid="{00000000-0002-0000-0800-000003000000}">
      <formula1>0</formula1>
      <formula2>1000000000</formula2>
    </dataValidation>
    <dataValidation type="custom" operator="lessThanOrEqual" allowBlank="1" showInputMessage="1" showErrorMessage="1" errorTitle="Invalid data!" error="Must be a whole number of days or half days." sqref="H9 H14 H24 H34" xr:uid="{D3BED899-4E91-472C-9A7F-8D472E4DF49F}">
      <formula1>AND(H9&gt;=0,MOD(H9,0.5)=0)</formula1>
    </dataValidation>
  </dataValidations>
  <printOptions horizontalCentered="1" gridLines="1"/>
  <pageMargins left="0.70866141732283472" right="0.70866141732283472" top="0.74803149606299213" bottom="0.74803149606299213" header="0.31496062992125984" footer="0.31496062992125984"/>
  <pageSetup scale="53" fitToHeight="0" orientation="portrait" r:id="rId1"/>
  <headerFooter scaleWithDoc="0">
    <oddHeader>&amp;A</oddHead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AddLineUoR">
                <anchor moveWithCells="1" sizeWithCells="1">
                  <from>
                    <xdr:col>10</xdr:col>
                    <xdr:colOff>0</xdr:colOff>
                    <xdr:row>12</xdr:row>
                    <xdr:rowOff>0</xdr:rowOff>
                  </from>
                  <to>
                    <xdr:col>11</xdr:col>
                    <xdr:colOff>0</xdr:colOff>
                    <xdr:row>12</xdr:row>
                    <xdr:rowOff>485775</xdr:rowOff>
                  </to>
                </anchor>
              </controlPr>
            </control>
          </mc:Choice>
        </mc:AlternateContent>
        <mc:AlternateContent xmlns:mc="http://schemas.openxmlformats.org/markup-compatibility/2006">
          <mc:Choice Requires="x14">
            <control shapeId="11266" r:id="rId5" name="Button 2">
              <controlPr defaultSize="0" print="0" autoFill="0" autoPict="0" macro="[0]!AddLineUoR">
                <anchor moveWithCells="1" sizeWithCells="1">
                  <from>
                    <xdr:col>10</xdr:col>
                    <xdr:colOff>0</xdr:colOff>
                    <xdr:row>22</xdr:row>
                    <xdr:rowOff>0</xdr:rowOff>
                  </from>
                  <to>
                    <xdr:col>11</xdr:col>
                    <xdr:colOff>0</xdr:colOff>
                    <xdr:row>22</xdr:row>
                    <xdr:rowOff>485775</xdr:rowOff>
                  </to>
                </anchor>
              </controlPr>
            </control>
          </mc:Choice>
        </mc:AlternateContent>
        <mc:AlternateContent xmlns:mc="http://schemas.openxmlformats.org/markup-compatibility/2006">
          <mc:Choice Requires="x14">
            <control shapeId="11267" r:id="rId6" name="Button 3">
              <controlPr defaultSize="0" print="0" autoFill="0" autoPict="0" macro="[0]!AddLineUoR">
                <anchor moveWithCells="1" sizeWithCells="1">
                  <from>
                    <xdr:col>10</xdr:col>
                    <xdr:colOff>0</xdr:colOff>
                    <xdr:row>32</xdr:row>
                    <xdr:rowOff>0</xdr:rowOff>
                  </from>
                  <to>
                    <xdr:col>11</xdr:col>
                    <xdr:colOff>0</xdr:colOff>
                    <xdr:row>32</xdr:row>
                    <xdr:rowOff>485775</xdr:rowOff>
                  </to>
                </anchor>
              </controlPr>
            </control>
          </mc:Choice>
        </mc:AlternateContent>
        <mc:AlternateContent xmlns:mc="http://schemas.openxmlformats.org/markup-compatibility/2006">
          <mc:Choice Requires="x14">
            <control shapeId="11268" r:id="rId7" name="Button 4">
              <controlPr defaultSize="0" print="0" autoFill="0" autoPict="0" macro="[0]!AddLineUoR">
                <anchor moveWithCells="1" sizeWithCells="1">
                  <from>
                    <xdr:col>10</xdr:col>
                    <xdr:colOff>0</xdr:colOff>
                    <xdr:row>42</xdr:row>
                    <xdr:rowOff>0</xdr:rowOff>
                  </from>
                  <to>
                    <xdr:col>11</xdr:col>
                    <xdr:colOff>0</xdr:colOff>
                    <xdr:row>42</xdr:row>
                    <xdr:rowOff>247650</xdr:rowOff>
                  </to>
                </anchor>
              </controlPr>
            </control>
          </mc:Choice>
        </mc:AlternateContent>
        <mc:AlternateContent xmlns:mc="http://schemas.openxmlformats.org/markup-compatibility/2006">
          <mc:Choice Requires="x14">
            <control shapeId="11269" r:id="rId8" name="Button 5">
              <controlPr defaultSize="0" print="0" autoFill="0" autoPict="0" macro="[0]!AddLineUoR">
                <anchor moveWithCells="1" sizeWithCells="1">
                  <from>
                    <xdr:col>10</xdr:col>
                    <xdr:colOff>0</xdr:colOff>
                    <xdr:row>53</xdr:row>
                    <xdr:rowOff>0</xdr:rowOff>
                  </from>
                  <to>
                    <xdr:col>11</xdr:col>
                    <xdr:colOff>0</xdr:colOff>
                    <xdr:row>53</xdr:row>
                    <xdr:rowOff>428625</xdr:rowOff>
                  </to>
                </anchor>
              </controlPr>
            </control>
          </mc:Choice>
        </mc:AlternateContent>
        <mc:AlternateContent xmlns:mc="http://schemas.openxmlformats.org/markup-compatibility/2006">
          <mc:Choice Requires="x14">
            <control shapeId="11270" r:id="rId9" name="Button 6">
              <controlPr defaultSize="0" print="0" autoFill="0" autoPict="0" macro="[0]!AddLineUoR">
                <anchor moveWithCells="1" sizeWithCells="1">
                  <from>
                    <xdr:col>10</xdr:col>
                    <xdr:colOff>0</xdr:colOff>
                    <xdr:row>61</xdr:row>
                    <xdr:rowOff>0</xdr:rowOff>
                  </from>
                  <to>
                    <xdr:col>11</xdr:col>
                    <xdr:colOff>0</xdr:colOff>
                    <xdr:row>61</xdr:row>
                    <xdr:rowOff>419100</xdr:rowOff>
                  </to>
                </anchor>
              </controlPr>
            </control>
          </mc:Choice>
        </mc:AlternateContent>
        <mc:AlternateContent xmlns:mc="http://schemas.openxmlformats.org/markup-compatibility/2006">
          <mc:Choice Requires="x14">
            <control shapeId="11271" r:id="rId10" name="Button 7">
              <controlPr defaultSize="0" print="0" autoFill="0" autoPict="0" macro="[0]!AddLineUoR">
                <anchor moveWithCells="1" sizeWithCells="1">
                  <from>
                    <xdr:col>10</xdr:col>
                    <xdr:colOff>0</xdr:colOff>
                    <xdr:row>69</xdr:row>
                    <xdr:rowOff>0</xdr:rowOff>
                  </from>
                  <to>
                    <xdr:col>11</xdr:col>
                    <xdr:colOff>0</xdr:colOff>
                    <xdr:row>69</xdr:row>
                    <xdr:rowOff>428625</xdr:rowOff>
                  </to>
                </anchor>
              </controlPr>
            </control>
          </mc:Choice>
        </mc:AlternateContent>
        <mc:AlternateContent xmlns:mc="http://schemas.openxmlformats.org/markup-compatibility/2006">
          <mc:Choice Requires="x14">
            <control shapeId="11272" r:id="rId11" name="Button 8">
              <controlPr defaultSize="0" print="0" autoFill="0" autoPict="0" macro="[0]!AddLineUoR">
                <anchor moveWithCells="1" sizeWithCells="1">
                  <from>
                    <xdr:col>10</xdr:col>
                    <xdr:colOff>0</xdr:colOff>
                    <xdr:row>77</xdr:row>
                    <xdr:rowOff>0</xdr:rowOff>
                  </from>
                  <to>
                    <xdr:col>11</xdr:col>
                    <xdr:colOff>0</xdr:colOff>
                    <xdr:row>77</xdr:row>
                    <xdr:rowOff>428625</xdr:rowOff>
                  </to>
                </anchor>
              </controlPr>
            </control>
          </mc:Choice>
        </mc:AlternateContent>
        <mc:AlternateContent xmlns:mc="http://schemas.openxmlformats.org/markup-compatibility/2006">
          <mc:Choice Requires="x14">
            <control shapeId="11273" r:id="rId12" name="Button 9">
              <controlPr defaultSize="0" print="0" autoFill="0" autoPict="0" macro="[0]!AddLineUoR">
                <anchor moveWithCells="1" sizeWithCells="1">
                  <from>
                    <xdr:col>10</xdr:col>
                    <xdr:colOff>0</xdr:colOff>
                    <xdr:row>88</xdr:row>
                    <xdr:rowOff>0</xdr:rowOff>
                  </from>
                  <to>
                    <xdr:col>11</xdr:col>
                    <xdr:colOff>0</xdr:colOff>
                    <xdr:row>88</xdr:row>
                    <xdr:rowOff>428625</xdr:rowOff>
                  </to>
                </anchor>
              </controlPr>
            </control>
          </mc:Choice>
        </mc:AlternateContent>
        <mc:AlternateContent xmlns:mc="http://schemas.openxmlformats.org/markup-compatibility/2006">
          <mc:Choice Requires="x14">
            <control shapeId="11274" r:id="rId13" name="Button 10">
              <controlPr defaultSize="0" print="0" autoFill="0" autoPict="0" macro="[0]!AddLineUoR">
                <anchor moveWithCells="1" sizeWithCells="1">
                  <from>
                    <xdr:col>10</xdr:col>
                    <xdr:colOff>0</xdr:colOff>
                    <xdr:row>99</xdr:row>
                    <xdr:rowOff>0</xdr:rowOff>
                  </from>
                  <to>
                    <xdr:col>11</xdr:col>
                    <xdr:colOff>0</xdr:colOff>
                    <xdr:row>99</xdr:row>
                    <xdr:rowOff>428625</xdr:rowOff>
                  </to>
                </anchor>
              </controlPr>
            </control>
          </mc:Choice>
        </mc:AlternateContent>
        <mc:AlternateContent xmlns:mc="http://schemas.openxmlformats.org/markup-compatibility/2006">
          <mc:Choice Requires="x14">
            <control shapeId="11275" r:id="rId14" name="Button 11">
              <controlPr defaultSize="0" print="0" autoFill="0" autoPict="0" macro="[0]!AddLineUoR">
                <anchor moveWithCells="1" sizeWithCells="1">
                  <from>
                    <xdr:col>10</xdr:col>
                    <xdr:colOff>0</xdr:colOff>
                    <xdr:row>7</xdr:row>
                    <xdr:rowOff>0</xdr:rowOff>
                  </from>
                  <to>
                    <xdr:col>11</xdr:col>
                    <xdr:colOff>0</xdr:colOff>
                    <xdr:row>7</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Title="Invalid data!" error="Country must be selected from the list." xr:uid="{00000000-0002-0000-0800-000004000000}">
          <x14:formula1>
            <xm:f>'Countries&amp;Coefficients'!$A$2:$A$29</xm:f>
          </x14:formula1>
          <xm:sqref>E34</xm:sqref>
        </x14:dataValidation>
        <x14:dataValidation type="list" allowBlank="1" showInputMessage="1" showErrorMessage="1" errorTitle="Invalid WP" error="You need to select the WP from the drop-down list." xr:uid="{00000000-0002-0000-0800-000005000000}">
          <x14:formula1>
            <xm:f>ListActivitiesReported!#REF!</xm:f>
          </x14:formula1>
          <xm:sqref>G9:G10 D90 D79 E71 E63 D55 E44 D34 G24 G14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7" tint="0.79998168889431442"/>
    <pageSetUpPr fitToPage="1"/>
  </sheetPr>
  <dimension ref="A1:K107"/>
  <sheetViews>
    <sheetView showGridLines="0" showRowColHeaders="0" zoomScaleNormal="100" zoomScaleSheetLayoutView="85" workbookViewId="0">
      <pane ySplit="1" topLeftCell="A2" activePane="bottomLeft" state="frozen"/>
      <selection pane="bottomLeft" activeCell="C2" sqref="C2:I2"/>
    </sheetView>
  </sheetViews>
  <sheetFormatPr defaultRowHeight="15" x14ac:dyDescent="0.25"/>
  <cols>
    <col min="1" max="1" width="2.7109375" style="217" customWidth="1"/>
    <col min="2" max="2" width="2.7109375" style="11" customWidth="1"/>
    <col min="3" max="9" width="24.140625" style="11" customWidth="1"/>
    <col min="10" max="10" width="3.140625" style="11" customWidth="1"/>
    <col min="11" max="11" width="11.140625" style="11" customWidth="1"/>
  </cols>
  <sheetData>
    <row r="1" spans="1:11" ht="21" customHeight="1" x14ac:dyDescent="0.25">
      <c r="A1" s="213"/>
      <c r="B1" s="4"/>
      <c r="C1" s="6"/>
      <c r="D1" s="117" t="str">
        <f ca="1">HYPERLINK("#"&amp;CELL("address",C4), C4)</f>
        <v>A. Personnel costs</v>
      </c>
      <c r="E1" s="117" t="str">
        <f ca="1">HYPERLINK("#"&amp;CELL("address",C40), C40)</f>
        <v>B. Subcontracting</v>
      </c>
      <c r="F1" s="117" t="str">
        <f ca="1">HYPERLINK("#"&amp;CELL("address",C50), C50)</f>
        <v>C. Purchases</v>
      </c>
      <c r="G1" s="117" t="str">
        <f ca="1">HYPERLINK("#"&amp;CELL("address",C85), C85)</f>
        <v>D. Other cost categories</v>
      </c>
      <c r="H1" s="117"/>
      <c r="I1" s="4"/>
      <c r="J1" s="111"/>
      <c r="K1" s="111"/>
    </row>
    <row r="2" spans="1:11" ht="27" customHeight="1" x14ac:dyDescent="0.25">
      <c r="A2" s="214"/>
      <c r="B2" s="6"/>
      <c r="C2" s="343" t="s">
        <v>198</v>
      </c>
      <c r="D2" s="344"/>
      <c r="E2" s="344"/>
      <c r="F2" s="344"/>
      <c r="G2" s="344"/>
      <c r="H2" s="344"/>
      <c r="I2" s="345"/>
      <c r="J2" s="111"/>
      <c r="K2" s="111"/>
    </row>
    <row r="3" spans="1:11" ht="12.95" customHeight="1" x14ac:dyDescent="0.25">
      <c r="A3" s="214"/>
      <c r="B3" s="6"/>
      <c r="C3" s="6"/>
      <c r="D3" s="6"/>
      <c r="E3" s="6"/>
      <c r="F3" s="6"/>
      <c r="G3" s="6"/>
      <c r="H3" s="6"/>
      <c r="I3" s="6"/>
      <c r="J3" s="111"/>
      <c r="K3" s="111"/>
    </row>
    <row r="4" spans="1:11" ht="39.950000000000003" customHeight="1" x14ac:dyDescent="0.25">
      <c r="A4" s="214"/>
      <c r="B4" s="6"/>
      <c r="C4" s="183" t="s">
        <v>32</v>
      </c>
      <c r="D4" s="183"/>
      <c r="E4" s="6"/>
      <c r="F4" s="6"/>
      <c r="G4" s="6"/>
      <c r="H4" s="8"/>
      <c r="I4" s="6"/>
      <c r="J4" s="111"/>
      <c r="K4" s="111"/>
    </row>
    <row r="5" spans="1:11" ht="39.950000000000003" customHeight="1" x14ac:dyDescent="0.25">
      <c r="A5" s="214"/>
      <c r="B5" s="6"/>
      <c r="C5" s="330" t="s">
        <v>150</v>
      </c>
      <c r="D5" s="330"/>
      <c r="E5" s="330"/>
      <c r="F5" s="330"/>
      <c r="G5" s="330"/>
      <c r="H5" s="330"/>
      <c r="I5" s="330"/>
      <c r="J5" s="111"/>
      <c r="K5" s="111"/>
    </row>
    <row r="6" spans="1:11" ht="15" customHeight="1" x14ac:dyDescent="0.25">
      <c r="A6" s="214"/>
      <c r="B6" s="6"/>
      <c r="C6" s="6"/>
      <c r="D6" s="6"/>
      <c r="E6" s="6"/>
      <c r="F6" s="6"/>
      <c r="G6" s="6"/>
      <c r="H6" s="8"/>
      <c r="I6" s="6"/>
      <c r="J6" s="111"/>
      <c r="K6" s="111"/>
    </row>
    <row r="7" spans="1:11" ht="14.45" customHeight="1" x14ac:dyDescent="0.25">
      <c r="A7" s="214"/>
      <c r="B7" s="6"/>
      <c r="C7" s="315" t="s">
        <v>21</v>
      </c>
      <c r="D7" s="315"/>
      <c r="E7" s="315"/>
      <c r="F7" s="315"/>
      <c r="G7" s="315"/>
      <c r="H7" s="315"/>
      <c r="I7" s="315"/>
      <c r="J7" s="111"/>
      <c r="K7" s="111"/>
    </row>
    <row r="8" spans="1:11" s="20" customFormat="1" ht="36" x14ac:dyDescent="0.25">
      <c r="A8" s="212"/>
      <c r="B8" s="19"/>
      <c r="C8" s="185" t="s">
        <v>20</v>
      </c>
      <c r="D8" s="185" t="s">
        <v>15</v>
      </c>
      <c r="E8" s="185" t="s">
        <v>16</v>
      </c>
      <c r="F8" s="185" t="s">
        <v>17</v>
      </c>
      <c r="G8" s="185" t="s">
        <v>19</v>
      </c>
      <c r="H8" s="185" t="s">
        <v>107</v>
      </c>
      <c r="I8" s="185" t="s">
        <v>18</v>
      </c>
      <c r="J8" s="111"/>
      <c r="K8" s="19"/>
    </row>
    <row r="9" spans="1:11" ht="14.45" customHeight="1" x14ac:dyDescent="0.25">
      <c r="A9" s="214"/>
      <c r="B9" s="211"/>
      <c r="C9" s="164"/>
      <c r="D9" s="165"/>
      <c r="E9" s="164"/>
      <c r="F9" s="166">
        <f>IFERROR(D9/E9,0)</f>
        <v>0</v>
      </c>
      <c r="G9" s="187"/>
      <c r="H9" s="164"/>
      <c r="I9" s="166">
        <f>IFERROR(F9*H9,0)</f>
        <v>0</v>
      </c>
      <c r="J9" s="111"/>
      <c r="K9" s="111"/>
    </row>
    <row r="10" spans="1:11" ht="14.45" hidden="1" customHeight="1" x14ac:dyDescent="0.25">
      <c r="A10" s="214"/>
      <c r="B10" s="6"/>
      <c r="C10" s="178"/>
      <c r="D10" s="179"/>
      <c r="E10" s="178"/>
      <c r="F10" s="180"/>
      <c r="G10" s="181"/>
      <c r="H10" s="178"/>
      <c r="I10" s="180"/>
      <c r="J10" s="111"/>
      <c r="K10" s="111"/>
    </row>
    <row r="11" spans="1:11" ht="14.45" customHeight="1" x14ac:dyDescent="0.25">
      <c r="A11" s="214"/>
      <c r="B11" s="6"/>
      <c r="C11" s="309" t="s">
        <v>2</v>
      </c>
      <c r="D11" s="309"/>
      <c r="E11" s="309"/>
      <c r="F11" s="309"/>
      <c r="G11" s="309"/>
      <c r="H11" s="309"/>
      <c r="I11" s="118">
        <f>SUM(I9:I10)</f>
        <v>0</v>
      </c>
      <c r="J11" s="111"/>
      <c r="K11" s="111"/>
    </row>
    <row r="12" spans="1:11" ht="14.45" customHeight="1" x14ac:dyDescent="0.25">
      <c r="A12" s="214"/>
      <c r="B12" s="6"/>
      <c r="C12" s="315" t="s">
        <v>168</v>
      </c>
      <c r="D12" s="315"/>
      <c r="E12" s="315"/>
      <c r="F12" s="315"/>
      <c r="G12" s="315"/>
      <c r="H12" s="315"/>
      <c r="I12" s="315"/>
      <c r="J12" s="111"/>
      <c r="K12" s="111"/>
    </row>
    <row r="13" spans="1:11" s="20" customFormat="1" ht="36" x14ac:dyDescent="0.25">
      <c r="A13" s="212"/>
      <c r="B13" s="19"/>
      <c r="C13" s="327" t="s">
        <v>20</v>
      </c>
      <c r="D13" s="327"/>
      <c r="E13" s="327"/>
      <c r="F13" s="185" t="s">
        <v>104</v>
      </c>
      <c r="G13" s="185" t="s">
        <v>19</v>
      </c>
      <c r="H13" s="185" t="s">
        <v>106</v>
      </c>
      <c r="I13" s="185" t="s">
        <v>26</v>
      </c>
      <c r="J13" s="111"/>
      <c r="K13" s="19"/>
    </row>
    <row r="14" spans="1:11" x14ac:dyDescent="0.25">
      <c r="A14" s="214"/>
      <c r="B14" s="6"/>
      <c r="C14" s="304"/>
      <c r="D14" s="304"/>
      <c r="E14" s="304"/>
      <c r="F14" s="162"/>
      <c r="G14" s="187"/>
      <c r="H14" s="164"/>
      <c r="I14" s="166">
        <f>IFERROR(F14*H14,0)</f>
        <v>0</v>
      </c>
      <c r="J14" s="111"/>
      <c r="K14" s="111"/>
    </row>
    <row r="15" spans="1:11" ht="15" hidden="1" customHeight="1" x14ac:dyDescent="0.25">
      <c r="A15" s="214"/>
      <c r="B15" s="6"/>
      <c r="C15" s="346"/>
      <c r="D15" s="347"/>
      <c r="E15" s="348"/>
      <c r="F15" s="122"/>
      <c r="G15" s="123"/>
      <c r="H15" s="123"/>
      <c r="I15" s="120"/>
      <c r="J15" s="111"/>
      <c r="K15" s="111"/>
    </row>
    <row r="16" spans="1:11" x14ac:dyDescent="0.25">
      <c r="A16" s="214"/>
      <c r="B16" s="6"/>
      <c r="C16" s="309" t="s">
        <v>2</v>
      </c>
      <c r="D16" s="309"/>
      <c r="E16" s="309"/>
      <c r="F16" s="309"/>
      <c r="G16" s="309"/>
      <c r="H16" s="309"/>
      <c r="I16" s="118">
        <f>SUM(I14:I15)</f>
        <v>0</v>
      </c>
      <c r="J16" s="111"/>
      <c r="K16" s="111"/>
    </row>
    <row r="17" spans="1:11" ht="15" hidden="1" customHeight="1" x14ac:dyDescent="0.25">
      <c r="A17" s="214"/>
      <c r="B17" s="6"/>
      <c r="C17" s="310" t="s">
        <v>193</v>
      </c>
      <c r="D17" s="310"/>
      <c r="E17" s="310"/>
      <c r="F17" s="310"/>
      <c r="G17" s="310"/>
      <c r="H17" s="310"/>
      <c r="I17" s="310"/>
      <c r="J17" s="111"/>
      <c r="K17" s="111"/>
    </row>
    <row r="18" spans="1:11" ht="50.1" hidden="1" customHeight="1" x14ac:dyDescent="0.25">
      <c r="A18" s="214"/>
      <c r="B18" s="6"/>
      <c r="C18" s="311"/>
      <c r="D18" s="311"/>
      <c r="E18" s="311"/>
      <c r="F18" s="311"/>
      <c r="G18" s="311"/>
      <c r="H18" s="311"/>
      <c r="I18" s="311"/>
      <c r="J18" s="111"/>
      <c r="K18" s="111"/>
    </row>
    <row r="19" spans="1:11" ht="15" customHeight="1" x14ac:dyDescent="0.25">
      <c r="A19" s="214"/>
      <c r="B19" s="6"/>
      <c r="C19" s="6"/>
      <c r="D19" s="6"/>
      <c r="E19" s="6"/>
      <c r="F19" s="6"/>
      <c r="G19" s="6"/>
      <c r="H19" s="8"/>
      <c r="I19" s="6"/>
      <c r="J19" s="111"/>
      <c r="K19" s="111"/>
    </row>
    <row r="20" spans="1:11" ht="39.950000000000003" customHeight="1" x14ac:dyDescent="0.25">
      <c r="A20" s="214"/>
      <c r="B20" s="6"/>
      <c r="C20" s="330" t="s">
        <v>100</v>
      </c>
      <c r="D20" s="330"/>
      <c r="E20" s="330"/>
      <c r="F20" s="330"/>
      <c r="G20" s="330"/>
      <c r="H20" s="330"/>
      <c r="I20" s="330"/>
      <c r="J20" s="111"/>
      <c r="K20" s="111"/>
    </row>
    <row r="21" spans="1:11" ht="15" customHeight="1" x14ac:dyDescent="0.25">
      <c r="A21" s="214"/>
      <c r="B21" s="6"/>
      <c r="C21" s="6"/>
      <c r="D21" s="6"/>
      <c r="E21" s="6"/>
      <c r="F21" s="6"/>
      <c r="G21" s="6"/>
      <c r="H21" s="8"/>
      <c r="I21" s="6"/>
      <c r="J21" s="111"/>
      <c r="K21" s="111"/>
    </row>
    <row r="22" spans="1:11" ht="15" customHeight="1" x14ac:dyDescent="0.25">
      <c r="A22" s="214"/>
      <c r="B22" s="6"/>
      <c r="C22" s="339" t="s">
        <v>149</v>
      </c>
      <c r="D22" s="339"/>
      <c r="E22" s="339"/>
      <c r="F22" s="339"/>
      <c r="G22" s="339"/>
      <c r="H22" s="339"/>
      <c r="I22" s="339"/>
      <c r="J22" s="111"/>
      <c r="K22" s="111"/>
    </row>
    <row r="23" spans="1:11" s="20" customFormat="1" ht="36" x14ac:dyDescent="0.25">
      <c r="A23" s="212"/>
      <c r="B23" s="19"/>
      <c r="C23" s="327" t="s">
        <v>20</v>
      </c>
      <c r="D23" s="327"/>
      <c r="E23" s="327"/>
      <c r="F23" s="185" t="s">
        <v>105</v>
      </c>
      <c r="G23" s="185" t="s">
        <v>19</v>
      </c>
      <c r="H23" s="185" t="s">
        <v>106</v>
      </c>
      <c r="I23" s="185" t="s">
        <v>26</v>
      </c>
      <c r="J23" s="111"/>
      <c r="K23" s="19"/>
    </row>
    <row r="24" spans="1:11" x14ac:dyDescent="0.25">
      <c r="A24" s="214"/>
      <c r="B24" s="6"/>
      <c r="C24" s="304"/>
      <c r="D24" s="304"/>
      <c r="E24" s="304"/>
      <c r="F24" s="162"/>
      <c r="G24" s="187"/>
      <c r="H24" s="164"/>
      <c r="I24" s="166">
        <f>IFERROR(F24*H24,0)</f>
        <v>0</v>
      </c>
      <c r="J24" s="111"/>
      <c r="K24" s="111"/>
    </row>
    <row r="25" spans="1:11" ht="15" hidden="1" customHeight="1" x14ac:dyDescent="0.25">
      <c r="A25" s="214"/>
      <c r="B25" s="6"/>
      <c r="C25" s="346"/>
      <c r="D25" s="347"/>
      <c r="E25" s="348"/>
      <c r="F25" s="124"/>
      <c r="G25" s="123"/>
      <c r="H25" s="123"/>
      <c r="I25" s="120"/>
      <c r="J25" s="111"/>
      <c r="K25" s="111"/>
    </row>
    <row r="26" spans="1:11" x14ac:dyDescent="0.25">
      <c r="A26" s="214"/>
      <c r="B26" s="6"/>
      <c r="C26" s="309" t="s">
        <v>2</v>
      </c>
      <c r="D26" s="309"/>
      <c r="E26" s="309"/>
      <c r="F26" s="309"/>
      <c r="G26" s="309"/>
      <c r="H26" s="309"/>
      <c r="I26" s="118">
        <f>SUM(I24:I25)</f>
        <v>0</v>
      </c>
      <c r="J26" s="111"/>
      <c r="K26" s="111"/>
    </row>
    <row r="27" spans="1:11" ht="15" hidden="1" customHeight="1" x14ac:dyDescent="0.25">
      <c r="A27" s="214"/>
      <c r="B27" s="6"/>
      <c r="C27" s="310" t="s">
        <v>193</v>
      </c>
      <c r="D27" s="310"/>
      <c r="E27" s="310"/>
      <c r="F27" s="310"/>
      <c r="G27" s="310"/>
      <c r="H27" s="310"/>
      <c r="I27" s="310"/>
      <c r="J27" s="111"/>
      <c r="K27" s="111"/>
    </row>
    <row r="28" spans="1:11" ht="50.1" hidden="1" customHeight="1" x14ac:dyDescent="0.25">
      <c r="A28" s="214"/>
      <c r="B28" s="6"/>
      <c r="C28" s="311"/>
      <c r="D28" s="311"/>
      <c r="E28" s="311"/>
      <c r="F28" s="311"/>
      <c r="G28" s="311"/>
      <c r="H28" s="311"/>
      <c r="I28" s="311"/>
      <c r="J28" s="111"/>
      <c r="K28" s="111"/>
    </row>
    <row r="29" spans="1:11" ht="15" customHeight="1" x14ac:dyDescent="0.25">
      <c r="A29" s="214"/>
      <c r="B29" s="6"/>
      <c r="C29" s="6"/>
      <c r="D29" s="6"/>
      <c r="E29" s="6"/>
      <c r="F29" s="6"/>
      <c r="G29" s="6"/>
      <c r="H29" s="8"/>
      <c r="I29" s="6"/>
      <c r="J29" s="111"/>
      <c r="K29" s="111"/>
    </row>
    <row r="30" spans="1:11" ht="39.950000000000003" customHeight="1" x14ac:dyDescent="0.25">
      <c r="A30" s="214"/>
      <c r="B30" s="6"/>
      <c r="C30" s="330" t="s">
        <v>24</v>
      </c>
      <c r="D30" s="330"/>
      <c r="E30" s="330"/>
      <c r="F30" s="330"/>
      <c r="G30" s="330"/>
      <c r="H30" s="330"/>
      <c r="I30" s="330"/>
      <c r="J30" s="111"/>
      <c r="K30" s="111"/>
    </row>
    <row r="31" spans="1:11" ht="15" customHeight="1" x14ac:dyDescent="0.25">
      <c r="A31" s="214"/>
      <c r="B31" s="6"/>
      <c r="C31" s="6"/>
      <c r="D31" s="6"/>
      <c r="E31" s="6"/>
      <c r="F31" s="6"/>
      <c r="G31" s="6"/>
      <c r="H31" s="8"/>
      <c r="I31" s="6"/>
      <c r="J31" s="111"/>
      <c r="K31" s="111"/>
    </row>
    <row r="32" spans="1:11" ht="14.45" customHeight="1" x14ac:dyDescent="0.25">
      <c r="A32" s="214"/>
      <c r="B32" s="6"/>
      <c r="C32" s="315" t="s">
        <v>169</v>
      </c>
      <c r="D32" s="315"/>
      <c r="E32" s="315"/>
      <c r="F32" s="315"/>
      <c r="G32" s="315"/>
      <c r="H32" s="315"/>
      <c r="I32" s="315"/>
      <c r="J32" s="111"/>
      <c r="K32" s="111"/>
    </row>
    <row r="33" spans="1:11" s="20" customFormat="1" ht="48" x14ac:dyDescent="0.25">
      <c r="A33" s="212"/>
      <c r="B33" s="19"/>
      <c r="C33" s="185" t="s">
        <v>22</v>
      </c>
      <c r="D33" s="185" t="s">
        <v>19</v>
      </c>
      <c r="E33" s="185" t="s">
        <v>23</v>
      </c>
      <c r="F33" s="207" t="s">
        <v>226</v>
      </c>
      <c r="G33" s="208" t="s">
        <v>229</v>
      </c>
      <c r="H33" s="208" t="s">
        <v>228</v>
      </c>
      <c r="I33" s="207" t="s">
        <v>227</v>
      </c>
      <c r="J33" s="116"/>
      <c r="K33" s="19"/>
    </row>
    <row r="34" spans="1:11" x14ac:dyDescent="0.25">
      <c r="A34" s="214"/>
      <c r="B34" s="6"/>
      <c r="C34" s="164"/>
      <c r="D34" s="187"/>
      <c r="E34" s="187"/>
      <c r="F34" s="167">
        <f>IF(E34="",0,VLOOKUP(E34,'Countries&amp;Coefficients'!$A$2:$B$29,2,0))</f>
        <v>0</v>
      </c>
      <c r="G34" s="168">
        <f>5080/18</f>
        <v>282.22222222222223</v>
      </c>
      <c r="H34" s="164"/>
      <c r="I34" s="166">
        <f>IFERROR(F34*G34*H34,0)</f>
        <v>0</v>
      </c>
      <c r="J34" s="111"/>
      <c r="K34" s="111"/>
    </row>
    <row r="35" spans="1:11" ht="15" hidden="1" customHeight="1" x14ac:dyDescent="0.25">
      <c r="A35" s="214"/>
      <c r="B35" s="6"/>
      <c r="C35" s="346"/>
      <c r="D35" s="348"/>
      <c r="E35" s="123"/>
      <c r="F35" s="123"/>
      <c r="G35" s="122"/>
      <c r="H35" s="123"/>
      <c r="I35" s="120"/>
      <c r="J35" s="111"/>
      <c r="K35" s="111"/>
    </row>
    <row r="36" spans="1:11" x14ac:dyDescent="0.25">
      <c r="A36" s="214"/>
      <c r="B36" s="6"/>
      <c r="C36" s="309" t="s">
        <v>2</v>
      </c>
      <c r="D36" s="309"/>
      <c r="E36" s="309"/>
      <c r="F36" s="309"/>
      <c r="G36" s="309"/>
      <c r="H36" s="309"/>
      <c r="I36" s="118">
        <f>SUM(I33:I35)</f>
        <v>0</v>
      </c>
      <c r="J36" s="111"/>
      <c r="K36" s="111"/>
    </row>
    <row r="37" spans="1:11" ht="15" hidden="1" customHeight="1" x14ac:dyDescent="0.25">
      <c r="A37" s="214"/>
      <c r="B37" s="6"/>
      <c r="C37" s="310" t="s">
        <v>193</v>
      </c>
      <c r="D37" s="310"/>
      <c r="E37" s="310"/>
      <c r="F37" s="310"/>
      <c r="G37" s="310"/>
      <c r="H37" s="310"/>
      <c r="I37" s="310"/>
      <c r="J37" s="111"/>
      <c r="K37" s="111"/>
    </row>
    <row r="38" spans="1:11" ht="50.1" hidden="1" customHeight="1" x14ac:dyDescent="0.25">
      <c r="A38" s="214"/>
      <c r="B38" s="6"/>
      <c r="C38" s="311"/>
      <c r="D38" s="311"/>
      <c r="E38" s="311"/>
      <c r="F38" s="311"/>
      <c r="G38" s="311"/>
      <c r="H38" s="311"/>
      <c r="I38" s="311"/>
      <c r="J38" s="111"/>
      <c r="K38" s="111"/>
    </row>
    <row r="39" spans="1:11" x14ac:dyDescent="0.25">
      <c r="A39" s="214"/>
      <c r="B39" s="6"/>
      <c r="C39" s="6"/>
      <c r="D39" s="6"/>
      <c r="E39" s="6"/>
      <c r="F39" s="6"/>
      <c r="G39" s="6"/>
      <c r="H39" s="6"/>
      <c r="I39" s="6"/>
      <c r="J39" s="111"/>
      <c r="K39" s="111"/>
    </row>
    <row r="40" spans="1:11" ht="38.450000000000003" customHeight="1" x14ac:dyDescent="0.25">
      <c r="A40" s="214"/>
      <c r="B40" s="6"/>
      <c r="C40" s="9" t="s">
        <v>42</v>
      </c>
      <c r="D40" s="6"/>
      <c r="E40" s="6"/>
      <c r="F40" s="6"/>
      <c r="G40" s="6"/>
      <c r="H40" s="6"/>
      <c r="I40" s="6"/>
      <c r="J40" s="111"/>
      <c r="K40" s="111"/>
    </row>
    <row r="41" spans="1:11" ht="51" customHeight="1" x14ac:dyDescent="0.25">
      <c r="A41" s="214"/>
      <c r="B41" s="6"/>
      <c r="C41" s="330" t="s">
        <v>10</v>
      </c>
      <c r="D41" s="330"/>
      <c r="E41" s="330"/>
      <c r="F41" s="330"/>
      <c r="G41" s="330"/>
      <c r="H41" s="330"/>
      <c r="I41" s="330"/>
      <c r="J41" s="111"/>
      <c r="K41" s="111"/>
    </row>
    <row r="42" spans="1:11" ht="15" customHeight="1" x14ac:dyDescent="0.25">
      <c r="A42" s="214"/>
      <c r="B42" s="6"/>
      <c r="C42" s="6"/>
      <c r="D42" s="6"/>
      <c r="E42" s="6"/>
      <c r="F42" s="6"/>
      <c r="G42" s="6"/>
      <c r="H42" s="6"/>
      <c r="I42" s="6"/>
      <c r="J42" s="111"/>
      <c r="K42" s="111"/>
    </row>
    <row r="43" spans="1:11" ht="23.25" x14ac:dyDescent="0.25">
      <c r="A43" s="214"/>
      <c r="B43" s="6"/>
      <c r="C43" s="189" t="s">
        <v>5</v>
      </c>
      <c r="D43" s="189" t="s">
        <v>1</v>
      </c>
      <c r="E43" s="189" t="s">
        <v>0</v>
      </c>
      <c r="F43" s="189" t="s">
        <v>9</v>
      </c>
      <c r="G43" s="331" t="s">
        <v>8</v>
      </c>
      <c r="H43" s="331"/>
      <c r="I43" s="189" t="s">
        <v>4</v>
      </c>
      <c r="J43" s="111"/>
      <c r="K43" s="111"/>
    </row>
    <row r="44" spans="1:11" x14ac:dyDescent="0.25">
      <c r="A44" s="214"/>
      <c r="B44" s="6"/>
      <c r="C44" s="188"/>
      <c r="D44" s="169"/>
      <c r="E44" s="161"/>
      <c r="F44" s="161"/>
      <c r="G44" s="332"/>
      <c r="H44" s="332"/>
      <c r="I44" s="163"/>
      <c r="J44" s="111"/>
      <c r="K44" s="111"/>
    </row>
    <row r="45" spans="1:11" ht="15" hidden="1" customHeight="1" x14ac:dyDescent="0.25">
      <c r="A45" s="214"/>
      <c r="B45" s="6"/>
      <c r="C45" s="125"/>
      <c r="D45" s="126"/>
      <c r="E45" s="126"/>
      <c r="F45" s="127"/>
      <c r="G45" s="349"/>
      <c r="H45" s="350"/>
      <c r="I45" s="128"/>
      <c r="J45" s="111"/>
      <c r="K45" s="111"/>
    </row>
    <row r="46" spans="1:11" x14ac:dyDescent="0.25">
      <c r="A46" s="214"/>
      <c r="B46" s="6"/>
      <c r="C46" s="335" t="s">
        <v>2</v>
      </c>
      <c r="D46" s="335"/>
      <c r="E46" s="335"/>
      <c r="F46" s="335"/>
      <c r="G46" s="335"/>
      <c r="H46" s="335"/>
      <c r="I46" s="119">
        <f>SUM(I44:I45)</f>
        <v>0</v>
      </c>
      <c r="J46" s="111"/>
      <c r="K46" s="111"/>
    </row>
    <row r="47" spans="1:11" ht="15" hidden="1" customHeight="1" x14ac:dyDescent="0.25">
      <c r="A47" s="214"/>
      <c r="B47" s="6"/>
      <c r="C47" s="336" t="s">
        <v>193</v>
      </c>
      <c r="D47" s="336"/>
      <c r="E47" s="336"/>
      <c r="F47" s="336"/>
      <c r="G47" s="336"/>
      <c r="H47" s="336"/>
      <c r="I47" s="336"/>
      <c r="J47" s="111"/>
      <c r="K47" s="111"/>
    </row>
    <row r="48" spans="1:11" ht="50.1" hidden="1" customHeight="1" x14ac:dyDescent="0.25">
      <c r="A48" s="214"/>
      <c r="B48" s="6"/>
      <c r="C48" s="311"/>
      <c r="D48" s="311"/>
      <c r="E48" s="311"/>
      <c r="F48" s="311"/>
      <c r="G48" s="311"/>
      <c r="H48" s="311"/>
      <c r="I48" s="311"/>
      <c r="J48" s="111"/>
      <c r="K48" s="111"/>
    </row>
    <row r="49" spans="1:11" x14ac:dyDescent="0.25">
      <c r="A49" s="214"/>
      <c r="B49" s="6"/>
      <c r="C49" s="6"/>
      <c r="D49" s="6"/>
      <c r="E49" s="6"/>
      <c r="F49" s="6"/>
      <c r="G49" s="6"/>
      <c r="H49" s="6"/>
      <c r="I49" s="6"/>
      <c r="J49" s="111"/>
      <c r="K49" s="111"/>
    </row>
    <row r="50" spans="1:11" ht="27.95" customHeight="1" x14ac:dyDescent="0.25">
      <c r="A50" s="214"/>
      <c r="B50" s="6"/>
      <c r="C50" s="9" t="s">
        <v>162</v>
      </c>
      <c r="D50" s="6"/>
      <c r="E50" s="6"/>
      <c r="F50" s="6"/>
      <c r="G50" s="6"/>
      <c r="H50" s="6"/>
      <c r="I50" s="6"/>
      <c r="J50" s="111"/>
      <c r="K50" s="111"/>
    </row>
    <row r="51" spans="1:11" ht="39" customHeight="1" x14ac:dyDescent="0.25">
      <c r="A51" s="214"/>
      <c r="B51" s="6"/>
      <c r="C51" s="337" t="s">
        <v>13</v>
      </c>
      <c r="D51" s="337"/>
      <c r="E51" s="337"/>
      <c r="F51" s="337"/>
      <c r="G51" s="337"/>
      <c r="H51" s="351"/>
      <c r="I51" s="351"/>
      <c r="J51" s="111"/>
      <c r="K51" s="111"/>
    </row>
    <row r="52" spans="1:11" x14ac:dyDescent="0.25">
      <c r="A52" s="214"/>
      <c r="B52" s="6"/>
      <c r="C52" s="6"/>
      <c r="D52" s="6"/>
      <c r="E52" s="6"/>
      <c r="F52" s="6"/>
      <c r="G52" s="6"/>
      <c r="H52" s="6"/>
      <c r="I52" s="6"/>
      <c r="J52" s="111"/>
      <c r="K52" s="111"/>
    </row>
    <row r="53" spans="1:11" x14ac:dyDescent="0.25">
      <c r="A53" s="214"/>
      <c r="B53" s="6"/>
      <c r="C53" s="315" t="s">
        <v>43</v>
      </c>
      <c r="D53" s="315"/>
      <c r="E53" s="315"/>
      <c r="F53" s="315"/>
      <c r="G53" s="315"/>
      <c r="H53" s="315"/>
      <c r="I53" s="315"/>
      <c r="J53" s="111"/>
      <c r="K53" s="111"/>
    </row>
    <row r="54" spans="1:11" ht="24" x14ac:dyDescent="0.25">
      <c r="A54" s="214"/>
      <c r="B54" s="6"/>
      <c r="C54" s="185" t="s">
        <v>3</v>
      </c>
      <c r="D54" s="185" t="s">
        <v>0</v>
      </c>
      <c r="E54" s="185" t="s">
        <v>9</v>
      </c>
      <c r="F54" s="327" t="s">
        <v>7</v>
      </c>
      <c r="G54" s="327"/>
      <c r="H54" s="327"/>
      <c r="I54" s="185" t="s">
        <v>12</v>
      </c>
      <c r="J54" s="111"/>
      <c r="K54" s="111"/>
    </row>
    <row r="55" spans="1:11" x14ac:dyDescent="0.25">
      <c r="A55" s="214"/>
      <c r="B55" s="6"/>
      <c r="C55" s="186"/>
      <c r="D55" s="170"/>
      <c r="E55" s="161"/>
      <c r="F55" s="328"/>
      <c r="G55" s="328"/>
      <c r="H55" s="328"/>
      <c r="I55" s="163"/>
      <c r="J55" s="111"/>
      <c r="K55" s="111"/>
    </row>
    <row r="56" spans="1:11" ht="15" hidden="1" customHeight="1" x14ac:dyDescent="0.25">
      <c r="A56" s="214"/>
      <c r="B56" s="6"/>
      <c r="C56" s="129"/>
      <c r="D56" s="130"/>
      <c r="E56" s="131"/>
      <c r="F56" s="352"/>
      <c r="G56" s="353"/>
      <c r="H56" s="354"/>
      <c r="I56" s="132"/>
      <c r="J56" s="111"/>
      <c r="K56" s="111"/>
    </row>
    <row r="57" spans="1:11" x14ac:dyDescent="0.25">
      <c r="A57" s="214"/>
      <c r="B57" s="6"/>
      <c r="C57" s="309" t="s">
        <v>2</v>
      </c>
      <c r="D57" s="309"/>
      <c r="E57" s="309"/>
      <c r="F57" s="309"/>
      <c r="G57" s="309"/>
      <c r="H57" s="309"/>
      <c r="I57" s="118">
        <f>SUM(I55:I56)</f>
        <v>0</v>
      </c>
      <c r="J57" s="111"/>
      <c r="K57" s="111"/>
    </row>
    <row r="58" spans="1:11" ht="15" hidden="1" customHeight="1" x14ac:dyDescent="0.25">
      <c r="A58" s="214"/>
      <c r="B58" s="6"/>
      <c r="C58" s="310" t="s">
        <v>193</v>
      </c>
      <c r="D58" s="310"/>
      <c r="E58" s="310"/>
      <c r="F58" s="310"/>
      <c r="G58" s="310"/>
      <c r="H58" s="310"/>
      <c r="I58" s="310"/>
      <c r="J58" s="111"/>
      <c r="K58" s="111"/>
    </row>
    <row r="59" spans="1:11" ht="50.1" hidden="1" customHeight="1" x14ac:dyDescent="0.25">
      <c r="A59" s="214"/>
      <c r="B59" s="6"/>
      <c r="C59" s="311"/>
      <c r="D59" s="311"/>
      <c r="E59" s="311"/>
      <c r="F59" s="311"/>
      <c r="G59" s="311"/>
      <c r="H59" s="311"/>
      <c r="I59" s="311"/>
      <c r="J59" s="111"/>
      <c r="K59" s="111"/>
    </row>
    <row r="60" spans="1:11" x14ac:dyDescent="0.25">
      <c r="A60" s="214"/>
      <c r="B60" s="6"/>
      <c r="C60" s="1"/>
      <c r="D60" s="1"/>
      <c r="E60" s="1"/>
      <c r="F60" s="2"/>
      <c r="G60" s="2"/>
      <c r="H60" s="10"/>
      <c r="I60" s="10"/>
      <c r="J60" s="111"/>
      <c r="K60" s="111"/>
    </row>
    <row r="61" spans="1:11" x14ac:dyDescent="0.25">
      <c r="A61" s="214"/>
      <c r="B61" s="6"/>
      <c r="C61" s="315" t="s">
        <v>164</v>
      </c>
      <c r="D61" s="315"/>
      <c r="E61" s="315"/>
      <c r="F61" s="315"/>
      <c r="G61" s="315"/>
      <c r="H61" s="315"/>
      <c r="I61" s="315"/>
      <c r="J61" s="111"/>
      <c r="K61" s="111"/>
    </row>
    <row r="62" spans="1:11" ht="24" x14ac:dyDescent="0.25">
      <c r="A62" s="214"/>
      <c r="B62" s="6"/>
      <c r="C62" s="185" t="s">
        <v>3</v>
      </c>
      <c r="D62" s="185" t="s">
        <v>25</v>
      </c>
      <c r="E62" s="185" t="s">
        <v>0</v>
      </c>
      <c r="F62" s="185" t="s">
        <v>9</v>
      </c>
      <c r="G62" s="327" t="s">
        <v>7</v>
      </c>
      <c r="H62" s="327"/>
      <c r="I62" s="185" t="s">
        <v>12</v>
      </c>
      <c r="J62" s="111"/>
      <c r="K62" s="111"/>
    </row>
    <row r="63" spans="1:11" x14ac:dyDescent="0.25">
      <c r="A63" s="214"/>
      <c r="B63" s="6"/>
      <c r="C63" s="186"/>
      <c r="D63" s="163"/>
      <c r="E63" s="187"/>
      <c r="F63" s="161"/>
      <c r="G63" s="328"/>
      <c r="H63" s="328"/>
      <c r="I63" s="163"/>
      <c r="J63" s="111"/>
      <c r="K63" s="111"/>
    </row>
    <row r="64" spans="1:11" ht="15" hidden="1" customHeight="1" x14ac:dyDescent="0.25">
      <c r="A64" s="214"/>
      <c r="B64" s="6"/>
      <c r="C64" s="129"/>
      <c r="D64" s="130"/>
      <c r="E64" s="121"/>
      <c r="F64" s="131"/>
      <c r="G64" s="352"/>
      <c r="H64" s="354"/>
      <c r="I64" s="132"/>
      <c r="J64" s="111"/>
      <c r="K64" s="111"/>
    </row>
    <row r="65" spans="1:11" x14ac:dyDescent="0.25">
      <c r="A65" s="214"/>
      <c r="B65" s="6"/>
      <c r="C65" s="309" t="s">
        <v>2</v>
      </c>
      <c r="D65" s="309"/>
      <c r="E65" s="309"/>
      <c r="F65" s="309"/>
      <c r="G65" s="309"/>
      <c r="H65" s="309"/>
      <c r="I65" s="118">
        <f>SUM(I63:I64)</f>
        <v>0</v>
      </c>
      <c r="J65" s="111"/>
      <c r="K65" s="111"/>
    </row>
    <row r="66" spans="1:11" ht="15" hidden="1" customHeight="1" x14ac:dyDescent="0.25">
      <c r="A66" s="214"/>
      <c r="B66" s="6"/>
      <c r="C66" s="310" t="s">
        <v>193</v>
      </c>
      <c r="D66" s="310"/>
      <c r="E66" s="310"/>
      <c r="F66" s="310"/>
      <c r="G66" s="310"/>
      <c r="H66" s="310"/>
      <c r="I66" s="310"/>
      <c r="J66" s="111"/>
      <c r="K66" s="111"/>
    </row>
    <row r="67" spans="1:11" ht="50.1" hidden="1" customHeight="1" x14ac:dyDescent="0.25">
      <c r="A67" s="215"/>
      <c r="B67" s="6"/>
      <c r="C67" s="311"/>
      <c r="D67" s="311"/>
      <c r="E67" s="311"/>
      <c r="F67" s="311"/>
      <c r="G67" s="311"/>
      <c r="H67" s="311"/>
      <c r="I67" s="311"/>
      <c r="J67" s="111"/>
      <c r="K67" s="111"/>
    </row>
    <row r="68" spans="1:11" x14ac:dyDescent="0.25">
      <c r="A68" s="216"/>
      <c r="B68" s="6"/>
      <c r="C68" s="6"/>
      <c r="D68" s="6"/>
      <c r="E68" s="6"/>
      <c r="F68" s="6"/>
      <c r="G68" s="6"/>
      <c r="H68" s="6"/>
      <c r="I68" s="6"/>
      <c r="J68" s="111"/>
      <c r="K68" s="111"/>
    </row>
    <row r="69" spans="1:11" x14ac:dyDescent="0.25">
      <c r="A69" s="216"/>
      <c r="B69" s="6"/>
      <c r="C69" s="315" t="s">
        <v>165</v>
      </c>
      <c r="D69" s="315"/>
      <c r="E69" s="315"/>
      <c r="F69" s="315"/>
      <c r="G69" s="315"/>
      <c r="H69" s="315"/>
      <c r="I69" s="315"/>
      <c r="J69" s="111"/>
      <c r="K69" s="111"/>
    </row>
    <row r="70" spans="1:11" ht="24" x14ac:dyDescent="0.25">
      <c r="A70" s="216"/>
      <c r="B70" s="6"/>
      <c r="C70" s="327" t="s">
        <v>3</v>
      </c>
      <c r="D70" s="327"/>
      <c r="E70" s="185" t="s">
        <v>0</v>
      </c>
      <c r="F70" s="185" t="s">
        <v>9</v>
      </c>
      <c r="G70" s="327" t="s">
        <v>7</v>
      </c>
      <c r="H70" s="327"/>
      <c r="I70" s="185" t="s">
        <v>12</v>
      </c>
      <c r="J70" s="111"/>
      <c r="K70" s="111"/>
    </row>
    <row r="71" spans="1:11" x14ac:dyDescent="0.25">
      <c r="A71" s="216"/>
      <c r="B71" s="6"/>
      <c r="C71" s="329"/>
      <c r="D71" s="329"/>
      <c r="E71" s="187"/>
      <c r="F71" s="161"/>
      <c r="G71" s="328"/>
      <c r="H71" s="328"/>
      <c r="I71" s="162"/>
      <c r="J71" s="111"/>
      <c r="K71" s="111"/>
    </row>
    <row r="72" spans="1:11" ht="15" hidden="1" customHeight="1" x14ac:dyDescent="0.25">
      <c r="A72" s="216"/>
      <c r="B72" s="6"/>
      <c r="C72" s="355"/>
      <c r="D72" s="356"/>
      <c r="E72" s="121"/>
      <c r="F72" s="131"/>
      <c r="G72" s="352"/>
      <c r="H72" s="354"/>
      <c r="I72" s="132"/>
      <c r="J72" s="111"/>
      <c r="K72" s="111"/>
    </row>
    <row r="73" spans="1:11" x14ac:dyDescent="0.25">
      <c r="A73" s="216"/>
      <c r="B73" s="6"/>
      <c r="C73" s="309" t="s">
        <v>2</v>
      </c>
      <c r="D73" s="309"/>
      <c r="E73" s="309"/>
      <c r="F73" s="309"/>
      <c r="G73" s="309"/>
      <c r="H73" s="309"/>
      <c r="I73" s="118">
        <f>SUM(I71:I72)</f>
        <v>0</v>
      </c>
      <c r="J73" s="111"/>
      <c r="K73" s="111"/>
    </row>
    <row r="74" spans="1:11" ht="15" hidden="1" customHeight="1" x14ac:dyDescent="0.25">
      <c r="A74" s="216"/>
      <c r="B74" s="6"/>
      <c r="C74" s="310" t="s">
        <v>193</v>
      </c>
      <c r="D74" s="310"/>
      <c r="E74" s="310"/>
      <c r="F74" s="310"/>
      <c r="G74" s="310"/>
      <c r="H74" s="310"/>
      <c r="I74" s="310"/>
      <c r="J74" s="111"/>
      <c r="K74" s="111"/>
    </row>
    <row r="75" spans="1:11" ht="50.1" hidden="1" customHeight="1" x14ac:dyDescent="0.25">
      <c r="A75" s="216"/>
      <c r="B75" s="6"/>
      <c r="C75" s="311"/>
      <c r="D75" s="311"/>
      <c r="E75" s="311"/>
      <c r="F75" s="311"/>
      <c r="G75" s="311"/>
      <c r="H75" s="311"/>
      <c r="I75" s="311"/>
      <c r="J75" s="111"/>
      <c r="K75" s="111"/>
    </row>
    <row r="76" spans="1:11" x14ac:dyDescent="0.25">
      <c r="A76" s="214"/>
      <c r="B76" s="6"/>
      <c r="C76" s="6"/>
      <c r="D76" s="6"/>
      <c r="E76" s="6"/>
      <c r="F76" s="6"/>
      <c r="G76" s="6"/>
      <c r="H76" s="6"/>
      <c r="I76" s="6"/>
      <c r="J76" s="111"/>
      <c r="K76" s="111"/>
    </row>
    <row r="77" spans="1:11" x14ac:dyDescent="0.25">
      <c r="A77" s="214"/>
      <c r="B77" s="6"/>
      <c r="C77" s="315" t="s">
        <v>45</v>
      </c>
      <c r="D77" s="315"/>
      <c r="E77" s="315"/>
      <c r="F77" s="315"/>
      <c r="G77" s="315"/>
      <c r="H77" s="315"/>
      <c r="I77" s="315"/>
      <c r="J77" s="111"/>
      <c r="K77" s="111"/>
    </row>
    <row r="78" spans="1:11" ht="24" x14ac:dyDescent="0.25">
      <c r="A78" s="214"/>
      <c r="B78" s="6"/>
      <c r="C78" s="185" t="s">
        <v>3</v>
      </c>
      <c r="D78" s="185" t="s">
        <v>0</v>
      </c>
      <c r="E78" s="185" t="s">
        <v>9</v>
      </c>
      <c r="F78" s="327" t="s">
        <v>7</v>
      </c>
      <c r="G78" s="327"/>
      <c r="H78" s="327"/>
      <c r="I78" s="185" t="s">
        <v>12</v>
      </c>
      <c r="J78" s="111"/>
      <c r="K78" s="111"/>
    </row>
    <row r="79" spans="1:11" x14ac:dyDescent="0.25">
      <c r="A79" s="214"/>
      <c r="B79" s="6"/>
      <c r="C79" s="186"/>
      <c r="D79" s="170"/>
      <c r="E79" s="161"/>
      <c r="F79" s="328"/>
      <c r="G79" s="328"/>
      <c r="H79" s="328"/>
      <c r="I79" s="162"/>
      <c r="J79" s="111"/>
      <c r="K79" s="111"/>
    </row>
    <row r="80" spans="1:11" ht="15" hidden="1" customHeight="1" x14ac:dyDescent="0.25">
      <c r="A80" s="214"/>
      <c r="B80" s="6"/>
      <c r="C80" s="129"/>
      <c r="D80" s="130"/>
      <c r="E80" s="131"/>
      <c r="F80" s="352"/>
      <c r="G80" s="353"/>
      <c r="H80" s="354"/>
      <c r="I80" s="132"/>
      <c r="J80" s="111"/>
      <c r="K80" s="111"/>
    </row>
    <row r="81" spans="1:11" ht="21.75" customHeight="1" x14ac:dyDescent="0.25">
      <c r="A81" s="214"/>
      <c r="B81" s="6"/>
      <c r="C81" s="309" t="s">
        <v>2</v>
      </c>
      <c r="D81" s="309"/>
      <c r="E81" s="309"/>
      <c r="F81" s="309"/>
      <c r="G81" s="309"/>
      <c r="H81" s="309"/>
      <c r="I81" s="118">
        <f>SUM(I79:I80)</f>
        <v>0</v>
      </c>
      <c r="J81" s="111"/>
      <c r="K81" s="111"/>
    </row>
    <row r="82" spans="1:11" ht="15" hidden="1" customHeight="1" x14ac:dyDescent="0.25">
      <c r="A82" s="214"/>
      <c r="B82" s="6"/>
      <c r="C82" s="310" t="s">
        <v>193</v>
      </c>
      <c r="D82" s="310"/>
      <c r="E82" s="310"/>
      <c r="F82" s="310"/>
      <c r="G82" s="310"/>
      <c r="H82" s="310"/>
      <c r="I82" s="310"/>
      <c r="J82" s="111"/>
      <c r="K82" s="111"/>
    </row>
    <row r="83" spans="1:11" ht="50.1" hidden="1" customHeight="1" x14ac:dyDescent="0.25">
      <c r="A83" s="215"/>
      <c r="B83" s="6"/>
      <c r="C83" s="311"/>
      <c r="D83" s="311"/>
      <c r="E83" s="311"/>
      <c r="F83" s="311"/>
      <c r="G83" s="311"/>
      <c r="H83" s="311"/>
      <c r="I83" s="311"/>
      <c r="J83" s="111"/>
      <c r="K83" s="111"/>
    </row>
    <row r="84" spans="1:11" x14ac:dyDescent="0.25">
      <c r="A84" s="215"/>
      <c r="B84" s="6"/>
      <c r="C84" s="6"/>
      <c r="D84" s="6"/>
      <c r="E84" s="6"/>
      <c r="F84" s="6"/>
      <c r="G84" s="6"/>
      <c r="H84" s="6"/>
      <c r="I84" s="6"/>
      <c r="J84" s="111"/>
      <c r="K84" s="111"/>
    </row>
    <row r="85" spans="1:11" ht="26.1" customHeight="1" x14ac:dyDescent="0.25">
      <c r="A85" s="215"/>
      <c r="B85" s="6"/>
      <c r="C85" s="9" t="s">
        <v>35</v>
      </c>
      <c r="D85" s="6"/>
      <c r="E85" s="6"/>
      <c r="F85" s="6"/>
      <c r="G85" s="6"/>
      <c r="H85" s="6"/>
      <c r="I85" s="6"/>
      <c r="J85" s="111"/>
      <c r="K85" s="111"/>
    </row>
    <row r="86" spans="1:11" ht="26.1" customHeight="1" x14ac:dyDescent="0.25">
      <c r="A86" s="215"/>
      <c r="B86" s="6"/>
      <c r="C86" s="312" t="s">
        <v>11</v>
      </c>
      <c r="D86" s="313"/>
      <c r="E86" s="313"/>
      <c r="F86" s="313"/>
      <c r="G86" s="313"/>
      <c r="H86" s="313"/>
      <c r="I86" s="314"/>
      <c r="J86" s="111"/>
      <c r="K86" s="111"/>
    </row>
    <row r="87" spans="1:11" x14ac:dyDescent="0.25">
      <c r="A87" s="214"/>
      <c r="B87" s="6"/>
      <c r="C87" s="6"/>
      <c r="D87" s="6"/>
      <c r="E87" s="6"/>
      <c r="F87" s="6"/>
      <c r="G87" s="6"/>
      <c r="H87" s="6"/>
      <c r="I87" s="6"/>
      <c r="J87" s="111"/>
      <c r="K87" s="111"/>
    </row>
    <row r="88" spans="1:11" x14ac:dyDescent="0.25">
      <c r="A88" s="214"/>
      <c r="B88" s="6"/>
      <c r="C88" s="315" t="s">
        <v>166</v>
      </c>
      <c r="D88" s="315"/>
      <c r="E88" s="315"/>
      <c r="F88" s="315"/>
      <c r="G88" s="315"/>
      <c r="H88" s="315"/>
      <c r="I88" s="315"/>
      <c r="J88" s="111"/>
      <c r="K88" s="111"/>
    </row>
    <row r="89" spans="1:11" ht="24" x14ac:dyDescent="0.25">
      <c r="A89" s="214"/>
      <c r="B89" s="6"/>
      <c r="C89" s="185" t="s">
        <v>3</v>
      </c>
      <c r="D89" s="185" t="s">
        <v>0</v>
      </c>
      <c r="E89" s="185" t="s">
        <v>9</v>
      </c>
      <c r="F89" s="327" t="s">
        <v>7</v>
      </c>
      <c r="G89" s="327"/>
      <c r="H89" s="327"/>
      <c r="I89" s="185" t="s">
        <v>12</v>
      </c>
      <c r="J89" s="111"/>
      <c r="K89" s="111"/>
    </row>
    <row r="90" spans="1:11" x14ac:dyDescent="0.25">
      <c r="A90" s="214"/>
      <c r="B90" s="6"/>
      <c r="C90" s="186"/>
      <c r="D90" s="170"/>
      <c r="E90" s="161"/>
      <c r="F90" s="328"/>
      <c r="G90" s="328"/>
      <c r="H90" s="328"/>
      <c r="I90" s="162"/>
      <c r="J90" s="111"/>
      <c r="K90" s="111"/>
    </row>
    <row r="91" spans="1:11" ht="15" hidden="1" customHeight="1" x14ac:dyDescent="0.25">
      <c r="A91" s="214"/>
      <c r="B91" s="6"/>
      <c r="C91" s="129"/>
      <c r="D91" s="130"/>
      <c r="E91" s="131"/>
      <c r="F91" s="352"/>
      <c r="G91" s="353"/>
      <c r="H91" s="354"/>
      <c r="I91" s="132"/>
      <c r="J91" s="111"/>
      <c r="K91" s="111"/>
    </row>
    <row r="92" spans="1:11" x14ac:dyDescent="0.25">
      <c r="A92" s="214"/>
      <c r="B92" s="6"/>
      <c r="C92" s="309" t="s">
        <v>2</v>
      </c>
      <c r="D92" s="309"/>
      <c r="E92" s="309"/>
      <c r="F92" s="309"/>
      <c r="G92" s="309"/>
      <c r="H92" s="309"/>
      <c r="I92" s="118">
        <f>SUM(I90:I91)</f>
        <v>0</v>
      </c>
      <c r="J92" s="111"/>
      <c r="K92" s="111"/>
    </row>
    <row r="93" spans="1:11" ht="15" hidden="1" customHeight="1" x14ac:dyDescent="0.25">
      <c r="A93" s="214"/>
      <c r="B93" s="6"/>
      <c r="C93" s="310" t="s">
        <v>193</v>
      </c>
      <c r="D93" s="310"/>
      <c r="E93" s="310"/>
      <c r="F93" s="310"/>
      <c r="G93" s="310"/>
      <c r="H93" s="310"/>
      <c r="I93" s="310"/>
      <c r="J93" s="111"/>
      <c r="K93" s="111"/>
    </row>
    <row r="94" spans="1:11" ht="50.1" hidden="1" customHeight="1" x14ac:dyDescent="0.25">
      <c r="A94" s="215"/>
      <c r="B94" s="6"/>
      <c r="C94" s="311"/>
      <c r="D94" s="311"/>
      <c r="E94" s="311"/>
      <c r="F94" s="311"/>
      <c r="G94" s="311"/>
      <c r="H94" s="311"/>
      <c r="I94" s="311"/>
      <c r="J94" s="111"/>
      <c r="K94" s="111"/>
    </row>
    <row r="95" spans="1:11" x14ac:dyDescent="0.25">
      <c r="A95" s="215"/>
      <c r="B95" s="6"/>
      <c r="C95" s="6"/>
      <c r="D95" s="6"/>
      <c r="E95" s="6"/>
      <c r="F95" s="6"/>
      <c r="G95" s="6"/>
      <c r="H95" s="6"/>
      <c r="I95" s="6"/>
      <c r="J95" s="111"/>
      <c r="K95" s="111"/>
    </row>
    <row r="96" spans="1:11" ht="30.6" hidden="1" customHeight="1" x14ac:dyDescent="0.25">
      <c r="A96" s="215"/>
      <c r="B96" s="6"/>
      <c r="C96" s="9" t="s">
        <v>163</v>
      </c>
      <c r="D96" s="6"/>
      <c r="E96" s="6"/>
      <c r="F96" s="6"/>
      <c r="G96" s="6"/>
      <c r="H96" s="6"/>
      <c r="I96" s="6"/>
      <c r="J96" s="111"/>
      <c r="K96" s="111"/>
    </row>
    <row r="97" spans="1:11" ht="51.95" hidden="1" customHeight="1" x14ac:dyDescent="0.25">
      <c r="A97" s="215"/>
      <c r="B97" s="6"/>
      <c r="C97" s="312" t="s">
        <v>101</v>
      </c>
      <c r="D97" s="313"/>
      <c r="E97" s="313"/>
      <c r="F97" s="313"/>
      <c r="G97" s="313"/>
      <c r="H97" s="313"/>
      <c r="I97" s="314"/>
      <c r="J97" s="111"/>
      <c r="K97" s="111"/>
    </row>
    <row r="98" spans="1:11" hidden="1" x14ac:dyDescent="0.25">
      <c r="A98" s="215"/>
      <c r="B98" s="6"/>
      <c r="C98" s="6"/>
      <c r="D98" s="6"/>
      <c r="E98" s="6"/>
      <c r="F98" s="6"/>
      <c r="G98" s="6"/>
      <c r="H98" s="6"/>
      <c r="I98" s="6"/>
      <c r="J98" s="111"/>
      <c r="K98" s="111"/>
    </row>
    <row r="99" spans="1:11" hidden="1" x14ac:dyDescent="0.25">
      <c r="A99" s="215"/>
      <c r="B99" s="6"/>
      <c r="C99" s="315" t="s">
        <v>6</v>
      </c>
      <c r="D99" s="315"/>
      <c r="E99" s="315"/>
      <c r="F99" s="315"/>
      <c r="G99" s="315"/>
      <c r="H99" s="315"/>
      <c r="I99" s="315"/>
      <c r="J99" s="111"/>
      <c r="K99" s="111"/>
    </row>
    <row r="100" spans="1:11" ht="24" hidden="1" x14ac:dyDescent="0.25">
      <c r="A100" s="215"/>
      <c r="B100" s="6"/>
      <c r="C100" s="316" t="s">
        <v>213</v>
      </c>
      <c r="D100" s="317"/>
      <c r="E100" s="317"/>
      <c r="F100" s="317"/>
      <c r="G100" s="317"/>
      <c r="H100" s="318"/>
      <c r="I100" s="205" t="s">
        <v>12</v>
      </c>
      <c r="J100" s="111"/>
      <c r="K100" s="111"/>
    </row>
    <row r="101" spans="1:11" hidden="1" x14ac:dyDescent="0.25">
      <c r="A101" s="215"/>
      <c r="B101" s="6"/>
      <c r="C101" s="319"/>
      <c r="D101" s="320"/>
      <c r="E101" s="320"/>
      <c r="F101" s="320"/>
      <c r="G101" s="320"/>
      <c r="H101" s="321"/>
      <c r="I101" s="162"/>
      <c r="J101" s="111"/>
      <c r="K101" s="111"/>
    </row>
    <row r="102" spans="1:11" ht="15" hidden="1" customHeight="1" x14ac:dyDescent="0.25">
      <c r="A102" s="215"/>
      <c r="B102" s="6"/>
      <c r="C102" s="355"/>
      <c r="D102" s="356"/>
      <c r="E102" s="131"/>
      <c r="F102" s="352"/>
      <c r="G102" s="353"/>
      <c r="H102" s="354"/>
      <c r="I102" s="132"/>
      <c r="J102" s="111"/>
      <c r="K102" s="111"/>
    </row>
    <row r="103" spans="1:11" hidden="1" x14ac:dyDescent="0.25">
      <c r="A103" s="215"/>
      <c r="B103" s="6"/>
      <c r="C103" s="309" t="s">
        <v>2</v>
      </c>
      <c r="D103" s="309"/>
      <c r="E103" s="309"/>
      <c r="F103" s="309"/>
      <c r="G103" s="309"/>
      <c r="H103" s="309"/>
      <c r="I103" s="118">
        <f>SUM(I101:I102)</f>
        <v>0</v>
      </c>
      <c r="J103" s="111"/>
      <c r="K103" s="111"/>
    </row>
    <row r="104" spans="1:11" ht="15" hidden="1" customHeight="1" x14ac:dyDescent="0.25">
      <c r="A104" s="215"/>
      <c r="B104" s="6"/>
      <c r="C104" s="310" t="s">
        <v>193</v>
      </c>
      <c r="D104" s="310"/>
      <c r="E104" s="310"/>
      <c r="F104" s="310"/>
      <c r="G104" s="310"/>
      <c r="H104" s="310"/>
      <c r="I104" s="310"/>
      <c r="J104" s="111"/>
      <c r="K104" s="111"/>
    </row>
    <row r="105" spans="1:11" ht="50.1" hidden="1" customHeight="1" x14ac:dyDescent="0.25">
      <c r="A105" s="215"/>
      <c r="B105" s="6"/>
      <c r="C105" s="311"/>
      <c r="D105" s="311"/>
      <c r="E105" s="311"/>
      <c r="F105" s="311"/>
      <c r="G105" s="311"/>
      <c r="H105" s="311"/>
      <c r="I105" s="311"/>
      <c r="J105" s="111"/>
      <c r="K105" s="111"/>
    </row>
    <row r="107" spans="1:11" x14ac:dyDescent="0.25">
      <c r="C107" s="199" t="s">
        <v>202</v>
      </c>
    </row>
  </sheetData>
  <sheetProtection algorithmName="SHA-512" hashValue="2jC0Irny3DrDenEYT0O85buAZ5b718R4ltU7t30hrn3vpnCoAjypi1e0FXJ4ZOkkEhM4KX6l5UCT7Qty4sOekQ==" saltValue="+SJAi9kM/YeOtAVwtINVPw==" spinCount="100000" sheet="1" objects="1" scenarios="1"/>
  <mergeCells count="81">
    <mergeCell ref="C102:D102"/>
    <mergeCell ref="F102:H102"/>
    <mergeCell ref="C103:H103"/>
    <mergeCell ref="C104:I104"/>
    <mergeCell ref="C105:I105"/>
    <mergeCell ref="C97:I97"/>
    <mergeCell ref="C99:I99"/>
    <mergeCell ref="C100:H100"/>
    <mergeCell ref="C101:H101"/>
    <mergeCell ref="C94:I94"/>
    <mergeCell ref="F90:H90"/>
    <mergeCell ref="F91:H91"/>
    <mergeCell ref="C92:H92"/>
    <mergeCell ref="F80:H80"/>
    <mergeCell ref="C81:H81"/>
    <mergeCell ref="C82:I82"/>
    <mergeCell ref="C83:I83"/>
    <mergeCell ref="C86:I86"/>
    <mergeCell ref="C93:I93"/>
    <mergeCell ref="F79:H79"/>
    <mergeCell ref="C69:I69"/>
    <mergeCell ref="C70:D70"/>
    <mergeCell ref="G70:H70"/>
    <mergeCell ref="C71:D71"/>
    <mergeCell ref="G71:H71"/>
    <mergeCell ref="C72:D72"/>
    <mergeCell ref="G72:H72"/>
    <mergeCell ref="C73:H73"/>
    <mergeCell ref="C74:I74"/>
    <mergeCell ref="C75:I75"/>
    <mergeCell ref="C77:I77"/>
    <mergeCell ref="F78:H78"/>
    <mergeCell ref="C88:I88"/>
    <mergeCell ref="F89:H89"/>
    <mergeCell ref="C67:I67"/>
    <mergeCell ref="F55:H55"/>
    <mergeCell ref="F56:H56"/>
    <mergeCell ref="C57:H57"/>
    <mergeCell ref="C58:I58"/>
    <mergeCell ref="C59:I59"/>
    <mergeCell ref="C61:I61"/>
    <mergeCell ref="G62:H62"/>
    <mergeCell ref="G63:H63"/>
    <mergeCell ref="G64:H64"/>
    <mergeCell ref="C65:H65"/>
    <mergeCell ref="C66:I66"/>
    <mergeCell ref="F54:H54"/>
    <mergeCell ref="C37:I37"/>
    <mergeCell ref="C38:I38"/>
    <mergeCell ref="C41:I41"/>
    <mergeCell ref="G43:H43"/>
    <mergeCell ref="G44:H44"/>
    <mergeCell ref="G45:H45"/>
    <mergeCell ref="C46:H46"/>
    <mergeCell ref="C47:I47"/>
    <mergeCell ref="C48:I48"/>
    <mergeCell ref="C51:I51"/>
    <mergeCell ref="C53:I53"/>
    <mergeCell ref="C36:H36"/>
    <mergeCell ref="C23:E23"/>
    <mergeCell ref="C24:E24"/>
    <mergeCell ref="C25:E25"/>
    <mergeCell ref="C26:H26"/>
    <mergeCell ref="C27:I27"/>
    <mergeCell ref="C28:I28"/>
    <mergeCell ref="C30:I30"/>
    <mergeCell ref="C32:I32"/>
    <mergeCell ref="C35:D35"/>
    <mergeCell ref="C22:I22"/>
    <mergeCell ref="C2:I2"/>
    <mergeCell ref="C5:I5"/>
    <mergeCell ref="C7:I7"/>
    <mergeCell ref="C12:I12"/>
    <mergeCell ref="C13:E13"/>
    <mergeCell ref="C14:E14"/>
    <mergeCell ref="C15:E15"/>
    <mergeCell ref="C16:H16"/>
    <mergeCell ref="C17:I17"/>
    <mergeCell ref="C18:I18"/>
    <mergeCell ref="C20:I20"/>
    <mergeCell ref="C11:H11"/>
  </mergeCells>
  <dataValidations count="5">
    <dataValidation type="list" allowBlank="1" showInputMessage="1" showErrorMessage="1" promptTitle="Select data" prompt="from the drop-down menu" sqref="F44:F45 E55:E56 F63:F64 F71:F72 E79:E80 E102 E90:E91" xr:uid="{00000000-0002-0000-0900-000000000000}">
      <formula1>"YES,NO"</formula1>
    </dataValidation>
    <dataValidation type="decimal" allowBlank="1" showInputMessage="1" showErrorMessage="1" errorTitle="Invalid data!" error="Must be a decimal value." sqref="F24 H10 I79 I55 I44 E9:E10 I63 D63 I101 I71 F14 I90" xr:uid="{00000000-0002-0000-0900-000001000000}">
      <formula1>0</formula1>
      <formula2>1000000000</formula2>
    </dataValidation>
    <dataValidation allowBlank="1" showInputMessage="1" showErrorMessage="1" prompt="Insert comment" sqref="C18:I18 C28:I28 C38:I38 C48:I48 C59:I59 C67:I67 C75:I75 C83:I83 C94:I94 C105:I105" xr:uid="{00000000-0002-0000-0900-000002000000}"/>
    <dataValidation type="custom" operator="lessThanOrEqual" allowBlank="1" showInputMessage="1" showErrorMessage="1" errorTitle="Invalid data!" error="Must be a whole number of days or half days." sqref="H34 H24 H14 H9" xr:uid="{116F7BB5-9A6A-43E7-9020-E5A5C72E609A}">
      <formula1>AND(H9&gt;=0,MOD(H9,0.5)=0)</formula1>
    </dataValidation>
    <dataValidation type="decimal" allowBlank="1" showInputMessage="1" showErrorMessage="1" errorTitle="Invalid data!" error="Must be a decimal value" sqref="D9:D10" xr:uid="{00000000-0002-0000-0900-000003000000}">
      <formula1>0</formula1>
      <formula2>1000000000</formula2>
    </dataValidation>
  </dataValidations>
  <printOptions horizontalCentered="1" gridLines="1"/>
  <pageMargins left="0.70866141732283472" right="0.70866141732283472" top="0.74803149606299213" bottom="0.74803149606299213" header="0.31496062992125984" footer="0.31496062992125984"/>
  <pageSetup scale="53" fitToHeight="0" orientation="portrait" r:id="rId1"/>
  <headerFooter scaleWithDoc="0">
    <oddHeader>&amp;A</oddHead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AddLineUoR">
                <anchor moveWithCells="1" sizeWithCells="1">
                  <from>
                    <xdr:col>10</xdr:col>
                    <xdr:colOff>0</xdr:colOff>
                    <xdr:row>12</xdr:row>
                    <xdr:rowOff>0</xdr:rowOff>
                  </from>
                  <to>
                    <xdr:col>11</xdr:col>
                    <xdr:colOff>0</xdr:colOff>
                    <xdr:row>12</xdr:row>
                    <xdr:rowOff>485775</xdr:rowOff>
                  </to>
                </anchor>
              </controlPr>
            </control>
          </mc:Choice>
        </mc:AlternateContent>
        <mc:AlternateContent xmlns:mc="http://schemas.openxmlformats.org/markup-compatibility/2006">
          <mc:Choice Requires="x14">
            <control shapeId="14338" r:id="rId5" name="Button 2">
              <controlPr defaultSize="0" print="0" autoFill="0" autoPict="0" macro="[0]!AddLineUoR">
                <anchor moveWithCells="1" sizeWithCells="1">
                  <from>
                    <xdr:col>10</xdr:col>
                    <xdr:colOff>0</xdr:colOff>
                    <xdr:row>22</xdr:row>
                    <xdr:rowOff>0</xdr:rowOff>
                  </from>
                  <to>
                    <xdr:col>11</xdr:col>
                    <xdr:colOff>0</xdr:colOff>
                    <xdr:row>22</xdr:row>
                    <xdr:rowOff>485775</xdr:rowOff>
                  </to>
                </anchor>
              </controlPr>
            </control>
          </mc:Choice>
        </mc:AlternateContent>
        <mc:AlternateContent xmlns:mc="http://schemas.openxmlformats.org/markup-compatibility/2006">
          <mc:Choice Requires="x14">
            <control shapeId="14339" r:id="rId6" name="Button 3">
              <controlPr defaultSize="0" print="0" autoFill="0" autoPict="0" macro="[0]!AddLineUoR">
                <anchor moveWithCells="1" sizeWithCells="1">
                  <from>
                    <xdr:col>10</xdr:col>
                    <xdr:colOff>0</xdr:colOff>
                    <xdr:row>32</xdr:row>
                    <xdr:rowOff>0</xdr:rowOff>
                  </from>
                  <to>
                    <xdr:col>11</xdr:col>
                    <xdr:colOff>0</xdr:colOff>
                    <xdr:row>32</xdr:row>
                    <xdr:rowOff>485775</xdr:rowOff>
                  </to>
                </anchor>
              </controlPr>
            </control>
          </mc:Choice>
        </mc:AlternateContent>
        <mc:AlternateContent xmlns:mc="http://schemas.openxmlformats.org/markup-compatibility/2006">
          <mc:Choice Requires="x14">
            <control shapeId="14340" r:id="rId7" name="Button 4">
              <controlPr defaultSize="0" print="0" autoFill="0" autoPict="0" macro="[0]!AddLineUoR">
                <anchor moveWithCells="1" sizeWithCells="1">
                  <from>
                    <xdr:col>10</xdr:col>
                    <xdr:colOff>0</xdr:colOff>
                    <xdr:row>42</xdr:row>
                    <xdr:rowOff>0</xdr:rowOff>
                  </from>
                  <to>
                    <xdr:col>11</xdr:col>
                    <xdr:colOff>0</xdr:colOff>
                    <xdr:row>42</xdr:row>
                    <xdr:rowOff>247650</xdr:rowOff>
                  </to>
                </anchor>
              </controlPr>
            </control>
          </mc:Choice>
        </mc:AlternateContent>
        <mc:AlternateContent xmlns:mc="http://schemas.openxmlformats.org/markup-compatibility/2006">
          <mc:Choice Requires="x14">
            <control shapeId="14341" r:id="rId8" name="Button 5">
              <controlPr defaultSize="0" print="0" autoFill="0" autoPict="0" macro="[0]!AddLineUoR">
                <anchor moveWithCells="1" sizeWithCells="1">
                  <from>
                    <xdr:col>10</xdr:col>
                    <xdr:colOff>0</xdr:colOff>
                    <xdr:row>53</xdr:row>
                    <xdr:rowOff>0</xdr:rowOff>
                  </from>
                  <to>
                    <xdr:col>11</xdr:col>
                    <xdr:colOff>0</xdr:colOff>
                    <xdr:row>53</xdr:row>
                    <xdr:rowOff>428625</xdr:rowOff>
                  </to>
                </anchor>
              </controlPr>
            </control>
          </mc:Choice>
        </mc:AlternateContent>
        <mc:AlternateContent xmlns:mc="http://schemas.openxmlformats.org/markup-compatibility/2006">
          <mc:Choice Requires="x14">
            <control shapeId="14342" r:id="rId9" name="Button 6">
              <controlPr defaultSize="0" print="0" autoFill="0" autoPict="0" macro="[0]!AddLineUoR">
                <anchor moveWithCells="1" sizeWithCells="1">
                  <from>
                    <xdr:col>10</xdr:col>
                    <xdr:colOff>0</xdr:colOff>
                    <xdr:row>61</xdr:row>
                    <xdr:rowOff>0</xdr:rowOff>
                  </from>
                  <to>
                    <xdr:col>11</xdr:col>
                    <xdr:colOff>0</xdr:colOff>
                    <xdr:row>61</xdr:row>
                    <xdr:rowOff>419100</xdr:rowOff>
                  </to>
                </anchor>
              </controlPr>
            </control>
          </mc:Choice>
        </mc:AlternateContent>
        <mc:AlternateContent xmlns:mc="http://schemas.openxmlformats.org/markup-compatibility/2006">
          <mc:Choice Requires="x14">
            <control shapeId="14343" r:id="rId10" name="Button 7">
              <controlPr defaultSize="0" print="0" autoFill="0" autoPict="0" macro="[0]!AddLineUoR">
                <anchor moveWithCells="1" sizeWithCells="1">
                  <from>
                    <xdr:col>10</xdr:col>
                    <xdr:colOff>0</xdr:colOff>
                    <xdr:row>69</xdr:row>
                    <xdr:rowOff>0</xdr:rowOff>
                  </from>
                  <to>
                    <xdr:col>11</xdr:col>
                    <xdr:colOff>0</xdr:colOff>
                    <xdr:row>69</xdr:row>
                    <xdr:rowOff>428625</xdr:rowOff>
                  </to>
                </anchor>
              </controlPr>
            </control>
          </mc:Choice>
        </mc:AlternateContent>
        <mc:AlternateContent xmlns:mc="http://schemas.openxmlformats.org/markup-compatibility/2006">
          <mc:Choice Requires="x14">
            <control shapeId="14344" r:id="rId11" name="Button 8">
              <controlPr defaultSize="0" print="0" autoFill="0" autoPict="0" macro="[0]!AddLineUoR">
                <anchor moveWithCells="1" sizeWithCells="1">
                  <from>
                    <xdr:col>10</xdr:col>
                    <xdr:colOff>0</xdr:colOff>
                    <xdr:row>77</xdr:row>
                    <xdr:rowOff>0</xdr:rowOff>
                  </from>
                  <to>
                    <xdr:col>11</xdr:col>
                    <xdr:colOff>0</xdr:colOff>
                    <xdr:row>77</xdr:row>
                    <xdr:rowOff>428625</xdr:rowOff>
                  </to>
                </anchor>
              </controlPr>
            </control>
          </mc:Choice>
        </mc:AlternateContent>
        <mc:AlternateContent xmlns:mc="http://schemas.openxmlformats.org/markup-compatibility/2006">
          <mc:Choice Requires="x14">
            <control shapeId="14345" r:id="rId12" name="Button 9">
              <controlPr defaultSize="0" print="0" autoFill="0" autoPict="0" macro="[0]!AddLineUoR">
                <anchor moveWithCells="1" sizeWithCells="1">
                  <from>
                    <xdr:col>10</xdr:col>
                    <xdr:colOff>0</xdr:colOff>
                    <xdr:row>88</xdr:row>
                    <xdr:rowOff>0</xdr:rowOff>
                  </from>
                  <to>
                    <xdr:col>11</xdr:col>
                    <xdr:colOff>0</xdr:colOff>
                    <xdr:row>88</xdr:row>
                    <xdr:rowOff>428625</xdr:rowOff>
                  </to>
                </anchor>
              </controlPr>
            </control>
          </mc:Choice>
        </mc:AlternateContent>
        <mc:AlternateContent xmlns:mc="http://schemas.openxmlformats.org/markup-compatibility/2006">
          <mc:Choice Requires="x14">
            <control shapeId="14346" r:id="rId13" name="Button 10">
              <controlPr defaultSize="0" print="0" autoFill="0" autoPict="0" macro="[0]!AddLineUoR">
                <anchor moveWithCells="1" sizeWithCells="1">
                  <from>
                    <xdr:col>10</xdr:col>
                    <xdr:colOff>0</xdr:colOff>
                    <xdr:row>99</xdr:row>
                    <xdr:rowOff>0</xdr:rowOff>
                  </from>
                  <to>
                    <xdr:col>11</xdr:col>
                    <xdr:colOff>0</xdr:colOff>
                    <xdr:row>99</xdr:row>
                    <xdr:rowOff>428625</xdr:rowOff>
                  </to>
                </anchor>
              </controlPr>
            </control>
          </mc:Choice>
        </mc:AlternateContent>
        <mc:AlternateContent xmlns:mc="http://schemas.openxmlformats.org/markup-compatibility/2006">
          <mc:Choice Requires="x14">
            <control shapeId="14347" r:id="rId14" name="Button 11">
              <controlPr defaultSize="0" print="0" autoFill="0" autoPict="0" macro="[0]!AddLineUoR">
                <anchor moveWithCells="1" sizeWithCells="1">
                  <from>
                    <xdr:col>10</xdr:col>
                    <xdr:colOff>0</xdr:colOff>
                    <xdr:row>7</xdr:row>
                    <xdr:rowOff>0</xdr:rowOff>
                  </from>
                  <to>
                    <xdr:col>11</xdr:col>
                    <xdr:colOff>0</xdr:colOff>
                    <xdr:row>7</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Title="Invalid data!" error="Country must be selected from the list." xr:uid="{00000000-0002-0000-0900-000004000000}">
          <x14:formula1>
            <xm:f>'Countries&amp;Coefficients'!$A$2:$A$29</xm:f>
          </x14:formula1>
          <xm:sqref>E34</xm:sqref>
        </x14:dataValidation>
        <x14:dataValidation type="list" allowBlank="1" showInputMessage="1" showErrorMessage="1" errorTitle="Invalid WP" error="You need to select the WP from the drop-down list." xr:uid="{00000000-0002-0000-0900-000005000000}">
          <x14:formula1>
            <xm:f>ListActivitiesReported!#REF!</xm:f>
          </x14:formula1>
          <xm:sqref>G9:G10 D79 E71 E63 D55 E44 D34 G24 G14 D90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theme="7" tint="0.79998168889431442"/>
    <pageSetUpPr fitToPage="1"/>
  </sheetPr>
  <dimension ref="A1:K107"/>
  <sheetViews>
    <sheetView showGridLines="0" showRowColHeaders="0" zoomScaleNormal="100" zoomScaleSheetLayoutView="85" workbookViewId="0">
      <pane ySplit="1" topLeftCell="A2" activePane="bottomLeft" state="frozen"/>
      <selection pane="bottomLeft" activeCell="C2" sqref="C2:I2"/>
    </sheetView>
  </sheetViews>
  <sheetFormatPr defaultRowHeight="15" x14ac:dyDescent="0.25"/>
  <cols>
    <col min="1" max="2" width="2.7109375" style="11" customWidth="1"/>
    <col min="3" max="9" width="24.140625" style="11" customWidth="1"/>
    <col min="10" max="10" width="3.140625" style="11" customWidth="1"/>
    <col min="11" max="11" width="11.140625" style="11" customWidth="1"/>
  </cols>
  <sheetData>
    <row r="1" spans="1:11" ht="21" customHeight="1" x14ac:dyDescent="0.25">
      <c r="A1" s="3"/>
      <c r="B1" s="4"/>
      <c r="C1" s="6"/>
      <c r="D1" s="117" t="str">
        <f ca="1">HYPERLINK("#"&amp;CELL("address",C4), C4)</f>
        <v>A. Personnel costs</v>
      </c>
      <c r="E1" s="117" t="str">
        <f ca="1">HYPERLINK("#"&amp;CELL("address",C40), C40)</f>
        <v>B. Subcontracting</v>
      </c>
      <c r="F1" s="117" t="str">
        <f ca="1">HYPERLINK("#"&amp;CELL("address",C50), C50)</f>
        <v>C. Purchases</v>
      </c>
      <c r="G1" s="117" t="str">
        <f ca="1">HYPERLINK("#"&amp;CELL("address",C85), C85)</f>
        <v>D. Other cost categories</v>
      </c>
      <c r="H1" s="117"/>
      <c r="I1" s="4"/>
      <c r="J1" s="111"/>
      <c r="K1" s="111"/>
    </row>
    <row r="2" spans="1:11" ht="27" customHeight="1" x14ac:dyDescent="0.25">
      <c r="A2" s="5"/>
      <c r="B2" s="6"/>
      <c r="C2" s="343" t="s">
        <v>197</v>
      </c>
      <c r="D2" s="344"/>
      <c r="E2" s="344"/>
      <c r="F2" s="344"/>
      <c r="G2" s="344"/>
      <c r="H2" s="344"/>
      <c r="I2" s="345"/>
      <c r="J2" s="111"/>
      <c r="K2" s="111"/>
    </row>
    <row r="3" spans="1:11" ht="12.95" customHeight="1" x14ac:dyDescent="0.25">
      <c r="A3" s="5"/>
      <c r="B3" s="6"/>
      <c r="C3" s="6"/>
      <c r="D3" s="6"/>
      <c r="E3" s="6"/>
      <c r="F3" s="6"/>
      <c r="G3" s="6"/>
      <c r="H3" s="6"/>
      <c r="I3" s="6"/>
      <c r="J3" s="111"/>
      <c r="K3" s="111"/>
    </row>
    <row r="4" spans="1:11" ht="39.950000000000003" customHeight="1" x14ac:dyDescent="0.25">
      <c r="A4" s="5"/>
      <c r="B4" s="6"/>
      <c r="C4" s="183" t="s">
        <v>32</v>
      </c>
      <c r="D4" s="183"/>
      <c r="E4" s="6"/>
      <c r="F4" s="6"/>
      <c r="G4" s="6"/>
      <c r="H4" s="8"/>
      <c r="I4" s="6"/>
      <c r="J4" s="111"/>
      <c r="K4" s="111"/>
    </row>
    <row r="5" spans="1:11" ht="39.950000000000003" customHeight="1" x14ac:dyDescent="0.25">
      <c r="A5" s="5"/>
      <c r="B5" s="6"/>
      <c r="C5" s="330" t="s">
        <v>150</v>
      </c>
      <c r="D5" s="330"/>
      <c r="E5" s="330"/>
      <c r="F5" s="330"/>
      <c r="G5" s="330"/>
      <c r="H5" s="330"/>
      <c r="I5" s="330"/>
      <c r="J5" s="111"/>
      <c r="K5" s="111"/>
    </row>
    <row r="6" spans="1:11" ht="15" customHeight="1" x14ac:dyDescent="0.25">
      <c r="A6" s="5"/>
      <c r="B6" s="6"/>
      <c r="C6" s="6"/>
      <c r="D6" s="6"/>
      <c r="E6" s="6"/>
      <c r="F6" s="6"/>
      <c r="G6" s="6"/>
      <c r="H6" s="8"/>
      <c r="I6" s="6"/>
      <c r="J6" s="111"/>
      <c r="K6" s="111"/>
    </row>
    <row r="7" spans="1:11" ht="14.45" customHeight="1" x14ac:dyDescent="0.25">
      <c r="A7" s="5"/>
      <c r="B7" s="6"/>
      <c r="C7" s="315" t="s">
        <v>21</v>
      </c>
      <c r="D7" s="315"/>
      <c r="E7" s="315"/>
      <c r="F7" s="315"/>
      <c r="G7" s="315"/>
      <c r="H7" s="315"/>
      <c r="I7" s="315"/>
      <c r="J7" s="111"/>
      <c r="K7" s="111"/>
    </row>
    <row r="8" spans="1:11" s="20" customFormat="1" ht="36" x14ac:dyDescent="0.25">
      <c r="A8" s="19"/>
      <c r="B8" s="19"/>
      <c r="C8" s="185" t="s">
        <v>20</v>
      </c>
      <c r="D8" s="185" t="s">
        <v>15</v>
      </c>
      <c r="E8" s="185" t="s">
        <v>16</v>
      </c>
      <c r="F8" s="185" t="s">
        <v>17</v>
      </c>
      <c r="G8" s="185" t="s">
        <v>19</v>
      </c>
      <c r="H8" s="185" t="s">
        <v>107</v>
      </c>
      <c r="I8" s="185" t="s">
        <v>18</v>
      </c>
      <c r="J8" s="111"/>
      <c r="K8" s="19"/>
    </row>
    <row r="9" spans="1:11" ht="14.45" customHeight="1" x14ac:dyDescent="0.25">
      <c r="A9" s="5"/>
      <c r="B9" s="6"/>
      <c r="C9" s="164"/>
      <c r="D9" s="165"/>
      <c r="E9" s="164"/>
      <c r="F9" s="166">
        <f>IFERROR(D9/E9,0)</f>
        <v>0</v>
      </c>
      <c r="G9" s="187"/>
      <c r="H9" s="164"/>
      <c r="I9" s="166">
        <f>IFERROR(F9*H9,0)</f>
        <v>0</v>
      </c>
      <c r="J9" s="111"/>
      <c r="K9" s="111"/>
    </row>
    <row r="10" spans="1:11" ht="14.45" hidden="1" customHeight="1" x14ac:dyDescent="0.25">
      <c r="A10" s="5"/>
      <c r="B10" s="6"/>
      <c r="C10" s="178"/>
      <c r="D10" s="179"/>
      <c r="E10" s="178"/>
      <c r="F10" s="180"/>
      <c r="G10" s="181"/>
      <c r="H10" s="178"/>
      <c r="I10" s="180"/>
      <c r="J10" s="111"/>
      <c r="K10" s="111"/>
    </row>
    <row r="11" spans="1:11" ht="14.45" customHeight="1" x14ac:dyDescent="0.25">
      <c r="A11" s="5"/>
      <c r="B11" s="6"/>
      <c r="C11" s="309" t="s">
        <v>2</v>
      </c>
      <c r="D11" s="309"/>
      <c r="E11" s="309"/>
      <c r="F11" s="309"/>
      <c r="G11" s="309"/>
      <c r="H11" s="309"/>
      <c r="I11" s="118">
        <f>SUM(I9:I10)</f>
        <v>0</v>
      </c>
      <c r="J11" s="111"/>
      <c r="K11" s="111"/>
    </row>
    <row r="12" spans="1:11" ht="14.45" customHeight="1" x14ac:dyDescent="0.25">
      <c r="A12" s="5"/>
      <c r="B12" s="6"/>
      <c r="C12" s="315" t="s">
        <v>168</v>
      </c>
      <c r="D12" s="315"/>
      <c r="E12" s="315"/>
      <c r="F12" s="315"/>
      <c r="G12" s="315"/>
      <c r="H12" s="315"/>
      <c r="I12" s="315"/>
      <c r="J12" s="111"/>
      <c r="K12" s="111"/>
    </row>
    <row r="13" spans="1:11" s="20" customFormat="1" ht="36" x14ac:dyDescent="0.25">
      <c r="A13" s="19"/>
      <c r="B13" s="19"/>
      <c r="C13" s="327" t="s">
        <v>20</v>
      </c>
      <c r="D13" s="327"/>
      <c r="E13" s="327"/>
      <c r="F13" s="185" t="s">
        <v>104</v>
      </c>
      <c r="G13" s="185" t="s">
        <v>19</v>
      </c>
      <c r="H13" s="185" t="s">
        <v>106</v>
      </c>
      <c r="I13" s="185" t="s">
        <v>26</v>
      </c>
      <c r="J13" s="111"/>
      <c r="K13" s="19"/>
    </row>
    <row r="14" spans="1:11" x14ac:dyDescent="0.25">
      <c r="A14" s="5"/>
      <c r="B14" s="6"/>
      <c r="C14" s="304"/>
      <c r="D14" s="304"/>
      <c r="E14" s="304"/>
      <c r="F14" s="162"/>
      <c r="G14" s="187"/>
      <c r="H14" s="164"/>
      <c r="I14" s="166">
        <f>IFERROR(F14*H14,0)</f>
        <v>0</v>
      </c>
      <c r="J14" s="111"/>
      <c r="K14" s="111"/>
    </row>
    <row r="15" spans="1:11" ht="15" hidden="1" customHeight="1" x14ac:dyDescent="0.25">
      <c r="A15" s="5"/>
      <c r="B15" s="6"/>
      <c r="C15" s="346"/>
      <c r="D15" s="347"/>
      <c r="E15" s="348"/>
      <c r="F15" s="122"/>
      <c r="G15" s="123"/>
      <c r="H15" s="123"/>
      <c r="I15" s="120"/>
      <c r="J15" s="111"/>
      <c r="K15" s="111"/>
    </row>
    <row r="16" spans="1:11" x14ac:dyDescent="0.25">
      <c r="A16" s="5"/>
      <c r="B16" s="6"/>
      <c r="C16" s="309" t="s">
        <v>2</v>
      </c>
      <c r="D16" s="309"/>
      <c r="E16" s="309"/>
      <c r="F16" s="309"/>
      <c r="G16" s="309"/>
      <c r="H16" s="309"/>
      <c r="I16" s="118">
        <f>SUM(I14:I15)</f>
        <v>0</v>
      </c>
      <c r="J16" s="111"/>
      <c r="K16" s="111"/>
    </row>
    <row r="17" spans="1:11" ht="15" hidden="1" customHeight="1" x14ac:dyDescent="0.25">
      <c r="A17" s="5"/>
      <c r="B17" s="6"/>
      <c r="C17" s="310" t="s">
        <v>193</v>
      </c>
      <c r="D17" s="310"/>
      <c r="E17" s="310"/>
      <c r="F17" s="310"/>
      <c r="G17" s="310"/>
      <c r="H17" s="310"/>
      <c r="I17" s="310"/>
      <c r="J17" s="111"/>
      <c r="K17" s="111"/>
    </row>
    <row r="18" spans="1:11" ht="50.1" hidden="1" customHeight="1" x14ac:dyDescent="0.25">
      <c r="A18" s="5"/>
      <c r="B18" s="6"/>
      <c r="C18" s="311"/>
      <c r="D18" s="311"/>
      <c r="E18" s="311"/>
      <c r="F18" s="311"/>
      <c r="G18" s="311"/>
      <c r="H18" s="311"/>
      <c r="I18" s="311"/>
      <c r="J18" s="111"/>
      <c r="K18" s="111"/>
    </row>
    <row r="19" spans="1:11" ht="15" customHeight="1" x14ac:dyDescent="0.25">
      <c r="A19" s="5"/>
      <c r="B19" s="6"/>
      <c r="C19" s="6"/>
      <c r="D19" s="6"/>
      <c r="E19" s="6"/>
      <c r="F19" s="6"/>
      <c r="G19" s="6"/>
      <c r="H19" s="8"/>
      <c r="I19" s="6"/>
      <c r="J19" s="111"/>
      <c r="K19" s="111"/>
    </row>
    <row r="20" spans="1:11" ht="39.950000000000003" customHeight="1" x14ac:dyDescent="0.25">
      <c r="A20" s="5"/>
      <c r="B20" s="6"/>
      <c r="C20" s="330" t="s">
        <v>100</v>
      </c>
      <c r="D20" s="330"/>
      <c r="E20" s="330"/>
      <c r="F20" s="330"/>
      <c r="G20" s="330"/>
      <c r="H20" s="330"/>
      <c r="I20" s="330"/>
      <c r="J20" s="111"/>
      <c r="K20" s="111"/>
    </row>
    <row r="21" spans="1:11" ht="15" customHeight="1" x14ac:dyDescent="0.25">
      <c r="A21" s="5"/>
      <c r="B21" s="6"/>
      <c r="C21" s="6"/>
      <c r="D21" s="6"/>
      <c r="E21" s="6"/>
      <c r="F21" s="6"/>
      <c r="G21" s="6"/>
      <c r="H21" s="8"/>
      <c r="I21" s="6"/>
      <c r="J21" s="111"/>
      <c r="K21" s="111"/>
    </row>
    <row r="22" spans="1:11" ht="15" customHeight="1" x14ac:dyDescent="0.25">
      <c r="A22" s="5"/>
      <c r="B22" s="6"/>
      <c r="C22" s="339" t="s">
        <v>149</v>
      </c>
      <c r="D22" s="339"/>
      <c r="E22" s="339"/>
      <c r="F22" s="339"/>
      <c r="G22" s="339"/>
      <c r="H22" s="339"/>
      <c r="I22" s="339"/>
      <c r="J22" s="111"/>
      <c r="K22" s="111"/>
    </row>
    <row r="23" spans="1:11" s="20" customFormat="1" ht="36" x14ac:dyDescent="0.25">
      <c r="A23" s="19"/>
      <c r="B23" s="19"/>
      <c r="C23" s="327" t="s">
        <v>20</v>
      </c>
      <c r="D23" s="327"/>
      <c r="E23" s="327"/>
      <c r="F23" s="185" t="s">
        <v>105</v>
      </c>
      <c r="G23" s="185" t="s">
        <v>19</v>
      </c>
      <c r="H23" s="185" t="s">
        <v>106</v>
      </c>
      <c r="I23" s="185" t="s">
        <v>26</v>
      </c>
      <c r="J23" s="111"/>
      <c r="K23" s="19"/>
    </row>
    <row r="24" spans="1:11" x14ac:dyDescent="0.25">
      <c r="A24" s="5"/>
      <c r="B24" s="6"/>
      <c r="C24" s="304"/>
      <c r="D24" s="304"/>
      <c r="E24" s="304"/>
      <c r="F24" s="162"/>
      <c r="G24" s="187"/>
      <c r="H24" s="164"/>
      <c r="I24" s="166">
        <f>IFERROR(F24*H24,0)</f>
        <v>0</v>
      </c>
      <c r="J24" s="111"/>
      <c r="K24" s="111"/>
    </row>
    <row r="25" spans="1:11" ht="15" hidden="1" customHeight="1" x14ac:dyDescent="0.25">
      <c r="A25" s="5"/>
      <c r="B25" s="6"/>
      <c r="C25" s="346"/>
      <c r="D25" s="347"/>
      <c r="E25" s="348"/>
      <c r="F25" s="124"/>
      <c r="G25" s="123"/>
      <c r="H25" s="123"/>
      <c r="I25" s="120"/>
      <c r="J25" s="111"/>
      <c r="K25" s="111"/>
    </row>
    <row r="26" spans="1:11" x14ac:dyDescent="0.25">
      <c r="A26" s="5"/>
      <c r="B26" s="6"/>
      <c r="C26" s="309" t="s">
        <v>2</v>
      </c>
      <c r="D26" s="309"/>
      <c r="E26" s="309"/>
      <c r="F26" s="309"/>
      <c r="G26" s="309"/>
      <c r="H26" s="309"/>
      <c r="I26" s="118">
        <f>SUM(I24:I25)</f>
        <v>0</v>
      </c>
      <c r="J26" s="111"/>
      <c r="K26" s="111"/>
    </row>
    <row r="27" spans="1:11" ht="15" hidden="1" customHeight="1" x14ac:dyDescent="0.25">
      <c r="A27" s="5"/>
      <c r="B27" s="6"/>
      <c r="C27" s="310" t="s">
        <v>193</v>
      </c>
      <c r="D27" s="310"/>
      <c r="E27" s="310"/>
      <c r="F27" s="310"/>
      <c r="G27" s="310"/>
      <c r="H27" s="310"/>
      <c r="I27" s="310"/>
      <c r="J27" s="111"/>
      <c r="K27" s="111"/>
    </row>
    <row r="28" spans="1:11" ht="50.1" hidden="1" customHeight="1" x14ac:dyDescent="0.25">
      <c r="A28" s="5"/>
      <c r="B28" s="6"/>
      <c r="C28" s="311"/>
      <c r="D28" s="311"/>
      <c r="E28" s="311"/>
      <c r="F28" s="311"/>
      <c r="G28" s="311"/>
      <c r="H28" s="311"/>
      <c r="I28" s="311"/>
      <c r="J28" s="111"/>
      <c r="K28" s="111"/>
    </row>
    <row r="29" spans="1:11" ht="15" customHeight="1" x14ac:dyDescent="0.25">
      <c r="A29" s="5"/>
      <c r="B29" s="6"/>
      <c r="C29" s="6"/>
      <c r="D29" s="6"/>
      <c r="E29" s="6"/>
      <c r="F29" s="6"/>
      <c r="G29" s="6"/>
      <c r="H29" s="8"/>
      <c r="I29" s="6"/>
      <c r="J29" s="111"/>
      <c r="K29" s="111"/>
    </row>
    <row r="30" spans="1:11" ht="39.950000000000003" customHeight="1" x14ac:dyDescent="0.25">
      <c r="A30" s="5"/>
      <c r="B30" s="6"/>
      <c r="C30" s="330" t="s">
        <v>24</v>
      </c>
      <c r="D30" s="330"/>
      <c r="E30" s="330"/>
      <c r="F30" s="330"/>
      <c r="G30" s="330"/>
      <c r="H30" s="330"/>
      <c r="I30" s="330"/>
      <c r="J30" s="111"/>
      <c r="K30" s="111"/>
    </row>
    <row r="31" spans="1:11" ht="15" customHeight="1" x14ac:dyDescent="0.25">
      <c r="A31" s="5"/>
      <c r="B31" s="6"/>
      <c r="C31" s="6"/>
      <c r="D31" s="6"/>
      <c r="E31" s="6"/>
      <c r="F31" s="6"/>
      <c r="G31" s="6"/>
      <c r="H31" s="8"/>
      <c r="I31" s="6"/>
      <c r="J31" s="111"/>
      <c r="K31" s="111"/>
    </row>
    <row r="32" spans="1:11" ht="14.45" customHeight="1" x14ac:dyDescent="0.25">
      <c r="A32" s="5"/>
      <c r="B32" s="6"/>
      <c r="C32" s="315" t="s">
        <v>169</v>
      </c>
      <c r="D32" s="315"/>
      <c r="E32" s="315"/>
      <c r="F32" s="315"/>
      <c r="G32" s="315"/>
      <c r="H32" s="315"/>
      <c r="I32" s="315"/>
      <c r="J32" s="111"/>
      <c r="K32" s="111"/>
    </row>
    <row r="33" spans="1:11" s="20" customFormat="1" ht="48" x14ac:dyDescent="0.25">
      <c r="A33" s="19"/>
      <c r="B33" s="19"/>
      <c r="C33" s="185" t="s">
        <v>22</v>
      </c>
      <c r="D33" s="185" t="s">
        <v>19</v>
      </c>
      <c r="E33" s="185" t="s">
        <v>23</v>
      </c>
      <c r="F33" s="207" t="s">
        <v>226</v>
      </c>
      <c r="G33" s="208" t="s">
        <v>229</v>
      </c>
      <c r="H33" s="208" t="s">
        <v>228</v>
      </c>
      <c r="I33" s="207" t="s">
        <v>227</v>
      </c>
      <c r="J33" s="116"/>
      <c r="K33" s="19"/>
    </row>
    <row r="34" spans="1:11" x14ac:dyDescent="0.25">
      <c r="A34" s="5"/>
      <c r="B34" s="6"/>
      <c r="C34" s="164"/>
      <c r="D34" s="187"/>
      <c r="E34" s="187"/>
      <c r="F34" s="167">
        <f>IF(E34="",0,VLOOKUP(E34,'Countries&amp;Coefficients'!$A$2:$B$29,2,0))</f>
        <v>0</v>
      </c>
      <c r="G34" s="168">
        <f>5080/18</f>
        <v>282.22222222222223</v>
      </c>
      <c r="H34" s="164"/>
      <c r="I34" s="166">
        <f>IFERROR(F34*G34*H34,0)</f>
        <v>0</v>
      </c>
      <c r="J34" s="111"/>
      <c r="K34" s="111"/>
    </row>
    <row r="35" spans="1:11" ht="15" hidden="1" customHeight="1" x14ac:dyDescent="0.25">
      <c r="A35" s="5"/>
      <c r="B35" s="6"/>
      <c r="C35" s="346"/>
      <c r="D35" s="348"/>
      <c r="E35" s="123"/>
      <c r="F35" s="123"/>
      <c r="G35" s="122"/>
      <c r="H35" s="123"/>
      <c r="I35" s="120"/>
      <c r="J35" s="111"/>
      <c r="K35" s="111"/>
    </row>
    <row r="36" spans="1:11" x14ac:dyDescent="0.25">
      <c r="A36" s="5"/>
      <c r="B36" s="6"/>
      <c r="C36" s="309" t="s">
        <v>2</v>
      </c>
      <c r="D36" s="309"/>
      <c r="E36" s="309"/>
      <c r="F36" s="309"/>
      <c r="G36" s="309"/>
      <c r="H36" s="309"/>
      <c r="I36" s="118">
        <f>SUM(I33:I35)</f>
        <v>0</v>
      </c>
      <c r="J36" s="111"/>
      <c r="K36" s="111"/>
    </row>
    <row r="37" spans="1:11" ht="15" hidden="1" customHeight="1" x14ac:dyDescent="0.25">
      <c r="A37" s="5"/>
      <c r="B37" s="6"/>
      <c r="C37" s="310" t="s">
        <v>193</v>
      </c>
      <c r="D37" s="310"/>
      <c r="E37" s="310"/>
      <c r="F37" s="310"/>
      <c r="G37" s="310"/>
      <c r="H37" s="310"/>
      <c r="I37" s="310"/>
      <c r="J37" s="111"/>
      <c r="K37" s="111"/>
    </row>
    <row r="38" spans="1:11" ht="50.1" hidden="1" customHeight="1" x14ac:dyDescent="0.25">
      <c r="A38" s="5"/>
      <c r="B38" s="6"/>
      <c r="C38" s="311"/>
      <c r="D38" s="311"/>
      <c r="E38" s="311"/>
      <c r="F38" s="311"/>
      <c r="G38" s="311"/>
      <c r="H38" s="311"/>
      <c r="I38" s="311"/>
      <c r="J38" s="111"/>
      <c r="K38" s="111"/>
    </row>
    <row r="39" spans="1:11" x14ac:dyDescent="0.25">
      <c r="A39" s="5"/>
      <c r="B39" s="6"/>
      <c r="C39" s="6"/>
      <c r="D39" s="6"/>
      <c r="E39" s="6"/>
      <c r="F39" s="6"/>
      <c r="G39" s="6"/>
      <c r="H39" s="6"/>
      <c r="I39" s="6"/>
      <c r="J39" s="111"/>
      <c r="K39" s="111"/>
    </row>
    <row r="40" spans="1:11" ht="38.450000000000003" customHeight="1" x14ac:dyDescent="0.25">
      <c r="A40" s="5"/>
      <c r="B40" s="6"/>
      <c r="C40" s="9" t="s">
        <v>42</v>
      </c>
      <c r="D40" s="6"/>
      <c r="E40" s="6"/>
      <c r="F40" s="6"/>
      <c r="G40" s="6"/>
      <c r="H40" s="6"/>
      <c r="I40" s="6"/>
      <c r="J40" s="111"/>
      <c r="K40" s="111"/>
    </row>
    <row r="41" spans="1:11" ht="51" customHeight="1" x14ac:dyDescent="0.25">
      <c r="A41" s="5"/>
      <c r="B41" s="6"/>
      <c r="C41" s="330" t="s">
        <v>10</v>
      </c>
      <c r="D41" s="330"/>
      <c r="E41" s="330"/>
      <c r="F41" s="330"/>
      <c r="G41" s="330"/>
      <c r="H41" s="330"/>
      <c r="I41" s="330"/>
      <c r="J41" s="111"/>
      <c r="K41" s="111"/>
    </row>
    <row r="42" spans="1:11" ht="15" customHeight="1" x14ac:dyDescent="0.25">
      <c r="A42" s="5"/>
      <c r="B42" s="6"/>
      <c r="C42" s="6"/>
      <c r="D42" s="6"/>
      <c r="E42" s="6"/>
      <c r="F42" s="6"/>
      <c r="G42" s="6"/>
      <c r="H42" s="6"/>
      <c r="I42" s="6"/>
      <c r="J42" s="111"/>
      <c r="K42" s="111"/>
    </row>
    <row r="43" spans="1:11" ht="23.25" x14ac:dyDescent="0.25">
      <c r="A43" s="5"/>
      <c r="B43" s="6"/>
      <c r="C43" s="189" t="s">
        <v>5</v>
      </c>
      <c r="D43" s="189" t="s">
        <v>1</v>
      </c>
      <c r="E43" s="189" t="s">
        <v>0</v>
      </c>
      <c r="F43" s="189" t="s">
        <v>9</v>
      </c>
      <c r="G43" s="331" t="s">
        <v>8</v>
      </c>
      <c r="H43" s="331"/>
      <c r="I43" s="189" t="s">
        <v>4</v>
      </c>
      <c r="J43" s="111"/>
      <c r="K43" s="111"/>
    </row>
    <row r="44" spans="1:11" x14ac:dyDescent="0.25">
      <c r="A44" s="5"/>
      <c r="B44" s="6"/>
      <c r="C44" s="188"/>
      <c r="D44" s="169"/>
      <c r="E44" s="161"/>
      <c r="F44" s="161"/>
      <c r="G44" s="332"/>
      <c r="H44" s="332"/>
      <c r="I44" s="163"/>
      <c r="J44" s="111"/>
      <c r="K44" s="111"/>
    </row>
    <row r="45" spans="1:11" ht="15" hidden="1" customHeight="1" x14ac:dyDescent="0.25">
      <c r="A45" s="5"/>
      <c r="B45" s="6"/>
      <c r="C45" s="125"/>
      <c r="D45" s="126"/>
      <c r="E45" s="126"/>
      <c r="F45" s="127"/>
      <c r="G45" s="349"/>
      <c r="H45" s="350"/>
      <c r="I45" s="128"/>
      <c r="J45" s="111"/>
      <c r="K45" s="111"/>
    </row>
    <row r="46" spans="1:11" x14ac:dyDescent="0.25">
      <c r="A46" s="5"/>
      <c r="B46" s="6"/>
      <c r="C46" s="335" t="s">
        <v>2</v>
      </c>
      <c r="D46" s="335"/>
      <c r="E46" s="335"/>
      <c r="F46" s="335"/>
      <c r="G46" s="335"/>
      <c r="H46" s="335"/>
      <c r="I46" s="119">
        <f>SUM(I44:I45)</f>
        <v>0</v>
      </c>
      <c r="J46" s="111"/>
      <c r="K46" s="111"/>
    </row>
    <row r="47" spans="1:11" ht="15" hidden="1" customHeight="1" x14ac:dyDescent="0.25">
      <c r="A47" s="5"/>
      <c r="B47" s="6"/>
      <c r="C47" s="336" t="s">
        <v>193</v>
      </c>
      <c r="D47" s="336"/>
      <c r="E47" s="336"/>
      <c r="F47" s="336"/>
      <c r="G47" s="336"/>
      <c r="H47" s="336"/>
      <c r="I47" s="336"/>
      <c r="J47" s="111"/>
      <c r="K47" s="111"/>
    </row>
    <row r="48" spans="1:11" ht="50.1" hidden="1" customHeight="1" x14ac:dyDescent="0.25">
      <c r="A48" s="5"/>
      <c r="B48" s="6"/>
      <c r="C48" s="311"/>
      <c r="D48" s="311"/>
      <c r="E48" s="311"/>
      <c r="F48" s="311"/>
      <c r="G48" s="311"/>
      <c r="H48" s="311"/>
      <c r="I48" s="311"/>
      <c r="J48" s="111"/>
      <c r="K48" s="111"/>
    </row>
    <row r="49" spans="1:11" x14ac:dyDescent="0.25">
      <c r="A49" s="5"/>
      <c r="B49" s="6"/>
      <c r="C49" s="6"/>
      <c r="D49" s="6"/>
      <c r="E49" s="6"/>
      <c r="F49" s="6"/>
      <c r="G49" s="6"/>
      <c r="H49" s="6"/>
      <c r="I49" s="6"/>
      <c r="J49" s="111"/>
      <c r="K49" s="111"/>
    </row>
    <row r="50" spans="1:11" ht="27.95" customHeight="1" x14ac:dyDescent="0.25">
      <c r="A50" s="5"/>
      <c r="B50" s="6"/>
      <c r="C50" s="9" t="s">
        <v>162</v>
      </c>
      <c r="D50" s="6"/>
      <c r="E50" s="6"/>
      <c r="F50" s="6"/>
      <c r="G50" s="6"/>
      <c r="H50" s="6"/>
      <c r="I50" s="6"/>
      <c r="J50" s="111"/>
      <c r="K50" s="111"/>
    </row>
    <row r="51" spans="1:11" ht="39" customHeight="1" x14ac:dyDescent="0.25">
      <c r="A51" s="5"/>
      <c r="B51" s="6"/>
      <c r="C51" s="337" t="s">
        <v>13</v>
      </c>
      <c r="D51" s="337"/>
      <c r="E51" s="337"/>
      <c r="F51" s="337"/>
      <c r="G51" s="337"/>
      <c r="H51" s="351"/>
      <c r="I51" s="351"/>
      <c r="J51" s="111"/>
      <c r="K51" s="111"/>
    </row>
    <row r="52" spans="1:11" x14ac:dyDescent="0.25">
      <c r="A52" s="5"/>
      <c r="B52" s="6"/>
      <c r="C52" s="6"/>
      <c r="D52" s="6"/>
      <c r="E52" s="6"/>
      <c r="F52" s="6"/>
      <c r="G52" s="6"/>
      <c r="H52" s="6"/>
      <c r="I52" s="6"/>
      <c r="J52" s="111"/>
      <c r="K52" s="111"/>
    </row>
    <row r="53" spans="1:11" x14ac:dyDescent="0.25">
      <c r="A53" s="5"/>
      <c r="B53" s="6"/>
      <c r="C53" s="315" t="s">
        <v>43</v>
      </c>
      <c r="D53" s="315"/>
      <c r="E53" s="315"/>
      <c r="F53" s="315"/>
      <c r="G53" s="315"/>
      <c r="H53" s="315"/>
      <c r="I53" s="315"/>
      <c r="J53" s="111"/>
      <c r="K53" s="111"/>
    </row>
    <row r="54" spans="1:11" ht="24" x14ac:dyDescent="0.25">
      <c r="A54" s="5"/>
      <c r="B54" s="6"/>
      <c r="C54" s="185" t="s">
        <v>3</v>
      </c>
      <c r="D54" s="185" t="s">
        <v>0</v>
      </c>
      <c r="E54" s="185" t="s">
        <v>9</v>
      </c>
      <c r="F54" s="327" t="s">
        <v>7</v>
      </c>
      <c r="G54" s="327"/>
      <c r="H54" s="327"/>
      <c r="I54" s="185" t="s">
        <v>12</v>
      </c>
      <c r="J54" s="111"/>
      <c r="K54" s="111"/>
    </row>
    <row r="55" spans="1:11" x14ac:dyDescent="0.25">
      <c r="A55" s="5"/>
      <c r="B55" s="6"/>
      <c r="C55" s="186"/>
      <c r="D55" s="170"/>
      <c r="E55" s="161"/>
      <c r="F55" s="328"/>
      <c r="G55" s="328"/>
      <c r="H55" s="328"/>
      <c r="I55" s="163"/>
      <c r="J55" s="111"/>
      <c r="K55" s="111"/>
    </row>
    <row r="56" spans="1:11" ht="15" hidden="1" customHeight="1" x14ac:dyDescent="0.25">
      <c r="A56" s="5"/>
      <c r="B56" s="6"/>
      <c r="C56" s="129"/>
      <c r="D56" s="130"/>
      <c r="E56" s="131"/>
      <c r="F56" s="352"/>
      <c r="G56" s="353"/>
      <c r="H56" s="354"/>
      <c r="I56" s="132"/>
      <c r="J56" s="111"/>
      <c r="K56" s="111"/>
    </row>
    <row r="57" spans="1:11" x14ac:dyDescent="0.25">
      <c r="A57" s="5"/>
      <c r="B57" s="6"/>
      <c r="C57" s="309" t="s">
        <v>2</v>
      </c>
      <c r="D57" s="309"/>
      <c r="E57" s="309"/>
      <c r="F57" s="309"/>
      <c r="G57" s="309"/>
      <c r="H57" s="309"/>
      <c r="I57" s="118">
        <f>SUM(I55:I56)</f>
        <v>0</v>
      </c>
      <c r="J57" s="111"/>
      <c r="K57" s="111"/>
    </row>
    <row r="58" spans="1:11" ht="15" hidden="1" customHeight="1" x14ac:dyDescent="0.25">
      <c r="A58" s="5"/>
      <c r="B58" s="6"/>
      <c r="C58" s="310" t="s">
        <v>193</v>
      </c>
      <c r="D58" s="310"/>
      <c r="E58" s="310"/>
      <c r="F58" s="310"/>
      <c r="G58" s="310"/>
      <c r="H58" s="310"/>
      <c r="I58" s="310"/>
      <c r="J58" s="111"/>
      <c r="K58" s="111"/>
    </row>
    <row r="59" spans="1:11" ht="50.1" hidden="1" customHeight="1" x14ac:dyDescent="0.25">
      <c r="A59" s="5"/>
      <c r="B59" s="6"/>
      <c r="C59" s="311"/>
      <c r="D59" s="311"/>
      <c r="E59" s="311"/>
      <c r="F59" s="311"/>
      <c r="G59" s="311"/>
      <c r="H59" s="311"/>
      <c r="I59" s="311"/>
      <c r="J59" s="111"/>
      <c r="K59" s="111"/>
    </row>
    <row r="60" spans="1:11" x14ac:dyDescent="0.25">
      <c r="A60" s="5"/>
      <c r="B60" s="6"/>
      <c r="C60" s="1"/>
      <c r="D60" s="1"/>
      <c r="E60" s="1"/>
      <c r="F60" s="2"/>
      <c r="G60" s="2"/>
      <c r="H60" s="10"/>
      <c r="I60" s="10"/>
      <c r="J60" s="111"/>
      <c r="K60" s="111"/>
    </row>
    <row r="61" spans="1:11" x14ac:dyDescent="0.25">
      <c r="A61" s="5"/>
      <c r="B61" s="6"/>
      <c r="C61" s="315" t="s">
        <v>164</v>
      </c>
      <c r="D61" s="315"/>
      <c r="E61" s="315"/>
      <c r="F61" s="315"/>
      <c r="G61" s="315"/>
      <c r="H61" s="315"/>
      <c r="I61" s="315"/>
      <c r="J61" s="111"/>
      <c r="K61" s="111"/>
    </row>
    <row r="62" spans="1:11" ht="24" x14ac:dyDescent="0.25">
      <c r="A62" s="5"/>
      <c r="B62" s="6"/>
      <c r="C62" s="185" t="s">
        <v>3</v>
      </c>
      <c r="D62" s="185" t="s">
        <v>25</v>
      </c>
      <c r="E62" s="185" t="s">
        <v>0</v>
      </c>
      <c r="F62" s="185" t="s">
        <v>9</v>
      </c>
      <c r="G62" s="327" t="s">
        <v>7</v>
      </c>
      <c r="H62" s="327"/>
      <c r="I62" s="185" t="s">
        <v>12</v>
      </c>
      <c r="J62" s="111"/>
      <c r="K62" s="111"/>
    </row>
    <row r="63" spans="1:11" x14ac:dyDescent="0.25">
      <c r="A63" s="5"/>
      <c r="B63" s="6"/>
      <c r="C63" s="186"/>
      <c r="D63" s="163"/>
      <c r="E63" s="187"/>
      <c r="F63" s="161"/>
      <c r="G63" s="328"/>
      <c r="H63" s="328"/>
      <c r="I63" s="163"/>
      <c r="J63" s="111"/>
      <c r="K63" s="111"/>
    </row>
    <row r="64" spans="1:11" ht="15" hidden="1" customHeight="1" x14ac:dyDescent="0.25">
      <c r="A64" s="5"/>
      <c r="B64" s="6"/>
      <c r="C64" s="129"/>
      <c r="D64" s="130"/>
      <c r="E64" s="121"/>
      <c r="F64" s="131"/>
      <c r="G64" s="352"/>
      <c r="H64" s="354"/>
      <c r="I64" s="132"/>
      <c r="J64" s="111"/>
      <c r="K64" s="111"/>
    </row>
    <row r="65" spans="1:11" x14ac:dyDescent="0.25">
      <c r="A65" s="5"/>
      <c r="B65" s="6"/>
      <c r="C65" s="309" t="s">
        <v>2</v>
      </c>
      <c r="D65" s="309"/>
      <c r="E65" s="309"/>
      <c r="F65" s="309"/>
      <c r="G65" s="309"/>
      <c r="H65" s="309"/>
      <c r="I65" s="118">
        <f>SUM(I63:I64)</f>
        <v>0</v>
      </c>
      <c r="J65" s="111"/>
      <c r="K65" s="111"/>
    </row>
    <row r="66" spans="1:11" ht="15" hidden="1" customHeight="1" x14ac:dyDescent="0.25">
      <c r="A66" s="5"/>
      <c r="B66" s="6"/>
      <c r="C66" s="310" t="s">
        <v>193</v>
      </c>
      <c r="D66" s="310"/>
      <c r="E66" s="310"/>
      <c r="F66" s="310"/>
      <c r="G66" s="310"/>
      <c r="H66" s="310"/>
      <c r="I66" s="310"/>
      <c r="J66" s="111"/>
      <c r="K66" s="111"/>
    </row>
    <row r="67" spans="1:11" ht="50.1" hidden="1" customHeight="1" x14ac:dyDescent="0.25">
      <c r="A67" s="6"/>
      <c r="B67" s="6"/>
      <c r="C67" s="311"/>
      <c r="D67" s="311"/>
      <c r="E67" s="311"/>
      <c r="F67" s="311"/>
      <c r="G67" s="311"/>
      <c r="H67" s="311"/>
      <c r="I67" s="311"/>
      <c r="J67" s="111"/>
      <c r="K67" s="111"/>
    </row>
    <row r="68" spans="1:11" x14ac:dyDescent="0.25">
      <c r="A68" s="7"/>
      <c r="B68" s="6"/>
      <c r="C68" s="6"/>
      <c r="D68" s="6"/>
      <c r="E68" s="6"/>
      <c r="F68" s="6"/>
      <c r="G68" s="6"/>
      <c r="H68" s="6"/>
      <c r="I68" s="6"/>
      <c r="J68" s="111"/>
      <c r="K68" s="111"/>
    </row>
    <row r="69" spans="1:11" x14ac:dyDescent="0.25">
      <c r="A69" s="7"/>
      <c r="B69" s="6"/>
      <c r="C69" s="315" t="s">
        <v>165</v>
      </c>
      <c r="D69" s="315"/>
      <c r="E69" s="315"/>
      <c r="F69" s="315"/>
      <c r="G69" s="315"/>
      <c r="H69" s="315"/>
      <c r="I69" s="315"/>
      <c r="J69" s="111"/>
      <c r="K69" s="111"/>
    </row>
    <row r="70" spans="1:11" ht="24" x14ac:dyDescent="0.25">
      <c r="A70" s="7"/>
      <c r="B70" s="6"/>
      <c r="C70" s="327" t="s">
        <v>3</v>
      </c>
      <c r="D70" s="327"/>
      <c r="E70" s="185" t="s">
        <v>0</v>
      </c>
      <c r="F70" s="185" t="s">
        <v>9</v>
      </c>
      <c r="G70" s="327" t="s">
        <v>7</v>
      </c>
      <c r="H70" s="327"/>
      <c r="I70" s="185" t="s">
        <v>12</v>
      </c>
      <c r="J70" s="111"/>
      <c r="K70" s="111"/>
    </row>
    <row r="71" spans="1:11" x14ac:dyDescent="0.25">
      <c r="A71" s="7"/>
      <c r="B71" s="6"/>
      <c r="C71" s="329"/>
      <c r="D71" s="329"/>
      <c r="E71" s="187"/>
      <c r="F71" s="161"/>
      <c r="G71" s="328"/>
      <c r="H71" s="328"/>
      <c r="I71" s="162"/>
      <c r="J71" s="111"/>
      <c r="K71" s="111"/>
    </row>
    <row r="72" spans="1:11" ht="15" hidden="1" customHeight="1" x14ac:dyDescent="0.25">
      <c r="A72" s="7"/>
      <c r="B72" s="6"/>
      <c r="C72" s="355"/>
      <c r="D72" s="356"/>
      <c r="E72" s="121"/>
      <c r="F72" s="131"/>
      <c r="G72" s="352"/>
      <c r="H72" s="354"/>
      <c r="I72" s="132"/>
      <c r="J72" s="111"/>
      <c r="K72" s="111"/>
    </row>
    <row r="73" spans="1:11" x14ac:dyDescent="0.25">
      <c r="A73" s="7"/>
      <c r="B73" s="6"/>
      <c r="C73" s="309" t="s">
        <v>2</v>
      </c>
      <c r="D73" s="309"/>
      <c r="E73" s="309"/>
      <c r="F73" s="309"/>
      <c r="G73" s="309"/>
      <c r="H73" s="309"/>
      <c r="I73" s="118">
        <f>SUM(I71:I72)</f>
        <v>0</v>
      </c>
      <c r="J73" s="111"/>
      <c r="K73" s="111"/>
    </row>
    <row r="74" spans="1:11" ht="15" hidden="1" customHeight="1" x14ac:dyDescent="0.25">
      <c r="A74" s="7"/>
      <c r="B74" s="6"/>
      <c r="C74" s="310" t="s">
        <v>193</v>
      </c>
      <c r="D74" s="310"/>
      <c r="E74" s="310"/>
      <c r="F74" s="310"/>
      <c r="G74" s="310"/>
      <c r="H74" s="310"/>
      <c r="I74" s="310"/>
      <c r="J74" s="111"/>
      <c r="K74" s="111"/>
    </row>
    <row r="75" spans="1:11" ht="50.1" hidden="1" customHeight="1" x14ac:dyDescent="0.25">
      <c r="A75" s="7"/>
      <c r="B75" s="6"/>
      <c r="C75" s="311"/>
      <c r="D75" s="311"/>
      <c r="E75" s="311"/>
      <c r="F75" s="311"/>
      <c r="G75" s="311"/>
      <c r="H75" s="311"/>
      <c r="I75" s="311"/>
      <c r="J75" s="111"/>
      <c r="K75" s="111"/>
    </row>
    <row r="76" spans="1:11" x14ac:dyDescent="0.25">
      <c r="A76" s="5"/>
      <c r="B76" s="6"/>
      <c r="C76" s="6"/>
      <c r="D76" s="6"/>
      <c r="E76" s="6"/>
      <c r="F76" s="6"/>
      <c r="G76" s="6"/>
      <c r="H76" s="6"/>
      <c r="I76" s="6"/>
      <c r="J76" s="111"/>
      <c r="K76" s="111"/>
    </row>
    <row r="77" spans="1:11" x14ac:dyDescent="0.25">
      <c r="A77" s="5"/>
      <c r="B77" s="6"/>
      <c r="C77" s="315" t="s">
        <v>45</v>
      </c>
      <c r="D77" s="315"/>
      <c r="E77" s="315"/>
      <c r="F77" s="315"/>
      <c r="G77" s="315"/>
      <c r="H77" s="315"/>
      <c r="I77" s="315"/>
      <c r="J77" s="111"/>
      <c r="K77" s="111"/>
    </row>
    <row r="78" spans="1:11" ht="24" x14ac:dyDescent="0.25">
      <c r="A78" s="5"/>
      <c r="B78" s="6"/>
      <c r="C78" s="185" t="s">
        <v>3</v>
      </c>
      <c r="D78" s="185" t="s">
        <v>0</v>
      </c>
      <c r="E78" s="185" t="s">
        <v>9</v>
      </c>
      <c r="F78" s="327" t="s">
        <v>7</v>
      </c>
      <c r="G78" s="327"/>
      <c r="H78" s="327"/>
      <c r="I78" s="185" t="s">
        <v>12</v>
      </c>
      <c r="J78" s="111"/>
      <c r="K78" s="111"/>
    </row>
    <row r="79" spans="1:11" x14ac:dyDescent="0.25">
      <c r="A79" s="5"/>
      <c r="B79" s="6"/>
      <c r="C79" s="186"/>
      <c r="D79" s="170"/>
      <c r="E79" s="161"/>
      <c r="F79" s="328"/>
      <c r="G79" s="328"/>
      <c r="H79" s="328"/>
      <c r="I79" s="162"/>
      <c r="J79" s="111"/>
      <c r="K79" s="111"/>
    </row>
    <row r="80" spans="1:11" ht="15" hidden="1" customHeight="1" x14ac:dyDescent="0.25">
      <c r="A80" s="5"/>
      <c r="B80" s="6"/>
      <c r="C80" s="129"/>
      <c r="D80" s="130"/>
      <c r="E80" s="131"/>
      <c r="F80" s="352"/>
      <c r="G80" s="353"/>
      <c r="H80" s="354"/>
      <c r="I80" s="132"/>
      <c r="J80" s="111"/>
      <c r="K80" s="111"/>
    </row>
    <row r="81" spans="1:11" ht="21.75" customHeight="1" x14ac:dyDescent="0.25">
      <c r="A81" s="5"/>
      <c r="B81" s="6"/>
      <c r="C81" s="309" t="s">
        <v>2</v>
      </c>
      <c r="D81" s="309"/>
      <c r="E81" s="309"/>
      <c r="F81" s="309"/>
      <c r="G81" s="309"/>
      <c r="H81" s="309"/>
      <c r="I81" s="118">
        <f>SUM(I79:I80)</f>
        <v>0</v>
      </c>
      <c r="J81" s="111"/>
      <c r="K81" s="111"/>
    </row>
    <row r="82" spans="1:11" ht="15" hidden="1" customHeight="1" x14ac:dyDescent="0.25">
      <c r="A82" s="5"/>
      <c r="B82" s="6"/>
      <c r="C82" s="310" t="s">
        <v>193</v>
      </c>
      <c r="D82" s="310"/>
      <c r="E82" s="310"/>
      <c r="F82" s="310"/>
      <c r="G82" s="310"/>
      <c r="H82" s="310"/>
      <c r="I82" s="310"/>
      <c r="J82" s="111"/>
      <c r="K82" s="111"/>
    </row>
    <row r="83" spans="1:11" ht="50.1" hidden="1" customHeight="1" x14ac:dyDescent="0.25">
      <c r="A83" s="6"/>
      <c r="B83" s="6"/>
      <c r="C83" s="311"/>
      <c r="D83" s="311"/>
      <c r="E83" s="311"/>
      <c r="F83" s="311"/>
      <c r="G83" s="311"/>
      <c r="H83" s="311"/>
      <c r="I83" s="311"/>
      <c r="J83" s="111"/>
      <c r="K83" s="111"/>
    </row>
    <row r="84" spans="1:11" x14ac:dyDescent="0.25">
      <c r="A84" s="6"/>
      <c r="B84" s="6"/>
      <c r="C84" s="6"/>
      <c r="D84" s="6"/>
      <c r="E84" s="6"/>
      <c r="F84" s="6"/>
      <c r="G84" s="6"/>
      <c r="H84" s="6"/>
      <c r="I84" s="6"/>
      <c r="J84" s="111"/>
      <c r="K84" s="111"/>
    </row>
    <row r="85" spans="1:11" ht="26.1" customHeight="1" x14ac:dyDescent="0.25">
      <c r="A85" s="6"/>
      <c r="B85" s="6"/>
      <c r="C85" s="9" t="s">
        <v>35</v>
      </c>
      <c r="D85" s="6"/>
      <c r="E85" s="6"/>
      <c r="F85" s="6"/>
      <c r="G85" s="6"/>
      <c r="H85" s="6"/>
      <c r="I85" s="6"/>
      <c r="J85" s="111"/>
      <c r="K85" s="111"/>
    </row>
    <row r="86" spans="1:11" ht="26.1" customHeight="1" x14ac:dyDescent="0.25">
      <c r="A86" s="6"/>
      <c r="B86" s="6"/>
      <c r="C86" s="312" t="s">
        <v>11</v>
      </c>
      <c r="D86" s="313"/>
      <c r="E86" s="313"/>
      <c r="F86" s="313"/>
      <c r="G86" s="313"/>
      <c r="H86" s="313"/>
      <c r="I86" s="314"/>
      <c r="J86" s="111"/>
      <c r="K86" s="111"/>
    </row>
    <row r="87" spans="1:11" x14ac:dyDescent="0.25">
      <c r="A87" s="5"/>
      <c r="B87" s="6"/>
      <c r="C87" s="6"/>
      <c r="D87" s="6"/>
      <c r="E87" s="6"/>
      <c r="F87" s="6"/>
      <c r="G87" s="6"/>
      <c r="H87" s="6"/>
      <c r="I87" s="6"/>
      <c r="J87" s="111"/>
      <c r="K87" s="111"/>
    </row>
    <row r="88" spans="1:11" x14ac:dyDescent="0.25">
      <c r="A88" s="5"/>
      <c r="B88" s="6"/>
      <c r="C88" s="315" t="s">
        <v>166</v>
      </c>
      <c r="D88" s="315"/>
      <c r="E88" s="315"/>
      <c r="F88" s="315"/>
      <c r="G88" s="315"/>
      <c r="H88" s="315"/>
      <c r="I88" s="315"/>
      <c r="J88" s="111"/>
      <c r="K88" s="111"/>
    </row>
    <row r="89" spans="1:11" ht="24" x14ac:dyDescent="0.25">
      <c r="A89" s="5"/>
      <c r="B89" s="6"/>
      <c r="C89" s="185" t="s">
        <v>3</v>
      </c>
      <c r="D89" s="185" t="s">
        <v>0</v>
      </c>
      <c r="E89" s="185" t="s">
        <v>9</v>
      </c>
      <c r="F89" s="327" t="s">
        <v>7</v>
      </c>
      <c r="G89" s="327"/>
      <c r="H89" s="327"/>
      <c r="I89" s="185" t="s">
        <v>12</v>
      </c>
      <c r="J89" s="111"/>
      <c r="K89" s="111"/>
    </row>
    <row r="90" spans="1:11" x14ac:dyDescent="0.25">
      <c r="A90" s="5"/>
      <c r="B90" s="6"/>
      <c r="C90" s="186"/>
      <c r="D90" s="170"/>
      <c r="E90" s="161"/>
      <c r="F90" s="328"/>
      <c r="G90" s="328"/>
      <c r="H90" s="328"/>
      <c r="I90" s="162"/>
      <c r="J90" s="111"/>
      <c r="K90" s="111"/>
    </row>
    <row r="91" spans="1:11" ht="15" hidden="1" customHeight="1" x14ac:dyDescent="0.25">
      <c r="A91" s="5"/>
      <c r="B91" s="6"/>
      <c r="C91" s="129"/>
      <c r="D91" s="130"/>
      <c r="E91" s="131"/>
      <c r="F91" s="352"/>
      <c r="G91" s="353"/>
      <c r="H91" s="354"/>
      <c r="I91" s="132"/>
      <c r="J91" s="111"/>
      <c r="K91" s="111"/>
    </row>
    <row r="92" spans="1:11" x14ac:dyDescent="0.25">
      <c r="A92" s="5"/>
      <c r="B92" s="6"/>
      <c r="C92" s="309" t="s">
        <v>2</v>
      </c>
      <c r="D92" s="309"/>
      <c r="E92" s="309"/>
      <c r="F92" s="309"/>
      <c r="G92" s="309"/>
      <c r="H92" s="309"/>
      <c r="I92" s="118">
        <f>SUM(I90:I91)</f>
        <v>0</v>
      </c>
      <c r="J92" s="111"/>
      <c r="K92" s="111"/>
    </row>
    <row r="93" spans="1:11" ht="15" hidden="1" customHeight="1" x14ac:dyDescent="0.25">
      <c r="A93" s="5"/>
      <c r="B93" s="6"/>
      <c r="C93" s="310" t="s">
        <v>193</v>
      </c>
      <c r="D93" s="310"/>
      <c r="E93" s="310"/>
      <c r="F93" s="310"/>
      <c r="G93" s="310"/>
      <c r="H93" s="310"/>
      <c r="I93" s="310"/>
      <c r="J93" s="111"/>
      <c r="K93" s="111"/>
    </row>
    <row r="94" spans="1:11" ht="50.1" hidden="1" customHeight="1" x14ac:dyDescent="0.25">
      <c r="A94" s="6"/>
      <c r="B94" s="6"/>
      <c r="C94" s="311"/>
      <c r="D94" s="311"/>
      <c r="E94" s="311"/>
      <c r="F94" s="311"/>
      <c r="G94" s="311"/>
      <c r="H94" s="311"/>
      <c r="I94" s="311"/>
      <c r="J94" s="111"/>
      <c r="K94" s="111"/>
    </row>
    <row r="95" spans="1:11" x14ac:dyDescent="0.25">
      <c r="A95" s="6"/>
      <c r="B95" s="6"/>
      <c r="C95" s="6"/>
      <c r="D95" s="6"/>
      <c r="E95" s="6"/>
      <c r="F95" s="6"/>
      <c r="G95" s="6"/>
      <c r="H95" s="6"/>
      <c r="I95" s="6"/>
      <c r="J95" s="111"/>
      <c r="K95" s="111"/>
    </row>
    <row r="96" spans="1:11" ht="30.6" hidden="1" customHeight="1" x14ac:dyDescent="0.25">
      <c r="A96" s="6"/>
      <c r="B96" s="6"/>
      <c r="C96" s="9" t="s">
        <v>163</v>
      </c>
      <c r="D96" s="6"/>
      <c r="E96" s="6"/>
      <c r="F96" s="6"/>
      <c r="G96" s="6"/>
      <c r="H96" s="6"/>
      <c r="I96" s="6"/>
      <c r="J96" s="111"/>
      <c r="K96" s="111"/>
    </row>
    <row r="97" spans="1:11" ht="51.95" hidden="1" customHeight="1" x14ac:dyDescent="0.25">
      <c r="A97" s="6"/>
      <c r="B97" s="6"/>
      <c r="C97" s="312" t="s">
        <v>101</v>
      </c>
      <c r="D97" s="313"/>
      <c r="E97" s="313"/>
      <c r="F97" s="313"/>
      <c r="G97" s="313"/>
      <c r="H97" s="313"/>
      <c r="I97" s="314"/>
      <c r="J97" s="111"/>
      <c r="K97" s="111"/>
    </row>
    <row r="98" spans="1:11" hidden="1" x14ac:dyDescent="0.25">
      <c r="A98" s="6"/>
      <c r="B98" s="6"/>
      <c r="C98" s="6"/>
      <c r="D98" s="6"/>
      <c r="E98" s="6"/>
      <c r="F98" s="6"/>
      <c r="G98" s="6"/>
      <c r="H98" s="6"/>
      <c r="I98" s="6"/>
      <c r="J98" s="111"/>
      <c r="K98" s="111"/>
    </row>
    <row r="99" spans="1:11" hidden="1" x14ac:dyDescent="0.25">
      <c r="A99" s="6"/>
      <c r="B99" s="6"/>
      <c r="C99" s="315" t="s">
        <v>6</v>
      </c>
      <c r="D99" s="315"/>
      <c r="E99" s="315"/>
      <c r="F99" s="315"/>
      <c r="G99" s="315"/>
      <c r="H99" s="315"/>
      <c r="I99" s="315"/>
      <c r="J99" s="111"/>
      <c r="K99" s="111"/>
    </row>
    <row r="100" spans="1:11" ht="24" hidden="1" x14ac:dyDescent="0.25">
      <c r="A100" s="6"/>
      <c r="B100" s="6"/>
      <c r="C100" s="316" t="s">
        <v>213</v>
      </c>
      <c r="D100" s="317"/>
      <c r="E100" s="317"/>
      <c r="F100" s="317"/>
      <c r="G100" s="317"/>
      <c r="H100" s="318"/>
      <c r="I100" s="205" t="s">
        <v>12</v>
      </c>
      <c r="J100" s="111"/>
      <c r="K100" s="111"/>
    </row>
    <row r="101" spans="1:11" hidden="1" x14ac:dyDescent="0.25">
      <c r="A101" s="6"/>
      <c r="B101" s="6"/>
      <c r="C101" s="319"/>
      <c r="D101" s="320"/>
      <c r="E101" s="320"/>
      <c r="F101" s="320"/>
      <c r="G101" s="320"/>
      <c r="H101" s="321"/>
      <c r="I101" s="162"/>
      <c r="J101" s="111"/>
      <c r="K101" s="111"/>
    </row>
    <row r="102" spans="1:11" ht="15" hidden="1" customHeight="1" x14ac:dyDescent="0.25">
      <c r="A102" s="6"/>
      <c r="B102" s="6"/>
      <c r="C102" s="355"/>
      <c r="D102" s="356"/>
      <c r="E102" s="131"/>
      <c r="F102" s="352"/>
      <c r="G102" s="353"/>
      <c r="H102" s="354"/>
      <c r="I102" s="132"/>
      <c r="J102" s="111"/>
      <c r="K102" s="111"/>
    </row>
    <row r="103" spans="1:11" hidden="1" x14ac:dyDescent="0.25">
      <c r="A103" s="6"/>
      <c r="B103" s="6"/>
      <c r="C103" s="309" t="s">
        <v>2</v>
      </c>
      <c r="D103" s="309"/>
      <c r="E103" s="309"/>
      <c r="F103" s="309"/>
      <c r="G103" s="309"/>
      <c r="H103" s="309"/>
      <c r="I103" s="118">
        <f>SUM(I101:I102)</f>
        <v>0</v>
      </c>
      <c r="J103" s="111"/>
      <c r="K103" s="111"/>
    </row>
    <row r="104" spans="1:11" ht="15" hidden="1" customHeight="1" x14ac:dyDescent="0.25">
      <c r="A104" s="6"/>
      <c r="B104" s="6"/>
      <c r="C104" s="310" t="s">
        <v>193</v>
      </c>
      <c r="D104" s="310"/>
      <c r="E104" s="310"/>
      <c r="F104" s="310"/>
      <c r="G104" s="310"/>
      <c r="H104" s="310"/>
      <c r="I104" s="310"/>
      <c r="J104" s="111"/>
      <c r="K104" s="111"/>
    </row>
    <row r="105" spans="1:11" ht="50.1" hidden="1" customHeight="1" x14ac:dyDescent="0.25">
      <c r="A105" s="6"/>
      <c r="B105" s="6"/>
      <c r="C105" s="311"/>
      <c r="D105" s="311"/>
      <c r="E105" s="311"/>
      <c r="F105" s="311"/>
      <c r="G105" s="311"/>
      <c r="H105" s="311"/>
      <c r="I105" s="311"/>
      <c r="J105" s="111"/>
      <c r="K105" s="111"/>
    </row>
    <row r="107" spans="1:11" x14ac:dyDescent="0.25">
      <c r="C107" s="199" t="s">
        <v>202</v>
      </c>
    </row>
  </sheetData>
  <sheetProtection algorithmName="SHA-512" hashValue="EVM6NJXRlMesQQJjF9kuh5qC6wRdhPVkF9UhTLh1M97zRMysSDrzRZPcwl27R7g3qXi9B2DmjAMgiwNd7Sd6aQ==" saltValue="U4JAJLuK9ZfbrL5RPn9sgA==" spinCount="100000" sheet="1" objects="1" scenarios="1"/>
  <mergeCells count="81">
    <mergeCell ref="C102:D102"/>
    <mergeCell ref="F102:H102"/>
    <mergeCell ref="C103:H103"/>
    <mergeCell ref="C104:I104"/>
    <mergeCell ref="C105:I105"/>
    <mergeCell ref="C97:I97"/>
    <mergeCell ref="C99:I99"/>
    <mergeCell ref="C100:H100"/>
    <mergeCell ref="C101:H101"/>
    <mergeCell ref="C94:I94"/>
    <mergeCell ref="F90:H90"/>
    <mergeCell ref="F91:H91"/>
    <mergeCell ref="C92:H92"/>
    <mergeCell ref="F80:H80"/>
    <mergeCell ref="C81:H81"/>
    <mergeCell ref="C82:I82"/>
    <mergeCell ref="C83:I83"/>
    <mergeCell ref="C86:I86"/>
    <mergeCell ref="C93:I93"/>
    <mergeCell ref="F79:H79"/>
    <mergeCell ref="C69:I69"/>
    <mergeCell ref="C70:D70"/>
    <mergeCell ref="G70:H70"/>
    <mergeCell ref="C71:D71"/>
    <mergeCell ref="G71:H71"/>
    <mergeCell ref="C72:D72"/>
    <mergeCell ref="G72:H72"/>
    <mergeCell ref="C73:H73"/>
    <mergeCell ref="C74:I74"/>
    <mergeCell ref="C75:I75"/>
    <mergeCell ref="C77:I77"/>
    <mergeCell ref="F78:H78"/>
    <mergeCell ref="C88:I88"/>
    <mergeCell ref="F89:H89"/>
    <mergeCell ref="C67:I67"/>
    <mergeCell ref="F55:H55"/>
    <mergeCell ref="F56:H56"/>
    <mergeCell ref="C57:H57"/>
    <mergeCell ref="C58:I58"/>
    <mergeCell ref="C59:I59"/>
    <mergeCell ref="C61:I61"/>
    <mergeCell ref="G62:H62"/>
    <mergeCell ref="G63:H63"/>
    <mergeCell ref="G64:H64"/>
    <mergeCell ref="C65:H65"/>
    <mergeCell ref="C66:I66"/>
    <mergeCell ref="F54:H54"/>
    <mergeCell ref="C37:I37"/>
    <mergeCell ref="C38:I38"/>
    <mergeCell ref="C41:I41"/>
    <mergeCell ref="G43:H43"/>
    <mergeCell ref="G44:H44"/>
    <mergeCell ref="G45:H45"/>
    <mergeCell ref="C46:H46"/>
    <mergeCell ref="C47:I47"/>
    <mergeCell ref="C48:I48"/>
    <mergeCell ref="C51:I51"/>
    <mergeCell ref="C53:I53"/>
    <mergeCell ref="C36:H36"/>
    <mergeCell ref="C23:E23"/>
    <mergeCell ref="C24:E24"/>
    <mergeCell ref="C25:E25"/>
    <mergeCell ref="C26:H26"/>
    <mergeCell ref="C27:I27"/>
    <mergeCell ref="C28:I28"/>
    <mergeCell ref="C30:I30"/>
    <mergeCell ref="C32:I32"/>
    <mergeCell ref="C35:D35"/>
    <mergeCell ref="C22:I22"/>
    <mergeCell ref="C2:I2"/>
    <mergeCell ref="C5:I5"/>
    <mergeCell ref="C7:I7"/>
    <mergeCell ref="C12:I12"/>
    <mergeCell ref="C13:E13"/>
    <mergeCell ref="C14:E14"/>
    <mergeCell ref="C15:E15"/>
    <mergeCell ref="C16:H16"/>
    <mergeCell ref="C17:I17"/>
    <mergeCell ref="C18:I18"/>
    <mergeCell ref="C20:I20"/>
    <mergeCell ref="C11:H11"/>
  </mergeCells>
  <dataValidations count="5">
    <dataValidation type="list" allowBlank="1" showInputMessage="1" showErrorMessage="1" promptTitle="Select data" prompt="from the drop-down menu" sqref="F44:F45 E55:E56 F63:F64 F71:F72 E79:E80 E90:E91 E102" xr:uid="{00000000-0002-0000-0A00-000000000000}">
      <formula1>"YES,NO"</formula1>
    </dataValidation>
    <dataValidation type="decimal" allowBlank="1" showInputMessage="1" showErrorMessage="1" errorTitle="Invalid data!" error="Must be a decimal value." sqref="F24 F14 H10 E9:E10 I55 I44 I90 I63 D63 I101 I71 I79" xr:uid="{00000000-0002-0000-0A00-000001000000}">
      <formula1>0</formula1>
      <formula2>1000000000</formula2>
    </dataValidation>
    <dataValidation allowBlank="1" showInputMessage="1" showErrorMessage="1" prompt="Insert comment" sqref="C18:I18 C28:I28 C38:I38 C48:I48 C59:I59 C67:I67 C75:I75 C83:I83 C94:I94 C105:I105" xr:uid="{00000000-0002-0000-0A00-000002000000}"/>
    <dataValidation type="decimal" allowBlank="1" showInputMessage="1" showErrorMessage="1" errorTitle="Invalid data!" error="Must be a decimal value" sqref="D9:D10" xr:uid="{00000000-0002-0000-0A00-000003000000}">
      <formula1>0</formula1>
      <formula2>1000000000</formula2>
    </dataValidation>
    <dataValidation type="custom" operator="lessThanOrEqual" allowBlank="1" showInputMessage="1" showErrorMessage="1" errorTitle="Invalid data!" error="Must be a whole number of days or half days." sqref="H9 H14 H24 H34" xr:uid="{70145FE0-E7D0-46B6-B391-5911089C27E8}">
      <formula1>AND(H9&gt;=0,MOD(H9,0.5)=0)</formula1>
    </dataValidation>
  </dataValidations>
  <printOptions horizontalCentered="1" gridLines="1"/>
  <pageMargins left="0.70866141732283472" right="0.70866141732283472" top="0.74803149606299213" bottom="0.74803149606299213" header="0.31496062992125984" footer="0.31496062992125984"/>
  <pageSetup scale="53" fitToHeight="0" orientation="portrait" r:id="rId1"/>
  <headerFooter scaleWithDoc="0">
    <oddHeader>&amp;A</oddHead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dLineUoR">
                <anchor moveWithCells="1" sizeWithCells="1">
                  <from>
                    <xdr:col>10</xdr:col>
                    <xdr:colOff>0</xdr:colOff>
                    <xdr:row>12</xdr:row>
                    <xdr:rowOff>0</xdr:rowOff>
                  </from>
                  <to>
                    <xdr:col>11</xdr:col>
                    <xdr:colOff>0</xdr:colOff>
                    <xdr:row>12</xdr:row>
                    <xdr:rowOff>485775</xdr:rowOff>
                  </to>
                </anchor>
              </controlPr>
            </control>
          </mc:Choice>
        </mc:AlternateContent>
        <mc:AlternateContent xmlns:mc="http://schemas.openxmlformats.org/markup-compatibility/2006">
          <mc:Choice Requires="x14">
            <control shapeId="15362" r:id="rId5" name="Button 2">
              <controlPr defaultSize="0" print="0" autoFill="0" autoPict="0" macro="[0]!AddLineUoR">
                <anchor moveWithCells="1" sizeWithCells="1">
                  <from>
                    <xdr:col>10</xdr:col>
                    <xdr:colOff>0</xdr:colOff>
                    <xdr:row>22</xdr:row>
                    <xdr:rowOff>0</xdr:rowOff>
                  </from>
                  <to>
                    <xdr:col>11</xdr:col>
                    <xdr:colOff>0</xdr:colOff>
                    <xdr:row>22</xdr:row>
                    <xdr:rowOff>485775</xdr:rowOff>
                  </to>
                </anchor>
              </controlPr>
            </control>
          </mc:Choice>
        </mc:AlternateContent>
        <mc:AlternateContent xmlns:mc="http://schemas.openxmlformats.org/markup-compatibility/2006">
          <mc:Choice Requires="x14">
            <control shapeId="15363" r:id="rId6" name="Button 3">
              <controlPr defaultSize="0" print="0" autoFill="0" autoPict="0" macro="[0]!AddLineUoR">
                <anchor moveWithCells="1" sizeWithCells="1">
                  <from>
                    <xdr:col>10</xdr:col>
                    <xdr:colOff>0</xdr:colOff>
                    <xdr:row>32</xdr:row>
                    <xdr:rowOff>0</xdr:rowOff>
                  </from>
                  <to>
                    <xdr:col>11</xdr:col>
                    <xdr:colOff>0</xdr:colOff>
                    <xdr:row>32</xdr:row>
                    <xdr:rowOff>485775</xdr:rowOff>
                  </to>
                </anchor>
              </controlPr>
            </control>
          </mc:Choice>
        </mc:AlternateContent>
        <mc:AlternateContent xmlns:mc="http://schemas.openxmlformats.org/markup-compatibility/2006">
          <mc:Choice Requires="x14">
            <control shapeId="15364" r:id="rId7" name="Button 4">
              <controlPr defaultSize="0" print="0" autoFill="0" autoPict="0" macro="[0]!AddLineUoR">
                <anchor moveWithCells="1" sizeWithCells="1">
                  <from>
                    <xdr:col>10</xdr:col>
                    <xdr:colOff>0</xdr:colOff>
                    <xdr:row>42</xdr:row>
                    <xdr:rowOff>0</xdr:rowOff>
                  </from>
                  <to>
                    <xdr:col>11</xdr:col>
                    <xdr:colOff>0</xdr:colOff>
                    <xdr:row>42</xdr:row>
                    <xdr:rowOff>247650</xdr:rowOff>
                  </to>
                </anchor>
              </controlPr>
            </control>
          </mc:Choice>
        </mc:AlternateContent>
        <mc:AlternateContent xmlns:mc="http://schemas.openxmlformats.org/markup-compatibility/2006">
          <mc:Choice Requires="x14">
            <control shapeId="15365" r:id="rId8" name="Button 5">
              <controlPr defaultSize="0" print="0" autoFill="0" autoPict="0" macro="[0]!AddLineUoR">
                <anchor moveWithCells="1" sizeWithCells="1">
                  <from>
                    <xdr:col>10</xdr:col>
                    <xdr:colOff>0</xdr:colOff>
                    <xdr:row>53</xdr:row>
                    <xdr:rowOff>0</xdr:rowOff>
                  </from>
                  <to>
                    <xdr:col>11</xdr:col>
                    <xdr:colOff>0</xdr:colOff>
                    <xdr:row>53</xdr:row>
                    <xdr:rowOff>428625</xdr:rowOff>
                  </to>
                </anchor>
              </controlPr>
            </control>
          </mc:Choice>
        </mc:AlternateContent>
        <mc:AlternateContent xmlns:mc="http://schemas.openxmlformats.org/markup-compatibility/2006">
          <mc:Choice Requires="x14">
            <control shapeId="15366" r:id="rId9" name="Button 6">
              <controlPr defaultSize="0" print="0" autoFill="0" autoPict="0" macro="[0]!AddLineUoR">
                <anchor moveWithCells="1" sizeWithCells="1">
                  <from>
                    <xdr:col>10</xdr:col>
                    <xdr:colOff>0</xdr:colOff>
                    <xdr:row>61</xdr:row>
                    <xdr:rowOff>0</xdr:rowOff>
                  </from>
                  <to>
                    <xdr:col>11</xdr:col>
                    <xdr:colOff>0</xdr:colOff>
                    <xdr:row>61</xdr:row>
                    <xdr:rowOff>419100</xdr:rowOff>
                  </to>
                </anchor>
              </controlPr>
            </control>
          </mc:Choice>
        </mc:AlternateContent>
        <mc:AlternateContent xmlns:mc="http://schemas.openxmlformats.org/markup-compatibility/2006">
          <mc:Choice Requires="x14">
            <control shapeId="15367" r:id="rId10" name="Button 7">
              <controlPr defaultSize="0" print="0" autoFill="0" autoPict="0" macro="[0]!AddLineUoR">
                <anchor moveWithCells="1" sizeWithCells="1">
                  <from>
                    <xdr:col>10</xdr:col>
                    <xdr:colOff>0</xdr:colOff>
                    <xdr:row>69</xdr:row>
                    <xdr:rowOff>0</xdr:rowOff>
                  </from>
                  <to>
                    <xdr:col>11</xdr:col>
                    <xdr:colOff>0</xdr:colOff>
                    <xdr:row>69</xdr:row>
                    <xdr:rowOff>428625</xdr:rowOff>
                  </to>
                </anchor>
              </controlPr>
            </control>
          </mc:Choice>
        </mc:AlternateContent>
        <mc:AlternateContent xmlns:mc="http://schemas.openxmlformats.org/markup-compatibility/2006">
          <mc:Choice Requires="x14">
            <control shapeId="15368" r:id="rId11" name="Button 8">
              <controlPr defaultSize="0" print="0" autoFill="0" autoPict="0" macro="[0]!AddLineUoR">
                <anchor moveWithCells="1" sizeWithCells="1">
                  <from>
                    <xdr:col>10</xdr:col>
                    <xdr:colOff>0</xdr:colOff>
                    <xdr:row>77</xdr:row>
                    <xdr:rowOff>0</xdr:rowOff>
                  </from>
                  <to>
                    <xdr:col>11</xdr:col>
                    <xdr:colOff>0</xdr:colOff>
                    <xdr:row>77</xdr:row>
                    <xdr:rowOff>428625</xdr:rowOff>
                  </to>
                </anchor>
              </controlPr>
            </control>
          </mc:Choice>
        </mc:AlternateContent>
        <mc:AlternateContent xmlns:mc="http://schemas.openxmlformats.org/markup-compatibility/2006">
          <mc:Choice Requires="x14">
            <control shapeId="15369" r:id="rId12" name="Button 9">
              <controlPr defaultSize="0" print="0" autoFill="0" autoPict="0" macro="[0]!AddLineUoR">
                <anchor moveWithCells="1" sizeWithCells="1">
                  <from>
                    <xdr:col>10</xdr:col>
                    <xdr:colOff>0</xdr:colOff>
                    <xdr:row>88</xdr:row>
                    <xdr:rowOff>0</xdr:rowOff>
                  </from>
                  <to>
                    <xdr:col>11</xdr:col>
                    <xdr:colOff>0</xdr:colOff>
                    <xdr:row>88</xdr:row>
                    <xdr:rowOff>428625</xdr:rowOff>
                  </to>
                </anchor>
              </controlPr>
            </control>
          </mc:Choice>
        </mc:AlternateContent>
        <mc:AlternateContent xmlns:mc="http://schemas.openxmlformats.org/markup-compatibility/2006">
          <mc:Choice Requires="x14">
            <control shapeId="15370" r:id="rId13" name="Button 10">
              <controlPr defaultSize="0" print="0" autoFill="0" autoPict="0" macro="[0]!AddLineUoR">
                <anchor moveWithCells="1" sizeWithCells="1">
                  <from>
                    <xdr:col>10</xdr:col>
                    <xdr:colOff>0</xdr:colOff>
                    <xdr:row>99</xdr:row>
                    <xdr:rowOff>0</xdr:rowOff>
                  </from>
                  <to>
                    <xdr:col>11</xdr:col>
                    <xdr:colOff>0</xdr:colOff>
                    <xdr:row>99</xdr:row>
                    <xdr:rowOff>428625</xdr:rowOff>
                  </to>
                </anchor>
              </controlPr>
            </control>
          </mc:Choice>
        </mc:AlternateContent>
        <mc:AlternateContent xmlns:mc="http://schemas.openxmlformats.org/markup-compatibility/2006">
          <mc:Choice Requires="x14">
            <control shapeId="15371" r:id="rId14" name="Button 11">
              <controlPr defaultSize="0" print="0" autoFill="0" autoPict="0" macro="[0]!AddLineUoR">
                <anchor moveWithCells="1" sizeWithCells="1">
                  <from>
                    <xdr:col>10</xdr:col>
                    <xdr:colOff>0</xdr:colOff>
                    <xdr:row>7</xdr:row>
                    <xdr:rowOff>0</xdr:rowOff>
                  </from>
                  <to>
                    <xdr:col>11</xdr:col>
                    <xdr:colOff>0</xdr:colOff>
                    <xdr:row>7</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Title="Invalid data!" error="Country must be selected from the list." xr:uid="{00000000-0002-0000-0A00-000004000000}">
          <x14:formula1>
            <xm:f>'Countries&amp;Coefficients'!$A$2:$A$29</xm:f>
          </x14:formula1>
          <xm:sqref>E34</xm:sqref>
        </x14:dataValidation>
        <x14:dataValidation type="list" allowBlank="1" showInputMessage="1" showErrorMessage="1" errorTitle="Invalid WP" error="You need to select the WP from the drop-down list." xr:uid="{00000000-0002-0000-0A00-000005000000}">
          <x14:formula1>
            <xm:f>ListActivitiesReported!#REF!</xm:f>
          </x14:formula1>
          <xm:sqref>G9:G10 D90 D79 E71 E63 D55 E44 D34 G24 G14</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7" tint="0.79998168889431442"/>
    <pageSetUpPr fitToPage="1"/>
  </sheetPr>
  <dimension ref="A1:K107"/>
  <sheetViews>
    <sheetView showGridLines="0" showRowColHeaders="0" zoomScaleNormal="100" zoomScaleSheetLayoutView="85" workbookViewId="0">
      <pane ySplit="1" topLeftCell="A2" activePane="bottomLeft" state="frozen"/>
      <selection pane="bottomLeft" activeCell="C2" sqref="C2:I2"/>
    </sheetView>
  </sheetViews>
  <sheetFormatPr defaultRowHeight="15" x14ac:dyDescent="0.25"/>
  <cols>
    <col min="1" max="2" width="2.7109375" style="11" customWidth="1"/>
    <col min="3" max="9" width="24.140625" style="11" customWidth="1"/>
    <col min="10" max="10" width="3.140625" style="11" customWidth="1"/>
    <col min="11" max="11" width="11.140625" style="11" customWidth="1"/>
  </cols>
  <sheetData>
    <row r="1" spans="1:11" ht="21" customHeight="1" x14ac:dyDescent="0.25">
      <c r="A1" s="3"/>
      <c r="B1" s="4"/>
      <c r="C1" s="6"/>
      <c r="D1" s="117" t="str">
        <f ca="1">HYPERLINK("#"&amp;CELL("address",C4), C4)</f>
        <v>A. Personnel costs</v>
      </c>
      <c r="E1" s="117" t="str">
        <f ca="1">HYPERLINK("#"&amp;CELL("address",C40), C40)</f>
        <v>B. Subcontracting</v>
      </c>
      <c r="F1" s="117" t="str">
        <f ca="1">HYPERLINK("#"&amp;CELL("address",C50), C50)</f>
        <v>C. Purchases</v>
      </c>
      <c r="G1" s="117" t="str">
        <f ca="1">HYPERLINK("#"&amp;CELL("address",C85), C85)</f>
        <v>D. Other cost categories</v>
      </c>
      <c r="H1" s="117"/>
      <c r="I1" s="4"/>
      <c r="J1" s="111"/>
      <c r="K1" s="111"/>
    </row>
    <row r="2" spans="1:11" ht="27" customHeight="1" x14ac:dyDescent="0.25">
      <c r="A2" s="5"/>
      <c r="B2" s="6"/>
      <c r="C2" s="343" t="s">
        <v>196</v>
      </c>
      <c r="D2" s="344"/>
      <c r="E2" s="344"/>
      <c r="F2" s="344"/>
      <c r="G2" s="344"/>
      <c r="H2" s="344"/>
      <c r="I2" s="345"/>
      <c r="J2" s="111"/>
      <c r="K2" s="111"/>
    </row>
    <row r="3" spans="1:11" ht="12.95" customHeight="1" x14ac:dyDescent="0.25">
      <c r="A3" s="5"/>
      <c r="B3" s="6"/>
      <c r="C3" s="6"/>
      <c r="D3" s="6"/>
      <c r="E3" s="6"/>
      <c r="F3" s="6"/>
      <c r="G3" s="6"/>
      <c r="H3" s="6"/>
      <c r="I3" s="6"/>
      <c r="J3" s="111"/>
      <c r="K3" s="111"/>
    </row>
    <row r="4" spans="1:11" ht="39.950000000000003" customHeight="1" x14ac:dyDescent="0.25">
      <c r="A4" s="5"/>
      <c r="B4" s="6"/>
      <c r="C4" s="183" t="s">
        <v>32</v>
      </c>
      <c r="D4" s="183"/>
      <c r="E4" s="6"/>
      <c r="F4" s="6"/>
      <c r="G4" s="6"/>
      <c r="H4" s="8"/>
      <c r="I4" s="6"/>
      <c r="J4" s="111"/>
      <c r="K4" s="111"/>
    </row>
    <row r="5" spans="1:11" ht="39.950000000000003" customHeight="1" x14ac:dyDescent="0.25">
      <c r="A5" s="5"/>
      <c r="B5" s="6"/>
      <c r="C5" s="330" t="s">
        <v>150</v>
      </c>
      <c r="D5" s="330"/>
      <c r="E5" s="330"/>
      <c r="F5" s="330"/>
      <c r="G5" s="330"/>
      <c r="H5" s="330"/>
      <c r="I5" s="330"/>
      <c r="J5" s="111"/>
      <c r="K5" s="111"/>
    </row>
    <row r="6" spans="1:11" ht="15" customHeight="1" x14ac:dyDescent="0.25">
      <c r="A6" s="5"/>
      <c r="B6" s="6"/>
      <c r="C6" s="6"/>
      <c r="D6" s="6"/>
      <c r="E6" s="6"/>
      <c r="F6" s="6"/>
      <c r="G6" s="6"/>
      <c r="H6" s="8"/>
      <c r="I6" s="6"/>
      <c r="J6" s="111"/>
      <c r="K6" s="111"/>
    </row>
    <row r="7" spans="1:11" ht="14.45" customHeight="1" x14ac:dyDescent="0.25">
      <c r="A7" s="5"/>
      <c r="B7" s="6"/>
      <c r="C7" s="315" t="s">
        <v>21</v>
      </c>
      <c r="D7" s="315"/>
      <c r="E7" s="315"/>
      <c r="F7" s="315"/>
      <c r="G7" s="315"/>
      <c r="H7" s="315"/>
      <c r="I7" s="315"/>
      <c r="J7" s="111"/>
      <c r="K7" s="111"/>
    </row>
    <row r="8" spans="1:11" s="20" customFormat="1" ht="36" x14ac:dyDescent="0.25">
      <c r="A8" s="19"/>
      <c r="B8" s="19"/>
      <c r="C8" s="185" t="s">
        <v>20</v>
      </c>
      <c r="D8" s="185" t="s">
        <v>15</v>
      </c>
      <c r="E8" s="185" t="s">
        <v>16</v>
      </c>
      <c r="F8" s="185" t="s">
        <v>17</v>
      </c>
      <c r="G8" s="185" t="s">
        <v>19</v>
      </c>
      <c r="H8" s="185" t="s">
        <v>107</v>
      </c>
      <c r="I8" s="185" t="s">
        <v>18</v>
      </c>
      <c r="J8" s="111"/>
      <c r="K8" s="19"/>
    </row>
    <row r="9" spans="1:11" ht="14.45" customHeight="1" x14ac:dyDescent="0.25">
      <c r="A9" s="5"/>
      <c r="B9" s="6"/>
      <c r="C9" s="164"/>
      <c r="D9" s="165"/>
      <c r="E9" s="164"/>
      <c r="F9" s="166">
        <f>IFERROR(D9/E9,0)</f>
        <v>0</v>
      </c>
      <c r="G9" s="187"/>
      <c r="H9" s="164"/>
      <c r="I9" s="166">
        <f>IFERROR(F9*H9,0)</f>
        <v>0</v>
      </c>
      <c r="J9" s="111"/>
      <c r="K9" s="111"/>
    </row>
    <row r="10" spans="1:11" ht="14.45" hidden="1" customHeight="1" x14ac:dyDescent="0.25">
      <c r="A10" s="5"/>
      <c r="B10" s="6"/>
      <c r="C10" s="178"/>
      <c r="D10" s="179"/>
      <c r="E10" s="178"/>
      <c r="F10" s="180"/>
      <c r="G10" s="181"/>
      <c r="H10" s="178"/>
      <c r="I10" s="180"/>
      <c r="J10" s="111"/>
      <c r="K10" s="111"/>
    </row>
    <row r="11" spans="1:11" ht="14.45" customHeight="1" x14ac:dyDescent="0.25">
      <c r="A11" s="5"/>
      <c r="B11" s="6"/>
      <c r="C11" s="309" t="s">
        <v>2</v>
      </c>
      <c r="D11" s="309"/>
      <c r="E11" s="309"/>
      <c r="F11" s="309"/>
      <c r="G11" s="309"/>
      <c r="H11" s="309"/>
      <c r="I11" s="118">
        <f>SUM(I9:I10)</f>
        <v>0</v>
      </c>
      <c r="J11" s="111"/>
      <c r="K11" s="111"/>
    </row>
    <row r="12" spans="1:11" ht="14.45" customHeight="1" x14ac:dyDescent="0.25">
      <c r="A12" s="5"/>
      <c r="B12" s="6"/>
      <c r="C12" s="315" t="s">
        <v>168</v>
      </c>
      <c r="D12" s="315"/>
      <c r="E12" s="315"/>
      <c r="F12" s="315"/>
      <c r="G12" s="315"/>
      <c r="H12" s="315"/>
      <c r="I12" s="315"/>
      <c r="J12" s="111"/>
      <c r="K12" s="111"/>
    </row>
    <row r="13" spans="1:11" s="20" customFormat="1" ht="36" x14ac:dyDescent="0.25">
      <c r="A13" s="19"/>
      <c r="B13" s="19"/>
      <c r="C13" s="327" t="s">
        <v>20</v>
      </c>
      <c r="D13" s="327"/>
      <c r="E13" s="327"/>
      <c r="F13" s="185" t="s">
        <v>104</v>
      </c>
      <c r="G13" s="185" t="s">
        <v>19</v>
      </c>
      <c r="H13" s="185" t="s">
        <v>106</v>
      </c>
      <c r="I13" s="185" t="s">
        <v>26</v>
      </c>
      <c r="J13" s="111"/>
      <c r="K13" s="19"/>
    </row>
    <row r="14" spans="1:11" x14ac:dyDescent="0.25">
      <c r="A14" s="5"/>
      <c r="B14" s="6"/>
      <c r="C14" s="304"/>
      <c r="D14" s="304"/>
      <c r="E14" s="304"/>
      <c r="F14" s="162"/>
      <c r="G14" s="187"/>
      <c r="H14" s="164"/>
      <c r="I14" s="166">
        <f>IFERROR(F14*H14,0)</f>
        <v>0</v>
      </c>
      <c r="J14" s="111"/>
      <c r="K14" s="111"/>
    </row>
    <row r="15" spans="1:11" ht="15" hidden="1" customHeight="1" x14ac:dyDescent="0.25">
      <c r="A15" s="5"/>
      <c r="B15" s="6"/>
      <c r="C15" s="346"/>
      <c r="D15" s="347"/>
      <c r="E15" s="348"/>
      <c r="F15" s="122"/>
      <c r="G15" s="123"/>
      <c r="H15" s="123"/>
      <c r="I15" s="120"/>
      <c r="J15" s="111"/>
      <c r="K15" s="111"/>
    </row>
    <row r="16" spans="1:11" x14ac:dyDescent="0.25">
      <c r="A16" s="5"/>
      <c r="B16" s="6"/>
      <c r="C16" s="309" t="s">
        <v>2</v>
      </c>
      <c r="D16" s="309"/>
      <c r="E16" s="309"/>
      <c r="F16" s="309"/>
      <c r="G16" s="309"/>
      <c r="H16" s="309"/>
      <c r="I16" s="118">
        <f>SUM(I14:I15)</f>
        <v>0</v>
      </c>
      <c r="J16" s="111"/>
      <c r="K16" s="111"/>
    </row>
    <row r="17" spans="1:11" ht="15" hidden="1" customHeight="1" x14ac:dyDescent="0.25">
      <c r="A17" s="5"/>
      <c r="B17" s="6"/>
      <c r="C17" s="310" t="s">
        <v>193</v>
      </c>
      <c r="D17" s="310"/>
      <c r="E17" s="310"/>
      <c r="F17" s="310"/>
      <c r="G17" s="310"/>
      <c r="H17" s="310"/>
      <c r="I17" s="310"/>
      <c r="J17" s="111"/>
      <c r="K17" s="111"/>
    </row>
    <row r="18" spans="1:11" ht="50.1" hidden="1" customHeight="1" x14ac:dyDescent="0.25">
      <c r="A18" s="5"/>
      <c r="B18" s="6"/>
      <c r="C18" s="311"/>
      <c r="D18" s="311"/>
      <c r="E18" s="311"/>
      <c r="F18" s="311"/>
      <c r="G18" s="311"/>
      <c r="H18" s="311"/>
      <c r="I18" s="311"/>
      <c r="J18" s="111"/>
      <c r="K18" s="111"/>
    </row>
    <row r="19" spans="1:11" ht="15" customHeight="1" x14ac:dyDescent="0.25">
      <c r="A19" s="5"/>
      <c r="B19" s="6"/>
      <c r="C19" s="6"/>
      <c r="D19" s="6"/>
      <c r="E19" s="6"/>
      <c r="F19" s="6"/>
      <c r="G19" s="6"/>
      <c r="H19" s="8"/>
      <c r="I19" s="6"/>
      <c r="J19" s="111"/>
      <c r="K19" s="111"/>
    </row>
    <row r="20" spans="1:11" ht="39.950000000000003" customHeight="1" x14ac:dyDescent="0.25">
      <c r="A20" s="5"/>
      <c r="B20" s="6"/>
      <c r="C20" s="330" t="s">
        <v>100</v>
      </c>
      <c r="D20" s="330"/>
      <c r="E20" s="330"/>
      <c r="F20" s="330"/>
      <c r="G20" s="330"/>
      <c r="H20" s="330"/>
      <c r="I20" s="330"/>
      <c r="J20" s="111"/>
      <c r="K20" s="111"/>
    </row>
    <row r="21" spans="1:11" ht="15" customHeight="1" x14ac:dyDescent="0.25">
      <c r="A21" s="5"/>
      <c r="B21" s="6"/>
      <c r="C21" s="6"/>
      <c r="D21" s="6"/>
      <c r="E21" s="6"/>
      <c r="F21" s="6"/>
      <c r="G21" s="6"/>
      <c r="H21" s="8"/>
      <c r="I21" s="6"/>
      <c r="J21" s="111"/>
      <c r="K21" s="111"/>
    </row>
    <row r="22" spans="1:11" ht="15" customHeight="1" x14ac:dyDescent="0.25">
      <c r="A22" s="5"/>
      <c r="B22" s="6"/>
      <c r="C22" s="339" t="s">
        <v>149</v>
      </c>
      <c r="D22" s="339"/>
      <c r="E22" s="339"/>
      <c r="F22" s="339"/>
      <c r="G22" s="339"/>
      <c r="H22" s="339"/>
      <c r="I22" s="339"/>
      <c r="J22" s="111"/>
      <c r="K22" s="111"/>
    </row>
    <row r="23" spans="1:11" s="20" customFormat="1" ht="36" x14ac:dyDescent="0.25">
      <c r="A23" s="19"/>
      <c r="B23" s="19"/>
      <c r="C23" s="327" t="s">
        <v>20</v>
      </c>
      <c r="D23" s="327"/>
      <c r="E23" s="327"/>
      <c r="F23" s="185" t="s">
        <v>105</v>
      </c>
      <c r="G23" s="185" t="s">
        <v>19</v>
      </c>
      <c r="H23" s="185" t="s">
        <v>106</v>
      </c>
      <c r="I23" s="185" t="s">
        <v>26</v>
      </c>
      <c r="J23" s="111"/>
      <c r="K23" s="19"/>
    </row>
    <row r="24" spans="1:11" x14ac:dyDescent="0.25">
      <c r="A24" s="5"/>
      <c r="B24" s="6"/>
      <c r="C24" s="304"/>
      <c r="D24" s="304"/>
      <c r="E24" s="304"/>
      <c r="F24" s="162"/>
      <c r="G24" s="187"/>
      <c r="H24" s="164"/>
      <c r="I24" s="166">
        <f>IFERROR(F24*H24,0)</f>
        <v>0</v>
      </c>
      <c r="J24" s="111"/>
      <c r="K24" s="111"/>
    </row>
    <row r="25" spans="1:11" ht="15" hidden="1" customHeight="1" x14ac:dyDescent="0.25">
      <c r="A25" s="5"/>
      <c r="B25" s="6"/>
      <c r="C25" s="346"/>
      <c r="D25" s="347"/>
      <c r="E25" s="348"/>
      <c r="F25" s="124"/>
      <c r="G25" s="123"/>
      <c r="H25" s="123"/>
      <c r="I25" s="120"/>
      <c r="J25" s="111"/>
      <c r="K25" s="111"/>
    </row>
    <row r="26" spans="1:11" x14ac:dyDescent="0.25">
      <c r="A26" s="5"/>
      <c r="B26" s="6"/>
      <c r="C26" s="309" t="s">
        <v>2</v>
      </c>
      <c r="D26" s="309"/>
      <c r="E26" s="309"/>
      <c r="F26" s="309"/>
      <c r="G26" s="309"/>
      <c r="H26" s="309"/>
      <c r="I26" s="118">
        <f>SUM(I24:I25)</f>
        <v>0</v>
      </c>
      <c r="J26" s="111"/>
      <c r="K26" s="111"/>
    </row>
    <row r="27" spans="1:11" ht="15" hidden="1" customHeight="1" x14ac:dyDescent="0.25">
      <c r="A27" s="5"/>
      <c r="B27" s="6"/>
      <c r="C27" s="310" t="s">
        <v>193</v>
      </c>
      <c r="D27" s="310"/>
      <c r="E27" s="310"/>
      <c r="F27" s="310"/>
      <c r="G27" s="310"/>
      <c r="H27" s="310"/>
      <c r="I27" s="310"/>
      <c r="J27" s="111"/>
      <c r="K27" s="111"/>
    </row>
    <row r="28" spans="1:11" ht="49.5" hidden="1" customHeight="1" x14ac:dyDescent="0.25">
      <c r="A28" s="5"/>
      <c r="B28" s="6"/>
      <c r="C28" s="311"/>
      <c r="D28" s="311"/>
      <c r="E28" s="311"/>
      <c r="F28" s="311"/>
      <c r="G28" s="311"/>
      <c r="H28" s="311"/>
      <c r="I28" s="311"/>
      <c r="J28" s="111"/>
      <c r="K28" s="111"/>
    </row>
    <row r="29" spans="1:11" ht="15" customHeight="1" x14ac:dyDescent="0.25">
      <c r="A29" s="5"/>
      <c r="B29" s="6"/>
      <c r="C29" s="6"/>
      <c r="D29" s="6"/>
      <c r="E29" s="6"/>
      <c r="F29" s="6"/>
      <c r="G29" s="6"/>
      <c r="H29" s="8"/>
      <c r="I29" s="6"/>
      <c r="J29" s="111"/>
      <c r="K29" s="111"/>
    </row>
    <row r="30" spans="1:11" ht="39.950000000000003" customHeight="1" x14ac:dyDescent="0.25">
      <c r="A30" s="5"/>
      <c r="B30" s="6"/>
      <c r="C30" s="330" t="s">
        <v>24</v>
      </c>
      <c r="D30" s="330"/>
      <c r="E30" s="330"/>
      <c r="F30" s="330"/>
      <c r="G30" s="330"/>
      <c r="H30" s="330"/>
      <c r="I30" s="330"/>
      <c r="J30" s="111"/>
      <c r="K30" s="111"/>
    </row>
    <row r="31" spans="1:11" ht="15" customHeight="1" x14ac:dyDescent="0.25">
      <c r="A31" s="5"/>
      <c r="B31" s="6"/>
      <c r="C31" s="6"/>
      <c r="D31" s="6"/>
      <c r="E31" s="6"/>
      <c r="F31" s="6"/>
      <c r="G31" s="6"/>
      <c r="H31" s="8"/>
      <c r="I31" s="6"/>
      <c r="J31" s="111"/>
      <c r="K31" s="111"/>
    </row>
    <row r="32" spans="1:11" ht="14.45" customHeight="1" x14ac:dyDescent="0.25">
      <c r="A32" s="5"/>
      <c r="B32" s="6"/>
      <c r="C32" s="315" t="s">
        <v>169</v>
      </c>
      <c r="D32" s="315"/>
      <c r="E32" s="315"/>
      <c r="F32" s="315"/>
      <c r="G32" s="315"/>
      <c r="H32" s="315"/>
      <c r="I32" s="315"/>
      <c r="J32" s="111"/>
      <c r="K32" s="111"/>
    </row>
    <row r="33" spans="1:11" s="20" customFormat="1" ht="48" x14ac:dyDescent="0.25">
      <c r="A33" s="19"/>
      <c r="B33" s="19"/>
      <c r="C33" s="185" t="s">
        <v>22</v>
      </c>
      <c r="D33" s="185" t="s">
        <v>19</v>
      </c>
      <c r="E33" s="185" t="s">
        <v>23</v>
      </c>
      <c r="F33" s="207" t="s">
        <v>226</v>
      </c>
      <c r="G33" s="208" t="s">
        <v>229</v>
      </c>
      <c r="H33" s="208" t="s">
        <v>228</v>
      </c>
      <c r="I33" s="207" t="s">
        <v>227</v>
      </c>
      <c r="J33" s="116"/>
      <c r="K33" s="19"/>
    </row>
    <row r="34" spans="1:11" x14ac:dyDescent="0.25">
      <c r="A34" s="5"/>
      <c r="B34" s="6"/>
      <c r="C34" s="164"/>
      <c r="D34" s="187"/>
      <c r="E34" s="187"/>
      <c r="F34" s="167">
        <f>IF(E34="",0,VLOOKUP(E34,'Countries&amp;Coefficients'!$A$2:$B$29,2,0))</f>
        <v>0</v>
      </c>
      <c r="G34" s="168">
        <f>5080/18</f>
        <v>282.22222222222223</v>
      </c>
      <c r="H34" s="164"/>
      <c r="I34" s="166">
        <f>IFERROR(F34*G34*H34,0)</f>
        <v>0</v>
      </c>
      <c r="J34" s="111"/>
      <c r="K34" s="111"/>
    </row>
    <row r="35" spans="1:11" ht="15" hidden="1" customHeight="1" x14ac:dyDescent="0.25">
      <c r="A35" s="5"/>
      <c r="B35" s="6"/>
      <c r="C35" s="346"/>
      <c r="D35" s="348"/>
      <c r="E35" s="123"/>
      <c r="F35" s="123"/>
      <c r="G35" s="122"/>
      <c r="H35" s="123"/>
      <c r="I35" s="120"/>
      <c r="J35" s="111"/>
      <c r="K35" s="111"/>
    </row>
    <row r="36" spans="1:11" x14ac:dyDescent="0.25">
      <c r="A36" s="5"/>
      <c r="B36" s="6"/>
      <c r="C36" s="309" t="s">
        <v>2</v>
      </c>
      <c r="D36" s="309"/>
      <c r="E36" s="309"/>
      <c r="F36" s="309"/>
      <c r="G36" s="309"/>
      <c r="H36" s="309"/>
      <c r="I36" s="118">
        <f>SUM(I33:I35)</f>
        <v>0</v>
      </c>
      <c r="J36" s="111"/>
      <c r="K36" s="111"/>
    </row>
    <row r="37" spans="1:11" ht="15" hidden="1" customHeight="1" x14ac:dyDescent="0.25">
      <c r="A37" s="5"/>
      <c r="B37" s="6"/>
      <c r="C37" s="310" t="s">
        <v>193</v>
      </c>
      <c r="D37" s="310"/>
      <c r="E37" s="310"/>
      <c r="F37" s="310"/>
      <c r="G37" s="310"/>
      <c r="H37" s="310"/>
      <c r="I37" s="310"/>
      <c r="J37" s="111"/>
      <c r="K37" s="111"/>
    </row>
    <row r="38" spans="1:11" ht="50.1" hidden="1" customHeight="1" x14ac:dyDescent="0.25">
      <c r="A38" s="5"/>
      <c r="B38" s="6"/>
      <c r="C38" s="311"/>
      <c r="D38" s="311"/>
      <c r="E38" s="311"/>
      <c r="F38" s="311"/>
      <c r="G38" s="311"/>
      <c r="H38" s="311"/>
      <c r="I38" s="311"/>
      <c r="J38" s="111"/>
      <c r="K38" s="111"/>
    </row>
    <row r="39" spans="1:11" x14ac:dyDescent="0.25">
      <c r="A39" s="5"/>
      <c r="B39" s="6"/>
      <c r="C39" s="6"/>
      <c r="D39" s="6"/>
      <c r="E39" s="6"/>
      <c r="F39" s="6"/>
      <c r="G39" s="6"/>
      <c r="H39" s="6"/>
      <c r="I39" s="6"/>
      <c r="J39" s="111"/>
      <c r="K39" s="111"/>
    </row>
    <row r="40" spans="1:11" ht="38.450000000000003" customHeight="1" x14ac:dyDescent="0.25">
      <c r="A40" s="5"/>
      <c r="B40" s="6"/>
      <c r="C40" s="9" t="s">
        <v>42</v>
      </c>
      <c r="D40" s="6"/>
      <c r="E40" s="6"/>
      <c r="F40" s="6"/>
      <c r="G40" s="6"/>
      <c r="H40" s="6"/>
      <c r="I40" s="6"/>
      <c r="J40" s="111"/>
      <c r="K40" s="111"/>
    </row>
    <row r="41" spans="1:11" ht="51" customHeight="1" x14ac:dyDescent="0.25">
      <c r="A41" s="5"/>
      <c r="B41" s="6"/>
      <c r="C41" s="330" t="s">
        <v>10</v>
      </c>
      <c r="D41" s="330"/>
      <c r="E41" s="330"/>
      <c r="F41" s="330"/>
      <c r="G41" s="330"/>
      <c r="H41" s="330"/>
      <c r="I41" s="330"/>
      <c r="J41" s="111"/>
      <c r="K41" s="111"/>
    </row>
    <row r="42" spans="1:11" ht="15" customHeight="1" x14ac:dyDescent="0.25">
      <c r="A42" s="5"/>
      <c r="B42" s="6"/>
      <c r="C42" s="6"/>
      <c r="D42" s="6"/>
      <c r="E42" s="6"/>
      <c r="F42" s="6"/>
      <c r="G42" s="6"/>
      <c r="H42" s="6"/>
      <c r="I42" s="6"/>
      <c r="J42" s="111"/>
      <c r="K42" s="111"/>
    </row>
    <row r="43" spans="1:11" ht="23.25" x14ac:dyDescent="0.25">
      <c r="A43" s="5"/>
      <c r="B43" s="6"/>
      <c r="C43" s="189" t="s">
        <v>5</v>
      </c>
      <c r="D43" s="189" t="s">
        <v>1</v>
      </c>
      <c r="E43" s="189" t="s">
        <v>0</v>
      </c>
      <c r="F43" s="189" t="s">
        <v>9</v>
      </c>
      <c r="G43" s="331" t="s">
        <v>8</v>
      </c>
      <c r="H43" s="331"/>
      <c r="I43" s="189" t="s">
        <v>4</v>
      </c>
      <c r="J43" s="111"/>
      <c r="K43" s="111"/>
    </row>
    <row r="44" spans="1:11" x14ac:dyDescent="0.25">
      <c r="A44" s="5"/>
      <c r="B44" s="6"/>
      <c r="C44" s="188"/>
      <c r="D44" s="169"/>
      <c r="E44" s="161"/>
      <c r="F44" s="161"/>
      <c r="G44" s="332"/>
      <c r="H44" s="332"/>
      <c r="I44" s="163"/>
      <c r="J44" s="111"/>
      <c r="K44" s="111"/>
    </row>
    <row r="45" spans="1:11" ht="15" hidden="1" customHeight="1" x14ac:dyDescent="0.25">
      <c r="A45" s="5"/>
      <c r="B45" s="6"/>
      <c r="C45" s="125"/>
      <c r="D45" s="126"/>
      <c r="E45" s="126"/>
      <c r="F45" s="127"/>
      <c r="G45" s="349"/>
      <c r="H45" s="350"/>
      <c r="I45" s="128"/>
      <c r="J45" s="111"/>
      <c r="K45" s="111"/>
    </row>
    <row r="46" spans="1:11" x14ac:dyDescent="0.25">
      <c r="A46" s="5"/>
      <c r="B46" s="6"/>
      <c r="C46" s="335" t="s">
        <v>2</v>
      </c>
      <c r="D46" s="335"/>
      <c r="E46" s="335"/>
      <c r="F46" s="335"/>
      <c r="G46" s="335"/>
      <c r="H46" s="335"/>
      <c r="I46" s="119">
        <f>SUM(I44:I45)</f>
        <v>0</v>
      </c>
      <c r="J46" s="111"/>
      <c r="K46" s="111"/>
    </row>
    <row r="47" spans="1:11" ht="15" hidden="1" customHeight="1" x14ac:dyDescent="0.25">
      <c r="A47" s="5"/>
      <c r="B47" s="6"/>
      <c r="C47" s="336" t="s">
        <v>193</v>
      </c>
      <c r="D47" s="336"/>
      <c r="E47" s="336"/>
      <c r="F47" s="336"/>
      <c r="G47" s="336"/>
      <c r="H47" s="336"/>
      <c r="I47" s="336"/>
      <c r="J47" s="111"/>
      <c r="K47" s="111"/>
    </row>
    <row r="48" spans="1:11" ht="50.1" hidden="1" customHeight="1" x14ac:dyDescent="0.25">
      <c r="A48" s="5"/>
      <c r="B48" s="6"/>
      <c r="C48" s="311"/>
      <c r="D48" s="311"/>
      <c r="E48" s="311"/>
      <c r="F48" s="311"/>
      <c r="G48" s="311"/>
      <c r="H48" s="311"/>
      <c r="I48" s="311"/>
      <c r="J48" s="111"/>
      <c r="K48" s="111"/>
    </row>
    <row r="49" spans="1:11" x14ac:dyDescent="0.25">
      <c r="A49" s="5"/>
      <c r="B49" s="6"/>
      <c r="C49" s="6"/>
      <c r="D49" s="6"/>
      <c r="E49" s="6"/>
      <c r="F49" s="6"/>
      <c r="G49" s="6"/>
      <c r="H49" s="6"/>
      <c r="I49" s="6"/>
      <c r="J49" s="111"/>
      <c r="K49" s="111"/>
    </row>
    <row r="50" spans="1:11" ht="27.95" customHeight="1" x14ac:dyDescent="0.25">
      <c r="A50" s="5"/>
      <c r="B50" s="6"/>
      <c r="C50" s="9" t="s">
        <v>162</v>
      </c>
      <c r="D50" s="6"/>
      <c r="E50" s="6"/>
      <c r="F50" s="6"/>
      <c r="G50" s="6"/>
      <c r="H50" s="6"/>
      <c r="I50" s="6"/>
      <c r="J50" s="111"/>
      <c r="K50" s="111"/>
    </row>
    <row r="51" spans="1:11" ht="39" customHeight="1" x14ac:dyDescent="0.25">
      <c r="A51" s="5"/>
      <c r="B51" s="6"/>
      <c r="C51" s="337" t="s">
        <v>13</v>
      </c>
      <c r="D51" s="337"/>
      <c r="E51" s="337"/>
      <c r="F51" s="337"/>
      <c r="G51" s="337"/>
      <c r="H51" s="351"/>
      <c r="I51" s="351"/>
      <c r="J51" s="111"/>
      <c r="K51" s="111"/>
    </row>
    <row r="52" spans="1:11" x14ac:dyDescent="0.25">
      <c r="A52" s="5"/>
      <c r="B52" s="6"/>
      <c r="C52" s="6"/>
      <c r="D52" s="6"/>
      <c r="E52" s="6"/>
      <c r="F52" s="6"/>
      <c r="G52" s="6"/>
      <c r="H52" s="6"/>
      <c r="I52" s="6"/>
      <c r="J52" s="111"/>
      <c r="K52" s="111"/>
    </row>
    <row r="53" spans="1:11" x14ac:dyDescent="0.25">
      <c r="A53" s="5"/>
      <c r="B53" s="6"/>
      <c r="C53" s="315" t="s">
        <v>43</v>
      </c>
      <c r="D53" s="315"/>
      <c r="E53" s="315"/>
      <c r="F53" s="315"/>
      <c r="G53" s="315"/>
      <c r="H53" s="315"/>
      <c r="I53" s="315"/>
      <c r="J53" s="111"/>
      <c r="K53" s="111"/>
    </row>
    <row r="54" spans="1:11" ht="24" x14ac:dyDescent="0.25">
      <c r="A54" s="5"/>
      <c r="B54" s="6"/>
      <c r="C54" s="185" t="s">
        <v>3</v>
      </c>
      <c r="D54" s="185" t="s">
        <v>0</v>
      </c>
      <c r="E54" s="185" t="s">
        <v>9</v>
      </c>
      <c r="F54" s="327" t="s">
        <v>7</v>
      </c>
      <c r="G54" s="327"/>
      <c r="H54" s="327"/>
      <c r="I54" s="185" t="s">
        <v>12</v>
      </c>
      <c r="J54" s="111"/>
      <c r="K54" s="111"/>
    </row>
    <row r="55" spans="1:11" x14ac:dyDescent="0.25">
      <c r="A55" s="5"/>
      <c r="B55" s="6"/>
      <c r="C55" s="186"/>
      <c r="D55" s="170"/>
      <c r="E55" s="161"/>
      <c r="F55" s="328"/>
      <c r="G55" s="328"/>
      <c r="H55" s="328"/>
      <c r="I55" s="163"/>
      <c r="J55" s="111"/>
      <c r="K55" s="111"/>
    </row>
    <row r="56" spans="1:11" ht="15" hidden="1" customHeight="1" x14ac:dyDescent="0.25">
      <c r="A56" s="5"/>
      <c r="B56" s="6"/>
      <c r="C56" s="129"/>
      <c r="D56" s="130"/>
      <c r="E56" s="131"/>
      <c r="F56" s="352"/>
      <c r="G56" s="353"/>
      <c r="H56" s="354"/>
      <c r="I56" s="132"/>
      <c r="J56" s="111"/>
      <c r="K56" s="111"/>
    </row>
    <row r="57" spans="1:11" x14ac:dyDescent="0.25">
      <c r="A57" s="5"/>
      <c r="B57" s="6"/>
      <c r="C57" s="309" t="s">
        <v>2</v>
      </c>
      <c r="D57" s="309"/>
      <c r="E57" s="309"/>
      <c r="F57" s="309"/>
      <c r="G57" s="309"/>
      <c r="H57" s="309"/>
      <c r="I57" s="118">
        <f>SUM(I55:I56)</f>
        <v>0</v>
      </c>
      <c r="J57" s="111"/>
      <c r="K57" s="111"/>
    </row>
    <row r="58" spans="1:11" ht="15" hidden="1" customHeight="1" x14ac:dyDescent="0.25">
      <c r="A58" s="5"/>
      <c r="B58" s="6"/>
      <c r="C58" s="310" t="s">
        <v>193</v>
      </c>
      <c r="D58" s="310"/>
      <c r="E58" s="310"/>
      <c r="F58" s="310"/>
      <c r="G58" s="310"/>
      <c r="H58" s="310"/>
      <c r="I58" s="310"/>
      <c r="J58" s="111"/>
      <c r="K58" s="111"/>
    </row>
    <row r="59" spans="1:11" ht="50.1" hidden="1" customHeight="1" x14ac:dyDescent="0.25">
      <c r="A59" s="5"/>
      <c r="B59" s="6"/>
      <c r="C59" s="311"/>
      <c r="D59" s="311"/>
      <c r="E59" s="311"/>
      <c r="F59" s="311"/>
      <c r="G59" s="311"/>
      <c r="H59" s="311"/>
      <c r="I59" s="311"/>
      <c r="J59" s="111"/>
      <c r="K59" s="111"/>
    </row>
    <row r="60" spans="1:11" x14ac:dyDescent="0.25">
      <c r="A60" s="5"/>
      <c r="B60" s="6"/>
      <c r="C60" s="1"/>
      <c r="D60" s="1"/>
      <c r="E60" s="1"/>
      <c r="F60" s="2"/>
      <c r="G60" s="2"/>
      <c r="H60" s="10"/>
      <c r="I60" s="10"/>
      <c r="J60" s="111"/>
      <c r="K60" s="111"/>
    </row>
    <row r="61" spans="1:11" x14ac:dyDescent="0.25">
      <c r="A61" s="5"/>
      <c r="B61" s="6"/>
      <c r="C61" s="315" t="s">
        <v>164</v>
      </c>
      <c r="D61" s="315"/>
      <c r="E61" s="315"/>
      <c r="F61" s="315"/>
      <c r="G61" s="315"/>
      <c r="H61" s="315"/>
      <c r="I61" s="315"/>
      <c r="J61" s="111"/>
      <c r="K61" s="111"/>
    </row>
    <row r="62" spans="1:11" ht="24" x14ac:dyDescent="0.25">
      <c r="A62" s="5"/>
      <c r="B62" s="6"/>
      <c r="C62" s="185" t="s">
        <v>3</v>
      </c>
      <c r="D62" s="185" t="s">
        <v>25</v>
      </c>
      <c r="E62" s="185" t="s">
        <v>0</v>
      </c>
      <c r="F62" s="185" t="s">
        <v>9</v>
      </c>
      <c r="G62" s="327" t="s">
        <v>7</v>
      </c>
      <c r="H62" s="327"/>
      <c r="I62" s="185" t="s">
        <v>12</v>
      </c>
      <c r="J62" s="111"/>
      <c r="K62" s="111"/>
    </row>
    <row r="63" spans="1:11" x14ac:dyDescent="0.25">
      <c r="A63" s="5"/>
      <c r="B63" s="6"/>
      <c r="C63" s="186"/>
      <c r="D63" s="163"/>
      <c r="E63" s="187"/>
      <c r="F63" s="161"/>
      <c r="G63" s="328"/>
      <c r="H63" s="328"/>
      <c r="I63" s="163"/>
      <c r="J63" s="111"/>
      <c r="K63" s="111"/>
    </row>
    <row r="64" spans="1:11" ht="15" hidden="1" customHeight="1" x14ac:dyDescent="0.25">
      <c r="A64" s="5"/>
      <c r="B64" s="6"/>
      <c r="C64" s="129"/>
      <c r="D64" s="130"/>
      <c r="E64" s="121"/>
      <c r="F64" s="131"/>
      <c r="G64" s="352"/>
      <c r="H64" s="354"/>
      <c r="I64" s="132"/>
      <c r="J64" s="111"/>
      <c r="K64" s="111"/>
    </row>
    <row r="65" spans="1:11" x14ac:dyDescent="0.25">
      <c r="A65" s="5"/>
      <c r="B65" s="6"/>
      <c r="C65" s="309" t="s">
        <v>2</v>
      </c>
      <c r="D65" s="309"/>
      <c r="E65" s="309"/>
      <c r="F65" s="309"/>
      <c r="G65" s="309"/>
      <c r="H65" s="309"/>
      <c r="I65" s="118">
        <f>SUM(I63:I64)</f>
        <v>0</v>
      </c>
      <c r="J65" s="111"/>
      <c r="K65" s="111"/>
    </row>
    <row r="66" spans="1:11" ht="15" hidden="1" customHeight="1" x14ac:dyDescent="0.25">
      <c r="A66" s="5"/>
      <c r="B66" s="6"/>
      <c r="C66" s="310" t="s">
        <v>193</v>
      </c>
      <c r="D66" s="310"/>
      <c r="E66" s="310"/>
      <c r="F66" s="310"/>
      <c r="G66" s="310"/>
      <c r="H66" s="310"/>
      <c r="I66" s="310"/>
      <c r="J66" s="111"/>
      <c r="K66" s="111"/>
    </row>
    <row r="67" spans="1:11" ht="50.1" hidden="1" customHeight="1" x14ac:dyDescent="0.25">
      <c r="A67" s="6"/>
      <c r="B67" s="6"/>
      <c r="C67" s="311"/>
      <c r="D67" s="311"/>
      <c r="E67" s="311"/>
      <c r="F67" s="311"/>
      <c r="G67" s="311"/>
      <c r="H67" s="311"/>
      <c r="I67" s="311"/>
      <c r="J67" s="111"/>
      <c r="K67" s="111"/>
    </row>
    <row r="68" spans="1:11" x14ac:dyDescent="0.25">
      <c r="A68" s="7"/>
      <c r="B68" s="6"/>
      <c r="C68" s="6"/>
      <c r="D68" s="6"/>
      <c r="E68" s="6"/>
      <c r="F68" s="6"/>
      <c r="G68" s="6"/>
      <c r="H68" s="6"/>
      <c r="I68" s="6"/>
      <c r="J68" s="111"/>
      <c r="K68" s="111"/>
    </row>
    <row r="69" spans="1:11" x14ac:dyDescent="0.25">
      <c r="A69" s="7"/>
      <c r="B69" s="6"/>
      <c r="C69" s="315" t="s">
        <v>165</v>
      </c>
      <c r="D69" s="315"/>
      <c r="E69" s="315"/>
      <c r="F69" s="315"/>
      <c r="G69" s="315"/>
      <c r="H69" s="315"/>
      <c r="I69" s="315"/>
      <c r="J69" s="111"/>
      <c r="K69" s="111"/>
    </row>
    <row r="70" spans="1:11" ht="24" x14ac:dyDescent="0.25">
      <c r="A70" s="7"/>
      <c r="B70" s="6"/>
      <c r="C70" s="327" t="s">
        <v>3</v>
      </c>
      <c r="D70" s="327"/>
      <c r="E70" s="185" t="s">
        <v>0</v>
      </c>
      <c r="F70" s="185" t="s">
        <v>9</v>
      </c>
      <c r="G70" s="327" t="s">
        <v>7</v>
      </c>
      <c r="H70" s="327"/>
      <c r="I70" s="185" t="s">
        <v>12</v>
      </c>
      <c r="J70" s="111"/>
      <c r="K70" s="111"/>
    </row>
    <row r="71" spans="1:11" x14ac:dyDescent="0.25">
      <c r="A71" s="7"/>
      <c r="B71" s="6"/>
      <c r="C71" s="329"/>
      <c r="D71" s="329"/>
      <c r="E71" s="187"/>
      <c r="F71" s="161"/>
      <c r="G71" s="328"/>
      <c r="H71" s="328"/>
      <c r="I71" s="162"/>
      <c r="J71" s="111"/>
      <c r="K71" s="111"/>
    </row>
    <row r="72" spans="1:11" ht="15" hidden="1" customHeight="1" x14ac:dyDescent="0.25">
      <c r="A72" s="7"/>
      <c r="B72" s="6"/>
      <c r="C72" s="355"/>
      <c r="D72" s="356"/>
      <c r="E72" s="121"/>
      <c r="F72" s="131"/>
      <c r="G72" s="352"/>
      <c r="H72" s="354"/>
      <c r="I72" s="132"/>
      <c r="J72" s="111"/>
      <c r="K72" s="111"/>
    </row>
    <row r="73" spans="1:11" x14ac:dyDescent="0.25">
      <c r="A73" s="7"/>
      <c r="B73" s="6"/>
      <c r="C73" s="309" t="s">
        <v>2</v>
      </c>
      <c r="D73" s="309"/>
      <c r="E73" s="309"/>
      <c r="F73" s="309"/>
      <c r="G73" s="309"/>
      <c r="H73" s="309"/>
      <c r="I73" s="118">
        <f>SUM(I71:I72)</f>
        <v>0</v>
      </c>
      <c r="J73" s="111"/>
      <c r="K73" s="111"/>
    </row>
    <row r="74" spans="1:11" ht="15" hidden="1" customHeight="1" x14ac:dyDescent="0.25">
      <c r="A74" s="7"/>
      <c r="B74" s="6"/>
      <c r="C74" s="310" t="s">
        <v>193</v>
      </c>
      <c r="D74" s="310"/>
      <c r="E74" s="310"/>
      <c r="F74" s="310"/>
      <c r="G74" s="310"/>
      <c r="H74" s="310"/>
      <c r="I74" s="310"/>
      <c r="J74" s="111"/>
      <c r="K74" s="111"/>
    </row>
    <row r="75" spans="1:11" ht="50.1" hidden="1" customHeight="1" x14ac:dyDescent="0.25">
      <c r="A75" s="7"/>
      <c r="B75" s="6"/>
      <c r="C75" s="311"/>
      <c r="D75" s="311"/>
      <c r="E75" s="311"/>
      <c r="F75" s="311"/>
      <c r="G75" s="311"/>
      <c r="H75" s="311"/>
      <c r="I75" s="311"/>
      <c r="J75" s="111"/>
      <c r="K75" s="111"/>
    </row>
    <row r="76" spans="1:11" x14ac:dyDescent="0.25">
      <c r="A76" s="5"/>
      <c r="B76" s="6"/>
      <c r="C76" s="6"/>
      <c r="D76" s="6"/>
      <c r="E76" s="6"/>
      <c r="F76" s="6"/>
      <c r="G76" s="6"/>
      <c r="H76" s="6"/>
      <c r="I76" s="6"/>
      <c r="J76" s="111"/>
      <c r="K76" s="111"/>
    </row>
    <row r="77" spans="1:11" x14ac:dyDescent="0.25">
      <c r="A77" s="5"/>
      <c r="B77" s="6"/>
      <c r="C77" s="315" t="s">
        <v>45</v>
      </c>
      <c r="D77" s="315"/>
      <c r="E77" s="315"/>
      <c r="F77" s="315"/>
      <c r="G77" s="315"/>
      <c r="H77" s="315"/>
      <c r="I77" s="315"/>
      <c r="J77" s="111"/>
      <c r="K77" s="111"/>
    </row>
    <row r="78" spans="1:11" ht="24" x14ac:dyDescent="0.25">
      <c r="A78" s="5"/>
      <c r="B78" s="6"/>
      <c r="C78" s="185" t="s">
        <v>3</v>
      </c>
      <c r="D78" s="185" t="s">
        <v>0</v>
      </c>
      <c r="E78" s="185" t="s">
        <v>9</v>
      </c>
      <c r="F78" s="327" t="s">
        <v>7</v>
      </c>
      <c r="G78" s="327"/>
      <c r="H78" s="327"/>
      <c r="I78" s="185" t="s">
        <v>12</v>
      </c>
      <c r="J78" s="111"/>
      <c r="K78" s="111"/>
    </row>
    <row r="79" spans="1:11" x14ac:dyDescent="0.25">
      <c r="A79" s="5"/>
      <c r="B79" s="6"/>
      <c r="C79" s="186"/>
      <c r="D79" s="170"/>
      <c r="E79" s="161"/>
      <c r="F79" s="328"/>
      <c r="G79" s="328"/>
      <c r="H79" s="328"/>
      <c r="I79" s="162"/>
      <c r="J79" s="111"/>
      <c r="K79" s="111"/>
    </row>
    <row r="80" spans="1:11" ht="15" hidden="1" customHeight="1" x14ac:dyDescent="0.25">
      <c r="A80" s="5"/>
      <c r="B80" s="6"/>
      <c r="C80" s="129"/>
      <c r="D80" s="130"/>
      <c r="E80" s="131"/>
      <c r="F80" s="352"/>
      <c r="G80" s="353"/>
      <c r="H80" s="354"/>
      <c r="I80" s="132"/>
      <c r="J80" s="111"/>
      <c r="K80" s="111"/>
    </row>
    <row r="81" spans="1:11" ht="21.75" customHeight="1" x14ac:dyDescent="0.25">
      <c r="A81" s="5"/>
      <c r="B81" s="6"/>
      <c r="C81" s="309" t="s">
        <v>2</v>
      </c>
      <c r="D81" s="309"/>
      <c r="E81" s="309"/>
      <c r="F81" s="309"/>
      <c r="G81" s="309"/>
      <c r="H81" s="309"/>
      <c r="I81" s="118">
        <f>SUM(I79:I80)</f>
        <v>0</v>
      </c>
      <c r="J81" s="111"/>
      <c r="K81" s="111"/>
    </row>
    <row r="82" spans="1:11" ht="15" hidden="1" customHeight="1" x14ac:dyDescent="0.25">
      <c r="A82" s="5"/>
      <c r="B82" s="6"/>
      <c r="C82" s="310" t="s">
        <v>193</v>
      </c>
      <c r="D82" s="310"/>
      <c r="E82" s="310"/>
      <c r="F82" s="310"/>
      <c r="G82" s="310"/>
      <c r="H82" s="310"/>
      <c r="I82" s="310"/>
      <c r="J82" s="111"/>
      <c r="K82" s="111"/>
    </row>
    <row r="83" spans="1:11" ht="50.1" hidden="1" customHeight="1" x14ac:dyDescent="0.25">
      <c r="A83" s="6"/>
      <c r="B83" s="6"/>
      <c r="C83" s="311"/>
      <c r="D83" s="311"/>
      <c r="E83" s="311"/>
      <c r="F83" s="311"/>
      <c r="G83" s="311"/>
      <c r="H83" s="311"/>
      <c r="I83" s="311"/>
      <c r="J83" s="111"/>
      <c r="K83" s="111"/>
    </row>
    <row r="84" spans="1:11" x14ac:dyDescent="0.25">
      <c r="A84" s="6"/>
      <c r="B84" s="6"/>
      <c r="C84" s="6"/>
      <c r="D84" s="6"/>
      <c r="E84" s="6"/>
      <c r="F84" s="6"/>
      <c r="G84" s="6"/>
      <c r="H84" s="6"/>
      <c r="I84" s="6"/>
      <c r="J84" s="111"/>
      <c r="K84" s="111"/>
    </row>
    <row r="85" spans="1:11" ht="26.1" customHeight="1" x14ac:dyDescent="0.25">
      <c r="A85" s="6"/>
      <c r="B85" s="6"/>
      <c r="C85" s="9" t="s">
        <v>35</v>
      </c>
      <c r="D85" s="6"/>
      <c r="E85" s="6"/>
      <c r="F85" s="6"/>
      <c r="G85" s="6"/>
      <c r="H85" s="6"/>
      <c r="I85" s="6"/>
      <c r="J85" s="111"/>
      <c r="K85" s="111"/>
    </row>
    <row r="86" spans="1:11" ht="26.1" customHeight="1" x14ac:dyDescent="0.25">
      <c r="A86" s="6"/>
      <c r="B86" s="6"/>
      <c r="C86" s="312" t="s">
        <v>11</v>
      </c>
      <c r="D86" s="313"/>
      <c r="E86" s="313"/>
      <c r="F86" s="313"/>
      <c r="G86" s="313"/>
      <c r="H86" s="313"/>
      <c r="I86" s="314"/>
      <c r="J86" s="111"/>
      <c r="K86" s="111"/>
    </row>
    <row r="87" spans="1:11" x14ac:dyDescent="0.25">
      <c r="A87" s="5"/>
      <c r="B87" s="6"/>
      <c r="C87" s="6"/>
      <c r="D87" s="6"/>
      <c r="E87" s="6"/>
      <c r="F87" s="6"/>
      <c r="G87" s="6"/>
      <c r="H87" s="6"/>
      <c r="I87" s="6"/>
      <c r="J87" s="111"/>
      <c r="K87" s="111"/>
    </row>
    <row r="88" spans="1:11" x14ac:dyDescent="0.25">
      <c r="A88" s="5"/>
      <c r="B88" s="6"/>
      <c r="C88" s="315" t="s">
        <v>166</v>
      </c>
      <c r="D88" s="315"/>
      <c r="E88" s="315"/>
      <c r="F88" s="315"/>
      <c r="G88" s="315"/>
      <c r="H88" s="315"/>
      <c r="I88" s="315"/>
      <c r="J88" s="111"/>
      <c r="K88" s="111"/>
    </row>
    <row r="89" spans="1:11" ht="24" x14ac:dyDescent="0.25">
      <c r="A89" s="5"/>
      <c r="B89" s="6"/>
      <c r="C89" s="185" t="s">
        <v>3</v>
      </c>
      <c r="D89" s="185" t="s">
        <v>0</v>
      </c>
      <c r="E89" s="185" t="s">
        <v>9</v>
      </c>
      <c r="F89" s="327" t="s">
        <v>7</v>
      </c>
      <c r="G89" s="327"/>
      <c r="H89" s="327"/>
      <c r="I89" s="185" t="s">
        <v>12</v>
      </c>
      <c r="J89" s="111"/>
      <c r="K89" s="111"/>
    </row>
    <row r="90" spans="1:11" x14ac:dyDescent="0.25">
      <c r="A90" s="5"/>
      <c r="B90" s="6"/>
      <c r="C90" s="186"/>
      <c r="D90" s="170"/>
      <c r="E90" s="161"/>
      <c r="F90" s="328"/>
      <c r="G90" s="328"/>
      <c r="H90" s="328"/>
      <c r="I90" s="162"/>
      <c r="J90" s="111"/>
      <c r="K90" s="111"/>
    </row>
    <row r="91" spans="1:11" ht="15" hidden="1" customHeight="1" x14ac:dyDescent="0.25">
      <c r="A91" s="5"/>
      <c r="B91" s="6"/>
      <c r="C91" s="129"/>
      <c r="D91" s="130"/>
      <c r="E91" s="131"/>
      <c r="F91" s="352"/>
      <c r="G91" s="353"/>
      <c r="H91" s="354"/>
      <c r="I91" s="132"/>
      <c r="J91" s="111"/>
      <c r="K91" s="111"/>
    </row>
    <row r="92" spans="1:11" x14ac:dyDescent="0.25">
      <c r="A92" s="5"/>
      <c r="B92" s="6"/>
      <c r="C92" s="309" t="s">
        <v>2</v>
      </c>
      <c r="D92" s="309"/>
      <c r="E92" s="309"/>
      <c r="F92" s="309"/>
      <c r="G92" s="309"/>
      <c r="H92" s="309"/>
      <c r="I92" s="118">
        <f>SUM(I90:I91)</f>
        <v>0</v>
      </c>
      <c r="J92" s="111"/>
      <c r="K92" s="111"/>
    </row>
    <row r="93" spans="1:11" ht="15" hidden="1" customHeight="1" x14ac:dyDescent="0.25">
      <c r="A93" s="5"/>
      <c r="B93" s="6"/>
      <c r="C93" s="310" t="s">
        <v>193</v>
      </c>
      <c r="D93" s="310"/>
      <c r="E93" s="310"/>
      <c r="F93" s="310"/>
      <c r="G93" s="310"/>
      <c r="H93" s="310"/>
      <c r="I93" s="310"/>
      <c r="J93" s="111"/>
      <c r="K93" s="111"/>
    </row>
    <row r="94" spans="1:11" ht="50.1" hidden="1" customHeight="1" x14ac:dyDescent="0.25">
      <c r="A94" s="6"/>
      <c r="B94" s="6"/>
      <c r="C94" s="311"/>
      <c r="D94" s="311"/>
      <c r="E94" s="311"/>
      <c r="F94" s="311"/>
      <c r="G94" s="311"/>
      <c r="H94" s="311"/>
      <c r="I94" s="311"/>
      <c r="J94" s="111"/>
      <c r="K94" s="111"/>
    </row>
    <row r="95" spans="1:11" x14ac:dyDescent="0.25">
      <c r="A95" s="6"/>
      <c r="B95" s="6"/>
      <c r="C95" s="6"/>
      <c r="D95" s="6"/>
      <c r="E95" s="6"/>
      <c r="F95" s="6"/>
      <c r="G95" s="6"/>
      <c r="H95" s="6"/>
      <c r="I95" s="6"/>
      <c r="J95" s="111"/>
      <c r="K95" s="111"/>
    </row>
    <row r="96" spans="1:11" ht="30.6" hidden="1" customHeight="1" x14ac:dyDescent="0.25">
      <c r="A96" s="6"/>
      <c r="B96" s="6"/>
      <c r="C96" s="9" t="s">
        <v>163</v>
      </c>
      <c r="D96" s="6"/>
      <c r="E96" s="6"/>
      <c r="F96" s="6"/>
      <c r="G96" s="6"/>
      <c r="H96" s="6"/>
      <c r="I96" s="6"/>
      <c r="J96" s="111"/>
      <c r="K96" s="111"/>
    </row>
    <row r="97" spans="1:11" ht="51.95" hidden="1" customHeight="1" x14ac:dyDescent="0.25">
      <c r="A97" s="6"/>
      <c r="B97" s="6"/>
      <c r="C97" s="312" t="s">
        <v>101</v>
      </c>
      <c r="D97" s="313"/>
      <c r="E97" s="313"/>
      <c r="F97" s="313"/>
      <c r="G97" s="313"/>
      <c r="H97" s="313"/>
      <c r="I97" s="314"/>
      <c r="J97" s="111"/>
      <c r="K97" s="111"/>
    </row>
    <row r="98" spans="1:11" hidden="1" x14ac:dyDescent="0.25">
      <c r="A98" s="6"/>
      <c r="B98" s="6"/>
      <c r="C98" s="6"/>
      <c r="D98" s="6"/>
      <c r="E98" s="6"/>
      <c r="F98" s="6"/>
      <c r="G98" s="6"/>
      <c r="H98" s="6"/>
      <c r="I98" s="6"/>
      <c r="J98" s="111"/>
      <c r="K98" s="111"/>
    </row>
    <row r="99" spans="1:11" hidden="1" x14ac:dyDescent="0.25">
      <c r="A99" s="6"/>
      <c r="B99" s="6"/>
      <c r="C99" s="315" t="s">
        <v>6</v>
      </c>
      <c r="D99" s="315"/>
      <c r="E99" s="315"/>
      <c r="F99" s="315"/>
      <c r="G99" s="315"/>
      <c r="H99" s="315"/>
      <c r="I99" s="315"/>
      <c r="J99" s="111"/>
      <c r="K99" s="111"/>
    </row>
    <row r="100" spans="1:11" ht="24" hidden="1" x14ac:dyDescent="0.25">
      <c r="A100" s="6"/>
      <c r="B100" s="6"/>
      <c r="C100" s="316" t="s">
        <v>213</v>
      </c>
      <c r="D100" s="317"/>
      <c r="E100" s="317"/>
      <c r="F100" s="317"/>
      <c r="G100" s="317"/>
      <c r="H100" s="318"/>
      <c r="I100" s="205" t="s">
        <v>12</v>
      </c>
      <c r="J100" s="111"/>
      <c r="K100" s="111"/>
    </row>
    <row r="101" spans="1:11" hidden="1" x14ac:dyDescent="0.25">
      <c r="A101" s="6"/>
      <c r="B101" s="6"/>
      <c r="C101" s="319"/>
      <c r="D101" s="320"/>
      <c r="E101" s="320"/>
      <c r="F101" s="320"/>
      <c r="G101" s="320"/>
      <c r="H101" s="321"/>
      <c r="I101" s="162"/>
      <c r="J101" s="111"/>
      <c r="K101" s="111"/>
    </row>
    <row r="102" spans="1:11" ht="15" hidden="1" customHeight="1" x14ac:dyDescent="0.25">
      <c r="A102" s="6"/>
      <c r="B102" s="6"/>
      <c r="C102" s="355"/>
      <c r="D102" s="356"/>
      <c r="E102" s="131"/>
      <c r="F102" s="352"/>
      <c r="G102" s="353"/>
      <c r="H102" s="354"/>
      <c r="I102" s="132"/>
      <c r="J102" s="111"/>
      <c r="K102" s="111"/>
    </row>
    <row r="103" spans="1:11" hidden="1" x14ac:dyDescent="0.25">
      <c r="A103" s="6"/>
      <c r="B103" s="6"/>
      <c r="C103" s="309" t="s">
        <v>2</v>
      </c>
      <c r="D103" s="309"/>
      <c r="E103" s="309"/>
      <c r="F103" s="309"/>
      <c r="G103" s="309"/>
      <c r="H103" s="309"/>
      <c r="I103" s="118">
        <f>SUM(I101:I102)</f>
        <v>0</v>
      </c>
      <c r="J103" s="111"/>
      <c r="K103" s="111"/>
    </row>
    <row r="104" spans="1:11" ht="15" hidden="1" customHeight="1" x14ac:dyDescent="0.25">
      <c r="A104" s="6"/>
      <c r="B104" s="6"/>
      <c r="C104" s="310" t="s">
        <v>193</v>
      </c>
      <c r="D104" s="310"/>
      <c r="E104" s="310"/>
      <c r="F104" s="310"/>
      <c r="G104" s="310"/>
      <c r="H104" s="310"/>
      <c r="I104" s="310"/>
      <c r="J104" s="111"/>
      <c r="K104" s="111"/>
    </row>
    <row r="105" spans="1:11" ht="50.1" hidden="1" customHeight="1" x14ac:dyDescent="0.25">
      <c r="A105" s="6"/>
      <c r="B105" s="6"/>
      <c r="C105" s="311"/>
      <c r="D105" s="311"/>
      <c r="E105" s="311"/>
      <c r="F105" s="311"/>
      <c r="G105" s="311"/>
      <c r="H105" s="311"/>
      <c r="I105" s="311"/>
      <c r="J105" s="111"/>
      <c r="K105" s="111"/>
    </row>
    <row r="107" spans="1:11" x14ac:dyDescent="0.25">
      <c r="C107" s="199" t="s">
        <v>202</v>
      </c>
    </row>
  </sheetData>
  <sheetProtection algorithmName="SHA-512" hashValue="omZOE5PZQbxMwDSsPmzr+hDYnhaM/Z6VSjJbO/Wlc14wM7AP94fsbluheTRJpENCczX7C7d2dHiJ8QIgu8mjqA==" saltValue="BcUM2wmcmW4tKprORjn3sg==" spinCount="100000" sheet="1" objects="1" scenarios="1"/>
  <mergeCells count="81">
    <mergeCell ref="C102:D102"/>
    <mergeCell ref="F102:H102"/>
    <mergeCell ref="C103:H103"/>
    <mergeCell ref="C104:I104"/>
    <mergeCell ref="C105:I105"/>
    <mergeCell ref="C97:I97"/>
    <mergeCell ref="C99:I99"/>
    <mergeCell ref="C100:H100"/>
    <mergeCell ref="C101:H101"/>
    <mergeCell ref="C94:I94"/>
    <mergeCell ref="F90:H90"/>
    <mergeCell ref="F91:H91"/>
    <mergeCell ref="C92:H92"/>
    <mergeCell ref="F80:H80"/>
    <mergeCell ref="C81:H81"/>
    <mergeCell ref="C82:I82"/>
    <mergeCell ref="C83:I83"/>
    <mergeCell ref="C86:I86"/>
    <mergeCell ref="C93:I93"/>
    <mergeCell ref="F79:H79"/>
    <mergeCell ref="C69:I69"/>
    <mergeCell ref="C70:D70"/>
    <mergeCell ref="G70:H70"/>
    <mergeCell ref="C71:D71"/>
    <mergeCell ref="G71:H71"/>
    <mergeCell ref="C72:D72"/>
    <mergeCell ref="G72:H72"/>
    <mergeCell ref="C73:H73"/>
    <mergeCell ref="C74:I74"/>
    <mergeCell ref="C75:I75"/>
    <mergeCell ref="C77:I77"/>
    <mergeCell ref="F78:H78"/>
    <mergeCell ref="C88:I88"/>
    <mergeCell ref="F89:H89"/>
    <mergeCell ref="C67:I67"/>
    <mergeCell ref="F55:H55"/>
    <mergeCell ref="F56:H56"/>
    <mergeCell ref="C57:H57"/>
    <mergeCell ref="C58:I58"/>
    <mergeCell ref="C59:I59"/>
    <mergeCell ref="C61:I61"/>
    <mergeCell ref="G62:H62"/>
    <mergeCell ref="G63:H63"/>
    <mergeCell ref="G64:H64"/>
    <mergeCell ref="C65:H65"/>
    <mergeCell ref="C66:I66"/>
    <mergeCell ref="F54:H54"/>
    <mergeCell ref="C37:I37"/>
    <mergeCell ref="C38:I38"/>
    <mergeCell ref="C41:I41"/>
    <mergeCell ref="G43:H43"/>
    <mergeCell ref="G44:H44"/>
    <mergeCell ref="G45:H45"/>
    <mergeCell ref="C46:H46"/>
    <mergeCell ref="C47:I47"/>
    <mergeCell ref="C48:I48"/>
    <mergeCell ref="C51:I51"/>
    <mergeCell ref="C53:I53"/>
    <mergeCell ref="C36:H36"/>
    <mergeCell ref="C23:E23"/>
    <mergeCell ref="C24:E24"/>
    <mergeCell ref="C25:E25"/>
    <mergeCell ref="C26:H26"/>
    <mergeCell ref="C27:I27"/>
    <mergeCell ref="C28:I28"/>
    <mergeCell ref="C30:I30"/>
    <mergeCell ref="C32:I32"/>
    <mergeCell ref="C35:D35"/>
    <mergeCell ref="C22:I22"/>
    <mergeCell ref="C2:I2"/>
    <mergeCell ref="C5:I5"/>
    <mergeCell ref="C7:I7"/>
    <mergeCell ref="C12:I12"/>
    <mergeCell ref="C13:E13"/>
    <mergeCell ref="C14:E14"/>
    <mergeCell ref="C15:E15"/>
    <mergeCell ref="C16:H16"/>
    <mergeCell ref="C17:I17"/>
    <mergeCell ref="C18:I18"/>
    <mergeCell ref="C20:I20"/>
    <mergeCell ref="C11:H11"/>
  </mergeCells>
  <dataValidations count="5">
    <dataValidation type="list" allowBlank="1" showInputMessage="1" showErrorMessage="1" promptTitle="Select data" prompt="from the drop-down menu" sqref="F44:F45 E55:E56 F63:F64 F71:F72 E79:E80 E90:E91 E102" xr:uid="{00000000-0002-0000-0B00-000000000000}">
      <formula1>"YES,NO"</formula1>
    </dataValidation>
    <dataValidation type="decimal" allowBlank="1" showInputMessage="1" showErrorMessage="1" errorTitle="Invalid data!" error="Must be a decimal value." sqref="F24 F14 H10 E9:E10 I55 I44 I90 I63 D63 I101 I71 I79" xr:uid="{00000000-0002-0000-0B00-000001000000}">
      <formula1>0</formula1>
      <formula2>1000000000</formula2>
    </dataValidation>
    <dataValidation allowBlank="1" showInputMessage="1" showErrorMessage="1" prompt="Insert comment" sqref="C18:I18 C28:I28 C38:I38 C48:I48 C59:I59 C67:I67 C75:I75 C83:I83 C94:I94 C105:I105" xr:uid="{00000000-0002-0000-0B00-000002000000}"/>
    <dataValidation type="decimal" allowBlank="1" showInputMessage="1" showErrorMessage="1" errorTitle="Invalid data!" error="Must be a decimal value" sqref="D9:D10" xr:uid="{00000000-0002-0000-0B00-000003000000}">
      <formula1>0</formula1>
      <formula2>1000000000</formula2>
    </dataValidation>
    <dataValidation type="custom" operator="lessThanOrEqual" allowBlank="1" showInputMessage="1" showErrorMessage="1" errorTitle="Invalid data!" error="Must be a whole number of days or half days." sqref="H9 H14 H24 H34" xr:uid="{64585025-DE78-412B-94A4-FAEDD88DC5DA}">
      <formula1>AND(H9&gt;=0,MOD(H9,0.5)=0)</formula1>
    </dataValidation>
  </dataValidations>
  <printOptions horizontalCentered="1" gridLines="1"/>
  <pageMargins left="0.70866141732283472" right="0.70866141732283472" top="0.74803149606299213" bottom="0.74803149606299213" header="0.31496062992125984" footer="0.31496062992125984"/>
  <pageSetup scale="53" fitToHeight="0" orientation="portrait" r:id="rId1"/>
  <headerFooter scaleWithDoc="0">
    <oddHeader>&amp;A</oddHead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AddLineUoR">
                <anchor moveWithCells="1" sizeWithCells="1">
                  <from>
                    <xdr:col>10</xdr:col>
                    <xdr:colOff>0</xdr:colOff>
                    <xdr:row>12</xdr:row>
                    <xdr:rowOff>0</xdr:rowOff>
                  </from>
                  <to>
                    <xdr:col>11</xdr:col>
                    <xdr:colOff>0</xdr:colOff>
                    <xdr:row>12</xdr:row>
                    <xdr:rowOff>485775</xdr:rowOff>
                  </to>
                </anchor>
              </controlPr>
            </control>
          </mc:Choice>
        </mc:AlternateContent>
        <mc:AlternateContent xmlns:mc="http://schemas.openxmlformats.org/markup-compatibility/2006">
          <mc:Choice Requires="x14">
            <control shapeId="16386" r:id="rId5" name="Button 2">
              <controlPr defaultSize="0" print="0" autoFill="0" autoPict="0" macro="[0]!AddLineUoR">
                <anchor moveWithCells="1" sizeWithCells="1">
                  <from>
                    <xdr:col>10</xdr:col>
                    <xdr:colOff>0</xdr:colOff>
                    <xdr:row>22</xdr:row>
                    <xdr:rowOff>0</xdr:rowOff>
                  </from>
                  <to>
                    <xdr:col>11</xdr:col>
                    <xdr:colOff>0</xdr:colOff>
                    <xdr:row>22</xdr:row>
                    <xdr:rowOff>485775</xdr:rowOff>
                  </to>
                </anchor>
              </controlPr>
            </control>
          </mc:Choice>
        </mc:AlternateContent>
        <mc:AlternateContent xmlns:mc="http://schemas.openxmlformats.org/markup-compatibility/2006">
          <mc:Choice Requires="x14">
            <control shapeId="16387" r:id="rId6" name="Button 3">
              <controlPr defaultSize="0" print="0" autoFill="0" autoPict="0" macro="[0]!AddLineUoR">
                <anchor moveWithCells="1" sizeWithCells="1">
                  <from>
                    <xdr:col>10</xdr:col>
                    <xdr:colOff>0</xdr:colOff>
                    <xdr:row>32</xdr:row>
                    <xdr:rowOff>0</xdr:rowOff>
                  </from>
                  <to>
                    <xdr:col>11</xdr:col>
                    <xdr:colOff>0</xdr:colOff>
                    <xdr:row>32</xdr:row>
                    <xdr:rowOff>485775</xdr:rowOff>
                  </to>
                </anchor>
              </controlPr>
            </control>
          </mc:Choice>
        </mc:AlternateContent>
        <mc:AlternateContent xmlns:mc="http://schemas.openxmlformats.org/markup-compatibility/2006">
          <mc:Choice Requires="x14">
            <control shapeId="16388" r:id="rId7" name="Button 4">
              <controlPr defaultSize="0" print="0" autoFill="0" autoPict="0" macro="[0]!AddLineUoR">
                <anchor moveWithCells="1" sizeWithCells="1">
                  <from>
                    <xdr:col>10</xdr:col>
                    <xdr:colOff>0</xdr:colOff>
                    <xdr:row>42</xdr:row>
                    <xdr:rowOff>0</xdr:rowOff>
                  </from>
                  <to>
                    <xdr:col>11</xdr:col>
                    <xdr:colOff>0</xdr:colOff>
                    <xdr:row>42</xdr:row>
                    <xdr:rowOff>247650</xdr:rowOff>
                  </to>
                </anchor>
              </controlPr>
            </control>
          </mc:Choice>
        </mc:AlternateContent>
        <mc:AlternateContent xmlns:mc="http://schemas.openxmlformats.org/markup-compatibility/2006">
          <mc:Choice Requires="x14">
            <control shapeId="16389" r:id="rId8" name="Button 5">
              <controlPr defaultSize="0" print="0" autoFill="0" autoPict="0" macro="[0]!AddLineUoR">
                <anchor moveWithCells="1" sizeWithCells="1">
                  <from>
                    <xdr:col>10</xdr:col>
                    <xdr:colOff>0</xdr:colOff>
                    <xdr:row>53</xdr:row>
                    <xdr:rowOff>0</xdr:rowOff>
                  </from>
                  <to>
                    <xdr:col>11</xdr:col>
                    <xdr:colOff>0</xdr:colOff>
                    <xdr:row>53</xdr:row>
                    <xdr:rowOff>428625</xdr:rowOff>
                  </to>
                </anchor>
              </controlPr>
            </control>
          </mc:Choice>
        </mc:AlternateContent>
        <mc:AlternateContent xmlns:mc="http://schemas.openxmlformats.org/markup-compatibility/2006">
          <mc:Choice Requires="x14">
            <control shapeId="16390" r:id="rId9" name="Button 6">
              <controlPr defaultSize="0" print="0" autoFill="0" autoPict="0" macro="[0]!AddLineUoR">
                <anchor moveWithCells="1" sizeWithCells="1">
                  <from>
                    <xdr:col>10</xdr:col>
                    <xdr:colOff>0</xdr:colOff>
                    <xdr:row>61</xdr:row>
                    <xdr:rowOff>0</xdr:rowOff>
                  </from>
                  <to>
                    <xdr:col>11</xdr:col>
                    <xdr:colOff>0</xdr:colOff>
                    <xdr:row>61</xdr:row>
                    <xdr:rowOff>419100</xdr:rowOff>
                  </to>
                </anchor>
              </controlPr>
            </control>
          </mc:Choice>
        </mc:AlternateContent>
        <mc:AlternateContent xmlns:mc="http://schemas.openxmlformats.org/markup-compatibility/2006">
          <mc:Choice Requires="x14">
            <control shapeId="16391" r:id="rId10" name="Button 7">
              <controlPr defaultSize="0" print="0" autoFill="0" autoPict="0" macro="[0]!AddLineUoR">
                <anchor moveWithCells="1" sizeWithCells="1">
                  <from>
                    <xdr:col>10</xdr:col>
                    <xdr:colOff>0</xdr:colOff>
                    <xdr:row>69</xdr:row>
                    <xdr:rowOff>0</xdr:rowOff>
                  </from>
                  <to>
                    <xdr:col>11</xdr:col>
                    <xdr:colOff>0</xdr:colOff>
                    <xdr:row>69</xdr:row>
                    <xdr:rowOff>428625</xdr:rowOff>
                  </to>
                </anchor>
              </controlPr>
            </control>
          </mc:Choice>
        </mc:AlternateContent>
        <mc:AlternateContent xmlns:mc="http://schemas.openxmlformats.org/markup-compatibility/2006">
          <mc:Choice Requires="x14">
            <control shapeId="16392" r:id="rId11" name="Button 8">
              <controlPr defaultSize="0" print="0" autoFill="0" autoPict="0" macro="[0]!AddLineUoR">
                <anchor moveWithCells="1" sizeWithCells="1">
                  <from>
                    <xdr:col>10</xdr:col>
                    <xdr:colOff>0</xdr:colOff>
                    <xdr:row>77</xdr:row>
                    <xdr:rowOff>0</xdr:rowOff>
                  </from>
                  <to>
                    <xdr:col>11</xdr:col>
                    <xdr:colOff>0</xdr:colOff>
                    <xdr:row>77</xdr:row>
                    <xdr:rowOff>428625</xdr:rowOff>
                  </to>
                </anchor>
              </controlPr>
            </control>
          </mc:Choice>
        </mc:AlternateContent>
        <mc:AlternateContent xmlns:mc="http://schemas.openxmlformats.org/markup-compatibility/2006">
          <mc:Choice Requires="x14">
            <control shapeId="16393" r:id="rId12" name="Button 9">
              <controlPr defaultSize="0" print="0" autoFill="0" autoPict="0" macro="[0]!AddLineUoR">
                <anchor moveWithCells="1" sizeWithCells="1">
                  <from>
                    <xdr:col>10</xdr:col>
                    <xdr:colOff>0</xdr:colOff>
                    <xdr:row>88</xdr:row>
                    <xdr:rowOff>0</xdr:rowOff>
                  </from>
                  <to>
                    <xdr:col>11</xdr:col>
                    <xdr:colOff>0</xdr:colOff>
                    <xdr:row>88</xdr:row>
                    <xdr:rowOff>428625</xdr:rowOff>
                  </to>
                </anchor>
              </controlPr>
            </control>
          </mc:Choice>
        </mc:AlternateContent>
        <mc:AlternateContent xmlns:mc="http://schemas.openxmlformats.org/markup-compatibility/2006">
          <mc:Choice Requires="x14">
            <control shapeId="16394" r:id="rId13" name="Button 10">
              <controlPr defaultSize="0" print="0" autoFill="0" autoPict="0" macro="[0]!AddLineUoR">
                <anchor moveWithCells="1" sizeWithCells="1">
                  <from>
                    <xdr:col>10</xdr:col>
                    <xdr:colOff>0</xdr:colOff>
                    <xdr:row>99</xdr:row>
                    <xdr:rowOff>0</xdr:rowOff>
                  </from>
                  <to>
                    <xdr:col>11</xdr:col>
                    <xdr:colOff>0</xdr:colOff>
                    <xdr:row>99</xdr:row>
                    <xdr:rowOff>428625</xdr:rowOff>
                  </to>
                </anchor>
              </controlPr>
            </control>
          </mc:Choice>
        </mc:AlternateContent>
        <mc:AlternateContent xmlns:mc="http://schemas.openxmlformats.org/markup-compatibility/2006">
          <mc:Choice Requires="x14">
            <control shapeId="16395" r:id="rId14" name="Button 11">
              <controlPr defaultSize="0" print="0" autoFill="0" autoPict="0" macro="[0]!AddLineUoR">
                <anchor moveWithCells="1" sizeWithCells="1">
                  <from>
                    <xdr:col>10</xdr:col>
                    <xdr:colOff>0</xdr:colOff>
                    <xdr:row>7</xdr:row>
                    <xdr:rowOff>0</xdr:rowOff>
                  </from>
                  <to>
                    <xdr:col>11</xdr:col>
                    <xdr:colOff>0</xdr:colOff>
                    <xdr:row>7</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Title="Invalid data!" error="Country must be selected from the list." xr:uid="{00000000-0002-0000-0B00-000004000000}">
          <x14:formula1>
            <xm:f>'Countries&amp;Coefficients'!$A$2:$A$29</xm:f>
          </x14:formula1>
          <xm:sqref>E34</xm:sqref>
        </x14:dataValidation>
        <x14:dataValidation type="list" allowBlank="1" showInputMessage="1" showErrorMessage="1" errorTitle="Invalid WP" error="You need to select the WP from the drop-down list." xr:uid="{00000000-0002-0000-0B00-000005000000}">
          <x14:formula1>
            <xm:f>ListActivitiesReported!#REF!</xm:f>
          </x14:formula1>
          <xm:sqref>G9:G10 D90 D79 E71 E63 D55 E44 D34 G24 G14</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L12"/>
  <sheetViews>
    <sheetView workbookViewId="0">
      <selection activeCell="B2" sqref="B2"/>
    </sheetView>
  </sheetViews>
  <sheetFormatPr defaultColWidth="9.140625" defaultRowHeight="15" x14ac:dyDescent="0.25"/>
  <cols>
    <col min="1" max="1" width="23" style="136" customWidth="1"/>
    <col min="2" max="2" width="10.5703125" style="136" customWidth="1"/>
    <col min="3" max="3" width="16.85546875" style="136" customWidth="1"/>
    <col min="4" max="16384" width="9.140625" style="136"/>
  </cols>
  <sheetData>
    <row r="1" spans="1:12" x14ac:dyDescent="0.25">
      <c r="A1" s="133"/>
      <c r="B1" s="135" t="s">
        <v>116</v>
      </c>
      <c r="C1" s="358" t="s">
        <v>117</v>
      </c>
      <c r="D1" s="358"/>
      <c r="E1" s="358"/>
      <c r="F1" s="358"/>
      <c r="G1" s="358"/>
      <c r="H1" s="358"/>
      <c r="I1" s="358"/>
      <c r="J1" s="358"/>
      <c r="K1" s="358"/>
      <c r="L1" s="358"/>
    </row>
    <row r="2" spans="1:12" x14ac:dyDescent="0.25">
      <c r="A2" s="134" t="s">
        <v>231</v>
      </c>
      <c r="B2" s="209">
        <v>0</v>
      </c>
    </row>
    <row r="3" spans="1:12" x14ac:dyDescent="0.25">
      <c r="A3" s="134" t="s">
        <v>108</v>
      </c>
      <c r="B3" s="133">
        <v>0</v>
      </c>
    </row>
    <row r="4" spans="1:12" x14ac:dyDescent="0.25">
      <c r="A4" s="134" t="s">
        <v>109</v>
      </c>
      <c r="B4" s="133">
        <v>0</v>
      </c>
    </row>
    <row r="5" spans="1:12" x14ac:dyDescent="0.25">
      <c r="A5" s="134" t="s">
        <v>110</v>
      </c>
      <c r="B5" s="133">
        <v>0</v>
      </c>
    </row>
    <row r="6" spans="1:12" x14ac:dyDescent="0.25">
      <c r="A6" s="134" t="s">
        <v>111</v>
      </c>
      <c r="B6" s="133">
        <v>0</v>
      </c>
    </row>
    <row r="7" spans="1:12" x14ac:dyDescent="0.25">
      <c r="A7" s="134" t="s">
        <v>112</v>
      </c>
      <c r="B7" s="133">
        <v>0</v>
      </c>
    </row>
    <row r="8" spans="1:12" x14ac:dyDescent="0.25">
      <c r="A8" s="134" t="s">
        <v>113</v>
      </c>
      <c r="B8" s="133">
        <v>0</v>
      </c>
    </row>
    <row r="9" spans="1:12" x14ac:dyDescent="0.25">
      <c r="A9" s="134" t="s">
        <v>114</v>
      </c>
      <c r="B9" s="133">
        <v>0</v>
      </c>
    </row>
    <row r="10" spans="1:12" x14ac:dyDescent="0.25">
      <c r="A10" s="134" t="s">
        <v>115</v>
      </c>
      <c r="B10" s="133">
        <v>0</v>
      </c>
    </row>
    <row r="12" spans="1:12" x14ac:dyDescent="0.25">
      <c r="A12" s="357"/>
      <c r="B12" s="357"/>
    </row>
  </sheetData>
  <sheetProtection algorithmName="SHA-512" hashValue="QStTO21xaPzbkbcjj/p11RFM/SDTb1PY6v4X9isURtIMr8U/R5z3tj5/LJgAEpSjChPasVHSGnSn5x/CmsLsSQ==" saltValue="0bIPf2Q455cGa808yv22zg==" spinCount="100000" sheet="1" objects="1" scenarios="1"/>
  <mergeCells count="2">
    <mergeCell ref="A12:B12"/>
    <mergeCell ref="C1:L1"/>
  </mergeCells>
  <dataValidations count="1">
    <dataValidation type="list" allowBlank="1" showInputMessage="1" showErrorMessage="1" error="You need to select the eligible activity from the list." sqref="A13" xr:uid="{00000000-0002-0000-0C00-000000000000}">
      <formula1>#REF!</formula1>
    </dataValidation>
  </dataValidation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tabColor theme="4" tint="0.79998168889431442"/>
    <pageSetUpPr fitToPage="1"/>
  </sheetPr>
  <dimension ref="A1:AK47"/>
  <sheetViews>
    <sheetView showGridLines="0" showRowColHeaders="0" zoomScale="85" zoomScaleNormal="85" workbookViewId="0">
      <pane xSplit="1" ySplit="10" topLeftCell="B11" activePane="bottomRight" state="frozen"/>
      <selection pane="topRight" activeCell="B1" sqref="B1"/>
      <selection pane="bottomLeft" activeCell="A11" sqref="A11"/>
      <selection pane="bottomRight" activeCell="W11" sqref="W11"/>
    </sheetView>
  </sheetViews>
  <sheetFormatPr defaultRowHeight="15" x14ac:dyDescent="0.25"/>
  <cols>
    <col min="1" max="1" width="39.42578125" customWidth="1"/>
    <col min="2" max="2" width="15.42578125" style="86" customWidth="1"/>
    <col min="3" max="3" width="16.42578125" style="86" customWidth="1"/>
    <col min="4" max="4" width="17.85546875" style="86" customWidth="1"/>
    <col min="5" max="6" width="17.85546875" style="86" hidden="1" customWidth="1"/>
    <col min="7" max="8" width="22" customWidth="1"/>
    <col min="9" max="9" width="17.42578125" hidden="1" customWidth="1"/>
    <col min="10" max="10" width="16.42578125" hidden="1" customWidth="1"/>
    <col min="11" max="11" width="17.42578125" hidden="1" customWidth="1"/>
    <col min="12" max="13" width="25.5703125" customWidth="1"/>
    <col min="14" max="14" width="19.85546875" customWidth="1"/>
    <col min="15" max="15" width="16.42578125" hidden="1" customWidth="1"/>
    <col min="16" max="16" width="16.42578125" customWidth="1"/>
    <col min="17" max="17" width="20" customWidth="1"/>
    <col min="18" max="18" width="14" hidden="1" customWidth="1"/>
    <col min="19" max="19" width="21.42578125" customWidth="1"/>
    <col min="20" max="20" width="20.5703125" customWidth="1"/>
    <col min="21" max="21" width="19.85546875" customWidth="1"/>
    <col min="22" max="22" width="23.5703125" customWidth="1"/>
    <col min="23" max="23" width="18.5703125" customWidth="1"/>
    <col min="24" max="27" width="18.5703125" hidden="1" customWidth="1"/>
    <col min="28" max="28" width="21.140625" style="87" customWidth="1"/>
    <col min="29" max="29" width="5.85546875" customWidth="1"/>
    <col min="30" max="30" width="24.42578125" hidden="1" customWidth="1"/>
  </cols>
  <sheetData>
    <row r="1" spans="1:30" s="24" customFormat="1" ht="15.75" x14ac:dyDescent="0.25">
      <c r="A1" s="22"/>
      <c r="B1" s="203"/>
      <c r="C1" s="203"/>
      <c r="D1" s="203"/>
      <c r="E1" s="203"/>
      <c r="F1" s="203"/>
      <c r="G1" s="203"/>
      <c r="H1" s="203"/>
      <c r="I1" s="203"/>
      <c r="J1" s="203"/>
      <c r="K1" s="203"/>
      <c r="L1" s="203"/>
      <c r="M1" s="203"/>
      <c r="N1" s="203"/>
      <c r="O1" s="203"/>
      <c r="P1" s="203"/>
      <c r="Q1" s="203"/>
      <c r="R1" s="203"/>
      <c r="S1" s="203"/>
      <c r="T1" s="203"/>
      <c r="U1" s="203"/>
      <c r="V1" s="203"/>
      <c r="W1" s="203"/>
      <c r="X1" s="203"/>
      <c r="Y1" s="203"/>
      <c r="Z1" s="203"/>
      <c r="AA1" s="203"/>
      <c r="AB1" s="203"/>
      <c r="AC1" s="203"/>
      <c r="AD1" s="23"/>
    </row>
    <row r="2" spans="1:30" ht="16.5" thickBot="1" x14ac:dyDescent="0.3">
      <c r="B2" s="359" t="str">
        <f xml:space="preserve"> "FINANCIAL STATEMENT FOR " &amp; IF('General info on reporting'!D20="","[Indicate participant name in sheet ""General info on reporting""]", 'General info on reporting'!D20) &amp; " FOR REPORTING PERIOD " &amp; IF('General info on reporting'!D15="","[Indicate period in sheet ""General info on reporting""]",'General info on reporting'!D15)</f>
        <v>FINANCIAL STATEMENT FOR [Indicate participant name in sheet "General info on reporting"] FOR REPORTING PERIOD [Indicate period in sheet "General info on reporting"]</v>
      </c>
      <c r="C2" s="359"/>
      <c r="D2" s="359"/>
      <c r="E2" s="359"/>
      <c r="F2" s="359"/>
      <c r="G2" s="359"/>
      <c r="H2" s="359"/>
      <c r="I2" s="359"/>
      <c r="J2" s="359"/>
      <c r="K2" s="359"/>
      <c r="L2" s="359"/>
      <c r="M2" s="359"/>
      <c r="N2" s="359"/>
      <c r="O2" s="359"/>
      <c r="P2" s="359"/>
      <c r="Q2" s="359"/>
      <c r="R2" s="359"/>
      <c r="S2" s="359"/>
      <c r="T2" s="359"/>
      <c r="U2" s="359"/>
      <c r="V2" s="359"/>
      <c r="W2" s="359"/>
      <c r="X2" s="359"/>
      <c r="Y2" s="359"/>
      <c r="Z2" s="359"/>
      <c r="AA2" s="359"/>
      <c r="AB2" s="359"/>
      <c r="AC2" s="202"/>
      <c r="AD2" s="25"/>
    </row>
    <row r="3" spans="1:30" ht="19.5" thickBot="1" x14ac:dyDescent="0.3">
      <c r="A3" s="26"/>
      <c r="B3" s="370" t="s">
        <v>155</v>
      </c>
      <c r="C3" s="371"/>
      <c r="D3" s="371"/>
      <c r="E3" s="371"/>
      <c r="F3" s="371"/>
      <c r="G3" s="371"/>
      <c r="H3" s="371"/>
      <c r="I3" s="371"/>
      <c r="J3" s="371"/>
      <c r="K3" s="371"/>
      <c r="L3" s="371"/>
      <c r="M3" s="371"/>
      <c r="N3" s="371"/>
      <c r="O3" s="371"/>
      <c r="P3" s="371"/>
      <c r="Q3" s="371"/>
      <c r="R3" s="371"/>
      <c r="S3" s="371"/>
      <c r="T3" s="372"/>
      <c r="U3" s="370" t="s">
        <v>159</v>
      </c>
      <c r="V3" s="371"/>
      <c r="W3" s="371"/>
      <c r="X3" s="371"/>
      <c r="Y3" s="371"/>
      <c r="Z3" s="371"/>
      <c r="AA3" s="371"/>
      <c r="AB3" s="372"/>
      <c r="AC3" s="27"/>
      <c r="AD3" s="171" t="s">
        <v>27</v>
      </c>
    </row>
    <row r="4" spans="1:30" ht="15.75" thickBot="1" x14ac:dyDescent="0.3">
      <c r="A4" s="26"/>
      <c r="B4" s="370" t="s">
        <v>28</v>
      </c>
      <c r="C4" s="371"/>
      <c r="D4" s="371"/>
      <c r="E4" s="371"/>
      <c r="F4" s="371"/>
      <c r="G4" s="371"/>
      <c r="H4" s="371"/>
      <c r="I4" s="371"/>
      <c r="J4" s="371"/>
      <c r="K4" s="371"/>
      <c r="L4" s="371"/>
      <c r="M4" s="371"/>
      <c r="N4" s="371"/>
      <c r="O4" s="29"/>
      <c r="P4" s="29"/>
      <c r="Q4" s="29"/>
      <c r="R4" s="29"/>
      <c r="S4" s="28" t="s">
        <v>6</v>
      </c>
      <c r="T4" s="373" t="s">
        <v>2</v>
      </c>
      <c r="U4" s="362" t="s">
        <v>29</v>
      </c>
      <c r="V4" s="363"/>
      <c r="W4" s="366"/>
      <c r="X4" s="375" t="s">
        <v>30</v>
      </c>
      <c r="Y4" s="376"/>
      <c r="Z4" s="376"/>
      <c r="AA4" s="377"/>
      <c r="AB4" s="373" t="s">
        <v>233</v>
      </c>
      <c r="AC4" s="27"/>
      <c r="AD4" s="360" t="s">
        <v>31</v>
      </c>
    </row>
    <row r="5" spans="1:30" ht="33" thickBot="1" x14ac:dyDescent="0.3">
      <c r="A5" s="26"/>
      <c r="B5" s="362" t="s">
        <v>32</v>
      </c>
      <c r="C5" s="363"/>
      <c r="D5" s="363"/>
      <c r="E5" s="363"/>
      <c r="F5" s="364"/>
      <c r="G5" s="30" t="s">
        <v>33</v>
      </c>
      <c r="H5" s="365" t="s">
        <v>34</v>
      </c>
      <c r="I5" s="363"/>
      <c r="J5" s="363"/>
      <c r="K5" s="363"/>
      <c r="L5" s="363"/>
      <c r="M5" s="364"/>
      <c r="N5" s="365" t="s">
        <v>35</v>
      </c>
      <c r="O5" s="363"/>
      <c r="P5" s="363"/>
      <c r="Q5" s="363"/>
      <c r="R5" s="366"/>
      <c r="S5" s="31" t="s">
        <v>156</v>
      </c>
      <c r="T5" s="374"/>
      <c r="U5" s="32" t="s">
        <v>157</v>
      </c>
      <c r="V5" s="33" t="s">
        <v>158</v>
      </c>
      <c r="W5" s="34" t="s">
        <v>36</v>
      </c>
      <c r="X5" s="367" t="s">
        <v>37</v>
      </c>
      <c r="Y5" s="368"/>
      <c r="Z5" s="368"/>
      <c r="AA5" s="369"/>
      <c r="AB5" s="374"/>
      <c r="AC5" s="35"/>
      <c r="AD5" s="361"/>
    </row>
    <row r="6" spans="1:30" ht="51" customHeight="1" x14ac:dyDescent="0.25">
      <c r="A6" s="26"/>
      <c r="B6" s="391" t="s">
        <v>38</v>
      </c>
      <c r="C6" s="392"/>
      <c r="D6" s="402" t="s">
        <v>39</v>
      </c>
      <c r="E6" s="36" t="s">
        <v>40</v>
      </c>
      <c r="F6" s="36" t="s">
        <v>41</v>
      </c>
      <c r="G6" s="405" t="s">
        <v>42</v>
      </c>
      <c r="H6" s="405" t="s">
        <v>43</v>
      </c>
      <c r="I6" s="393" t="s">
        <v>43</v>
      </c>
      <c r="J6" s="394"/>
      <c r="K6" s="395"/>
      <c r="L6" s="428" t="s">
        <v>44</v>
      </c>
      <c r="M6" s="402" t="s">
        <v>45</v>
      </c>
      <c r="N6" s="431" t="s">
        <v>203</v>
      </c>
      <c r="O6" s="392"/>
      <c r="P6" s="402" t="s">
        <v>46</v>
      </c>
      <c r="Q6" s="402" t="s">
        <v>204</v>
      </c>
      <c r="R6" s="37" t="s">
        <v>47</v>
      </c>
      <c r="S6" s="408" t="s">
        <v>48</v>
      </c>
      <c r="T6" s="38"/>
      <c r="U6" s="396"/>
      <c r="V6" s="399" t="s">
        <v>254</v>
      </c>
      <c r="W6" s="39"/>
      <c r="X6" s="40" t="s">
        <v>49</v>
      </c>
      <c r="Y6" s="37" t="s">
        <v>49</v>
      </c>
      <c r="Z6" s="37" t="s">
        <v>49</v>
      </c>
      <c r="AA6" s="41" t="s">
        <v>49</v>
      </c>
      <c r="AB6" s="378"/>
      <c r="AC6" s="381"/>
      <c r="AD6" s="382"/>
    </row>
    <row r="7" spans="1:30" x14ac:dyDescent="0.25">
      <c r="A7" s="26"/>
      <c r="B7" s="385" t="s">
        <v>50</v>
      </c>
      <c r="C7" s="386"/>
      <c r="D7" s="403"/>
      <c r="E7" s="42"/>
      <c r="F7" s="43"/>
      <c r="G7" s="406"/>
      <c r="H7" s="406"/>
      <c r="I7" s="387" t="s">
        <v>51</v>
      </c>
      <c r="J7" s="387" t="s">
        <v>52</v>
      </c>
      <c r="K7" s="387" t="s">
        <v>53</v>
      </c>
      <c r="L7" s="429"/>
      <c r="M7" s="403"/>
      <c r="N7" s="432"/>
      <c r="O7" s="433"/>
      <c r="P7" s="403"/>
      <c r="Q7" s="403"/>
      <c r="R7" s="44"/>
      <c r="S7" s="409"/>
      <c r="T7" s="45"/>
      <c r="U7" s="397"/>
      <c r="V7" s="400"/>
      <c r="W7" s="46"/>
      <c r="X7" s="47"/>
      <c r="Y7" s="48"/>
      <c r="Z7" s="48"/>
      <c r="AA7" s="49"/>
      <c r="AB7" s="379"/>
      <c r="AC7" s="381"/>
      <c r="AD7" s="383"/>
    </row>
    <row r="8" spans="1:30" ht="15.75" thickBot="1" x14ac:dyDescent="0.3">
      <c r="A8" s="50"/>
      <c r="B8" s="389" t="s">
        <v>54</v>
      </c>
      <c r="C8" s="390"/>
      <c r="D8" s="404"/>
      <c r="E8" s="51"/>
      <c r="F8" s="51"/>
      <c r="G8" s="407"/>
      <c r="H8" s="407"/>
      <c r="I8" s="388"/>
      <c r="J8" s="388"/>
      <c r="K8" s="388"/>
      <c r="L8" s="430"/>
      <c r="M8" s="404"/>
      <c r="N8" s="434"/>
      <c r="O8" s="435"/>
      <c r="P8" s="404"/>
      <c r="Q8" s="404"/>
      <c r="R8" s="52"/>
      <c r="S8" s="410"/>
      <c r="T8" s="45"/>
      <c r="U8" s="397"/>
      <c r="V8" s="400"/>
      <c r="W8" s="46"/>
      <c r="X8" s="47"/>
      <c r="Y8" s="48"/>
      <c r="Z8" s="48"/>
      <c r="AA8" s="49"/>
      <c r="AB8" s="379"/>
      <c r="AC8" s="381"/>
      <c r="AD8" s="383"/>
    </row>
    <row r="9" spans="1:30" ht="47.25" thickBot="1" x14ac:dyDescent="0.3">
      <c r="A9" s="53" t="s">
        <v>55</v>
      </c>
      <c r="B9" s="54" t="s">
        <v>56</v>
      </c>
      <c r="C9" s="54" t="s">
        <v>167</v>
      </c>
      <c r="D9" s="54" t="s">
        <v>154</v>
      </c>
      <c r="E9" s="55" t="s">
        <v>57</v>
      </c>
      <c r="F9" s="56" t="s">
        <v>58</v>
      </c>
      <c r="G9" s="54" t="s">
        <v>59</v>
      </c>
      <c r="H9" s="57" t="s">
        <v>59</v>
      </c>
      <c r="I9" s="58" t="s">
        <v>60</v>
      </c>
      <c r="J9" s="58" t="s">
        <v>60</v>
      </c>
      <c r="K9" s="58" t="s">
        <v>60</v>
      </c>
      <c r="L9" s="54" t="s">
        <v>59</v>
      </c>
      <c r="M9" s="54" t="s">
        <v>59</v>
      </c>
      <c r="N9" s="54" t="s">
        <v>151</v>
      </c>
      <c r="O9" s="58" t="s">
        <v>61</v>
      </c>
      <c r="P9" s="54" t="s">
        <v>167</v>
      </c>
      <c r="Q9" s="54" t="s">
        <v>59</v>
      </c>
      <c r="R9" s="59" t="s">
        <v>62</v>
      </c>
      <c r="S9" s="60" t="s">
        <v>153</v>
      </c>
      <c r="T9" s="61"/>
      <c r="U9" s="398"/>
      <c r="V9" s="401"/>
      <c r="W9" s="46"/>
      <c r="X9" s="62" t="s">
        <v>63</v>
      </c>
      <c r="Y9" s="63" t="s">
        <v>64</v>
      </c>
      <c r="Z9" s="63" t="s">
        <v>65</v>
      </c>
      <c r="AA9" s="64" t="s">
        <v>66</v>
      </c>
      <c r="AB9" s="380"/>
      <c r="AC9" s="381"/>
      <c r="AD9" s="384"/>
    </row>
    <row r="10" spans="1:30" s="13" customFormat="1" ht="15.75" thickBot="1" x14ac:dyDescent="0.3">
      <c r="A10" s="184"/>
      <c r="B10" s="65" t="s">
        <v>67</v>
      </c>
      <c r="C10" s="66" t="s">
        <v>68</v>
      </c>
      <c r="D10" s="66" t="s">
        <v>69</v>
      </c>
      <c r="E10" s="67" t="s">
        <v>70</v>
      </c>
      <c r="F10" s="67" t="s">
        <v>71</v>
      </c>
      <c r="G10" s="68" t="s">
        <v>72</v>
      </c>
      <c r="H10" s="69" t="s">
        <v>73</v>
      </c>
      <c r="I10" s="70" t="s">
        <v>74</v>
      </c>
      <c r="J10" s="70" t="s">
        <v>75</v>
      </c>
      <c r="K10" s="70" t="s">
        <v>76</v>
      </c>
      <c r="L10" s="69" t="s">
        <v>77</v>
      </c>
      <c r="M10" s="69" t="s">
        <v>78</v>
      </c>
      <c r="N10" s="68" t="s">
        <v>160</v>
      </c>
      <c r="O10" s="70" t="s">
        <v>79</v>
      </c>
      <c r="P10" s="68" t="s">
        <v>80</v>
      </c>
      <c r="Q10" s="71" t="s">
        <v>161</v>
      </c>
      <c r="R10" s="72" t="s">
        <v>81</v>
      </c>
      <c r="S10" s="73" t="s">
        <v>82</v>
      </c>
      <c r="T10" s="73" t="s">
        <v>152</v>
      </c>
      <c r="U10" s="74" t="s">
        <v>83</v>
      </c>
      <c r="V10" s="75" t="s">
        <v>84</v>
      </c>
      <c r="W10" s="76" t="s">
        <v>85</v>
      </c>
      <c r="X10" s="77" t="s">
        <v>86</v>
      </c>
      <c r="Y10" s="72" t="s">
        <v>87</v>
      </c>
      <c r="Z10" s="63" t="s">
        <v>88</v>
      </c>
      <c r="AA10" s="78" t="s">
        <v>89</v>
      </c>
      <c r="AB10" s="79" t="s">
        <v>90</v>
      </c>
      <c r="AC10" s="80" t="s">
        <v>91</v>
      </c>
      <c r="AD10" s="172" t="s">
        <v>92</v>
      </c>
    </row>
    <row r="11" spans="1:30" ht="15.75" hidden="1" thickBot="1" x14ac:dyDescent="0.3">
      <c r="A11" s="160" t="s">
        <v>231</v>
      </c>
      <c r="B11" s="141"/>
      <c r="C11" s="141"/>
      <c r="D11" s="141"/>
      <c r="E11" s="142"/>
      <c r="F11" s="142"/>
      <c r="G11" s="143"/>
      <c r="H11" s="141"/>
      <c r="I11" s="142"/>
      <c r="J11" s="144"/>
      <c r="K11" s="142"/>
      <c r="L11" s="143"/>
      <c r="M11" s="143"/>
      <c r="N11" s="182"/>
      <c r="O11" s="144"/>
      <c r="P11" s="141"/>
      <c r="Q11" s="182"/>
      <c r="R11" s="142"/>
      <c r="S11" s="138"/>
      <c r="T11" s="140">
        <f>B11+C11+D11+G11+H11+L11+M11+N11+P11+Q11+S11</f>
        <v>0</v>
      </c>
      <c r="U11" s="210"/>
      <c r="V11" s="139">
        <f>TRUNC(T11*U11,2)</f>
        <v>0</v>
      </c>
      <c r="W11" s="158"/>
      <c r="X11" s="82"/>
      <c r="Y11" s="81"/>
      <c r="Z11" s="81"/>
      <c r="AA11" s="83"/>
      <c r="AB11" s="138">
        <f>W11</f>
        <v>0</v>
      </c>
      <c r="AC11" s="84"/>
      <c r="AD11" s="174"/>
    </row>
    <row r="12" spans="1:30" ht="15.75" hidden="1" thickBot="1" x14ac:dyDescent="0.3">
      <c r="A12" s="160" t="s">
        <v>108</v>
      </c>
      <c r="B12" s="141"/>
      <c r="C12" s="141"/>
      <c r="D12" s="141"/>
      <c r="E12" s="142"/>
      <c r="F12" s="142"/>
      <c r="G12" s="143"/>
      <c r="H12" s="141"/>
      <c r="I12" s="142"/>
      <c r="J12" s="144"/>
      <c r="K12" s="142"/>
      <c r="L12" s="143"/>
      <c r="M12" s="143"/>
      <c r="N12" s="182"/>
      <c r="O12" s="144"/>
      <c r="P12" s="141"/>
      <c r="Q12" s="182"/>
      <c r="R12" s="142"/>
      <c r="S12" s="138"/>
      <c r="T12" s="140">
        <f>B12+C12+D12+G12+H12+L12+M12+N12+P12+Q12+S12</f>
        <v>0</v>
      </c>
      <c r="U12" s="210"/>
      <c r="V12" s="139">
        <f>TRUNC(T12*U12,2)</f>
        <v>0</v>
      </c>
      <c r="W12" s="158"/>
      <c r="X12" s="82"/>
      <c r="Y12" s="81"/>
      <c r="Z12" s="81"/>
      <c r="AA12" s="83"/>
      <c r="AB12" s="138">
        <f>W12</f>
        <v>0</v>
      </c>
      <c r="AC12" s="101"/>
      <c r="AD12" s="174"/>
    </row>
    <row r="13" spans="1:30" ht="15.75" hidden="1" thickBot="1" x14ac:dyDescent="0.3">
      <c r="A13" s="160" t="s">
        <v>109</v>
      </c>
      <c r="B13" s="141"/>
      <c r="C13" s="141"/>
      <c r="D13" s="141"/>
      <c r="E13" s="142"/>
      <c r="F13" s="142"/>
      <c r="G13" s="143"/>
      <c r="H13" s="141"/>
      <c r="I13" s="142"/>
      <c r="J13" s="144"/>
      <c r="K13" s="142"/>
      <c r="L13" s="143"/>
      <c r="M13" s="143"/>
      <c r="N13" s="182"/>
      <c r="O13" s="144"/>
      <c r="P13" s="141"/>
      <c r="Q13" s="182"/>
      <c r="R13" s="142"/>
      <c r="S13" s="138"/>
      <c r="T13" s="140">
        <f t="shared" ref="T13:T19" si="0">B13+C13+D13+G13+H13+L13+M13+N13+P13+Q13+S13</f>
        <v>0</v>
      </c>
      <c r="U13" s="210"/>
      <c r="V13" s="139">
        <f>TRUNC(T13*U13,2)</f>
        <v>0</v>
      </c>
      <c r="W13" s="158"/>
      <c r="X13" s="82"/>
      <c r="Y13" s="81"/>
      <c r="Z13" s="81"/>
      <c r="AA13" s="83"/>
      <c r="AB13" s="138">
        <f t="shared" ref="AB13:AB19" si="1">W13</f>
        <v>0</v>
      </c>
      <c r="AC13" s="101"/>
      <c r="AD13" s="174"/>
    </row>
    <row r="14" spans="1:30" ht="15.75" hidden="1" thickBot="1" x14ac:dyDescent="0.3">
      <c r="A14" s="160" t="s">
        <v>110</v>
      </c>
      <c r="B14" s="141"/>
      <c r="C14" s="141"/>
      <c r="D14" s="141"/>
      <c r="E14" s="142"/>
      <c r="F14" s="142"/>
      <c r="G14" s="143"/>
      <c r="H14" s="141"/>
      <c r="I14" s="142"/>
      <c r="J14" s="144"/>
      <c r="K14" s="142"/>
      <c r="L14" s="143"/>
      <c r="M14" s="143"/>
      <c r="N14" s="182"/>
      <c r="O14" s="144"/>
      <c r="P14" s="141"/>
      <c r="Q14" s="182"/>
      <c r="R14" s="142"/>
      <c r="S14" s="138"/>
      <c r="T14" s="140">
        <f t="shared" si="0"/>
        <v>0</v>
      </c>
      <c r="U14" s="210"/>
      <c r="V14" s="139">
        <f>TRUNC(T14*U14,2)</f>
        <v>0</v>
      </c>
      <c r="W14" s="158"/>
      <c r="X14" s="82"/>
      <c r="Y14" s="81"/>
      <c r="Z14" s="81"/>
      <c r="AA14" s="83"/>
      <c r="AB14" s="138">
        <f t="shared" si="1"/>
        <v>0</v>
      </c>
      <c r="AC14" s="101"/>
      <c r="AD14" s="174"/>
    </row>
    <row r="15" spans="1:30" ht="15.75" hidden="1" thickBot="1" x14ac:dyDescent="0.3">
      <c r="A15" s="160" t="s">
        <v>111</v>
      </c>
      <c r="B15" s="141"/>
      <c r="C15" s="141"/>
      <c r="D15" s="141"/>
      <c r="E15" s="142"/>
      <c r="F15" s="142"/>
      <c r="G15" s="143"/>
      <c r="H15" s="141"/>
      <c r="I15" s="142"/>
      <c r="J15" s="144"/>
      <c r="K15" s="142"/>
      <c r="L15" s="143"/>
      <c r="M15" s="143"/>
      <c r="N15" s="182"/>
      <c r="O15" s="144"/>
      <c r="P15" s="141"/>
      <c r="Q15" s="182"/>
      <c r="R15" s="142"/>
      <c r="S15" s="138"/>
      <c r="T15" s="140">
        <f t="shared" si="0"/>
        <v>0</v>
      </c>
      <c r="U15" s="157"/>
      <c r="V15" s="139">
        <f t="shared" ref="V15:V19" si="2">T15*U15</f>
        <v>0</v>
      </c>
      <c r="W15" s="158"/>
      <c r="X15" s="82"/>
      <c r="Y15" s="81"/>
      <c r="Z15" s="81"/>
      <c r="AA15" s="83"/>
      <c r="AB15" s="138">
        <f t="shared" si="1"/>
        <v>0</v>
      </c>
      <c r="AC15" s="101"/>
      <c r="AD15" s="174"/>
    </row>
    <row r="16" spans="1:30" ht="15.75" hidden="1" thickBot="1" x14ac:dyDescent="0.3">
      <c r="A16" s="160" t="s">
        <v>112</v>
      </c>
      <c r="B16" s="141"/>
      <c r="C16" s="141"/>
      <c r="D16" s="141"/>
      <c r="E16" s="142"/>
      <c r="F16" s="142"/>
      <c r="G16" s="143"/>
      <c r="H16" s="141"/>
      <c r="I16" s="142"/>
      <c r="J16" s="144"/>
      <c r="K16" s="142"/>
      <c r="L16" s="143"/>
      <c r="M16" s="143"/>
      <c r="N16" s="182"/>
      <c r="O16" s="144"/>
      <c r="P16" s="141"/>
      <c r="Q16" s="182"/>
      <c r="R16" s="142"/>
      <c r="S16" s="138"/>
      <c r="T16" s="140">
        <f t="shared" si="0"/>
        <v>0</v>
      </c>
      <c r="U16" s="157"/>
      <c r="V16" s="139">
        <f t="shared" si="2"/>
        <v>0</v>
      </c>
      <c r="W16" s="158"/>
      <c r="X16" s="82"/>
      <c r="Y16" s="81"/>
      <c r="Z16" s="81"/>
      <c r="AA16" s="83"/>
      <c r="AB16" s="138">
        <f t="shared" si="1"/>
        <v>0</v>
      </c>
      <c r="AC16" s="101"/>
      <c r="AD16" s="174"/>
    </row>
    <row r="17" spans="1:30" ht="15.75" hidden="1" thickBot="1" x14ac:dyDescent="0.3">
      <c r="A17" s="160" t="s">
        <v>113</v>
      </c>
      <c r="B17" s="141"/>
      <c r="C17" s="141"/>
      <c r="D17" s="141"/>
      <c r="E17" s="142"/>
      <c r="F17" s="142"/>
      <c r="G17" s="143"/>
      <c r="H17" s="141"/>
      <c r="I17" s="142"/>
      <c r="J17" s="144"/>
      <c r="K17" s="142"/>
      <c r="L17" s="143"/>
      <c r="M17" s="143"/>
      <c r="N17" s="182"/>
      <c r="O17" s="144"/>
      <c r="P17" s="141"/>
      <c r="Q17" s="182"/>
      <c r="R17" s="142"/>
      <c r="S17" s="138"/>
      <c r="T17" s="140">
        <f t="shared" si="0"/>
        <v>0</v>
      </c>
      <c r="U17" s="157"/>
      <c r="V17" s="139">
        <f t="shared" si="2"/>
        <v>0</v>
      </c>
      <c r="W17" s="158"/>
      <c r="X17" s="82"/>
      <c r="Y17" s="81"/>
      <c r="Z17" s="81"/>
      <c r="AA17" s="83"/>
      <c r="AB17" s="138">
        <f t="shared" si="1"/>
        <v>0</v>
      </c>
      <c r="AC17" s="101"/>
      <c r="AD17" s="174"/>
    </row>
    <row r="18" spans="1:30" ht="15.75" hidden="1" thickBot="1" x14ac:dyDescent="0.3">
      <c r="A18" s="160" t="s">
        <v>114</v>
      </c>
      <c r="B18" s="141"/>
      <c r="C18" s="141"/>
      <c r="D18" s="141"/>
      <c r="E18" s="142"/>
      <c r="F18" s="142"/>
      <c r="G18" s="143"/>
      <c r="H18" s="141"/>
      <c r="I18" s="142"/>
      <c r="J18" s="144"/>
      <c r="K18" s="142"/>
      <c r="L18" s="143"/>
      <c r="M18" s="143"/>
      <c r="N18" s="182"/>
      <c r="O18" s="144"/>
      <c r="P18" s="141"/>
      <c r="Q18" s="182"/>
      <c r="R18" s="142"/>
      <c r="S18" s="138"/>
      <c r="T18" s="140">
        <f t="shared" si="0"/>
        <v>0</v>
      </c>
      <c r="U18" s="157"/>
      <c r="V18" s="139">
        <f t="shared" si="2"/>
        <v>0</v>
      </c>
      <c r="W18" s="158"/>
      <c r="X18" s="82"/>
      <c r="Y18" s="81"/>
      <c r="Z18" s="81"/>
      <c r="AA18" s="83"/>
      <c r="AB18" s="138">
        <f t="shared" si="1"/>
        <v>0</v>
      </c>
      <c r="AC18" s="101"/>
      <c r="AD18" s="174"/>
    </row>
    <row r="19" spans="1:30" ht="15.75" hidden="1" thickBot="1" x14ac:dyDescent="0.3">
      <c r="A19" s="160" t="s">
        <v>115</v>
      </c>
      <c r="B19" s="141"/>
      <c r="C19" s="141"/>
      <c r="D19" s="141"/>
      <c r="E19" s="142"/>
      <c r="F19" s="142"/>
      <c r="G19" s="143"/>
      <c r="H19" s="141"/>
      <c r="I19" s="142"/>
      <c r="J19" s="144"/>
      <c r="K19" s="142"/>
      <c r="L19" s="143"/>
      <c r="M19" s="143"/>
      <c r="N19" s="182"/>
      <c r="O19" s="144"/>
      <c r="P19" s="141"/>
      <c r="Q19" s="182"/>
      <c r="R19" s="142"/>
      <c r="S19" s="138"/>
      <c r="T19" s="140">
        <f t="shared" si="0"/>
        <v>0</v>
      </c>
      <c r="U19" s="157"/>
      <c r="V19" s="139">
        <f t="shared" si="2"/>
        <v>0</v>
      </c>
      <c r="W19" s="158"/>
      <c r="X19" s="82"/>
      <c r="Y19" s="81"/>
      <c r="Z19" s="81"/>
      <c r="AA19" s="83"/>
      <c r="AB19" s="138">
        <f t="shared" si="1"/>
        <v>0</v>
      </c>
      <c r="AC19" s="101"/>
      <c r="AD19" s="174"/>
    </row>
    <row r="20" spans="1:30" s="88" customFormat="1" ht="15.75" thickBot="1" x14ac:dyDescent="0.3">
      <c r="A20" s="159" t="s">
        <v>148</v>
      </c>
      <c r="B20" s="145">
        <f>SUM(B11:B19)</f>
        <v>0</v>
      </c>
      <c r="C20" s="145">
        <f>SUM(C11:C19)</f>
        <v>0</v>
      </c>
      <c r="D20" s="145">
        <f>SUM(D11:D19)</f>
        <v>0</v>
      </c>
      <c r="E20" s="146"/>
      <c r="F20" s="146"/>
      <c r="G20" s="145">
        <f>SUM(G11:G19)</f>
        <v>0</v>
      </c>
      <c r="H20" s="145">
        <f>SUM(H11:H19)</f>
        <v>0</v>
      </c>
      <c r="I20" s="146"/>
      <c r="J20" s="147"/>
      <c r="K20" s="146"/>
      <c r="L20" s="145">
        <f>SUM(L11:L19)</f>
        <v>0</v>
      </c>
      <c r="M20" s="145">
        <f>SUM(M11:M19)</f>
        <v>0</v>
      </c>
      <c r="N20" s="145">
        <f>SUM(N11:N19)</f>
        <v>0</v>
      </c>
      <c r="O20" s="147"/>
      <c r="P20" s="145">
        <f>SUM(P11:P19)</f>
        <v>0</v>
      </c>
      <c r="Q20" s="145">
        <f>SUM(Q11:Q19)</f>
        <v>0</v>
      </c>
      <c r="R20" s="146"/>
      <c r="S20" s="145">
        <f>SUM(S11:S19)</f>
        <v>0</v>
      </c>
      <c r="T20" s="148">
        <f>SUM(T11:T19)</f>
        <v>0</v>
      </c>
      <c r="U20" s="149"/>
      <c r="V20" s="150">
        <f>SUM(V11:V19)</f>
        <v>0</v>
      </c>
      <c r="W20" s="151">
        <f>SUM(W11:W19)</f>
        <v>0</v>
      </c>
      <c r="X20" s="152"/>
      <c r="Y20" s="153"/>
      <c r="Z20" s="153"/>
      <c r="AA20" s="154"/>
      <c r="AB20" s="155">
        <f>W20</f>
        <v>0</v>
      </c>
      <c r="AC20" s="156"/>
      <c r="AD20" s="173">
        <f>SUM(AD11:AD19)</f>
        <v>0</v>
      </c>
    </row>
    <row r="21" spans="1:30" ht="15.75" thickBot="1" x14ac:dyDescent="0.3">
      <c r="A21" s="85"/>
    </row>
    <row r="22" spans="1:30" x14ac:dyDescent="0.25">
      <c r="A22" s="412" t="s">
        <v>93</v>
      </c>
      <c r="B22" s="413"/>
      <c r="C22" s="413"/>
      <c r="D22" s="413"/>
      <c r="E22" s="413"/>
      <c r="F22" s="413"/>
      <c r="G22" s="413"/>
      <c r="H22" s="413"/>
      <c r="I22" s="413"/>
      <c r="J22" s="413"/>
      <c r="K22" s="413"/>
      <c r="L22" s="413"/>
      <c r="M22" s="413"/>
      <c r="N22" s="413"/>
      <c r="O22" s="413"/>
      <c r="P22" s="413"/>
      <c r="Q22" s="414"/>
      <c r="R22" s="88"/>
      <c r="S22" s="88"/>
      <c r="T22" s="88"/>
      <c r="U22" s="88"/>
      <c r="V22" s="88"/>
      <c r="W22" s="88"/>
      <c r="X22" s="89"/>
      <c r="Y22" s="89"/>
      <c r="Z22" s="89"/>
      <c r="AA22" s="89"/>
      <c r="AB22" s="89"/>
      <c r="AC22" s="88"/>
      <c r="AD22" s="90"/>
    </row>
    <row r="23" spans="1:30" x14ac:dyDescent="0.25">
      <c r="A23" s="415" t="s">
        <v>94</v>
      </c>
      <c r="B23" s="416"/>
      <c r="C23" s="416"/>
      <c r="D23" s="416"/>
      <c r="E23" s="416"/>
      <c r="F23" s="416"/>
      <c r="G23" s="416"/>
      <c r="H23" s="416"/>
      <c r="I23" s="416"/>
      <c r="J23" s="416"/>
      <c r="K23" s="416"/>
      <c r="L23" s="416"/>
      <c r="M23" s="416"/>
      <c r="N23" s="416"/>
      <c r="O23" s="416"/>
      <c r="P23" s="416"/>
      <c r="Q23" s="417"/>
      <c r="X23" s="89"/>
      <c r="Y23" s="89"/>
      <c r="Z23" s="89"/>
      <c r="AA23" s="89"/>
      <c r="AB23" s="89"/>
    </row>
    <row r="24" spans="1:30" x14ac:dyDescent="0.25">
      <c r="A24" s="415" t="s">
        <v>95</v>
      </c>
      <c r="B24" s="416"/>
      <c r="C24" s="416"/>
      <c r="D24" s="416"/>
      <c r="E24" s="416"/>
      <c r="F24" s="416"/>
      <c r="G24" s="416"/>
      <c r="H24" s="416"/>
      <c r="I24" s="416"/>
      <c r="J24" s="416"/>
      <c r="K24" s="416"/>
      <c r="L24" s="416"/>
      <c r="M24" s="416"/>
      <c r="N24" s="416"/>
      <c r="O24" s="416"/>
      <c r="P24" s="416"/>
      <c r="Q24" s="417"/>
      <c r="X24" s="89"/>
      <c r="Y24" s="89"/>
      <c r="Z24" s="89"/>
      <c r="AA24" s="89"/>
      <c r="AB24" s="89"/>
    </row>
    <row r="25" spans="1:30" x14ac:dyDescent="0.25">
      <c r="A25" s="418" t="s">
        <v>96</v>
      </c>
      <c r="B25" s="419"/>
      <c r="C25" s="419"/>
      <c r="D25" s="419"/>
      <c r="E25" s="419"/>
      <c r="F25" s="419"/>
      <c r="G25" s="419"/>
      <c r="H25" s="419"/>
      <c r="I25" s="419"/>
      <c r="J25" s="419"/>
      <c r="K25" s="419"/>
      <c r="L25" s="419"/>
      <c r="M25" s="419"/>
      <c r="N25" s="419"/>
      <c r="O25" s="419"/>
      <c r="P25" s="419"/>
      <c r="Q25" s="420"/>
      <c r="AB25"/>
    </row>
    <row r="26" spans="1:30" ht="15.75" thickBot="1" x14ac:dyDescent="0.3">
      <c r="A26" s="421" t="s">
        <v>97</v>
      </c>
      <c r="B26" s="422"/>
      <c r="C26" s="422"/>
      <c r="D26" s="422"/>
      <c r="E26" s="422"/>
      <c r="F26" s="422"/>
      <c r="G26" s="422"/>
      <c r="H26" s="422"/>
      <c r="I26" s="422"/>
      <c r="J26" s="422"/>
      <c r="K26" s="422"/>
      <c r="L26" s="422"/>
      <c r="M26" s="422"/>
      <c r="N26" s="422"/>
      <c r="O26" s="422"/>
      <c r="P26" s="422"/>
      <c r="Q26" s="423"/>
      <c r="AB26"/>
    </row>
    <row r="27" spans="1:30" x14ac:dyDescent="0.25">
      <c r="A27" s="91"/>
      <c r="B27" s="92"/>
      <c r="C27" s="93"/>
      <c r="D27" s="93"/>
      <c r="E27" s="93"/>
      <c r="F27" s="93"/>
      <c r="G27" s="93"/>
      <c r="H27" s="93"/>
      <c r="I27" s="93"/>
      <c r="J27" s="93"/>
      <c r="K27" s="94"/>
      <c r="L27" s="94"/>
      <c r="M27" s="94"/>
      <c r="N27" s="94"/>
      <c r="O27" s="94"/>
      <c r="P27" s="94"/>
      <c r="Q27" s="94"/>
      <c r="AB27"/>
    </row>
    <row r="28" spans="1:30" x14ac:dyDescent="0.25">
      <c r="A28" s="411" t="s">
        <v>98</v>
      </c>
      <c r="B28" s="411"/>
      <c r="C28" s="411"/>
      <c r="D28" s="411"/>
      <c r="E28" s="411"/>
      <c r="F28" s="411"/>
      <c r="G28" s="411"/>
      <c r="H28" s="411"/>
      <c r="I28" s="411"/>
      <c r="J28" s="411"/>
      <c r="K28" s="411"/>
      <c r="L28" s="411"/>
      <c r="M28" s="411"/>
      <c r="N28" s="411"/>
      <c r="O28" s="411"/>
      <c r="P28" s="411"/>
      <c r="Q28" s="411"/>
      <c r="R28" s="87"/>
      <c r="S28" s="87"/>
      <c r="T28" s="87"/>
      <c r="U28" s="87"/>
      <c r="V28" s="87"/>
      <c r="W28" s="87"/>
      <c r="X28" s="87"/>
      <c r="Y28" s="87"/>
      <c r="Z28" s="87"/>
      <c r="AA28" s="87"/>
      <c r="AC28" s="87"/>
    </row>
    <row r="29" spans="1:30" x14ac:dyDescent="0.25">
      <c r="A29" s="95"/>
      <c r="B29" s="96"/>
      <c r="C29" s="96"/>
      <c r="D29" s="96"/>
      <c r="E29" s="96"/>
      <c r="F29" s="96"/>
      <c r="G29" s="96"/>
      <c r="H29" s="96"/>
      <c r="I29" s="96"/>
      <c r="J29" s="96"/>
      <c r="K29" s="96"/>
      <c r="L29" s="96"/>
      <c r="M29" s="96"/>
      <c r="N29" s="96"/>
      <c r="O29" s="96"/>
      <c r="P29" s="96"/>
      <c r="Q29" s="96"/>
      <c r="AB29"/>
    </row>
    <row r="30" spans="1:30" x14ac:dyDescent="0.25">
      <c r="A30" s="424" t="s">
        <v>99</v>
      </c>
      <c r="B30" s="424"/>
      <c r="C30" s="424"/>
      <c r="D30" s="424"/>
      <c r="E30" s="424"/>
      <c r="F30" s="424"/>
      <c r="G30" s="424"/>
      <c r="H30" s="424"/>
      <c r="I30" s="424"/>
      <c r="J30" s="424"/>
      <c r="K30" s="424"/>
      <c r="L30" s="424"/>
      <c r="M30" s="424"/>
      <c r="N30" s="97"/>
      <c r="O30" s="97"/>
      <c r="P30" s="97"/>
      <c r="Q30" s="97"/>
      <c r="R30" s="98"/>
      <c r="AB30"/>
    </row>
    <row r="31" spans="1:30" x14ac:dyDescent="0.25">
      <c r="A31" s="424" t="s">
        <v>191</v>
      </c>
      <c r="B31" s="424"/>
      <c r="C31" s="424"/>
      <c r="D31" s="424"/>
      <c r="E31" s="424"/>
      <c r="F31" s="424"/>
      <c r="G31" s="424"/>
      <c r="H31" s="424"/>
      <c r="I31" s="424"/>
      <c r="J31" s="424"/>
      <c r="K31" s="424"/>
      <c r="L31" s="424"/>
      <c r="M31" s="424"/>
      <c r="N31" s="424"/>
      <c r="O31" s="424"/>
      <c r="P31" s="424"/>
      <c r="Q31" s="424"/>
      <c r="AB31"/>
    </row>
    <row r="32" spans="1:30" x14ac:dyDescent="0.25">
      <c r="A32" s="424" t="s">
        <v>249</v>
      </c>
      <c r="B32" s="424"/>
      <c r="C32" s="424"/>
      <c r="D32" s="424"/>
      <c r="E32" s="424"/>
      <c r="F32" s="424"/>
      <c r="G32" s="424"/>
      <c r="H32" s="424"/>
      <c r="I32" s="424"/>
      <c r="J32" s="424"/>
      <c r="K32" s="424"/>
      <c r="L32" s="424"/>
      <c r="M32" s="424"/>
      <c r="N32" s="424"/>
      <c r="O32" s="424"/>
      <c r="P32" s="424"/>
      <c r="Q32" s="424"/>
      <c r="AB32"/>
    </row>
    <row r="33" spans="1:37" x14ac:dyDescent="0.25">
      <c r="A33" s="424" t="s">
        <v>250</v>
      </c>
      <c r="B33" s="424"/>
      <c r="C33" s="424"/>
      <c r="D33" s="424"/>
      <c r="E33" s="424"/>
      <c r="F33" s="424"/>
      <c r="G33" s="424"/>
      <c r="H33" s="424"/>
      <c r="I33" s="424"/>
      <c r="J33" s="424"/>
      <c r="K33" s="424"/>
      <c r="L33" s="424"/>
      <c r="M33" s="424"/>
      <c r="N33" s="424"/>
      <c r="O33" s="424"/>
      <c r="P33" s="424"/>
      <c r="Q33" s="424"/>
      <c r="AB33"/>
    </row>
    <row r="34" spans="1:37" s="13" customFormat="1" x14ac:dyDescent="0.25">
      <c r="A34" s="411" t="s">
        <v>251</v>
      </c>
      <c r="B34" s="411"/>
      <c r="C34" s="411"/>
      <c r="D34" s="411"/>
      <c r="E34" s="411"/>
      <c r="F34" s="411"/>
      <c r="G34" s="411"/>
      <c r="H34" s="411"/>
      <c r="I34" s="411"/>
      <c r="J34" s="411"/>
      <c r="K34" s="411"/>
      <c r="L34" s="411"/>
      <c r="M34" s="411"/>
      <c r="N34" s="411"/>
      <c r="O34" s="411"/>
      <c r="P34" s="411"/>
      <c r="Q34" s="411"/>
      <c r="X34" s="90"/>
      <c r="Y34" s="90"/>
      <c r="Z34" s="90"/>
      <c r="AA34" s="90"/>
      <c r="AB34" s="90"/>
      <c r="AD34"/>
    </row>
    <row r="35" spans="1:37" x14ac:dyDescent="0.25">
      <c r="A35" s="411" t="s">
        <v>252</v>
      </c>
      <c r="B35" s="411"/>
      <c r="C35" s="411"/>
      <c r="D35" s="411"/>
      <c r="E35" s="411"/>
      <c r="F35" s="411"/>
      <c r="G35" s="411"/>
      <c r="H35" s="411"/>
      <c r="I35" s="411"/>
      <c r="J35" s="411"/>
      <c r="K35" s="411"/>
      <c r="L35" s="411"/>
      <c r="M35" s="411"/>
      <c r="N35" s="411"/>
      <c r="O35" s="411"/>
      <c r="P35" s="411"/>
      <c r="Q35" s="411"/>
      <c r="X35" s="99"/>
      <c r="Y35" s="99"/>
      <c r="Z35" s="99"/>
      <c r="AA35" s="99"/>
      <c r="AB35" s="99"/>
      <c r="AD35" s="13"/>
    </row>
    <row r="36" spans="1:37" ht="15" customHeight="1" x14ac:dyDescent="0.25">
      <c r="A36" s="424" t="s">
        <v>253</v>
      </c>
      <c r="B36" s="411"/>
      <c r="C36" s="411"/>
      <c r="D36" s="411"/>
      <c r="E36" s="411"/>
      <c r="F36" s="411"/>
      <c r="G36" s="411"/>
      <c r="H36" s="411"/>
      <c r="I36" s="411"/>
      <c r="J36" s="411"/>
      <c r="K36" s="411"/>
      <c r="L36" s="411"/>
      <c r="M36" s="411"/>
      <c r="N36" s="411"/>
      <c r="O36" s="411"/>
      <c r="P36" s="411"/>
      <c r="Q36" s="411"/>
      <c r="R36" s="204"/>
      <c r="S36" s="204"/>
      <c r="T36" s="204"/>
      <c r="U36" s="204"/>
      <c r="V36" s="204"/>
      <c r="W36" s="204"/>
      <c r="X36" s="204"/>
      <c r="Y36" s="204"/>
      <c r="Z36" s="204"/>
      <c r="AA36" s="204"/>
      <c r="AB36" s="204"/>
      <c r="AC36" s="204"/>
      <c r="AE36" s="426"/>
      <c r="AF36" s="426"/>
      <c r="AG36" s="426"/>
      <c r="AH36" s="426"/>
      <c r="AI36" s="426"/>
      <c r="AJ36" s="426"/>
      <c r="AK36" s="426"/>
    </row>
    <row r="37" spans="1:37" x14ac:dyDescent="0.25">
      <c r="A37" s="427"/>
      <c r="B37" s="427"/>
      <c r="C37" s="427"/>
      <c r="D37" s="427"/>
      <c r="E37" s="427"/>
      <c r="F37" s="427"/>
      <c r="G37" s="427"/>
      <c r="H37" s="427"/>
      <c r="I37" s="427"/>
      <c r="J37" s="427"/>
      <c r="K37" s="427"/>
      <c r="L37" s="427"/>
      <c r="M37" s="427"/>
      <c r="N37" s="427"/>
      <c r="O37" s="427"/>
      <c r="P37" s="427"/>
      <c r="Q37" s="427"/>
      <c r="R37" s="427"/>
      <c r="S37" s="427"/>
      <c r="T37" s="427"/>
      <c r="U37" s="427"/>
      <c r="V37" s="427"/>
      <c r="W37" s="427"/>
      <c r="X37" s="427"/>
      <c r="Y37" s="427"/>
      <c r="Z37" s="427"/>
      <c r="AA37" s="427"/>
      <c r="AB37" s="427"/>
      <c r="AC37" s="427"/>
      <c r="AD37" s="99"/>
      <c r="AE37" s="98"/>
      <c r="AF37" s="98"/>
    </row>
    <row r="38" spans="1:37" x14ac:dyDescent="0.25">
      <c r="A38" s="427"/>
      <c r="B38" s="427"/>
      <c r="C38" s="427"/>
      <c r="D38" s="427"/>
      <c r="E38" s="427"/>
      <c r="F38" s="427"/>
      <c r="G38" s="427"/>
      <c r="H38" s="427"/>
      <c r="I38" s="427"/>
      <c r="J38" s="427"/>
      <c r="K38" s="427"/>
      <c r="L38" s="427"/>
      <c r="M38" s="427"/>
      <c r="N38" s="427"/>
      <c r="O38" s="427"/>
      <c r="P38" s="427"/>
      <c r="Q38" s="427"/>
      <c r="R38" s="427"/>
      <c r="S38" s="427"/>
      <c r="T38" s="427"/>
      <c r="U38" s="427"/>
      <c r="V38" s="427"/>
      <c r="W38" s="427"/>
      <c r="X38" s="427"/>
      <c r="Y38" s="427"/>
      <c r="Z38" s="427"/>
      <c r="AA38" s="427"/>
      <c r="AB38" s="427"/>
      <c r="AC38" s="427"/>
    </row>
    <row r="39" spans="1:37" x14ac:dyDescent="0.25">
      <c r="A39" s="425"/>
      <c r="B39" s="425"/>
      <c r="C39" s="425"/>
      <c r="D39" s="425"/>
      <c r="E39" s="425"/>
      <c r="F39" s="425"/>
      <c r="G39" s="425"/>
      <c r="H39" s="425"/>
      <c r="I39" s="425"/>
      <c r="J39" s="425"/>
      <c r="K39" s="425"/>
      <c r="L39" s="425"/>
      <c r="M39" s="425"/>
      <c r="N39" s="425"/>
      <c r="O39" s="425"/>
      <c r="P39" s="425"/>
      <c r="Q39" s="425"/>
      <c r="R39" s="425"/>
      <c r="S39" s="425"/>
      <c r="T39" s="425"/>
      <c r="U39" s="425"/>
      <c r="V39" s="425"/>
      <c r="W39" s="425"/>
      <c r="X39" s="425"/>
      <c r="Y39" s="425"/>
      <c r="Z39" s="425"/>
      <c r="AA39" s="425"/>
      <c r="AB39" s="425"/>
      <c r="AC39" s="425"/>
      <c r="AE39" s="100"/>
      <c r="AF39" s="100"/>
      <c r="AG39" s="100"/>
      <c r="AH39" s="100"/>
      <c r="AI39" s="100"/>
      <c r="AJ39" s="100"/>
      <c r="AK39" s="100"/>
    </row>
    <row r="40" spans="1:37" x14ac:dyDescent="0.25">
      <c r="A40" s="427"/>
      <c r="B40" s="427"/>
      <c r="C40" s="427"/>
      <c r="D40" s="427"/>
      <c r="E40" s="427"/>
      <c r="F40" s="427"/>
      <c r="G40" s="427"/>
      <c r="H40" s="427"/>
      <c r="I40" s="427"/>
      <c r="J40" s="427"/>
      <c r="K40" s="427"/>
      <c r="L40" s="427"/>
      <c r="M40" s="427"/>
      <c r="N40" s="427"/>
      <c r="O40" s="427"/>
      <c r="P40" s="427"/>
      <c r="Q40" s="427"/>
      <c r="R40" s="427"/>
      <c r="S40" s="427"/>
      <c r="T40" s="427"/>
      <c r="U40" s="427"/>
      <c r="V40" s="427"/>
      <c r="W40" s="427"/>
      <c r="X40" s="427"/>
      <c r="Y40" s="427"/>
      <c r="Z40" s="427"/>
      <c r="AA40" s="427"/>
      <c r="AB40" s="427"/>
      <c r="AC40" s="427"/>
    </row>
    <row r="41" spans="1:37" x14ac:dyDescent="0.25">
      <c r="A41" s="425"/>
      <c r="B41" s="425"/>
      <c r="C41" s="425"/>
      <c r="D41" s="425"/>
      <c r="E41" s="425"/>
      <c r="F41" s="425"/>
      <c r="G41" s="425"/>
      <c r="H41" s="425"/>
      <c r="I41" s="425"/>
      <c r="J41" s="425"/>
      <c r="K41" s="425"/>
      <c r="L41" s="425"/>
      <c r="M41" s="425"/>
      <c r="N41" s="425"/>
      <c r="O41" s="425"/>
      <c r="P41" s="425"/>
      <c r="Q41" s="425"/>
      <c r="R41" s="425"/>
      <c r="S41" s="425"/>
      <c r="T41" s="425"/>
      <c r="U41" s="425"/>
      <c r="V41" s="425"/>
      <c r="W41" s="425"/>
      <c r="X41" s="425"/>
      <c r="Y41" s="425"/>
      <c r="Z41" s="425"/>
      <c r="AA41" s="425"/>
      <c r="AB41" s="425"/>
      <c r="AC41" s="425"/>
      <c r="AE41" s="100"/>
      <c r="AF41" s="100"/>
      <c r="AG41" s="100"/>
      <c r="AH41" s="100"/>
      <c r="AI41" s="100"/>
      <c r="AJ41" s="100"/>
      <c r="AK41" s="100"/>
    </row>
    <row r="42" spans="1:37" x14ac:dyDescent="0.25">
      <c r="A42" s="411"/>
      <c r="B42" s="411"/>
      <c r="C42" s="411"/>
      <c r="D42" s="411"/>
      <c r="E42" s="411"/>
      <c r="F42" s="411"/>
      <c r="G42" s="411"/>
      <c r="H42" s="411"/>
      <c r="I42" s="411"/>
      <c r="J42" s="411"/>
      <c r="K42" s="411"/>
      <c r="L42" s="411"/>
      <c r="M42" s="411"/>
      <c r="N42" s="411"/>
      <c r="O42" s="411"/>
      <c r="P42" s="411"/>
      <c r="Q42" s="411"/>
      <c r="R42" s="411"/>
      <c r="S42" s="411"/>
      <c r="T42" s="411"/>
      <c r="U42" s="411"/>
      <c r="V42" s="411"/>
      <c r="W42" s="411"/>
      <c r="X42" s="411"/>
      <c r="Y42" s="411"/>
      <c r="Z42" s="411"/>
      <c r="AA42" s="411"/>
      <c r="AB42" s="411"/>
      <c r="AC42" s="411"/>
      <c r="AE42" s="100"/>
      <c r="AF42" s="100"/>
      <c r="AG42" s="100"/>
      <c r="AH42" s="100"/>
      <c r="AI42" s="100"/>
      <c r="AJ42" s="100"/>
      <c r="AK42" s="100"/>
    </row>
    <row r="43" spans="1:37" x14ac:dyDescent="0.25">
      <c r="A43" s="425"/>
      <c r="B43" s="425"/>
      <c r="C43" s="425"/>
      <c r="D43" s="425"/>
      <c r="E43" s="425"/>
      <c r="F43" s="425"/>
      <c r="G43" s="425"/>
      <c r="H43" s="425"/>
      <c r="I43" s="425"/>
      <c r="J43" s="425"/>
      <c r="K43" s="425"/>
      <c r="L43" s="425"/>
      <c r="M43" s="425"/>
      <c r="N43" s="425"/>
      <c r="O43" s="425"/>
      <c r="P43" s="425"/>
      <c r="Q43" s="425"/>
      <c r="R43" s="425"/>
      <c r="S43" s="425"/>
      <c r="T43" s="425"/>
      <c r="U43" s="425"/>
      <c r="V43" s="425"/>
      <c r="W43" s="425"/>
      <c r="X43" s="425"/>
      <c r="Y43" s="425"/>
      <c r="Z43" s="425"/>
      <c r="AA43" s="425"/>
      <c r="AB43" s="425"/>
      <c r="AC43" s="425"/>
      <c r="AE43" s="100"/>
      <c r="AF43" s="100"/>
      <c r="AG43" s="100"/>
      <c r="AH43" s="100"/>
      <c r="AI43" s="100"/>
      <c r="AJ43" s="100"/>
      <c r="AK43" s="100"/>
    </row>
    <row r="44" spans="1:37" x14ac:dyDescent="0.25">
      <c r="A44" s="90"/>
      <c r="B44" s="90"/>
      <c r="C44" s="90"/>
      <c r="D44" s="90"/>
      <c r="E44" s="90"/>
      <c r="F44" s="90"/>
      <c r="G44" s="90"/>
      <c r="H44" s="90"/>
      <c r="I44" s="90"/>
      <c r="J44" s="90"/>
      <c r="K44" s="90"/>
      <c r="L44" s="90"/>
      <c r="M44" s="90"/>
      <c r="N44" s="90"/>
      <c r="O44" s="90"/>
      <c r="P44" s="90"/>
      <c r="Q44" s="90"/>
      <c r="R44" s="90"/>
      <c r="S44" s="90"/>
      <c r="T44" s="90"/>
      <c r="U44" s="90"/>
      <c r="V44" s="90"/>
      <c r="W44" s="90"/>
      <c r="X44" s="90"/>
      <c r="Y44" s="90"/>
      <c r="Z44" s="90"/>
      <c r="AA44" s="90"/>
      <c r="AB44" s="90"/>
      <c r="AC44" s="90"/>
    </row>
    <row r="45" spans="1:37" x14ac:dyDescent="0.25">
      <c r="A45" s="99"/>
      <c r="B45" s="99"/>
      <c r="C45" s="99"/>
      <c r="D45" s="99"/>
      <c r="E45" s="99"/>
      <c r="F45" s="99"/>
      <c r="G45" s="99"/>
      <c r="H45" s="99"/>
      <c r="I45" s="99"/>
      <c r="J45" s="99"/>
      <c r="K45" s="99"/>
      <c r="L45" s="99"/>
      <c r="M45" s="99"/>
      <c r="N45" s="99"/>
      <c r="O45" s="99"/>
      <c r="P45" s="99"/>
      <c r="Q45" s="99"/>
      <c r="R45" s="99"/>
      <c r="S45" s="99"/>
      <c r="T45" s="99"/>
      <c r="U45" s="99"/>
      <c r="V45" s="99"/>
      <c r="W45" s="99"/>
      <c r="X45" s="99"/>
      <c r="Y45" s="99"/>
      <c r="Z45" s="99"/>
      <c r="AA45" s="99"/>
      <c r="AB45" s="99"/>
      <c r="AC45" s="99"/>
    </row>
    <row r="46" spans="1:37" x14ac:dyDescent="0.25">
      <c r="AB46"/>
    </row>
    <row r="47" spans="1:37" x14ac:dyDescent="0.25">
      <c r="AB47"/>
    </row>
  </sheetData>
  <sheetProtection algorithmName="SHA-512" hashValue="f2eefDJ0y32//MCocNAQRJWyhUkb7TAm8PdNxHZhVXtGZEOhTcZs85+rmuw4n38z/OksA+y7UyYzAqQnuByLqA==" saltValue="nnoRPl5/diK66k9xuVJX+A==" spinCount="100000" sheet="1" objects="1" scenarios="1"/>
  <mergeCells count="55">
    <mergeCell ref="H6:H8"/>
    <mergeCell ref="L6:L8"/>
    <mergeCell ref="M6:M8"/>
    <mergeCell ref="N6:O8"/>
    <mergeCell ref="P6:P8"/>
    <mergeCell ref="A41:AC41"/>
    <mergeCell ref="A42:AC42"/>
    <mergeCell ref="A43:AC43"/>
    <mergeCell ref="AE36:AK36"/>
    <mergeCell ref="A37:AC37"/>
    <mergeCell ref="A38:AC38"/>
    <mergeCell ref="A39:AC39"/>
    <mergeCell ref="A40:AC40"/>
    <mergeCell ref="A36:Q36"/>
    <mergeCell ref="A35:Q35"/>
    <mergeCell ref="A22:Q22"/>
    <mergeCell ref="A23:Q23"/>
    <mergeCell ref="A24:Q24"/>
    <mergeCell ref="A25:Q25"/>
    <mergeCell ref="A26:Q26"/>
    <mergeCell ref="A28:Q28"/>
    <mergeCell ref="A30:M30"/>
    <mergeCell ref="A31:Q31"/>
    <mergeCell ref="A32:Q32"/>
    <mergeCell ref="A33:Q33"/>
    <mergeCell ref="A34:Q34"/>
    <mergeCell ref="AB6:AB9"/>
    <mergeCell ref="AC6:AC9"/>
    <mergeCell ref="AD6:AD9"/>
    <mergeCell ref="B7:C7"/>
    <mergeCell ref="I7:I8"/>
    <mergeCell ref="J7:J8"/>
    <mergeCell ref="K7:K8"/>
    <mergeCell ref="B8:C8"/>
    <mergeCell ref="B6:C6"/>
    <mergeCell ref="I6:K6"/>
    <mergeCell ref="U6:U9"/>
    <mergeCell ref="V6:V9"/>
    <mergeCell ref="D6:D8"/>
    <mergeCell ref="G6:G8"/>
    <mergeCell ref="Q6:Q8"/>
    <mergeCell ref="S6:S8"/>
    <mergeCell ref="B2:AB2"/>
    <mergeCell ref="AD4:AD5"/>
    <mergeCell ref="B5:F5"/>
    <mergeCell ref="H5:M5"/>
    <mergeCell ref="N5:R5"/>
    <mergeCell ref="X5:AA5"/>
    <mergeCell ref="B3:T3"/>
    <mergeCell ref="U3:AB3"/>
    <mergeCell ref="B4:N4"/>
    <mergeCell ref="T4:T5"/>
    <mergeCell ref="U4:W4"/>
    <mergeCell ref="X4:AA4"/>
    <mergeCell ref="AB4:AB5"/>
  </mergeCells>
  <phoneticPr fontId="54" type="noConversion"/>
  <dataValidations count="4">
    <dataValidation type="decimal" allowBlank="1" showInputMessage="1" showErrorMessage="1" errorTitle="Invalid data!" error="Must be a decimal value between 0 and 100%." sqref="U11:U19" xr:uid="{00000000-0002-0000-0D00-000000000000}">
      <formula1>0</formula1>
      <formula2>1</formula2>
    </dataValidation>
    <dataValidation type="decimal" allowBlank="1" showInputMessage="1" showErrorMessage="1" errorTitle="Invalid data!" error="Must be a decimal value lower than the Maximum EU contribution" sqref="W15:W19" xr:uid="{00000000-0002-0000-0D00-000001000000}">
      <formula1>0</formula1>
      <formula2>V15</formula2>
    </dataValidation>
    <dataValidation type="decimal" operator="lessThanOrEqual" allowBlank="1" showInputMessage="1" showErrorMessage="1" errorTitle="Invalid data!" error="Must be a decimal value lower than or equal to the Maximum EU contribution" sqref="W11:W14" xr:uid="{F2AAF1DF-E638-4855-ACE5-C76A2F545542}">
      <formula1>V11</formula1>
    </dataValidation>
    <dataValidation type="decimal" allowBlank="1" showInputMessage="1" showErrorMessage="1" errorTitle="Invalid data" error="Must be a decimal value." sqref="N11:N14 Q11:Q14" xr:uid="{E1E3BD13-E9B5-46FF-B2DD-B073B3B000C8}">
      <formula1>-1000000000</formula1>
      <formula2>1000000000</formula2>
    </dataValidation>
  </dataValidations>
  <printOptions horizontalCentered="1"/>
  <pageMargins left="0.25" right="0.25" top="0.75" bottom="0.75" header="0.3" footer="0.3"/>
  <pageSetup paperSize="9" scale="39" fitToHeight="0" orientation="landscape" verticalDpi="0" r:id="rId1"/>
  <headerFooter scaleWithDoc="0">
    <oddHeader>&amp;A</oddHead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ImportDataIFS">
                <anchor moveWithCells="1" sizeWithCells="1">
                  <from>
                    <xdr:col>0</xdr:col>
                    <xdr:colOff>76200</xdr:colOff>
                    <xdr:row>0</xdr:row>
                    <xdr:rowOff>66675</xdr:rowOff>
                  </from>
                  <to>
                    <xdr:col>0</xdr:col>
                    <xdr:colOff>2543175</xdr:colOff>
                    <xdr:row>5</xdr:row>
                    <xdr:rowOff>123825</xdr:rowOff>
                  </to>
                </anchor>
              </controlPr>
            </control>
          </mc:Choice>
        </mc:AlternateContent>
        <mc:AlternateContent xmlns:mc="http://schemas.openxmlformats.org/markup-compatibility/2006">
          <mc:Choice Requires="x14">
            <control shapeId="31746" r:id="rId5" name="Button 2">
              <controlPr defaultSize="0" print="0" autoFill="0" autoPict="0" macro="[0]!ValidationExport">
                <anchor moveWithCells="1" sizeWithCells="1">
                  <from>
                    <xdr:col>0</xdr:col>
                    <xdr:colOff>76200</xdr:colOff>
                    <xdr:row>5</xdr:row>
                    <xdr:rowOff>171450</xdr:rowOff>
                  </from>
                  <to>
                    <xdr:col>0</xdr:col>
                    <xdr:colOff>2543175</xdr:colOff>
                    <xdr:row>7</xdr:row>
                    <xdr:rowOff>123825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pageSetUpPr fitToPage="1"/>
  </sheetPr>
  <dimension ref="A1:C7"/>
  <sheetViews>
    <sheetView showGridLines="0" showRowColHeaders="0" zoomScale="120" zoomScaleNormal="120" workbookViewId="0">
      <selection activeCell="A5" sqref="A5:A7"/>
    </sheetView>
  </sheetViews>
  <sheetFormatPr defaultRowHeight="15" x14ac:dyDescent="0.25"/>
  <cols>
    <col min="1" max="1" width="10.85546875" customWidth="1"/>
    <col min="2" max="2" width="17.7109375" customWidth="1"/>
    <col min="3" max="3" width="119.42578125" customWidth="1"/>
  </cols>
  <sheetData>
    <row r="1" spans="1:3" ht="15.75" thickBot="1" x14ac:dyDescent="0.3">
      <c r="A1" s="193" t="s">
        <v>181</v>
      </c>
      <c r="B1" s="194" t="s">
        <v>182</v>
      </c>
      <c r="C1" s="194" t="s">
        <v>183</v>
      </c>
    </row>
    <row r="2" spans="1:3" ht="15.75" thickBot="1" x14ac:dyDescent="0.3">
      <c r="A2" s="195" t="s">
        <v>184</v>
      </c>
      <c r="B2" s="196">
        <v>45092</v>
      </c>
      <c r="C2" s="197" t="s">
        <v>185</v>
      </c>
    </row>
    <row r="3" spans="1:3" ht="15.75" customHeight="1" thickBot="1" x14ac:dyDescent="0.3">
      <c r="A3" s="195" t="s">
        <v>223</v>
      </c>
      <c r="B3" s="196">
        <v>45310</v>
      </c>
      <c r="C3" s="197" t="s">
        <v>222</v>
      </c>
    </row>
    <row r="4" spans="1:3" ht="374.25" thickBot="1" x14ac:dyDescent="0.3">
      <c r="A4" s="195" t="s">
        <v>224</v>
      </c>
      <c r="B4" s="196">
        <v>45397</v>
      </c>
      <c r="C4" s="206" t="s">
        <v>256</v>
      </c>
    </row>
    <row r="5" spans="1:3" ht="45" x14ac:dyDescent="0.25">
      <c r="A5" s="436" t="s">
        <v>264</v>
      </c>
      <c r="B5" s="439">
        <v>45491</v>
      </c>
      <c r="C5" s="243" t="s">
        <v>267</v>
      </c>
    </row>
    <row r="6" spans="1:3" x14ac:dyDescent="0.25">
      <c r="A6" s="437"/>
      <c r="B6" s="440"/>
      <c r="C6" s="244" t="s">
        <v>266</v>
      </c>
    </row>
    <row r="7" spans="1:3" ht="30.75" thickBot="1" x14ac:dyDescent="0.3">
      <c r="A7" s="438"/>
      <c r="B7" s="441"/>
      <c r="C7" s="245" t="s">
        <v>265</v>
      </c>
    </row>
  </sheetData>
  <sheetProtection algorithmName="SHA-512" hashValue="YWoSeNofSMXPrVbAkpHb/RjVir/TkRSCn+3lf/JttAzFRIGEU7RxyX39JYl5Li78ch8fQKwnCZ+ExiDYY9SiCg==" saltValue="nfEhlSWGjaMq6PpSp48Srg==" spinCount="100000" sheet="1" objects="1" scenarios="1"/>
  <mergeCells count="2">
    <mergeCell ref="A5:A7"/>
    <mergeCell ref="B5:B7"/>
  </mergeCells>
  <hyperlinks>
    <hyperlink ref="C6" r:id="rId1" display="https://ec.europa.eu/info/funding-tenders/opportunities/docs/2021-2027/common/guidance/aga_en.pdf  " xr:uid="{EBEC3B95-5A4A-4CF9-92FB-3688EA911BB4}"/>
  </hyperlinks>
  <printOptions horizontalCentered="1"/>
  <pageMargins left="0.70866141732283472" right="0.70866141732283472" top="0.74803149606299213" bottom="0.74803149606299213" header="0.31496062992125984" footer="0.31496062992125984"/>
  <pageSetup paperSize="9" scale="72" fitToHeight="0" orientation="portrait" r:id="rId2"/>
  <headerFooter scaleWithDoc="0">
    <oddHeader>&amp;A</oddHeader>
    <oddFooter>Page &amp;P of &amp;N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EC Document" ma:contentTypeID="0x010100A8C0FE432B00E948BF17A18F874DA90A00D7277BFB522B774B92A9E609239131CC" ma:contentTypeVersion="34" ma:contentTypeDescription="Create a new document in this library." ma:contentTypeScope="" ma:versionID="cd263a25f00285ba3bb70935ed10e29c">
  <xsd:schema xmlns:xsd="http://www.w3.org/2001/XMLSchema" xmlns:xs="http://www.w3.org/2001/XMLSchema" xmlns:p="http://schemas.microsoft.com/office/2006/metadata/properties" xmlns:ns2="1e866f1f-0b21-41dc-b9cb-81167115ab19" xmlns:ns4="c1c27a6f-3295-4d53-88f7-dc2956bf7014" targetNamespace="http://schemas.microsoft.com/office/2006/metadata/properties" ma:root="true" ma:fieldsID="2f37c44bab351e702ab7551e922d8368" ns2:_="" ns4:_="">
    <xsd:import namespace="1e866f1f-0b21-41dc-b9cb-81167115ab19"/>
    <xsd:import namespace="c1c27a6f-3295-4d53-88f7-dc2956bf7014"/>
    <xsd:element name="properties">
      <xsd:complexType>
        <xsd:sequence>
          <xsd:element name="documentManagement">
            <xsd:complexType>
              <xsd:all>
                <xsd:element ref="ns2:ProgrGroup" minOccurs="0"/>
                <xsd:element ref="ns2:ProgrCategory" minOccurs="0"/>
                <xsd:element ref="ns2:Order1" minOccurs="0"/>
                <xsd:element ref="ns2:DocComments" minOccurs="0"/>
                <xsd:element ref="ns2:DocStatus" minOccurs="0"/>
                <xsd:element ref="ns2:DocPublProtocol" minOccurs="0"/>
                <xsd:element ref="ns2:DocInternalExternal" minOccurs="0"/>
                <xsd:element ref="ns2:ITcomments" minOccurs="0"/>
                <xsd:element ref="ns2:ITstatus" minOccurs="0"/>
                <xsd:element ref="ns2:SharedWithUsers" minOccurs="0"/>
                <xsd:element ref="ns2:SharedWithDetails" minOccurs="0"/>
                <xsd:element ref="ns4:MediaServiceMetadata" minOccurs="0"/>
                <xsd:element ref="ns4:MediaServiceFastMetadata" minOccurs="0"/>
                <xsd:element ref="ns4:MediaServiceSearchProperties" minOccurs="0"/>
                <xsd:element ref="ns4: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e866f1f-0b21-41dc-b9cb-81167115ab19" elementFormDefault="qualified">
    <xsd:import namespace="http://schemas.microsoft.com/office/2006/documentManagement/types"/>
    <xsd:import namespace="http://schemas.microsoft.com/office/infopath/2007/PartnerControls"/>
    <xsd:element name="ProgrGroup" ma:index="1" nillable="true" ma:displayName="Programme Docs Group" ma:description="Needed for MGAs &amp; Programme Documents (MFF 2021-2027)" ma:format="Dropdown" ma:internalName="ProgrGroup" ma:readOnly="false">
      <xsd:simpleType>
        <xsd:union memberTypes="dms:Text">
          <xsd:simpleType>
            <xsd:restriction base="dms:Choice">
              <xsd:enumeration value="00 CORPORATE MASTERFILES"/>
              <xsd:enumeration value="00 HEALTHCHECKS"/>
              <xsd:enumeration value="01 HORIZON and EURATOM"/>
              <xsd:enumeration value="02 RFCS"/>
              <xsd:enumeration value="03 DIGITAL EUROPE (DEP)"/>
              <xsd:enumeration value="04 DEFENCE (EDF, ASAP and EDIRPA)"/>
              <xsd:enumeration value="05 SPACE"/>
              <xsd:enumeration value="06 CEF"/>
              <xsd:enumeration value="07 I3"/>
              <xsd:enumeration value="07a ERDF-TA"/>
              <xsd:enumeration value="08 IMREG"/>
              <xsd:enumeration value="09 LIFE"/>
              <xsd:enumeration value="10 INNOVFUND"/>
              <xsd:enumeration value="11 RENEWFM"/>
              <xsd:enumeration value="11a JTM"/>
              <xsd:enumeration value="12 EMFAF"/>
              <xsd:enumeration value="13 AGRIP"/>
              <xsd:enumeration value="14 IMCAP"/>
              <xsd:enumeration value="15 SINGLE MARKET (SMP)"/>
              <xsd:enumeration value="15a BUSINESS CONSUMER SURVEYS (BCS)"/>
              <xsd:enumeration value="16 ERASMUS"/>
              <xsd:enumeration value="17 CREATIVE EUROPE"/>
              <xsd:enumeration value="18 EUROPEAN SOLIDARITY CORPS (ESC)"/>
              <xsd:enumeration value="19 CERV"/>
              <xsd:enumeration value="20 JUSTICE"/>
              <xsd:enumeration value="21 ESF and SOCPL"/>
              <xsd:enumeration value="22 EU4HEALTH"/>
              <xsd:enumeration value="23 AMIF, ISF and BMVI"/>
              <xsd:enumeration value="24 EU ANTI-FRAUD"/>
              <xsd:enumeration value="25 CUSTOMS and FISCALIS"/>
              <xsd:enumeration value="26 CCEI"/>
              <xsd:enumeration value="27 PERICLES"/>
              <xsd:enumeration value="28 TECHNICAL SUPPORT (TSI)"/>
              <xsd:enumeration value="29 UCPM"/>
              <xsd:enumeration value="30 HUMANITARIAN AID"/>
              <xsd:enumeration value="31 RELEX"/>
              <xsd:enumeration value="41 EUROPE DIRECT"/>
              <xsd:enumeration value="41 EUROPOL"/>
              <xsd:enumeration value="41 PPPA"/>
            </xsd:restriction>
          </xsd:simpleType>
        </xsd:union>
      </xsd:simpleType>
    </xsd:element>
    <xsd:element name="ProgrCategory" ma:index="2" nillable="true" ma:displayName="Programme Docs Category" ma:description="Needed for MGAs &amp; Programme Documents (MFF 2021-2027)" ma:format="Dropdown" ma:internalName="ProgrCategory" ma:readOnly="false">
      <xsd:simpleType>
        <xsd:union memberTypes="dms:Text">
          <xsd:simpleType>
            <xsd:restriction base="dms:Choice">
              <xsd:enumeration value="1. MGAs"/>
              <xsd:enumeration value="2. Programme guidance"/>
              <xsd:enumeration value="3. Customised reports &amp; forms"/>
              <xsd:enumeration value="5. Other"/>
              <xsd:enumeration value="6. xxx PUBLICATION FOLDERS"/>
              <xsd:enumeration value="7. xxxx DISCARDED DOCUMENTS"/>
              <xsd:enumeration value="7. xxxx DONE DOCUMENTS"/>
              <xsd:enumeration value="7. xxxx ORIGINAL DOCUMENTS"/>
              <xsd:enumeration value="1. PART C HEALTHCHECK"/>
              <xsd:enumeration value="2. MGA Annexes"/>
              <xsd:enumeration value="3. Customised reports &amp; forms (HE ERC)"/>
              <xsd:enumeration value="3. Customised reports &amp; forms (HE MSCA)"/>
              <xsd:enumeration value="3. Customised reports &amp; forms (HE EIC)"/>
              <xsd:enumeration value="3. Customised reports &amp; forms (HE EIT)"/>
              <xsd:enumeration value="3. Customised reports &amp; forms (ASAP)"/>
              <xsd:enumeration value="3. Customised reports &amp; forms (EDIRPA)"/>
              <xsd:enumeration value="3. Customised reports &amp; forms (aCEF-T)"/>
              <xsd:enumeration value="3. Customised reports &amp; forms (bCEF-E)"/>
              <xsd:enumeration value="3. Customised reports &amp; forms (cCEF-DIG)"/>
              <xsd:enumeration value="3. Customised reports &amp; forms (INNOVFUND AUCTIONS)"/>
              <xsd:enumeration value="3. Customised reports &amp; forms (SMP COSME)"/>
              <xsd:enumeration value="3. Customised reports &amp; forms (SMP CONS)"/>
              <xsd:enumeration value="3. Customised reports &amp; forms (SMP COMP)"/>
              <xsd:enumeration value="3. Customised reports &amp; forms (SMP FOOD)"/>
              <xsd:enumeration value="3. Customised reports &amp; forms (SMP STAND)"/>
              <xsd:enumeration value="3. Customised reports &amp; forms (SMP ESS)"/>
              <xsd:enumeration value="3. Customised reports &amp; forms (SMP SURV)"/>
              <xsd:enumeration value="3. Customised reports &amp; forms (ERASMUS JMO Schools Info Package)"/>
              <xsd:enumeration value="3. Customised reports &amp; forms (ECHE Certificate)"/>
              <xsd:enumeration value="3. Customised reports &amp; forms (ESC HUMAID Quality Label)"/>
              <xsd:enumeration value="3. Customised reports &amp; forms (ECHO Partnership Certificate)"/>
              <xsd:enumeration value="3. Customised reports &amp; forms (RELEX TWINNING)"/>
              <xsd:enumeration value="3. Customised reports &amp; forms (RELEX MOBAF)"/>
              <xsd:enumeration value="3. Customised reports &amp; forms (PPPA EACEA)"/>
            </xsd:restriction>
          </xsd:simpleType>
        </xsd:union>
      </xsd:simpleType>
    </xsd:element>
    <xsd:element name="Order1" ma:index="3" nillable="true" ma:displayName="Order" ma:indexed="true" ma:internalName="Order1" ma:readOnly="false" ma:percentage="FALSE">
      <xsd:simpleType>
        <xsd:restriction base="dms:Number"/>
      </xsd:simpleType>
    </xsd:element>
    <xsd:element name="DocComments" ma:index="4" nillable="true" ma:displayName="Doc Comments" ma:description="Needed for all Pages" ma:internalName="DocComments" ma:readOnly="false">
      <xsd:simpleType>
        <xsd:restriction base="dms:Note"/>
      </xsd:simpleType>
    </xsd:element>
    <xsd:element name="DocStatus" ma:index="5" nillable="true" ma:displayName="Doc Status" ma:description="Needed for all except GoFund Archive" ma:format="Dropdown" ma:internalName="DocStatus" ma:readOnly="false">
      <xsd:simpleType>
        <xsd:union memberTypes="dms:Text">
          <xsd:simpleType>
            <xsd:restriction base="dms:Choice">
              <xsd:enumeration value="͏New"/>
              <xsd:enumeration value="New version"/>
              <xsd:enumeration value="Under validation"/>
              <xsd:enumeration value="Ready"/>
              <xsd:enumeration value="Ready for publication"/>
              <xsd:enumeration value="Published"/>
              <xsd:enumeration value="Wait"/>
              <xsd:enumeration value="n/a (backoffice document)"/>
              <xsd:enumeration value="old document"/>
            </xsd:restriction>
          </xsd:simpleType>
        </xsd:union>
      </xsd:simpleType>
    </xsd:element>
    <xsd:element name="DocPublProtocol" ma:index="6" nillable="true" ma:displayName="Doc Publ. Protocol" ma:description="Needed for MGAs &amp; Programme Documents and Business Documents Management View" ma:format="Dropdown" ma:internalName="DocPublProtocol" ma:readOnly="false">
      <xsd:simpleType>
        <xsd:union memberTypes="dms:Text">
          <xsd:simpleType>
            <xsd:restriction base="dms:Choice">
              <xsd:enumeration value="MGA2-1 MGAs"/>
              <xsd:enumeration value="CONTR1-1 Expert contracts"/>
              <xsd:enumeration value="GUID1-1 Business - External guidance"/>
              <xsd:enumeration value="GUID1-2 Business - Internal guidance"/>
              <xsd:enumeration value="GUID2-1 Programme tpl - External guidance"/>
              <xsd:enumeration value="GUID2-2 Programme tpl - Internal guidance"/>
              <xsd:enumeration value="TPL1-1 Business - Decisions"/>
              <xsd:enumeration value="TPL1-2 Business - Reports"/>
              <xsd:enumeration value="TPL1-3 Business - Letters"/>
              <xsd:enumeration value="TPL1-4 Business - Special (Portal)"/>
              <xsd:enumeration value="TPL1-5 Business - Special (GoFund)"/>
              <xsd:enumeration value="TPL2-1 Programme tpl - Call documents"/>
              <xsd:enumeration value="TPL2-2 Programme tpl - Application forms, etc"/>
              <xsd:enumeration value="TPL2-3 Programme tpl - Evaluation forms, etc"/>
              <xsd:enumeration value="TPL2-4 Programme tpl - DoAs"/>
              <xsd:enumeration value="TPL2-5 Programme tpl - Reporting forms, etc"/>
              <xsd:enumeration value="TPL2-6 Programme tpl - Audit templates"/>
              <xsd:enumeration value="TPL2-7 Programme tpl - Other"/>
              <xsd:enumeration value="Portal1-1 Terms &amp; Conditions"/>
              <xsd:enumeration value="Portal1-2 Privacy Statement"/>
              <xsd:enumeration value="Portal1-3 Glossary"/>
              <xsd:enumeration value="Portal1-4 Lists of expert names"/>
            </xsd:restriction>
          </xsd:simpleType>
        </xsd:union>
      </xsd:simpleType>
    </xsd:element>
    <xsd:element name="DocInternalExternal" ma:index="7" nillable="true" ma:displayName="Doc Internal/External" ma:description="Needed for MGAs &amp; Programme Documents and Business Documentation Management View" ma:format="Dropdown" ma:internalName="DocInternalExternal" ma:readOnly="false">
      <xsd:simpleType>
        <xsd:union memberTypes="dms:Text">
          <xsd:simpleType>
            <xsd:restriction base="dms:Choice">
              <xsd:enumeration value="Internal"/>
              <xsd:enumeration value="External"/>
              <xsd:enumeration value="Internal &amp; external"/>
            </xsd:restriction>
          </xsd:simpleType>
        </xsd:union>
      </xsd:simpleType>
    </xsd:element>
    <xsd:element name="ITcomments" ma:index="8" nillable="true" ma:displayName="IT Comments" ma:description="Needed for MGAs &amp; Programme Documents and Business Documents Normal View" ma:internalName="ITcomments" ma:readOnly="false">
      <xsd:simpleType>
        <xsd:restriction base="dms:Note">
          <xsd:maxLength value="255"/>
        </xsd:restriction>
      </xsd:simpleType>
    </xsd:element>
    <xsd:element name="ITstatus" ma:index="9" nillable="true" ma:displayName="IT Status" ma:description="Needed for MGAs &amp; Programme Documents and Business Documents Normal View" ma:format="Dropdown" ma:internalName="ITstatus" ma:readOnly="false">
      <xsd:simpleType>
        <xsd:union memberTypes="dms:Text">
          <xsd:simpleType>
            <xsd:restriction base="dms:Choice">
              <xsd:enumeration value="͏Wait"/>
              <xsd:enumeration value="Ready for IT"/>
              <xsd:enumeration value="IT implementation started"/>
              <xsd:enumeration value="IT implementation finished"/>
              <xsd:enumeration value="New version ready for IT"/>
              <xsd:enumeration value="n/a (no IT implementation)"/>
            </xsd:restriction>
          </xsd:simpleType>
        </xsd:union>
      </xsd:simple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1c27a6f-3295-4d53-88f7-dc2956bf7014" elementFormDefault="qualified">
    <xsd:import namespace="http://schemas.microsoft.com/office/2006/documentManagement/types"/>
    <xsd:import namespace="http://schemas.microsoft.com/office/infopath/2007/PartnerControls"/>
    <xsd:element name="MediaServiceMetadata" ma:index="20" nillable="true" ma:displayName="MediaServiceMetadata" ma:hidden="true" ma:internalName="MediaServiceMetadata" ma:readOnly="true">
      <xsd:simpleType>
        <xsd:restriction base="dms:Note"/>
      </xsd:simpleType>
    </xsd:element>
    <xsd:element name="MediaServiceFastMetadata" ma:index="21" nillable="true" ma:displayName="MediaServiceFastMetadata" ma:hidden="true" ma:internalName="MediaServiceFastMetadata" ma:readOnly="true">
      <xsd:simpleType>
        <xsd:restriction base="dms:Note"/>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ObjectDetectorVersions" ma:index="23" nillable="true" ma:displayName="MediaServiceObjectDetectorVersions" ma:description="" ma:hidden="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ma:index="17" ma:displayName="Author"/>
        <xsd:element ref="dcterms:created" minOccurs="0" maxOccurs="1"/>
        <xsd:element ref="dc:identifier" minOccurs="0" maxOccurs="1"/>
        <xsd:element name="contentType" minOccurs="0" maxOccurs="1" type="xsd:string" ma:index="16"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Order1 xmlns="1e866f1f-0b21-41dc-b9cb-81167115ab19">43</Order1>
    <DocComments xmlns="1e866f1f-0b21-41dc-b9cb-81167115ab19">Password: DGDEFIS
Reporting template to be available on the Portal.</DocComments>
    <DocInternalExternal xmlns="1e866f1f-0b21-41dc-b9cb-81167115ab19">Internal &amp; external</DocInternalExternal>
    <ProgrCategory xmlns="1e866f1f-0b21-41dc-b9cb-81167115ab19">3. Customised reports &amp; forms</ProgrCategory>
    <ProgrGroup xmlns="1e866f1f-0b21-41dc-b9cb-81167115ab19">04 DEFENCE (EDF, ASAP and EDIRPA)</ProgrGroup>
    <DocStatus xmlns="1e866f1f-0b21-41dc-b9cb-81167115ab19">Ready</DocStatus>
    <DocPublProtocol xmlns="1e866f1f-0b21-41dc-b9cb-81167115ab19">TPL2-5 Programme tpl - Reporting forms, etc</DocPublProtocol>
    <ITcomments xmlns="1e866f1f-0b21-41dc-b9cb-81167115ab19" xsi:nil="true"/>
    <ITstatus xmlns="1e866f1f-0b21-41dc-b9cb-81167115ab19" xsi:nil="true"/>
  </documentManagement>
</p:properties>
</file>

<file path=customXml/itemProps1.xml><?xml version="1.0" encoding="utf-8"?>
<ds:datastoreItem xmlns:ds="http://schemas.openxmlformats.org/officeDocument/2006/customXml" ds:itemID="{5E787356-BD3D-4D20-9D0C-29EDD32B97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e866f1f-0b21-41dc-b9cb-81167115ab19"/>
    <ds:schemaRef ds:uri="c1c27a6f-3295-4d53-88f7-dc2956bf701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4DE3FA8-484E-4B27-99F0-6C8821CD79FE}">
  <ds:schemaRefs>
    <ds:schemaRef ds:uri="http://schemas.microsoft.com/sharepoint/v3/contenttype/forms"/>
  </ds:schemaRefs>
</ds:datastoreItem>
</file>

<file path=customXml/itemProps3.xml><?xml version="1.0" encoding="utf-8"?>
<ds:datastoreItem xmlns:ds="http://schemas.openxmlformats.org/officeDocument/2006/customXml" ds:itemID="{1CB5F551-0C82-4864-85F1-77477965FE7C}">
  <ds:schemaRefs>
    <ds:schemaRef ds:uri="http://purl.org/dc/dcmitype/"/>
    <ds:schemaRef ds:uri="http://www.w3.org/XML/1998/namespace"/>
    <ds:schemaRef ds:uri="http://schemas.microsoft.com/office/2006/documentManagement/types"/>
    <ds:schemaRef ds:uri="c1c27a6f-3295-4d53-88f7-dc2956bf7014"/>
    <ds:schemaRef ds:uri="http://schemas.openxmlformats.org/package/2006/metadata/core-properties"/>
    <ds:schemaRef ds:uri="http://purl.org/dc/terms/"/>
    <ds:schemaRef ds:uri="http://purl.org/dc/elements/1.1/"/>
    <ds:schemaRef ds:uri="http://schemas.microsoft.com/office/infopath/2007/PartnerControls"/>
    <ds:schemaRef ds:uri="1e866f1f-0b21-41dc-b9cb-81167115ab19"/>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INSTRUCTIONS</vt:lpstr>
      <vt:lpstr>General info on reporting</vt:lpstr>
      <vt:lpstr>Financial statement-activities</vt:lpstr>
      <vt:lpstr>History of changes</vt:lpstr>
      <vt:lpstr>'DCRT Certification'!Print_Area</vt:lpstr>
      <vt:lpstr>'DCRT Design'!Print_Area</vt:lpstr>
      <vt:lpstr>'DCRT Generating knowledge'!Print_Area</vt:lpstr>
      <vt:lpstr>'DCRT Increasing efficiency'!Print_Area</vt:lpstr>
      <vt:lpstr>'DCRT Integrating knowledge'!Print_Area</vt:lpstr>
      <vt:lpstr>'DCRT Qualification'!Print_Area</vt:lpstr>
      <vt:lpstr>'DCRT Studies'!Print_Area</vt:lpstr>
      <vt:lpstr>'DCRT System prototyping'!Print_Area</vt:lpstr>
      <vt:lpstr>'DCRT Testing'!Print_Area</vt:lpstr>
      <vt:lpstr>'Financial statement-activities'!Print_Area</vt:lpstr>
      <vt:lpstr>INSTRUCTIONS!Print_Area</vt:lpstr>
    </vt:vector>
  </TitlesOfParts>
  <Manager/>
  <Company>European Commission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MIKOSINSKA Maja (EASME)</dc:creator>
  <cp:keywords/>
  <dc:description/>
  <cp:lastModifiedBy>CONTE Bettina (BUDG)</cp:lastModifiedBy>
  <cp:revision/>
  <cp:lastPrinted>2023-06-11T21:04:36Z</cp:lastPrinted>
  <dcterms:created xsi:type="dcterms:W3CDTF">2020-10-09T07:39:53Z</dcterms:created>
  <dcterms:modified xsi:type="dcterms:W3CDTF">2024-07-21T14:19:24Z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0x010100A8C0FE432B00E948BF17A18F874DA90A00D7277BFB522B774B92A9E609239131CC</vt:lpwstr>
  </property>
  <property fmtid="{D5CDD505-2E9C-101B-9397-08002B2CF9AE}" pid="3" name="MSIP_Label_6bd9ddd1-4d20-43f6-abfa-fc3c07406f94_Enabled">
    <vt:lpwstr>true</vt:lpwstr>
  </property>
  <property fmtid="{D5CDD505-2E9C-101B-9397-08002B2CF9AE}" pid="4" name="MSIP_Label_6bd9ddd1-4d20-43f6-abfa-fc3c07406f94_SetDate">
    <vt:lpwstr>2023-05-10T07:08:01Z</vt:lpwstr>
  </property>
  <property fmtid="{D5CDD505-2E9C-101B-9397-08002B2CF9AE}" pid="5" name="MSIP_Label_6bd9ddd1-4d20-43f6-abfa-fc3c07406f94_Method">
    <vt:lpwstr>Standard</vt:lpwstr>
  </property>
  <property fmtid="{D5CDD505-2E9C-101B-9397-08002B2CF9AE}" pid="6" name="MSIP_Label_6bd9ddd1-4d20-43f6-abfa-fc3c07406f94_Name">
    <vt:lpwstr>Commission Use</vt:lpwstr>
  </property>
  <property fmtid="{D5CDD505-2E9C-101B-9397-08002B2CF9AE}" pid="7" name="MSIP_Label_6bd9ddd1-4d20-43f6-abfa-fc3c07406f94_SiteId">
    <vt:lpwstr>b24c8b06-522c-46fe-9080-70926f8dddb1</vt:lpwstr>
  </property>
  <property fmtid="{D5CDD505-2E9C-101B-9397-08002B2CF9AE}" pid="8" name="MSIP_Label_6bd9ddd1-4d20-43f6-abfa-fc3c07406f94_ActionId">
    <vt:lpwstr>16eca199-e03d-4cf8-97dc-e4e75d68df88</vt:lpwstr>
  </property>
  <property fmtid="{D5CDD505-2E9C-101B-9397-08002B2CF9AE}" pid="9" name="MSIP_Label_6bd9ddd1-4d20-43f6-abfa-fc3c07406f94_ContentBits">
    <vt:lpwstr>0</vt:lpwstr>
  </property>
  <property fmtid="{D5CDD505-2E9C-101B-9397-08002B2CF9AE}" pid="10" name="EC_Collab_Status">
    <vt:lpwstr>Not Started</vt:lpwstr>
  </property>
  <property fmtid="{D5CDD505-2E9C-101B-9397-08002B2CF9AE}" pid="11" name="EC_Collab_DocumentLanguage">
    <vt:lpwstr>EN</vt:lpwstr>
  </property>
</Properties>
</file>