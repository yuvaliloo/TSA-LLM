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ms-excel.addin.macroEnabled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embeddings/ig2z0R9h.uE" ContentType="application/vnd.openxmlformats-officedocument.oleObject"/>
  <Default Extension="vml" ContentType="application/vnd.openxmlformats-officedocument.vmlDrawi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Music\Trillium_Security_MultiSploit_Tool_v6.5.28_Release\"/>
    </mc:Choice>
  </mc:AlternateContent>
  <bookViews>
    <workbookView xWindow="0" yWindow="0" windowWidth="17265" windowHeight="6443"/>
  </bookViews>
  <sheets>
    <sheet name="Sheet1" sheetId="1" r:id="rId1"/>
  </sheets>
  <definedNames>
    <definedName name="_xlnm._FilterDatabase" localSheetId="0" hidden="1">Sheet1!$A$1:$O$9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6" i="1" l="1"/>
  <c r="I7" i="1"/>
  <c r="I8" i="1"/>
  <c r="I9" i="1"/>
  <c r="I2" i="1"/>
  <c r="I3" i="1"/>
  <c r="I4" i="1"/>
  <c r="I5" i="1"/>
</calcChain>
</file>

<file path=xl/sharedStrings.xml><?xml version="1.0" encoding="utf-8"?>
<sst xmlns="http://schemas.openxmlformats.org/spreadsheetml/2006/main" count="66" uniqueCount="43">
  <si>
    <t>DOCUMENTO</t>
  </si>
  <si>
    <t>CUSTOMER PO No.</t>
  </si>
  <si>
    <t>CLIENTE</t>
  </si>
  <si>
    <t>UPC</t>
  </si>
  <si>
    <t>No. PARTE</t>
  </si>
  <si>
    <t xml:space="preserve">QTY </t>
  </si>
  <si>
    <t>Clave sat</t>
  </si>
  <si>
    <t>Peso unitario</t>
  </si>
  <si>
    <t>Peso total</t>
  </si>
  <si>
    <t xml:space="preserve">Hoffman Mexico Total Cost (USD) </t>
  </si>
  <si>
    <t>SI / SO NUMBER</t>
  </si>
  <si>
    <t>Fecha Imp</t>
  </si>
  <si>
    <t xml:space="preserve">Pedimento </t>
  </si>
  <si>
    <t>Fracción Arancelaria</t>
  </si>
  <si>
    <t>BLS</t>
  </si>
  <si>
    <t>HOFFMAN ENCLOSURES MEXICO</t>
  </si>
  <si>
    <t>7700224 OP</t>
  </si>
  <si>
    <t>RISOUL</t>
  </si>
  <si>
    <t>16068</t>
  </si>
  <si>
    <t>PNC20812B</t>
  </si>
  <si>
    <t>232RJ</t>
  </si>
  <si>
    <t>00619958/001</t>
  </si>
  <si>
    <t>00620112/001</t>
  </si>
  <si>
    <t>00620024/001</t>
  </si>
  <si>
    <t>00619908/001</t>
  </si>
  <si>
    <t>00620207/001</t>
  </si>
  <si>
    <t>00620247/001</t>
  </si>
  <si>
    <t>00620245/001</t>
  </si>
  <si>
    <t>INTERNATIONAL TRADING</t>
  </si>
  <si>
    <t>MTY-128170</t>
  </si>
  <si>
    <t>MEX-59671</t>
  </si>
  <si>
    <t>7700225 OP</t>
  </si>
  <si>
    <t>32432</t>
  </si>
  <si>
    <t>MAS0404021R5</t>
  </si>
  <si>
    <t>45979</t>
  </si>
  <si>
    <t>CC582</t>
  </si>
  <si>
    <t>P2P2016G</t>
  </si>
  <si>
    <t>PGS2K</t>
  </si>
  <si>
    <t>23 30 3698 3007297</t>
  </si>
  <si>
    <t>REY0000006267</t>
  </si>
  <si>
    <t>REY0000006268</t>
  </si>
  <si>
    <t>REY0000006269</t>
  </si>
  <si>
    <t>REY0000006270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</si>
</sst>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164" formatCode="#;#\-;0"/>
    <numFmt numFmtId="165" formatCode="[$-409]d\-mmm\-yy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3366"/>
        <bgColor indexed="64"/>
      </patternFill>
    </fill>
    <fill>
      <patternFill patternType="solid">
        <fgColor rgb="FF00CCFF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49" fontId="2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Font="1" applyAlignment="1">
      <alignment horizontal="center"/>
    </xf>
    <xf numFmtId="0" fontId="2" fillId="4" borderId="0" xfId="0" applyFont="1" applyFill="1" applyAlignment="1">
      <alignment horizontal="center" vertical="center"/>
    </xf>
    <xf numFmtId="44" fontId="4" fillId="0" borderId="0" xfId="1" applyFont="1" applyFill="1" applyBorder="1" applyAlignment="1">
      <alignment horizontal="center"/>
    </xf>
    <xf numFmtId="44" fontId="0" fillId="0" borderId="0" xfId="1" applyFont="1" applyAlignment="1">
      <alignment horizontal="center"/>
    </xf>
    <xf numFmtId="0" fontId="0" fillId="5" borderId="0" xfId="0" applyFill="1"/>
    <xf numFmtId="44" fontId="0" fillId="0" borderId="0" xfId="1" applyFont="1"/>
    <xf numFmtId="0" fontId="0" fillId="0" borderId="0" xfId="0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Relationship Id="rId3" Type="http://schemas.openxmlformats.org/officeDocument/2006/relationships/vmlDrawing" Target="../drawings/vmlDrawing1.vml"/><Relationship Id="rId2" Type="http://schemas.openxmlformats.org/officeDocument/2006/relationships/oleObject" Target="../embeddings/ig2z0R9h.uE"/></Relationships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Views>
    <sheetView tabSelected="1" zoomScale="78" zoomScaleNormal="78" workbookViewId="0">
      <selection activeCell="N15" sqref="N15"/>
    </sheetView>
  </sheetViews>
  <sheetFormatPr defaultRowHeight="14.25" x14ac:dyDescent="0.45"/>
  <cols>
    <col min="1" max="1" width="18.265625" bestFit="1" customWidth="1"/>
    <col min="2" max="2" width="19.1328125" bestFit="1" customWidth="1"/>
    <col min="3" max="3" width="30" bestFit="1" customWidth="1"/>
    <col min="4" max="4" width="15" bestFit="1" customWidth="1"/>
    <col min="5" max="5" width="29.86328125" bestFit="1" customWidth="1"/>
    <col min="7" max="7" width="10.86328125" customWidth="1"/>
    <col min="8" max="8" width="11.265625" customWidth="1"/>
    <col min="9" max="9" width="12" customWidth="1"/>
    <col min="10" max="10" width="14.73046875" customWidth="1"/>
    <col min="11" max="11" width="11.3984375" customWidth="1"/>
    <col min="12" max="12" width="14" customWidth="1"/>
    <col min="13" max="13" width="19.1328125" bestFit="1" customWidth="1"/>
    <col min="14" max="14" width="17.86328125" customWidth="1"/>
    <col min="15" max="15" width="19" customWidth="1"/>
  </cols>
  <sheetData>
    <row r="1" spans="1:15" ht="28.9" thickTop="1" x14ac:dyDescent="0.4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3" t="s">
        <v>14</v>
      </c>
    </row>
    <row r="2" spans="1:15" x14ac:dyDescent="0.45">
      <c r="A2" s="16" t="s">
        <v>21</v>
      </c>
      <c r="B2" s="4" t="s">
        <v>29</v>
      </c>
      <c r="C2" s="8" t="s">
        <v>17</v>
      </c>
      <c r="D2" s="8" t="s">
        <v>20</v>
      </c>
      <c r="E2" s="5" t="s">
        <v>20</v>
      </c>
      <c r="F2" s="6">
        <v>25</v>
      </c>
      <c r="G2" s="8">
        <v>39121300</v>
      </c>
      <c r="H2" s="11">
        <v>1.9504455999999999</v>
      </c>
      <c r="I2" s="8">
        <f t="shared" ref="I2:I8" si="0">+H2*F2</f>
        <v>48.761139999999997</v>
      </c>
      <c r="J2" s="12">
        <v>877.5</v>
      </c>
      <c r="K2" s="4">
        <v>24914658</v>
      </c>
      <c r="L2" s="7">
        <v>45146</v>
      </c>
      <c r="M2" s="4" t="s">
        <v>38</v>
      </c>
      <c r="N2" s="8">
        <v>7326909999</v>
      </c>
      <c r="O2" s="9" t="s">
        <v>41</v>
      </c>
    </row>
    <row r="3" spans="1:15" x14ac:dyDescent="0.45">
      <c r="A3" s="16" t="s">
        <v>21</v>
      </c>
      <c r="B3" s="8" t="s">
        <v>29</v>
      </c>
      <c r="C3" s="8" t="s">
        <v>17</v>
      </c>
      <c r="D3" s="8" t="s">
        <v>20</v>
      </c>
      <c r="E3" s="8" t="s">
        <v>20</v>
      </c>
      <c r="F3" s="8">
        <v>10</v>
      </c>
      <c r="G3" s="8">
        <v>39121300</v>
      </c>
      <c r="H3" s="11">
        <v>1.9504455999999999</v>
      </c>
      <c r="I3" s="8">
        <f t="shared" si="0"/>
        <v>19.504455999999998</v>
      </c>
      <c r="J3" s="13">
        <v>351</v>
      </c>
      <c r="K3" s="10">
        <v>24914658</v>
      </c>
      <c r="L3" s="7">
        <v>45146</v>
      </c>
      <c r="M3" s="4" t="s">
        <v>38</v>
      </c>
      <c r="N3" s="8">
        <v>7326909999</v>
      </c>
      <c r="O3" s="9"/>
    </row>
    <row r="4" spans="1:15" x14ac:dyDescent="0.45">
      <c r="A4" s="16" t="s">
        <v>22</v>
      </c>
      <c r="B4" s="8" t="s">
        <v>29</v>
      </c>
      <c r="C4" s="8" t="s">
        <v>17</v>
      </c>
      <c r="D4" s="8" t="s">
        <v>20</v>
      </c>
      <c r="E4" s="8" t="s">
        <v>20</v>
      </c>
      <c r="F4" s="8">
        <v>1</v>
      </c>
      <c r="G4" s="8">
        <v>39121300</v>
      </c>
      <c r="H4" s="11">
        <v>1.9504455999999999</v>
      </c>
      <c r="I4" s="8">
        <f t="shared" si="0"/>
        <v>1.9504455999999999</v>
      </c>
      <c r="J4" s="13">
        <v>35.1</v>
      </c>
      <c r="K4" s="8">
        <v>24914658</v>
      </c>
      <c r="L4" s="7">
        <v>45146</v>
      </c>
      <c r="M4" s="4" t="s">
        <v>38</v>
      </c>
      <c r="N4" s="8">
        <v>7326909999</v>
      </c>
      <c r="O4" s="9"/>
    </row>
    <row r="5" spans="1:15" x14ac:dyDescent="0.45">
      <c r="A5" s="16" t="s">
        <v>23</v>
      </c>
      <c r="B5" s="8" t="s">
        <v>16</v>
      </c>
      <c r="C5" s="8" t="s">
        <v>15</v>
      </c>
      <c r="D5" s="8" t="s">
        <v>18</v>
      </c>
      <c r="E5" s="8" t="s">
        <v>19</v>
      </c>
      <c r="F5" s="8">
        <v>12</v>
      </c>
      <c r="G5" s="8">
        <v>39121300</v>
      </c>
      <c r="H5" s="11">
        <v>217.270568</v>
      </c>
      <c r="I5" s="8">
        <f t="shared" ref="I5:I9" si="1">+H5*F5</f>
        <v>2607.2468159999999</v>
      </c>
      <c r="J5" s="13">
        <v>17789.39</v>
      </c>
      <c r="K5" s="8">
        <v>24967750</v>
      </c>
      <c r="L5" s="7">
        <v>45146</v>
      </c>
      <c r="M5" s="4" t="s">
        <v>38</v>
      </c>
      <c r="N5" s="8">
        <v>7326909999</v>
      </c>
      <c r="O5" s="9" t="s">
        <v>42</v>
      </c>
    </row>
    <row r="6" spans="1:15" x14ac:dyDescent="0.45">
      <c r="A6" s="16" t="s">
        <v>24</v>
      </c>
      <c r="B6" s="8" t="s">
        <v>30</v>
      </c>
      <c r="C6" s="8" t="s">
        <v>17</v>
      </c>
      <c r="D6" s="8" t="s">
        <v>32</v>
      </c>
      <c r="E6" s="8" t="s">
        <v>36</v>
      </c>
      <c r="F6" s="8">
        <v>2</v>
      </c>
      <c r="G6" s="8">
        <v>39121300</v>
      </c>
      <c r="H6" s="14">
        <v>92.079176000000004</v>
      </c>
      <c r="I6" s="8">
        <f t="shared" si="0"/>
        <v>184.15835200000001</v>
      </c>
      <c r="J6" s="15">
        <v>465.69</v>
      </c>
      <c r="K6" s="8">
        <v>24973811</v>
      </c>
      <c r="L6" s="7">
        <v>45146</v>
      </c>
      <c r="M6" s="4" t="s">
        <v>38</v>
      </c>
      <c r="N6" s="8">
        <v>7326909999</v>
      </c>
      <c r="O6" s="9" t="s">
        <v>40</v>
      </c>
    </row>
    <row r="7" spans="1:15" x14ac:dyDescent="0.45">
      <c r="A7" s="16" t="s">
        <v>25</v>
      </c>
      <c r="B7" s="8" t="s">
        <v>31</v>
      </c>
      <c r="C7" s="8" t="s">
        <v>15</v>
      </c>
      <c r="D7" s="8" t="s">
        <v>33</v>
      </c>
      <c r="E7" s="8" t="s">
        <v>33</v>
      </c>
      <c r="F7" s="8">
        <v>8</v>
      </c>
      <c r="G7" s="8">
        <v>39121300</v>
      </c>
      <c r="H7" s="14">
        <v>10.659412</v>
      </c>
      <c r="I7" s="8">
        <f t="shared" si="1"/>
        <v>85.275295999999997</v>
      </c>
      <c r="J7" s="15">
        <v>618.4</v>
      </c>
      <c r="K7" s="8">
        <v>24990962</v>
      </c>
      <c r="L7" s="7">
        <v>45146</v>
      </c>
      <c r="M7" s="4" t="s">
        <v>38</v>
      </c>
      <c r="N7" s="8">
        <v>7326909999</v>
      </c>
    </row>
    <row r="8" spans="1:15" x14ac:dyDescent="0.45">
      <c r="A8" s="16" t="s">
        <v>26</v>
      </c>
      <c r="B8" s="8" t="s">
        <v>31</v>
      </c>
      <c r="C8" s="8" t="s">
        <v>15</v>
      </c>
      <c r="D8" s="8" t="s">
        <v>34</v>
      </c>
      <c r="E8" s="8" t="s">
        <v>37</v>
      </c>
      <c r="F8" s="8">
        <v>18</v>
      </c>
      <c r="G8" s="8">
        <v>39121300</v>
      </c>
      <c r="H8" s="14">
        <v>0.32658623999999997</v>
      </c>
      <c r="I8" s="8">
        <f t="shared" si="0"/>
        <v>5.8785523199999998</v>
      </c>
      <c r="J8" s="15">
        <v>495.89</v>
      </c>
      <c r="K8" s="8">
        <v>24990966</v>
      </c>
      <c r="L8" s="7">
        <v>45146</v>
      </c>
      <c r="M8" s="4" t="s">
        <v>38</v>
      </c>
      <c r="N8" s="8">
        <v>7326909999</v>
      </c>
    </row>
    <row r="9" spans="1:15" x14ac:dyDescent="0.45">
      <c r="A9" s="16" t="s">
        <v>27</v>
      </c>
      <c r="B9" s="8">
        <v>4221</v>
      </c>
      <c r="C9" s="8" t="s">
        <v>28</v>
      </c>
      <c r="D9" s="8" t="s">
        <v>35</v>
      </c>
      <c r="E9" s="8" t="s">
        <v>35</v>
      </c>
      <c r="F9" s="8">
        <v>50</v>
      </c>
      <c r="G9" s="8">
        <v>39121300</v>
      </c>
      <c r="H9" s="14">
        <v>16.374671200000002</v>
      </c>
      <c r="I9" s="8">
        <f t="shared" si="1"/>
        <v>818.73356000000013</v>
      </c>
      <c r="J9" s="15">
        <v>4422.5</v>
      </c>
      <c r="K9" s="8">
        <v>24846364</v>
      </c>
      <c r="L9" s="7">
        <v>45146</v>
      </c>
      <c r="M9" s="4" t="s">
        <v>38</v>
      </c>
      <c r="N9" s="8">
        <v>7326909999</v>
      </c>
      <c r="O9" s="9" t="s">
        <v>39</v>
      </c>
    </row>
  </sheetData>
  <autoFilter ref="A1:O9"/>
  <phoneticPr fontId="6" type="noConversion"/>
  <pageMargins left="0.7" right="0.7" top="0.75" bottom="0.75" header="0.3" footer="0.3"/>
  <pageSetup orientation="portrait" r:id="rId1"/>
  <legacyDrawing r:id="rId3"/>
  <oleObjects>
    <oleObject progId="E259JzsALqigwmtMTnFIu3" shapeId="1044" r:id="rId2" autoLoad="true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Mancilla, Jesus</dc:creator>
  <cp:lastModifiedBy>USER</cp:lastModifiedBy>
  <dcterms:created xsi:type="dcterms:W3CDTF">2022-08-10T18:51:50Z</dcterms:created>
  <dcterms:modified xsi:type="dcterms:W3CDTF">2023-08-08T20:02:56Z</dcterms:modified>
</cp:coreProperties>
</file>