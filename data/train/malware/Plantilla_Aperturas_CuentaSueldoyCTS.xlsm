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T07152\Downloads\Plantilla Aperturas Prueba 2.1\"/>
    </mc:Choice>
  </mc:AlternateContent>
  <xr:revisionPtr revIDLastSave="0" documentId="13_ncr:1_{B6C22E4C-CC9D-402D-AE0B-9B5612796A98}" xr6:coauthVersionLast="47" xr6:coauthVersionMax="47" xr10:uidLastSave="{00000000-0000-0000-0000-000000000000}"/>
  <bookViews>
    <workbookView xWindow="-120" yWindow="-120" windowWidth="20745" windowHeight="10230" firstSheet="1" activeTab="1" xr2:uid="{00000000-000D-0000-FFFF-FFFF00000000}"/>
  </bookViews>
  <sheets>
    <sheet name="sucursal24" sheetId="14" state="hidden" r:id="rId1"/>
    <sheet name="Plantilla" sheetId="5" r:id="rId2"/>
    <sheet name="Sucursal" sheetId="7" state="veryHidden" r:id="rId3"/>
    <sheet name="Opciones" sheetId="6" state="veryHidden" r:id="rId4"/>
    <sheet name="Vias" sheetId="8" state="veryHidden" r:id="rId5"/>
    <sheet name="Ubicaciones" sheetId="9" state="veryHidden" r:id="rId6"/>
    <sheet name="Localidades" sheetId="10" state="veryHidden" r:id="rId7"/>
    <sheet name="Datos" sheetId="11" state="veryHidden" r:id="rId8"/>
    <sheet name="Nacionalidades" sheetId="13" state="veryHidden" r:id="rId9"/>
  </sheets>
  <definedNames>
    <definedName name="BuiltIn_Print_Area">#REF!</definedName>
    <definedName name="BuiltIn_Print_Area___0">#REF!</definedName>
    <definedName name="BuiltIn_Print_Area___0___0">#REF!</definedName>
    <definedName name="BuiltIn_Print_Titles">#REF!</definedName>
    <definedName name="BuiltIn_Print_Titles___0">#REF!</definedName>
    <definedName name="BuiltIn_Print_Titles___0___0">#REF!</definedName>
    <definedName name="Departamento">Localidades!$C$3:$C$192</definedName>
    <definedName name="Departamentos">Localidades!$A$3:$A$27</definedName>
    <definedName name="Distrito">Localidades!$H$3:$H$1823</definedName>
    <definedName name="EstadoCivil">Opciones!$H$5:$H$9</definedName>
    <definedName name="Nacionalidades">Nacionalidades!$B$2:$B$236</definedName>
    <definedName name="Provincia">Localidades!$G$3:$G$1823</definedName>
    <definedName name="Provincias">Localidades!$D$3:$D$192</definedName>
    <definedName name="Sexo">Opciones!$K$5:$K$6</definedName>
    <definedName name="sucursal">Sucursal!$A$2:$A$83</definedName>
    <definedName name="sucursal24">Plantilla!$C$27</definedName>
    <definedName name="TipoDocumento">Opciones!$E$5:$E$8</definedName>
    <definedName name="Ubicaciones">Ubicaciones!$A$2:$A$4</definedName>
    <definedName name="Vias">Vias!$B$2:$B$19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5" l="1"/>
  <c r="F3" i="14"/>
  <c r="P28" i="5"/>
  <c r="Q28" i="5"/>
  <c r="S24" i="5"/>
  <c r="Q24" i="5"/>
  <c r="O24" i="5" l="1"/>
  <c r="R28" i="5"/>
  <c r="S28" i="5"/>
  <c r="O28" i="5"/>
  <c r="N28" i="5"/>
  <c r="M28" i="5"/>
  <c r="E2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Giselle Gervacio</author>
    <author>Cristhian Suncion Garcia - EVERIS</author>
    <author>Fernando Cruz Carrion - EVERIS</author>
  </authors>
  <commentList>
    <comment ref="Q22" authorId="0" shapeId="0" xr:uid="{00000000-0006-0000-0000-000001000000}">
      <text>
        <r>
          <rPr>
            <b/>
            <sz val="8"/>
            <color indexed="16"/>
            <rFont val="Tahoma"/>
            <family val="2"/>
          </rPr>
          <t>Registrar un solo teléfono.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39"/>
            <rFont val="Tahoma"/>
            <family val="2"/>
          </rPr>
          <t>No colocar guiones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Seleccionar antes </t>
        </r>
        <r>
          <rPr>
            <b/>
            <sz val="9"/>
            <color indexed="39"/>
            <rFont val="Tahoma"/>
            <family val="2"/>
          </rPr>
          <t xml:space="preserve">Departamento </t>
        </r>
        <r>
          <rPr>
            <sz val="9"/>
            <color indexed="81"/>
            <rFont val="Tahoma"/>
            <family val="2"/>
          </rPr>
          <t>y</t>
        </r>
        <r>
          <rPr>
            <b/>
            <sz val="9"/>
            <color indexed="39"/>
            <rFont val="Tahoma"/>
            <family val="2"/>
          </rPr>
          <t xml:space="preserve"> provincia </t>
        </r>
        <r>
          <rPr>
            <sz val="9"/>
            <color indexed="81"/>
            <rFont val="Tahoma"/>
            <family val="2"/>
          </rPr>
          <t>para habilitar el Distrito de la lista, sino será rechazado</t>
        </r>
      </text>
    </comment>
    <comment ref="Q2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Por favor, solo ingresar numeros, sino será rechazado</t>
        </r>
      </text>
    </comment>
    <comment ref="C27" authorId="0" shapeId="0" xr:uid="{00000000-0006-0000-0000-00000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7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Seleccionar el tipo de Via de la lista, sino será rechazado.
</t>
        </r>
        <r>
          <rPr>
            <b/>
            <sz val="9"/>
            <color indexed="39"/>
            <rFont val="Tahoma"/>
            <family val="2"/>
          </rPr>
          <t>Luego indicar el nombre de la Via</t>
        </r>
      </text>
    </comment>
    <comment ref="N2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 xml:space="preserve">Registrar el nombre de vía 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39"/>
            <rFont val="Tahoma"/>
            <family val="2"/>
          </rPr>
          <t>Luego ingresar el número de vía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Seleccionar Dpto / Piso / Interior
</t>
        </r>
        <r>
          <rPr>
            <b/>
            <sz val="8"/>
            <color indexed="16"/>
            <rFont val="Tahoma"/>
            <family val="2"/>
          </rPr>
          <t>Luego registrar el número.</t>
        </r>
      </text>
    </comment>
    <comment ref="R2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Por favor, solo seleccionar el departamento de la lista, sino será rechazado</t>
        </r>
      </text>
    </comment>
    <comment ref="S2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Por favor, solo seleccionar la provincia de la lista, sino será rechazado</t>
        </r>
      </text>
    </comment>
    <comment ref="D28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No modificar este campo</t>
        </r>
      </text>
    </comment>
    <comment ref="E32" authorId="1" shapeId="0" xr:uid="{00000000-0006-0000-0000-00000B000000}">
      <text>
        <r>
          <rPr>
            <b/>
            <sz val="12"/>
            <color indexed="81"/>
            <rFont val="Arial"/>
            <family val="2"/>
          </rPr>
          <t>1</t>
        </r>
        <r>
          <rPr>
            <sz val="12"/>
            <color indexed="81"/>
            <rFont val="Arial"/>
            <family val="2"/>
          </rPr>
          <t xml:space="preserve">=DNI
</t>
        </r>
        <r>
          <rPr>
            <b/>
            <sz val="12"/>
            <color indexed="81"/>
            <rFont val="Arial"/>
            <family val="2"/>
          </rPr>
          <t>3</t>
        </r>
        <r>
          <rPr>
            <sz val="12"/>
            <color indexed="81"/>
            <rFont val="Arial"/>
            <family val="2"/>
          </rPr>
          <t xml:space="preserve">=Carné de Extranjería
</t>
        </r>
        <r>
          <rPr>
            <b/>
            <sz val="12"/>
            <color indexed="81"/>
            <rFont val="Arial"/>
            <family val="2"/>
          </rPr>
          <t>4</t>
        </r>
        <r>
          <rPr>
            <sz val="12"/>
            <color indexed="81"/>
            <rFont val="Arial"/>
            <family val="2"/>
          </rPr>
          <t>=Pasaporte</t>
        </r>
      </text>
    </comment>
    <comment ref="J32" authorId="1" shapeId="0" xr:uid="{00000000-0006-0000-0000-00000C000000}">
      <text>
        <r>
          <rPr>
            <b/>
            <sz val="12"/>
            <color indexed="81"/>
            <rFont val="Arial"/>
            <family val="2"/>
          </rPr>
          <t>S</t>
        </r>
        <r>
          <rPr>
            <sz val="12"/>
            <color indexed="81"/>
            <rFont val="Arial"/>
            <family val="2"/>
          </rPr>
          <t xml:space="preserve">=Soltero
</t>
        </r>
        <r>
          <rPr>
            <b/>
            <sz val="12"/>
            <color indexed="81"/>
            <rFont val="Arial"/>
            <family val="2"/>
          </rPr>
          <t>C</t>
        </r>
        <r>
          <rPr>
            <sz val="12"/>
            <color indexed="81"/>
            <rFont val="Arial"/>
            <family val="2"/>
          </rPr>
          <t xml:space="preserve">=Casado
</t>
        </r>
        <r>
          <rPr>
            <b/>
            <sz val="12"/>
            <color indexed="81"/>
            <rFont val="Arial"/>
            <family val="2"/>
          </rPr>
          <t>CV</t>
        </r>
        <r>
          <rPr>
            <sz val="12"/>
            <color indexed="81"/>
            <rFont val="Arial"/>
            <family val="2"/>
          </rPr>
          <t xml:space="preserve">=Conviviente
</t>
        </r>
        <r>
          <rPr>
            <b/>
            <sz val="12"/>
            <color indexed="81"/>
            <rFont val="Arial"/>
            <family val="2"/>
          </rPr>
          <t>V</t>
        </r>
        <r>
          <rPr>
            <sz val="12"/>
            <color indexed="81"/>
            <rFont val="Arial"/>
            <family val="2"/>
          </rPr>
          <t xml:space="preserve">=Viudo
</t>
        </r>
        <r>
          <rPr>
            <b/>
            <sz val="12"/>
            <color indexed="81"/>
            <rFont val="Arial"/>
            <family val="2"/>
          </rPr>
          <t>D</t>
        </r>
        <r>
          <rPr>
            <sz val="12"/>
            <color indexed="81"/>
            <rFont val="Arial"/>
            <family val="2"/>
          </rPr>
          <t>=Divorciado</t>
        </r>
      </text>
    </comment>
    <comment ref="K32" authorId="1" shapeId="0" xr:uid="{00000000-0006-0000-0000-00000D000000}">
      <text>
        <r>
          <rPr>
            <b/>
            <sz val="12"/>
            <color indexed="81"/>
            <rFont val="Arial"/>
            <family val="2"/>
          </rPr>
          <t>F</t>
        </r>
        <r>
          <rPr>
            <sz val="12"/>
            <color indexed="81"/>
            <rFont val="Arial"/>
            <family val="2"/>
          </rPr>
          <t xml:space="preserve">=Femenino
</t>
        </r>
        <r>
          <rPr>
            <b/>
            <sz val="12"/>
            <color indexed="81"/>
            <rFont val="Arial"/>
            <family val="2"/>
          </rPr>
          <t>M</t>
        </r>
        <r>
          <rPr>
            <sz val="12"/>
            <color indexed="81"/>
            <rFont val="Arial"/>
            <family val="2"/>
          </rPr>
          <t xml:space="preserve">=Masculino
</t>
        </r>
      </text>
    </comment>
    <comment ref="L32" authorId="1" shapeId="0" xr:uid="{00000000-0006-0000-0000-00000E000000}">
      <text>
        <r>
          <rPr>
            <b/>
            <sz val="9"/>
            <color indexed="81"/>
            <rFont val="Tahoma"/>
            <family val="2"/>
          </rPr>
          <t>Seleccionar Nacionalidad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2" authorId="2" shapeId="0" xr:uid="{00000000-0006-0000-0000-00000F000000}">
      <text>
        <r>
          <rPr>
            <b/>
            <sz val="9"/>
            <color indexed="81"/>
            <rFont val="Tahoma"/>
            <family val="2"/>
          </rPr>
          <t>Por favor, solo seleccionar la sucursal de la lista, sino será rechazado ( Campo requerido)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3" authorId="0" shapeId="0" xr:uid="{00000000-0006-0000-0000-00001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" authorId="0" shapeId="0" xr:uid="{00000000-0006-0000-0000-00001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" authorId="0" shapeId="0" xr:uid="{00000000-0006-0000-0000-00001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" authorId="0" shapeId="0" xr:uid="{00000000-0006-0000-0000-00001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" authorId="0" shapeId="0" xr:uid="{00000000-0006-0000-0000-00001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" authorId="0" shapeId="0" xr:uid="{00000000-0006-0000-0000-00001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" authorId="0" shapeId="0" xr:uid="{00000000-0006-0000-0000-00001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" authorId="0" shapeId="0" xr:uid="{00000000-0006-0000-0000-00001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" authorId="0" shapeId="0" xr:uid="{00000000-0006-0000-0000-00001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" authorId="0" shapeId="0" xr:uid="{00000000-0006-0000-0000-00001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" authorId="0" shapeId="0" xr:uid="{00000000-0006-0000-0000-00001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" authorId="0" shapeId="0" xr:uid="{00000000-0006-0000-0000-00001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" authorId="0" shapeId="0" xr:uid="{00000000-0006-0000-0000-00001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" authorId="0" shapeId="0" xr:uid="{00000000-0006-0000-0000-00001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" authorId="0" shapeId="0" xr:uid="{00000000-0006-0000-0000-00001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" authorId="0" shapeId="0" xr:uid="{00000000-0006-0000-0000-00001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" authorId="0" shapeId="0" xr:uid="{00000000-0006-0000-0000-00002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" authorId="0" shapeId="0" xr:uid="{00000000-0006-0000-0000-00002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" authorId="0" shapeId="0" xr:uid="{00000000-0006-0000-0000-00002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" authorId="0" shapeId="0" xr:uid="{00000000-0006-0000-0000-00002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" authorId="0" shapeId="0" xr:uid="{00000000-0006-0000-0000-00002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4" authorId="0" shapeId="0" xr:uid="{00000000-0006-0000-0000-00002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5" authorId="0" shapeId="0" xr:uid="{00000000-0006-0000-0000-00002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6" authorId="0" shapeId="0" xr:uid="{00000000-0006-0000-0000-00002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7" authorId="0" shapeId="0" xr:uid="{00000000-0006-0000-0000-00002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8" authorId="0" shapeId="0" xr:uid="{00000000-0006-0000-0000-00002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9" authorId="0" shapeId="0" xr:uid="{00000000-0006-0000-0000-00002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0" authorId="0" shapeId="0" xr:uid="{00000000-0006-0000-0000-00002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1" authorId="0" shapeId="0" xr:uid="{00000000-0006-0000-0000-00002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2" authorId="0" shapeId="0" xr:uid="{00000000-0006-0000-0000-00002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3" authorId="0" shapeId="0" xr:uid="{00000000-0006-0000-0000-00002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4" authorId="0" shapeId="0" xr:uid="{00000000-0006-0000-0000-00002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5" authorId="0" shapeId="0" xr:uid="{00000000-0006-0000-0000-00003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6" authorId="0" shapeId="0" xr:uid="{00000000-0006-0000-0000-00003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7" authorId="0" shapeId="0" xr:uid="{00000000-0006-0000-0000-00003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8" authorId="0" shapeId="0" xr:uid="{00000000-0006-0000-0000-00003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9" authorId="0" shapeId="0" xr:uid="{00000000-0006-0000-0000-00003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0" authorId="0" shapeId="0" xr:uid="{00000000-0006-0000-0000-00003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1" authorId="0" shapeId="0" xr:uid="{00000000-0006-0000-0000-00003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2" authorId="0" shapeId="0" xr:uid="{00000000-0006-0000-0000-00003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3" authorId="0" shapeId="0" xr:uid="{00000000-0006-0000-0000-00003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4" authorId="0" shapeId="0" xr:uid="{00000000-0006-0000-0000-00003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5" authorId="0" shapeId="0" xr:uid="{00000000-0006-0000-0000-00003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6" authorId="0" shapeId="0" xr:uid="{00000000-0006-0000-0000-00003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7" authorId="0" shapeId="0" xr:uid="{00000000-0006-0000-0000-00003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8" authorId="0" shapeId="0" xr:uid="{00000000-0006-0000-0000-00003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9" authorId="0" shapeId="0" xr:uid="{00000000-0006-0000-0000-00003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0" authorId="0" shapeId="0" xr:uid="{00000000-0006-0000-0000-00003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1" authorId="0" shapeId="0" xr:uid="{00000000-0006-0000-0000-00004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2" authorId="0" shapeId="0" xr:uid="{00000000-0006-0000-0000-00004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3" authorId="0" shapeId="0" xr:uid="{00000000-0006-0000-0000-00004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4" authorId="0" shapeId="0" xr:uid="{00000000-0006-0000-0000-00004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5" authorId="0" shapeId="0" xr:uid="{00000000-0006-0000-0000-00004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6" authorId="0" shapeId="0" xr:uid="{00000000-0006-0000-0000-00004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7" authorId="0" shapeId="0" xr:uid="{00000000-0006-0000-0000-00004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8" authorId="0" shapeId="0" xr:uid="{00000000-0006-0000-0000-00004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89" authorId="0" shapeId="0" xr:uid="{00000000-0006-0000-0000-00004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0" authorId="0" shapeId="0" xr:uid="{00000000-0006-0000-0000-00004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1" authorId="0" shapeId="0" xr:uid="{00000000-0006-0000-0000-00004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2" authorId="0" shapeId="0" xr:uid="{00000000-0006-0000-0000-00004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3" authorId="0" shapeId="0" xr:uid="{00000000-0006-0000-0000-00004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4" authorId="0" shapeId="0" xr:uid="{00000000-0006-0000-0000-00004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5" authorId="0" shapeId="0" xr:uid="{00000000-0006-0000-0000-00004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6" authorId="0" shapeId="0" xr:uid="{00000000-0006-0000-0000-00004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7" authorId="0" shapeId="0" xr:uid="{00000000-0006-0000-0000-00005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8" authorId="0" shapeId="0" xr:uid="{00000000-0006-0000-0000-00005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99" authorId="0" shapeId="0" xr:uid="{00000000-0006-0000-0000-00005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0" authorId="0" shapeId="0" xr:uid="{00000000-0006-0000-0000-00005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1" authorId="0" shapeId="0" xr:uid="{00000000-0006-0000-0000-00005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2" authorId="0" shapeId="0" xr:uid="{00000000-0006-0000-0000-00005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3" authorId="0" shapeId="0" xr:uid="{00000000-0006-0000-0000-00005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4" authorId="0" shapeId="0" xr:uid="{00000000-0006-0000-0000-00005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5" authorId="0" shapeId="0" xr:uid="{00000000-0006-0000-0000-00005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6" authorId="0" shapeId="0" xr:uid="{00000000-0006-0000-0000-00005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7" authorId="0" shapeId="0" xr:uid="{00000000-0006-0000-0000-00005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8" authorId="0" shapeId="0" xr:uid="{00000000-0006-0000-0000-00005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09" authorId="0" shapeId="0" xr:uid="{00000000-0006-0000-0000-00005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0" authorId="0" shapeId="0" xr:uid="{00000000-0006-0000-0000-00005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1" authorId="0" shapeId="0" xr:uid="{00000000-0006-0000-0000-00005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2" authorId="0" shapeId="0" xr:uid="{00000000-0006-0000-0000-00005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3" authorId="0" shapeId="0" xr:uid="{00000000-0006-0000-0000-00006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4" authorId="0" shapeId="0" xr:uid="{00000000-0006-0000-0000-00006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5" authorId="0" shapeId="0" xr:uid="{00000000-0006-0000-0000-00006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6" authorId="0" shapeId="0" xr:uid="{00000000-0006-0000-0000-00006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7" authorId="0" shapeId="0" xr:uid="{00000000-0006-0000-0000-00006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8" authorId="0" shapeId="0" xr:uid="{00000000-0006-0000-0000-00006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19" authorId="0" shapeId="0" xr:uid="{00000000-0006-0000-0000-00006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0" authorId="0" shapeId="0" xr:uid="{00000000-0006-0000-0000-00006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1" authorId="0" shapeId="0" xr:uid="{00000000-0006-0000-0000-00006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2" authorId="0" shapeId="0" xr:uid="{00000000-0006-0000-0000-00006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3" authorId="0" shapeId="0" xr:uid="{00000000-0006-0000-0000-00006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4" authorId="0" shapeId="0" xr:uid="{00000000-0006-0000-0000-00006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5" authorId="0" shapeId="0" xr:uid="{00000000-0006-0000-0000-00006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6" authorId="0" shapeId="0" xr:uid="{00000000-0006-0000-0000-00006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7" authorId="0" shapeId="0" xr:uid="{00000000-0006-0000-0000-00006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8" authorId="0" shapeId="0" xr:uid="{00000000-0006-0000-0000-00006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29" authorId="0" shapeId="0" xr:uid="{00000000-0006-0000-0000-00007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0" authorId="0" shapeId="0" xr:uid="{00000000-0006-0000-0000-00007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1" authorId="0" shapeId="0" xr:uid="{00000000-0006-0000-0000-00007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2" authorId="0" shapeId="0" xr:uid="{00000000-0006-0000-0000-00007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3" authorId="0" shapeId="0" xr:uid="{00000000-0006-0000-0000-00007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4" authorId="0" shapeId="0" xr:uid="{00000000-0006-0000-0000-00007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5" authorId="0" shapeId="0" xr:uid="{00000000-0006-0000-0000-00007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6" authorId="0" shapeId="0" xr:uid="{00000000-0006-0000-0000-00007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7" authorId="0" shapeId="0" xr:uid="{00000000-0006-0000-0000-00007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8" authorId="0" shapeId="0" xr:uid="{00000000-0006-0000-0000-00007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9" authorId="0" shapeId="0" xr:uid="{00000000-0006-0000-0000-00007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0" authorId="0" shapeId="0" xr:uid="{00000000-0006-0000-0000-00007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1" authorId="0" shapeId="0" xr:uid="{00000000-0006-0000-0000-00007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2" authorId="0" shapeId="0" xr:uid="{00000000-0006-0000-0000-00007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3" authorId="0" shapeId="0" xr:uid="{00000000-0006-0000-0000-00007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4" authorId="0" shapeId="0" xr:uid="{00000000-0006-0000-0000-00007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5" authorId="0" shapeId="0" xr:uid="{00000000-0006-0000-0000-00008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6" authorId="0" shapeId="0" xr:uid="{00000000-0006-0000-0000-00008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7" authorId="0" shapeId="0" xr:uid="{00000000-0006-0000-0000-00008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8" authorId="0" shapeId="0" xr:uid="{00000000-0006-0000-0000-00008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9" authorId="0" shapeId="0" xr:uid="{00000000-0006-0000-0000-00008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0" authorId="0" shapeId="0" xr:uid="{00000000-0006-0000-0000-00008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1" authorId="0" shapeId="0" xr:uid="{00000000-0006-0000-0000-00008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2" authorId="0" shapeId="0" xr:uid="{00000000-0006-0000-0000-00008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3" authorId="0" shapeId="0" xr:uid="{00000000-0006-0000-0000-00008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4" authorId="0" shapeId="0" xr:uid="{00000000-0006-0000-0000-00008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5" authorId="0" shapeId="0" xr:uid="{00000000-0006-0000-0000-00008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6" authorId="0" shapeId="0" xr:uid="{00000000-0006-0000-0000-00008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7" authorId="0" shapeId="0" xr:uid="{00000000-0006-0000-0000-00008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8" authorId="0" shapeId="0" xr:uid="{00000000-0006-0000-0000-00008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59" authorId="0" shapeId="0" xr:uid="{00000000-0006-0000-0000-00008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0" authorId="0" shapeId="0" xr:uid="{00000000-0006-0000-0000-00008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1" authorId="0" shapeId="0" xr:uid="{00000000-0006-0000-0000-00009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2" authorId="0" shapeId="0" xr:uid="{00000000-0006-0000-0000-00009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3" authorId="0" shapeId="0" xr:uid="{00000000-0006-0000-0000-00009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4" authorId="0" shapeId="0" xr:uid="{00000000-0006-0000-0000-00009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5" authorId="0" shapeId="0" xr:uid="{00000000-0006-0000-0000-00009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6" authorId="0" shapeId="0" xr:uid="{00000000-0006-0000-0000-00009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7" authorId="0" shapeId="0" xr:uid="{00000000-0006-0000-0000-00009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8" authorId="0" shapeId="0" xr:uid="{00000000-0006-0000-0000-00009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69" authorId="0" shapeId="0" xr:uid="{00000000-0006-0000-0000-00009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0" authorId="0" shapeId="0" xr:uid="{00000000-0006-0000-0000-00009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1" authorId="0" shapeId="0" xr:uid="{00000000-0006-0000-0000-00009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2" authorId="0" shapeId="0" xr:uid="{00000000-0006-0000-0000-00009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3" authorId="0" shapeId="0" xr:uid="{00000000-0006-0000-0000-00009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4" authorId="0" shapeId="0" xr:uid="{00000000-0006-0000-0000-00009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5" authorId="0" shapeId="0" xr:uid="{00000000-0006-0000-0000-00009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6" authorId="0" shapeId="0" xr:uid="{00000000-0006-0000-0000-00009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7" authorId="0" shapeId="0" xr:uid="{00000000-0006-0000-0000-0000A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8" authorId="0" shapeId="0" xr:uid="{00000000-0006-0000-0000-0000A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79" authorId="0" shapeId="0" xr:uid="{00000000-0006-0000-0000-0000A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0" authorId="0" shapeId="0" xr:uid="{00000000-0006-0000-0000-0000A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1" authorId="0" shapeId="0" xr:uid="{00000000-0006-0000-0000-0000A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2" authorId="0" shapeId="0" xr:uid="{00000000-0006-0000-0000-0000A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3" authorId="0" shapeId="0" xr:uid="{00000000-0006-0000-0000-0000A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4" authorId="0" shapeId="0" xr:uid="{00000000-0006-0000-0000-0000A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5" authorId="0" shapeId="0" xr:uid="{00000000-0006-0000-0000-0000A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6" authorId="0" shapeId="0" xr:uid="{00000000-0006-0000-0000-0000A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7" authorId="0" shapeId="0" xr:uid="{00000000-0006-0000-0000-0000A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8" authorId="0" shapeId="0" xr:uid="{00000000-0006-0000-0000-0000A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89" authorId="0" shapeId="0" xr:uid="{00000000-0006-0000-0000-0000A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0" authorId="0" shapeId="0" xr:uid="{00000000-0006-0000-0000-0000A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1" authorId="0" shapeId="0" xr:uid="{00000000-0006-0000-0000-0000A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2" authorId="0" shapeId="0" xr:uid="{00000000-0006-0000-0000-0000A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3" authorId="0" shapeId="0" xr:uid="{00000000-0006-0000-0000-0000B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4" authorId="0" shapeId="0" xr:uid="{00000000-0006-0000-0000-0000B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5" authorId="0" shapeId="0" xr:uid="{00000000-0006-0000-0000-0000B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6" authorId="0" shapeId="0" xr:uid="{00000000-0006-0000-0000-0000B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7" authorId="0" shapeId="0" xr:uid="{00000000-0006-0000-0000-0000B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8" authorId="0" shapeId="0" xr:uid="{00000000-0006-0000-0000-0000B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99" authorId="0" shapeId="0" xr:uid="{00000000-0006-0000-0000-0000B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0" authorId="0" shapeId="0" xr:uid="{00000000-0006-0000-0000-0000B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1" authorId="0" shapeId="0" xr:uid="{00000000-0006-0000-0000-0000B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2" authorId="0" shapeId="0" xr:uid="{00000000-0006-0000-0000-0000B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3" authorId="0" shapeId="0" xr:uid="{00000000-0006-0000-0000-0000B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4" authorId="0" shapeId="0" xr:uid="{00000000-0006-0000-0000-0000B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5" authorId="0" shapeId="0" xr:uid="{00000000-0006-0000-0000-0000B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6" authorId="0" shapeId="0" xr:uid="{00000000-0006-0000-0000-0000B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7" authorId="0" shapeId="0" xr:uid="{00000000-0006-0000-0000-0000B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8" authorId="0" shapeId="0" xr:uid="{00000000-0006-0000-0000-0000B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09" authorId="0" shapeId="0" xr:uid="{00000000-0006-0000-0000-0000C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0" authorId="0" shapeId="0" xr:uid="{00000000-0006-0000-0000-0000C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1" authorId="0" shapeId="0" xr:uid="{00000000-0006-0000-0000-0000C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2" authorId="0" shapeId="0" xr:uid="{00000000-0006-0000-0000-0000C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3" authorId="0" shapeId="0" xr:uid="{00000000-0006-0000-0000-0000C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4" authorId="0" shapeId="0" xr:uid="{00000000-0006-0000-0000-0000C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5" authorId="0" shapeId="0" xr:uid="{00000000-0006-0000-0000-0000C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6" authorId="0" shapeId="0" xr:uid="{00000000-0006-0000-0000-0000C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7" authorId="0" shapeId="0" xr:uid="{00000000-0006-0000-0000-0000C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8" authorId="0" shapeId="0" xr:uid="{00000000-0006-0000-0000-0000C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19" authorId="0" shapeId="0" xr:uid="{00000000-0006-0000-0000-0000C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0" authorId="0" shapeId="0" xr:uid="{00000000-0006-0000-0000-0000C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1" authorId="0" shapeId="0" xr:uid="{00000000-0006-0000-0000-0000C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2" authorId="0" shapeId="0" xr:uid="{00000000-0006-0000-0000-0000C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3" authorId="0" shapeId="0" xr:uid="{00000000-0006-0000-0000-0000C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4" authorId="0" shapeId="0" xr:uid="{00000000-0006-0000-0000-0000C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5" authorId="0" shapeId="0" xr:uid="{00000000-0006-0000-0000-0000D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6" authorId="0" shapeId="0" xr:uid="{00000000-0006-0000-0000-0000D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7" authorId="0" shapeId="0" xr:uid="{00000000-0006-0000-0000-0000D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8" authorId="0" shapeId="0" xr:uid="{00000000-0006-0000-0000-0000D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29" authorId="0" shapeId="0" xr:uid="{00000000-0006-0000-0000-0000D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0" authorId="0" shapeId="0" xr:uid="{00000000-0006-0000-0000-0000D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1" authorId="0" shapeId="0" xr:uid="{00000000-0006-0000-0000-0000D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2" authorId="0" shapeId="0" xr:uid="{00000000-0006-0000-0000-0000D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3" authorId="0" shapeId="0" xr:uid="{00000000-0006-0000-0000-0000D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4" authorId="0" shapeId="0" xr:uid="{00000000-0006-0000-0000-0000D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5" authorId="0" shapeId="0" xr:uid="{00000000-0006-0000-0000-0000D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6" authorId="0" shapeId="0" xr:uid="{00000000-0006-0000-0000-0000D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7" authorId="0" shapeId="0" xr:uid="{00000000-0006-0000-0000-0000D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8" authorId="0" shapeId="0" xr:uid="{00000000-0006-0000-0000-0000D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39" authorId="0" shapeId="0" xr:uid="{00000000-0006-0000-0000-0000D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0" authorId="0" shapeId="0" xr:uid="{00000000-0006-0000-0000-0000D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1" authorId="0" shapeId="0" xr:uid="{00000000-0006-0000-0000-0000E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2" authorId="0" shapeId="0" xr:uid="{00000000-0006-0000-0000-0000E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3" authorId="0" shapeId="0" xr:uid="{00000000-0006-0000-0000-0000E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4" authorId="0" shapeId="0" xr:uid="{00000000-0006-0000-0000-0000E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5" authorId="0" shapeId="0" xr:uid="{00000000-0006-0000-0000-0000E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6" authorId="0" shapeId="0" xr:uid="{00000000-0006-0000-0000-0000E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7" authorId="0" shapeId="0" xr:uid="{00000000-0006-0000-0000-0000E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8" authorId="0" shapeId="0" xr:uid="{00000000-0006-0000-0000-0000E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49" authorId="0" shapeId="0" xr:uid="{00000000-0006-0000-0000-0000E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0" authorId="0" shapeId="0" xr:uid="{00000000-0006-0000-0000-0000E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1" authorId="0" shapeId="0" xr:uid="{00000000-0006-0000-0000-0000E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2" authorId="0" shapeId="0" xr:uid="{00000000-0006-0000-0000-0000E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3" authorId="0" shapeId="0" xr:uid="{00000000-0006-0000-0000-0000E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4" authorId="0" shapeId="0" xr:uid="{00000000-0006-0000-0000-0000E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5" authorId="0" shapeId="0" xr:uid="{00000000-0006-0000-0000-0000E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6" authorId="0" shapeId="0" xr:uid="{00000000-0006-0000-0000-0000E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7" authorId="0" shapeId="0" xr:uid="{00000000-0006-0000-0000-0000F0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8" authorId="0" shapeId="0" xr:uid="{00000000-0006-0000-0000-0000F1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9" authorId="0" shapeId="0" xr:uid="{00000000-0006-0000-0000-0000F2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0" authorId="0" shapeId="0" xr:uid="{00000000-0006-0000-0000-0000F3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1" authorId="0" shapeId="0" xr:uid="{00000000-0006-0000-0000-0000F4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2" authorId="0" shapeId="0" xr:uid="{00000000-0006-0000-0000-0000F5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3" authorId="0" shapeId="0" xr:uid="{00000000-0006-0000-0000-0000F6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4" authorId="0" shapeId="0" xr:uid="{00000000-0006-0000-0000-0000F7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5" authorId="0" shapeId="0" xr:uid="{00000000-0006-0000-0000-0000F8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6" authorId="0" shapeId="0" xr:uid="{00000000-0006-0000-0000-0000F9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7" authorId="0" shapeId="0" xr:uid="{00000000-0006-0000-0000-0000FA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8" authorId="0" shapeId="0" xr:uid="{00000000-0006-0000-0000-0000FB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69" authorId="0" shapeId="0" xr:uid="{00000000-0006-0000-0000-0000FC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0" authorId="0" shapeId="0" xr:uid="{00000000-0006-0000-0000-0000FD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1" authorId="0" shapeId="0" xr:uid="{00000000-0006-0000-0000-0000FE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2" authorId="0" shapeId="0" xr:uid="{00000000-0006-0000-0000-0000FF00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3" authorId="0" shapeId="0" xr:uid="{00000000-0006-0000-0000-00000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4" authorId="0" shapeId="0" xr:uid="{00000000-0006-0000-0000-00000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5" authorId="0" shapeId="0" xr:uid="{00000000-0006-0000-0000-00000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6" authorId="0" shapeId="0" xr:uid="{00000000-0006-0000-0000-00000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7" authorId="0" shapeId="0" xr:uid="{00000000-0006-0000-0000-00000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8" authorId="0" shapeId="0" xr:uid="{00000000-0006-0000-0000-00000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79" authorId="0" shapeId="0" xr:uid="{00000000-0006-0000-0000-00000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0" authorId="0" shapeId="0" xr:uid="{00000000-0006-0000-0000-00000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1" authorId="0" shapeId="0" xr:uid="{00000000-0006-0000-0000-00000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2" authorId="0" shapeId="0" xr:uid="{00000000-0006-0000-0000-00000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3" authorId="0" shapeId="0" xr:uid="{00000000-0006-0000-0000-00000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4" authorId="0" shapeId="0" xr:uid="{00000000-0006-0000-0000-00000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5" authorId="0" shapeId="0" xr:uid="{00000000-0006-0000-0000-00000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6" authorId="0" shapeId="0" xr:uid="{00000000-0006-0000-0000-00000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7" authorId="0" shapeId="0" xr:uid="{00000000-0006-0000-0000-00000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8" authorId="0" shapeId="0" xr:uid="{00000000-0006-0000-0000-00000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9" authorId="0" shapeId="0" xr:uid="{00000000-0006-0000-0000-00001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0" authorId="0" shapeId="0" xr:uid="{00000000-0006-0000-0000-00001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1" authorId="0" shapeId="0" xr:uid="{00000000-0006-0000-0000-00001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2" authorId="0" shapeId="0" xr:uid="{00000000-0006-0000-0000-00001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3" authorId="0" shapeId="0" xr:uid="{00000000-0006-0000-0000-00001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4" authorId="0" shapeId="0" xr:uid="{00000000-0006-0000-0000-00001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5" authorId="0" shapeId="0" xr:uid="{00000000-0006-0000-0000-00001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6" authorId="0" shapeId="0" xr:uid="{00000000-0006-0000-0000-00001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7" authorId="0" shapeId="0" xr:uid="{00000000-0006-0000-0000-00001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8" authorId="0" shapeId="0" xr:uid="{00000000-0006-0000-0000-00001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99" authorId="0" shapeId="0" xr:uid="{00000000-0006-0000-0000-00001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0" authorId="0" shapeId="0" xr:uid="{00000000-0006-0000-0000-00001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1" authorId="0" shapeId="0" xr:uid="{00000000-0006-0000-0000-00001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2" authorId="0" shapeId="0" xr:uid="{00000000-0006-0000-0000-00001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3" authorId="0" shapeId="0" xr:uid="{00000000-0006-0000-0000-00001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4" authorId="0" shapeId="0" xr:uid="{00000000-0006-0000-0000-00001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5" authorId="0" shapeId="0" xr:uid="{00000000-0006-0000-0000-00002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6" authorId="0" shapeId="0" xr:uid="{00000000-0006-0000-0000-00002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7" authorId="0" shapeId="0" xr:uid="{00000000-0006-0000-0000-00002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8" authorId="0" shapeId="0" xr:uid="{00000000-0006-0000-0000-00002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09" authorId="0" shapeId="0" xr:uid="{00000000-0006-0000-0000-00002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0" authorId="0" shapeId="0" xr:uid="{00000000-0006-0000-0000-00002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1" authorId="0" shapeId="0" xr:uid="{00000000-0006-0000-0000-00002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2" authorId="0" shapeId="0" xr:uid="{00000000-0006-0000-0000-00002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3" authorId="0" shapeId="0" xr:uid="{00000000-0006-0000-0000-00002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4" authorId="0" shapeId="0" xr:uid="{00000000-0006-0000-0000-00002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5" authorId="0" shapeId="0" xr:uid="{00000000-0006-0000-0000-00002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6" authorId="0" shapeId="0" xr:uid="{00000000-0006-0000-0000-00002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7" authorId="0" shapeId="0" xr:uid="{00000000-0006-0000-0000-00002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8" authorId="0" shapeId="0" xr:uid="{00000000-0006-0000-0000-00002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19" authorId="0" shapeId="0" xr:uid="{00000000-0006-0000-0000-00002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0" authorId="0" shapeId="0" xr:uid="{00000000-0006-0000-0000-00002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1" authorId="0" shapeId="0" xr:uid="{00000000-0006-0000-0000-00003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2" authorId="0" shapeId="0" xr:uid="{00000000-0006-0000-0000-00003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3" authorId="0" shapeId="0" xr:uid="{00000000-0006-0000-0000-00003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4" authorId="0" shapeId="0" xr:uid="{00000000-0006-0000-0000-00003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5" authorId="0" shapeId="0" xr:uid="{00000000-0006-0000-0000-00003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6" authorId="0" shapeId="0" xr:uid="{00000000-0006-0000-0000-00003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7" authorId="0" shapeId="0" xr:uid="{00000000-0006-0000-0000-00003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8" authorId="0" shapeId="0" xr:uid="{00000000-0006-0000-0000-00003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29" authorId="0" shapeId="0" xr:uid="{00000000-0006-0000-0000-00003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0" authorId="0" shapeId="0" xr:uid="{00000000-0006-0000-0000-00003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1" authorId="0" shapeId="0" xr:uid="{00000000-0006-0000-0000-00003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2" authorId="0" shapeId="0" xr:uid="{00000000-0006-0000-0000-00003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3" authorId="0" shapeId="0" xr:uid="{00000000-0006-0000-0000-00003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4" authorId="0" shapeId="0" xr:uid="{00000000-0006-0000-0000-00003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5" authorId="0" shapeId="0" xr:uid="{00000000-0006-0000-0000-00003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6" authorId="0" shapeId="0" xr:uid="{00000000-0006-0000-0000-00003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7" authorId="0" shapeId="0" xr:uid="{00000000-0006-0000-0000-00004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8" authorId="0" shapeId="0" xr:uid="{00000000-0006-0000-0000-00004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39" authorId="0" shapeId="0" xr:uid="{00000000-0006-0000-0000-00004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0" authorId="0" shapeId="0" xr:uid="{00000000-0006-0000-0000-00004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1" authorId="0" shapeId="0" xr:uid="{00000000-0006-0000-0000-00004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2" authorId="0" shapeId="0" xr:uid="{00000000-0006-0000-0000-00004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3" authorId="0" shapeId="0" xr:uid="{00000000-0006-0000-0000-00004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4" authorId="0" shapeId="0" xr:uid="{00000000-0006-0000-0000-00004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5" authorId="0" shapeId="0" xr:uid="{00000000-0006-0000-0000-00004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6" authorId="0" shapeId="0" xr:uid="{00000000-0006-0000-0000-00004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7" authorId="0" shapeId="0" xr:uid="{00000000-0006-0000-0000-00004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8" authorId="0" shapeId="0" xr:uid="{00000000-0006-0000-0000-00004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49" authorId="0" shapeId="0" xr:uid="{00000000-0006-0000-0000-00004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0" authorId="0" shapeId="0" xr:uid="{00000000-0006-0000-0000-00004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1" authorId="0" shapeId="0" xr:uid="{00000000-0006-0000-0000-00004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2" authorId="0" shapeId="0" xr:uid="{00000000-0006-0000-0000-00004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3" authorId="0" shapeId="0" xr:uid="{00000000-0006-0000-0000-00005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4" authorId="0" shapeId="0" xr:uid="{00000000-0006-0000-0000-00005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5" authorId="0" shapeId="0" xr:uid="{00000000-0006-0000-0000-00005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6" authorId="0" shapeId="0" xr:uid="{00000000-0006-0000-0000-00005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7" authorId="0" shapeId="0" xr:uid="{00000000-0006-0000-0000-00005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8" authorId="0" shapeId="0" xr:uid="{00000000-0006-0000-0000-00005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59" authorId="0" shapeId="0" xr:uid="{00000000-0006-0000-0000-00005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0" authorId="0" shapeId="0" xr:uid="{00000000-0006-0000-0000-00005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1" authorId="0" shapeId="0" xr:uid="{00000000-0006-0000-0000-00005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2" authorId="0" shapeId="0" xr:uid="{00000000-0006-0000-0000-00005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3" authorId="0" shapeId="0" xr:uid="{00000000-0006-0000-0000-00005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4" authorId="0" shapeId="0" xr:uid="{00000000-0006-0000-0000-00005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5" authorId="0" shapeId="0" xr:uid="{00000000-0006-0000-0000-00005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6" authorId="0" shapeId="0" xr:uid="{00000000-0006-0000-0000-00005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7" authorId="0" shapeId="0" xr:uid="{00000000-0006-0000-0000-00005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8" authorId="0" shapeId="0" xr:uid="{00000000-0006-0000-0000-00005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69" authorId="0" shapeId="0" xr:uid="{00000000-0006-0000-0000-00006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0" authorId="0" shapeId="0" xr:uid="{00000000-0006-0000-0000-00006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1" authorId="0" shapeId="0" xr:uid="{00000000-0006-0000-0000-00006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2" authorId="0" shapeId="0" xr:uid="{00000000-0006-0000-0000-00006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3" authorId="0" shapeId="0" xr:uid="{00000000-0006-0000-0000-00006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4" authorId="0" shapeId="0" xr:uid="{00000000-0006-0000-0000-00006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5" authorId="0" shapeId="0" xr:uid="{00000000-0006-0000-0000-00006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6" authorId="0" shapeId="0" xr:uid="{00000000-0006-0000-0000-00006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7" authorId="0" shapeId="0" xr:uid="{00000000-0006-0000-0000-00006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8" authorId="0" shapeId="0" xr:uid="{00000000-0006-0000-0000-00006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9" authorId="0" shapeId="0" xr:uid="{00000000-0006-0000-0000-00006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0" authorId="0" shapeId="0" xr:uid="{00000000-0006-0000-0000-00006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1" authorId="0" shapeId="0" xr:uid="{00000000-0006-0000-0000-00006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2" authorId="0" shapeId="0" xr:uid="{00000000-0006-0000-0000-00006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3" authorId="0" shapeId="0" xr:uid="{00000000-0006-0000-0000-00006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4" authorId="0" shapeId="0" xr:uid="{00000000-0006-0000-0000-00006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5" authorId="0" shapeId="0" xr:uid="{00000000-0006-0000-0000-00007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6" authorId="0" shapeId="0" xr:uid="{00000000-0006-0000-0000-00007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7" authorId="0" shapeId="0" xr:uid="{00000000-0006-0000-0000-00007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8" authorId="0" shapeId="0" xr:uid="{00000000-0006-0000-0000-00007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89" authorId="0" shapeId="0" xr:uid="{00000000-0006-0000-0000-00007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0" authorId="0" shapeId="0" xr:uid="{00000000-0006-0000-0000-00007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1" authorId="0" shapeId="0" xr:uid="{00000000-0006-0000-0000-00007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2" authorId="0" shapeId="0" xr:uid="{00000000-0006-0000-0000-00007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3" authorId="0" shapeId="0" xr:uid="{00000000-0006-0000-0000-00007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4" authorId="0" shapeId="0" xr:uid="{00000000-0006-0000-0000-00007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5" authorId="0" shapeId="0" xr:uid="{00000000-0006-0000-0000-00007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6" authorId="0" shapeId="0" xr:uid="{00000000-0006-0000-0000-00007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7" authorId="0" shapeId="0" xr:uid="{00000000-0006-0000-0000-00007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8" authorId="0" shapeId="0" xr:uid="{00000000-0006-0000-0000-00007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99" authorId="0" shapeId="0" xr:uid="{00000000-0006-0000-0000-00007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0" authorId="0" shapeId="0" xr:uid="{00000000-0006-0000-0000-00007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1" authorId="0" shapeId="0" xr:uid="{00000000-0006-0000-0000-00008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2" authorId="0" shapeId="0" xr:uid="{00000000-0006-0000-0000-00008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3" authorId="0" shapeId="0" xr:uid="{00000000-0006-0000-0000-00008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4" authorId="0" shapeId="0" xr:uid="{00000000-0006-0000-0000-00008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5" authorId="0" shapeId="0" xr:uid="{00000000-0006-0000-0000-00008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6" authorId="0" shapeId="0" xr:uid="{00000000-0006-0000-0000-00008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7" authorId="0" shapeId="0" xr:uid="{00000000-0006-0000-0000-00008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8" authorId="0" shapeId="0" xr:uid="{00000000-0006-0000-0000-00008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09" authorId="0" shapeId="0" xr:uid="{00000000-0006-0000-0000-00008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0" authorId="0" shapeId="0" xr:uid="{00000000-0006-0000-0000-00008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1" authorId="0" shapeId="0" xr:uid="{00000000-0006-0000-0000-00008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2" authorId="0" shapeId="0" xr:uid="{00000000-0006-0000-0000-00008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3" authorId="0" shapeId="0" xr:uid="{00000000-0006-0000-0000-00008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4" authorId="0" shapeId="0" xr:uid="{00000000-0006-0000-0000-00008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5" authorId="0" shapeId="0" xr:uid="{00000000-0006-0000-0000-00008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6" authorId="0" shapeId="0" xr:uid="{00000000-0006-0000-0000-00008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7" authorId="0" shapeId="0" xr:uid="{00000000-0006-0000-0000-00009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8" authorId="0" shapeId="0" xr:uid="{00000000-0006-0000-0000-00009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19" authorId="0" shapeId="0" xr:uid="{00000000-0006-0000-0000-00009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0" authorId="0" shapeId="0" xr:uid="{00000000-0006-0000-0000-00009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1" authorId="0" shapeId="0" xr:uid="{00000000-0006-0000-0000-00009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2" authorId="0" shapeId="0" xr:uid="{00000000-0006-0000-0000-00009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3" authorId="0" shapeId="0" xr:uid="{00000000-0006-0000-0000-00009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4" authorId="0" shapeId="0" xr:uid="{00000000-0006-0000-0000-00009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5" authorId="0" shapeId="0" xr:uid="{00000000-0006-0000-0000-00009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6" authorId="0" shapeId="0" xr:uid="{00000000-0006-0000-0000-00009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7" authorId="0" shapeId="0" xr:uid="{00000000-0006-0000-0000-00009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8" authorId="0" shapeId="0" xr:uid="{00000000-0006-0000-0000-00009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9" authorId="0" shapeId="0" xr:uid="{00000000-0006-0000-0000-00009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0" authorId="0" shapeId="0" xr:uid="{00000000-0006-0000-0000-00009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1" authorId="0" shapeId="0" xr:uid="{00000000-0006-0000-0000-00009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2" authorId="0" shapeId="0" xr:uid="{00000000-0006-0000-0000-00009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3" authorId="0" shapeId="0" xr:uid="{00000000-0006-0000-0000-0000A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4" authorId="0" shapeId="0" xr:uid="{00000000-0006-0000-0000-0000A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5" authorId="0" shapeId="0" xr:uid="{00000000-0006-0000-0000-0000A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6" authorId="0" shapeId="0" xr:uid="{00000000-0006-0000-0000-0000A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7" authorId="0" shapeId="0" xr:uid="{00000000-0006-0000-0000-0000A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8" authorId="0" shapeId="0" xr:uid="{00000000-0006-0000-0000-0000A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39" authorId="0" shapeId="0" xr:uid="{00000000-0006-0000-0000-0000A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0" authorId="0" shapeId="0" xr:uid="{00000000-0006-0000-0000-0000A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1" authorId="0" shapeId="0" xr:uid="{00000000-0006-0000-0000-0000A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2" authorId="0" shapeId="0" xr:uid="{00000000-0006-0000-0000-0000A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3" authorId="0" shapeId="0" xr:uid="{00000000-0006-0000-0000-0000A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4" authorId="0" shapeId="0" xr:uid="{00000000-0006-0000-0000-0000A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5" authorId="0" shapeId="0" xr:uid="{00000000-0006-0000-0000-0000A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6" authorId="0" shapeId="0" xr:uid="{00000000-0006-0000-0000-0000A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7" authorId="0" shapeId="0" xr:uid="{00000000-0006-0000-0000-0000A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8" authorId="0" shapeId="0" xr:uid="{00000000-0006-0000-0000-0000A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49" authorId="0" shapeId="0" xr:uid="{00000000-0006-0000-0000-0000B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0" authorId="0" shapeId="0" xr:uid="{00000000-0006-0000-0000-0000B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1" authorId="0" shapeId="0" xr:uid="{00000000-0006-0000-0000-0000B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2" authorId="0" shapeId="0" xr:uid="{00000000-0006-0000-0000-0000B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3" authorId="0" shapeId="0" xr:uid="{00000000-0006-0000-0000-0000B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4" authorId="0" shapeId="0" xr:uid="{00000000-0006-0000-0000-0000B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5" authorId="0" shapeId="0" xr:uid="{00000000-0006-0000-0000-0000B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6" authorId="0" shapeId="0" xr:uid="{00000000-0006-0000-0000-0000B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7" authorId="0" shapeId="0" xr:uid="{00000000-0006-0000-0000-0000B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8" authorId="0" shapeId="0" xr:uid="{00000000-0006-0000-0000-0000B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59" authorId="0" shapeId="0" xr:uid="{00000000-0006-0000-0000-0000B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0" authorId="0" shapeId="0" xr:uid="{00000000-0006-0000-0000-0000B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1" authorId="0" shapeId="0" xr:uid="{00000000-0006-0000-0000-0000B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2" authorId="0" shapeId="0" xr:uid="{00000000-0006-0000-0000-0000B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3" authorId="0" shapeId="0" xr:uid="{00000000-0006-0000-0000-0000B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4" authorId="0" shapeId="0" xr:uid="{00000000-0006-0000-0000-0000B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5" authorId="0" shapeId="0" xr:uid="{00000000-0006-0000-0000-0000C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6" authorId="0" shapeId="0" xr:uid="{00000000-0006-0000-0000-0000C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7" authorId="0" shapeId="0" xr:uid="{00000000-0006-0000-0000-0000C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8" authorId="0" shapeId="0" xr:uid="{00000000-0006-0000-0000-0000C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69" authorId="0" shapeId="0" xr:uid="{00000000-0006-0000-0000-0000C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0" authorId="0" shapeId="0" xr:uid="{00000000-0006-0000-0000-0000C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1" authorId="0" shapeId="0" xr:uid="{00000000-0006-0000-0000-0000C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2" authorId="0" shapeId="0" xr:uid="{00000000-0006-0000-0000-0000C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3" authorId="0" shapeId="0" xr:uid="{00000000-0006-0000-0000-0000C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4" authorId="0" shapeId="0" xr:uid="{00000000-0006-0000-0000-0000C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5" authorId="0" shapeId="0" xr:uid="{00000000-0006-0000-0000-0000C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6" authorId="0" shapeId="0" xr:uid="{00000000-0006-0000-0000-0000C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7" authorId="0" shapeId="0" xr:uid="{00000000-0006-0000-0000-0000C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8" authorId="0" shapeId="0" xr:uid="{00000000-0006-0000-0000-0000C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79" authorId="0" shapeId="0" xr:uid="{00000000-0006-0000-0000-0000C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0" authorId="0" shapeId="0" xr:uid="{00000000-0006-0000-0000-0000C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1" authorId="0" shapeId="0" xr:uid="{00000000-0006-0000-0000-0000D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2" authorId="0" shapeId="0" xr:uid="{00000000-0006-0000-0000-0000D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3" authorId="0" shapeId="0" xr:uid="{00000000-0006-0000-0000-0000D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4" authorId="0" shapeId="0" xr:uid="{00000000-0006-0000-0000-0000D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5" authorId="0" shapeId="0" xr:uid="{00000000-0006-0000-0000-0000D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6" authorId="0" shapeId="0" xr:uid="{00000000-0006-0000-0000-0000D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7" authorId="0" shapeId="0" xr:uid="{00000000-0006-0000-0000-0000D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8" authorId="0" shapeId="0" xr:uid="{00000000-0006-0000-0000-0000D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89" authorId="0" shapeId="0" xr:uid="{00000000-0006-0000-0000-0000D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0" authorId="0" shapeId="0" xr:uid="{00000000-0006-0000-0000-0000D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1" authorId="0" shapeId="0" xr:uid="{00000000-0006-0000-0000-0000D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2" authorId="0" shapeId="0" xr:uid="{00000000-0006-0000-0000-0000D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3" authorId="0" shapeId="0" xr:uid="{00000000-0006-0000-0000-0000D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4" authorId="0" shapeId="0" xr:uid="{00000000-0006-0000-0000-0000D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5" authorId="0" shapeId="0" xr:uid="{00000000-0006-0000-0000-0000D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6" authorId="0" shapeId="0" xr:uid="{00000000-0006-0000-0000-0000D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7" authorId="0" shapeId="0" xr:uid="{00000000-0006-0000-0000-0000E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8" authorId="0" shapeId="0" xr:uid="{00000000-0006-0000-0000-0000E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99" authorId="0" shapeId="0" xr:uid="{00000000-0006-0000-0000-0000E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0" authorId="0" shapeId="0" xr:uid="{00000000-0006-0000-0000-0000E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1" authorId="0" shapeId="0" xr:uid="{00000000-0006-0000-0000-0000E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2" authorId="0" shapeId="0" xr:uid="{00000000-0006-0000-0000-0000E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3" authorId="0" shapeId="0" xr:uid="{00000000-0006-0000-0000-0000E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4" authorId="0" shapeId="0" xr:uid="{00000000-0006-0000-0000-0000E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5" authorId="0" shapeId="0" xr:uid="{00000000-0006-0000-0000-0000E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6" authorId="0" shapeId="0" xr:uid="{00000000-0006-0000-0000-0000E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7" authorId="0" shapeId="0" xr:uid="{00000000-0006-0000-0000-0000E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8" authorId="0" shapeId="0" xr:uid="{00000000-0006-0000-0000-0000E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09" authorId="0" shapeId="0" xr:uid="{00000000-0006-0000-0000-0000E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0" authorId="0" shapeId="0" xr:uid="{00000000-0006-0000-0000-0000E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1" authorId="0" shapeId="0" xr:uid="{00000000-0006-0000-0000-0000E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2" authorId="0" shapeId="0" xr:uid="{00000000-0006-0000-0000-0000E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3" authorId="0" shapeId="0" xr:uid="{00000000-0006-0000-0000-0000F0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4" authorId="0" shapeId="0" xr:uid="{00000000-0006-0000-0000-0000F1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5" authorId="0" shapeId="0" xr:uid="{00000000-0006-0000-0000-0000F2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6" authorId="0" shapeId="0" xr:uid="{00000000-0006-0000-0000-0000F3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7" authorId="0" shapeId="0" xr:uid="{00000000-0006-0000-0000-0000F4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8" authorId="0" shapeId="0" xr:uid="{00000000-0006-0000-0000-0000F5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19" authorId="0" shapeId="0" xr:uid="{00000000-0006-0000-0000-0000F6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0" authorId="0" shapeId="0" xr:uid="{00000000-0006-0000-0000-0000F7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1" authorId="0" shapeId="0" xr:uid="{00000000-0006-0000-0000-0000F8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2" authorId="0" shapeId="0" xr:uid="{00000000-0006-0000-0000-0000F9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3" authorId="0" shapeId="0" xr:uid="{00000000-0006-0000-0000-0000FA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4" authorId="0" shapeId="0" xr:uid="{00000000-0006-0000-0000-0000FB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5" authorId="0" shapeId="0" xr:uid="{00000000-0006-0000-0000-0000FC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6" authorId="0" shapeId="0" xr:uid="{00000000-0006-0000-0000-0000FD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7" authorId="0" shapeId="0" xr:uid="{00000000-0006-0000-0000-0000FE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8" authorId="0" shapeId="0" xr:uid="{00000000-0006-0000-0000-0000FF01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29" authorId="0" shapeId="0" xr:uid="{00000000-0006-0000-0000-000000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0" authorId="0" shapeId="0" xr:uid="{00000000-0006-0000-0000-000001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1" authorId="0" shapeId="0" xr:uid="{00000000-0006-0000-0000-000002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2" authorId="0" shapeId="0" xr:uid="{00000000-0006-0000-0000-000003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3" authorId="0" shapeId="0" xr:uid="{00000000-0006-0000-0000-000004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4" authorId="0" shapeId="0" xr:uid="{00000000-0006-0000-0000-000005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5" authorId="0" shapeId="0" xr:uid="{00000000-0006-0000-0000-000006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6" authorId="0" shapeId="0" xr:uid="{00000000-0006-0000-0000-000007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7" authorId="0" shapeId="0" xr:uid="{00000000-0006-0000-0000-000008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8" authorId="0" shapeId="0" xr:uid="{00000000-0006-0000-0000-000009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39" authorId="0" shapeId="0" xr:uid="{00000000-0006-0000-0000-00000A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40" authorId="0" shapeId="0" xr:uid="{00000000-0006-0000-0000-00000B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41" authorId="0" shapeId="0" xr:uid="{00000000-0006-0000-0000-00000C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42" authorId="0" shapeId="0" xr:uid="{00000000-0006-0000-0000-00000D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43" authorId="0" shapeId="0" xr:uid="{00000000-0006-0000-0000-00000E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544" authorId="0" shapeId="0" xr:uid="{00000000-0006-0000-0000-00000F020000}">
      <text>
        <r>
          <rPr>
            <b/>
            <sz val="10"/>
            <color indexed="39"/>
            <rFont val="Tahoma"/>
            <family val="2"/>
          </rPr>
          <t xml:space="preserve">Solo seleccionar de la lista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<sst xmlns="http://schemas.openxmlformats.org/spreadsheetml/2006/main" count="6806" uniqueCount="2500">
  <si>
    <t>Fecha de Nacimiento</t>
  </si>
  <si>
    <t>Nacionalidad</t>
  </si>
  <si>
    <t>*Indicar la provincia donde labora el trabajador. Debe colocar la provincia en la cual operará la cuenta.</t>
  </si>
  <si>
    <t>Datos a llenar por la empresa</t>
  </si>
  <si>
    <t>Datos a llenar por el Banco</t>
  </si>
  <si>
    <t xml:space="preserve">Código de Empresa </t>
  </si>
  <si>
    <t xml:space="preserve">Plantilla </t>
  </si>
  <si>
    <t>Banco de Crédito BCP</t>
  </si>
  <si>
    <t>Provincia</t>
  </si>
  <si>
    <t>Doc. de Identidad</t>
  </si>
  <si>
    <t xml:space="preserve">Listado de nuevos trabajadores </t>
  </si>
  <si>
    <t>Apellido Materno</t>
  </si>
  <si>
    <t>Apellido Paterno</t>
  </si>
  <si>
    <t>Distrito</t>
  </si>
  <si>
    <t>N°</t>
  </si>
  <si>
    <t>Nombres</t>
  </si>
  <si>
    <t>E-Mail</t>
  </si>
  <si>
    <t>(1) Tipo de Documento</t>
  </si>
  <si>
    <t>(2) Estado Civil</t>
  </si>
  <si>
    <t>Medio de Pago</t>
  </si>
  <si>
    <t>Requiere visita</t>
  </si>
  <si>
    <t>SI</t>
  </si>
  <si>
    <t>NO</t>
  </si>
  <si>
    <t>Telecrédito</t>
  </si>
  <si>
    <t>Diskette</t>
  </si>
  <si>
    <t> </t>
  </si>
  <si>
    <t>Razón Social</t>
  </si>
  <si>
    <t>Nombre de contacto</t>
  </si>
  <si>
    <t>Email de contacto</t>
  </si>
  <si>
    <t>Datos de la Empresa</t>
  </si>
  <si>
    <t>(3) Sexo</t>
  </si>
  <si>
    <t>Sexo (3)</t>
  </si>
  <si>
    <t>Tipo de Doc. (1)</t>
  </si>
  <si>
    <t>Celular</t>
  </si>
  <si>
    <t>Miraflores</t>
  </si>
  <si>
    <t>Abancay</t>
  </si>
  <si>
    <t>Andahuaylas</t>
  </si>
  <si>
    <t>Arequipa</t>
  </si>
  <si>
    <t>Ayacucho</t>
  </si>
  <si>
    <t>Bagua Grande</t>
  </si>
  <si>
    <t>Barranca</t>
  </si>
  <si>
    <t>Cajamarca</t>
  </si>
  <si>
    <t>Camaná</t>
  </si>
  <si>
    <t>El Pedregal</t>
  </si>
  <si>
    <t>Caraz</t>
  </si>
  <si>
    <t>Casma</t>
  </si>
  <si>
    <t>Cerro de Pasco</t>
  </si>
  <si>
    <t>Chachapoyas</t>
  </si>
  <si>
    <t>Chepén</t>
  </si>
  <si>
    <t>Chiclayo</t>
  </si>
  <si>
    <t>Chimbote</t>
  </si>
  <si>
    <t>Huacho</t>
  </si>
  <si>
    <t>Huancavelica</t>
  </si>
  <si>
    <t>Huancayo</t>
  </si>
  <si>
    <t>Ica</t>
  </si>
  <si>
    <t>Iquitos</t>
  </si>
  <si>
    <t>Jaén</t>
  </si>
  <si>
    <t>Jauja</t>
  </si>
  <si>
    <t>Pichanaki</t>
  </si>
  <si>
    <t>Juanjui</t>
  </si>
  <si>
    <t>Juliaca</t>
  </si>
  <si>
    <t>La Merced (Centro)</t>
  </si>
  <si>
    <t>Lambayeque</t>
  </si>
  <si>
    <t>Mollendo</t>
  </si>
  <si>
    <t>Moquegua</t>
  </si>
  <si>
    <t>Moyobamba</t>
  </si>
  <si>
    <t>Nazca</t>
  </si>
  <si>
    <t>Oxapampa</t>
  </si>
  <si>
    <t>Pacasmayo</t>
  </si>
  <si>
    <t>Paita</t>
  </si>
  <si>
    <t>Pisco</t>
  </si>
  <si>
    <t>Piura</t>
  </si>
  <si>
    <t>Pucallpa</t>
  </si>
  <si>
    <t>Puerto Maldonado</t>
  </si>
  <si>
    <t>Puno</t>
  </si>
  <si>
    <t>Quillabamba</t>
  </si>
  <si>
    <t>Marcona</t>
  </si>
  <si>
    <t>San Ramón</t>
  </si>
  <si>
    <t>Satipo</t>
  </si>
  <si>
    <t>Sicuani</t>
  </si>
  <si>
    <t>Sullana</t>
  </si>
  <si>
    <t>Talara</t>
  </si>
  <si>
    <t>Tarma</t>
  </si>
  <si>
    <t>Tingo Maria</t>
  </si>
  <si>
    <t>Toquepala</t>
  </si>
  <si>
    <t>Trujillo</t>
  </si>
  <si>
    <t>Yurimaguas</t>
  </si>
  <si>
    <t>San Isidro</t>
  </si>
  <si>
    <t>Lima</t>
  </si>
  <si>
    <t>Agradeceré abrir cuentas sueldo y/o CTS según instrucción a los trabajadores que detallo en el archivo adjunto. Estas cuentas serán abiertas bajo mi entera responsabilidad.</t>
  </si>
  <si>
    <t>Referencia</t>
  </si>
  <si>
    <t>AbrevVias</t>
  </si>
  <si>
    <t>Vias</t>
  </si>
  <si>
    <t>AL</t>
  </si>
  <si>
    <t xml:space="preserve">AL - ALAMEDA     </t>
  </si>
  <si>
    <t>AV</t>
  </si>
  <si>
    <t xml:space="preserve">AV - AVENIDA     </t>
  </si>
  <si>
    <t>BJ</t>
  </si>
  <si>
    <t xml:space="preserve">BJ - BAJADA      </t>
  </si>
  <si>
    <t>BL</t>
  </si>
  <si>
    <t xml:space="preserve">BL - BULEVAR     </t>
  </si>
  <si>
    <t>CA</t>
  </si>
  <si>
    <t xml:space="preserve">CA - CALLE       </t>
  </si>
  <si>
    <t>CJ</t>
  </si>
  <si>
    <t xml:space="preserve">CJ - CALLEJON    </t>
  </si>
  <si>
    <t>CR</t>
  </si>
  <si>
    <t xml:space="preserve">CR - CARRETERA   </t>
  </si>
  <si>
    <t>GA</t>
  </si>
  <si>
    <t xml:space="preserve">GA - GALERIA     </t>
  </si>
  <si>
    <t>JR</t>
  </si>
  <si>
    <t xml:space="preserve">JR - JIRON       </t>
  </si>
  <si>
    <t>MC</t>
  </si>
  <si>
    <t xml:space="preserve">MC - MALECON     </t>
  </si>
  <si>
    <t>OV</t>
  </si>
  <si>
    <t xml:space="preserve">OV - ALO         </t>
  </si>
  <si>
    <t>PA</t>
  </si>
  <si>
    <t xml:space="preserve">PA - PASEO       </t>
  </si>
  <si>
    <t>PL</t>
  </si>
  <si>
    <t xml:space="preserve">PL - PLAZUELA    </t>
  </si>
  <si>
    <t>PQ</t>
  </si>
  <si>
    <t xml:space="preserve">PQ - PARQUE      </t>
  </si>
  <si>
    <t>PR</t>
  </si>
  <si>
    <t>PR - PROLONGACION</t>
  </si>
  <si>
    <t>PS</t>
  </si>
  <si>
    <t>PS - PASAJE</t>
  </si>
  <si>
    <t>PT</t>
  </si>
  <si>
    <t>PT - PUENTE</t>
  </si>
  <si>
    <t>PZ</t>
  </si>
  <si>
    <t xml:space="preserve">PZ - PLAZA </t>
  </si>
  <si>
    <t>Ubicaciones</t>
  </si>
  <si>
    <t>DPTO</t>
  </si>
  <si>
    <t>PISO</t>
  </si>
  <si>
    <t>INTERIOR</t>
  </si>
  <si>
    <t>Departamentos</t>
  </si>
  <si>
    <t>Provincias</t>
  </si>
  <si>
    <t>Distritos</t>
  </si>
  <si>
    <t xml:space="preserve">Departamento </t>
  </si>
  <si>
    <t>AMAZONAS</t>
  </si>
  <si>
    <t>BAGUA</t>
  </si>
  <si>
    <t>ARAMANGO</t>
  </si>
  <si>
    <t>ANCASH</t>
  </si>
  <si>
    <t>BONGARA</t>
  </si>
  <si>
    <t>BAGUA CHICA</t>
  </si>
  <si>
    <t>APURIMAC</t>
  </si>
  <si>
    <t>CONDORCANQUI</t>
  </si>
  <si>
    <t>COPALLIN</t>
  </si>
  <si>
    <t>AREQUIPA</t>
  </si>
  <si>
    <t>CHACHAPOYAS</t>
  </si>
  <si>
    <t>EL PARCO</t>
  </si>
  <si>
    <t>AYACUCHO</t>
  </si>
  <si>
    <t>LUYA</t>
  </si>
  <si>
    <t>IMAZA</t>
  </si>
  <si>
    <t>CAJAMARCA</t>
  </si>
  <si>
    <t>RODRIGUEZ DE MENDOZA</t>
  </si>
  <si>
    <t>LA PECA</t>
  </si>
  <si>
    <t>CALLAO</t>
  </si>
  <si>
    <t>UTCUBAMBA</t>
  </si>
  <si>
    <t>COROSHA</t>
  </si>
  <si>
    <t>CUZCO</t>
  </si>
  <si>
    <t>AIJA</t>
  </si>
  <si>
    <t>CUISPES</t>
  </si>
  <si>
    <t>HUANCAVELICA</t>
  </si>
  <si>
    <t>ANTONIO RAIMONDI</t>
  </si>
  <si>
    <t>CHISQUILLA</t>
  </si>
  <si>
    <t>HUANUCO</t>
  </si>
  <si>
    <t>ASUNCION</t>
  </si>
  <si>
    <t>CHURUJA</t>
  </si>
  <si>
    <t>ICA</t>
  </si>
  <si>
    <t>BOLOGNESI</t>
  </si>
  <si>
    <t>FLORIDA</t>
  </si>
  <si>
    <t>JUNIN</t>
  </si>
  <si>
    <t>CARHUAZ</t>
  </si>
  <si>
    <t>JAZAN</t>
  </si>
  <si>
    <t>LA LIBERTAD</t>
  </si>
  <si>
    <t>CASMA</t>
  </si>
  <si>
    <t>JUMBILLA</t>
  </si>
  <si>
    <t>LAMBAYEQUE</t>
  </si>
  <si>
    <t>CORONGO</t>
  </si>
  <si>
    <t>RECTA</t>
  </si>
  <si>
    <t>LIMA</t>
  </si>
  <si>
    <t>HUARAZ</t>
  </si>
  <si>
    <t>SANCARLOS</t>
  </si>
  <si>
    <t>LORETO</t>
  </si>
  <si>
    <t>HUARI</t>
  </si>
  <si>
    <t>SHIPASBAMBA</t>
  </si>
  <si>
    <t>MADRE DE DIOS</t>
  </si>
  <si>
    <t>HUARMEY</t>
  </si>
  <si>
    <t>VALERA</t>
  </si>
  <si>
    <t>MOQUEGUA</t>
  </si>
  <si>
    <t>HUAYLAS</t>
  </si>
  <si>
    <t>YAMBRASBAMBA</t>
  </si>
  <si>
    <t>CERRO DE PASCO</t>
  </si>
  <si>
    <t>MARISCAL LUZURIAGA</t>
  </si>
  <si>
    <t>EL CENEPA</t>
  </si>
  <si>
    <t>PIURA</t>
  </si>
  <si>
    <t>PALLASCA</t>
  </si>
  <si>
    <t>NIEVA</t>
  </si>
  <si>
    <t>PUNO</t>
  </si>
  <si>
    <t>POMABAMBA</t>
  </si>
  <si>
    <t>RIO SANTIAGO</t>
  </si>
  <si>
    <t>SAN MARTIN</t>
  </si>
  <si>
    <t>RECUAY</t>
  </si>
  <si>
    <t>TACNA</t>
  </si>
  <si>
    <t>FERMIN FITZCARRALD</t>
  </si>
  <si>
    <t>BALSAS</t>
  </si>
  <si>
    <t>TUMBES</t>
  </si>
  <si>
    <t>SANTA</t>
  </si>
  <si>
    <t>UCAYALI</t>
  </si>
  <si>
    <t>SIHUAS</t>
  </si>
  <si>
    <t>CHETO</t>
  </si>
  <si>
    <t>YUNGAY</t>
  </si>
  <si>
    <t>CHILIQUIN</t>
  </si>
  <si>
    <t>ABANCAY</t>
  </si>
  <si>
    <t>CHUQUIBAMBA</t>
  </si>
  <si>
    <t>ANDAHUAYLAS</t>
  </si>
  <si>
    <t>GRANADA</t>
  </si>
  <si>
    <t>ANTABAMBA</t>
  </si>
  <si>
    <t>HUANCAS</t>
  </si>
  <si>
    <t>AYMARAES</t>
  </si>
  <si>
    <t>LA JALCA</t>
  </si>
  <si>
    <t>COTABAMBAS</t>
  </si>
  <si>
    <t>LEIMEBAMBA</t>
  </si>
  <si>
    <t>CHINCHEROS</t>
  </si>
  <si>
    <t>LEVANTO</t>
  </si>
  <si>
    <t>GRAU</t>
  </si>
  <si>
    <t>MAGDALENA</t>
  </si>
  <si>
    <t>MARISCAL CASTILLA</t>
  </si>
  <si>
    <t>CAMANA</t>
  </si>
  <si>
    <t>MOLINOPAMPA</t>
  </si>
  <si>
    <t>CARAVELI</t>
  </si>
  <si>
    <t>MONTEVIDEO</t>
  </si>
  <si>
    <t>CASTILLA</t>
  </si>
  <si>
    <t>OLLEROS</t>
  </si>
  <si>
    <t>CAYLLOMA</t>
  </si>
  <si>
    <t>QUINJALCA</t>
  </si>
  <si>
    <t>CONDESULLOS</t>
  </si>
  <si>
    <t>SAN FCO. DE DAGUAS</t>
  </si>
  <si>
    <t>ISLAY</t>
  </si>
  <si>
    <t>SAN ISIDRO MAINO</t>
  </si>
  <si>
    <t>LA UNION</t>
  </si>
  <si>
    <t>SOLOCO</t>
  </si>
  <si>
    <t>CANGALLO</t>
  </si>
  <si>
    <t>SONCHE</t>
  </si>
  <si>
    <t>VICTOR FAJARDO</t>
  </si>
  <si>
    <t>CAMPORREDONDO</t>
  </si>
  <si>
    <t>HUAMANGA</t>
  </si>
  <si>
    <t>COCABAMBA</t>
  </si>
  <si>
    <t>HUANCASANCOS</t>
  </si>
  <si>
    <t>COLCAMAR</t>
  </si>
  <si>
    <t>HUANTA</t>
  </si>
  <si>
    <t>CONILA</t>
  </si>
  <si>
    <t>LA MAR</t>
  </si>
  <si>
    <t>INGUILPATA</t>
  </si>
  <si>
    <t>LUCANAS</t>
  </si>
  <si>
    <t>LAMUD</t>
  </si>
  <si>
    <t>PARINACOCHA</t>
  </si>
  <si>
    <t>LONGUITA</t>
  </si>
  <si>
    <t>PAUCAR DEL SARA SARA</t>
  </si>
  <si>
    <t>LONYA CHICO</t>
  </si>
  <si>
    <t>SUCRE</t>
  </si>
  <si>
    <t>VILCASHUAMAN</t>
  </si>
  <si>
    <t>LUJA VIEJO</t>
  </si>
  <si>
    <t>CAJABAMBA</t>
  </si>
  <si>
    <t>MARIA</t>
  </si>
  <si>
    <t>OCALLI</t>
  </si>
  <si>
    <t>CELENDIN</t>
  </si>
  <si>
    <t>OCUMAL</t>
  </si>
  <si>
    <t>CONTUMAZA</t>
  </si>
  <si>
    <t>PISUQUIA</t>
  </si>
  <si>
    <t>CUTERVO</t>
  </si>
  <si>
    <t>PROVIDENCIA</t>
  </si>
  <si>
    <t>CHOTA</t>
  </si>
  <si>
    <t>SANCRISTOBAL</t>
  </si>
  <si>
    <t>HUALGAYOC</t>
  </si>
  <si>
    <t>SAN FCO. DE YESO</t>
  </si>
  <si>
    <t>JAEN</t>
  </si>
  <si>
    <t>SANJERONIMO</t>
  </si>
  <si>
    <t>SAN IGNACIO</t>
  </si>
  <si>
    <t>SAN JUAN DE LOPECANCHA</t>
  </si>
  <si>
    <t>SAN MARCOS</t>
  </si>
  <si>
    <t>SANTA CATALINA</t>
  </si>
  <si>
    <t>SAN MIGUEL</t>
  </si>
  <si>
    <t>SANTO TOMAS</t>
  </si>
  <si>
    <t>SAN PABLO</t>
  </si>
  <si>
    <t>TINGO</t>
  </si>
  <si>
    <t>SANTA CRUZ</t>
  </si>
  <si>
    <t>TRITA</t>
  </si>
  <si>
    <t>COCHAMAL</t>
  </si>
  <si>
    <t>ACOMAYO</t>
  </si>
  <si>
    <t>CHIRIMOTO</t>
  </si>
  <si>
    <t>ANTA</t>
  </si>
  <si>
    <t>HUAMBO</t>
  </si>
  <si>
    <t>CALCA</t>
  </si>
  <si>
    <t>LIMABAMBA</t>
  </si>
  <si>
    <t>CANAS</t>
  </si>
  <si>
    <t>LONGAR</t>
  </si>
  <si>
    <t>CANCHIS</t>
  </si>
  <si>
    <t>MARISCAL BENAVIDES</t>
  </si>
  <si>
    <t>MILPUC</t>
  </si>
  <si>
    <t>OMIA</t>
  </si>
  <si>
    <t>CHUMBIVILCAS</t>
  </si>
  <si>
    <t>SAN NICOLAS</t>
  </si>
  <si>
    <t>ESPINAR</t>
  </si>
  <si>
    <t>SANTA ROSA</t>
  </si>
  <si>
    <t>PARURO</t>
  </si>
  <si>
    <t>TOTORA</t>
  </si>
  <si>
    <t>PAUCARTAMBO</t>
  </si>
  <si>
    <t>VISTA ALEGRE</t>
  </si>
  <si>
    <t>QUISPICANCHI</t>
  </si>
  <si>
    <t>BAGUA GRANDE</t>
  </si>
  <si>
    <t>URUBAMBA</t>
  </si>
  <si>
    <t>CAJARURO</t>
  </si>
  <si>
    <t>ACOBAMBA</t>
  </si>
  <si>
    <t>CUMBA</t>
  </si>
  <si>
    <t>ANGARAES</t>
  </si>
  <si>
    <t>EL MILAGRO</t>
  </si>
  <si>
    <t>CASTROVIRREYNA</t>
  </si>
  <si>
    <t>JAMALCA</t>
  </si>
  <si>
    <t>CHURCAMPA</t>
  </si>
  <si>
    <t>LONYA GRANDE</t>
  </si>
  <si>
    <t>YAMON</t>
  </si>
  <si>
    <t>HUAYTARA</t>
  </si>
  <si>
    <t>TAYACAJA</t>
  </si>
  <si>
    <t>CORIS</t>
  </si>
  <si>
    <t>AMBO</t>
  </si>
  <si>
    <t>HUACLLMAN</t>
  </si>
  <si>
    <t>DOS DE MAYO</t>
  </si>
  <si>
    <t>LA MERCED</t>
  </si>
  <si>
    <t>HUACAYBAMBA</t>
  </si>
  <si>
    <t>SUCCHA</t>
  </si>
  <si>
    <t>HUAMALIES</t>
  </si>
  <si>
    <t>ACZO</t>
  </si>
  <si>
    <t>CHACCHO</t>
  </si>
  <si>
    <t>LEONCIO PRADO</t>
  </si>
  <si>
    <t>CHINGAS</t>
  </si>
  <si>
    <t>MARANON</t>
  </si>
  <si>
    <t>LLAMELLIN</t>
  </si>
  <si>
    <t>PACHITEA</t>
  </si>
  <si>
    <t>MIRGAS</t>
  </si>
  <si>
    <t>PUERTO INCA</t>
  </si>
  <si>
    <t>SAN JUAN DE RONTOY</t>
  </si>
  <si>
    <t>YAROWILCA</t>
  </si>
  <si>
    <t>ACOCHACA</t>
  </si>
  <si>
    <t>CHINCHA</t>
  </si>
  <si>
    <t>CHACAS</t>
  </si>
  <si>
    <t>ABELARDO PARDO</t>
  </si>
  <si>
    <t>NAZCA</t>
  </si>
  <si>
    <t>ACAS</t>
  </si>
  <si>
    <t>PALPA</t>
  </si>
  <si>
    <t>PISCO</t>
  </si>
  <si>
    <t>AQUIA</t>
  </si>
  <si>
    <t>CONCEPCION</t>
  </si>
  <si>
    <t>CAJACAY</t>
  </si>
  <si>
    <t>CHANCHAMAYO</t>
  </si>
  <si>
    <t>CAJAMARQUILLA</t>
  </si>
  <si>
    <t>CHUPACA</t>
  </si>
  <si>
    <t>CANIS</t>
  </si>
  <si>
    <t>HUANCAYO</t>
  </si>
  <si>
    <t>CARHUAPAMPA</t>
  </si>
  <si>
    <t>JAUJA</t>
  </si>
  <si>
    <t>COCHAS</t>
  </si>
  <si>
    <t>COLQUIOC</t>
  </si>
  <si>
    <t>SATIPO</t>
  </si>
  <si>
    <t>CONGAS</t>
  </si>
  <si>
    <t>TARMA</t>
  </si>
  <si>
    <t>CHIQUIAN</t>
  </si>
  <si>
    <t>YAULI</t>
  </si>
  <si>
    <t>HUASTA</t>
  </si>
  <si>
    <t>ASCOPE</t>
  </si>
  <si>
    <t>HUALLANCA</t>
  </si>
  <si>
    <t>BOLIVAR</t>
  </si>
  <si>
    <t>HUAYLLACAYAN</t>
  </si>
  <si>
    <t>CHEPEN</t>
  </si>
  <si>
    <t>LA PRIMAVERA</t>
  </si>
  <si>
    <t>GRAN CHIMU</t>
  </si>
  <si>
    <t>LLIPA</t>
  </si>
  <si>
    <t>OTUZCO</t>
  </si>
  <si>
    <t>MANGAS</t>
  </si>
  <si>
    <t>PACASMAYO</t>
  </si>
  <si>
    <t>OCROS</t>
  </si>
  <si>
    <t>PATAZ</t>
  </si>
  <si>
    <t>PACLLON</t>
  </si>
  <si>
    <t>SANCHEZ CARRION</t>
  </si>
  <si>
    <t>SANTIAGO DE CHUCO</t>
  </si>
  <si>
    <t>SAN MIGUEL CORPAN</t>
  </si>
  <si>
    <t>TRUJILLO</t>
  </si>
  <si>
    <t>SAN PEDRO</t>
  </si>
  <si>
    <t>VIRU</t>
  </si>
  <si>
    <t>SANTIAGO DE CHILCAS</t>
  </si>
  <si>
    <t>CHICLAYO</t>
  </si>
  <si>
    <t>TICLLOS</t>
  </si>
  <si>
    <t>ACOPAMPA</t>
  </si>
  <si>
    <t>AMASHCA</t>
  </si>
  <si>
    <t>BARRANCA</t>
  </si>
  <si>
    <t>CAJATAMBO</t>
  </si>
  <si>
    <t>ATAQUERO</t>
  </si>
  <si>
    <t>CANTA</t>
  </si>
  <si>
    <t>MARCARA</t>
  </si>
  <si>
    <t>HUARAL</t>
  </si>
  <si>
    <t>PARIHUANCA</t>
  </si>
  <si>
    <t>HUAROCHIRI</t>
  </si>
  <si>
    <t>SAN MIGUEL DE ACO</t>
  </si>
  <si>
    <t>HUAURA</t>
  </si>
  <si>
    <t>SHILLA</t>
  </si>
  <si>
    <t>TINCO</t>
  </si>
  <si>
    <t>OYON</t>
  </si>
  <si>
    <t>YUNGAR</t>
  </si>
  <si>
    <t>YAUYOS</t>
  </si>
  <si>
    <t>BUENA VISTA ALTA</t>
  </si>
  <si>
    <t>ALTO AMAZONAS</t>
  </si>
  <si>
    <t>DATEM DEL MARANON</t>
  </si>
  <si>
    <t>COMANDANTE NOEL</t>
  </si>
  <si>
    <t>YAUTAN</t>
  </si>
  <si>
    <t>ACO</t>
  </si>
  <si>
    <t>MAYNAS</t>
  </si>
  <si>
    <t>BAMBAS</t>
  </si>
  <si>
    <t>REQUENA</t>
  </si>
  <si>
    <t>CUSCA</t>
  </si>
  <si>
    <t>MANU</t>
  </si>
  <si>
    <t>LA PAMPA</t>
  </si>
  <si>
    <t>TAHUAMANU</t>
  </si>
  <si>
    <t>YANAC</t>
  </si>
  <si>
    <t>GRAL. SANCHEZ CERRO</t>
  </si>
  <si>
    <t>YUPAN</t>
  </si>
  <si>
    <t>ILO</t>
  </si>
  <si>
    <t>COCHABAMBA</t>
  </si>
  <si>
    <t>MARISCAL NIETO</t>
  </si>
  <si>
    <t>COLCABAMBA</t>
  </si>
  <si>
    <t>HUANCHAY</t>
  </si>
  <si>
    <t>OXAPAMPA</t>
  </si>
  <si>
    <t>JANGAS</t>
  </si>
  <si>
    <t>AYABACA</t>
  </si>
  <si>
    <t>LALIBERTAD</t>
  </si>
  <si>
    <t>HUANCABAMBA</t>
  </si>
  <si>
    <t>INDEPENDENCIA</t>
  </si>
  <si>
    <t>MORROPON</t>
  </si>
  <si>
    <t>PAITA</t>
  </si>
  <si>
    <t>PAMPAS</t>
  </si>
  <si>
    <t>PARIACOTO</t>
  </si>
  <si>
    <t>SULLANA</t>
  </si>
  <si>
    <t>PIRA</t>
  </si>
  <si>
    <t>TALARA</t>
  </si>
  <si>
    <t>TARICA</t>
  </si>
  <si>
    <t>AZANGARO</t>
  </si>
  <si>
    <t>ANRA</t>
  </si>
  <si>
    <t>CARABAYA</t>
  </si>
  <si>
    <t>CAJAY</t>
  </si>
  <si>
    <t>CHUCUITO</t>
  </si>
  <si>
    <t>CHAVIN DE HUANTAR</t>
  </si>
  <si>
    <t>COLLAO</t>
  </si>
  <si>
    <t>HUACACHI</t>
  </si>
  <si>
    <t>HUANCANE</t>
  </si>
  <si>
    <t>HUACCHIS</t>
  </si>
  <si>
    <t>MOHO</t>
  </si>
  <si>
    <t>HUACHIS</t>
  </si>
  <si>
    <t>LAMPA</t>
  </si>
  <si>
    <t>HUANTAR</t>
  </si>
  <si>
    <t>MELGAR</t>
  </si>
  <si>
    <t>MASIN</t>
  </si>
  <si>
    <t>SANDIA</t>
  </si>
  <si>
    <t>PAUCAS</t>
  </si>
  <si>
    <t>SAN ANTONIO DE PUTINA</t>
  </si>
  <si>
    <t>PONTO</t>
  </si>
  <si>
    <t>SAN ROMAN</t>
  </si>
  <si>
    <t>RAHUAPAMPA</t>
  </si>
  <si>
    <t>YUNGUYO</t>
  </si>
  <si>
    <t>RAPAYAN</t>
  </si>
  <si>
    <t>BELLAVISTA</t>
  </si>
  <si>
    <t>HUALLAGA</t>
  </si>
  <si>
    <t>SAN PEDRO DE CHANA</t>
  </si>
  <si>
    <t>LAMAS</t>
  </si>
  <si>
    <t>UCO</t>
  </si>
  <si>
    <t>MARISCAL CACERES</t>
  </si>
  <si>
    <t>COCHAPETI</t>
  </si>
  <si>
    <t>MOYOBAMBA</t>
  </si>
  <si>
    <t>CULEBRAS</t>
  </si>
  <si>
    <t>PICOTA</t>
  </si>
  <si>
    <t>RIOJA</t>
  </si>
  <si>
    <t>HUAYAN</t>
  </si>
  <si>
    <t>MALVAS</t>
  </si>
  <si>
    <t>TOCACHE</t>
  </si>
  <si>
    <t>CARAZ</t>
  </si>
  <si>
    <t>CANDARAVE</t>
  </si>
  <si>
    <t>JORGE BASADRE</t>
  </si>
  <si>
    <t>TARATA</t>
  </si>
  <si>
    <t>MATO</t>
  </si>
  <si>
    <t>CONTRALMIRANTE VILLAR</t>
  </si>
  <si>
    <t>PAMPAROMAS</t>
  </si>
  <si>
    <t>PUEBLO LIBRE</t>
  </si>
  <si>
    <t>ZARUMILLA</t>
  </si>
  <si>
    <t>ATALAYA</t>
  </si>
  <si>
    <t>YURACMARCA</t>
  </si>
  <si>
    <t>CORONEL PORTILLO</t>
  </si>
  <si>
    <t>CASCA</t>
  </si>
  <si>
    <t>PADRE ABAD</t>
  </si>
  <si>
    <t>ELEAZAR GUZMAN</t>
  </si>
  <si>
    <t>PURUS</t>
  </si>
  <si>
    <t>FIDEL OLIVAS</t>
  </si>
  <si>
    <t>LUCMA</t>
  </si>
  <si>
    <t>LLAMA</t>
  </si>
  <si>
    <t>LLUMPA</t>
  </si>
  <si>
    <t>MUSGA</t>
  </si>
  <si>
    <t>CABANA</t>
  </si>
  <si>
    <t>CONCHUCOS</t>
  </si>
  <si>
    <t>HUACASCHUQUE</t>
  </si>
  <si>
    <t>HUANDOVAL</t>
  </si>
  <si>
    <t>LACABAMBA</t>
  </si>
  <si>
    <t>LLAPO</t>
  </si>
  <si>
    <t>TAUCA</t>
  </si>
  <si>
    <t>HUAYLLAN</t>
  </si>
  <si>
    <t>POROBAMBA</t>
  </si>
  <si>
    <t>QUINUABAMBA</t>
  </si>
  <si>
    <t>CATAC</t>
  </si>
  <si>
    <t>COTAPARACO</t>
  </si>
  <si>
    <t>HUALLAPAMPA</t>
  </si>
  <si>
    <t>LLACLIN</t>
  </si>
  <si>
    <t>MARCA</t>
  </si>
  <si>
    <t>PARARIN</t>
  </si>
  <si>
    <t>TAPACOHA</t>
  </si>
  <si>
    <t>TICAPAMPA</t>
  </si>
  <si>
    <t>SANLUIS</t>
  </si>
  <si>
    <t>YAUYA</t>
  </si>
  <si>
    <t>CACERES DEL</t>
  </si>
  <si>
    <t>CHIMBOTE</t>
  </si>
  <si>
    <t>COISHCO</t>
  </si>
  <si>
    <t>MACATE</t>
  </si>
  <si>
    <t>MORO</t>
  </si>
  <si>
    <t>NEPENA</t>
  </si>
  <si>
    <t>NUEVO CHIMBOTE</t>
  </si>
  <si>
    <t>SAMANCO</t>
  </si>
  <si>
    <t>ALFONSO UGAR</t>
  </si>
  <si>
    <t>CASHAPAMPA</t>
  </si>
  <si>
    <t>CHINGALPO</t>
  </si>
  <si>
    <t>HUAYABAMBA</t>
  </si>
  <si>
    <t>QUICHES</t>
  </si>
  <si>
    <t>RAGASH</t>
  </si>
  <si>
    <t>SAN JUAN</t>
  </si>
  <si>
    <t>SICSIBAMBA</t>
  </si>
  <si>
    <t>CASCAPARA</t>
  </si>
  <si>
    <t>MANCOS</t>
  </si>
  <si>
    <t>MATACOTO</t>
  </si>
  <si>
    <t>QUILLO</t>
  </si>
  <si>
    <t>RANRAHIRCA</t>
  </si>
  <si>
    <t>SHUPLUY</t>
  </si>
  <si>
    <t>YANAMA</t>
  </si>
  <si>
    <t>CIRCA</t>
  </si>
  <si>
    <t>CURAHUASI</t>
  </si>
  <si>
    <t>CHACOCHE</t>
  </si>
  <si>
    <t>HUANIPACA</t>
  </si>
  <si>
    <t>LAMBRAMA</t>
  </si>
  <si>
    <t>PICHIRHUA</t>
  </si>
  <si>
    <t>SAN PEDRO DE CACHORA</t>
  </si>
  <si>
    <t>TAMBURCO</t>
  </si>
  <si>
    <t>ANDARAPA</t>
  </si>
  <si>
    <t>CHIARA</t>
  </si>
  <si>
    <t>HUANCARAMA</t>
  </si>
  <si>
    <t>HUANCARAY</t>
  </si>
  <si>
    <t>HUAYANA</t>
  </si>
  <si>
    <t>KISHUARA</t>
  </si>
  <si>
    <t>PACOBAMBA</t>
  </si>
  <si>
    <t>PACUCHA</t>
  </si>
  <si>
    <t>PAMPACHIRI</t>
  </si>
  <si>
    <t>POMACOCHA</t>
  </si>
  <si>
    <t>SAN ANTONIO C</t>
  </si>
  <si>
    <t>SAN JERONIMO</t>
  </si>
  <si>
    <t>SANTA MARIA</t>
  </si>
  <si>
    <t>TALAVERA</t>
  </si>
  <si>
    <t>TUMAY HUARAC</t>
  </si>
  <si>
    <t>TURPO</t>
  </si>
  <si>
    <t>EL ORO</t>
  </si>
  <si>
    <t>HUAQUIRCA</t>
  </si>
  <si>
    <t>JUAN ESPINOZA</t>
  </si>
  <si>
    <t>OROPESA</t>
  </si>
  <si>
    <t>PACHACONAS</t>
  </si>
  <si>
    <t>SABAINO</t>
  </si>
  <si>
    <t>CAPAYA</t>
  </si>
  <si>
    <t>CARAIBAMBA</t>
  </si>
  <si>
    <t>COTARUSE</t>
  </si>
  <si>
    <t>CHALHUANCA</t>
  </si>
  <si>
    <t>CHAPIMARCA</t>
  </si>
  <si>
    <t>HUAYLLO</t>
  </si>
  <si>
    <t>JUSTO APU S</t>
  </si>
  <si>
    <t>LUCRE</t>
  </si>
  <si>
    <t>POCOHUANCA</t>
  </si>
  <si>
    <t>SAN JUAN DE CHACNA</t>
  </si>
  <si>
    <t>SANAYCA</t>
  </si>
  <si>
    <t>SORAYA</t>
  </si>
  <si>
    <t>TAPAIRIHUA</t>
  </si>
  <si>
    <t>TINTAY</t>
  </si>
  <si>
    <t>TORAYA</t>
  </si>
  <si>
    <t>YANACA</t>
  </si>
  <si>
    <t>COTABAMAS</t>
  </si>
  <si>
    <t>COYLLURQUI</t>
  </si>
  <si>
    <t>HAQUIRA</t>
  </si>
  <si>
    <t>MARA</t>
  </si>
  <si>
    <t>TAMBOBAMBA</t>
  </si>
  <si>
    <t>ANCO HUALLO</t>
  </si>
  <si>
    <t>COCHARCAS</t>
  </si>
  <si>
    <t>HUACCANA</t>
  </si>
  <si>
    <t>OCOBAMBA</t>
  </si>
  <si>
    <t>ONGOY</t>
  </si>
  <si>
    <t>URANMARCA</t>
  </si>
  <si>
    <t>CURPAHUASI</t>
  </si>
  <si>
    <t>CHUQUIBAMBILLA</t>
  </si>
  <si>
    <t>GAMARRA</t>
  </si>
  <si>
    <t>HUAILLATI</t>
  </si>
  <si>
    <t>MAMARA</t>
  </si>
  <si>
    <t>MICAELA BASTIDAS</t>
  </si>
  <si>
    <t>PATAYPAMPA</t>
  </si>
  <si>
    <t>PROGRESO</t>
  </si>
  <si>
    <t>SAN ANTONIO</t>
  </si>
  <si>
    <t>TURPAY</t>
  </si>
  <si>
    <t>VILCABAMBA</t>
  </si>
  <si>
    <t>VIRUNDO</t>
  </si>
  <si>
    <t>ALTO SELVA ALEGRE</t>
  </si>
  <si>
    <t>CAYMA</t>
  </si>
  <si>
    <t>CERRO COLORADO</t>
  </si>
  <si>
    <t>CHARACATO</t>
  </si>
  <si>
    <t>CHIGUATA</t>
  </si>
  <si>
    <t>MARIANO MELGAR</t>
  </si>
  <si>
    <t>MIRAFLORES</t>
  </si>
  <si>
    <t>MOLLEBAYA</t>
  </si>
  <si>
    <t>PAUCARPATA</t>
  </si>
  <si>
    <t>POCSI</t>
  </si>
  <si>
    <t>POLOBAYA</t>
  </si>
  <si>
    <t>QUEQUENA</t>
  </si>
  <si>
    <t>SABANDIA</t>
  </si>
  <si>
    <t>SACHACA</t>
  </si>
  <si>
    <t>SAN JUAN DE SIGUAS</t>
  </si>
  <si>
    <t>SAN JUAN DE TARUCANI</t>
  </si>
  <si>
    <t>SANTAISABEL DE SIGUAS</t>
  </si>
  <si>
    <t>SANTA RITA DE SIGUAS</t>
  </si>
  <si>
    <t>SOCABAYA</t>
  </si>
  <si>
    <t>TIABAYA</t>
  </si>
  <si>
    <t>UCHUMAYO</t>
  </si>
  <si>
    <t>VITOR</t>
  </si>
  <si>
    <t>YANAHUARA</t>
  </si>
  <si>
    <t>YARABAMBA</t>
  </si>
  <si>
    <t>YURA</t>
  </si>
  <si>
    <t>JOSE MARIA QUIMPER</t>
  </si>
  <si>
    <t>MARIANO NCLAS VALC</t>
  </si>
  <si>
    <t>MCAL.CACERES</t>
  </si>
  <si>
    <t>NICOLAS DE PIEROLA</t>
  </si>
  <si>
    <t>QUILCA</t>
  </si>
  <si>
    <t>SAMUEL PASTOR</t>
  </si>
  <si>
    <t>ACARI</t>
  </si>
  <si>
    <t>ATICO</t>
  </si>
  <si>
    <t>ATIQUIPA</t>
  </si>
  <si>
    <t>BELLA UNION</t>
  </si>
  <si>
    <t>CAHUACHO</t>
  </si>
  <si>
    <t>CHALA</t>
  </si>
  <si>
    <t>CHAPARRA</t>
  </si>
  <si>
    <t>HUANUHUANU</t>
  </si>
  <si>
    <t>JAQUI</t>
  </si>
  <si>
    <t>LOMAS</t>
  </si>
  <si>
    <t>QUICACHA</t>
  </si>
  <si>
    <t>YAUCA</t>
  </si>
  <si>
    <t>APLAO</t>
  </si>
  <si>
    <t>ANDAGUA</t>
  </si>
  <si>
    <t>AYO</t>
  </si>
  <si>
    <t>CHACHAS</t>
  </si>
  <si>
    <t>CHILCAYMARCA</t>
  </si>
  <si>
    <t>CHOCO</t>
  </si>
  <si>
    <t>HUANCARQUI</t>
  </si>
  <si>
    <t>MACHAGUAY</t>
  </si>
  <si>
    <t>ORCOPAMPA</t>
  </si>
  <si>
    <t>PAMPACOLCA</t>
  </si>
  <si>
    <t>TIPAN</t>
  </si>
  <si>
    <t>UNION</t>
  </si>
  <si>
    <t>CORIRE</t>
  </si>
  <si>
    <t>VIRACO</t>
  </si>
  <si>
    <t>ACHOMA</t>
  </si>
  <si>
    <t>CABANACONDE</t>
  </si>
  <si>
    <t>CALLALLI</t>
  </si>
  <si>
    <t>COPORAQUE</t>
  </si>
  <si>
    <t>CHIVAY</t>
  </si>
  <si>
    <t>HUANCA</t>
  </si>
  <si>
    <t>ICHUPAMPA</t>
  </si>
  <si>
    <t>LAIR</t>
  </si>
  <si>
    <t>LLUTA</t>
  </si>
  <si>
    <t>MACA</t>
  </si>
  <si>
    <t>MADRIGAL</t>
  </si>
  <si>
    <t>MAJES</t>
  </si>
  <si>
    <t>SIBAYO</t>
  </si>
  <si>
    <t>TAPAY</t>
  </si>
  <si>
    <t>TISCO</t>
  </si>
  <si>
    <t>YANQUE</t>
  </si>
  <si>
    <t>TUTI</t>
  </si>
  <si>
    <t>ANDARAY</t>
  </si>
  <si>
    <t>CAYARANI</t>
  </si>
  <si>
    <t>CHICHAS</t>
  </si>
  <si>
    <t>IRAY</t>
  </si>
  <si>
    <t>RIOGRANDE</t>
  </si>
  <si>
    <t>SALAMANCA</t>
  </si>
  <si>
    <t>YANAQUIHUA</t>
  </si>
  <si>
    <t>COCACHACRA</t>
  </si>
  <si>
    <t>DEAN VALDIVIA</t>
  </si>
  <si>
    <t>MEJIA</t>
  </si>
  <si>
    <t>MOLLENDO</t>
  </si>
  <si>
    <t>PUNTA DE BOMBON</t>
  </si>
  <si>
    <t>ALCA</t>
  </si>
  <si>
    <t>COTAHUASI</t>
  </si>
  <si>
    <t>CHARCANA</t>
  </si>
  <si>
    <t>HUAYNACOTAS</t>
  </si>
  <si>
    <t>PAMPAMARCA</t>
  </si>
  <si>
    <t>PUYCA</t>
  </si>
  <si>
    <t>QUECHUALLA</t>
  </si>
  <si>
    <t>SAYLA</t>
  </si>
  <si>
    <t>TAURIA</t>
  </si>
  <si>
    <t>TOMEPAMPA</t>
  </si>
  <si>
    <t>TORO</t>
  </si>
  <si>
    <t>CHUSQUIS</t>
  </si>
  <si>
    <t>LOS MOROCHUCOS</t>
  </si>
  <si>
    <t>MARIA PARADO</t>
  </si>
  <si>
    <t>PARAS</t>
  </si>
  <si>
    <t>TOTOS</t>
  </si>
  <si>
    <t>ALCAMENCA</t>
  </si>
  <si>
    <t>APONGO</t>
  </si>
  <si>
    <t>ASQUIPATA</t>
  </si>
  <si>
    <t>CANARIA</t>
  </si>
  <si>
    <t>CAYARA</t>
  </si>
  <si>
    <t>COLCA</t>
  </si>
  <si>
    <t>HUAMANQUIQUI</t>
  </si>
  <si>
    <t>HUANCAPI</t>
  </si>
  <si>
    <t>HUANCARAYLLA</t>
  </si>
  <si>
    <t>HUAYA</t>
  </si>
  <si>
    <t>SARHUA</t>
  </si>
  <si>
    <t>VILCANCHOS</t>
  </si>
  <si>
    <t>ACOCRO</t>
  </si>
  <si>
    <t>ACOSVINCHOS</t>
  </si>
  <si>
    <t>CARMEN ALTO</t>
  </si>
  <si>
    <t>JESUS NAZARENO</t>
  </si>
  <si>
    <t>PACAYCASA</t>
  </si>
  <si>
    <t>QUINUA</t>
  </si>
  <si>
    <t>SAN JOSE DE TICLLAS</t>
  </si>
  <si>
    <t>SAN JUAN BAUTISTA</t>
  </si>
  <si>
    <t>SANTIAGO DE PISCHA</t>
  </si>
  <si>
    <t>SOCOS</t>
  </si>
  <si>
    <t>TAMBILLO</t>
  </si>
  <si>
    <t>VINCHOS</t>
  </si>
  <si>
    <t>CARAPO</t>
  </si>
  <si>
    <t>SACSAMARCA</t>
  </si>
  <si>
    <t>SANCOS</t>
  </si>
  <si>
    <t>SANTIAGO DE LUCANAMA</t>
  </si>
  <si>
    <t>AYAHUANCO</t>
  </si>
  <si>
    <t>HUAMANGUILLA</t>
  </si>
  <si>
    <t>IGUAIN</t>
  </si>
  <si>
    <t>LURICOCHA</t>
  </si>
  <si>
    <t>LLOCHEGUA</t>
  </si>
  <si>
    <t>SANTILLANA</t>
  </si>
  <si>
    <t>SIVIA</t>
  </si>
  <si>
    <t>ANCO</t>
  </si>
  <si>
    <t>AYNA</t>
  </si>
  <si>
    <t>CHILCAS</t>
  </si>
  <si>
    <t>CHUNGUI</t>
  </si>
  <si>
    <t>LUIS CARRANZA</t>
  </si>
  <si>
    <t>SAMUGARI</t>
  </si>
  <si>
    <t>TAMBO</t>
  </si>
  <si>
    <t>AUCARA</t>
  </si>
  <si>
    <t>CARMEN SALCEDO</t>
  </si>
  <si>
    <t>CHAVINA</t>
  </si>
  <si>
    <t>CHIPAO</t>
  </si>
  <si>
    <t>HUACUAS</t>
  </si>
  <si>
    <t>LARAMATE</t>
  </si>
  <si>
    <t>LLAUTA</t>
  </si>
  <si>
    <t>OCANA</t>
  </si>
  <si>
    <t>OTACA</t>
  </si>
  <si>
    <t>PUQUIO</t>
  </si>
  <si>
    <t>SAISA</t>
  </si>
  <si>
    <t>SAN CRISTOBAL</t>
  </si>
  <si>
    <t>SAN PEDRO DE PALCO</t>
  </si>
  <si>
    <t>SANTA ANA DE HUAYCAHUACHO</t>
  </si>
  <si>
    <t>SANTA LUCIA</t>
  </si>
  <si>
    <t>CORACORA</t>
  </si>
  <si>
    <t>CORONEL CASTA</t>
  </si>
  <si>
    <t>CHUMPI</t>
  </si>
  <si>
    <t>PACAPAUSA</t>
  </si>
  <si>
    <t>PULLO</t>
  </si>
  <si>
    <t>PUYUSCA</t>
  </si>
  <si>
    <t>SAN FRANCISCO</t>
  </si>
  <si>
    <t>UPAHUACHO</t>
  </si>
  <si>
    <t>COLTA</t>
  </si>
  <si>
    <t>CORCULLA</t>
  </si>
  <si>
    <t>MARCABAMBA</t>
  </si>
  <si>
    <t>OYOLO</t>
  </si>
  <si>
    <t>PARARCA</t>
  </si>
  <si>
    <t>PAUSA</t>
  </si>
  <si>
    <t>SAN JAVIER DE ALPABAMBA</t>
  </si>
  <si>
    <t>SAN JOSE DE USHUA</t>
  </si>
  <si>
    <t>SARA SARA</t>
  </si>
  <si>
    <t>BELEN</t>
  </si>
  <si>
    <t>CHALCOS</t>
  </si>
  <si>
    <t>CHILCAYOC</t>
  </si>
  <si>
    <t>HUACANA</t>
  </si>
  <si>
    <t>MORCOLLA</t>
  </si>
  <si>
    <t>PAICO</t>
  </si>
  <si>
    <t>QUEROBAMBA</t>
  </si>
  <si>
    <t>SAN PEDRO DE LARCAY</t>
  </si>
  <si>
    <t>SAN SALVADOR DE QUIJE</t>
  </si>
  <si>
    <t>SANTIAGO DE PAUCARAY</t>
  </si>
  <si>
    <t>SORAS</t>
  </si>
  <si>
    <t>ACCOMARCA</t>
  </si>
  <si>
    <t>CARHUANCA</t>
  </si>
  <si>
    <t>HUAMBALPA</t>
  </si>
  <si>
    <t>SAURAMA</t>
  </si>
  <si>
    <t>VISCHONGO</t>
  </si>
  <si>
    <t>CACHAHI</t>
  </si>
  <si>
    <t>CONDEBAMBA</t>
  </si>
  <si>
    <t>SAYAPULLLO</t>
  </si>
  <si>
    <t>SITACOCHA</t>
  </si>
  <si>
    <t>COSPAN</t>
  </si>
  <si>
    <t>CHETILLA</t>
  </si>
  <si>
    <t>JESUS</t>
  </si>
  <si>
    <t>LA ENCANADA</t>
  </si>
  <si>
    <t>LLACANORA</t>
  </si>
  <si>
    <t>MATARA</t>
  </si>
  <si>
    <t>NAMORA</t>
  </si>
  <si>
    <t>CORTEGANA</t>
  </si>
  <si>
    <t>CHUMUCH</t>
  </si>
  <si>
    <t>HUASMIN</t>
  </si>
  <si>
    <t>JORGE CHAVEZ</t>
  </si>
  <si>
    <t>JOSE GALVEZ</t>
  </si>
  <si>
    <t>MIGUEL IGLESIAS</t>
  </si>
  <si>
    <t>OXAMARCA</t>
  </si>
  <si>
    <t>SOROCHUCO</t>
  </si>
  <si>
    <t>UTCO</t>
  </si>
  <si>
    <t>CUPISNIQUE</t>
  </si>
  <si>
    <t>CHILETE</t>
  </si>
  <si>
    <t>GUZMANGO</t>
  </si>
  <si>
    <t>SAN BENITO</t>
  </si>
  <si>
    <t>STA.CRU.TOLE</t>
  </si>
  <si>
    <t>TANTARICA</t>
  </si>
  <si>
    <t>YONAN</t>
  </si>
  <si>
    <t>CALLAYUC</t>
  </si>
  <si>
    <t>CUJILLO</t>
  </si>
  <si>
    <t>CHOROS</t>
  </si>
  <si>
    <t>LA RAMADA</t>
  </si>
  <si>
    <t>PIMPINGOS</t>
  </si>
  <si>
    <t>QUEROCOTILLO</t>
  </si>
  <si>
    <t>SAN ANDRES CUTERVO</t>
  </si>
  <si>
    <t>SAN JUAN DE CUTERVO</t>
  </si>
  <si>
    <t>SAN LUIS DE LUCMA</t>
  </si>
  <si>
    <t>STO DOMINGO DE LA CAPILLA</t>
  </si>
  <si>
    <t>SOCOTA</t>
  </si>
  <si>
    <t>TORIBIO CASANOVA</t>
  </si>
  <si>
    <t>ANGUIA</t>
  </si>
  <si>
    <t>CHALAMARCA</t>
  </si>
  <si>
    <t>CONCHAN</t>
  </si>
  <si>
    <t>CHADIN</t>
  </si>
  <si>
    <t>CHIGUIRIP</t>
  </si>
  <si>
    <t>CHIMBAN</t>
  </si>
  <si>
    <t>HUAMBOS</t>
  </si>
  <si>
    <t>LAJAS</t>
  </si>
  <si>
    <t>MIRACOSTA</t>
  </si>
  <si>
    <t>PACCHA</t>
  </si>
  <si>
    <t>PION</t>
  </si>
  <si>
    <t>QUEROCOTO</t>
  </si>
  <si>
    <t>SAN JUAN DE LICUPIS</t>
  </si>
  <si>
    <t>TACABAMBA</t>
  </si>
  <si>
    <t>TOCMOCHE</t>
  </si>
  <si>
    <t>BAMBAMARCA</t>
  </si>
  <si>
    <t>CHUGUR</t>
  </si>
  <si>
    <t>COLASAY</t>
  </si>
  <si>
    <t>CHONTALI</t>
  </si>
  <si>
    <t>HUABAL</t>
  </si>
  <si>
    <t>LAS PIRIAS</t>
  </si>
  <si>
    <t>POMAHUACA</t>
  </si>
  <si>
    <t>PUCARA</t>
  </si>
  <si>
    <t>SALLIQUE</t>
  </si>
  <si>
    <t>SAN FELIPE</t>
  </si>
  <si>
    <t>SAN JOSE DE ALTA</t>
  </si>
  <si>
    <t>CHIRINOS</t>
  </si>
  <si>
    <t>HUARANGO</t>
  </si>
  <si>
    <t>LA COIPA</t>
  </si>
  <si>
    <t>NAMBALLE</t>
  </si>
  <si>
    <t>SAN JOSE DE LOURDES</t>
  </si>
  <si>
    <t>TABACONAS</t>
  </si>
  <si>
    <t>EDUARDO VILLANUEVA</t>
  </si>
  <si>
    <t>GREGORIO PITA</t>
  </si>
  <si>
    <t>ICHOCAN</t>
  </si>
  <si>
    <t>JOSE MANUEL QUIROZ</t>
  </si>
  <si>
    <t>JOSE SABOGAL</t>
  </si>
  <si>
    <t>PEDRO GALVEZ</t>
  </si>
  <si>
    <t>CALQUIS</t>
  </si>
  <si>
    <t>CATILLUC</t>
  </si>
  <si>
    <t>EL PRADO</t>
  </si>
  <si>
    <t>LA FLORIDA</t>
  </si>
  <si>
    <t>LLAPA</t>
  </si>
  <si>
    <t>NANCHOC</t>
  </si>
  <si>
    <t>NIEPOS</t>
  </si>
  <si>
    <t>SAN GREGORIO</t>
  </si>
  <si>
    <t>SAN SILVESTRE DE CONCHAN</t>
  </si>
  <si>
    <t>TONGOD</t>
  </si>
  <si>
    <t>UNION AGUA BLANCA</t>
  </si>
  <si>
    <t>SAN BERNARDINO</t>
  </si>
  <si>
    <t>SAN LUIS</t>
  </si>
  <si>
    <t>TUMBADEN</t>
  </si>
  <si>
    <t>ANDABAMBA</t>
  </si>
  <si>
    <t>CATACHE</t>
  </si>
  <si>
    <t>CHANCAYBANOS</t>
  </si>
  <si>
    <t>LA ESPERANZA</t>
  </si>
  <si>
    <t>NINABAMBA</t>
  </si>
  <si>
    <t>PULAN</t>
  </si>
  <si>
    <t>SAUCEPAMPA</t>
  </si>
  <si>
    <t>SEXI</t>
  </si>
  <si>
    <t>UTICYACU</t>
  </si>
  <si>
    <t>LA PERLA</t>
  </si>
  <si>
    <t>LA PUNTA</t>
  </si>
  <si>
    <t>VENTANILLA</t>
  </si>
  <si>
    <t>ACOPIA</t>
  </si>
  <si>
    <t>ACOS</t>
  </si>
  <si>
    <t>MOSOC LLACTA</t>
  </si>
  <si>
    <t>POMACANCHI</t>
  </si>
  <si>
    <t>RONDOCAN</t>
  </si>
  <si>
    <t>SANGARARA</t>
  </si>
  <si>
    <t>CHINCHAYPUJO</t>
  </si>
  <si>
    <t>HUAROCONDO</t>
  </si>
  <si>
    <t>SAN SALVADOR</t>
  </si>
  <si>
    <t>CHECCA</t>
  </si>
  <si>
    <t>KUNTURKANKI</t>
  </si>
  <si>
    <t>LANGUI</t>
  </si>
  <si>
    <t>LAYO</t>
  </si>
  <si>
    <t>QUEHUE</t>
  </si>
  <si>
    <t>TUPAC AMARU</t>
  </si>
  <si>
    <t>YANAOCA</t>
  </si>
  <si>
    <t>CAMBAPATA</t>
  </si>
  <si>
    <t>CHECACUPE</t>
  </si>
  <si>
    <t>MARANGANI</t>
  </si>
  <si>
    <t>PITUMARCA</t>
  </si>
  <si>
    <t>SICUANI</t>
  </si>
  <si>
    <t>TINTA</t>
  </si>
  <si>
    <t>HUAYOPATA</t>
  </si>
  <si>
    <t>MARAMURA</t>
  </si>
  <si>
    <t>ECHARATE</t>
  </si>
  <si>
    <t>PICHARI</t>
  </si>
  <si>
    <t>QUELLOUNO</t>
  </si>
  <si>
    <t>QUILLABAMBA</t>
  </si>
  <si>
    <t>SANTA TERESA</t>
  </si>
  <si>
    <t>CCORCA</t>
  </si>
  <si>
    <t>WANCHAQ</t>
  </si>
  <si>
    <t>POROY</t>
  </si>
  <si>
    <t>SANTIAGO</t>
  </si>
  <si>
    <t>SAYLLA</t>
  </si>
  <si>
    <t>CAPACMARCA</t>
  </si>
  <si>
    <t>COLQUEMARCA</t>
  </si>
  <si>
    <t>CHAMACA</t>
  </si>
  <si>
    <t>LIVITACA</t>
  </si>
  <si>
    <t>LLUSCO</t>
  </si>
  <si>
    <t>QUINOTA</t>
  </si>
  <si>
    <t>VELILLE</t>
  </si>
  <si>
    <t>ALTO ICHIGU</t>
  </si>
  <si>
    <t>CONDORAMA</t>
  </si>
  <si>
    <t>COROPAQUE</t>
  </si>
  <si>
    <t>OCORURO</t>
  </si>
  <si>
    <t>PALLPATA</t>
  </si>
  <si>
    <t>PICHIGUA</t>
  </si>
  <si>
    <t>SUYCKUTAMBO</t>
  </si>
  <si>
    <t>YAURI</t>
  </si>
  <si>
    <t>PACCARITAMBO</t>
  </si>
  <si>
    <t>ANDAHUAYLILLAS</t>
  </si>
  <si>
    <t>LHUAYLLABAMBA</t>
  </si>
  <si>
    <t>OLLANTAYTAMBO</t>
  </si>
  <si>
    <t>PAUCARA</t>
  </si>
  <si>
    <t>ROSARIO</t>
  </si>
  <si>
    <t>ANCHONGA</t>
  </si>
  <si>
    <t>CALLANMARCA</t>
  </si>
  <si>
    <t>CCOCHACCASA</t>
  </si>
  <si>
    <t>CONGALLA</t>
  </si>
  <si>
    <t>CHINCHO</t>
  </si>
  <si>
    <t>HUALLAY GRANDE</t>
  </si>
  <si>
    <t>HUANCA HUANCA</t>
  </si>
  <si>
    <t>JULCAMARCA</t>
  </si>
  <si>
    <t>LIRCAY</t>
  </si>
  <si>
    <t>SAN ANTONIO DE ANTAP</t>
  </si>
  <si>
    <t>STO.TOMAS PATA</t>
  </si>
  <si>
    <t>SECCLLA</t>
  </si>
  <si>
    <t>ARMA</t>
  </si>
  <si>
    <t>AURAHUA</t>
  </si>
  <si>
    <t>CAPILLAS</t>
  </si>
  <si>
    <t>COCAS</t>
  </si>
  <si>
    <t>CHUPAMARCA</t>
  </si>
  <si>
    <t>HUACHOS</t>
  </si>
  <si>
    <t>HUAMATAMBO</t>
  </si>
  <si>
    <t>MOLLEPAMPA</t>
  </si>
  <si>
    <t>SANTA ANA</t>
  </si>
  <si>
    <t>TANTARA</t>
  </si>
  <si>
    <t>TICRAPO</t>
  </si>
  <si>
    <t>CHINCHIHUASI</t>
  </si>
  <si>
    <t>COSME</t>
  </si>
  <si>
    <t>EL CARMEN</t>
  </si>
  <si>
    <t>LOCROJA</t>
  </si>
  <si>
    <t>PACHAMARCA</t>
  </si>
  <si>
    <t>PAUCARBAMBA</t>
  </si>
  <si>
    <t>SAN MIGUEL DE MAYOCC</t>
  </si>
  <si>
    <t>SAN PEDRO DE CORIS</t>
  </si>
  <si>
    <t>ASCENCION</t>
  </si>
  <si>
    <t>ACOBAMBILLA</t>
  </si>
  <si>
    <t>ACORIA</t>
  </si>
  <si>
    <t>CONAYCA</t>
  </si>
  <si>
    <t>CUENCA</t>
  </si>
  <si>
    <t>HUACHOCOLPA</t>
  </si>
  <si>
    <t>HUANDO</t>
  </si>
  <si>
    <t>HUAYLLAHUARA</t>
  </si>
  <si>
    <t>IZCUCHACA</t>
  </si>
  <si>
    <t>LARIA</t>
  </si>
  <si>
    <t>MANTA</t>
  </si>
  <si>
    <t>MARIS.CACERES</t>
  </si>
  <si>
    <t>MOYA</t>
  </si>
  <si>
    <t>NUEVO OCCORO</t>
  </si>
  <si>
    <t>PALCA</t>
  </si>
  <si>
    <t>PILCHACA</t>
  </si>
  <si>
    <t>VILCA</t>
  </si>
  <si>
    <t>AYAVI</t>
  </si>
  <si>
    <t>CORDOVA</t>
  </si>
  <si>
    <t>HUAYACUNDO ARMA</t>
  </si>
  <si>
    <t>LARAMARCA</t>
  </si>
  <si>
    <t>OCOYO</t>
  </si>
  <si>
    <t>PILPICHACA</t>
  </si>
  <si>
    <t>QUERCO</t>
  </si>
  <si>
    <t>QUITO ARMA</t>
  </si>
  <si>
    <t>S.ANTONIO DE CUSICAN</t>
  </si>
  <si>
    <t>S.FRANSISCO DE SANGAYA</t>
  </si>
  <si>
    <t>SAN ISIDRO</t>
  </si>
  <si>
    <t>STG.CHOCORVO</t>
  </si>
  <si>
    <t>STGO.QUIRAHUA</t>
  </si>
  <si>
    <t>STO.DOM.CAPIL</t>
  </si>
  <si>
    <t>ACOSTAMBO</t>
  </si>
  <si>
    <t>ACRAQUIA</t>
  </si>
  <si>
    <t>AHUAYCHA</t>
  </si>
  <si>
    <t>DANIEL HERNA</t>
  </si>
  <si>
    <t>HUARIBAMBA</t>
  </si>
  <si>
    <t>NAHUIPUMQUIO</t>
  </si>
  <si>
    <t>PAZOS</t>
  </si>
  <si>
    <t>QUISHUAR</t>
  </si>
  <si>
    <t>SALCABAMBA</t>
  </si>
  <si>
    <t>SALCAHUASI</t>
  </si>
  <si>
    <t>SAN MARCOS DE ROCCHA</t>
  </si>
  <si>
    <t>SURCUBAMBA</t>
  </si>
  <si>
    <t>TINTAY PUNCU</t>
  </si>
  <si>
    <t>ACAYNA</t>
  </si>
  <si>
    <t>COLPAS</t>
  </si>
  <si>
    <t>CONCHAMARCA</t>
  </si>
  <si>
    <t>HUACAR</t>
  </si>
  <si>
    <t>SAN RAFAEL</t>
  </si>
  <si>
    <t>TOMAY KICHWA</t>
  </si>
  <si>
    <t>CAHUAC</t>
  </si>
  <si>
    <t>ANCAHUASI</t>
  </si>
  <si>
    <t>CHAVINILLO</t>
  </si>
  <si>
    <t>APARICIO POMARES</t>
  </si>
  <si>
    <t>CHORAS</t>
  </si>
  <si>
    <t>CHUQUIS</t>
  </si>
  <si>
    <t>JACAS CHICO</t>
  </si>
  <si>
    <t>JIVIA</t>
  </si>
  <si>
    <t>MARIAS</t>
  </si>
  <si>
    <t>OBAS</t>
  </si>
  <si>
    <t>PACHAS</t>
  </si>
  <si>
    <t>QUEROPALCA</t>
  </si>
  <si>
    <t>QUIVILLA</t>
  </si>
  <si>
    <t>RIPAN</t>
  </si>
  <si>
    <t>RONDOS</t>
  </si>
  <si>
    <t>SAN FCO.ASIS</t>
  </si>
  <si>
    <t>SN.MIGUEL CAURI</t>
  </si>
  <si>
    <t>SHUNQUI</t>
  </si>
  <si>
    <t>SILLAPATA</t>
  </si>
  <si>
    <t>YANAS</t>
  </si>
  <si>
    <t>CANCHABAMBA</t>
  </si>
  <si>
    <t>PINRA</t>
  </si>
  <si>
    <t>ARANCAY</t>
  </si>
  <si>
    <t>CHAVIN PARIARCA</t>
  </si>
  <si>
    <t>JACAS GRANDE</t>
  </si>
  <si>
    <t>JIRCAN</t>
  </si>
  <si>
    <t>LLATA</t>
  </si>
  <si>
    <t>MONZON</t>
  </si>
  <si>
    <t>PUNCHAO</t>
  </si>
  <si>
    <t>PUNOS</t>
  </si>
  <si>
    <t>SINGA</t>
  </si>
  <si>
    <t>TANTAMAYO</t>
  </si>
  <si>
    <t>AMARILIS</t>
  </si>
  <si>
    <t>CHINCHAO</t>
  </si>
  <si>
    <t>CHURUBAMBA</t>
  </si>
  <si>
    <t>MARGOS</t>
  </si>
  <si>
    <t>PILLCO MARCA</t>
  </si>
  <si>
    <t>QUISQUI</t>
  </si>
  <si>
    <t>SN.FCO.CAYRA</t>
  </si>
  <si>
    <t>SN.PEDRO CHAULAN</t>
  </si>
  <si>
    <t>STA.MA.VALLE</t>
  </si>
  <si>
    <t>YACUS</t>
  </si>
  <si>
    <t>YARUMAYO</t>
  </si>
  <si>
    <t>AUCAYACU</t>
  </si>
  <si>
    <t>DANIEL ALOMI</t>
  </si>
  <si>
    <t>HERMILIO VALDIZAN</t>
  </si>
  <si>
    <t>JOSE CRESPO Y CASTILLO</t>
  </si>
  <si>
    <t>LUYANDO</t>
  </si>
  <si>
    <t>MARIA DAMADO BERAU</t>
  </si>
  <si>
    <t>RUPA-RUPA</t>
  </si>
  <si>
    <t>TINGO MARIA</t>
  </si>
  <si>
    <t>CHOLON</t>
  </si>
  <si>
    <t>HUACRACHUCO</t>
  </si>
  <si>
    <t>SAN BUENAVENTURA</t>
  </si>
  <si>
    <t>CHAGLLA</t>
  </si>
  <si>
    <t>MOLINO</t>
  </si>
  <si>
    <t>PANAO</t>
  </si>
  <si>
    <t>UMARI</t>
  </si>
  <si>
    <t>CODO DEL POZUZO</t>
  </si>
  <si>
    <t>HONORIA</t>
  </si>
  <si>
    <t>TOURNAVISTA</t>
  </si>
  <si>
    <t>YUYAPICHIS</t>
  </si>
  <si>
    <t>CHACABAMBA</t>
  </si>
  <si>
    <t>ALTO LARAN</t>
  </si>
  <si>
    <t>CHAVIN</t>
  </si>
  <si>
    <t>CHINCHA ALTA</t>
  </si>
  <si>
    <t>CHINCHA BAJA</t>
  </si>
  <si>
    <t>GROCIO PRADO</t>
  </si>
  <si>
    <t>PUEBLO NUEVO</t>
  </si>
  <si>
    <t>SN.JUAN YANAC</t>
  </si>
  <si>
    <t>SN.P.HUACARPAN</t>
  </si>
  <si>
    <t>SUNAMPE</t>
  </si>
  <si>
    <t>TAMBO DE MORA</t>
  </si>
  <si>
    <t>LA TINGUINA</t>
  </si>
  <si>
    <t>LOS AQUIJES</t>
  </si>
  <si>
    <t>OCUCAJE</t>
  </si>
  <si>
    <t>PACHACUTEC</t>
  </si>
  <si>
    <t>PARCONA</t>
  </si>
  <si>
    <t>SALAS</t>
  </si>
  <si>
    <t>SN.JOSE MOLINOS</t>
  </si>
  <si>
    <t>SN.J.BAUTISTA</t>
  </si>
  <si>
    <t>SUBTANJALLA</t>
  </si>
  <si>
    <t>TATE</t>
  </si>
  <si>
    <t>YAUCA DEL ROSARIO</t>
  </si>
  <si>
    <t>CHANGUILLO</t>
  </si>
  <si>
    <t>EL INGENIO</t>
  </si>
  <si>
    <t>MARCONA</t>
  </si>
  <si>
    <t>LLIPATA</t>
  </si>
  <si>
    <t>RIO GRANDE</t>
  </si>
  <si>
    <t>TIBILLO</t>
  </si>
  <si>
    <t>HUANCANO</t>
  </si>
  <si>
    <t>HUMAY</t>
  </si>
  <si>
    <t>PARACAS</t>
  </si>
  <si>
    <t>SAN CLEMENTE</t>
  </si>
  <si>
    <t>T.AMARU INCA</t>
  </si>
  <si>
    <t>ANRAMARCA</t>
  </si>
  <si>
    <t>COMAS</t>
  </si>
  <si>
    <t>CHAMBARA</t>
  </si>
  <si>
    <t>HEROINAS TOLE</t>
  </si>
  <si>
    <t>MANZANARES</t>
  </si>
  <si>
    <t>MATAHUASI</t>
  </si>
  <si>
    <t>MITO</t>
  </si>
  <si>
    <t>NUEVE DE JUL</t>
  </si>
  <si>
    <t>ORCOTUNA</t>
  </si>
  <si>
    <t>SAN JOSE DE QUERO</t>
  </si>
  <si>
    <t>SANTA ROSA DE OCOPA</t>
  </si>
  <si>
    <t>PERENE</t>
  </si>
  <si>
    <t>PICHANAQUI</t>
  </si>
  <si>
    <t>SAN LUIS DE SHUARO</t>
  </si>
  <si>
    <t>SAN RAMON</t>
  </si>
  <si>
    <t>VITOC</t>
  </si>
  <si>
    <t>AHUAC</t>
  </si>
  <si>
    <t>CHONGOS BAJO</t>
  </si>
  <si>
    <t>HUACHAC</t>
  </si>
  <si>
    <t>HUAMANCACA C</t>
  </si>
  <si>
    <t>JARPA</t>
  </si>
  <si>
    <t>SAN JUAN DE</t>
  </si>
  <si>
    <t>YANACANCHA</t>
  </si>
  <si>
    <t>TRES DE DICIEMBRE</t>
  </si>
  <si>
    <t>CARHUACALLAN</t>
  </si>
  <si>
    <t>CULLHUAS</t>
  </si>
  <si>
    <t>CHACAPAMPA</t>
  </si>
  <si>
    <t>CHICCHE</t>
  </si>
  <si>
    <t>CHILCA</t>
  </si>
  <si>
    <t>CHONGOS ALTO</t>
  </si>
  <si>
    <t>CHUPURO</t>
  </si>
  <si>
    <t>EL TAMBO</t>
  </si>
  <si>
    <t>HUACRAPUQUIO</t>
  </si>
  <si>
    <t>HUALHUAS</t>
  </si>
  <si>
    <t>HUANCAN</t>
  </si>
  <si>
    <t>HUASICANCHA</t>
  </si>
  <si>
    <t>HUAYUCACHI</t>
  </si>
  <si>
    <t>INGENIO</t>
  </si>
  <si>
    <t>PARIAHUANCA</t>
  </si>
  <si>
    <t>PILCOMAYO</t>
  </si>
  <si>
    <t>QUICHUAY</t>
  </si>
  <si>
    <t>QUILCAS</t>
  </si>
  <si>
    <t>SAN AGUSTIN</t>
  </si>
  <si>
    <t>SANTODOMINGO</t>
  </si>
  <si>
    <t>SANO</t>
  </si>
  <si>
    <t>SAPALLANGA</t>
  </si>
  <si>
    <t>SICAYA</t>
  </si>
  <si>
    <t>SIQUES</t>
  </si>
  <si>
    <t>VIQUES</t>
  </si>
  <si>
    <t>ACOLLA</t>
  </si>
  <si>
    <t>APATA</t>
  </si>
  <si>
    <t>ATAURA</t>
  </si>
  <si>
    <t>CANCHAYLLO</t>
  </si>
  <si>
    <t>CURIACA</t>
  </si>
  <si>
    <t>EL MANTARO</t>
  </si>
  <si>
    <t>HUAMALI</t>
  </si>
  <si>
    <t>HUARIPAMPA</t>
  </si>
  <si>
    <t>HUERTAS</t>
  </si>
  <si>
    <t>JANAILLO</t>
  </si>
  <si>
    <t>JULCAN</t>
  </si>
  <si>
    <t>LLOCLLAPAMPA</t>
  </si>
  <si>
    <t>MARCO</t>
  </si>
  <si>
    <t>MASMA</t>
  </si>
  <si>
    <t>MASMA CHICCHE</t>
  </si>
  <si>
    <t>MOLINOS</t>
  </si>
  <si>
    <t>MONOBAMBA</t>
  </si>
  <si>
    <t>MUQUI</t>
  </si>
  <si>
    <t>MUQUIYAUYO</t>
  </si>
  <si>
    <t>PACA</t>
  </si>
  <si>
    <t>PANCAN</t>
  </si>
  <si>
    <t>PARCO</t>
  </si>
  <si>
    <t>POMACANCHA</t>
  </si>
  <si>
    <t>RICRAN</t>
  </si>
  <si>
    <t>SAN LORENZO</t>
  </si>
  <si>
    <t>SAN PEDRO DE CHUNAN</t>
  </si>
  <si>
    <t>SOUSA</t>
  </si>
  <si>
    <t>SINCOS</t>
  </si>
  <si>
    <t>TUNAN MARCA</t>
  </si>
  <si>
    <t>CARHUAMAYO</t>
  </si>
  <si>
    <t>ONDORES</t>
  </si>
  <si>
    <t>ULCUMAYO</t>
  </si>
  <si>
    <t>COVIRIALI</t>
  </si>
  <si>
    <t>LLAYLLA</t>
  </si>
  <si>
    <t>MAZAMARI-PA</t>
  </si>
  <si>
    <t>PAMPA HERMOZA</t>
  </si>
  <si>
    <t>PANGOA</t>
  </si>
  <si>
    <t>RIO NEGRO</t>
  </si>
  <si>
    <t>RIO TAMBO</t>
  </si>
  <si>
    <t>HUARICOLCA</t>
  </si>
  <si>
    <t>HUASAHUASI</t>
  </si>
  <si>
    <t>PALCAMAYO</t>
  </si>
  <si>
    <t>SAN PEDRO DE CAJAS</t>
  </si>
  <si>
    <t>TAPO</t>
  </si>
  <si>
    <t>CHACAPALCA</t>
  </si>
  <si>
    <t>HUAY HUAY</t>
  </si>
  <si>
    <t>LA OROYA</t>
  </si>
  <si>
    <t>MARCAPOMACOCHA</t>
  </si>
  <si>
    <t>MOROCOCHA</t>
  </si>
  <si>
    <t>SANTA BARBARA CAR</t>
  </si>
  <si>
    <t>SANTA ROSA DE SACCO</t>
  </si>
  <si>
    <t>SUITUCANCHA</t>
  </si>
  <si>
    <t>CASA GRANDE</t>
  </si>
  <si>
    <t>CHICAMA</t>
  </si>
  <si>
    <t>CHOCOPE</t>
  </si>
  <si>
    <t>MAGDALENA DE CAO</t>
  </si>
  <si>
    <t>PAIJAN</t>
  </si>
  <si>
    <t>RAZURI</t>
  </si>
  <si>
    <t>SANTIAGO DE CAO</t>
  </si>
  <si>
    <t>CONDORMARCA</t>
  </si>
  <si>
    <t>LONGOTEA</t>
  </si>
  <si>
    <t>UCUNCHA</t>
  </si>
  <si>
    <t>UCHUMARCA</t>
  </si>
  <si>
    <t>PACANGA</t>
  </si>
  <si>
    <t>CASCAS</t>
  </si>
  <si>
    <t>AGALLPAMPA</t>
  </si>
  <si>
    <t>CHARAT</t>
  </si>
  <si>
    <t>HUARANCHAL</t>
  </si>
  <si>
    <t>LA CUESTA</t>
  </si>
  <si>
    <t>MACHE</t>
  </si>
  <si>
    <t>MARMOT</t>
  </si>
  <si>
    <t>PARANDAY</t>
  </si>
  <si>
    <t>SALPO</t>
  </si>
  <si>
    <t>SINSICAP</t>
  </si>
  <si>
    <t>USQUIL</t>
  </si>
  <si>
    <t>GUADALUPE</t>
  </si>
  <si>
    <t>JEQUETEPEQUE</t>
  </si>
  <si>
    <t>SANJOSE</t>
  </si>
  <si>
    <t>SAN PEDRO DE LLOC</t>
  </si>
  <si>
    <t>BULDIBUYO</t>
  </si>
  <si>
    <t>CHILLIA</t>
  </si>
  <si>
    <t>HUANCASPATA</t>
  </si>
  <si>
    <t>HUAYLILLAS</t>
  </si>
  <si>
    <t>HUAYO</t>
  </si>
  <si>
    <t>ONGON</t>
  </si>
  <si>
    <t>PARCOY</t>
  </si>
  <si>
    <t>PIAS</t>
  </si>
  <si>
    <t>SANTIAGO DE CHALLAS</t>
  </si>
  <si>
    <t>TAURIJA</t>
  </si>
  <si>
    <t>TAYABAMBA</t>
  </si>
  <si>
    <t>URPAY</t>
  </si>
  <si>
    <t>COCHORCO</t>
  </si>
  <si>
    <t>CURGOS</t>
  </si>
  <si>
    <t>CHUGAY</t>
  </si>
  <si>
    <t>HUAMACHUCO</t>
  </si>
  <si>
    <t>MARCABAL</t>
  </si>
  <si>
    <t>SANAGORAN</t>
  </si>
  <si>
    <t>SARIN</t>
  </si>
  <si>
    <t>SARIBAMBA</t>
  </si>
  <si>
    <t>ANGASMARCA</t>
  </si>
  <si>
    <t>CACHICADAN</t>
  </si>
  <si>
    <t>MOLLEBAMBA</t>
  </si>
  <si>
    <t>MOLLEPATA</t>
  </si>
  <si>
    <t>QUIRUVILCA</t>
  </si>
  <si>
    <t>SANTA CRUZ DE CHUCA</t>
  </si>
  <si>
    <t>SITABAMBA</t>
  </si>
  <si>
    <t>ELPORVENIR</t>
  </si>
  <si>
    <t>FLORENCIA DE MORA</t>
  </si>
  <si>
    <t>HUANCHACO</t>
  </si>
  <si>
    <t>LAREDO</t>
  </si>
  <si>
    <t>MOCHE</t>
  </si>
  <si>
    <t>POROTO</t>
  </si>
  <si>
    <t>SALAVERRY</t>
  </si>
  <si>
    <t>SIMBAL</t>
  </si>
  <si>
    <t>CHAO</t>
  </si>
  <si>
    <t>GUADALUPITO</t>
  </si>
  <si>
    <t>CAYALTI</t>
  </si>
  <si>
    <t>CHONGOYAPE</t>
  </si>
  <si>
    <t>ETEN</t>
  </si>
  <si>
    <t>ETEN PUERTO</t>
  </si>
  <si>
    <t>MOSHOQUEQUE</t>
  </si>
  <si>
    <t>JOSE LEONARDO ORTIZ</t>
  </si>
  <si>
    <t>LAGUNAS</t>
  </si>
  <si>
    <t>LA VICTORIA</t>
  </si>
  <si>
    <t>MONSEFU</t>
  </si>
  <si>
    <t>NUEVA ARICA</t>
  </si>
  <si>
    <t>OYOTUN</t>
  </si>
  <si>
    <t>PATAPO</t>
  </si>
  <si>
    <t>PICSI</t>
  </si>
  <si>
    <t>PIMENTEL</t>
  </si>
  <si>
    <t>POMALCA</t>
  </si>
  <si>
    <t>PUCALA</t>
  </si>
  <si>
    <t>REQUE</t>
  </si>
  <si>
    <t>TUMAN</t>
  </si>
  <si>
    <t>CANARIS</t>
  </si>
  <si>
    <t>INCAHUASI</t>
  </si>
  <si>
    <t>MANUEL ANTONIO MESON</t>
  </si>
  <si>
    <t>PITIPO</t>
  </si>
  <si>
    <t>ILLIMO</t>
  </si>
  <si>
    <t>JAYANCA</t>
  </si>
  <si>
    <t>MOCHUMI</t>
  </si>
  <si>
    <t>MORROPE</t>
  </si>
  <si>
    <t>MOTUPE</t>
  </si>
  <si>
    <t>OLMOS</t>
  </si>
  <si>
    <t>PACORA</t>
  </si>
  <si>
    <t>TUCUME</t>
  </si>
  <si>
    <t>PARAMONGA</t>
  </si>
  <si>
    <t>PATIVILCA</t>
  </si>
  <si>
    <t>SUPE</t>
  </si>
  <si>
    <t>SUPE PUERTO</t>
  </si>
  <si>
    <t>COPA</t>
  </si>
  <si>
    <t>GORGOR</t>
  </si>
  <si>
    <t>HUANCAPON</t>
  </si>
  <si>
    <t>MANAS</t>
  </si>
  <si>
    <t>ARAHUAY</t>
  </si>
  <si>
    <t>HUAMANTANGA</t>
  </si>
  <si>
    <t>HUAROS</t>
  </si>
  <si>
    <t>LACHAQUI</t>
  </si>
  <si>
    <t>SANTA ROSA DE QUIVES</t>
  </si>
  <si>
    <t>ASIA</t>
  </si>
  <si>
    <t>CALANGO</t>
  </si>
  <si>
    <t>CERRO AZUL</t>
  </si>
  <si>
    <t>COAYLLO</t>
  </si>
  <si>
    <t>IMPERIAL</t>
  </si>
  <si>
    <t>LUNAHUANA</t>
  </si>
  <si>
    <t>MALA</t>
  </si>
  <si>
    <t>NUEVO IMPERIAL</t>
  </si>
  <si>
    <t>PACARAN</t>
  </si>
  <si>
    <t>QUILMANA</t>
  </si>
  <si>
    <t>SAN VICENTE</t>
  </si>
  <si>
    <t>ATAVILLOS ALTOS</t>
  </si>
  <si>
    <t>ATAVILLOS BAJOS</t>
  </si>
  <si>
    <t>AUCALLAMA</t>
  </si>
  <si>
    <t>CHANCAY</t>
  </si>
  <si>
    <t>IHUARI</t>
  </si>
  <si>
    <t>LAMPIAN</t>
  </si>
  <si>
    <t>PACARAOS</t>
  </si>
  <si>
    <t>SAN MIGUEL DE ACOS</t>
  </si>
  <si>
    <t>SANTA CRUZ DE ANDAMA</t>
  </si>
  <si>
    <t>SUMBILCA</t>
  </si>
  <si>
    <t>27 DE NOVIEMBRE</t>
  </si>
  <si>
    <t>ANTIOQUIA</t>
  </si>
  <si>
    <t>CALLAHUANCA</t>
  </si>
  <si>
    <t>CARAMPONA</t>
  </si>
  <si>
    <t>CASTA</t>
  </si>
  <si>
    <t>HUACHUPAMPA</t>
  </si>
  <si>
    <t>HUANZA</t>
  </si>
  <si>
    <t>LAHUAYTAMBO</t>
  </si>
  <si>
    <t>LANGA</t>
  </si>
  <si>
    <t>LARAOS</t>
  </si>
  <si>
    <t>MARIATANA</t>
  </si>
  <si>
    <t>MATUCANA</t>
  </si>
  <si>
    <t>RICARDO PALMA</t>
  </si>
  <si>
    <t>SAN ANDRES DE TUPICO</t>
  </si>
  <si>
    <t>SANANTONIO</t>
  </si>
  <si>
    <t>SANBARTOLOME</t>
  </si>
  <si>
    <t>SANDAMIAN</t>
  </si>
  <si>
    <t>SAN JUAN DE IRIS</t>
  </si>
  <si>
    <t>SAN JUAN DE TANTARAN</t>
  </si>
  <si>
    <t>SAN MATEO</t>
  </si>
  <si>
    <t>SAN MATEO DE OTAO</t>
  </si>
  <si>
    <t>SANPEDRODE HUACAYR</t>
  </si>
  <si>
    <t>SANGALLAYA</t>
  </si>
  <si>
    <t>SANTA CRUZ DE COCACH</t>
  </si>
  <si>
    <t>SANTA EULALIA</t>
  </si>
  <si>
    <t>SANTIAGO DE ANCHUCAY</t>
  </si>
  <si>
    <t>SANTIAGO DE TUNA</t>
  </si>
  <si>
    <t>SANTODOMINGO DE LOS</t>
  </si>
  <si>
    <t>SURCO</t>
  </si>
  <si>
    <t>AMBAR</t>
  </si>
  <si>
    <t>CALETA DE CARQUIN</t>
  </si>
  <si>
    <t>CHECRAS</t>
  </si>
  <si>
    <t>HUACHO</t>
  </si>
  <si>
    <t>HUALMAY</t>
  </si>
  <si>
    <t>PACCHO</t>
  </si>
  <si>
    <t>SANTA LEONOR</t>
  </si>
  <si>
    <t>SAYAN</t>
  </si>
  <si>
    <t>VEGUETA</t>
  </si>
  <si>
    <t>ANCON</t>
  </si>
  <si>
    <t>ATE</t>
  </si>
  <si>
    <t>BARRANCO</t>
  </si>
  <si>
    <t>CARABAYLLO</t>
  </si>
  <si>
    <t>CIENEGUILLA</t>
  </si>
  <si>
    <t>CHACLACAYO</t>
  </si>
  <si>
    <t>CHORRILLOS</t>
  </si>
  <si>
    <t>EL AGUSTINO</t>
  </si>
  <si>
    <t>JESUS MARIA</t>
  </si>
  <si>
    <t>LA MOLINA</t>
  </si>
  <si>
    <t>LINCE</t>
  </si>
  <si>
    <t>LOS OLIVOS</t>
  </si>
  <si>
    <t>LURIGANCHO</t>
  </si>
  <si>
    <t>LURIN</t>
  </si>
  <si>
    <t>PACHACAMAC</t>
  </si>
  <si>
    <t>PUCUSANA</t>
  </si>
  <si>
    <t>PUENTE PIEDRA</t>
  </si>
  <si>
    <t>PUNTA HERMOSA</t>
  </si>
  <si>
    <t>PUNTA NEGRA</t>
  </si>
  <si>
    <t>RIMAC</t>
  </si>
  <si>
    <t>SAN BARTOLO</t>
  </si>
  <si>
    <t>SAN JUAN DE LURIGANCHO</t>
  </si>
  <si>
    <t>SAN JUAN DE MIRAFLORES</t>
  </si>
  <si>
    <t>SAN MARTIN DE PORRES</t>
  </si>
  <si>
    <t>SANTA ANITA</t>
  </si>
  <si>
    <t>SANTA MARIA DEL MAR</t>
  </si>
  <si>
    <t>SURQUILLO</t>
  </si>
  <si>
    <t>ANDAJES</t>
  </si>
  <si>
    <t>CAUJUL</t>
  </si>
  <si>
    <t>COCHAMARCA</t>
  </si>
  <si>
    <t>NAVAN</t>
  </si>
  <si>
    <t>PACHANGARA</t>
  </si>
  <si>
    <t>ALIS</t>
  </si>
  <si>
    <t>AYAUCA</t>
  </si>
  <si>
    <t>AYAVIRI</t>
  </si>
  <si>
    <t>CACRA</t>
  </si>
  <si>
    <t>CARANIA</t>
  </si>
  <si>
    <t>CATAHUASI</t>
  </si>
  <si>
    <t>COLONIA</t>
  </si>
  <si>
    <t>CHOCOS</t>
  </si>
  <si>
    <t>HONGOS</t>
  </si>
  <si>
    <t>HUAMPARA</t>
  </si>
  <si>
    <t>HUANCAYA</t>
  </si>
  <si>
    <t>HUANGASCAR</t>
  </si>
  <si>
    <t>HUANTAN</t>
  </si>
  <si>
    <t>HUANEC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</si>
  <si>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</si>
  <si>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</si>
  <si>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</si>
  <si>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</si>
  <si>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</si>
  <si>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</si>
  <si>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</si>
  <si>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</si>
  <si>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</si>
  <si>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</si>
  <si>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TOMAS</t>
  </si>
  <si>
    <t>TUPE</t>
  </si>
  <si>
    <t>VINAC</t>
  </si>
  <si>
    <t>VITIS</t>
  </si>
  <si>
    <t>BALSAPUETO</t>
  </si>
  <si>
    <t>CAHUAPANAS</t>
  </si>
  <si>
    <t>JEBEROS</t>
  </si>
  <si>
    <t>MANSERICHE</t>
  </si>
  <si>
    <t>MORONA</t>
  </si>
  <si>
    <t>PASTAZA</t>
  </si>
  <si>
    <t>TNTE.CESAR.LOPEZ</t>
  </si>
  <si>
    <t>YURIMAGUAS</t>
  </si>
  <si>
    <t>ANDOAS</t>
  </si>
  <si>
    <t>NAUTA</t>
  </si>
  <si>
    <t>PARINARI</t>
  </si>
  <si>
    <t>TIGRE</t>
  </si>
  <si>
    <t>TROMPETEROS</t>
  </si>
  <si>
    <t>URARINAS</t>
  </si>
  <si>
    <t>PEBAS</t>
  </si>
  <si>
    <t>RAMON CASTILLA</t>
  </si>
  <si>
    <t>YAVARI</t>
  </si>
  <si>
    <t>ALTO NANAY</t>
  </si>
  <si>
    <t>FDO.LORES</t>
  </si>
  <si>
    <t>INDIANA</t>
  </si>
  <si>
    <t>IQUITOS</t>
  </si>
  <si>
    <t>LAS AMAZONAS</t>
  </si>
  <si>
    <t>NAZAN</t>
  </si>
  <si>
    <t>NAPO</t>
  </si>
  <si>
    <t>PUNCHANA</t>
  </si>
  <si>
    <t>PUTUMAYO</t>
  </si>
  <si>
    <t>TNTE.MANUEL CLAVERO</t>
  </si>
  <si>
    <t>TORRES CAUSA</t>
  </si>
  <si>
    <t>ALTO TAPICHE</t>
  </si>
  <si>
    <t>CAPELO</t>
  </si>
  <si>
    <t>EMILIO S.MARTIN</t>
  </si>
  <si>
    <t>MAQUIA</t>
  </si>
  <si>
    <t>PUINAHUA</t>
  </si>
  <si>
    <t>SAQUENA</t>
  </si>
  <si>
    <t>SOPLIN</t>
  </si>
  <si>
    <t>TAPICHE</t>
  </si>
  <si>
    <t>YAQUERANA</t>
  </si>
  <si>
    <t>CONTAMANA</t>
  </si>
  <si>
    <t>INAHUAYA</t>
  </si>
  <si>
    <t>PADRE MARQUEZ</t>
  </si>
  <si>
    <t>PAMPA HERMOSA</t>
  </si>
  <si>
    <t>SARAYACU</t>
  </si>
  <si>
    <t>VARGAS GUERRA</t>
  </si>
  <si>
    <t>FITZCARRALD</t>
  </si>
  <si>
    <t>HUEPETUHE</t>
  </si>
  <si>
    <t>IBERIA</t>
  </si>
  <si>
    <t>INAPARI</t>
  </si>
  <si>
    <t>INAMBARI</t>
  </si>
  <si>
    <t>LAS PIEDRAS</t>
  </si>
  <si>
    <t>COALAQUE</t>
  </si>
  <si>
    <t>CHOJATA</t>
  </si>
  <si>
    <t>ICHUNA</t>
  </si>
  <si>
    <t>LA CAPILLA</t>
  </si>
  <si>
    <t>LLOQUE</t>
  </si>
  <si>
    <t>MATALAQUE</t>
  </si>
  <si>
    <t>OMATE</t>
  </si>
  <si>
    <t>PUQUINA</t>
  </si>
  <si>
    <t>QUINISTAQUIL</t>
  </si>
  <si>
    <t>UBINAS</t>
  </si>
  <si>
    <t>YUNGA</t>
  </si>
  <si>
    <t>ELALGARROBAL</t>
  </si>
  <si>
    <t>PACOCHA</t>
  </si>
  <si>
    <t>CARUMAS</t>
  </si>
  <si>
    <t>CUCHUMBAYA</t>
  </si>
  <si>
    <t>SAMEGUA</t>
  </si>
  <si>
    <t>TORATA</t>
  </si>
  <si>
    <t>CHACAYAN</t>
  </si>
  <si>
    <t>GOYLLARISQUI</t>
  </si>
  <si>
    <t>PAUCAR</t>
  </si>
  <si>
    <t>SAN PEDRO DE PILLAO</t>
  </si>
  <si>
    <t>SANTA ANA DE TUSI</t>
  </si>
  <si>
    <t>TAPUC</t>
  </si>
  <si>
    <t>YANAHUANCA</t>
  </si>
  <si>
    <t>CHONTABAMBA</t>
  </si>
  <si>
    <t>CONSTITUCION</t>
  </si>
  <si>
    <t>PALCAZU</t>
  </si>
  <si>
    <t>POZUZO</t>
  </si>
  <si>
    <t>PUERTO BERMU</t>
  </si>
  <si>
    <t>VILLA RICA</t>
  </si>
  <si>
    <t>CHAUPIMARCA</t>
  </si>
  <si>
    <t>HUACHON</t>
  </si>
  <si>
    <t>HUARIACA</t>
  </si>
  <si>
    <t>HUAYLLAY</t>
  </si>
  <si>
    <t>NINACACA</t>
  </si>
  <si>
    <t>PALLANCHACRA</t>
  </si>
  <si>
    <t>SAN FRANCISCO ASIS</t>
  </si>
  <si>
    <t>TICLACAYAN</t>
  </si>
  <si>
    <t>TINYAHUARCO</t>
  </si>
  <si>
    <t>VICCO</t>
  </si>
  <si>
    <t>FRIAS</t>
  </si>
  <si>
    <t>JILILI</t>
  </si>
  <si>
    <t>MONTERO</t>
  </si>
  <si>
    <t>PACAIPAMPA</t>
  </si>
  <si>
    <t>PAIMAS</t>
  </si>
  <si>
    <t>SAPILLICA</t>
  </si>
  <si>
    <t>SICCHEZ</t>
  </si>
  <si>
    <t>SUYO</t>
  </si>
  <si>
    <t>CANCHAQUE</t>
  </si>
  <si>
    <t>HUARMACA</t>
  </si>
  <si>
    <t>LALAQUIZ</t>
  </si>
  <si>
    <t>SANMIGUEL</t>
  </si>
  <si>
    <t>SONDOR</t>
  </si>
  <si>
    <t>SONDORILLO</t>
  </si>
  <si>
    <t>BUENOS AIRES</t>
  </si>
  <si>
    <t>CHALACO</t>
  </si>
  <si>
    <t>CHULUCANAS</t>
  </si>
  <si>
    <t>LA MATANZA</t>
  </si>
  <si>
    <t>SALITRAL</t>
  </si>
  <si>
    <t>SAN JUAN DE BIGOTE</t>
  </si>
  <si>
    <t>SANTO DOMINGO</t>
  </si>
  <si>
    <t>YAMANGO</t>
  </si>
  <si>
    <t>AMOTAPE</t>
  </si>
  <si>
    <t>ARENAL</t>
  </si>
  <si>
    <t>COLAN</t>
  </si>
  <si>
    <t>LA HUACA</t>
  </si>
  <si>
    <t>TAMARINDO</t>
  </si>
  <si>
    <t>VICHAYAL</t>
  </si>
  <si>
    <t>BERNAL</t>
  </si>
  <si>
    <t>CATACAOS</t>
  </si>
  <si>
    <t>CRISTO NOS VALGA</t>
  </si>
  <si>
    <t>CURA MORI</t>
  </si>
  <si>
    <t>EL TALLAN</t>
  </si>
  <si>
    <t>LA ARENA</t>
  </si>
  <si>
    <t>LAS LOMAS</t>
  </si>
  <si>
    <t>RINCONADA LLICUAR</t>
  </si>
  <si>
    <t>SECHURA</t>
  </si>
  <si>
    <t>TAMBO GRANDE</t>
  </si>
  <si>
    <t>VICE</t>
  </si>
  <si>
    <t>26 DE OCTUBRE</t>
  </si>
  <si>
    <t>IGNACIO ESCUDERO</t>
  </si>
  <si>
    <t>LANCONES</t>
  </si>
  <si>
    <t>MARCAVELICA</t>
  </si>
  <si>
    <t>MIGUEL CHECA</t>
  </si>
  <si>
    <t>QUERECOTILLO</t>
  </si>
  <si>
    <t>EL ALTO</t>
  </si>
  <si>
    <t>LA BREA</t>
  </si>
  <si>
    <t>LOBITOS</t>
  </si>
  <si>
    <t>LOS ORGANOS</t>
  </si>
  <si>
    <t>MANCORA</t>
  </si>
  <si>
    <t>ACHAYA</t>
  </si>
  <si>
    <t>ARAPA</t>
  </si>
  <si>
    <t>ASILLO</t>
  </si>
  <si>
    <t>CAMINACA</t>
  </si>
  <si>
    <t>CHUPA</t>
  </si>
  <si>
    <t>JOSE DOMINGO</t>
  </si>
  <si>
    <t>MUNAMI</t>
  </si>
  <si>
    <t>POTONI</t>
  </si>
  <si>
    <t>SAMAN</t>
  </si>
  <si>
    <t>SAN ANTON</t>
  </si>
  <si>
    <t>SAN JOSE</t>
  </si>
  <si>
    <t>SAN JUAN DE SALINAS</t>
  </si>
  <si>
    <t>SANTIAGO DE PUPUJA</t>
  </si>
  <si>
    <t>TIRAPATA</t>
  </si>
  <si>
    <t>AJOYANI</t>
  </si>
  <si>
    <t>AYAPATA</t>
  </si>
  <si>
    <t>COASA</t>
  </si>
  <si>
    <t>CORANI</t>
  </si>
  <si>
    <t>CRUCERO</t>
  </si>
  <si>
    <t>ITUATA</t>
  </si>
  <si>
    <t>MACUSANI</t>
  </si>
  <si>
    <t>OLLACHEA</t>
  </si>
  <si>
    <t>SAN GABAN</t>
  </si>
  <si>
    <t>USICAYOS</t>
  </si>
  <si>
    <t>CAPASO</t>
  </si>
  <si>
    <t>DESAGUADERO</t>
  </si>
  <si>
    <t>HUACULLANI</t>
  </si>
  <si>
    <t>JULI</t>
  </si>
  <si>
    <t>KELLUYO</t>
  </si>
  <si>
    <t>PILCUYO</t>
  </si>
  <si>
    <t>PISACOMA</t>
  </si>
  <si>
    <t>POMATA</t>
  </si>
  <si>
    <t>ZEPITA</t>
  </si>
  <si>
    <t>ILAVE</t>
  </si>
  <si>
    <t>COJATA</t>
  </si>
  <si>
    <t>HUATASANI</t>
  </si>
  <si>
    <t>INCHUPALLA</t>
  </si>
  <si>
    <t>PUSI</t>
  </si>
  <si>
    <t>ROSASPATA</t>
  </si>
  <si>
    <t>TARACO</t>
  </si>
  <si>
    <t>VILQUE CHICO</t>
  </si>
  <si>
    <t>CONIMA</t>
  </si>
  <si>
    <t>CABANILLA</t>
  </si>
  <si>
    <t>CALAPUJA</t>
  </si>
  <si>
    <t>NICASIO</t>
  </si>
  <si>
    <t>OCUVIRI</t>
  </si>
  <si>
    <t>PARATIA</t>
  </si>
  <si>
    <t>VILAVILA</t>
  </si>
  <si>
    <t>ANTAUTA</t>
  </si>
  <si>
    <t>CUPI</t>
  </si>
  <si>
    <t>LLALLI</t>
  </si>
  <si>
    <t>MACARI</t>
  </si>
  <si>
    <t>NUNDA</t>
  </si>
  <si>
    <t>ORURILLO</t>
  </si>
  <si>
    <t>UMACHIRI</t>
  </si>
  <si>
    <t>ACORA</t>
  </si>
  <si>
    <t>AMANTANI</t>
  </si>
  <si>
    <t>ATUNCOLLA</t>
  </si>
  <si>
    <t>CAPACHICA</t>
  </si>
  <si>
    <t>COATA</t>
  </si>
  <si>
    <t>CHUQUITO</t>
  </si>
  <si>
    <t>HUATA</t>
  </si>
  <si>
    <t>MANAZO</t>
  </si>
  <si>
    <t>PAUCARCOLLA</t>
  </si>
  <si>
    <t>PICHACANI</t>
  </si>
  <si>
    <t>TIQUILLACA</t>
  </si>
  <si>
    <t>VILQUE</t>
  </si>
  <si>
    <t>CUYOCUYO</t>
  </si>
  <si>
    <t>LIMBANI</t>
  </si>
  <si>
    <t>PATAMBUCO</t>
  </si>
  <si>
    <t>PHARA</t>
  </si>
  <si>
    <t>QUIACA</t>
  </si>
  <si>
    <t>SAN JUAN DEL ORO</t>
  </si>
  <si>
    <t>S.PEDRO PUTINA</t>
  </si>
  <si>
    <t>YANAHUAYA</t>
  </si>
  <si>
    <t>AMANEA</t>
  </si>
  <si>
    <t>PEDRO VILCA</t>
  </si>
  <si>
    <t>PUTINA</t>
  </si>
  <si>
    <t>QUICLAPUNCU</t>
  </si>
  <si>
    <t>SINA</t>
  </si>
  <si>
    <t>CABANILLAS</t>
  </si>
  <si>
    <t>CARACOTO</t>
  </si>
  <si>
    <t>JULIACA</t>
  </si>
  <si>
    <t>ANAPIA</t>
  </si>
  <si>
    <t>COPANI</t>
  </si>
  <si>
    <t>CUTURAPI</t>
  </si>
  <si>
    <t>OLLARAYA</t>
  </si>
  <si>
    <t>TINICACHI</t>
  </si>
  <si>
    <t>UNICACHI</t>
  </si>
  <si>
    <t>ALTO BIAVO</t>
  </si>
  <si>
    <t>BAJO BIAVO</t>
  </si>
  <si>
    <t>ALTO SAPOSOA</t>
  </si>
  <si>
    <t>EL ESLABON</t>
  </si>
  <si>
    <t>PISOYACU</t>
  </si>
  <si>
    <t>SACANCHE</t>
  </si>
  <si>
    <t>SAPOSOA</t>
  </si>
  <si>
    <t>TINGO DE SAP</t>
  </si>
  <si>
    <t>AGUA BLANCA</t>
  </si>
  <si>
    <t>ALONSO DE ALVARADO</t>
  </si>
  <si>
    <t>BARRANQUITA</t>
  </si>
  <si>
    <t>CAYNARACHI</t>
  </si>
  <si>
    <t>PINTO RECODO</t>
  </si>
  <si>
    <t>RUMISAPA</t>
  </si>
  <si>
    <t>SAN JOSE DE SISA</t>
  </si>
  <si>
    <t>SANROQUE DE CUMBAZA</t>
  </si>
  <si>
    <t>SHANAO</t>
  </si>
  <si>
    <t>SHATOJA</t>
  </si>
  <si>
    <t>TABALOSOS</t>
  </si>
  <si>
    <t>ZAPATERO</t>
  </si>
  <si>
    <t>CAMPANILLA</t>
  </si>
  <si>
    <t>HUICUNGO</t>
  </si>
  <si>
    <t>JUANJUI</t>
  </si>
  <si>
    <t>PACHIZA</t>
  </si>
  <si>
    <t>PAJARILLO</t>
  </si>
  <si>
    <t>CALZADA</t>
  </si>
  <si>
    <t>HABANA</t>
  </si>
  <si>
    <t>JEPELACIO</t>
  </si>
  <si>
    <t>SORITOR</t>
  </si>
  <si>
    <t>YANTALO</t>
  </si>
  <si>
    <t>CASPIZAPA</t>
  </si>
  <si>
    <t>PILLUANA</t>
  </si>
  <si>
    <t>PUCACACA</t>
  </si>
  <si>
    <t>SAN HILARION</t>
  </si>
  <si>
    <t>SHAMBOYACU</t>
  </si>
  <si>
    <t>TINGO DE PON</t>
  </si>
  <si>
    <t>TRES UNIDOS</t>
  </si>
  <si>
    <t>AWAJUN</t>
  </si>
  <si>
    <t>PARDO MIGUEL</t>
  </si>
  <si>
    <t>POSIC</t>
  </si>
  <si>
    <t>SAN FERNANDO</t>
  </si>
  <si>
    <t>YORONGOS</t>
  </si>
  <si>
    <t>YURAYACU</t>
  </si>
  <si>
    <t>CACATACHI</t>
  </si>
  <si>
    <t>CHAZUTA</t>
  </si>
  <si>
    <t>CHIPURANA</t>
  </si>
  <si>
    <t>EL PORVENIR</t>
  </si>
  <si>
    <t>HUIMBAYOC</t>
  </si>
  <si>
    <t>JUAN GUERRA</t>
  </si>
  <si>
    <t>MORALES</t>
  </si>
  <si>
    <t>PAPA PLAYA</t>
  </si>
  <si>
    <t>SAUCE</t>
  </si>
  <si>
    <t>SHAPAJA</t>
  </si>
  <si>
    <t>TARAPOTO</t>
  </si>
  <si>
    <t>NUEVO PROGRESO</t>
  </si>
  <si>
    <t>POLVORA</t>
  </si>
  <si>
    <t>SHUNTE</t>
  </si>
  <si>
    <t>UCHIZA</t>
  </si>
  <si>
    <t>CAIRANI</t>
  </si>
  <si>
    <t>CAMILACA</t>
  </si>
  <si>
    <t>CURIBAYA</t>
  </si>
  <si>
    <t>HUANURA</t>
  </si>
  <si>
    <t>QUILAHUANI</t>
  </si>
  <si>
    <t>ILABAYA</t>
  </si>
  <si>
    <t>ITE</t>
  </si>
  <si>
    <t>LOCUMBA</t>
  </si>
  <si>
    <t>ALTO DE LA ALIANZA</t>
  </si>
  <si>
    <t>CALANA</t>
  </si>
  <si>
    <t>CIUDAD NUEVA</t>
  </si>
  <si>
    <t>INCLAN</t>
  </si>
  <si>
    <t>PACHIA</t>
  </si>
  <si>
    <t>POCOLLAY</t>
  </si>
  <si>
    <t>SAMA</t>
  </si>
  <si>
    <t>HEROES ALBAR</t>
  </si>
  <si>
    <t>ESTIQUE</t>
  </si>
  <si>
    <t>ESTIQUE PAMPA</t>
  </si>
  <si>
    <t>SITAJAR</t>
  </si>
  <si>
    <t>SUSAPAYA</t>
  </si>
  <si>
    <t>TURUCACHI</t>
  </si>
  <si>
    <t>TICACO</t>
  </si>
  <si>
    <t>CASITAS</t>
  </si>
  <si>
    <t>PUNTA SAL</t>
  </si>
  <si>
    <t>ZORRITOS</t>
  </si>
  <si>
    <t>CORRALES</t>
  </si>
  <si>
    <t>LA CRUZ</t>
  </si>
  <si>
    <t>PAMPAS DE HO</t>
  </si>
  <si>
    <t>SAN JACINTO</t>
  </si>
  <si>
    <t>AGUAS VERDES</t>
  </si>
  <si>
    <t>MATAPALO</t>
  </si>
  <si>
    <t>PAPAYAL</t>
  </si>
  <si>
    <t>RAIMONDI</t>
  </si>
  <si>
    <t>SEPAHUA</t>
  </si>
  <si>
    <t>TAHUANIA</t>
  </si>
  <si>
    <t>YURUA</t>
  </si>
  <si>
    <t>CALLERIA</t>
  </si>
  <si>
    <t>PUCALLPA</t>
  </si>
  <si>
    <t>CAMPOVERDE</t>
  </si>
  <si>
    <t>IPARIA</t>
  </si>
  <si>
    <t>MANANTAY</t>
  </si>
  <si>
    <t>MISISEA</t>
  </si>
  <si>
    <t>YARINACOCHA</t>
  </si>
  <si>
    <t>IRAZOLA</t>
  </si>
  <si>
    <t>Tipo de Documento</t>
  </si>
  <si>
    <t>DNI</t>
  </si>
  <si>
    <t>Carné de Identidad</t>
  </si>
  <si>
    <t>Carné de Extranjería</t>
  </si>
  <si>
    <t>Pasaporte</t>
  </si>
  <si>
    <t>Codigo</t>
  </si>
  <si>
    <t>Estado Civil</t>
  </si>
  <si>
    <t>S</t>
  </si>
  <si>
    <t>Soltero</t>
  </si>
  <si>
    <t>Casado</t>
  </si>
  <si>
    <t>C</t>
  </si>
  <si>
    <t>CV</t>
  </si>
  <si>
    <t>Conviviente</t>
  </si>
  <si>
    <t>V</t>
  </si>
  <si>
    <t>Viudo</t>
  </si>
  <si>
    <t>D</t>
  </si>
  <si>
    <t>Divorciado</t>
  </si>
  <si>
    <t>Sexo</t>
  </si>
  <si>
    <t>Masculino</t>
  </si>
  <si>
    <t>M</t>
  </si>
  <si>
    <t>F</t>
  </si>
  <si>
    <t>Femenino</t>
  </si>
  <si>
    <t>Plantilla para aperturas masivas de Cuenta Sueldo y CTS vía correo electrónico</t>
  </si>
  <si>
    <r>
      <rPr>
        <b/>
        <sz val="8"/>
        <color indexed="12"/>
        <rFont val="Arial"/>
        <family val="2"/>
      </rPr>
      <t>1</t>
    </r>
    <r>
      <rPr>
        <sz val="8"/>
        <color indexed="12"/>
        <rFont val="Arial"/>
        <family val="2"/>
      </rPr>
      <t xml:space="preserve"> = DNI</t>
    </r>
  </si>
  <si>
    <r>
      <rPr>
        <b/>
        <sz val="8"/>
        <color indexed="12"/>
        <rFont val="Arial"/>
        <family val="2"/>
      </rPr>
      <t xml:space="preserve">S </t>
    </r>
    <r>
      <rPr>
        <sz val="8"/>
        <color indexed="12"/>
        <rFont val="Arial"/>
        <family val="2"/>
      </rPr>
      <t xml:space="preserve"> = Soltero</t>
    </r>
  </si>
  <si>
    <r>
      <rPr>
        <b/>
        <sz val="8"/>
        <color indexed="12"/>
        <rFont val="Arial"/>
        <family val="2"/>
      </rPr>
      <t xml:space="preserve">F </t>
    </r>
    <r>
      <rPr>
        <sz val="8"/>
        <color indexed="12"/>
        <rFont val="Arial"/>
        <family val="2"/>
      </rPr>
      <t>= Femenino</t>
    </r>
  </si>
  <si>
    <r>
      <rPr>
        <b/>
        <sz val="8"/>
        <color indexed="12"/>
        <rFont val="Arial"/>
        <family val="2"/>
      </rPr>
      <t>C</t>
    </r>
    <r>
      <rPr>
        <sz val="8"/>
        <color indexed="12"/>
        <rFont val="Arial"/>
        <family val="2"/>
      </rPr>
      <t xml:space="preserve">  = Casado</t>
    </r>
  </si>
  <si>
    <r>
      <rPr>
        <b/>
        <sz val="8"/>
        <color indexed="12"/>
        <rFont val="Arial"/>
        <family val="2"/>
      </rPr>
      <t>M</t>
    </r>
    <r>
      <rPr>
        <sz val="8"/>
        <color indexed="12"/>
        <rFont val="Arial"/>
        <family val="2"/>
      </rPr>
      <t xml:space="preserve"> = Masculñino</t>
    </r>
  </si>
  <si>
    <r>
      <rPr>
        <b/>
        <sz val="8"/>
        <color indexed="12"/>
        <rFont val="Arial"/>
        <family val="2"/>
      </rPr>
      <t xml:space="preserve">3 </t>
    </r>
    <r>
      <rPr>
        <sz val="8"/>
        <color indexed="12"/>
        <rFont val="Arial"/>
        <family val="2"/>
      </rPr>
      <t>= Carné de Extranjería</t>
    </r>
  </si>
  <si>
    <r>
      <rPr>
        <b/>
        <sz val="8"/>
        <color indexed="12"/>
        <rFont val="Arial"/>
        <family val="2"/>
      </rPr>
      <t>CV</t>
    </r>
    <r>
      <rPr>
        <sz val="8"/>
        <color indexed="12"/>
        <rFont val="Arial"/>
        <family val="2"/>
      </rPr>
      <t>= Conviviente</t>
    </r>
  </si>
  <si>
    <r>
      <rPr>
        <b/>
        <sz val="8"/>
        <color indexed="12"/>
        <rFont val="Arial"/>
        <family val="2"/>
      </rPr>
      <t>4</t>
    </r>
    <r>
      <rPr>
        <sz val="8"/>
        <color indexed="12"/>
        <rFont val="Arial"/>
        <family val="2"/>
      </rPr>
      <t xml:space="preserve"> = Pasaporte</t>
    </r>
  </si>
  <si>
    <r>
      <rPr>
        <b/>
        <sz val="8"/>
        <color indexed="12"/>
        <rFont val="Arial"/>
        <family val="2"/>
      </rPr>
      <t>V</t>
    </r>
    <r>
      <rPr>
        <sz val="8"/>
        <color indexed="12"/>
        <rFont val="Arial"/>
        <family val="2"/>
      </rPr>
      <t xml:space="preserve">  = Viudo</t>
    </r>
  </si>
  <si>
    <r>
      <rPr>
        <b/>
        <sz val="8"/>
        <color indexed="12"/>
        <rFont val="Arial"/>
        <family val="2"/>
      </rPr>
      <t>D</t>
    </r>
    <r>
      <rPr>
        <sz val="8"/>
        <color indexed="12"/>
        <rFont val="Arial"/>
        <family val="2"/>
      </rPr>
      <t xml:space="preserve"> = Divorciado</t>
    </r>
  </si>
  <si>
    <r>
      <t>Señores</t>
    </r>
    <r>
      <rPr>
        <b/>
        <sz val="12"/>
        <color indexed="12"/>
        <rFont val="Arial"/>
        <family val="2"/>
      </rPr>
      <t xml:space="preserve"> </t>
    </r>
  </si>
  <si>
    <r>
      <t>Presente</t>
    </r>
    <r>
      <rPr>
        <sz val="12"/>
        <color indexed="12"/>
        <rFont val="Arial"/>
        <family val="2"/>
      </rPr>
      <t>.-</t>
    </r>
  </si>
  <si>
    <t>FERREÑAFE</t>
  </si>
  <si>
    <t>TAMBOPATA</t>
  </si>
  <si>
    <t>CAÑETE</t>
  </si>
  <si>
    <t>DANIEL CARRION</t>
  </si>
  <si>
    <t>PASCO</t>
  </si>
  <si>
    <t>LA CONVENCION</t>
  </si>
  <si>
    <t>MAGDALENA DEL MAR</t>
  </si>
  <si>
    <t>PISCOBAMBA</t>
  </si>
  <si>
    <t>JACOBO HUNTER</t>
  </si>
  <si>
    <t>JOSE LUIS BUSTAMANTE Y R.</t>
  </si>
  <si>
    <t>LA JOYA</t>
  </si>
  <si>
    <t>OCOÑA</t>
  </si>
  <si>
    <t>LOS BAÑOS DEL INCA</t>
  </si>
  <si>
    <t>CARMEN DE LA LEGUA</t>
  </si>
  <si>
    <t>CACHIMAYO</t>
  </si>
  <si>
    <t>LIMATAMBO</t>
  </si>
  <si>
    <t>PUCYURA</t>
  </si>
  <si>
    <t>ZURITE</t>
  </si>
  <si>
    <t>COYA</t>
  </si>
  <si>
    <t>LAMAY</t>
  </si>
  <si>
    <t>LARES</t>
  </si>
  <si>
    <t>PISAC</t>
  </si>
  <si>
    <t>TARAY</t>
  </si>
  <si>
    <t>YANATILE</t>
  </si>
  <si>
    <t>SAN SEBASTIAN</t>
  </si>
  <si>
    <t>CCAPI</t>
  </si>
  <si>
    <t>ACCHA</t>
  </si>
  <si>
    <t>COLCHA</t>
  </si>
  <si>
    <t>HUANOQUITE</t>
  </si>
  <si>
    <t>OMACHA</t>
  </si>
  <si>
    <t>PILLPINTO</t>
  </si>
  <si>
    <t>YAURISQUE</t>
  </si>
  <si>
    <t>CAICAY</t>
  </si>
  <si>
    <t>COLQUEPATA</t>
  </si>
  <si>
    <t>CHALLABAMBA</t>
  </si>
  <si>
    <t>HUANCARANI</t>
  </si>
  <si>
    <t>KOSNIPATA</t>
  </si>
  <si>
    <t>CAMANTI</t>
  </si>
  <si>
    <t>CCARHUAYO</t>
  </si>
  <si>
    <t>CCATCA</t>
  </si>
  <si>
    <t>CUSIPATA</t>
  </si>
  <si>
    <t>HUARO</t>
  </si>
  <si>
    <t>MARCAPATA</t>
  </si>
  <si>
    <t>OCANGATE</t>
  </si>
  <si>
    <t>QUIQUIJANA</t>
  </si>
  <si>
    <t>URCOS</t>
  </si>
  <si>
    <t>CHINCHERO</t>
  </si>
  <si>
    <t>MACHUPICCHU</t>
  </si>
  <si>
    <t>MARAS</t>
  </si>
  <si>
    <t>YUCAY</t>
  </si>
  <si>
    <t>CAJA</t>
  </si>
  <si>
    <t>MARCAS</t>
  </si>
  <si>
    <t>BAÑOS</t>
  </si>
  <si>
    <t>SAN ANDRES</t>
  </si>
  <si>
    <t>LEONOR ORDOÑEZ</t>
  </si>
  <si>
    <t>VICTOR LARCO HERRERA</t>
  </si>
  <si>
    <t>SAÑA</t>
  </si>
  <si>
    <t>SANTA CRUZ DE FLORES</t>
  </si>
  <si>
    <t>ZUÑIGA</t>
  </si>
  <si>
    <t>BREÑA</t>
  </si>
  <si>
    <t>LIMA CERCADO</t>
  </si>
  <si>
    <t>SAN BORJA</t>
  </si>
  <si>
    <t>SANTIAGO DE SURCO</t>
  </si>
  <si>
    <t>VILLA EL SALVADOR</t>
  </si>
  <si>
    <t>VILLA MARIA DEL TRIUNFO</t>
  </si>
  <si>
    <t>SIMON BOLIVAR</t>
  </si>
  <si>
    <t>PARIÑAS</t>
  </si>
  <si>
    <t>PLATERIA</t>
  </si>
  <si>
    <t>CUÑUNBUQUI</t>
  </si>
  <si>
    <t>ELIAS SOPLIN VARGAS</t>
  </si>
  <si>
    <t>NUEVA CAJAMARCA</t>
  </si>
  <si>
    <t>ALBERTO LEVEAU</t>
  </si>
  <si>
    <t>LA BANDA DE SHILCAYO</t>
  </si>
  <si>
    <t>CNEL. GREGORIO ALBARRACIN</t>
  </si>
  <si>
    <t>Bagua</t>
  </si>
  <si>
    <r>
      <t xml:space="preserve">Tipo de Via
</t>
    </r>
    <r>
      <rPr>
        <b/>
        <sz val="10"/>
        <color indexed="11"/>
        <rFont val="Arial"/>
        <family val="2"/>
      </rPr>
      <t>(seleccionar)</t>
    </r>
  </si>
  <si>
    <r>
      <t xml:space="preserve">Departamento
</t>
    </r>
    <r>
      <rPr>
        <b/>
        <sz val="10"/>
        <color indexed="11"/>
        <rFont val="Arial"/>
        <family val="2"/>
      </rPr>
      <t>(seleccionar)</t>
    </r>
  </si>
  <si>
    <r>
      <t xml:space="preserve">Provincia
</t>
    </r>
    <r>
      <rPr>
        <b/>
        <sz val="10"/>
        <color indexed="11"/>
        <rFont val="Arial"/>
        <family val="2"/>
      </rPr>
      <t>(seleccionar)</t>
    </r>
  </si>
  <si>
    <r>
      <t xml:space="preserve">Distrito
</t>
    </r>
    <r>
      <rPr>
        <b/>
        <sz val="10"/>
        <color indexed="11"/>
        <rFont val="Arial"/>
        <family val="2"/>
      </rPr>
      <t>(seleccionar)</t>
    </r>
  </si>
  <si>
    <r>
      <t xml:space="preserve">Dpto/Piso/Interior
</t>
    </r>
    <r>
      <rPr>
        <b/>
        <sz val="10"/>
        <color indexed="11"/>
        <rFont val="Arial"/>
        <family val="2"/>
      </rPr>
      <t>(opcional)</t>
    </r>
  </si>
  <si>
    <r>
      <t xml:space="preserve">Nombre de Via
</t>
    </r>
    <r>
      <rPr>
        <b/>
        <sz val="10"/>
        <color indexed="11"/>
        <rFont val="Arial"/>
        <family val="2"/>
      </rPr>
      <t>(ingresar)</t>
    </r>
  </si>
  <si>
    <r>
      <t xml:space="preserve">RUC
</t>
    </r>
    <r>
      <rPr>
        <b/>
        <sz val="10"/>
        <color indexed="11"/>
        <rFont val="Arial"/>
        <family val="2"/>
      </rPr>
      <t>(11 dígitos)</t>
    </r>
  </si>
  <si>
    <r>
      <t xml:space="preserve">Por favor complete los siguientes datos y </t>
    </r>
    <r>
      <rPr>
        <sz val="12"/>
        <color indexed="12"/>
        <rFont val="Arial"/>
        <family val="2"/>
      </rPr>
      <t>envíe este formato a la dirección:</t>
    </r>
    <r>
      <rPr>
        <i/>
        <sz val="12"/>
        <color indexed="12"/>
        <rFont val="Arial"/>
        <family val="2"/>
      </rPr>
      <t xml:space="preserve"> </t>
    </r>
    <r>
      <rPr>
        <b/>
        <sz val="14"/>
        <color indexed="12"/>
        <rFont val="Arial"/>
        <family val="2"/>
      </rPr>
      <t>cuentasueldoycts@bcp.com.pe</t>
    </r>
  </si>
  <si>
    <t>Luego de realizar la apertura de la cuenta, los trabajadores deberán acercarse a cualquiera de nuestras oficinas para poder entregarles su tarjeta Credimás y su clave secreta. Para asociar su Credimás a la nueva cuenta, el trabajador deberá mostrar su Documento de Identidad.</t>
  </si>
  <si>
    <r>
      <t xml:space="preserve">Teléfono (1)
</t>
    </r>
    <r>
      <rPr>
        <sz val="10"/>
        <color indexed="12"/>
        <rFont val="Arial"/>
        <family val="2"/>
      </rPr>
      <t>sin guiones</t>
    </r>
  </si>
  <si>
    <r>
      <t xml:space="preserve">Número de Via
</t>
    </r>
    <r>
      <rPr>
        <b/>
        <sz val="10"/>
        <color indexed="11"/>
        <rFont val="Arial"/>
        <family val="2"/>
      </rPr>
      <t>(ingresar)</t>
    </r>
  </si>
  <si>
    <t>Estado Civil (2)</t>
  </si>
  <si>
    <t>De acuerdo al Contrato de Condiciones Generales de Cuentas y Servicios del banco, los datos registrados en los campos “dirección”, “celular” y/o “e-mail” podrán ser utilizados comunicar modificaciones en tasas de interés, penalidades, comisiones y gastos que le generen mayores costos al cliente</t>
  </si>
  <si>
    <t>Aguaytia</t>
  </si>
  <si>
    <t>Chota</t>
  </si>
  <si>
    <t>Cutervo</t>
  </si>
  <si>
    <t>Huamachuco</t>
  </si>
  <si>
    <t>Pangoa</t>
  </si>
  <si>
    <t>Urubamba</t>
  </si>
  <si>
    <t>AGENCIA</t>
  </si>
  <si>
    <t>CODSUCAGE</t>
  </si>
  <si>
    <t>235</t>
  </si>
  <si>
    <t>335</t>
  </si>
  <si>
    <t>191</t>
  </si>
  <si>
    <t>194</t>
  </si>
  <si>
    <t>285</t>
  </si>
  <si>
    <t>193</t>
  </si>
  <si>
    <t>200</t>
  </si>
  <si>
    <t>481</t>
  </si>
  <si>
    <t>215</t>
  </si>
  <si>
    <t>205</t>
  </si>
  <si>
    <t>220</t>
  </si>
  <si>
    <t>232</t>
  </si>
  <si>
    <t>230</t>
  </si>
  <si>
    <t>250</t>
  </si>
  <si>
    <t>245</t>
  </si>
  <si>
    <t>585</t>
  </si>
  <si>
    <t>533</t>
  </si>
  <si>
    <t>535</t>
  </si>
  <si>
    <t>450</t>
  </si>
  <si>
    <t>435</t>
  </si>
  <si>
    <t>430</t>
  </si>
  <si>
    <t>513</t>
  </si>
  <si>
    <t>425</t>
  </si>
  <si>
    <t>440</t>
  </si>
  <si>
    <t>455</t>
  </si>
  <si>
    <t>401</t>
  </si>
  <si>
    <t>526</t>
  </si>
  <si>
    <t>470</t>
  </si>
  <si>
    <t>475</t>
  </si>
  <si>
    <t>485</t>
  </si>
  <si>
    <t>480</t>
  </si>
  <si>
    <t>515</t>
  </si>
  <si>
    <t>495</t>
  </si>
  <si>
    <t>505</t>
  </si>
  <si>
    <t>525</t>
  </si>
  <si>
    <t>540</t>
  </si>
  <si>
    <t>555</t>
  </si>
  <si>
    <t>565</t>
  </si>
  <si>
    <t>560</t>
  </si>
  <si>
    <t>545</t>
  </si>
  <si>
    <t>570</t>
  </si>
  <si>
    <t>445</t>
  </si>
  <si>
    <t>260</t>
  </si>
  <si>
    <t>280</t>
  </si>
  <si>
    <t>265</t>
  </si>
  <si>
    <t>290</t>
  </si>
  <si>
    <t>305</t>
  </si>
  <si>
    <t>300</t>
  </si>
  <si>
    <t>310</t>
  </si>
  <si>
    <t>318</t>
  </si>
  <si>
    <t>415</t>
  </si>
  <si>
    <t>410</t>
  </si>
  <si>
    <t>345</t>
  </si>
  <si>
    <t>316</t>
  </si>
  <si>
    <t>251</t>
  </si>
  <si>
    <t>350</t>
  </si>
  <si>
    <t>355</t>
  </si>
  <si>
    <t>375</t>
  </si>
  <si>
    <t>380</t>
  </si>
  <si>
    <t>390</t>
  </si>
  <si>
    <t>395</t>
  </si>
  <si>
    <t>400</t>
  </si>
  <si>
    <t>405</t>
  </si>
  <si>
    <t>420</t>
  </si>
  <si>
    <t>403</t>
  </si>
  <si>
    <t>Callao</t>
  </si>
  <si>
    <t>Sede Central (La Molina)</t>
  </si>
  <si>
    <t>Cañete</t>
  </si>
  <si>
    <t>Chancay</t>
  </si>
  <si>
    <t>Cusco</t>
  </si>
  <si>
    <t>El Carmen</t>
  </si>
  <si>
    <t>Huánuco</t>
  </si>
  <si>
    <t>Huaral</t>
  </si>
  <si>
    <t>La Oroya</t>
  </si>
  <si>
    <t>Tacna</t>
  </si>
  <si>
    <t>Tarapoto</t>
  </si>
  <si>
    <t>Tumbes</t>
  </si>
  <si>
    <t>550</t>
  </si>
  <si>
    <t>575</t>
  </si>
  <si>
    <t>192</t>
  </si>
  <si>
    <t>255</t>
  </si>
  <si>
    <t>295</t>
  </si>
  <si>
    <t>315</t>
  </si>
  <si>
    <t>365</t>
  </si>
  <si>
    <t>370</t>
  </si>
  <si>
    <t>Virú</t>
  </si>
  <si>
    <t>Huaraz (Provincia)</t>
  </si>
  <si>
    <t>Ilo</t>
  </si>
  <si>
    <t>Huanta</t>
  </si>
  <si>
    <t>Huari (Container)</t>
  </si>
  <si>
    <t>CodNacionalidad</t>
  </si>
  <si>
    <t>Descripcion</t>
  </si>
  <si>
    <t>AFG</t>
  </si>
  <si>
    <t>AFGANISTAN</t>
  </si>
  <si>
    <t>ALB</t>
  </si>
  <si>
    <t>ALBANIA</t>
  </si>
  <si>
    <t>ALE</t>
  </si>
  <si>
    <t>ALEMANIA</t>
  </si>
  <si>
    <t>AND</t>
  </si>
  <si>
    <t>ANDORRA</t>
  </si>
  <si>
    <t>ANG</t>
  </si>
  <si>
    <t>ANGOLA</t>
  </si>
  <si>
    <t>AGU</t>
  </si>
  <si>
    <t>ANGUILLA</t>
  </si>
  <si>
    <t>ANT</t>
  </si>
  <si>
    <t>ANTIGUA BARBUDA</t>
  </si>
  <si>
    <t>NEA</t>
  </si>
  <si>
    <t>ANTILLAS HOLANDESAS</t>
  </si>
  <si>
    <t>SAU</t>
  </si>
  <si>
    <t>ARABIA SAUDITA</t>
  </si>
  <si>
    <t>ALG</t>
  </si>
  <si>
    <t>ARGELIA</t>
  </si>
  <si>
    <t>ARG</t>
  </si>
  <si>
    <t>ARGENTINA</t>
  </si>
  <si>
    <t>ARM</t>
  </si>
  <si>
    <t>ARMENIA</t>
  </si>
  <si>
    <t>ARU</t>
  </si>
  <si>
    <t>ARUBA</t>
  </si>
  <si>
    <t>AUT</t>
  </si>
  <si>
    <t>AUSTRALIA</t>
  </si>
  <si>
    <t>AUS</t>
  </si>
  <si>
    <t>AUSTRIA</t>
  </si>
  <si>
    <t>AZE</t>
  </si>
  <si>
    <t>AZERBAIYAN</t>
  </si>
  <si>
    <t>AZO</t>
  </si>
  <si>
    <t>AZORES</t>
  </si>
  <si>
    <t>BAH</t>
  </si>
  <si>
    <t>BAHAMAS</t>
  </si>
  <si>
    <t>BAI</t>
  </si>
  <si>
    <t>BAHREIN</t>
  </si>
  <si>
    <t>BAN</t>
  </si>
  <si>
    <t>BANGLADESH</t>
  </si>
  <si>
    <t>BAR</t>
  </si>
  <si>
    <t>BARBADOS</t>
  </si>
  <si>
    <t>BLR</t>
  </si>
  <si>
    <t>BELARUS</t>
  </si>
  <si>
    <t>BEL</t>
  </si>
  <si>
    <t>BELGICA</t>
  </si>
  <si>
    <t>BEI</t>
  </si>
  <si>
    <t>BELICE</t>
  </si>
  <si>
    <t>BEN</t>
  </si>
  <si>
    <t>BENIN</t>
  </si>
  <si>
    <t>BER</t>
  </si>
  <si>
    <t>BERMUDAS</t>
  </si>
  <si>
    <t>BHU</t>
  </si>
  <si>
    <t>BHUTAN</t>
  </si>
  <si>
    <t>BIE</t>
  </si>
  <si>
    <t>BIELORRUSIA</t>
  </si>
  <si>
    <t>BOL</t>
  </si>
  <si>
    <t>BOLIVIA</t>
  </si>
  <si>
    <t>BOS</t>
  </si>
  <si>
    <t>BOSNIA-HERZEGOVINA</t>
  </si>
  <si>
    <t>BOT</t>
  </si>
  <si>
    <t>BOTSWANA</t>
  </si>
  <si>
    <t>BRA</t>
  </si>
  <si>
    <t>BRASIL</t>
  </si>
  <si>
    <t>BRU</t>
  </si>
  <si>
    <t>BRUNEI</t>
  </si>
  <si>
    <t>BUL</t>
  </si>
  <si>
    <t>BULGARIA</t>
  </si>
  <si>
    <t>BFA</t>
  </si>
  <si>
    <t>BURKINA FASO</t>
  </si>
  <si>
    <t>BUR</t>
  </si>
  <si>
    <t>BURMA</t>
  </si>
  <si>
    <t>BUU</t>
  </si>
  <si>
    <t>BURUNDI</t>
  </si>
  <si>
    <t>CVE</t>
  </si>
  <si>
    <t>CABO VERDE</t>
  </si>
  <si>
    <t>KHM</t>
  </si>
  <si>
    <t>CAMBOYA</t>
  </si>
  <si>
    <t>CAM</t>
  </si>
  <si>
    <t>CAMERUM</t>
  </si>
  <si>
    <t>CAN</t>
  </si>
  <si>
    <t>CANADA</t>
  </si>
  <si>
    <t>CHA</t>
  </si>
  <si>
    <t>CHAD</t>
  </si>
  <si>
    <t>CZE</t>
  </si>
  <si>
    <t>CHECOSLOVAQUIA</t>
  </si>
  <si>
    <t>CHI</t>
  </si>
  <si>
    <t>CHILE</t>
  </si>
  <si>
    <t>CHN</t>
  </si>
  <si>
    <t>CHINA REPUBLICA POPULAR DE</t>
  </si>
  <si>
    <t>CUP</t>
  </si>
  <si>
    <t>CHIPRE</t>
  </si>
  <si>
    <t>COL</t>
  </si>
  <si>
    <t>COLOMBIA</t>
  </si>
  <si>
    <t>COM</t>
  </si>
  <si>
    <t>COMORES</t>
  </si>
  <si>
    <t>CON</t>
  </si>
  <si>
    <t>CONGO REPUBLICA POPULAR DEL</t>
  </si>
  <si>
    <t>KOR</t>
  </si>
  <si>
    <t>COREA REPUBLICA DE</t>
  </si>
  <si>
    <t>KON</t>
  </si>
  <si>
    <t>COREA REPUBLICA DEMOCRATICA POPULAR DE</t>
  </si>
  <si>
    <t>ICO</t>
  </si>
  <si>
    <t>COSTA DE MARFIL</t>
  </si>
  <si>
    <t>CRI</t>
  </si>
  <si>
    <t>COSTA RICA</t>
  </si>
  <si>
    <t>CRO</t>
  </si>
  <si>
    <t>CROACIA</t>
  </si>
  <si>
    <t>CUB</t>
  </si>
  <si>
    <t>CUBA</t>
  </si>
  <si>
    <t>CUR</t>
  </si>
  <si>
    <t>CURAZAO</t>
  </si>
  <si>
    <t>DEN</t>
  </si>
  <si>
    <t>DINAMARCA</t>
  </si>
  <si>
    <t>DJI</t>
  </si>
  <si>
    <t>DJIBOUTI</t>
  </si>
  <si>
    <t>DOM</t>
  </si>
  <si>
    <t>DOMINICA</t>
  </si>
  <si>
    <t>ECU</t>
  </si>
  <si>
    <t>ECUADOR</t>
  </si>
  <si>
    <t>EGI</t>
  </si>
  <si>
    <t>EGIPTO</t>
  </si>
  <si>
    <t>ELS</t>
  </si>
  <si>
    <t>EL SALVADOR</t>
  </si>
  <si>
    <t>UAE</t>
  </si>
  <si>
    <t>EMIRATOS ARABES UNIDOS</t>
  </si>
  <si>
    <t>SLK</t>
  </si>
  <si>
    <t>ESLOVAQUIA</t>
  </si>
  <si>
    <t>SLO</t>
  </si>
  <si>
    <t>ESLOVENIA</t>
  </si>
  <si>
    <t>ESP</t>
  </si>
  <si>
    <t>ESPANA</t>
  </si>
  <si>
    <t>USA</t>
  </si>
  <si>
    <t>ESTADOS UNIDOS DE AMERICA</t>
  </si>
  <si>
    <t>EST</t>
  </si>
  <si>
    <t>ESTONIA</t>
  </si>
  <si>
    <t>ETH</t>
  </si>
  <si>
    <t>ETIOPIA</t>
  </si>
  <si>
    <t>FIJ</t>
  </si>
  <si>
    <t>FIJI</t>
  </si>
  <si>
    <t>PHI</t>
  </si>
  <si>
    <t>FILIPINAS</t>
  </si>
  <si>
    <t>FIN</t>
  </si>
  <si>
    <t>FINLANDIA</t>
  </si>
  <si>
    <t>FRA</t>
  </si>
  <si>
    <t>FRANCIA</t>
  </si>
  <si>
    <t>GAB</t>
  </si>
  <si>
    <t>GABON</t>
  </si>
  <si>
    <t>GAM</t>
  </si>
  <si>
    <t>GAMBIA</t>
  </si>
  <si>
    <t>GEO</t>
  </si>
  <si>
    <t>GEORGIA</t>
  </si>
  <si>
    <t>GHA</t>
  </si>
  <si>
    <t>GHANA</t>
  </si>
  <si>
    <t>GRA</t>
  </si>
  <si>
    <t>GRE</t>
  </si>
  <si>
    <t>GRECIA</t>
  </si>
  <si>
    <t>GRN</t>
  </si>
  <si>
    <t>GROENLANDIA</t>
  </si>
  <si>
    <t>GUA</t>
  </si>
  <si>
    <t>GUM</t>
  </si>
  <si>
    <t>GUAM</t>
  </si>
  <si>
    <t>GUT</t>
  </si>
  <si>
    <t>GUATEMALA</t>
  </si>
  <si>
    <t>GUI</t>
  </si>
  <si>
    <t>GUINEA</t>
  </si>
  <si>
    <t>GUB</t>
  </si>
  <si>
    <t>GUINEA BISSAU</t>
  </si>
  <si>
    <t>EQG</t>
  </si>
  <si>
    <t>GUINEA ECUATORIAL</t>
  </si>
  <si>
    <t>GUY</t>
  </si>
  <si>
    <t>GUYANA</t>
  </si>
  <si>
    <t>FGU</t>
  </si>
  <si>
    <t>GUYANA FRANCESA</t>
  </si>
  <si>
    <t>HAI</t>
  </si>
  <si>
    <t>HAITI</t>
  </si>
  <si>
    <t>HON</t>
  </si>
  <si>
    <t>HONDURAS</t>
  </si>
  <si>
    <t>HKG</t>
  </si>
  <si>
    <t>HONG KONG</t>
  </si>
  <si>
    <t>HUN</t>
  </si>
  <si>
    <t>HUNGRIA</t>
  </si>
  <si>
    <t>IND</t>
  </si>
  <si>
    <t>INDIA</t>
  </si>
  <si>
    <t>INO</t>
  </si>
  <si>
    <t>INDONESIA</t>
  </si>
  <si>
    <t>IRA</t>
  </si>
  <si>
    <t>IRAN</t>
  </si>
  <si>
    <t>IRQ</t>
  </si>
  <si>
    <t>IRAQ</t>
  </si>
  <si>
    <t>IRE</t>
  </si>
  <si>
    <t>IRLANDA</t>
  </si>
  <si>
    <t>ISL</t>
  </si>
  <si>
    <t>ISLANDIA</t>
  </si>
  <si>
    <t>CAY</t>
  </si>
  <si>
    <t>ISLAS CAIMANES</t>
  </si>
  <si>
    <t>COC</t>
  </si>
  <si>
    <t>ISLAS COCOS</t>
  </si>
  <si>
    <t>COO</t>
  </si>
  <si>
    <t>ISLAS COOK</t>
  </si>
  <si>
    <t>FAL</t>
  </si>
  <si>
    <t>ISLAS MALVINAS</t>
  </si>
  <si>
    <t>NMI</t>
  </si>
  <si>
    <t>ISLAS MARIANAS</t>
  </si>
  <si>
    <t>MSH</t>
  </si>
  <si>
    <t>ISLAS MARSHALL</t>
  </si>
  <si>
    <t>NOF</t>
  </si>
  <si>
    <t>ISLAS NORFOLK</t>
  </si>
  <si>
    <t>SOL</t>
  </si>
  <si>
    <t>ISLAS SALOMON</t>
  </si>
  <si>
    <t>TUC</t>
  </si>
  <si>
    <t>ISLAS TURCA Y CAICOS</t>
  </si>
  <si>
    <t>USV</t>
  </si>
  <si>
    <t>ISLAS VIRGENES AMERICANAS</t>
  </si>
  <si>
    <t>VIB</t>
  </si>
  <si>
    <t>ISLAS VIRGENES BRITANICAS</t>
  </si>
  <si>
    <t>ISR</t>
  </si>
  <si>
    <t>ISRAEL</t>
  </si>
  <si>
    <t>ITA</t>
  </si>
  <si>
    <t>ITALIA</t>
  </si>
  <si>
    <t>JAM</t>
  </si>
  <si>
    <t>JAMAICA</t>
  </si>
  <si>
    <t>JAP</t>
  </si>
  <si>
    <t>JAPON</t>
  </si>
  <si>
    <t>JOR</t>
  </si>
  <si>
    <t>JORDANIA</t>
  </si>
  <si>
    <t>KAN</t>
  </si>
  <si>
    <t>KANAKY</t>
  </si>
  <si>
    <t>KAZ</t>
  </si>
  <si>
    <t>KAZAJSTAN</t>
  </si>
  <si>
    <t>KEN</t>
  </si>
  <si>
    <t>KENYA</t>
  </si>
  <si>
    <t>KGZ</t>
  </si>
  <si>
    <t>KIRGUISTAN</t>
  </si>
  <si>
    <t>KIR</t>
  </si>
  <si>
    <t>KIRIBATI</t>
  </si>
  <si>
    <t>KUW</t>
  </si>
  <si>
    <t>KUWAIT</t>
  </si>
  <si>
    <t>LAO</t>
  </si>
  <si>
    <t>LAO REPUBLICA DEMOCRATICA POPULAR DE</t>
  </si>
  <si>
    <t>LAT</t>
  </si>
  <si>
    <t>LATVIA</t>
  </si>
  <si>
    <t>LES</t>
  </si>
  <si>
    <t>LESOTHO</t>
  </si>
  <si>
    <t>LET</t>
  </si>
  <si>
    <t>LETONIA</t>
  </si>
  <si>
    <t>LEB</t>
  </si>
  <si>
    <t>LIBANO</t>
  </si>
  <si>
    <t>LBR</t>
  </si>
  <si>
    <t>LIBERIA</t>
  </si>
  <si>
    <t>LBY</t>
  </si>
  <si>
    <t>LIBIA</t>
  </si>
  <si>
    <t>LIE</t>
  </si>
  <si>
    <t>LIECHTENSTEIN</t>
  </si>
  <si>
    <t>LIT</t>
  </si>
  <si>
    <t>LITUANIA</t>
  </si>
  <si>
    <t>LUX</t>
  </si>
  <si>
    <t>LUXEMBURGO</t>
  </si>
  <si>
    <t>MKD</t>
  </si>
  <si>
    <t>MACEDONIA REPUBLICA DE</t>
  </si>
  <si>
    <t>MAG</t>
  </si>
  <si>
    <t>MADAGASCAR</t>
  </si>
  <si>
    <t>MAA</t>
  </si>
  <si>
    <t>MALASIA, FEDERACION DE</t>
  </si>
  <si>
    <t>MAW</t>
  </si>
  <si>
    <t>MALAWI</t>
  </si>
  <si>
    <t>MAD</t>
  </si>
  <si>
    <t>MALDIVAS</t>
  </si>
  <si>
    <t>MAI</t>
  </si>
  <si>
    <t>MALI</t>
  </si>
  <si>
    <t>MAL</t>
  </si>
  <si>
    <t>MALTA</t>
  </si>
  <si>
    <t>MOR</t>
  </si>
  <si>
    <t>MARRUECOS</t>
  </si>
  <si>
    <t>MAR</t>
  </si>
  <si>
    <t>MARTINICA</t>
  </si>
  <si>
    <t>MAU</t>
  </si>
  <si>
    <t>MAURICIO</t>
  </si>
  <si>
    <t>MAT</t>
  </si>
  <si>
    <t>MAURITANIA</t>
  </si>
  <si>
    <t>MEX</t>
  </si>
  <si>
    <t>MEXICO</t>
  </si>
  <si>
    <t>MCS</t>
  </si>
  <si>
    <t>MICRONESIA ESTADOS FEDERADOS DE</t>
  </si>
  <si>
    <t>MOE</t>
  </si>
  <si>
    <t>MOGEROA</t>
  </si>
  <si>
    <t>MOL</t>
  </si>
  <si>
    <t>MOLDOVA</t>
  </si>
  <si>
    <t>MON</t>
  </si>
  <si>
    <t>MONACO PRINCIPADO DE</t>
  </si>
  <si>
    <t>MOG</t>
  </si>
  <si>
    <t>MONGOLIA</t>
  </si>
  <si>
    <t>MOT</t>
  </si>
  <si>
    <t>MONTSERRAT</t>
  </si>
  <si>
    <t>MOZ</t>
  </si>
  <si>
    <t>MONZAMBIQUE</t>
  </si>
  <si>
    <t>MMR</t>
  </si>
  <si>
    <t>MYANMAR</t>
  </si>
  <si>
    <t>NAM</t>
  </si>
  <si>
    <t>NAMIBIA</t>
  </si>
  <si>
    <t>NAU</t>
  </si>
  <si>
    <t>NAURU</t>
  </si>
  <si>
    <t>NPL</t>
  </si>
  <si>
    <t>NEPAL</t>
  </si>
  <si>
    <t>NIC</t>
  </si>
  <si>
    <t>NICARAGUA</t>
  </si>
  <si>
    <t>NER</t>
  </si>
  <si>
    <t>NIGER</t>
  </si>
  <si>
    <t>NIG</t>
  </si>
  <si>
    <t>NIGERIA</t>
  </si>
  <si>
    <t>NIU</t>
  </si>
  <si>
    <t>NIUE</t>
  </si>
  <si>
    <t>NDI</t>
  </si>
  <si>
    <t>NO DIO INFORMACION</t>
  </si>
  <si>
    <t>NOR</t>
  </si>
  <si>
    <t>NORUEGA</t>
  </si>
  <si>
    <t>NEW</t>
  </si>
  <si>
    <t>NUEVA CALEDONIA</t>
  </si>
  <si>
    <t>NEZ</t>
  </si>
  <si>
    <t>NUEVA ZELANDIA</t>
  </si>
  <si>
    <t>OMA</t>
  </si>
  <si>
    <t>OMAN</t>
  </si>
  <si>
    <t>AFR</t>
  </si>
  <si>
    <t>OTROS PAISES DE AFRICA</t>
  </si>
  <si>
    <t>AME</t>
  </si>
  <si>
    <t>OTROS PAISES DE AMERICA</t>
  </si>
  <si>
    <t>ASI</t>
  </si>
  <si>
    <t>OTROS PAISES DE ASIA</t>
  </si>
  <si>
    <t>EUR</t>
  </si>
  <si>
    <t>OTROS PAISES DE EUROPA</t>
  </si>
  <si>
    <t>OCE</t>
  </si>
  <si>
    <t>OTROS PAISES DE OCEANIA</t>
  </si>
  <si>
    <t>HOL</t>
  </si>
  <si>
    <t>PAISES BAJOS (HOLANDA)</t>
  </si>
  <si>
    <t>PAK</t>
  </si>
  <si>
    <t>PAKISTAN</t>
  </si>
  <si>
    <t>PAL</t>
  </si>
  <si>
    <t>PALESTINA</t>
  </si>
  <si>
    <t>PAN</t>
  </si>
  <si>
    <t>PANAMA</t>
  </si>
  <si>
    <t>PAP</t>
  </si>
  <si>
    <t>PAPUA NUEVA GUINEA</t>
  </si>
  <si>
    <t>PAR</t>
  </si>
  <si>
    <t>PARAGUAY</t>
  </si>
  <si>
    <t>PER</t>
  </si>
  <si>
    <t>PERU</t>
  </si>
  <si>
    <t>FPO</t>
  </si>
  <si>
    <t>POLINESIA FRANCESA</t>
  </si>
  <si>
    <t>POL</t>
  </si>
  <si>
    <t>POLONIA</t>
  </si>
  <si>
    <t>POR</t>
  </si>
  <si>
    <t>PORTUGAL</t>
  </si>
  <si>
    <t>PRI</t>
  </si>
  <si>
    <t>PUERTO RICO</t>
  </si>
  <si>
    <t>QAT</t>
  </si>
  <si>
    <t>QATAR</t>
  </si>
  <si>
    <t>UKI</t>
  </si>
  <si>
    <t>REINO UNIDO</t>
  </si>
  <si>
    <t>CAF</t>
  </si>
  <si>
    <t>REPUBLICA CENTROAFRICANA</t>
  </si>
  <si>
    <t>CZR</t>
  </si>
  <si>
    <t>REPUBLICA CHECA</t>
  </si>
  <si>
    <t>DRE</t>
  </si>
  <si>
    <t>REPUBLICA DOMINICANA</t>
  </si>
  <si>
    <t>REU</t>
  </si>
  <si>
    <t>REUNION</t>
  </si>
  <si>
    <t>ROM</t>
  </si>
  <si>
    <t>RUMANIA</t>
  </si>
  <si>
    <t>RUS</t>
  </si>
  <si>
    <t>RUSIA FEDERACION DE</t>
  </si>
  <si>
    <t>RWA</t>
  </si>
  <si>
    <t>RWANDA</t>
  </si>
  <si>
    <t>SAH</t>
  </si>
  <si>
    <t>SAHARA</t>
  </si>
  <si>
    <t>SAM</t>
  </si>
  <si>
    <t>SAMOA OCCIDENTAL</t>
  </si>
  <si>
    <t>STK</t>
  </si>
  <si>
    <t>SAN CRISTOBAL Y NEVIS</t>
  </si>
  <si>
    <t>SAN</t>
  </si>
  <si>
    <t>SAN MARINO</t>
  </si>
  <si>
    <t>STV</t>
  </si>
  <si>
    <t>SAN VINCENTE Y LAS GRANADINAS</t>
  </si>
  <si>
    <t>STH</t>
  </si>
  <si>
    <t>SANTA ELENA</t>
  </si>
  <si>
    <t>STL</t>
  </si>
  <si>
    <t>VAT</t>
  </si>
  <si>
    <t>SANTA SEDE (VATICANO)</t>
  </si>
  <si>
    <t>SAT</t>
  </si>
  <si>
    <t>SANTO TOME Y PRINCIPE</t>
  </si>
  <si>
    <t>SEN</t>
  </si>
  <si>
    <t>SENEGAL</t>
  </si>
  <si>
    <t>SER</t>
  </si>
  <si>
    <t>SERBIA Y MONTENEGRO</t>
  </si>
  <si>
    <t>SEY</t>
  </si>
  <si>
    <t>SEYCHELLES</t>
  </si>
  <si>
    <t>SLE</t>
  </si>
  <si>
    <t>SIERRA LEONA</t>
  </si>
  <si>
    <t>SIN</t>
  </si>
  <si>
    <t>SINGAPUR</t>
  </si>
  <si>
    <t>SYR</t>
  </si>
  <si>
    <t>SIRIA</t>
  </si>
  <si>
    <t>SOM</t>
  </si>
  <si>
    <t>SOMALIA</t>
  </si>
  <si>
    <t>SRI</t>
  </si>
  <si>
    <t>SRI LANKA (CEILAN)</t>
  </si>
  <si>
    <t>SAF</t>
  </si>
  <si>
    <t>SUDAFRICA</t>
  </si>
  <si>
    <t>SUD</t>
  </si>
  <si>
    <t>SUDAN</t>
  </si>
  <si>
    <t>SWE</t>
  </si>
  <si>
    <t>SUECIA</t>
  </si>
  <si>
    <t>SWI</t>
  </si>
  <si>
    <t>SUIZA</t>
  </si>
  <si>
    <t>SUR</t>
  </si>
  <si>
    <t>SURINAME</t>
  </si>
  <si>
    <t>SWA</t>
  </si>
  <si>
    <t>SWAZILANDIA</t>
  </si>
  <si>
    <t>THA</t>
  </si>
  <si>
    <t>TAILANDIA</t>
  </si>
  <si>
    <t>TAW</t>
  </si>
  <si>
    <t>TAIWAN (CHINA NACIONALISTA)</t>
  </si>
  <si>
    <t>TAN</t>
  </si>
  <si>
    <t>TANZANIA</t>
  </si>
  <si>
    <t>TJK</t>
  </si>
  <si>
    <t>TAYISKISTAN</t>
  </si>
  <si>
    <t>TIM</t>
  </si>
  <si>
    <t>TIMOR ORIENTAL</t>
  </si>
  <si>
    <t>TOG</t>
  </si>
  <si>
    <t>TOGO</t>
  </si>
  <si>
    <t>TOK</t>
  </si>
  <si>
    <t>TOKELAU</t>
  </si>
  <si>
    <t>TON</t>
  </si>
  <si>
    <t>TONGA</t>
  </si>
  <si>
    <t>TRI</t>
  </si>
  <si>
    <t>TRINIDAD Y TOBAGO</t>
  </si>
  <si>
    <t>TUN</t>
  </si>
  <si>
    <t>TUNEZ</t>
  </si>
  <si>
    <t>TKM</t>
  </si>
  <si>
    <t>TURKMENISTAN</t>
  </si>
  <si>
    <t>TUR</t>
  </si>
  <si>
    <t>TURQUIA</t>
  </si>
  <si>
    <t>TUV</t>
  </si>
  <si>
    <t>TUVALU</t>
  </si>
  <si>
    <t>UCR</t>
  </si>
  <si>
    <t>UCRANIA</t>
  </si>
  <si>
    <t>UGA</t>
  </si>
  <si>
    <t>UGANDA</t>
  </si>
  <si>
    <t>URU</t>
  </si>
  <si>
    <t>URUGUAY</t>
  </si>
  <si>
    <t>UZB</t>
  </si>
  <si>
    <t>UZBEKISTAN</t>
  </si>
  <si>
    <t>VAN</t>
  </si>
  <si>
    <t>VANUATU</t>
  </si>
  <si>
    <t>VEN</t>
  </si>
  <si>
    <t>VENEZUELA</t>
  </si>
  <si>
    <t>VIE</t>
  </si>
  <si>
    <t>VIET NAM</t>
  </si>
  <si>
    <t>YEM</t>
  </si>
  <si>
    <t>YEMEN REPUBLICA DE</t>
  </si>
  <si>
    <t>YUG</t>
  </si>
  <si>
    <t>YUGOSLAVIA REPUBLICA FEDERAL DE</t>
  </si>
  <si>
    <t>ZAI</t>
  </si>
  <si>
    <t>ZAIRE</t>
  </si>
  <si>
    <t>ZAM</t>
  </si>
  <si>
    <t>ZAMBIA</t>
  </si>
  <si>
    <t>ZIM</t>
  </si>
  <si>
    <t>ZIMBABWE</t>
  </si>
  <si>
    <t>Chincha</t>
  </si>
  <si>
    <t>Enalta Chacarilla</t>
  </si>
  <si>
    <t>717</t>
  </si>
  <si>
    <t>Mall del Sur</t>
  </si>
  <si>
    <t>705</t>
  </si>
  <si>
    <t>FLAG</t>
  </si>
  <si>
    <t>N</t>
  </si>
  <si>
    <t/>
  </si>
  <si>
    <r>
      <t xml:space="preserve">Sucursal del Trabajador
</t>
    </r>
    <r>
      <rPr>
        <b/>
        <sz val="10"/>
        <color indexed="11"/>
        <rFont val="Arial"/>
        <family val="2"/>
      </rPr>
      <t>(Seleccionar)</t>
    </r>
  </si>
  <si>
    <t>Huaraz</t>
  </si>
  <si>
    <t>376</t>
  </si>
  <si>
    <r>
      <t xml:space="preserve">Sucursal 
</t>
    </r>
    <r>
      <rPr>
        <b/>
        <sz val="10"/>
        <color indexed="11"/>
        <rFont val="Arial"/>
        <family val="2"/>
      </rPr>
      <t>(seleccionar)</t>
    </r>
  </si>
  <si>
    <r>
      <rPr>
        <b/>
        <sz val="10"/>
        <color indexed="12"/>
        <rFont val="Arial"/>
        <family val="2"/>
      </rPr>
      <t xml:space="preserve">Número 
</t>
    </r>
    <r>
      <rPr>
        <sz val="9"/>
        <color indexed="12"/>
        <rFont val="Arial"/>
        <family val="2"/>
      </rPr>
      <t xml:space="preserve">Dpto/Piso/Interior         </t>
    </r>
    <r>
      <rPr>
        <b/>
        <sz val="9"/>
        <color theme="9" tint="0.39997558519241921"/>
        <rFont val="Arial"/>
        <family val="2"/>
      </rPr>
      <t xml:space="preserve"> </t>
    </r>
    <r>
      <rPr>
        <b/>
        <sz val="9"/>
        <color theme="9" tint="-0.249977111117893"/>
        <rFont val="Arial"/>
        <family val="2"/>
      </rPr>
      <t>(opcional)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</si>
</sst>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dd\-mm\-yy"/>
  </numFmts>
  <fonts count="63" x14ac:knownFonts="1">
    <font>
      <sz val="10"/>
      <name val="Arial"/>
    </font>
    <font>
      <u/>
      <sz val="10"/>
      <color indexed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2"/>
      <color indexed="81"/>
      <name val="Arial"/>
      <family val="2"/>
    </font>
    <font>
      <b/>
      <sz val="12"/>
      <color indexed="81"/>
      <name val="Arial"/>
      <family val="2"/>
    </font>
    <font>
      <sz val="8"/>
      <color indexed="12"/>
      <name val="Arial"/>
      <family val="2"/>
    </font>
    <font>
      <sz val="12"/>
      <color indexed="12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b/>
      <sz val="8"/>
      <color indexed="12"/>
      <name val="Arial"/>
      <family val="2"/>
    </font>
    <font>
      <i/>
      <sz val="12"/>
      <color indexed="12"/>
      <name val="Arial"/>
      <family val="2"/>
    </font>
    <font>
      <sz val="8"/>
      <color indexed="10"/>
      <name val="Arial"/>
      <family val="2"/>
    </font>
    <font>
      <sz val="12"/>
      <color indexed="10"/>
      <name val="Arial Unicode MS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1"/>
      <name val="Arial"/>
      <family val="2"/>
    </font>
    <font>
      <b/>
      <sz val="9"/>
      <color indexed="39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39"/>
      <name val="Tahoma"/>
      <family val="2"/>
    </font>
    <font>
      <sz val="9"/>
      <color indexed="12"/>
      <name val="Arial"/>
      <family val="2"/>
    </font>
    <font>
      <b/>
      <sz val="10"/>
      <color indexed="39"/>
      <name val="Tahoma"/>
      <family val="2"/>
    </font>
    <font>
      <b/>
      <sz val="8"/>
      <color indexed="16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4"/>
      <color theme="3"/>
      <name val="Arial"/>
      <family val="2"/>
    </font>
    <font>
      <sz val="10"/>
      <color theme="3"/>
      <name val="Arial"/>
      <family val="2"/>
    </font>
    <font>
      <b/>
      <sz val="15"/>
      <color theme="3"/>
      <name val="Arial"/>
      <family val="2"/>
    </font>
    <font>
      <sz val="8"/>
      <color theme="3"/>
      <name val="Arial"/>
      <family val="2"/>
    </font>
    <font>
      <sz val="12"/>
      <color theme="3"/>
      <name val="Arial"/>
      <family val="2"/>
    </font>
    <font>
      <b/>
      <i/>
      <sz val="16"/>
      <color theme="3"/>
      <name val="Arial"/>
      <family val="2"/>
    </font>
    <font>
      <b/>
      <sz val="10"/>
      <color theme="3"/>
      <name val="Arial"/>
      <family val="2"/>
    </font>
    <font>
      <b/>
      <sz val="12"/>
      <color theme="3"/>
      <name val="Arial"/>
      <family val="2"/>
    </font>
    <font>
      <b/>
      <sz val="14"/>
      <color theme="3"/>
      <name val="Arial"/>
      <family val="2"/>
    </font>
    <font>
      <sz val="16"/>
      <color theme="3"/>
      <name val="Arial"/>
      <family val="2"/>
    </font>
    <font>
      <sz val="11"/>
      <color theme="3"/>
      <name val="Arial"/>
      <family val="2"/>
    </font>
    <font>
      <u/>
      <sz val="10"/>
      <color theme="3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theme="0"/>
      <name val="Arial"/>
      <family val="2"/>
    </font>
    <font>
      <b/>
      <sz val="15"/>
      <color theme="0"/>
      <name val="Arial"/>
      <family val="2"/>
    </font>
    <font>
      <sz val="12"/>
      <color theme="0"/>
      <name val="Arial"/>
      <family val="2"/>
    </font>
    <font>
      <u/>
      <sz val="12"/>
      <color theme="3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color theme="0" tint="-0.34998626667073579"/>
      <name val="Arial"/>
      <family val="2"/>
    </font>
    <font>
      <b/>
      <sz val="8"/>
      <color theme="3"/>
      <name val="Arial"/>
      <family val="2"/>
    </font>
    <font>
      <b/>
      <sz val="10"/>
      <color theme="3"/>
      <name val="Tahoma"/>
      <family val="2"/>
    </font>
    <font>
      <b/>
      <i/>
      <sz val="10"/>
      <color rgb="FFFF0000"/>
      <name val="Arial"/>
      <family val="2"/>
    </font>
    <font>
      <b/>
      <u/>
      <sz val="18"/>
      <color rgb="FFFF0000"/>
      <name val="Arial"/>
      <family val="2"/>
    </font>
    <font>
      <b/>
      <u/>
      <sz val="16"/>
      <color rgb="FFFF0000"/>
      <name val="Arial"/>
      <family val="2"/>
    </font>
    <font>
      <sz val="8"/>
      <color rgb="FF000000"/>
      <name val="Tahoma"/>
      <family val="2"/>
    </font>
    <font>
      <b/>
      <u/>
      <sz val="10"/>
      <color rgb="FFFF0000"/>
      <name val="Arial"/>
      <family val="2"/>
    </font>
    <font>
      <b/>
      <sz val="9"/>
      <color theme="9" tint="-0.249977111117893"/>
      <name val="Arial"/>
      <family val="2"/>
    </font>
    <font>
      <b/>
      <sz val="9"/>
      <color theme="9" tint="0.3999755851924192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  <border>
      <left/>
      <right style="thin">
        <color indexed="11"/>
      </right>
      <top style="thin">
        <color indexed="11"/>
      </top>
      <bottom style="thin">
        <color indexed="11"/>
      </bottom>
      <diagonal/>
    </border>
    <border>
      <left style="thin">
        <color indexed="11"/>
      </left>
      <right style="thin">
        <color indexed="11"/>
      </right>
      <top style="thin">
        <color indexed="11"/>
      </top>
      <bottom style="hair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1"/>
      </left>
      <right style="thin">
        <color indexed="53"/>
      </right>
      <top style="thin">
        <color indexed="11"/>
      </top>
      <bottom style="hair">
        <color indexed="11"/>
      </bottom>
      <diagonal/>
    </border>
    <border>
      <left style="thin">
        <color indexed="11"/>
      </left>
      <right/>
      <top style="thin">
        <color indexed="11"/>
      </top>
      <bottom style="thin">
        <color indexed="11"/>
      </bottom>
      <diagonal/>
    </border>
    <border>
      <left/>
      <right/>
      <top/>
      <bottom style="thin">
        <color indexed="11"/>
      </bottom>
      <diagonal/>
    </border>
    <border>
      <left/>
      <right/>
      <top style="thin">
        <color indexed="11"/>
      </top>
      <bottom style="thin">
        <color indexed="11"/>
      </bottom>
      <diagonal/>
    </border>
    <border>
      <left style="thin">
        <color indexed="11"/>
      </left>
      <right/>
      <top/>
      <bottom style="thin">
        <color indexed="11"/>
      </bottom>
      <diagonal/>
    </border>
    <border>
      <left/>
      <right/>
      <top style="thin">
        <color indexed="11"/>
      </top>
      <bottom/>
      <diagonal/>
    </border>
    <border>
      <left/>
      <right style="thin">
        <color indexed="53"/>
      </right>
      <top/>
      <bottom/>
      <diagonal/>
    </border>
    <border>
      <left style="thin">
        <color indexed="53"/>
      </left>
      <right/>
      <top/>
      <bottom style="thin">
        <color indexed="53"/>
      </bottom>
      <diagonal/>
    </border>
    <border>
      <left/>
      <right/>
      <top/>
      <bottom style="thin">
        <color indexed="53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28" fillId="0" borderId="0"/>
  </cellStyleXfs>
  <cellXfs count="153">
    <xf numFmtId="0" fontId="0" fillId="0" borderId="0" xfId="0"/>
    <xf numFmtId="0" fontId="3" fillId="0" borderId="0" xfId="0" applyFont="1"/>
    <xf numFmtId="0" fontId="2" fillId="0" borderId="0" xfId="0" applyFont="1"/>
    <xf numFmtId="0" fontId="30" fillId="5" borderId="2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31" fillId="2" borderId="0" xfId="0" applyFont="1" applyFill="1" applyBorder="1" applyAlignment="1" applyProtection="1">
      <alignment horizontal="left" vertical="center"/>
    </xf>
    <xf numFmtId="0" fontId="32" fillId="2" borderId="0" xfId="0" applyFont="1" applyFill="1" applyProtection="1"/>
    <xf numFmtId="0" fontId="32" fillId="2" borderId="0" xfId="0" applyFont="1" applyFill="1" applyBorder="1" applyProtection="1"/>
    <xf numFmtId="0" fontId="32" fillId="2" borderId="0" xfId="0" applyFont="1" applyFill="1" applyProtection="1">
      <protection locked="0"/>
    </xf>
    <xf numFmtId="164" fontId="32" fillId="2" borderId="0" xfId="0" applyNumberFormat="1" applyFont="1" applyFill="1" applyBorder="1" applyProtection="1"/>
    <xf numFmtId="0" fontId="32" fillId="2" borderId="0" xfId="0" applyFont="1" applyFill="1" applyBorder="1" applyProtection="1">
      <protection locked="0"/>
    </xf>
    <xf numFmtId="0" fontId="33" fillId="2" borderId="0" xfId="0" applyFont="1" applyFill="1" applyBorder="1" applyAlignment="1" applyProtection="1">
      <alignment horizontal="center" vertical="center"/>
    </xf>
    <xf numFmtId="0" fontId="34" fillId="2" borderId="0" xfId="0" applyFont="1" applyFill="1" applyBorder="1" applyAlignment="1" applyProtection="1">
      <alignment horizontal="center"/>
    </xf>
    <xf numFmtId="0" fontId="34" fillId="2" borderId="0" xfId="0" applyFont="1" applyFill="1" applyBorder="1" applyProtection="1"/>
    <xf numFmtId="0" fontId="35" fillId="2" borderId="0" xfId="0" applyFont="1" applyFill="1" applyBorder="1" applyProtection="1"/>
    <xf numFmtId="0" fontId="36" fillId="2" borderId="0" xfId="0" applyFont="1" applyFill="1" applyBorder="1" applyAlignment="1" applyProtection="1">
      <alignment horizontal="left" vertical="center"/>
    </xf>
    <xf numFmtId="0" fontId="32" fillId="3" borderId="0" xfId="0" applyFont="1" applyFill="1" applyBorder="1" applyProtection="1"/>
    <xf numFmtId="0" fontId="32" fillId="2" borderId="0" xfId="0" applyFont="1" applyFill="1" applyBorder="1" applyAlignment="1" applyProtection="1">
      <alignment vertical="center"/>
    </xf>
    <xf numFmtId="0" fontId="32" fillId="2" borderId="0" xfId="0" applyFont="1" applyFill="1" applyBorder="1" applyAlignment="1" applyProtection="1">
      <alignment horizontal="center"/>
    </xf>
    <xf numFmtId="0" fontId="32" fillId="2" borderId="0" xfId="0" applyFont="1" applyFill="1" applyBorder="1" applyAlignment="1" applyProtection="1"/>
    <xf numFmtId="0" fontId="37" fillId="2" borderId="0" xfId="0" applyFont="1" applyFill="1" applyBorder="1" applyAlignment="1" applyProtection="1">
      <alignment horizontal="left" vertical="center"/>
    </xf>
    <xf numFmtId="0" fontId="34" fillId="2" borderId="0" xfId="0" applyFont="1" applyFill="1" applyProtection="1"/>
    <xf numFmtId="0" fontId="38" fillId="2" borderId="0" xfId="0" applyFont="1" applyFill="1" applyBorder="1" applyAlignment="1" applyProtection="1">
      <alignment horizontal="left" vertical="center"/>
    </xf>
    <xf numFmtId="0" fontId="39" fillId="2" borderId="0" xfId="0" applyFont="1" applyFill="1" applyBorder="1" applyAlignment="1" applyProtection="1">
      <alignment horizontal="center" vertical="center"/>
    </xf>
    <xf numFmtId="0" fontId="35" fillId="2" borderId="0" xfId="0" applyFont="1" applyFill="1" applyProtection="1"/>
    <xf numFmtId="0" fontId="40" fillId="2" borderId="0" xfId="0" applyFont="1" applyFill="1" applyProtection="1"/>
    <xf numFmtId="14" fontId="32" fillId="2" borderId="0" xfId="0" applyNumberFormat="1" applyFont="1" applyFill="1" applyProtection="1">
      <protection locked="0"/>
    </xf>
    <xf numFmtId="0" fontId="35" fillId="2" borderId="0" xfId="0" applyFont="1" applyFill="1" applyBorder="1" applyAlignment="1" applyProtection="1">
      <alignment vertical="center" wrapText="1"/>
    </xf>
    <xf numFmtId="0" fontId="41" fillId="2" borderId="0" xfId="0" applyFont="1" applyFill="1" applyBorder="1" applyAlignment="1" applyProtection="1">
      <alignment vertical="center" wrapText="1"/>
    </xf>
    <xf numFmtId="0" fontId="37" fillId="2" borderId="0" xfId="0" applyFont="1" applyFill="1" applyBorder="1" applyAlignment="1" applyProtection="1">
      <alignment horizontal="center" vertical="center"/>
    </xf>
    <xf numFmtId="0" fontId="32" fillId="2" borderId="0" xfId="0" applyFont="1" applyFill="1" applyAlignment="1" applyProtection="1">
      <alignment vertical="center"/>
    </xf>
    <xf numFmtId="0" fontId="34" fillId="2" borderId="0" xfId="0" applyFont="1" applyFill="1" applyBorder="1" applyAlignment="1" applyProtection="1">
      <alignment horizontal="left" vertical="center" wrapText="1"/>
    </xf>
    <xf numFmtId="0" fontId="34" fillId="2" borderId="0" xfId="0" applyFont="1" applyFill="1" applyBorder="1" applyAlignment="1" applyProtection="1">
      <alignment wrapText="1"/>
    </xf>
    <xf numFmtId="0" fontId="42" fillId="2" borderId="0" xfId="0" applyFont="1" applyFill="1" applyBorder="1" applyAlignment="1" applyProtection="1">
      <alignment horizontal="left" vertical="center"/>
    </xf>
    <xf numFmtId="0" fontId="37" fillId="2" borderId="3" xfId="0" applyFont="1" applyFill="1" applyBorder="1" applyAlignment="1" applyProtection="1">
      <alignment horizontal="center" vertical="center" wrapText="1"/>
    </xf>
    <xf numFmtId="0" fontId="37" fillId="2" borderId="3" xfId="0" applyFont="1" applyFill="1" applyBorder="1" applyAlignment="1" applyProtection="1">
      <alignment vertical="center"/>
      <protection locked="0"/>
    </xf>
    <xf numFmtId="0" fontId="32" fillId="2" borderId="3" xfId="0" applyFont="1" applyFill="1" applyBorder="1" applyAlignment="1" applyProtection="1">
      <alignment vertical="center"/>
      <protection locked="0"/>
    </xf>
    <xf numFmtId="49" fontId="32" fillId="2" borderId="0" xfId="0" applyNumberFormat="1" applyFont="1" applyFill="1" applyBorder="1" applyAlignment="1" applyProtection="1">
      <alignment vertical="center"/>
    </xf>
    <xf numFmtId="0" fontId="32" fillId="2" borderId="4" xfId="0" applyFont="1" applyFill="1" applyBorder="1" applyAlignment="1" applyProtection="1">
      <alignment vertical="center"/>
      <protection locked="0"/>
    </xf>
    <xf numFmtId="165" fontId="32" fillId="2" borderId="0" xfId="0" applyNumberFormat="1" applyFont="1" applyFill="1" applyBorder="1" applyAlignment="1" applyProtection="1">
      <alignment vertical="center"/>
    </xf>
    <xf numFmtId="0" fontId="32" fillId="2" borderId="3" xfId="0" applyFont="1" applyFill="1" applyBorder="1" applyAlignment="1" applyProtection="1">
      <alignment horizontal="center" vertical="center" wrapText="1"/>
    </xf>
    <xf numFmtId="49" fontId="32" fillId="2" borderId="3" xfId="0" applyNumberFormat="1" applyFont="1" applyFill="1" applyBorder="1" applyAlignment="1" applyProtection="1">
      <alignment horizontal="center" vertical="center" wrapText="1"/>
    </xf>
    <xf numFmtId="165" fontId="32" fillId="2" borderId="3" xfId="0" applyNumberFormat="1" applyFont="1" applyFill="1" applyBorder="1" applyAlignment="1" applyProtection="1">
      <alignment horizontal="center" vertical="center" wrapText="1"/>
    </xf>
    <xf numFmtId="0" fontId="32" fillId="0" borderId="3" xfId="0" applyFont="1" applyFill="1" applyBorder="1" applyAlignment="1" applyProtection="1">
      <alignment horizontal="center" vertical="center" wrapText="1"/>
    </xf>
    <xf numFmtId="0" fontId="34" fillId="2" borderId="5" xfId="0" applyFont="1" applyFill="1" applyBorder="1" applyAlignment="1" applyProtection="1">
      <alignment horizontal="center" vertical="center"/>
      <protection locked="0"/>
    </xf>
    <xf numFmtId="49" fontId="34" fillId="2" borderId="5" xfId="0" applyNumberFormat="1" applyFont="1" applyFill="1" applyBorder="1" applyAlignment="1" applyProtection="1">
      <alignment horizontal="center" vertical="center"/>
      <protection locked="0"/>
    </xf>
    <xf numFmtId="49" fontId="34" fillId="2" borderId="5" xfId="0" applyNumberFormat="1" applyFont="1" applyFill="1" applyBorder="1" applyAlignment="1" applyProtection="1">
      <alignment vertical="center"/>
      <protection locked="0"/>
    </xf>
    <xf numFmtId="0" fontId="43" fillId="3" borderId="0" xfId="0" applyFont="1" applyFill="1" applyBorder="1" applyAlignment="1" applyProtection="1">
      <alignment horizontal="center" vertical="center"/>
    </xf>
    <xf numFmtId="0" fontId="44" fillId="3" borderId="0" xfId="0" applyFont="1" applyFill="1" applyBorder="1" applyAlignment="1" applyProtection="1">
      <alignment horizontal="center"/>
    </xf>
    <xf numFmtId="0" fontId="44" fillId="3" borderId="0" xfId="0" applyFont="1" applyFill="1" applyBorder="1" applyProtection="1"/>
    <xf numFmtId="0" fontId="44" fillId="2" borderId="0" xfId="0" applyFont="1" applyFill="1" applyProtection="1"/>
    <xf numFmtId="0" fontId="45" fillId="2" borderId="0" xfId="0" applyFont="1" applyFill="1" applyBorder="1" applyProtection="1"/>
    <xf numFmtId="0" fontId="46" fillId="3" borderId="0" xfId="0" applyFont="1" applyFill="1" applyBorder="1" applyAlignment="1" applyProtection="1">
      <alignment horizontal="left" vertical="center"/>
    </xf>
    <xf numFmtId="0" fontId="47" fillId="3" borderId="0" xfId="0" applyFont="1" applyFill="1" applyBorder="1" applyAlignment="1" applyProtection="1">
      <alignment horizontal="center" vertical="center"/>
    </xf>
    <xf numFmtId="0" fontId="48" fillId="3" borderId="0" xfId="0" applyFont="1" applyFill="1" applyBorder="1" applyAlignment="1" applyProtection="1">
      <alignment horizontal="center" vertical="center"/>
    </xf>
    <xf numFmtId="0" fontId="45" fillId="3" borderId="0" xfId="0" applyFont="1" applyFill="1" applyBorder="1" applyAlignment="1" applyProtection="1">
      <alignment horizontal="center"/>
    </xf>
    <xf numFmtId="0" fontId="45" fillId="3" borderId="0" xfId="0" applyFont="1" applyFill="1" applyBorder="1" applyProtection="1"/>
    <xf numFmtId="0" fontId="49" fillId="3" borderId="0" xfId="0" applyFont="1" applyFill="1" applyBorder="1" applyProtection="1"/>
    <xf numFmtId="0" fontId="44" fillId="2" borderId="0" xfId="0" applyFont="1" applyFill="1" applyProtection="1">
      <protection locked="0"/>
    </xf>
    <xf numFmtId="0" fontId="45" fillId="2" borderId="0" xfId="0" applyFont="1" applyFill="1" applyProtection="1"/>
    <xf numFmtId="0" fontId="34" fillId="2" borderId="0" xfId="0" applyFont="1" applyFill="1" applyAlignment="1" applyProtection="1">
      <alignment vertical="center"/>
    </xf>
    <xf numFmtId="0" fontId="34" fillId="2" borderId="0" xfId="0" applyFont="1" applyFill="1" applyBorder="1" applyAlignment="1" applyProtection="1">
      <alignment vertical="center"/>
    </xf>
    <xf numFmtId="0" fontId="32" fillId="2" borderId="0" xfId="0" applyFont="1" applyFill="1" applyAlignment="1" applyProtection="1">
      <alignment vertical="center"/>
      <protection locked="0"/>
    </xf>
    <xf numFmtId="0" fontId="49" fillId="2" borderId="0" xfId="0" applyFont="1" applyFill="1" applyProtection="1"/>
    <xf numFmtId="0" fontId="49" fillId="2" borderId="0" xfId="0" applyFont="1" applyFill="1" applyBorder="1" applyProtection="1"/>
    <xf numFmtId="0" fontId="46" fillId="3" borderId="0" xfId="0" applyFont="1" applyFill="1" applyBorder="1" applyAlignment="1" applyProtection="1">
      <alignment horizontal="center" vertical="center"/>
    </xf>
    <xf numFmtId="0" fontId="49" fillId="3" borderId="0" xfId="0" applyFont="1" applyFill="1" applyBorder="1" applyAlignment="1" applyProtection="1">
      <alignment horizontal="center"/>
    </xf>
    <xf numFmtId="0" fontId="49" fillId="2" borderId="0" xfId="0" applyFont="1" applyFill="1" applyProtection="1">
      <protection locked="0"/>
    </xf>
    <xf numFmtId="0" fontId="32" fillId="2" borderId="0" xfId="0" applyFont="1" applyFill="1" applyBorder="1" applyAlignment="1" applyProtection="1">
      <alignment horizontal="left" vertical="center" wrapText="1"/>
    </xf>
    <xf numFmtId="0" fontId="32" fillId="2" borderId="0" xfId="0" applyFont="1" applyFill="1" applyBorder="1" applyAlignment="1" applyProtection="1">
      <alignment horizontal="left" vertical="center" wrapText="1"/>
    </xf>
    <xf numFmtId="0" fontId="35" fillId="2" borderId="0" xfId="0" applyFont="1" applyFill="1" applyAlignment="1" applyProtection="1">
      <alignment vertical="center"/>
    </xf>
    <xf numFmtId="0" fontId="50" fillId="2" borderId="0" xfId="0" applyFont="1" applyFill="1" applyBorder="1" applyAlignment="1" applyProtection="1">
      <alignment horizontal="left" vertical="center"/>
    </xf>
    <xf numFmtId="0" fontId="13" fillId="2" borderId="5" xfId="0" applyFont="1" applyFill="1" applyBorder="1" applyAlignment="1" applyProtection="1">
      <alignment horizontal="center" vertical="center"/>
      <protection locked="0"/>
    </xf>
    <xf numFmtId="0" fontId="13" fillId="2" borderId="5" xfId="0" applyFont="1" applyFill="1" applyBorder="1" applyAlignment="1" applyProtection="1">
      <alignment vertical="center"/>
      <protection locked="0"/>
    </xf>
    <xf numFmtId="0" fontId="14" fillId="2" borderId="3" xfId="0" applyFont="1" applyFill="1" applyBorder="1" applyAlignment="1" applyProtection="1">
      <alignment vertical="center"/>
      <protection locked="0"/>
    </xf>
    <xf numFmtId="0" fontId="1" fillId="2" borderId="3" xfId="1" applyFill="1" applyBorder="1" applyAlignment="1" applyProtection="1">
      <alignment vertical="center"/>
      <protection locked="0"/>
    </xf>
    <xf numFmtId="0" fontId="51" fillId="0" borderId="2" xfId="2" applyFont="1" applyBorder="1"/>
    <xf numFmtId="49" fontId="51" fillId="0" borderId="2" xfId="2" applyNumberFormat="1" applyFont="1" applyFill="1" applyBorder="1"/>
    <xf numFmtId="0" fontId="51" fillId="0" borderId="2" xfId="2" applyFont="1" applyFill="1" applyBorder="1"/>
    <xf numFmtId="0" fontId="51" fillId="0" borderId="2" xfId="0" applyFont="1" applyBorder="1"/>
    <xf numFmtId="0" fontId="51" fillId="0" borderId="2" xfId="0" applyFont="1" applyFill="1" applyBorder="1"/>
    <xf numFmtId="49" fontId="51" fillId="0" borderId="2" xfId="0" applyNumberFormat="1" applyFont="1" applyFill="1" applyBorder="1"/>
    <xf numFmtId="0" fontId="51" fillId="0" borderId="2" xfId="0" applyFont="1" applyBorder="1"/>
    <xf numFmtId="0" fontId="51" fillId="0" borderId="2" xfId="0" applyFont="1" applyFill="1" applyBorder="1"/>
    <xf numFmtId="49" fontId="51" fillId="0" borderId="2" xfId="0" applyNumberFormat="1" applyFont="1" applyFill="1" applyBorder="1"/>
    <xf numFmtId="0" fontId="52" fillId="2" borderId="0" xfId="0" applyFont="1" applyFill="1" applyBorder="1" applyAlignment="1" applyProtection="1">
      <alignment horizontal="center" vertical="top"/>
    </xf>
    <xf numFmtId="0" fontId="52" fillId="2" borderId="0" xfId="0" applyFont="1" applyFill="1" applyAlignment="1" applyProtection="1">
      <alignment vertical="top"/>
    </xf>
    <xf numFmtId="0" fontId="52" fillId="2" borderId="0" xfId="0" applyFont="1" applyFill="1" applyBorder="1" applyAlignment="1" applyProtection="1">
      <alignment horizontal="right" vertical="top"/>
    </xf>
    <xf numFmtId="0" fontId="53" fillId="2" borderId="0" xfId="0" applyFont="1" applyFill="1" applyBorder="1" applyAlignment="1" applyProtection="1">
      <alignment horizontal="left" vertical="center"/>
      <protection locked="0"/>
    </xf>
    <xf numFmtId="0" fontId="42" fillId="2" borderId="0" xfId="0" applyFont="1" applyFill="1" applyBorder="1" applyProtection="1"/>
    <xf numFmtId="0" fontId="54" fillId="6" borderId="0" xfId="0" applyFont="1" applyFill="1" applyBorder="1" applyAlignment="1" applyProtection="1">
      <alignment horizontal="left" vertical="center" wrapText="1"/>
    </xf>
    <xf numFmtId="0" fontId="34" fillId="7" borderId="0" xfId="0" applyFont="1" applyFill="1" applyAlignment="1" applyProtection="1">
      <alignment horizontal="left" vertical="center" wrapText="1"/>
    </xf>
    <xf numFmtId="0" fontId="34" fillId="7" borderId="0" xfId="0" applyFont="1" applyFill="1" applyBorder="1" applyAlignment="1" applyProtection="1">
      <alignment horizontal="left" vertical="center" wrapText="1"/>
    </xf>
    <xf numFmtId="0" fontId="34" fillId="8" borderId="0" xfId="0" applyFont="1" applyFill="1" applyAlignment="1" applyProtection="1">
      <alignment horizontal="left" vertical="center" wrapText="1"/>
    </xf>
    <xf numFmtId="0" fontId="34" fillId="8" borderId="0" xfId="0" applyFont="1" applyFill="1" applyBorder="1" applyAlignment="1" applyProtection="1">
      <alignment horizontal="left" vertical="center" wrapText="1"/>
    </xf>
    <xf numFmtId="0" fontId="32" fillId="8" borderId="0" xfId="0" applyFont="1" applyFill="1" applyBorder="1" applyProtection="1"/>
    <xf numFmtId="0" fontId="34" fillId="8" borderId="0" xfId="0" applyFont="1" applyFill="1" applyAlignment="1" applyProtection="1">
      <alignment horizontal="left" wrapText="1"/>
    </xf>
    <xf numFmtId="0" fontId="54" fillId="5" borderId="0" xfId="0" applyFont="1" applyFill="1" applyBorder="1" applyAlignment="1" applyProtection="1">
      <alignment horizontal="left" vertical="center" wrapText="1"/>
    </xf>
    <xf numFmtId="0" fontId="34" fillId="7" borderId="0" xfId="0" applyFont="1" applyFill="1" applyAlignment="1" applyProtection="1">
      <alignment horizontal="left" wrapText="1"/>
    </xf>
    <xf numFmtId="0" fontId="55" fillId="2" borderId="3" xfId="0" applyFont="1" applyFill="1" applyBorder="1" applyAlignment="1" applyProtection="1">
      <alignment vertical="center"/>
      <protection locked="0"/>
    </xf>
    <xf numFmtId="0" fontId="34" fillId="0" borderId="0" xfId="0" applyFont="1" applyFill="1" applyProtection="1"/>
    <xf numFmtId="0" fontId="34" fillId="0" borderId="0" xfId="0" applyFont="1" applyFill="1" applyBorder="1" applyProtection="1"/>
    <xf numFmtId="0" fontId="32" fillId="0" borderId="0" xfId="0" applyFont="1" applyFill="1" applyBorder="1" applyAlignment="1" applyProtection="1">
      <alignment vertical="center"/>
    </xf>
    <xf numFmtId="0" fontId="32" fillId="0" borderId="0" xfId="0" applyFont="1" applyFill="1" applyProtection="1"/>
    <xf numFmtId="0" fontId="32" fillId="0" borderId="0" xfId="0" applyFont="1" applyFill="1" applyProtection="1">
      <protection locked="0"/>
    </xf>
    <xf numFmtId="49" fontId="0" fillId="0" borderId="0" xfId="0" applyNumberFormat="1"/>
    <xf numFmtId="0" fontId="29" fillId="4" borderId="6" xfId="3" applyFont="1" applyFill="1" applyBorder="1" applyAlignment="1">
      <alignment horizontal="center"/>
    </xf>
    <xf numFmtId="0" fontId="29" fillId="0" borderId="1" xfId="3" applyFont="1" applyFill="1" applyBorder="1" applyAlignment="1">
      <alignment wrapText="1"/>
    </xf>
    <xf numFmtId="49" fontId="32" fillId="2" borderId="0" xfId="0" applyNumberFormat="1" applyFont="1" applyFill="1" applyProtection="1">
      <protection locked="0"/>
    </xf>
    <xf numFmtId="49" fontId="34" fillId="2" borderId="0" xfId="0" applyNumberFormat="1" applyFont="1" applyFill="1" applyProtection="1">
      <protection locked="0"/>
    </xf>
    <xf numFmtId="49" fontId="32" fillId="2" borderId="0" xfId="0" applyNumberFormat="1" applyFont="1" applyFill="1" applyBorder="1" applyProtection="1">
      <protection locked="0"/>
    </xf>
    <xf numFmtId="0" fontId="43" fillId="2" borderId="0" xfId="0" applyFont="1" applyFill="1" applyBorder="1" applyAlignment="1" applyProtection="1">
      <alignment horizontal="left" vertical="center"/>
    </xf>
    <xf numFmtId="1" fontId="37" fillId="6" borderId="8" xfId="0" applyNumberFormat="1" applyFont="1" applyFill="1" applyBorder="1" applyAlignment="1" applyProtection="1">
      <alignment vertical="center"/>
      <protection locked="0"/>
    </xf>
    <xf numFmtId="49" fontId="32" fillId="2" borderId="0" xfId="0" applyNumberFormat="1" applyFont="1" applyFill="1" applyProtection="1"/>
    <xf numFmtId="0" fontId="0" fillId="0" borderId="0" xfId="0" applyProtection="1">
      <protection locked="0"/>
    </xf>
    <xf numFmtId="14" fontId="34" fillId="2" borderId="5" xfId="0" applyNumberFormat="1" applyFont="1" applyFill="1" applyBorder="1" applyAlignment="1" applyProtection="1">
      <alignment horizontal="center" vertical="center"/>
      <protection locked="0"/>
    </xf>
    <xf numFmtId="0" fontId="13" fillId="2" borderId="7" xfId="0" applyFont="1" applyFill="1" applyBorder="1" applyAlignment="1" applyProtection="1">
      <alignment vertical="center"/>
      <protection locked="0"/>
    </xf>
    <xf numFmtId="0" fontId="34" fillId="2" borderId="7" xfId="0" applyFont="1" applyFill="1" applyBorder="1" applyAlignment="1" applyProtection="1">
      <alignment vertical="center"/>
      <protection locked="0"/>
    </xf>
    <xf numFmtId="14" fontId="34" fillId="2" borderId="5" xfId="0" applyNumberFormat="1" applyFont="1" applyFill="1" applyBorder="1" applyAlignment="1" applyProtection="1">
      <alignment vertical="center"/>
      <protection locked="0"/>
    </xf>
    <xf numFmtId="0" fontId="34" fillId="2" borderId="5" xfId="0" applyFont="1" applyFill="1" applyBorder="1" applyAlignment="1" applyProtection="1">
      <alignment vertical="center"/>
      <protection locked="0"/>
    </xf>
    <xf numFmtId="14" fontId="1" fillId="2" borderId="5" xfId="1" applyNumberFormat="1" applyFill="1" applyBorder="1" applyAlignment="1" applyProtection="1">
      <alignment vertical="center"/>
      <protection locked="0"/>
    </xf>
    <xf numFmtId="0" fontId="60" fillId="2" borderId="0" xfId="0" applyFont="1" applyFill="1" applyBorder="1" applyAlignment="1" applyProtection="1">
      <alignment horizontal="center" vertical="top"/>
    </xf>
    <xf numFmtId="0" fontId="24" fillId="2" borderId="3" xfId="0" applyFont="1" applyFill="1" applyBorder="1" applyAlignment="1" applyProtection="1">
      <alignment horizontal="center" vertical="center" wrapText="1"/>
    </xf>
    <xf numFmtId="49" fontId="13" fillId="2" borderId="5" xfId="0" applyNumberFormat="1" applyFont="1" applyFill="1" applyBorder="1" applyAlignment="1" applyProtection="1">
      <alignment horizontal="center" vertical="center"/>
      <protection locked="0"/>
    </xf>
    <xf numFmtId="0" fontId="44" fillId="0" borderId="0" xfId="0" applyFont="1"/>
    <xf numFmtId="0" fontId="1" fillId="2" borderId="7" xfId="1" applyFill="1" applyBorder="1" applyAlignment="1" applyProtection="1">
      <alignment vertical="center"/>
      <protection locked="0"/>
    </xf>
    <xf numFmtId="0" fontId="37" fillId="2" borderId="11" xfId="0" applyFont="1" applyFill="1" applyBorder="1" applyAlignment="1" applyProtection="1">
      <alignment horizontal="left" vertical="center"/>
      <protection locked="0"/>
    </xf>
    <xf numFmtId="0" fontId="37" fillId="2" borderId="9" xfId="0" applyFont="1" applyFill="1" applyBorder="1" applyAlignment="1" applyProtection="1">
      <alignment horizontal="left" vertical="center"/>
      <protection locked="0"/>
    </xf>
    <xf numFmtId="0" fontId="35" fillId="2" borderId="0" xfId="0" applyFont="1" applyFill="1" applyBorder="1" applyAlignment="1" applyProtection="1">
      <alignment horizontal="left" vertical="center" wrapText="1"/>
    </xf>
    <xf numFmtId="0" fontId="38" fillId="10" borderId="0" xfId="0" applyFont="1" applyFill="1" applyBorder="1" applyAlignment="1" applyProtection="1">
      <alignment horizontal="left" vertical="center" wrapText="1"/>
    </xf>
    <xf numFmtId="0" fontId="58" fillId="0" borderId="12" xfId="0" applyFont="1" applyFill="1" applyBorder="1" applyAlignment="1" applyProtection="1">
      <alignment horizontal="left" vertical="center" wrapText="1"/>
    </xf>
    <xf numFmtId="0" fontId="37" fillId="2" borderId="0" xfId="0" applyFont="1" applyFill="1" applyBorder="1" applyAlignment="1" applyProtection="1">
      <alignment horizontal="left" vertical="center" wrapText="1"/>
    </xf>
    <xf numFmtId="0" fontId="37" fillId="2" borderId="13" xfId="0" applyFont="1" applyFill="1" applyBorder="1" applyAlignment="1" applyProtection="1">
      <alignment horizontal="left" vertical="center" wrapText="1"/>
    </xf>
    <xf numFmtId="0" fontId="37" fillId="2" borderId="14" xfId="0" applyFont="1" applyFill="1" applyBorder="1" applyAlignment="1" applyProtection="1">
      <alignment horizontal="center" vertical="center"/>
      <protection locked="0"/>
    </xf>
    <xf numFmtId="0" fontId="37" fillId="2" borderId="15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left" vertical="center"/>
    </xf>
    <xf numFmtId="0" fontId="56" fillId="0" borderId="9" xfId="0" applyFont="1" applyFill="1" applyBorder="1" applyAlignment="1" applyProtection="1">
      <alignment horizontal="left" vertical="top" wrapText="1"/>
    </xf>
    <xf numFmtId="49" fontId="37" fillId="2" borderId="8" xfId="0" applyNumberFormat="1" applyFont="1" applyFill="1" applyBorder="1" applyAlignment="1" applyProtection="1">
      <alignment horizontal="center" vertical="center" wrapText="1"/>
    </xf>
    <xf numFmtId="49" fontId="37" fillId="2" borderId="4" xfId="0" applyNumberFormat="1" applyFont="1" applyFill="1" applyBorder="1" applyAlignment="1" applyProtection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 wrapText="1"/>
    </xf>
    <xf numFmtId="1" fontId="32" fillId="2" borderId="8" xfId="0" applyNumberFormat="1" applyFont="1" applyFill="1" applyBorder="1" applyAlignment="1" applyProtection="1">
      <alignment horizontal="center" vertical="center"/>
      <protection locked="0"/>
    </xf>
    <xf numFmtId="1" fontId="32" fillId="2" borderId="4" xfId="0" applyNumberFormat="1" applyFont="1" applyFill="1" applyBorder="1" applyAlignment="1" applyProtection="1">
      <alignment horizontal="center" vertical="center"/>
      <protection locked="0"/>
    </xf>
    <xf numFmtId="0" fontId="37" fillId="0" borderId="10" xfId="0" applyFont="1" applyBorder="1" applyAlignment="1" applyProtection="1">
      <alignment horizontal="center" vertical="center" wrapText="1"/>
    </xf>
    <xf numFmtId="0" fontId="37" fillId="0" borderId="4" xfId="0" applyFont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vertical="center" wrapText="1"/>
      <protection locked="0"/>
    </xf>
    <xf numFmtId="0" fontId="14" fillId="2" borderId="10" xfId="0" applyFont="1" applyFill="1" applyBorder="1" applyAlignment="1" applyProtection="1">
      <alignment vertical="center" wrapText="1"/>
      <protection locked="0"/>
    </xf>
    <xf numFmtId="0" fontId="14" fillId="2" borderId="4" xfId="0" applyFont="1" applyFill="1" applyBorder="1" applyAlignment="1" applyProtection="1">
      <alignment vertical="center" wrapText="1"/>
      <protection locked="0"/>
    </xf>
    <xf numFmtId="1" fontId="38" fillId="6" borderId="8" xfId="0" applyNumberFormat="1" applyFont="1" applyFill="1" applyBorder="1" applyAlignment="1" applyProtection="1">
      <alignment horizontal="left" vertical="center"/>
      <protection locked="0"/>
    </xf>
    <xf numFmtId="1" fontId="38" fillId="6" borderId="4" xfId="0" applyNumberFormat="1" applyFont="1" applyFill="1" applyBorder="1" applyAlignment="1" applyProtection="1">
      <alignment horizontal="left" vertical="center"/>
      <protection locked="0"/>
    </xf>
    <xf numFmtId="49" fontId="37" fillId="2" borderId="8" xfId="0" applyNumberFormat="1" applyFont="1" applyFill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0" fillId="9" borderId="2" xfId="0" applyFont="1" applyFill="1" applyBorder="1" applyAlignment="1">
      <alignment horizontal="center" vertical="center"/>
    </xf>
  </cellXfs>
  <cellStyles count="4">
    <cellStyle name="Hipervínculo" xfId="1" builtinId="8"/>
    <cellStyle name="Normal" xfId="0" builtinId="0"/>
    <cellStyle name="Normal_Hoja1" xfId="2" xr:uid="{00000000-0005-0000-0000-000002000000}"/>
    <cellStyle name="Normal_Hoja1_Nacionalidades" xfId="3" xr:uid="{00000000-0005-0000-0000-000003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80"/>
      <rgbColor rgb="00FF6600"/>
      <rgbColor rgb="00333399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Radio" checked="Checked" firstButton="1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</xdr:colOff>
      <xdr:row>1</xdr:row>
      <xdr:rowOff>7620</xdr:rowOff>
    </xdr:from>
    <xdr:to>
      <xdr:col>4</xdr:col>
      <xdr:colOff>502920</xdr:colOff>
      <xdr:row>2</xdr:row>
      <xdr:rowOff>419100</xdr:rowOff>
    </xdr:to>
    <xdr:pic>
      <xdr:nvPicPr>
        <xdr:cNvPr id="2013" name="1 Imagen" descr="http://noticias/0002014/04Abril/GDH/LOGO.gif">
          <a:extLst>
            <a:ext uri="{FF2B5EF4-FFF2-40B4-BE49-F238E27FC236}">
              <a16:creationId xmlns:a16="http://schemas.microsoft.com/office/drawing/2014/main" id="{00000000-0008-0000-01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175260"/>
          <a:ext cx="1493520" cy="579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20</xdr:row>
          <xdr:rowOff>228600</xdr:rowOff>
        </xdr:from>
        <xdr:to>
          <xdr:col>6</xdr:col>
          <xdr:colOff>742950</xdr:colOff>
          <xdr:row>21</xdr:row>
          <xdr:rowOff>142875</xdr:rowOff>
        </xdr:to>
        <xdr:sp macro="" textlink="">
          <xdr:nvSpPr>
            <xdr:cNvPr id="1169" name="ctasueldosole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21</xdr:row>
          <xdr:rowOff>190500</xdr:rowOff>
        </xdr:from>
        <xdr:to>
          <xdr:col>6</xdr:col>
          <xdr:colOff>790575</xdr:colOff>
          <xdr:row>21</xdr:row>
          <xdr:rowOff>400050</xdr:rowOff>
        </xdr:to>
        <xdr:sp macro="" textlink="">
          <xdr:nvSpPr>
            <xdr:cNvPr id="1170" name="ctasueldodolare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Dolares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723900</xdr:colOff>
          <xdr:row>21</xdr:row>
          <xdr:rowOff>38100</xdr:rowOff>
        </xdr:from>
        <xdr:to>
          <xdr:col>8</xdr:col>
          <xdr:colOff>733425</xdr:colOff>
          <xdr:row>21</xdr:row>
          <xdr:rowOff>266700</xdr:rowOff>
        </xdr:to>
        <xdr:sp macro="" textlink="">
          <xdr:nvSpPr>
            <xdr:cNvPr id="1171" name="chkct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20</xdr:row>
          <xdr:rowOff>190500</xdr:rowOff>
        </xdr:from>
        <xdr:to>
          <xdr:col>9</xdr:col>
          <xdr:colOff>514350</xdr:colOff>
          <xdr:row>21</xdr:row>
          <xdr:rowOff>123825</xdr:rowOff>
        </xdr:to>
        <xdr:sp macro="" textlink="">
          <xdr:nvSpPr>
            <xdr:cNvPr id="1172" name="ctactssoles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21</xdr:row>
          <xdr:rowOff>152400</xdr:rowOff>
        </xdr:from>
        <xdr:to>
          <xdr:col>9</xdr:col>
          <xdr:colOff>514350</xdr:colOff>
          <xdr:row>21</xdr:row>
          <xdr:rowOff>381000</xdr:rowOff>
        </xdr:to>
        <xdr:sp macro="" textlink="">
          <xdr:nvSpPr>
            <xdr:cNvPr id="1173" name="ctactsdolare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Dolares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20</xdr:row>
          <xdr:rowOff>95250</xdr:rowOff>
        </xdr:from>
        <xdr:to>
          <xdr:col>10</xdr:col>
          <xdr:colOff>371475</xdr:colOff>
          <xdr:row>22</xdr:row>
          <xdr:rowOff>238125</xdr:rowOff>
        </xdr:to>
        <xdr:sp macro="" textlink="">
          <xdr:nvSpPr>
            <xdr:cNvPr id="1174" name="Group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21</xdr:row>
          <xdr:rowOff>28575</xdr:rowOff>
        </xdr:from>
        <xdr:to>
          <xdr:col>4</xdr:col>
          <xdr:colOff>457200</xdr:colOff>
          <xdr:row>21</xdr:row>
          <xdr:rowOff>266700</xdr:rowOff>
        </xdr:to>
        <xdr:sp macro="" textlink="">
          <xdr:nvSpPr>
            <xdr:cNvPr id="1175" name="chekcuentasueldo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Cuenta Sueldo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20</xdr:row>
          <xdr:rowOff>114300</xdr:rowOff>
        </xdr:from>
        <xdr:to>
          <xdr:col>6</xdr:col>
          <xdr:colOff>714375</xdr:colOff>
          <xdr:row>22</xdr:row>
          <xdr:rowOff>247650</xdr:rowOff>
        </xdr:to>
        <xdr:sp macro="" textlink="">
          <xdr:nvSpPr>
            <xdr:cNvPr id="1176" name="Group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231322</xdr:colOff>
      <xdr:row>20</xdr:row>
      <xdr:rowOff>40822</xdr:rowOff>
    </xdr:from>
    <xdr:to>
      <xdr:col>13</xdr:col>
      <xdr:colOff>508341</xdr:colOff>
      <xdr:row>22</xdr:row>
      <xdr:rowOff>170126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6844393" y="5483679"/>
          <a:ext cx="2535805" cy="836876"/>
        </a:xfrm>
        <a:prstGeom prst="rect">
          <a:avLst/>
        </a:pr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PE" sz="1400" b="1">
              <a:solidFill>
                <a:srgbClr val="FF0000"/>
              </a:solidFill>
            </a:rPr>
            <a:t>Por favor seleccionar el tipo de cuenta</a:t>
          </a:r>
          <a:r>
            <a:rPr lang="es-PE" sz="1400" b="1" baseline="0">
              <a:solidFill>
                <a:srgbClr val="FF0000"/>
              </a:solidFill>
            </a:rPr>
            <a:t> y moneda, de lo contrario, la solicitud será rechazada.</a:t>
          </a:r>
          <a:endParaRPr lang="es-PE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ayacuchoperu.com/ayacucho/provincias/index.php?id=8" TargetMode="External"/><Relationship Id="rId7" Type="http://schemas.openxmlformats.org/officeDocument/2006/relationships/hyperlink" Target="http://es.wikipedia.org/wiki/Provincia_de_Datem_del_Mara%C3%B1%C3%B3n" TargetMode="External"/><Relationship Id="rId2" Type="http://schemas.openxmlformats.org/officeDocument/2006/relationships/hyperlink" Target="http://es.wikipedia.org/wiki/Distrito_de_San_Javier_de_Alpabamba" TargetMode="External"/><Relationship Id="rId1" Type="http://schemas.openxmlformats.org/officeDocument/2006/relationships/hyperlink" Target="http://es.wikipedia.org/wiki/Provincia_de_Datem_del_Mara%C3%B1%C3%B3n" TargetMode="External"/><Relationship Id="rId6" Type="http://schemas.openxmlformats.org/officeDocument/2006/relationships/hyperlink" Target="http://es.wikipedia.org/wiki/Distrito_de_Eduardo_Villanueva" TargetMode="External"/><Relationship Id="rId5" Type="http://schemas.openxmlformats.org/officeDocument/2006/relationships/hyperlink" Target="http://es.wikipedia.org/wiki/Distrito_de_Santo_Domingo_de_la_Capilla" TargetMode="External"/><Relationship Id="rId4" Type="http://schemas.openxmlformats.org/officeDocument/2006/relationships/hyperlink" Target="http://www.ayacuchoperu.com/ayacucho/provincias/index.php?id=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DDAD8-FD00-40A9-B4A3-18F5998DB4FF}">
  <sheetPr codeName="Hoja9"/>
  <dimension ref="A1:F82"/>
  <sheetViews>
    <sheetView workbookViewId="0">
      <selection activeCell="B5" sqref="B5"/>
    </sheetView>
  </sheetViews>
  <sheetFormatPr baseColWidth="10" defaultRowHeight="12.75" x14ac:dyDescent="0.2"/>
  <sheetData>
    <row r="1" spans="1:6" x14ac:dyDescent="0.2">
      <c r="A1" t="s">
        <v>1926</v>
      </c>
      <c r="B1" t="s">
        <v>1927</v>
      </c>
    </row>
    <row r="2" spans="1:6" x14ac:dyDescent="0.2">
      <c r="A2" t="s">
        <v>88</v>
      </c>
      <c r="B2" s="106" t="s">
        <v>1930</v>
      </c>
    </row>
    <row r="3" spans="1:6" x14ac:dyDescent="0.2">
      <c r="A3" t="s">
        <v>1993</v>
      </c>
      <c r="B3" s="106" t="s">
        <v>2007</v>
      </c>
      <c r="F3" s="125">
        <f>COUNTA(A2:A82)</f>
        <v>81</v>
      </c>
    </row>
    <row r="4" spans="1:6" x14ac:dyDescent="0.2">
      <c r="A4" t="s">
        <v>87</v>
      </c>
      <c r="B4" s="106" t="s">
        <v>1933</v>
      </c>
    </row>
    <row r="5" spans="1:6" x14ac:dyDescent="0.2">
      <c r="A5" t="s">
        <v>1994</v>
      </c>
      <c r="B5" s="106" t="s">
        <v>1933</v>
      </c>
    </row>
    <row r="6" spans="1:6" x14ac:dyDescent="0.2">
      <c r="A6" t="s">
        <v>34</v>
      </c>
      <c r="B6" s="106" t="s">
        <v>1931</v>
      </c>
    </row>
    <row r="7" spans="1:6" x14ac:dyDescent="0.2">
      <c r="A7" t="s">
        <v>35</v>
      </c>
      <c r="B7" s="106" t="s">
        <v>1934</v>
      </c>
    </row>
    <row r="8" spans="1:6" x14ac:dyDescent="0.2">
      <c r="A8" t="s">
        <v>1920</v>
      </c>
      <c r="B8" s="106" t="s">
        <v>1935</v>
      </c>
    </row>
    <row r="9" spans="1:6" x14ac:dyDescent="0.2">
      <c r="A9" t="s">
        <v>36</v>
      </c>
      <c r="B9" s="106" t="s">
        <v>1937</v>
      </c>
    </row>
    <row r="10" spans="1:6" x14ac:dyDescent="0.2">
      <c r="A10" t="s">
        <v>37</v>
      </c>
      <c r="B10" s="106" t="s">
        <v>1936</v>
      </c>
    </row>
    <row r="11" spans="1:6" x14ac:dyDescent="0.2">
      <c r="A11" t="s">
        <v>38</v>
      </c>
      <c r="B11" s="106" t="s">
        <v>1938</v>
      </c>
    </row>
    <row r="12" spans="1:6" x14ac:dyDescent="0.2">
      <c r="A12" t="s">
        <v>1906</v>
      </c>
      <c r="B12" s="106" t="s">
        <v>1940</v>
      </c>
    </row>
    <row r="13" spans="1:6" x14ac:dyDescent="0.2">
      <c r="A13" t="s">
        <v>39</v>
      </c>
      <c r="B13" s="106" t="s">
        <v>1939</v>
      </c>
    </row>
    <row r="14" spans="1:6" x14ac:dyDescent="0.2">
      <c r="A14" t="s">
        <v>40</v>
      </c>
      <c r="B14" s="106" t="s">
        <v>1928</v>
      </c>
    </row>
    <row r="15" spans="1:6" x14ac:dyDescent="0.2">
      <c r="A15" t="s">
        <v>41</v>
      </c>
      <c r="B15" s="106" t="s">
        <v>1942</v>
      </c>
    </row>
    <row r="16" spans="1:6" x14ac:dyDescent="0.2">
      <c r="A16" t="s">
        <v>42</v>
      </c>
      <c r="B16" s="106" t="s">
        <v>1941</v>
      </c>
    </row>
    <row r="17" spans="1:2" x14ac:dyDescent="0.2">
      <c r="A17" t="s">
        <v>1995</v>
      </c>
      <c r="B17" s="106" t="s">
        <v>2008</v>
      </c>
    </row>
    <row r="18" spans="1:2" x14ac:dyDescent="0.2">
      <c r="A18" t="s">
        <v>44</v>
      </c>
      <c r="B18" s="106" t="s">
        <v>1970</v>
      </c>
    </row>
    <row r="19" spans="1:2" x14ac:dyDescent="0.2">
      <c r="A19" t="s">
        <v>45</v>
      </c>
      <c r="B19" s="106" t="s">
        <v>1972</v>
      </c>
    </row>
    <row r="20" spans="1:2" x14ac:dyDescent="0.2">
      <c r="A20" t="s">
        <v>46</v>
      </c>
      <c r="B20" s="106" t="s">
        <v>1971</v>
      </c>
    </row>
    <row r="21" spans="1:2" x14ac:dyDescent="0.2">
      <c r="A21" t="s">
        <v>47</v>
      </c>
      <c r="B21" s="106" t="s">
        <v>1973</v>
      </c>
    </row>
    <row r="22" spans="1:2" x14ac:dyDescent="0.2">
      <c r="A22" t="s">
        <v>1996</v>
      </c>
      <c r="B22" s="106" t="s">
        <v>2009</v>
      </c>
    </row>
    <row r="23" spans="1:2" x14ac:dyDescent="0.2">
      <c r="A23" t="s">
        <v>48</v>
      </c>
      <c r="B23" s="106" t="s">
        <v>1975</v>
      </c>
    </row>
    <row r="24" spans="1:2" x14ac:dyDescent="0.2">
      <c r="A24" t="s">
        <v>49</v>
      </c>
      <c r="B24" s="106" t="s">
        <v>1974</v>
      </c>
    </row>
    <row r="25" spans="1:2" x14ac:dyDescent="0.2">
      <c r="A25" t="s">
        <v>50</v>
      </c>
      <c r="B25" s="106" t="s">
        <v>1976</v>
      </c>
    </row>
    <row r="26" spans="1:2" x14ac:dyDescent="0.2">
      <c r="A26" t="s">
        <v>1921</v>
      </c>
      <c r="B26" s="106" t="s">
        <v>1977</v>
      </c>
    </row>
    <row r="27" spans="1:2" x14ac:dyDescent="0.2">
      <c r="A27" t="s">
        <v>1997</v>
      </c>
      <c r="B27" s="106" t="s">
        <v>1932</v>
      </c>
    </row>
    <row r="28" spans="1:2" x14ac:dyDescent="0.2">
      <c r="A28" t="s">
        <v>1922</v>
      </c>
      <c r="B28" s="106" t="s">
        <v>1981</v>
      </c>
    </row>
    <row r="29" spans="1:2" x14ac:dyDescent="0.2">
      <c r="A29" t="s">
        <v>1998</v>
      </c>
      <c r="B29" s="106" t="s">
        <v>2010</v>
      </c>
    </row>
    <row r="30" spans="1:2" x14ac:dyDescent="0.2">
      <c r="A30" t="s">
        <v>43</v>
      </c>
      <c r="B30" s="106" t="s">
        <v>1982</v>
      </c>
    </row>
    <row r="31" spans="1:2" x14ac:dyDescent="0.2">
      <c r="A31" t="s">
        <v>51</v>
      </c>
      <c r="B31" s="106" t="s">
        <v>1929</v>
      </c>
    </row>
    <row r="32" spans="1:2" x14ac:dyDescent="0.2">
      <c r="A32" t="s">
        <v>1923</v>
      </c>
      <c r="B32" s="106" t="s">
        <v>1980</v>
      </c>
    </row>
    <row r="33" spans="1:2" x14ac:dyDescent="0.2">
      <c r="A33" t="s">
        <v>52</v>
      </c>
      <c r="B33" s="106" t="s">
        <v>1983</v>
      </c>
    </row>
    <row r="34" spans="1:2" x14ac:dyDescent="0.2">
      <c r="A34" t="s">
        <v>53</v>
      </c>
      <c r="B34" s="106" t="s">
        <v>1984</v>
      </c>
    </row>
    <row r="35" spans="1:2" x14ac:dyDescent="0.2">
      <c r="A35" t="s">
        <v>1999</v>
      </c>
      <c r="B35" s="106" t="s">
        <v>2011</v>
      </c>
    </row>
    <row r="36" spans="1:2" x14ac:dyDescent="0.2">
      <c r="A36" t="s">
        <v>2000</v>
      </c>
      <c r="B36" s="106" t="s">
        <v>2012</v>
      </c>
    </row>
    <row r="37" spans="1:2" x14ac:dyDescent="0.2">
      <c r="A37" t="s">
        <v>2496</v>
      </c>
      <c r="B37" s="106" t="s">
        <v>1985</v>
      </c>
    </row>
    <row r="38" spans="1:2" x14ac:dyDescent="0.2">
      <c r="A38" t="s">
        <v>2017</v>
      </c>
      <c r="B38" s="106" t="s">
        <v>2497</v>
      </c>
    </row>
    <row r="39" spans="1:2" x14ac:dyDescent="0.2">
      <c r="A39" t="s">
        <v>54</v>
      </c>
      <c r="B39" s="106" t="s">
        <v>1986</v>
      </c>
    </row>
    <row r="40" spans="1:2" x14ac:dyDescent="0.2">
      <c r="A40" t="s">
        <v>55</v>
      </c>
      <c r="B40" s="106" t="s">
        <v>1987</v>
      </c>
    </row>
    <row r="41" spans="1:2" x14ac:dyDescent="0.2">
      <c r="A41" t="s">
        <v>56</v>
      </c>
      <c r="B41" s="106" t="s">
        <v>1988</v>
      </c>
    </row>
    <row r="42" spans="1:2" x14ac:dyDescent="0.2">
      <c r="A42" t="s">
        <v>57</v>
      </c>
      <c r="B42" s="106" t="s">
        <v>1989</v>
      </c>
    </row>
    <row r="43" spans="1:2" x14ac:dyDescent="0.2">
      <c r="A43" t="s">
        <v>59</v>
      </c>
      <c r="B43" s="106" t="s">
        <v>1992</v>
      </c>
    </row>
    <row r="44" spans="1:2" x14ac:dyDescent="0.2">
      <c r="A44" t="s">
        <v>60</v>
      </c>
      <c r="B44" s="106" t="s">
        <v>1990</v>
      </c>
    </row>
    <row r="45" spans="1:2" x14ac:dyDescent="0.2">
      <c r="A45" t="s">
        <v>61</v>
      </c>
      <c r="B45" s="106" t="s">
        <v>1979</v>
      </c>
    </row>
    <row r="46" spans="1:2" x14ac:dyDescent="0.2">
      <c r="A46" t="s">
        <v>2001</v>
      </c>
      <c r="B46" s="106" t="s">
        <v>1991</v>
      </c>
    </row>
    <row r="47" spans="1:2" x14ac:dyDescent="0.2">
      <c r="A47" t="s">
        <v>62</v>
      </c>
      <c r="B47" s="106" t="s">
        <v>1978</v>
      </c>
    </row>
    <row r="48" spans="1:2" x14ac:dyDescent="0.2">
      <c r="A48" t="s">
        <v>76</v>
      </c>
      <c r="B48" s="106" t="s">
        <v>1949</v>
      </c>
    </row>
    <row r="49" spans="1:2" x14ac:dyDescent="0.2">
      <c r="A49" t="s">
        <v>63</v>
      </c>
      <c r="B49" s="106" t="s">
        <v>1950</v>
      </c>
    </row>
    <row r="50" spans="1:2" x14ac:dyDescent="0.2">
      <c r="A50" t="s">
        <v>64</v>
      </c>
      <c r="B50" s="106" t="s">
        <v>1948</v>
      </c>
    </row>
    <row r="51" spans="1:2" x14ac:dyDescent="0.2">
      <c r="A51" t="s">
        <v>65</v>
      </c>
      <c r="B51" s="106" t="s">
        <v>1947</v>
      </c>
    </row>
    <row r="52" spans="1:2" x14ac:dyDescent="0.2">
      <c r="A52" t="s">
        <v>66</v>
      </c>
      <c r="B52" s="106" t="s">
        <v>1951</v>
      </c>
    </row>
    <row r="53" spans="1:2" x14ac:dyDescent="0.2">
      <c r="A53" t="s">
        <v>67</v>
      </c>
      <c r="B53" s="106" t="s">
        <v>1969</v>
      </c>
    </row>
    <row r="54" spans="1:2" x14ac:dyDescent="0.2">
      <c r="A54" t="s">
        <v>68</v>
      </c>
      <c r="B54" s="106" t="s">
        <v>1946</v>
      </c>
    </row>
    <row r="55" spans="1:2" x14ac:dyDescent="0.2">
      <c r="A55" t="s">
        <v>69</v>
      </c>
      <c r="B55" s="106" t="s">
        <v>1952</v>
      </c>
    </row>
    <row r="56" spans="1:2" x14ac:dyDescent="0.2">
      <c r="A56" t="s">
        <v>1924</v>
      </c>
      <c r="B56" s="106" t="s">
        <v>1954</v>
      </c>
    </row>
    <row r="57" spans="1:2" x14ac:dyDescent="0.2">
      <c r="A57" t="s">
        <v>58</v>
      </c>
      <c r="B57" s="106" t="s">
        <v>1953</v>
      </c>
    </row>
    <row r="58" spans="1:2" x14ac:dyDescent="0.2">
      <c r="A58" t="s">
        <v>70</v>
      </c>
      <c r="B58" s="106" t="s">
        <v>1955</v>
      </c>
    </row>
    <row r="59" spans="1:2" x14ac:dyDescent="0.2">
      <c r="A59" t="s">
        <v>71</v>
      </c>
      <c r="B59" s="106" t="s">
        <v>1956</v>
      </c>
    </row>
    <row r="60" spans="1:2" x14ac:dyDescent="0.2">
      <c r="A60" t="s">
        <v>72</v>
      </c>
      <c r="B60" s="106" t="s">
        <v>1958</v>
      </c>
    </row>
    <row r="61" spans="1:2" x14ac:dyDescent="0.2">
      <c r="A61" t="s">
        <v>73</v>
      </c>
      <c r="B61" s="106" t="s">
        <v>1957</v>
      </c>
    </row>
    <row r="62" spans="1:2" x14ac:dyDescent="0.2">
      <c r="A62" t="s">
        <v>74</v>
      </c>
      <c r="B62" s="106" t="s">
        <v>1960</v>
      </c>
    </row>
    <row r="63" spans="1:2" x14ac:dyDescent="0.2">
      <c r="A63" t="s">
        <v>75</v>
      </c>
      <c r="B63" s="106" t="s">
        <v>1961</v>
      </c>
    </row>
    <row r="64" spans="1:2" x14ac:dyDescent="0.2">
      <c r="A64" t="s">
        <v>77</v>
      </c>
      <c r="B64" s="106" t="s">
        <v>1959</v>
      </c>
    </row>
    <row r="65" spans="1:2" x14ac:dyDescent="0.2">
      <c r="A65" t="s">
        <v>78</v>
      </c>
      <c r="B65" s="106" t="s">
        <v>1962</v>
      </c>
    </row>
    <row r="66" spans="1:2" x14ac:dyDescent="0.2">
      <c r="A66" t="s">
        <v>79</v>
      </c>
      <c r="B66" s="106" t="s">
        <v>1944</v>
      </c>
    </row>
    <row r="67" spans="1:2" x14ac:dyDescent="0.2">
      <c r="A67" t="s">
        <v>80</v>
      </c>
      <c r="B67" s="106" t="s">
        <v>1945</v>
      </c>
    </row>
    <row r="68" spans="1:2" x14ac:dyDescent="0.2">
      <c r="A68" t="s">
        <v>2002</v>
      </c>
      <c r="B68" s="106" t="s">
        <v>1963</v>
      </c>
    </row>
    <row r="69" spans="1:2" x14ac:dyDescent="0.2">
      <c r="A69" t="s">
        <v>81</v>
      </c>
      <c r="B69" s="106" t="s">
        <v>1967</v>
      </c>
    </row>
    <row r="70" spans="1:2" x14ac:dyDescent="0.2">
      <c r="A70" t="s">
        <v>2003</v>
      </c>
      <c r="B70" s="106" t="s">
        <v>2005</v>
      </c>
    </row>
    <row r="71" spans="1:2" x14ac:dyDescent="0.2">
      <c r="A71" t="s">
        <v>82</v>
      </c>
      <c r="B71" s="106" t="s">
        <v>1964</v>
      </c>
    </row>
    <row r="72" spans="1:2" x14ac:dyDescent="0.2">
      <c r="A72" t="s">
        <v>83</v>
      </c>
      <c r="B72" s="106" t="s">
        <v>1966</v>
      </c>
    </row>
    <row r="73" spans="1:2" x14ac:dyDescent="0.2">
      <c r="A73" t="s">
        <v>84</v>
      </c>
      <c r="B73" s="106" t="s">
        <v>1965</v>
      </c>
    </row>
    <row r="74" spans="1:2" x14ac:dyDescent="0.2">
      <c r="A74" t="s">
        <v>85</v>
      </c>
      <c r="B74" s="106" t="s">
        <v>1968</v>
      </c>
    </row>
    <row r="75" spans="1:2" x14ac:dyDescent="0.2">
      <c r="A75" t="s">
        <v>2004</v>
      </c>
      <c r="B75" s="106" t="s">
        <v>2006</v>
      </c>
    </row>
    <row r="76" spans="1:2" x14ac:dyDescent="0.2">
      <c r="A76" t="s">
        <v>1925</v>
      </c>
      <c r="B76" s="106" t="s">
        <v>1932</v>
      </c>
    </row>
    <row r="77" spans="1:2" x14ac:dyDescent="0.2">
      <c r="A77" t="s">
        <v>2013</v>
      </c>
      <c r="B77" s="106">
        <v>579</v>
      </c>
    </row>
    <row r="78" spans="1:2" x14ac:dyDescent="0.2">
      <c r="A78" t="s">
        <v>2015</v>
      </c>
      <c r="B78" s="106">
        <v>385</v>
      </c>
    </row>
    <row r="79" spans="1:2" x14ac:dyDescent="0.2">
      <c r="A79" t="s">
        <v>2016</v>
      </c>
      <c r="B79" s="106">
        <v>221</v>
      </c>
    </row>
    <row r="80" spans="1:2" x14ac:dyDescent="0.2">
      <c r="A80" t="s">
        <v>2488</v>
      </c>
      <c r="B80" s="106" t="s">
        <v>2489</v>
      </c>
    </row>
    <row r="81" spans="1:2" x14ac:dyDescent="0.2">
      <c r="A81" t="s">
        <v>2487</v>
      </c>
      <c r="B81" s="106" t="s">
        <v>2010</v>
      </c>
    </row>
    <row r="82" spans="1:2" x14ac:dyDescent="0.2">
      <c r="A82" t="s">
        <v>86</v>
      </c>
      <c r="B82" s="106" t="s">
        <v>1943</v>
      </c>
    </row>
  </sheetData>
  <sheetProtection algorithmName="SHA-512" hashValue="v3f8pHzwSLfOK9qM+/vXnjn4sTYzYltuJZ1loRkps9xQI4FwAhsxupzEozLrlXPKnbnhQW3zjRn1vn3qhswD+w==" saltValue="YJqX1ROySMGu/D+E/cZA7A==" spinCount="100000" sheet="1" objects="1" scenarios="1"/>
  <pageMargins left="0.7" right="0.7" top="0.75" bottom="0.75" header="0.3" footer="0.3"/>
  <headerFooter>
    <oddFooter>&amp;C_x000D_&amp;1#&amp;"Calibri"&amp;8&amp;K0000FF Datos elaborados por BCP para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HC544"/>
  <sheetViews>
    <sheetView showGridLines="0" tabSelected="1" zoomScaleNormal="100" zoomScaleSheetLayoutView="63" workbookViewId="0">
      <pane xSplit="1" topLeftCell="B1" activePane="topRight" state="frozen"/>
      <selection pane="topRight" activeCell="T31" sqref="T31"/>
    </sheetView>
  </sheetViews>
  <sheetFormatPr baseColWidth="10" defaultColWidth="0" defaultRowHeight="12.75" x14ac:dyDescent="0.2"/>
  <cols>
    <col min="1" max="1" width="1.7109375" style="7" customWidth="1"/>
    <col min="2" max="2" width="1.140625" style="7" customWidth="1"/>
    <col min="3" max="3" width="4.5703125" style="9" customWidth="1"/>
    <col min="4" max="4" width="10.5703125" style="109" customWidth="1"/>
    <col min="5" max="5" width="8" style="109" customWidth="1"/>
    <col min="6" max="6" width="12.140625" style="109" customWidth="1"/>
    <col min="7" max="7" width="13.42578125" style="109" customWidth="1"/>
    <col min="8" max="8" width="19.85546875" style="109" customWidth="1"/>
    <col min="9" max="9" width="12" style="27" customWidth="1"/>
    <col min="10" max="10" width="8.85546875" style="109" customWidth="1"/>
    <col min="11" max="11" width="6.85546875" style="109" customWidth="1"/>
    <col min="12" max="12" width="12.5703125" style="109" customWidth="1"/>
    <col min="13" max="13" width="21.140625" style="109" customWidth="1"/>
    <col min="14" max="14" width="29.42578125" style="109" bestFit="1" customWidth="1"/>
    <col min="15" max="15" width="24.85546875" style="109" bestFit="1" customWidth="1"/>
    <col min="16" max="16" width="19.85546875" style="109" customWidth="1"/>
    <col min="17" max="17" width="20" style="109" customWidth="1"/>
    <col min="18" max="18" width="16.5703125" style="111" customWidth="1"/>
    <col min="19" max="19" width="28.5703125" style="109" customWidth="1"/>
    <col min="20" max="20" width="0.140625" style="109" customWidth="1"/>
    <col min="21" max="21" width="11.42578125" style="109" customWidth="1"/>
    <col min="22" max="16384" width="1.7109375" style="7" hidden="1"/>
  </cols>
  <sheetData>
    <row r="1" spans="1:21" x14ac:dyDescent="0.2">
      <c r="A1" s="51" t="s">
        <v>2492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7"/>
      <c r="T1" s="9"/>
      <c r="U1" s="9"/>
    </row>
    <row r="2" spans="1:21" x14ac:dyDescent="0.2">
      <c r="A2" s="51" t="s">
        <v>2493</v>
      </c>
      <c r="B2" s="8"/>
      <c r="C2" s="8"/>
      <c r="D2" s="9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7"/>
      <c r="T2" s="9"/>
      <c r="U2" s="9"/>
    </row>
    <row r="3" spans="1:21" s="8" customFormat="1" ht="41.25" customHeight="1" x14ac:dyDescent="0.2">
      <c r="M3" s="10"/>
      <c r="T3" s="11"/>
      <c r="U3" s="11"/>
    </row>
    <row r="4" spans="1:21" s="8" customFormat="1" ht="19.5" x14ac:dyDescent="0.2">
      <c r="C4" s="6" t="s">
        <v>1819</v>
      </c>
      <c r="D4" s="12"/>
      <c r="E4" s="12"/>
      <c r="F4" s="12"/>
      <c r="G4" s="12"/>
      <c r="H4" s="12"/>
      <c r="I4" s="12"/>
      <c r="J4" s="13"/>
      <c r="K4" s="13"/>
      <c r="L4" s="14"/>
      <c r="M4" s="14"/>
      <c r="N4" s="14"/>
      <c r="O4" s="14"/>
      <c r="P4" s="14"/>
      <c r="Q4" s="14"/>
      <c r="R4" s="15"/>
      <c r="T4" s="11"/>
      <c r="U4" s="11"/>
    </row>
    <row r="5" spans="1:21" s="8" customFormat="1" ht="20.25" x14ac:dyDescent="0.2">
      <c r="B5" s="16"/>
      <c r="D5" s="12"/>
      <c r="E5" s="12"/>
      <c r="F5" s="12"/>
      <c r="G5" s="12"/>
      <c r="H5" s="12"/>
      <c r="I5" s="12"/>
      <c r="J5" s="13"/>
      <c r="K5" s="13"/>
      <c r="L5" s="14"/>
      <c r="M5" s="14"/>
      <c r="N5" s="14"/>
      <c r="O5" s="14"/>
      <c r="P5" s="14"/>
      <c r="Q5" s="14"/>
      <c r="R5" s="15"/>
      <c r="T5" s="11"/>
      <c r="U5" s="11"/>
    </row>
    <row r="6" spans="1:21" ht="22.5" customHeight="1" x14ac:dyDescent="0.2">
      <c r="A6" s="14"/>
      <c r="B6" s="14"/>
      <c r="C6" s="53" t="s">
        <v>4</v>
      </c>
      <c r="D6" s="48"/>
      <c r="E6" s="48"/>
      <c r="F6" s="48"/>
      <c r="G6" s="48"/>
      <c r="H6" s="48"/>
      <c r="I6" s="48"/>
      <c r="J6" s="49"/>
      <c r="K6" s="49"/>
      <c r="L6" s="50"/>
      <c r="M6" s="50"/>
      <c r="N6" s="50"/>
      <c r="O6" s="50"/>
      <c r="P6" s="50"/>
      <c r="Q6" s="50"/>
      <c r="R6" s="50"/>
      <c r="S6" s="50"/>
      <c r="T6" s="9"/>
      <c r="U6" s="9"/>
    </row>
    <row r="7" spans="1:21" ht="15.75" customHeight="1" x14ac:dyDescent="0.2">
      <c r="A7" s="14"/>
      <c r="B7" s="14"/>
      <c r="C7" s="8"/>
      <c r="D7" s="8"/>
      <c r="E7" s="8"/>
      <c r="F7" s="18"/>
      <c r="G7" s="7"/>
      <c r="H7" s="8"/>
      <c r="I7" s="8"/>
      <c r="J7" s="19"/>
      <c r="K7" s="19"/>
      <c r="L7" s="8"/>
      <c r="M7" s="8"/>
      <c r="N7" s="8"/>
      <c r="O7" s="8"/>
      <c r="P7" s="8"/>
      <c r="Q7" s="8"/>
      <c r="R7" s="8"/>
      <c r="S7" s="8"/>
      <c r="T7" s="9"/>
      <c r="U7" s="9"/>
    </row>
    <row r="8" spans="1:21" ht="37.5" customHeight="1" x14ac:dyDescent="0.2">
      <c r="A8" s="14"/>
      <c r="B8" s="14"/>
      <c r="C8" s="132" t="s">
        <v>5</v>
      </c>
      <c r="D8" s="132"/>
      <c r="E8" s="133"/>
      <c r="F8" s="134"/>
      <c r="G8" s="135"/>
      <c r="H8" s="135"/>
      <c r="I8" s="7"/>
      <c r="J8" s="21" t="s">
        <v>6</v>
      </c>
      <c r="K8" s="21"/>
      <c r="L8" s="127"/>
      <c r="M8" s="128"/>
      <c r="N8" s="20"/>
      <c r="O8" s="112" t="s">
        <v>19</v>
      </c>
      <c r="P8"/>
      <c r="Q8"/>
      <c r="R8" s="112" t="s">
        <v>20</v>
      </c>
      <c r="S8"/>
      <c r="T8" s="9"/>
      <c r="U8" s="9"/>
    </row>
    <row r="9" spans="1:21" ht="37.5" customHeight="1" x14ac:dyDescent="0.2">
      <c r="A9" s="22"/>
      <c r="C9" s="7"/>
      <c r="D9" s="7"/>
      <c r="E9" s="7"/>
      <c r="F9" s="140"/>
      <c r="G9" s="140"/>
      <c r="H9" s="140"/>
      <c r="I9" s="140"/>
      <c r="J9" s="140"/>
      <c r="K9" s="7"/>
      <c r="L9" s="7"/>
      <c r="M9" s="7"/>
      <c r="N9" s="7"/>
      <c r="O9" s="7"/>
      <c r="P9" s="7"/>
      <c r="Q9" s="7"/>
      <c r="R9" s="8"/>
      <c r="S9" s="8"/>
      <c r="T9" s="9"/>
      <c r="U9" s="9"/>
    </row>
    <row r="10" spans="1:21" ht="11.25" customHeight="1" x14ac:dyDescent="0.2">
      <c r="A10" s="14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8"/>
      <c r="T10" s="9"/>
      <c r="U10" s="9"/>
    </row>
    <row r="11" spans="1:21" s="51" customFormat="1" ht="22.5" customHeight="1" x14ac:dyDescent="0.2">
      <c r="B11" s="52"/>
      <c r="C11" s="53" t="s">
        <v>3</v>
      </c>
      <c r="D11" s="54"/>
      <c r="E11" s="54"/>
      <c r="F11" s="54"/>
      <c r="G11" s="55"/>
      <c r="H11" s="55"/>
      <c r="I11" s="55"/>
      <c r="J11" s="56"/>
      <c r="K11" s="56"/>
      <c r="L11" s="57"/>
      <c r="M11" s="57"/>
      <c r="N11" s="57"/>
      <c r="O11" s="57"/>
      <c r="P11" s="57"/>
      <c r="Q11" s="57"/>
      <c r="R11" s="58"/>
      <c r="S11" s="58"/>
      <c r="T11" s="59"/>
      <c r="U11" s="59"/>
    </row>
    <row r="12" spans="1:21" ht="9.75" customHeight="1" x14ac:dyDescent="0.2">
      <c r="B12" s="14"/>
      <c r="C12" s="23"/>
      <c r="D12" s="24"/>
      <c r="E12" s="24"/>
      <c r="F12" s="24"/>
      <c r="G12" s="12"/>
      <c r="H12" s="12"/>
      <c r="I12" s="12"/>
      <c r="J12" s="13"/>
      <c r="K12" s="13"/>
      <c r="L12" s="14"/>
      <c r="M12" s="14"/>
      <c r="N12" s="14"/>
      <c r="O12" s="14"/>
      <c r="P12" s="14"/>
      <c r="Q12" s="14"/>
      <c r="R12" s="15"/>
      <c r="S12" s="7"/>
      <c r="T12" s="9"/>
      <c r="U12" s="9"/>
    </row>
    <row r="13" spans="1:21" ht="20.25" x14ac:dyDescent="0.3">
      <c r="A13" s="14"/>
      <c r="C13" s="25" t="s">
        <v>1914</v>
      </c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9"/>
      <c r="Q13" s="9"/>
      <c r="R13" s="11"/>
      <c r="S13" s="27"/>
      <c r="T13" s="9"/>
      <c r="U13" s="9"/>
    </row>
    <row r="14" spans="1:21" ht="27.75" customHeight="1" x14ac:dyDescent="0.2">
      <c r="A14" s="14"/>
      <c r="C14" s="129" t="s">
        <v>1915</v>
      </c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28"/>
      <c r="P14" s="91" t="s">
        <v>17</v>
      </c>
      <c r="Q14" s="98" t="s">
        <v>18</v>
      </c>
      <c r="R14" s="91" t="s">
        <v>30</v>
      </c>
      <c r="S14" s="27"/>
      <c r="T14" s="9"/>
      <c r="U14" s="9"/>
    </row>
    <row r="15" spans="1:21" ht="14.25" x14ac:dyDescent="0.2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94" t="s">
        <v>1820</v>
      </c>
      <c r="Q15" s="92" t="s">
        <v>1821</v>
      </c>
      <c r="R15" s="97" t="s">
        <v>1822</v>
      </c>
      <c r="S15" s="27"/>
      <c r="T15" s="9"/>
      <c r="U15" s="9"/>
    </row>
    <row r="16" spans="1:21" ht="15.75" x14ac:dyDescent="0.2">
      <c r="A16" s="14"/>
      <c r="B16" s="14"/>
      <c r="C16" s="136" t="s">
        <v>1830</v>
      </c>
      <c r="D16" s="136"/>
      <c r="E16" s="136"/>
      <c r="F16" s="30"/>
      <c r="G16" s="30"/>
      <c r="H16" s="30"/>
      <c r="I16" s="30"/>
      <c r="J16" s="19"/>
      <c r="K16" s="19"/>
      <c r="L16" s="8"/>
      <c r="M16" s="8"/>
      <c r="N16" s="8"/>
      <c r="O16" s="8"/>
      <c r="P16" s="95" t="s">
        <v>1825</v>
      </c>
      <c r="Q16" s="99" t="s">
        <v>1823</v>
      </c>
      <c r="R16" s="94" t="s">
        <v>1824</v>
      </c>
      <c r="S16" s="27"/>
      <c r="T16" s="9"/>
      <c r="U16" s="9"/>
    </row>
    <row r="17" spans="1:21" ht="24" customHeight="1" x14ac:dyDescent="0.2">
      <c r="A17" s="14"/>
      <c r="B17" s="14"/>
      <c r="C17" s="23" t="s">
        <v>7</v>
      </c>
      <c r="D17" s="71"/>
      <c r="E17" s="71"/>
      <c r="F17" s="30"/>
      <c r="G17" s="30"/>
      <c r="H17" s="30"/>
      <c r="I17" s="30"/>
      <c r="J17" s="19"/>
      <c r="K17" s="19"/>
      <c r="L17" s="8"/>
      <c r="M17" s="90"/>
      <c r="N17" s="8"/>
      <c r="O17" s="8"/>
      <c r="P17" s="95" t="s">
        <v>1827</v>
      </c>
      <c r="Q17" s="93" t="s">
        <v>1826</v>
      </c>
      <c r="R17" s="33"/>
      <c r="S17" s="27"/>
      <c r="T17" s="9"/>
      <c r="U17" s="9"/>
    </row>
    <row r="18" spans="1:21" ht="15" x14ac:dyDescent="0.2">
      <c r="A18" s="14"/>
      <c r="B18" s="14"/>
      <c r="C18" s="72" t="s">
        <v>1831</v>
      </c>
      <c r="D18" s="71"/>
      <c r="E18" s="71"/>
      <c r="F18" s="30"/>
      <c r="G18" s="30"/>
      <c r="H18" s="30"/>
      <c r="I18" s="30"/>
      <c r="J18" s="19"/>
      <c r="K18" s="19"/>
      <c r="L18" s="8"/>
      <c r="M18" s="8"/>
      <c r="N18" s="8"/>
      <c r="O18" s="8"/>
      <c r="P18" s="96"/>
      <c r="Q18" s="93" t="s">
        <v>1828</v>
      </c>
      <c r="R18" s="33"/>
      <c r="S18" s="27"/>
      <c r="T18" s="9"/>
      <c r="U18" s="9"/>
    </row>
    <row r="19" spans="1:21" x14ac:dyDescent="0.2">
      <c r="A19" s="14"/>
      <c r="B19" s="14"/>
      <c r="C19" s="34"/>
      <c r="D19" s="31"/>
      <c r="E19" s="31"/>
      <c r="F19" s="30"/>
      <c r="G19" s="30"/>
      <c r="H19" s="30"/>
      <c r="I19" s="30"/>
      <c r="J19" s="19"/>
      <c r="K19" s="19"/>
      <c r="L19" s="8"/>
      <c r="M19" s="8"/>
      <c r="N19" s="8"/>
      <c r="O19" s="8"/>
      <c r="P19" s="96"/>
      <c r="Q19" s="93" t="s">
        <v>1829</v>
      </c>
      <c r="R19" s="8"/>
      <c r="S19" s="7"/>
      <c r="T19" s="9"/>
      <c r="U19" s="9"/>
    </row>
    <row r="20" spans="1:21" ht="33.75" customHeight="1" x14ac:dyDescent="0.2">
      <c r="A20" s="14"/>
      <c r="B20" s="14"/>
      <c r="C20" s="130" t="s">
        <v>89</v>
      </c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28"/>
      <c r="P20" s="28"/>
      <c r="Q20" s="32"/>
      <c r="R20" s="8"/>
      <c r="S20" s="7"/>
      <c r="T20" s="9"/>
      <c r="U20" s="9"/>
    </row>
    <row r="21" spans="1:21" ht="23.25" customHeight="1" x14ac:dyDescent="0.2">
      <c r="A21" s="14"/>
      <c r="B21" s="14"/>
      <c r="C21" s="69"/>
      <c r="D21" s="8"/>
      <c r="E21" s="8"/>
      <c r="F21" s="8"/>
      <c r="G21" s="8"/>
      <c r="H21" s="69"/>
      <c r="I21" s="69"/>
      <c r="J21" s="69"/>
      <c r="K21" s="69"/>
      <c r="L21" s="69"/>
      <c r="M21" s="69"/>
      <c r="N21" s="69"/>
      <c r="O21" s="53" t="s">
        <v>29</v>
      </c>
      <c r="P21" s="17"/>
      <c r="Q21" s="17"/>
      <c r="R21" s="17"/>
      <c r="S21" s="17"/>
      <c r="T21" s="9"/>
      <c r="U21" s="9"/>
    </row>
    <row r="22" spans="1:21" s="31" customFormat="1" ht="32.25" customHeight="1" x14ac:dyDescent="0.2">
      <c r="A22" s="18"/>
      <c r="B22" s="18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35" t="s">
        <v>1910</v>
      </c>
      <c r="P22" s="35" t="s">
        <v>90</v>
      </c>
      <c r="Q22" s="35" t="s">
        <v>1916</v>
      </c>
      <c r="R22" s="35" t="s">
        <v>27</v>
      </c>
      <c r="S22" s="35" t="s">
        <v>28</v>
      </c>
      <c r="T22" s="63"/>
      <c r="U22" s="63"/>
    </row>
    <row r="23" spans="1:21" ht="24" customHeight="1" x14ac:dyDescent="0.2">
      <c r="A23" s="14"/>
      <c r="B23" s="14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37"/>
      <c r="P23" s="37"/>
      <c r="Q23" s="37"/>
      <c r="R23" s="75"/>
      <c r="S23" s="76"/>
      <c r="T23" s="9"/>
      <c r="U23" s="9"/>
    </row>
    <row r="24" spans="1:21" ht="38.25" customHeight="1" x14ac:dyDescent="0.2">
      <c r="A24" s="14"/>
      <c r="B24" s="14"/>
      <c r="C24" s="21"/>
      <c r="D24" s="30"/>
      <c r="E24" s="30"/>
      <c r="F24" s="30"/>
      <c r="G24" s="30"/>
      <c r="H24" s="30"/>
      <c r="I24" s="30"/>
      <c r="J24" s="19"/>
      <c r="K24" s="19"/>
      <c r="L24" s="8"/>
      <c r="M24" s="8"/>
      <c r="N24" s="8"/>
      <c r="O24" s="88" t="str">
        <f>IF(O23="","Seleccionar Distrito","")</f>
        <v>Seleccionar Distrito</v>
      </c>
      <c r="P24" s="7"/>
      <c r="Q24" s="122" t="str">
        <f>IF(Q23="","Ingresar Teléfono","")</f>
        <v>Ingresar Teléfono</v>
      </c>
      <c r="R24" s="38"/>
      <c r="S24" s="122" t="str">
        <f>IF(Q23="","Ingresar Email de contacto","")</f>
        <v>Ingresar Email de contacto</v>
      </c>
      <c r="T24" s="9"/>
      <c r="U24" s="9"/>
    </row>
    <row r="25" spans="1:21" s="51" customFormat="1" ht="22.5" customHeight="1" x14ac:dyDescent="0.2">
      <c r="A25" s="60"/>
      <c r="B25" s="52"/>
      <c r="C25" s="53" t="s">
        <v>29</v>
      </c>
      <c r="D25" s="48"/>
      <c r="E25" s="48"/>
      <c r="F25" s="48"/>
      <c r="G25" s="48"/>
      <c r="H25" s="48"/>
      <c r="I25" s="48"/>
      <c r="J25" s="49"/>
      <c r="K25" s="49"/>
      <c r="L25" s="50"/>
      <c r="M25" s="50"/>
      <c r="N25" s="50"/>
      <c r="O25" s="50"/>
      <c r="P25" s="50"/>
      <c r="Q25" s="50"/>
      <c r="R25" s="50"/>
      <c r="S25" s="50"/>
      <c r="T25" s="59"/>
      <c r="U25" s="59"/>
    </row>
    <row r="26" spans="1:21" s="31" customFormat="1" ht="33" customHeight="1" x14ac:dyDescent="0.2">
      <c r="B26" s="18"/>
      <c r="C26" s="150" t="s">
        <v>2498</v>
      </c>
      <c r="D26" s="151"/>
      <c r="E26" s="138" t="s">
        <v>1913</v>
      </c>
      <c r="F26" s="139"/>
      <c r="G26" s="138" t="s">
        <v>26</v>
      </c>
      <c r="H26" s="143"/>
      <c r="I26" s="143"/>
      <c r="J26" s="143"/>
      <c r="K26" s="143"/>
      <c r="L26" s="144"/>
      <c r="M26" s="35" t="s">
        <v>1907</v>
      </c>
      <c r="N26" s="35" t="s">
        <v>1912</v>
      </c>
      <c r="O26" s="35" t="s">
        <v>1917</v>
      </c>
      <c r="P26" s="35" t="s">
        <v>1911</v>
      </c>
      <c r="Q26" s="123" t="s">
        <v>2499</v>
      </c>
      <c r="R26" s="35" t="s">
        <v>1908</v>
      </c>
      <c r="S26" s="35" t="s">
        <v>1909</v>
      </c>
      <c r="T26" s="63"/>
      <c r="U26" s="63"/>
    </row>
    <row r="27" spans="1:21" s="31" customFormat="1" ht="25.5" customHeight="1" x14ac:dyDescent="0.2">
      <c r="B27" s="18"/>
      <c r="C27" s="148" t="s">
        <v>88</v>
      </c>
      <c r="D27" s="149"/>
      <c r="E27" s="141"/>
      <c r="F27" s="142"/>
      <c r="G27" s="145"/>
      <c r="H27" s="146"/>
      <c r="I27" s="146"/>
      <c r="J27" s="146"/>
      <c r="K27" s="146"/>
      <c r="L27" s="147"/>
      <c r="M27" s="36"/>
      <c r="N27" s="37"/>
      <c r="O27" s="37"/>
      <c r="P27" s="100"/>
      <c r="Q27" s="39"/>
      <c r="R27" s="36"/>
      <c r="S27" s="36"/>
      <c r="T27" s="63"/>
      <c r="U27" s="63"/>
    </row>
    <row r="28" spans="1:21" s="31" customFormat="1" ht="25.5" customHeight="1" x14ac:dyDescent="0.2">
      <c r="A28" s="61"/>
      <c r="B28" s="62"/>
      <c r="C28" s="18"/>
      <c r="D28" s="89" t="str">
        <f>VLOOKUP(C27,sucursal24!A2:B82,2,0)</f>
        <v>191</v>
      </c>
      <c r="E28" s="131" t="str">
        <f>IF(ISBLANK(E27),"Ingresar campo 'RUC'",IF(LEN(E27)&lt;&gt;11,"RUC inválido: Verificar longitud",IF(ISNUMBER(E27),"","RUC inválido: Ingrese solo Números")))</f>
        <v>Ingresar campo 'RUC'</v>
      </c>
      <c r="F28" s="131"/>
      <c r="G28" s="131"/>
      <c r="H28" s="131"/>
      <c r="I28" s="131"/>
      <c r="J28" s="18"/>
      <c r="K28" s="18"/>
      <c r="M28" s="86" t="str">
        <f>IF(M27="","Seleccionar Via","")</f>
        <v>Seleccionar Via</v>
      </c>
      <c r="N28" s="86" t="str">
        <f>IF(N27="","Ingresar Via","")</f>
        <v>Ingresar Via</v>
      </c>
      <c r="O28" s="86" t="str">
        <f>IF(O27="","Ingresar Número de Via","")</f>
        <v>Ingresar Número de Via</v>
      </c>
      <c r="P28" s="86" t="str">
        <f>IF(P27="","Ingresar dato","")</f>
        <v>Ingresar dato</v>
      </c>
      <c r="Q28" s="86" t="str">
        <f>IF(Q27="","Ingresar Nro","")</f>
        <v>Ingresar Nro</v>
      </c>
      <c r="R28" s="87" t="str">
        <f>IF(R27="","Seleccionar Departamento","")</f>
        <v>Seleccionar Departamento</v>
      </c>
      <c r="S28" s="87" t="str">
        <f>IF(S27="","Seleccionar Provincia","")</f>
        <v>Seleccionar Provincia</v>
      </c>
      <c r="T28" s="63"/>
      <c r="U28" s="63"/>
    </row>
    <row r="29" spans="1:21" ht="28.5" customHeight="1" x14ac:dyDescent="0.2">
      <c r="A29" s="22"/>
      <c r="B29" s="14"/>
      <c r="C29" s="18" t="s">
        <v>2</v>
      </c>
      <c r="D29" s="21"/>
      <c r="E29" s="21"/>
      <c r="F29" s="21"/>
      <c r="G29" s="21"/>
      <c r="H29" s="8"/>
      <c r="I29" s="40"/>
      <c r="J29" s="8"/>
      <c r="K29" s="8"/>
      <c r="L29" s="8"/>
      <c r="M29" s="8"/>
      <c r="N29" s="18"/>
      <c r="O29" s="18"/>
      <c r="P29" s="7"/>
      <c r="Q29" s="7"/>
      <c r="R29" s="18"/>
      <c r="S29" s="7"/>
      <c r="T29" s="9"/>
      <c r="U29" s="9"/>
    </row>
    <row r="30" spans="1:21" s="64" customFormat="1" ht="21" customHeight="1" x14ac:dyDescent="0.2">
      <c r="B30" s="65"/>
      <c r="C30" s="53" t="s">
        <v>10</v>
      </c>
      <c r="D30" s="66"/>
      <c r="E30" s="66"/>
      <c r="F30" s="66"/>
      <c r="G30" s="66"/>
      <c r="H30" s="66"/>
      <c r="I30" s="66"/>
      <c r="J30" s="67"/>
      <c r="K30" s="67"/>
      <c r="L30" s="58"/>
      <c r="M30" s="58"/>
      <c r="N30" s="58"/>
      <c r="O30" s="58"/>
      <c r="P30" s="58"/>
      <c r="Q30" s="58"/>
      <c r="R30" s="58"/>
      <c r="S30" s="58"/>
      <c r="T30" s="59"/>
      <c r="U30" s="68"/>
    </row>
    <row r="31" spans="1:21" s="104" customFormat="1" ht="36" customHeight="1" x14ac:dyDescent="0.2">
      <c r="A31" s="101"/>
      <c r="B31" s="102"/>
      <c r="C31" s="137" t="s">
        <v>1919</v>
      </c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03"/>
      <c r="Q31" s="103"/>
      <c r="R31" s="103"/>
      <c r="T31" s="105"/>
      <c r="U31" s="105"/>
    </row>
    <row r="32" spans="1:21" s="31" customFormat="1" ht="30" customHeight="1" x14ac:dyDescent="0.2">
      <c r="A32" s="18"/>
      <c r="B32" s="18"/>
      <c r="C32" s="41" t="s">
        <v>14</v>
      </c>
      <c r="D32" s="42" t="s">
        <v>9</v>
      </c>
      <c r="E32" s="42" t="s">
        <v>32</v>
      </c>
      <c r="F32" s="42" t="s">
        <v>12</v>
      </c>
      <c r="G32" s="41" t="s">
        <v>11</v>
      </c>
      <c r="H32" s="41" t="s">
        <v>15</v>
      </c>
      <c r="I32" s="43" t="s">
        <v>0</v>
      </c>
      <c r="J32" s="41" t="s">
        <v>1918</v>
      </c>
      <c r="K32" s="44" t="s">
        <v>31</v>
      </c>
      <c r="L32" s="41" t="s">
        <v>1</v>
      </c>
      <c r="M32" s="44" t="s">
        <v>33</v>
      </c>
      <c r="N32" s="41" t="s">
        <v>16</v>
      </c>
      <c r="O32" s="41" t="s">
        <v>2495</v>
      </c>
      <c r="P32"/>
      <c r="Q32"/>
      <c r="R32"/>
      <c r="S32" s="63"/>
      <c r="T32" s="63"/>
    </row>
    <row r="33" spans="1:211" ht="15" customHeight="1" x14ac:dyDescent="0.2">
      <c r="A33" s="22"/>
      <c r="B33" s="14"/>
      <c r="C33" s="73"/>
      <c r="D33" s="124"/>
      <c r="E33" s="46"/>
      <c r="F33" s="74"/>
      <c r="G33" s="74"/>
      <c r="H33" s="74"/>
      <c r="I33" s="116"/>
      <c r="J33" s="116"/>
      <c r="K33" s="45"/>
      <c r="L33" s="73"/>
      <c r="M33" s="117"/>
      <c r="N33" s="126"/>
      <c r="O33" s="113"/>
      <c r="P33" s="115"/>
      <c r="Q33"/>
      <c r="R33"/>
      <c r="S33" s="114"/>
      <c r="T33" s="110" t="s">
        <v>2494</v>
      </c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22"/>
      <c r="FZ33" s="22"/>
      <c r="GA33" s="22"/>
      <c r="GB33" s="22"/>
      <c r="GC33" s="22"/>
      <c r="GD33" s="22"/>
      <c r="GE33" s="22"/>
      <c r="GF33" s="22"/>
      <c r="GG33" s="22"/>
      <c r="GH33" s="22"/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22"/>
      <c r="GZ33" s="22"/>
      <c r="HA33" s="22"/>
      <c r="HB33" s="22"/>
      <c r="HC33" s="22"/>
    </row>
    <row r="34" spans="1:211" ht="15" customHeight="1" x14ac:dyDescent="0.2">
      <c r="A34" s="22"/>
      <c r="B34" s="14"/>
      <c r="C34" s="73"/>
      <c r="D34" s="46"/>
      <c r="E34" s="46"/>
      <c r="F34" s="74"/>
      <c r="G34" s="74"/>
      <c r="H34" s="74"/>
      <c r="I34" s="116"/>
      <c r="J34" s="45"/>
      <c r="K34" s="45"/>
      <c r="L34" s="73"/>
      <c r="M34" s="118"/>
      <c r="N34" s="121"/>
      <c r="O34" s="113"/>
      <c r="P34" s="115"/>
      <c r="Q34"/>
      <c r="R34"/>
      <c r="S34" s="114"/>
      <c r="T34" s="110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  <c r="FX34" s="22"/>
      <c r="FY34" s="22"/>
      <c r="FZ34" s="22"/>
      <c r="GA34" s="22"/>
      <c r="GB34" s="22"/>
      <c r="GC34" s="22"/>
      <c r="GD34" s="22"/>
      <c r="GE34" s="22"/>
      <c r="GF34" s="22"/>
      <c r="GG34" s="22"/>
      <c r="GH34" s="22"/>
      <c r="GI34" s="22"/>
      <c r="GJ34" s="22"/>
      <c r="GK34" s="22"/>
      <c r="GL34" s="22"/>
      <c r="GM34" s="22"/>
      <c r="GN34" s="22"/>
      <c r="GO34" s="22"/>
      <c r="GP34" s="22"/>
      <c r="GQ34" s="22"/>
      <c r="GR34" s="22"/>
      <c r="GS34" s="22"/>
      <c r="GT34" s="22"/>
      <c r="GU34" s="22"/>
      <c r="GV34" s="22"/>
      <c r="GW34" s="22"/>
      <c r="GX34" s="22"/>
      <c r="GY34" s="22"/>
      <c r="GZ34" s="22"/>
      <c r="HA34" s="22"/>
      <c r="HB34" s="22"/>
      <c r="HC34" s="22"/>
    </row>
    <row r="35" spans="1:211" ht="15" customHeight="1" x14ac:dyDescent="0.2">
      <c r="A35" s="22"/>
      <c r="B35" s="14"/>
      <c r="C35" s="73"/>
      <c r="D35" s="46"/>
      <c r="E35" s="46"/>
      <c r="F35" s="74"/>
      <c r="G35" s="74"/>
      <c r="H35" s="74"/>
      <c r="I35" s="116"/>
      <c r="J35" s="45"/>
      <c r="K35" s="45"/>
      <c r="L35" s="73"/>
      <c r="M35" s="118"/>
      <c r="N35" s="119"/>
      <c r="O35" s="113"/>
      <c r="P35" s="115"/>
      <c r="Q35"/>
      <c r="R35"/>
      <c r="S35" s="114"/>
      <c r="T35" s="110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22"/>
      <c r="FZ35" s="22"/>
      <c r="GA35" s="22"/>
      <c r="GB35" s="22"/>
      <c r="GC35" s="22"/>
      <c r="GD35" s="22"/>
      <c r="GE35" s="22"/>
      <c r="GF35" s="22"/>
      <c r="GG35" s="22"/>
      <c r="GH35" s="22"/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2"/>
      <c r="GV35" s="22"/>
      <c r="GW35" s="22"/>
      <c r="GX35" s="22"/>
      <c r="GY35" s="22"/>
      <c r="GZ35" s="22"/>
      <c r="HA35" s="22"/>
      <c r="HB35" s="22"/>
      <c r="HC35" s="22"/>
    </row>
    <row r="36" spans="1:211" ht="15" customHeight="1" x14ac:dyDescent="0.2">
      <c r="A36" s="22"/>
      <c r="B36" s="14"/>
      <c r="C36" s="73"/>
      <c r="D36" s="46"/>
      <c r="E36" s="46"/>
      <c r="F36" s="74"/>
      <c r="G36" s="74"/>
      <c r="H36" s="74"/>
      <c r="I36" s="116"/>
      <c r="J36" s="45"/>
      <c r="K36" s="45"/>
      <c r="L36" s="73"/>
      <c r="M36" s="118"/>
      <c r="N36" s="119"/>
      <c r="O36" s="113"/>
      <c r="P36" s="115"/>
      <c r="Q36"/>
      <c r="R36"/>
      <c r="S36" s="114"/>
      <c r="T36" s="110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R36" s="22"/>
      <c r="FS36" s="22"/>
      <c r="FT36" s="22"/>
      <c r="FU36" s="22"/>
      <c r="FV36" s="22"/>
      <c r="FW36" s="22"/>
      <c r="FX36" s="22"/>
      <c r="FY36" s="22"/>
      <c r="FZ36" s="22"/>
      <c r="GA36" s="22"/>
      <c r="GB36" s="22"/>
      <c r="GC36" s="22"/>
      <c r="GD36" s="22"/>
      <c r="GE36" s="22"/>
      <c r="GF36" s="22"/>
      <c r="GG36" s="22"/>
      <c r="GH36" s="22"/>
      <c r="GI36" s="22"/>
      <c r="GJ36" s="22"/>
      <c r="GK36" s="22"/>
      <c r="GL36" s="22"/>
      <c r="GM36" s="22"/>
      <c r="GN36" s="22"/>
      <c r="GO36" s="22"/>
      <c r="GP36" s="22"/>
      <c r="GQ36" s="22"/>
      <c r="GR36" s="22"/>
      <c r="GS36" s="22"/>
      <c r="GT36" s="22"/>
      <c r="GU36" s="22"/>
      <c r="GV36" s="22"/>
      <c r="GW36" s="22"/>
      <c r="GX36" s="22"/>
      <c r="GY36" s="22"/>
      <c r="GZ36" s="22"/>
      <c r="HA36" s="22"/>
      <c r="HB36" s="22"/>
      <c r="HC36" s="22"/>
    </row>
    <row r="37" spans="1:211" ht="15" customHeight="1" x14ac:dyDescent="0.2">
      <c r="A37" s="22"/>
      <c r="B37" s="14"/>
      <c r="C37" s="73"/>
      <c r="D37" s="46"/>
      <c r="E37" s="46"/>
      <c r="F37" s="74"/>
      <c r="G37" s="74"/>
      <c r="H37" s="74"/>
      <c r="I37" s="116"/>
      <c r="J37" s="45"/>
      <c r="K37" s="73"/>
      <c r="L37" s="73"/>
      <c r="M37" s="118"/>
      <c r="N37" s="119"/>
      <c r="O37" s="113"/>
      <c r="P37" s="115"/>
      <c r="Q37"/>
      <c r="R37"/>
      <c r="S37" s="114"/>
      <c r="T37" s="110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R37" s="22"/>
      <c r="FS37" s="22"/>
      <c r="FT37" s="22"/>
      <c r="FU37" s="22"/>
      <c r="FV37" s="22"/>
      <c r="FW37" s="22"/>
      <c r="FX37" s="22"/>
      <c r="FY37" s="22"/>
      <c r="FZ37" s="22"/>
      <c r="GA37" s="22"/>
      <c r="GB37" s="22"/>
      <c r="GC37" s="22"/>
      <c r="GD37" s="22"/>
      <c r="GE37" s="22"/>
      <c r="GF37" s="22"/>
      <c r="GG37" s="22"/>
      <c r="GH37" s="22"/>
      <c r="GI37" s="22"/>
      <c r="GJ37" s="22"/>
      <c r="GK37" s="22"/>
      <c r="GL37" s="22"/>
      <c r="GM37" s="22"/>
      <c r="GN37" s="22"/>
      <c r="GO37" s="22"/>
      <c r="GP37" s="22"/>
      <c r="GQ37" s="22"/>
      <c r="GR37" s="22"/>
      <c r="GS37" s="22"/>
      <c r="GT37" s="22"/>
      <c r="GU37" s="22"/>
      <c r="GV37" s="22"/>
      <c r="GW37" s="22"/>
      <c r="GX37" s="22"/>
      <c r="GY37" s="22"/>
      <c r="GZ37" s="22"/>
      <c r="HA37" s="22"/>
      <c r="HB37" s="22"/>
      <c r="HC37" s="22"/>
    </row>
    <row r="38" spans="1:211" ht="15" customHeight="1" x14ac:dyDescent="0.2">
      <c r="A38" s="22"/>
      <c r="B38" s="14"/>
      <c r="C38" s="73"/>
      <c r="D38" s="46"/>
      <c r="E38" s="46"/>
      <c r="F38" s="74"/>
      <c r="G38" s="74"/>
      <c r="H38" s="74"/>
      <c r="I38" s="116"/>
      <c r="J38" s="45"/>
      <c r="K38" s="45"/>
      <c r="L38" s="73"/>
      <c r="M38" s="118"/>
      <c r="N38" s="119"/>
      <c r="O38" s="113"/>
      <c r="P38" s="115"/>
      <c r="Q38"/>
      <c r="R38"/>
      <c r="S38" s="114"/>
      <c r="T38" s="110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  <c r="EZ38" s="22"/>
      <c r="FA38" s="22"/>
      <c r="FB38" s="22"/>
      <c r="FC38" s="22"/>
      <c r="FD38" s="22"/>
      <c r="FE38" s="22"/>
      <c r="FF38" s="22"/>
      <c r="FG38" s="22"/>
      <c r="FH38" s="22"/>
      <c r="FI38" s="22"/>
      <c r="FJ38" s="22"/>
      <c r="FK38" s="22"/>
      <c r="FL38" s="22"/>
      <c r="FM38" s="22"/>
      <c r="FN38" s="22"/>
      <c r="FO38" s="22"/>
      <c r="FP38" s="22"/>
      <c r="FQ38" s="22"/>
      <c r="FR38" s="22"/>
      <c r="FS38" s="22"/>
      <c r="FT38" s="22"/>
      <c r="FU38" s="22"/>
      <c r="FV38" s="22"/>
      <c r="FW38" s="22"/>
      <c r="FX38" s="22"/>
      <c r="FY38" s="22"/>
      <c r="FZ38" s="22"/>
      <c r="GA38" s="22"/>
      <c r="GB38" s="22"/>
      <c r="GC38" s="22"/>
      <c r="GD38" s="22"/>
      <c r="GE38" s="22"/>
      <c r="GF38" s="22"/>
      <c r="GG38" s="22"/>
      <c r="GH38" s="22"/>
      <c r="GI38" s="22"/>
      <c r="GJ38" s="22"/>
      <c r="GK38" s="22"/>
      <c r="GL38" s="22"/>
      <c r="GM38" s="22"/>
      <c r="GN38" s="22"/>
      <c r="GO38" s="22"/>
      <c r="GP38" s="22"/>
      <c r="GQ38" s="22"/>
      <c r="GR38" s="22"/>
      <c r="GS38" s="22"/>
      <c r="GT38" s="22"/>
      <c r="GU38" s="22"/>
      <c r="GV38" s="22"/>
      <c r="GW38" s="22"/>
      <c r="GX38" s="22"/>
      <c r="GY38" s="22"/>
      <c r="GZ38" s="22"/>
      <c r="HA38" s="22"/>
      <c r="HB38" s="22"/>
      <c r="HC38" s="22"/>
    </row>
    <row r="39" spans="1:211" ht="15" customHeight="1" x14ac:dyDescent="0.2">
      <c r="A39" s="22"/>
      <c r="B39" s="14"/>
      <c r="C39" s="73"/>
      <c r="D39" s="46"/>
      <c r="E39" s="46"/>
      <c r="F39" s="74"/>
      <c r="G39" s="74"/>
      <c r="H39" s="74"/>
      <c r="I39" s="116"/>
      <c r="J39" s="45"/>
      <c r="K39" s="45"/>
      <c r="L39" s="73"/>
      <c r="M39" s="118"/>
      <c r="N39" s="119"/>
      <c r="O39" s="113"/>
      <c r="P39" s="115"/>
      <c r="Q39"/>
      <c r="R39"/>
      <c r="S39" s="114"/>
      <c r="T39" s="110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R39" s="22"/>
      <c r="FS39" s="22"/>
      <c r="FT39" s="22"/>
      <c r="FU39" s="22"/>
      <c r="FV39" s="22"/>
      <c r="FW39" s="22"/>
      <c r="FX39" s="22"/>
      <c r="FY39" s="22"/>
      <c r="FZ39" s="22"/>
      <c r="GA39" s="22"/>
      <c r="GB39" s="22"/>
      <c r="GC39" s="22"/>
      <c r="GD39" s="22"/>
      <c r="GE39" s="22"/>
      <c r="GF39" s="22"/>
      <c r="GG39" s="22"/>
      <c r="GH39" s="22"/>
      <c r="GI39" s="22"/>
      <c r="GJ39" s="22"/>
      <c r="GK39" s="22"/>
      <c r="GL39" s="22"/>
      <c r="GM39" s="22"/>
      <c r="GN39" s="22"/>
      <c r="GO39" s="22"/>
      <c r="GP39" s="22"/>
      <c r="GQ39" s="22"/>
      <c r="GR39" s="22"/>
      <c r="GS39" s="22"/>
      <c r="GT39" s="22"/>
      <c r="GU39" s="22"/>
      <c r="GV39" s="22"/>
      <c r="GW39" s="22"/>
      <c r="GX39" s="22"/>
      <c r="GY39" s="22"/>
      <c r="GZ39" s="22"/>
      <c r="HA39" s="22"/>
      <c r="HB39" s="22"/>
      <c r="HC39" s="22"/>
    </row>
    <row r="40" spans="1:211" ht="15" customHeight="1" x14ac:dyDescent="0.2">
      <c r="A40" s="22"/>
      <c r="B40" s="14"/>
      <c r="C40" s="73"/>
      <c r="D40" s="46"/>
      <c r="E40" s="46"/>
      <c r="F40" s="74"/>
      <c r="G40" s="74"/>
      <c r="H40" s="74"/>
      <c r="I40" s="116"/>
      <c r="J40" s="45"/>
      <c r="K40" s="45"/>
      <c r="L40" s="73"/>
      <c r="M40" s="118"/>
      <c r="N40" s="119"/>
      <c r="O40" s="113"/>
      <c r="P40" s="115"/>
      <c r="Q40"/>
      <c r="R40"/>
      <c r="S40" s="114"/>
      <c r="T40" s="110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  <c r="FX40" s="22"/>
      <c r="FY40" s="22"/>
      <c r="FZ40" s="22"/>
      <c r="GA40" s="22"/>
      <c r="GB40" s="22"/>
      <c r="GC40" s="22"/>
      <c r="GD40" s="22"/>
      <c r="GE40" s="22"/>
      <c r="GF40" s="22"/>
      <c r="GG40" s="22"/>
      <c r="GH40" s="22"/>
      <c r="GI40" s="22"/>
      <c r="GJ40" s="22"/>
      <c r="GK40" s="22"/>
      <c r="GL40" s="22"/>
      <c r="GM40" s="22"/>
      <c r="GN40" s="22"/>
      <c r="GO40" s="22"/>
      <c r="GP40" s="22"/>
      <c r="GQ40" s="22"/>
      <c r="GR40" s="22"/>
      <c r="GS40" s="22"/>
      <c r="GT40" s="22"/>
      <c r="GU40" s="22"/>
      <c r="GV40" s="22"/>
      <c r="GW40" s="22"/>
      <c r="GX40" s="22"/>
      <c r="GY40" s="22"/>
      <c r="GZ40" s="22"/>
      <c r="HA40" s="22"/>
      <c r="HB40" s="22"/>
      <c r="HC40" s="22"/>
    </row>
    <row r="41" spans="1:211" ht="15" customHeight="1" x14ac:dyDescent="0.2">
      <c r="A41" s="22"/>
      <c r="B41" s="14"/>
      <c r="C41" s="73"/>
      <c r="D41" s="46"/>
      <c r="E41" s="46"/>
      <c r="F41" s="74"/>
      <c r="G41" s="74"/>
      <c r="H41" s="74"/>
      <c r="I41" s="116"/>
      <c r="J41" s="45"/>
      <c r="K41" s="45"/>
      <c r="L41" s="73"/>
      <c r="M41" s="118"/>
      <c r="N41" s="119"/>
      <c r="O41" s="113"/>
      <c r="P41" s="115"/>
      <c r="Q41"/>
      <c r="R41"/>
      <c r="S41" s="114"/>
      <c r="T41" s="110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  <c r="EZ41" s="22"/>
      <c r="FA41" s="22"/>
      <c r="FB41" s="22"/>
      <c r="FC41" s="22"/>
      <c r="FD41" s="22"/>
      <c r="FE41" s="22"/>
      <c r="FF41" s="22"/>
      <c r="FG41" s="22"/>
      <c r="FH41" s="22"/>
      <c r="FI41" s="22"/>
      <c r="FJ41" s="22"/>
      <c r="FK41" s="22"/>
      <c r="FL41" s="22"/>
      <c r="FM41" s="22"/>
      <c r="FN41" s="22"/>
      <c r="FO41" s="22"/>
      <c r="FP41" s="22"/>
      <c r="FQ41" s="22"/>
      <c r="FR41" s="22"/>
      <c r="FS41" s="22"/>
      <c r="FT41" s="22"/>
      <c r="FU41" s="22"/>
      <c r="FV41" s="22"/>
      <c r="FW41" s="22"/>
      <c r="FX41" s="22"/>
      <c r="FY41" s="22"/>
      <c r="FZ41" s="22"/>
      <c r="GA41" s="22"/>
      <c r="GB41" s="22"/>
      <c r="GC41" s="22"/>
      <c r="GD41" s="22"/>
      <c r="GE41" s="22"/>
      <c r="GF41" s="22"/>
      <c r="GG41" s="22"/>
      <c r="GH41" s="22"/>
      <c r="GI41" s="22"/>
      <c r="GJ41" s="22"/>
      <c r="GK41" s="22"/>
      <c r="GL41" s="22"/>
      <c r="GM41" s="22"/>
      <c r="GN41" s="22"/>
      <c r="GO41" s="22"/>
      <c r="GP41" s="22"/>
      <c r="GQ41" s="22"/>
      <c r="GR41" s="22"/>
      <c r="GS41" s="22"/>
      <c r="GT41" s="22"/>
      <c r="GU41" s="22"/>
      <c r="GV41" s="22"/>
      <c r="GW41" s="22"/>
      <c r="GX41" s="22"/>
      <c r="GY41" s="22"/>
      <c r="GZ41" s="22"/>
      <c r="HA41" s="22"/>
      <c r="HB41" s="22"/>
      <c r="HC41" s="22"/>
    </row>
    <row r="42" spans="1:211" ht="15" customHeight="1" x14ac:dyDescent="0.2">
      <c r="A42" s="22"/>
      <c r="B42" s="14"/>
      <c r="C42" s="73"/>
      <c r="D42" s="46"/>
      <c r="E42" s="46"/>
      <c r="F42" s="74"/>
      <c r="G42" s="74"/>
      <c r="H42" s="74"/>
      <c r="I42" s="116"/>
      <c r="J42" s="45"/>
      <c r="K42" s="45"/>
      <c r="L42" s="73"/>
      <c r="M42" s="118"/>
      <c r="N42" s="119"/>
      <c r="O42" s="113"/>
      <c r="P42" s="115"/>
      <c r="Q42"/>
      <c r="R42"/>
      <c r="S42" s="114"/>
      <c r="T42" s="110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  <c r="FX42" s="22"/>
      <c r="FY42" s="22"/>
      <c r="FZ42" s="22"/>
      <c r="GA42" s="22"/>
      <c r="GB42" s="22"/>
      <c r="GC42" s="22"/>
      <c r="GD42" s="22"/>
      <c r="GE42" s="22"/>
      <c r="GF42" s="22"/>
      <c r="GG42" s="22"/>
      <c r="GH42" s="22"/>
      <c r="GI42" s="22"/>
      <c r="GJ42" s="22"/>
      <c r="GK42" s="22"/>
      <c r="GL42" s="22"/>
      <c r="GM42" s="22"/>
      <c r="GN42" s="22"/>
      <c r="GO42" s="22"/>
      <c r="GP42" s="22"/>
      <c r="GQ42" s="22"/>
      <c r="GR42" s="22"/>
      <c r="GS42" s="22"/>
      <c r="GT42" s="22"/>
      <c r="GU42" s="22"/>
      <c r="GV42" s="22"/>
      <c r="GW42" s="22"/>
      <c r="GX42" s="22"/>
      <c r="GY42" s="22"/>
      <c r="GZ42" s="22"/>
      <c r="HA42" s="22"/>
      <c r="HB42" s="22"/>
      <c r="HC42" s="22"/>
    </row>
    <row r="43" spans="1:211" ht="15" customHeight="1" x14ac:dyDescent="0.2">
      <c r="A43" s="22"/>
      <c r="B43" s="14"/>
      <c r="C43" s="73"/>
      <c r="D43" s="46"/>
      <c r="E43" s="46"/>
      <c r="F43" s="74"/>
      <c r="G43" s="74"/>
      <c r="H43" s="74"/>
      <c r="I43" s="116"/>
      <c r="J43" s="45"/>
      <c r="K43" s="73"/>
      <c r="L43" s="73"/>
      <c r="M43" s="118"/>
      <c r="N43" s="119"/>
      <c r="O43" s="113"/>
      <c r="P43" s="115"/>
      <c r="Q43"/>
      <c r="R43"/>
      <c r="S43" s="114"/>
      <c r="T43" s="110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  <c r="EZ43" s="22"/>
      <c r="FA43" s="22"/>
      <c r="FB43" s="22"/>
      <c r="FC43" s="22"/>
      <c r="FD43" s="22"/>
      <c r="FE43" s="22"/>
      <c r="FF43" s="22"/>
      <c r="FG43" s="22"/>
      <c r="FH43" s="22"/>
      <c r="FI43" s="22"/>
      <c r="FJ43" s="22"/>
      <c r="FK43" s="22"/>
      <c r="FL43" s="22"/>
      <c r="FM43" s="22"/>
      <c r="FN43" s="22"/>
      <c r="FO43" s="22"/>
      <c r="FP43" s="22"/>
      <c r="FQ43" s="22"/>
      <c r="FR43" s="22"/>
      <c r="FS43" s="22"/>
      <c r="FT43" s="22"/>
      <c r="FU43" s="22"/>
      <c r="FV43" s="22"/>
      <c r="FW43" s="22"/>
      <c r="FX43" s="22"/>
      <c r="FY43" s="22"/>
      <c r="FZ43" s="22"/>
      <c r="GA43" s="22"/>
      <c r="GB43" s="22"/>
      <c r="GC43" s="22"/>
      <c r="GD43" s="22"/>
      <c r="GE43" s="22"/>
      <c r="GF43" s="22"/>
      <c r="GG43" s="22"/>
      <c r="GH43" s="22"/>
      <c r="GI43" s="22"/>
      <c r="GJ43" s="22"/>
      <c r="GK43" s="22"/>
      <c r="GL43" s="22"/>
      <c r="GM43" s="22"/>
      <c r="GN43" s="22"/>
      <c r="GO43" s="22"/>
      <c r="GP43" s="22"/>
      <c r="GQ43" s="22"/>
      <c r="GR43" s="22"/>
      <c r="GS43" s="22"/>
      <c r="GT43" s="22"/>
      <c r="GU43" s="22"/>
      <c r="GV43" s="22"/>
      <c r="GW43" s="22"/>
      <c r="GX43" s="22"/>
      <c r="GY43" s="22"/>
      <c r="GZ43" s="22"/>
      <c r="HA43" s="22"/>
      <c r="HB43" s="22"/>
      <c r="HC43" s="22"/>
    </row>
    <row r="44" spans="1:211" ht="15" customHeight="1" x14ac:dyDescent="0.2">
      <c r="A44" s="22"/>
      <c r="B44" s="14"/>
      <c r="C44" s="73"/>
      <c r="D44" s="46"/>
      <c r="E44" s="46"/>
      <c r="F44" s="74"/>
      <c r="G44" s="74"/>
      <c r="H44" s="74"/>
      <c r="I44" s="116"/>
      <c r="J44" s="45"/>
      <c r="K44" s="45"/>
      <c r="L44" s="73"/>
      <c r="M44" s="118"/>
      <c r="N44" s="119"/>
      <c r="O44" s="113"/>
      <c r="P44" s="115"/>
      <c r="Q44"/>
      <c r="R44"/>
      <c r="S44" s="114"/>
      <c r="T44" s="110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22"/>
      <c r="EZ44" s="22"/>
      <c r="FA44" s="22"/>
      <c r="FB44" s="22"/>
      <c r="FC44" s="22"/>
      <c r="FD44" s="22"/>
      <c r="FE44" s="22"/>
      <c r="FF44" s="22"/>
      <c r="FG44" s="22"/>
      <c r="FH44" s="22"/>
      <c r="FI44" s="22"/>
      <c r="FJ44" s="22"/>
      <c r="FK44" s="22"/>
      <c r="FL44" s="22"/>
      <c r="FM44" s="22"/>
      <c r="FN44" s="22"/>
      <c r="FO44" s="22"/>
      <c r="FP44" s="22"/>
      <c r="FQ44" s="22"/>
      <c r="FR44" s="22"/>
      <c r="FS44" s="22"/>
      <c r="FT44" s="22"/>
      <c r="FU44" s="22"/>
      <c r="FV44" s="22"/>
      <c r="FW44" s="22"/>
      <c r="FX44" s="22"/>
      <c r="FY44" s="22"/>
      <c r="FZ44" s="22"/>
      <c r="GA44" s="22"/>
      <c r="GB44" s="22"/>
      <c r="GC44" s="22"/>
      <c r="GD44" s="22"/>
      <c r="GE44" s="22"/>
      <c r="GF44" s="22"/>
      <c r="GG44" s="22"/>
      <c r="GH44" s="22"/>
      <c r="GI44" s="22"/>
      <c r="GJ44" s="22"/>
      <c r="GK44" s="22"/>
      <c r="GL44" s="22"/>
      <c r="GM44" s="22"/>
      <c r="GN44" s="22"/>
      <c r="GO44" s="22"/>
      <c r="GP44" s="22"/>
      <c r="GQ44" s="22"/>
      <c r="GR44" s="22"/>
      <c r="GS44" s="22"/>
      <c r="GT44" s="22"/>
      <c r="GU44" s="22"/>
      <c r="GV44" s="22"/>
      <c r="GW44" s="22"/>
      <c r="GX44" s="22"/>
      <c r="GY44" s="22"/>
      <c r="GZ44" s="22"/>
      <c r="HA44" s="22"/>
      <c r="HB44" s="22"/>
      <c r="HC44" s="22"/>
    </row>
    <row r="45" spans="1:211" ht="15" customHeight="1" x14ac:dyDescent="0.2">
      <c r="A45" s="22"/>
      <c r="B45" s="14"/>
      <c r="C45" s="73"/>
      <c r="D45" s="46"/>
      <c r="E45" s="46"/>
      <c r="F45" s="74"/>
      <c r="G45" s="74"/>
      <c r="H45" s="74"/>
      <c r="I45" s="116"/>
      <c r="J45" s="45"/>
      <c r="K45" s="45"/>
      <c r="L45" s="73"/>
      <c r="M45" s="118"/>
      <c r="N45" s="119"/>
      <c r="O45" s="113"/>
      <c r="P45" s="115"/>
      <c r="Q45"/>
      <c r="R45"/>
      <c r="S45" s="114"/>
      <c r="T45" s="110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  <c r="EZ45" s="22"/>
      <c r="FA45" s="22"/>
      <c r="FB45" s="22"/>
      <c r="FC45" s="22"/>
      <c r="FD45" s="22"/>
      <c r="FE45" s="22"/>
      <c r="FF45" s="22"/>
      <c r="FG45" s="22"/>
      <c r="FH45" s="22"/>
      <c r="FI45" s="22"/>
      <c r="FJ45" s="22"/>
      <c r="FK45" s="22"/>
      <c r="FL45" s="22"/>
      <c r="FM45" s="22"/>
      <c r="FN45" s="22"/>
      <c r="FO45" s="22"/>
      <c r="FP45" s="22"/>
      <c r="FQ45" s="22"/>
      <c r="FR45" s="22"/>
      <c r="FS45" s="22"/>
      <c r="FT45" s="22"/>
      <c r="FU45" s="22"/>
      <c r="FV45" s="22"/>
      <c r="FW45" s="22"/>
      <c r="FX45" s="22"/>
      <c r="FY45" s="22"/>
      <c r="FZ45" s="22"/>
      <c r="GA45" s="22"/>
      <c r="GB45" s="22"/>
      <c r="GC45" s="22"/>
      <c r="GD45" s="22"/>
      <c r="GE45" s="22"/>
      <c r="GF45" s="22"/>
      <c r="GG45" s="22"/>
      <c r="GH45" s="22"/>
      <c r="GI45" s="22"/>
      <c r="GJ45" s="22"/>
      <c r="GK45" s="22"/>
      <c r="GL45" s="22"/>
      <c r="GM45" s="22"/>
      <c r="GN45" s="22"/>
      <c r="GO45" s="22"/>
      <c r="GP45" s="22"/>
      <c r="GQ45" s="22"/>
      <c r="GR45" s="22"/>
      <c r="GS45" s="22"/>
      <c r="GT45" s="22"/>
      <c r="GU45" s="22"/>
      <c r="GV45" s="22"/>
      <c r="GW45" s="22"/>
      <c r="GX45" s="22"/>
      <c r="GY45" s="22"/>
      <c r="GZ45" s="22"/>
      <c r="HA45" s="22"/>
      <c r="HB45" s="22"/>
      <c r="HC45" s="22"/>
    </row>
    <row r="46" spans="1:211" ht="15" customHeight="1" x14ac:dyDescent="0.2">
      <c r="A46" s="22"/>
      <c r="B46" s="14"/>
      <c r="C46" s="73"/>
      <c r="D46" s="46"/>
      <c r="E46" s="46"/>
      <c r="F46" s="74"/>
      <c r="G46" s="74"/>
      <c r="H46" s="74"/>
      <c r="I46" s="116"/>
      <c r="J46" s="45"/>
      <c r="K46" s="45"/>
      <c r="L46" s="73"/>
      <c r="M46" s="118"/>
      <c r="N46" s="119"/>
      <c r="O46" s="113"/>
      <c r="P46" s="115"/>
      <c r="Q46"/>
      <c r="R46"/>
      <c r="S46" s="114"/>
      <c r="T46" s="110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  <c r="FX46" s="22"/>
      <c r="FY46" s="22"/>
      <c r="FZ46" s="22"/>
      <c r="GA46" s="22"/>
      <c r="GB46" s="22"/>
      <c r="GC46" s="22"/>
      <c r="GD46" s="22"/>
      <c r="GE46" s="22"/>
      <c r="GF46" s="22"/>
      <c r="GG46" s="22"/>
      <c r="GH46" s="22"/>
      <c r="GI46" s="22"/>
      <c r="GJ46" s="22"/>
      <c r="GK46" s="22"/>
      <c r="GL46" s="22"/>
      <c r="GM46" s="22"/>
      <c r="GN46" s="22"/>
      <c r="GO46" s="22"/>
      <c r="GP46" s="22"/>
      <c r="GQ46" s="22"/>
      <c r="GR46" s="22"/>
      <c r="GS46" s="22"/>
      <c r="GT46" s="22"/>
      <c r="GU46" s="22"/>
      <c r="GV46" s="22"/>
      <c r="GW46" s="22"/>
      <c r="GX46" s="22"/>
      <c r="GY46" s="22"/>
      <c r="GZ46" s="22"/>
      <c r="HA46" s="22"/>
      <c r="HB46" s="22"/>
      <c r="HC46" s="22"/>
    </row>
    <row r="47" spans="1:211" ht="15" customHeight="1" x14ac:dyDescent="0.2">
      <c r="A47" s="22"/>
      <c r="B47" s="14"/>
      <c r="C47" s="73"/>
      <c r="D47" s="46"/>
      <c r="E47" s="46"/>
      <c r="F47" s="74"/>
      <c r="G47" s="74"/>
      <c r="H47" s="74"/>
      <c r="I47" s="116"/>
      <c r="J47" s="45"/>
      <c r="K47" s="73"/>
      <c r="L47" s="73"/>
      <c r="M47" s="118"/>
      <c r="N47" s="119"/>
      <c r="O47" s="113"/>
      <c r="P47" s="115"/>
      <c r="Q47"/>
      <c r="R47"/>
      <c r="S47" s="114"/>
      <c r="T47" s="110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  <c r="FX47" s="22"/>
      <c r="FY47" s="22"/>
      <c r="FZ47" s="22"/>
      <c r="GA47" s="22"/>
      <c r="GB47" s="22"/>
      <c r="GC47" s="22"/>
      <c r="GD47" s="22"/>
      <c r="GE47" s="22"/>
      <c r="GF47" s="22"/>
      <c r="GG47" s="22"/>
      <c r="GH47" s="22"/>
      <c r="GI47" s="22"/>
      <c r="GJ47" s="22"/>
      <c r="GK47" s="22"/>
      <c r="GL47" s="22"/>
      <c r="GM47" s="22"/>
      <c r="GN47" s="22"/>
      <c r="GO47" s="22"/>
      <c r="GP47" s="22"/>
      <c r="GQ47" s="22"/>
      <c r="GR47" s="22"/>
      <c r="GS47" s="22"/>
      <c r="GT47" s="22"/>
      <c r="GU47" s="22"/>
      <c r="GV47" s="22"/>
      <c r="GW47" s="22"/>
      <c r="GX47" s="22"/>
      <c r="GY47" s="22"/>
      <c r="GZ47" s="22"/>
      <c r="HA47" s="22"/>
      <c r="HB47" s="22"/>
      <c r="HC47" s="22"/>
    </row>
    <row r="48" spans="1:211" ht="15" customHeight="1" x14ac:dyDescent="0.2">
      <c r="A48" s="22"/>
      <c r="B48" s="14"/>
      <c r="C48" s="73"/>
      <c r="D48" s="46"/>
      <c r="E48" s="46"/>
      <c r="F48" s="74"/>
      <c r="G48" s="74"/>
      <c r="H48" s="74"/>
      <c r="I48" s="116"/>
      <c r="J48" s="45"/>
      <c r="K48" s="45"/>
      <c r="L48" s="73"/>
      <c r="M48" s="118"/>
      <c r="N48" s="119"/>
      <c r="O48" s="113"/>
      <c r="P48" s="115"/>
      <c r="Q48"/>
      <c r="R48"/>
      <c r="S48" s="114"/>
      <c r="T48" s="110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  <c r="FX48" s="22"/>
      <c r="FY48" s="22"/>
      <c r="FZ48" s="22"/>
      <c r="GA48" s="22"/>
      <c r="GB48" s="22"/>
      <c r="GC48" s="22"/>
      <c r="GD48" s="22"/>
      <c r="GE48" s="22"/>
      <c r="GF48" s="22"/>
      <c r="GG48" s="22"/>
      <c r="GH48" s="22"/>
      <c r="GI48" s="22"/>
      <c r="GJ48" s="22"/>
      <c r="GK48" s="22"/>
      <c r="GL48" s="22"/>
      <c r="GM48" s="22"/>
      <c r="GN48" s="22"/>
      <c r="GO48" s="22"/>
      <c r="GP48" s="22"/>
      <c r="GQ48" s="22"/>
      <c r="GR48" s="22"/>
      <c r="GS48" s="22"/>
      <c r="GT48" s="22"/>
      <c r="GU48" s="22"/>
      <c r="GV48" s="22"/>
      <c r="GW48" s="22"/>
      <c r="GX48" s="22"/>
      <c r="GY48" s="22"/>
      <c r="GZ48" s="22"/>
      <c r="HA48" s="22"/>
      <c r="HB48" s="22"/>
      <c r="HC48" s="22"/>
    </row>
    <row r="49" spans="1:211" ht="15" customHeight="1" x14ac:dyDescent="0.2">
      <c r="A49" s="22"/>
      <c r="B49" s="14"/>
      <c r="C49" s="73"/>
      <c r="D49" s="46"/>
      <c r="E49" s="46"/>
      <c r="F49" s="74"/>
      <c r="G49" s="74"/>
      <c r="H49" s="74"/>
      <c r="I49" s="116"/>
      <c r="J49" s="45"/>
      <c r="K49" s="45"/>
      <c r="L49" s="73"/>
      <c r="M49" s="118"/>
      <c r="N49" s="119"/>
      <c r="O49" s="113"/>
      <c r="P49" s="115"/>
      <c r="Q49"/>
      <c r="R49"/>
      <c r="S49" s="114"/>
      <c r="T49" s="110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  <c r="FX49" s="22"/>
      <c r="FY49" s="22"/>
      <c r="FZ49" s="22"/>
      <c r="GA49" s="22"/>
      <c r="GB49" s="22"/>
      <c r="GC49" s="22"/>
      <c r="GD49" s="22"/>
      <c r="GE49" s="22"/>
      <c r="GF49" s="22"/>
      <c r="GG49" s="22"/>
      <c r="GH49" s="22"/>
      <c r="GI49" s="22"/>
      <c r="GJ49" s="22"/>
      <c r="GK49" s="22"/>
      <c r="GL49" s="22"/>
      <c r="GM49" s="22"/>
      <c r="GN49" s="22"/>
      <c r="GO49" s="22"/>
      <c r="GP49" s="22"/>
      <c r="GQ49" s="22"/>
      <c r="GR49" s="22"/>
      <c r="GS49" s="22"/>
      <c r="GT49" s="22"/>
      <c r="GU49" s="22"/>
      <c r="GV49" s="22"/>
      <c r="GW49" s="22"/>
      <c r="GX49" s="22"/>
      <c r="GY49" s="22"/>
      <c r="GZ49" s="22"/>
      <c r="HA49" s="22"/>
      <c r="HB49" s="22"/>
      <c r="HC49" s="22"/>
    </row>
    <row r="50" spans="1:211" ht="15" customHeight="1" x14ac:dyDescent="0.2">
      <c r="A50" s="22"/>
      <c r="B50" s="14"/>
      <c r="C50" s="73"/>
      <c r="D50" s="46"/>
      <c r="E50" s="46"/>
      <c r="F50" s="74"/>
      <c r="G50" s="74"/>
      <c r="H50" s="74"/>
      <c r="I50" s="116"/>
      <c r="J50" s="45"/>
      <c r="K50" s="73"/>
      <c r="L50" s="73"/>
      <c r="M50" s="118"/>
      <c r="N50" s="119"/>
      <c r="O50" s="113"/>
      <c r="P50" s="115"/>
      <c r="Q50"/>
      <c r="R50"/>
      <c r="S50" s="114"/>
      <c r="T50" s="110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  <c r="FX50" s="22"/>
      <c r="FY50" s="22"/>
      <c r="FZ50" s="22"/>
      <c r="GA50" s="22"/>
      <c r="GB50" s="22"/>
      <c r="GC50" s="22"/>
      <c r="GD50" s="22"/>
      <c r="GE50" s="22"/>
      <c r="GF50" s="22"/>
      <c r="GG50" s="22"/>
      <c r="GH50" s="22"/>
      <c r="GI50" s="22"/>
      <c r="GJ50" s="22"/>
      <c r="GK50" s="22"/>
      <c r="GL50" s="22"/>
      <c r="GM50" s="22"/>
      <c r="GN50" s="22"/>
      <c r="GO50" s="22"/>
      <c r="GP50" s="22"/>
      <c r="GQ50" s="22"/>
      <c r="GR50" s="22"/>
      <c r="GS50" s="22"/>
      <c r="GT50" s="22"/>
      <c r="GU50" s="22"/>
      <c r="GV50" s="22"/>
      <c r="GW50" s="22"/>
      <c r="GX50" s="22"/>
      <c r="GY50" s="22"/>
      <c r="GZ50" s="22"/>
      <c r="HA50" s="22"/>
      <c r="HB50" s="22"/>
      <c r="HC50" s="22"/>
    </row>
    <row r="51" spans="1:211" ht="15" customHeight="1" x14ac:dyDescent="0.2">
      <c r="A51" s="22"/>
      <c r="B51" s="14"/>
      <c r="C51" s="73"/>
      <c r="D51" s="46"/>
      <c r="E51" s="46"/>
      <c r="F51" s="74"/>
      <c r="G51" s="74"/>
      <c r="H51" s="74"/>
      <c r="I51" s="116"/>
      <c r="J51" s="45"/>
      <c r="K51" s="45"/>
      <c r="L51" s="73"/>
      <c r="M51" s="118"/>
      <c r="N51" s="119"/>
      <c r="O51" s="113"/>
      <c r="P51" s="115"/>
      <c r="Q51"/>
      <c r="R51"/>
      <c r="S51" s="114"/>
      <c r="T51" s="110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  <c r="EZ51" s="22"/>
      <c r="FA51" s="22"/>
      <c r="FB51" s="22"/>
      <c r="FC51" s="22"/>
      <c r="FD51" s="22"/>
      <c r="FE51" s="22"/>
      <c r="FF51" s="22"/>
      <c r="FG51" s="22"/>
      <c r="FH51" s="22"/>
      <c r="FI51" s="22"/>
      <c r="FJ51" s="22"/>
      <c r="FK51" s="22"/>
      <c r="FL51" s="22"/>
      <c r="FM51" s="22"/>
      <c r="FN51" s="22"/>
      <c r="FO51" s="22"/>
      <c r="FP51" s="22"/>
      <c r="FQ51" s="22"/>
      <c r="FR51" s="22"/>
      <c r="FS51" s="22"/>
      <c r="FT51" s="22"/>
      <c r="FU51" s="22"/>
      <c r="FV51" s="22"/>
      <c r="FW51" s="22"/>
      <c r="FX51" s="22"/>
      <c r="FY51" s="22"/>
      <c r="FZ51" s="22"/>
      <c r="GA51" s="22"/>
      <c r="GB51" s="22"/>
      <c r="GC51" s="22"/>
      <c r="GD51" s="22"/>
      <c r="GE51" s="22"/>
      <c r="GF51" s="22"/>
      <c r="GG51" s="22"/>
      <c r="GH51" s="22"/>
      <c r="GI51" s="22"/>
      <c r="GJ51" s="22"/>
      <c r="GK51" s="22"/>
      <c r="GL51" s="22"/>
      <c r="GM51" s="22"/>
      <c r="GN51" s="22"/>
      <c r="GO51" s="22"/>
      <c r="GP51" s="22"/>
      <c r="GQ51" s="22"/>
      <c r="GR51" s="22"/>
      <c r="GS51" s="22"/>
      <c r="GT51" s="22"/>
      <c r="GU51" s="22"/>
      <c r="GV51" s="22"/>
      <c r="GW51" s="22"/>
      <c r="GX51" s="22"/>
      <c r="GY51" s="22"/>
      <c r="GZ51" s="22"/>
      <c r="HA51" s="22"/>
      <c r="HB51" s="22"/>
      <c r="HC51" s="22"/>
    </row>
    <row r="52" spans="1:211" ht="15" customHeight="1" x14ac:dyDescent="0.2">
      <c r="A52" s="22"/>
      <c r="B52" s="14"/>
      <c r="C52" s="73"/>
      <c r="D52" s="46"/>
      <c r="E52" s="46"/>
      <c r="F52" s="74"/>
      <c r="G52" s="74"/>
      <c r="H52" s="74"/>
      <c r="I52" s="116"/>
      <c r="J52" s="45"/>
      <c r="K52" s="45"/>
      <c r="L52" s="73"/>
      <c r="M52" s="118"/>
      <c r="N52" s="119"/>
      <c r="O52" s="113"/>
      <c r="P52" s="115"/>
      <c r="Q52"/>
      <c r="R52"/>
      <c r="S52" s="114"/>
      <c r="T52" s="110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22"/>
      <c r="DN52" s="22"/>
      <c r="DO52" s="22"/>
      <c r="DP52" s="22"/>
      <c r="DQ52" s="22"/>
      <c r="DR52" s="22"/>
      <c r="DS52" s="22"/>
      <c r="DT52" s="22"/>
      <c r="DU52" s="22"/>
      <c r="DV52" s="22"/>
      <c r="DW52" s="22"/>
      <c r="DX52" s="22"/>
      <c r="DY52" s="22"/>
      <c r="DZ52" s="22"/>
      <c r="EA52" s="22"/>
      <c r="EB52" s="22"/>
      <c r="EC52" s="22"/>
      <c r="ED52" s="22"/>
      <c r="EE52" s="22"/>
      <c r="EF52" s="22"/>
      <c r="EG52" s="22"/>
      <c r="EH52" s="22"/>
      <c r="EI52" s="22"/>
      <c r="EJ52" s="22"/>
      <c r="EK52" s="22"/>
      <c r="EL52" s="22"/>
      <c r="EM52" s="22"/>
      <c r="EN52" s="22"/>
      <c r="EO52" s="22"/>
      <c r="EP52" s="22"/>
      <c r="EQ52" s="22"/>
      <c r="ER52" s="22"/>
      <c r="ES52" s="22"/>
      <c r="ET52" s="22"/>
      <c r="EU52" s="22"/>
      <c r="EV52" s="22"/>
      <c r="EW52" s="22"/>
      <c r="EX52" s="22"/>
      <c r="EY52" s="22"/>
      <c r="EZ52" s="22"/>
      <c r="FA52" s="22"/>
      <c r="FB52" s="22"/>
      <c r="FC52" s="22"/>
      <c r="FD52" s="22"/>
      <c r="FE52" s="22"/>
      <c r="FF52" s="22"/>
      <c r="FG52" s="22"/>
      <c r="FH52" s="22"/>
      <c r="FI52" s="22"/>
      <c r="FJ52" s="22"/>
      <c r="FK52" s="22"/>
      <c r="FL52" s="22"/>
      <c r="FM52" s="22"/>
      <c r="FN52" s="22"/>
      <c r="FO52" s="22"/>
      <c r="FP52" s="22"/>
      <c r="FQ52" s="22"/>
      <c r="FR52" s="22"/>
      <c r="FS52" s="22"/>
      <c r="FT52" s="22"/>
      <c r="FU52" s="22"/>
      <c r="FV52" s="22"/>
      <c r="FW52" s="22"/>
      <c r="FX52" s="22"/>
      <c r="FY52" s="22"/>
      <c r="FZ52" s="22"/>
      <c r="GA52" s="22"/>
      <c r="GB52" s="22"/>
      <c r="GC52" s="22"/>
      <c r="GD52" s="22"/>
      <c r="GE52" s="22"/>
      <c r="GF52" s="22"/>
      <c r="GG52" s="22"/>
      <c r="GH52" s="22"/>
      <c r="GI52" s="22"/>
      <c r="GJ52" s="22"/>
      <c r="GK52" s="22"/>
      <c r="GL52" s="22"/>
      <c r="GM52" s="22"/>
      <c r="GN52" s="22"/>
      <c r="GO52" s="22"/>
      <c r="GP52" s="22"/>
      <c r="GQ52" s="22"/>
      <c r="GR52" s="22"/>
      <c r="GS52" s="22"/>
      <c r="GT52" s="22"/>
      <c r="GU52" s="22"/>
      <c r="GV52" s="22"/>
      <c r="GW52" s="22"/>
      <c r="GX52" s="22"/>
      <c r="GY52" s="22"/>
      <c r="GZ52" s="22"/>
      <c r="HA52" s="22"/>
      <c r="HB52" s="22"/>
      <c r="HC52" s="22"/>
    </row>
    <row r="53" spans="1:211" ht="15" customHeight="1" x14ac:dyDescent="0.2">
      <c r="A53" s="22"/>
      <c r="B53" s="14"/>
      <c r="C53" s="73"/>
      <c r="D53" s="46"/>
      <c r="E53" s="46"/>
      <c r="F53" s="74"/>
      <c r="G53" s="74"/>
      <c r="H53" s="74"/>
      <c r="I53" s="116"/>
      <c r="J53" s="45"/>
      <c r="K53" s="45"/>
      <c r="L53" s="73"/>
      <c r="M53" s="118"/>
      <c r="N53" s="119"/>
      <c r="O53" s="113"/>
      <c r="P53" s="115"/>
      <c r="Q53"/>
      <c r="R53"/>
      <c r="S53" s="114"/>
      <c r="T53" s="110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22"/>
      <c r="DN53" s="22"/>
      <c r="DO53" s="22"/>
      <c r="DP53" s="22"/>
      <c r="DQ53" s="22"/>
      <c r="DR53" s="22"/>
      <c r="DS53" s="22"/>
      <c r="DT53" s="22"/>
      <c r="DU53" s="22"/>
      <c r="DV53" s="22"/>
      <c r="DW53" s="22"/>
      <c r="DX53" s="22"/>
      <c r="DY53" s="22"/>
      <c r="DZ53" s="22"/>
      <c r="EA53" s="22"/>
      <c r="EB53" s="22"/>
      <c r="EC53" s="22"/>
      <c r="ED53" s="22"/>
      <c r="EE53" s="22"/>
      <c r="EF53" s="22"/>
      <c r="EG53" s="22"/>
      <c r="EH53" s="22"/>
      <c r="EI53" s="22"/>
      <c r="EJ53" s="22"/>
      <c r="EK53" s="22"/>
      <c r="EL53" s="22"/>
      <c r="EM53" s="22"/>
      <c r="EN53" s="22"/>
      <c r="EO53" s="22"/>
      <c r="EP53" s="22"/>
      <c r="EQ53" s="22"/>
      <c r="ER53" s="22"/>
      <c r="ES53" s="22"/>
      <c r="ET53" s="22"/>
      <c r="EU53" s="22"/>
      <c r="EV53" s="22"/>
      <c r="EW53" s="22"/>
      <c r="EX53" s="22"/>
      <c r="EY53" s="22"/>
      <c r="EZ53" s="22"/>
      <c r="FA53" s="22"/>
      <c r="FB53" s="22"/>
      <c r="FC53" s="22"/>
      <c r="FD53" s="22"/>
      <c r="FE53" s="22"/>
      <c r="FF53" s="22"/>
      <c r="FG53" s="22"/>
      <c r="FH53" s="22"/>
      <c r="FI53" s="22"/>
      <c r="FJ53" s="22"/>
      <c r="FK53" s="22"/>
      <c r="FL53" s="22"/>
      <c r="FM53" s="22"/>
      <c r="FN53" s="22"/>
      <c r="FO53" s="22"/>
      <c r="FP53" s="22"/>
      <c r="FQ53" s="22"/>
      <c r="FR53" s="22"/>
      <c r="FS53" s="22"/>
      <c r="FT53" s="22"/>
      <c r="FU53" s="22"/>
      <c r="FV53" s="22"/>
      <c r="FW53" s="22"/>
      <c r="FX53" s="22"/>
      <c r="FY53" s="22"/>
      <c r="FZ53" s="22"/>
      <c r="GA53" s="22"/>
      <c r="GB53" s="22"/>
      <c r="GC53" s="22"/>
      <c r="GD53" s="22"/>
      <c r="GE53" s="22"/>
      <c r="GF53" s="22"/>
      <c r="GG53" s="22"/>
      <c r="GH53" s="22"/>
      <c r="GI53" s="22"/>
      <c r="GJ53" s="22"/>
      <c r="GK53" s="22"/>
      <c r="GL53" s="22"/>
      <c r="GM53" s="22"/>
      <c r="GN53" s="22"/>
      <c r="GO53" s="22"/>
      <c r="GP53" s="22"/>
      <c r="GQ53" s="22"/>
      <c r="GR53" s="22"/>
      <c r="GS53" s="22"/>
      <c r="GT53" s="22"/>
      <c r="GU53" s="22"/>
      <c r="GV53" s="22"/>
      <c r="GW53" s="22"/>
      <c r="GX53" s="22"/>
      <c r="GY53" s="22"/>
      <c r="GZ53" s="22"/>
      <c r="HA53" s="22"/>
      <c r="HB53" s="22"/>
      <c r="HC53" s="22"/>
    </row>
    <row r="54" spans="1:211" ht="15" customHeight="1" x14ac:dyDescent="0.2">
      <c r="A54" s="22"/>
      <c r="B54" s="14"/>
      <c r="C54" s="73"/>
      <c r="D54" s="46"/>
      <c r="E54" s="46"/>
      <c r="F54" s="74"/>
      <c r="G54" s="74"/>
      <c r="H54" s="74"/>
      <c r="I54" s="116"/>
      <c r="J54" s="45"/>
      <c r="K54" s="45"/>
      <c r="L54" s="73"/>
      <c r="M54" s="118"/>
      <c r="N54" s="119"/>
      <c r="O54" s="113"/>
      <c r="P54" s="115"/>
      <c r="Q54"/>
      <c r="R54"/>
      <c r="S54" s="114"/>
      <c r="T54" s="110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22"/>
      <c r="DN54" s="22"/>
      <c r="DO54" s="22"/>
      <c r="DP54" s="22"/>
      <c r="DQ54" s="22"/>
      <c r="DR54" s="22"/>
      <c r="DS54" s="22"/>
      <c r="DT54" s="22"/>
      <c r="DU54" s="22"/>
      <c r="DV54" s="22"/>
      <c r="DW54" s="22"/>
      <c r="DX54" s="22"/>
      <c r="DY54" s="22"/>
      <c r="DZ54" s="22"/>
      <c r="EA54" s="22"/>
      <c r="EB54" s="22"/>
      <c r="EC54" s="22"/>
      <c r="ED54" s="22"/>
      <c r="EE54" s="22"/>
      <c r="EF54" s="22"/>
      <c r="EG54" s="22"/>
      <c r="EH54" s="22"/>
      <c r="EI54" s="22"/>
      <c r="EJ54" s="22"/>
      <c r="EK54" s="22"/>
      <c r="EL54" s="22"/>
      <c r="EM54" s="22"/>
      <c r="EN54" s="22"/>
      <c r="EO54" s="22"/>
      <c r="EP54" s="22"/>
      <c r="EQ54" s="22"/>
      <c r="ER54" s="22"/>
      <c r="ES54" s="22"/>
      <c r="ET54" s="22"/>
      <c r="EU54" s="22"/>
      <c r="EV54" s="22"/>
      <c r="EW54" s="22"/>
      <c r="EX54" s="22"/>
      <c r="EY54" s="22"/>
      <c r="EZ54" s="22"/>
      <c r="FA54" s="22"/>
      <c r="FB54" s="22"/>
      <c r="FC54" s="22"/>
      <c r="FD54" s="22"/>
      <c r="FE54" s="22"/>
      <c r="FF54" s="22"/>
      <c r="FG54" s="22"/>
      <c r="FH54" s="22"/>
      <c r="FI54" s="22"/>
      <c r="FJ54" s="22"/>
      <c r="FK54" s="22"/>
      <c r="FL54" s="22"/>
      <c r="FM54" s="22"/>
      <c r="FN54" s="22"/>
      <c r="FO54" s="22"/>
      <c r="FP54" s="22"/>
      <c r="FQ54" s="22"/>
      <c r="FR54" s="22"/>
      <c r="FS54" s="22"/>
      <c r="FT54" s="22"/>
      <c r="FU54" s="22"/>
      <c r="FV54" s="22"/>
      <c r="FW54" s="22"/>
      <c r="FX54" s="22"/>
      <c r="FY54" s="22"/>
      <c r="FZ54" s="22"/>
      <c r="GA54" s="22"/>
      <c r="GB54" s="22"/>
      <c r="GC54" s="22"/>
      <c r="GD54" s="22"/>
      <c r="GE54" s="22"/>
      <c r="GF54" s="22"/>
      <c r="GG54" s="22"/>
      <c r="GH54" s="22"/>
      <c r="GI54" s="22"/>
      <c r="GJ54" s="22"/>
      <c r="GK54" s="22"/>
      <c r="GL54" s="22"/>
      <c r="GM54" s="22"/>
      <c r="GN54" s="22"/>
      <c r="GO54" s="22"/>
      <c r="GP54" s="22"/>
      <c r="GQ54" s="22"/>
      <c r="GR54" s="22"/>
      <c r="GS54" s="22"/>
      <c r="GT54" s="22"/>
      <c r="GU54" s="22"/>
      <c r="GV54" s="22"/>
      <c r="GW54" s="22"/>
      <c r="GX54" s="22"/>
      <c r="GY54" s="22"/>
      <c r="GZ54" s="22"/>
      <c r="HA54" s="22"/>
      <c r="HB54" s="22"/>
      <c r="HC54" s="22"/>
    </row>
    <row r="55" spans="1:211" ht="15" customHeight="1" x14ac:dyDescent="0.2">
      <c r="A55" s="22"/>
      <c r="B55" s="14"/>
      <c r="C55" s="73"/>
      <c r="D55" s="46"/>
      <c r="E55" s="46"/>
      <c r="F55" s="74"/>
      <c r="G55" s="74"/>
      <c r="H55" s="74"/>
      <c r="I55" s="116"/>
      <c r="J55" s="45"/>
      <c r="K55" s="73"/>
      <c r="L55" s="73"/>
      <c r="M55" s="118"/>
      <c r="N55" s="119"/>
      <c r="O55" s="113"/>
      <c r="P55" s="115"/>
      <c r="Q55"/>
      <c r="R55"/>
      <c r="S55" s="114"/>
      <c r="T55" s="110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22"/>
      <c r="DN55" s="22"/>
      <c r="DO55" s="22"/>
      <c r="DP55" s="22"/>
      <c r="DQ55" s="22"/>
      <c r="DR55" s="22"/>
      <c r="DS55" s="22"/>
      <c r="DT55" s="22"/>
      <c r="DU55" s="22"/>
      <c r="DV55" s="22"/>
      <c r="DW55" s="22"/>
      <c r="DX55" s="22"/>
      <c r="DY55" s="22"/>
      <c r="DZ55" s="22"/>
      <c r="EA55" s="22"/>
      <c r="EB55" s="22"/>
      <c r="EC55" s="22"/>
      <c r="ED55" s="22"/>
      <c r="EE55" s="22"/>
      <c r="EF55" s="22"/>
      <c r="EG55" s="22"/>
      <c r="EH55" s="22"/>
      <c r="EI55" s="22"/>
      <c r="EJ55" s="22"/>
      <c r="EK55" s="22"/>
      <c r="EL55" s="22"/>
      <c r="EM55" s="22"/>
      <c r="EN55" s="22"/>
      <c r="EO55" s="22"/>
      <c r="EP55" s="22"/>
      <c r="EQ55" s="22"/>
      <c r="ER55" s="22"/>
      <c r="ES55" s="22"/>
      <c r="ET55" s="22"/>
      <c r="EU55" s="22"/>
      <c r="EV55" s="22"/>
      <c r="EW55" s="22"/>
      <c r="EX55" s="22"/>
      <c r="EY55" s="22"/>
      <c r="EZ55" s="22"/>
      <c r="FA55" s="22"/>
      <c r="FB55" s="22"/>
      <c r="FC55" s="22"/>
      <c r="FD55" s="22"/>
      <c r="FE55" s="22"/>
      <c r="FF55" s="22"/>
      <c r="FG55" s="22"/>
      <c r="FH55" s="22"/>
      <c r="FI55" s="22"/>
      <c r="FJ55" s="22"/>
      <c r="FK55" s="22"/>
      <c r="FL55" s="22"/>
      <c r="FM55" s="22"/>
      <c r="FN55" s="22"/>
      <c r="FO55" s="22"/>
      <c r="FP55" s="22"/>
      <c r="FQ55" s="22"/>
      <c r="FR55" s="22"/>
      <c r="FS55" s="22"/>
      <c r="FT55" s="22"/>
      <c r="FU55" s="22"/>
      <c r="FV55" s="22"/>
      <c r="FW55" s="22"/>
      <c r="FX55" s="22"/>
      <c r="FY55" s="22"/>
      <c r="FZ55" s="22"/>
      <c r="GA55" s="22"/>
      <c r="GB55" s="22"/>
      <c r="GC55" s="22"/>
      <c r="GD55" s="22"/>
      <c r="GE55" s="22"/>
      <c r="GF55" s="22"/>
      <c r="GG55" s="22"/>
      <c r="GH55" s="22"/>
      <c r="GI55" s="22"/>
      <c r="GJ55" s="22"/>
      <c r="GK55" s="22"/>
      <c r="GL55" s="22"/>
      <c r="GM55" s="22"/>
      <c r="GN55" s="22"/>
      <c r="GO55" s="22"/>
      <c r="GP55" s="22"/>
      <c r="GQ55" s="22"/>
      <c r="GR55" s="22"/>
      <c r="GS55" s="22"/>
      <c r="GT55" s="22"/>
      <c r="GU55" s="22"/>
      <c r="GV55" s="22"/>
      <c r="GW55" s="22"/>
      <c r="GX55" s="22"/>
      <c r="GY55" s="22"/>
      <c r="GZ55" s="22"/>
      <c r="HA55" s="22"/>
      <c r="HB55" s="22"/>
      <c r="HC55" s="22"/>
    </row>
    <row r="56" spans="1:211" ht="15" customHeight="1" x14ac:dyDescent="0.2">
      <c r="A56" s="22"/>
      <c r="B56" s="14"/>
      <c r="C56" s="73"/>
      <c r="D56" s="46"/>
      <c r="E56" s="46"/>
      <c r="F56" s="74"/>
      <c r="G56" s="74"/>
      <c r="H56" s="74"/>
      <c r="I56" s="116"/>
      <c r="J56" s="45"/>
      <c r="K56" s="73"/>
      <c r="L56" s="73"/>
      <c r="M56" s="118"/>
      <c r="N56" s="119"/>
      <c r="O56" s="113"/>
      <c r="P56" s="115"/>
      <c r="Q56"/>
      <c r="R56"/>
      <c r="S56" s="114"/>
      <c r="T56" s="110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22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22"/>
      <c r="EH56" s="22"/>
      <c r="EI56" s="22"/>
      <c r="EJ56" s="22"/>
      <c r="EK56" s="22"/>
      <c r="EL56" s="22"/>
      <c r="EM56" s="22"/>
      <c r="EN56" s="22"/>
      <c r="EO56" s="22"/>
      <c r="EP56" s="22"/>
      <c r="EQ56" s="22"/>
      <c r="ER56" s="22"/>
      <c r="ES56" s="22"/>
      <c r="ET56" s="22"/>
      <c r="EU56" s="22"/>
      <c r="EV56" s="22"/>
      <c r="EW56" s="22"/>
      <c r="EX56" s="22"/>
      <c r="EY56" s="22"/>
      <c r="EZ56" s="22"/>
      <c r="FA56" s="22"/>
      <c r="FB56" s="22"/>
      <c r="FC56" s="22"/>
      <c r="FD56" s="22"/>
      <c r="FE56" s="22"/>
      <c r="FF56" s="22"/>
      <c r="FG56" s="22"/>
      <c r="FH56" s="22"/>
      <c r="FI56" s="22"/>
      <c r="FJ56" s="22"/>
      <c r="FK56" s="22"/>
      <c r="FL56" s="22"/>
      <c r="FM56" s="22"/>
      <c r="FN56" s="22"/>
      <c r="FO56" s="22"/>
      <c r="FP56" s="22"/>
      <c r="FQ56" s="22"/>
      <c r="FR56" s="22"/>
      <c r="FS56" s="22"/>
      <c r="FT56" s="22"/>
      <c r="FU56" s="22"/>
      <c r="FV56" s="22"/>
      <c r="FW56" s="22"/>
      <c r="FX56" s="22"/>
      <c r="FY56" s="22"/>
      <c r="FZ56" s="22"/>
      <c r="GA56" s="22"/>
      <c r="GB56" s="22"/>
      <c r="GC56" s="22"/>
      <c r="GD56" s="22"/>
      <c r="GE56" s="22"/>
      <c r="GF56" s="22"/>
      <c r="GG56" s="22"/>
      <c r="GH56" s="22"/>
      <c r="GI56" s="22"/>
      <c r="GJ56" s="22"/>
      <c r="GK56" s="22"/>
      <c r="GL56" s="22"/>
      <c r="GM56" s="22"/>
      <c r="GN56" s="22"/>
      <c r="GO56" s="22"/>
      <c r="GP56" s="22"/>
      <c r="GQ56" s="22"/>
      <c r="GR56" s="22"/>
      <c r="GS56" s="22"/>
      <c r="GT56" s="22"/>
      <c r="GU56" s="22"/>
      <c r="GV56" s="22"/>
      <c r="GW56" s="22"/>
      <c r="GX56" s="22"/>
      <c r="GY56" s="22"/>
      <c r="GZ56" s="22"/>
      <c r="HA56" s="22"/>
      <c r="HB56" s="22"/>
      <c r="HC56" s="22"/>
    </row>
    <row r="57" spans="1:211" ht="15" customHeight="1" x14ac:dyDescent="0.2">
      <c r="A57" s="22"/>
      <c r="B57" s="14"/>
      <c r="C57" s="73"/>
      <c r="D57" s="46"/>
      <c r="E57" s="46"/>
      <c r="F57" s="120"/>
      <c r="G57" s="120"/>
      <c r="H57" s="47"/>
      <c r="I57" s="116"/>
      <c r="J57" s="45"/>
      <c r="K57" s="45"/>
      <c r="L57" s="73"/>
      <c r="M57" s="118"/>
      <c r="N57" s="119"/>
      <c r="O57" s="113"/>
      <c r="P57" s="115"/>
      <c r="Q57"/>
      <c r="R57"/>
      <c r="S57" s="114"/>
      <c r="T57" s="110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  <c r="CZ57" s="22"/>
      <c r="DA57" s="22"/>
      <c r="DB57" s="22"/>
      <c r="DC57" s="22"/>
      <c r="DD57" s="22"/>
      <c r="DE57" s="22"/>
      <c r="DF57" s="22"/>
      <c r="DG57" s="22"/>
      <c r="DH57" s="22"/>
      <c r="DI57" s="22"/>
      <c r="DJ57" s="22"/>
      <c r="DK57" s="22"/>
      <c r="DL57" s="22"/>
      <c r="DM57" s="22"/>
      <c r="DN57" s="22"/>
      <c r="DO57" s="22"/>
      <c r="DP57" s="22"/>
      <c r="DQ57" s="22"/>
      <c r="DR57" s="22"/>
      <c r="DS57" s="22"/>
      <c r="DT57" s="22"/>
      <c r="DU57" s="22"/>
      <c r="DV57" s="22"/>
      <c r="DW57" s="22"/>
      <c r="DX57" s="22"/>
      <c r="DY57" s="22"/>
      <c r="DZ57" s="22"/>
      <c r="EA57" s="22"/>
      <c r="EB57" s="22"/>
      <c r="EC57" s="22"/>
      <c r="ED57" s="22"/>
      <c r="EE57" s="22"/>
      <c r="EF57" s="22"/>
      <c r="EG57" s="22"/>
      <c r="EH57" s="22"/>
      <c r="EI57" s="22"/>
      <c r="EJ57" s="22"/>
      <c r="EK57" s="22"/>
      <c r="EL57" s="22"/>
      <c r="EM57" s="22"/>
      <c r="EN57" s="22"/>
      <c r="EO57" s="22"/>
      <c r="EP57" s="22"/>
      <c r="EQ57" s="22"/>
      <c r="ER57" s="22"/>
      <c r="ES57" s="22"/>
      <c r="ET57" s="22"/>
      <c r="EU57" s="22"/>
      <c r="EV57" s="22"/>
      <c r="EW57" s="22"/>
      <c r="EX57" s="22"/>
      <c r="EY57" s="22"/>
      <c r="EZ57" s="22"/>
      <c r="FA57" s="22"/>
      <c r="FB57" s="22"/>
      <c r="FC57" s="22"/>
      <c r="FD57" s="22"/>
      <c r="FE57" s="22"/>
      <c r="FF57" s="22"/>
      <c r="FG57" s="22"/>
      <c r="FH57" s="22"/>
      <c r="FI57" s="22"/>
      <c r="FJ57" s="22"/>
      <c r="FK57" s="22"/>
      <c r="FL57" s="22"/>
      <c r="FM57" s="22"/>
      <c r="FN57" s="22"/>
      <c r="FO57" s="22"/>
      <c r="FP57" s="22"/>
      <c r="FQ57" s="22"/>
      <c r="FR57" s="22"/>
      <c r="FS57" s="22"/>
      <c r="FT57" s="22"/>
      <c r="FU57" s="22"/>
      <c r="FV57" s="22"/>
      <c r="FW57" s="22"/>
      <c r="FX57" s="22"/>
      <c r="FY57" s="22"/>
      <c r="FZ57" s="22"/>
      <c r="GA57" s="22"/>
      <c r="GB57" s="22"/>
      <c r="GC57" s="22"/>
      <c r="GD57" s="22"/>
      <c r="GE57" s="22"/>
      <c r="GF57" s="22"/>
      <c r="GG57" s="22"/>
      <c r="GH57" s="22"/>
      <c r="GI57" s="22"/>
      <c r="GJ57" s="22"/>
      <c r="GK57" s="22"/>
      <c r="GL57" s="22"/>
      <c r="GM57" s="22"/>
      <c r="GN57" s="22"/>
      <c r="GO57" s="22"/>
      <c r="GP57" s="22"/>
      <c r="GQ57" s="22"/>
      <c r="GR57" s="22"/>
      <c r="GS57" s="22"/>
      <c r="GT57" s="22"/>
      <c r="GU57" s="22"/>
      <c r="GV57" s="22"/>
      <c r="GW57" s="22"/>
      <c r="GX57" s="22"/>
      <c r="GY57" s="22"/>
      <c r="GZ57" s="22"/>
      <c r="HA57" s="22"/>
      <c r="HB57" s="22"/>
      <c r="HC57" s="22"/>
    </row>
    <row r="58" spans="1:211" ht="15" customHeight="1" x14ac:dyDescent="0.2">
      <c r="A58" s="22"/>
      <c r="B58" s="14"/>
      <c r="C58" s="73"/>
      <c r="D58" s="46"/>
      <c r="E58" s="46"/>
      <c r="F58" s="120"/>
      <c r="G58" s="120"/>
      <c r="H58" s="47"/>
      <c r="I58" s="116"/>
      <c r="J58" s="45"/>
      <c r="K58" s="45"/>
      <c r="L58" s="73"/>
      <c r="M58" s="118"/>
      <c r="N58" s="119"/>
      <c r="O58" s="113"/>
      <c r="P58" s="115"/>
      <c r="Q58"/>
      <c r="R58"/>
      <c r="S58" s="114"/>
      <c r="T58" s="110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  <c r="CZ58" s="22"/>
      <c r="DA58" s="22"/>
      <c r="DB58" s="22"/>
      <c r="DC58" s="22"/>
      <c r="DD58" s="22"/>
      <c r="DE58" s="22"/>
      <c r="DF58" s="22"/>
      <c r="DG58" s="22"/>
      <c r="DH58" s="22"/>
      <c r="DI58" s="22"/>
      <c r="DJ58" s="22"/>
      <c r="DK58" s="22"/>
      <c r="DL58" s="22"/>
      <c r="DM58" s="22"/>
      <c r="DN58" s="22"/>
      <c r="DO58" s="22"/>
      <c r="DP58" s="22"/>
      <c r="DQ58" s="22"/>
      <c r="DR58" s="22"/>
      <c r="DS58" s="22"/>
      <c r="DT58" s="22"/>
      <c r="DU58" s="22"/>
      <c r="DV58" s="22"/>
      <c r="DW58" s="22"/>
      <c r="DX58" s="22"/>
      <c r="DY58" s="22"/>
      <c r="DZ58" s="22"/>
      <c r="EA58" s="22"/>
      <c r="EB58" s="22"/>
      <c r="EC58" s="22"/>
      <c r="ED58" s="22"/>
      <c r="EE58" s="22"/>
      <c r="EF58" s="22"/>
      <c r="EG58" s="22"/>
      <c r="EH58" s="22"/>
      <c r="EI58" s="22"/>
      <c r="EJ58" s="22"/>
      <c r="EK58" s="22"/>
      <c r="EL58" s="22"/>
      <c r="EM58" s="22"/>
      <c r="EN58" s="22"/>
      <c r="EO58" s="22"/>
      <c r="EP58" s="22"/>
      <c r="EQ58" s="22"/>
      <c r="ER58" s="22"/>
      <c r="ES58" s="22"/>
      <c r="ET58" s="22"/>
      <c r="EU58" s="22"/>
      <c r="EV58" s="22"/>
      <c r="EW58" s="22"/>
      <c r="EX58" s="22"/>
      <c r="EY58" s="22"/>
      <c r="EZ58" s="22"/>
      <c r="FA58" s="22"/>
      <c r="FB58" s="22"/>
      <c r="FC58" s="22"/>
      <c r="FD58" s="22"/>
      <c r="FE58" s="22"/>
      <c r="FF58" s="22"/>
      <c r="FG58" s="22"/>
      <c r="FH58" s="22"/>
      <c r="FI58" s="22"/>
      <c r="FJ58" s="22"/>
      <c r="FK58" s="22"/>
      <c r="FL58" s="22"/>
      <c r="FM58" s="22"/>
      <c r="FN58" s="22"/>
      <c r="FO58" s="22"/>
      <c r="FP58" s="22"/>
      <c r="FQ58" s="22"/>
      <c r="FR58" s="22"/>
      <c r="FS58" s="22"/>
      <c r="FT58" s="22"/>
      <c r="FU58" s="22"/>
      <c r="FV58" s="22"/>
      <c r="FW58" s="22"/>
      <c r="FX58" s="22"/>
      <c r="FY58" s="22"/>
      <c r="FZ58" s="22"/>
      <c r="GA58" s="22"/>
      <c r="GB58" s="22"/>
      <c r="GC58" s="22"/>
      <c r="GD58" s="22"/>
      <c r="GE58" s="22"/>
      <c r="GF58" s="22"/>
      <c r="GG58" s="22"/>
      <c r="GH58" s="22"/>
      <c r="GI58" s="22"/>
      <c r="GJ58" s="22"/>
      <c r="GK58" s="22"/>
      <c r="GL58" s="22"/>
      <c r="GM58" s="22"/>
      <c r="GN58" s="22"/>
      <c r="GO58" s="22"/>
      <c r="GP58" s="22"/>
      <c r="GQ58" s="22"/>
      <c r="GR58" s="22"/>
      <c r="GS58" s="22"/>
      <c r="GT58" s="22"/>
      <c r="GU58" s="22"/>
      <c r="GV58" s="22"/>
      <c r="GW58" s="22"/>
      <c r="GX58" s="22"/>
      <c r="GY58" s="22"/>
      <c r="GZ58" s="22"/>
      <c r="HA58" s="22"/>
      <c r="HB58" s="22"/>
      <c r="HC58" s="22"/>
    </row>
    <row r="59" spans="1:211" ht="15" customHeight="1" x14ac:dyDescent="0.2">
      <c r="A59" s="22"/>
      <c r="B59" s="14"/>
      <c r="C59" s="73"/>
      <c r="D59" s="46"/>
      <c r="E59" s="46"/>
      <c r="F59" s="120"/>
      <c r="G59" s="120"/>
      <c r="H59" s="47"/>
      <c r="I59" s="116"/>
      <c r="J59" s="45"/>
      <c r="K59" s="73"/>
      <c r="L59" s="73"/>
      <c r="M59" s="118"/>
      <c r="N59" s="119"/>
      <c r="O59" s="113"/>
      <c r="P59" s="115"/>
      <c r="Q59"/>
      <c r="R59"/>
      <c r="S59" s="114"/>
      <c r="T59" s="110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  <c r="CZ59" s="22"/>
      <c r="DA59" s="22"/>
      <c r="DB59" s="22"/>
      <c r="DC59" s="22"/>
      <c r="DD59" s="22"/>
      <c r="DE59" s="22"/>
      <c r="DF59" s="22"/>
      <c r="DG59" s="22"/>
      <c r="DH59" s="22"/>
      <c r="DI59" s="22"/>
      <c r="DJ59" s="22"/>
      <c r="DK59" s="22"/>
      <c r="DL59" s="22"/>
      <c r="DM59" s="22"/>
      <c r="DN59" s="22"/>
      <c r="DO59" s="22"/>
      <c r="DP59" s="22"/>
      <c r="DQ59" s="22"/>
      <c r="DR59" s="22"/>
      <c r="DS59" s="22"/>
      <c r="DT59" s="22"/>
      <c r="DU59" s="22"/>
      <c r="DV59" s="22"/>
      <c r="DW59" s="22"/>
      <c r="DX59" s="22"/>
      <c r="DY59" s="22"/>
      <c r="DZ59" s="22"/>
      <c r="EA59" s="22"/>
      <c r="EB59" s="22"/>
      <c r="EC59" s="22"/>
      <c r="ED59" s="22"/>
      <c r="EE59" s="22"/>
      <c r="EF59" s="22"/>
      <c r="EG59" s="22"/>
      <c r="EH59" s="22"/>
      <c r="EI59" s="22"/>
      <c r="EJ59" s="22"/>
      <c r="EK59" s="22"/>
      <c r="EL59" s="22"/>
      <c r="EM59" s="22"/>
      <c r="EN59" s="22"/>
      <c r="EO59" s="22"/>
      <c r="EP59" s="22"/>
      <c r="EQ59" s="22"/>
      <c r="ER59" s="22"/>
      <c r="ES59" s="22"/>
      <c r="ET59" s="22"/>
      <c r="EU59" s="22"/>
      <c r="EV59" s="22"/>
      <c r="EW59" s="22"/>
      <c r="EX59" s="22"/>
      <c r="EY59" s="22"/>
      <c r="EZ59" s="22"/>
      <c r="FA59" s="22"/>
      <c r="FB59" s="22"/>
      <c r="FC59" s="22"/>
      <c r="FD59" s="22"/>
      <c r="FE59" s="22"/>
      <c r="FF59" s="22"/>
      <c r="FG59" s="22"/>
      <c r="FH59" s="22"/>
      <c r="FI59" s="22"/>
      <c r="FJ59" s="22"/>
      <c r="FK59" s="22"/>
      <c r="FL59" s="22"/>
      <c r="FM59" s="22"/>
      <c r="FN59" s="22"/>
      <c r="FO59" s="22"/>
      <c r="FP59" s="22"/>
      <c r="FQ59" s="22"/>
      <c r="FR59" s="22"/>
      <c r="FS59" s="22"/>
      <c r="FT59" s="22"/>
      <c r="FU59" s="22"/>
      <c r="FV59" s="22"/>
      <c r="FW59" s="22"/>
      <c r="FX59" s="22"/>
      <c r="FY59" s="22"/>
      <c r="FZ59" s="22"/>
      <c r="GA59" s="22"/>
      <c r="GB59" s="22"/>
      <c r="GC59" s="22"/>
      <c r="GD59" s="22"/>
      <c r="GE59" s="22"/>
      <c r="GF59" s="22"/>
      <c r="GG59" s="22"/>
      <c r="GH59" s="22"/>
      <c r="GI59" s="22"/>
      <c r="GJ59" s="22"/>
      <c r="GK59" s="22"/>
      <c r="GL59" s="22"/>
      <c r="GM59" s="22"/>
      <c r="GN59" s="22"/>
      <c r="GO59" s="22"/>
      <c r="GP59" s="22"/>
      <c r="GQ59" s="22"/>
      <c r="GR59" s="22"/>
      <c r="GS59" s="22"/>
      <c r="GT59" s="22"/>
      <c r="GU59" s="22"/>
      <c r="GV59" s="22"/>
      <c r="GW59" s="22"/>
      <c r="GX59" s="22"/>
      <c r="GY59" s="22"/>
      <c r="GZ59" s="22"/>
      <c r="HA59" s="22"/>
      <c r="HB59" s="22"/>
      <c r="HC59" s="22"/>
    </row>
    <row r="60" spans="1:211" ht="15" customHeight="1" x14ac:dyDescent="0.2">
      <c r="A60" s="22"/>
      <c r="B60" s="14"/>
      <c r="C60" s="73"/>
      <c r="D60" s="46"/>
      <c r="E60" s="46"/>
      <c r="F60" s="120"/>
      <c r="G60" s="120"/>
      <c r="H60" s="47"/>
      <c r="I60" s="116"/>
      <c r="J60" s="45"/>
      <c r="K60" s="73"/>
      <c r="L60" s="73"/>
      <c r="M60" s="118"/>
      <c r="N60" s="119"/>
      <c r="O60" s="113"/>
      <c r="P60" s="115"/>
      <c r="Q60"/>
      <c r="R60"/>
      <c r="S60" s="114"/>
      <c r="T60" s="110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  <c r="CZ60" s="22"/>
      <c r="DA60" s="22"/>
      <c r="DB60" s="22"/>
      <c r="DC60" s="22"/>
      <c r="DD60" s="22"/>
      <c r="DE60" s="22"/>
      <c r="DF60" s="22"/>
      <c r="DG60" s="22"/>
      <c r="DH60" s="22"/>
      <c r="DI60" s="22"/>
      <c r="DJ60" s="22"/>
      <c r="DK60" s="22"/>
      <c r="DL60" s="22"/>
      <c r="DM60" s="22"/>
      <c r="DN60" s="22"/>
      <c r="DO60" s="22"/>
      <c r="DP60" s="22"/>
      <c r="DQ60" s="22"/>
      <c r="DR60" s="22"/>
      <c r="DS60" s="22"/>
      <c r="DT60" s="22"/>
      <c r="DU60" s="22"/>
      <c r="DV60" s="22"/>
      <c r="DW60" s="22"/>
      <c r="DX60" s="22"/>
      <c r="DY60" s="22"/>
      <c r="DZ60" s="22"/>
      <c r="EA60" s="22"/>
      <c r="EB60" s="22"/>
      <c r="EC60" s="22"/>
      <c r="ED60" s="22"/>
      <c r="EE60" s="22"/>
      <c r="EF60" s="22"/>
      <c r="EG60" s="22"/>
      <c r="EH60" s="22"/>
      <c r="EI60" s="22"/>
      <c r="EJ60" s="22"/>
      <c r="EK60" s="22"/>
      <c r="EL60" s="22"/>
      <c r="EM60" s="22"/>
      <c r="EN60" s="22"/>
      <c r="EO60" s="22"/>
      <c r="EP60" s="22"/>
      <c r="EQ60" s="22"/>
      <c r="ER60" s="22"/>
      <c r="ES60" s="22"/>
      <c r="ET60" s="22"/>
      <c r="EU60" s="22"/>
      <c r="EV60" s="22"/>
      <c r="EW60" s="22"/>
      <c r="EX60" s="22"/>
      <c r="EY60" s="22"/>
      <c r="EZ60" s="22"/>
      <c r="FA60" s="22"/>
      <c r="FB60" s="22"/>
      <c r="FC60" s="22"/>
      <c r="FD60" s="22"/>
      <c r="FE60" s="22"/>
      <c r="FF60" s="22"/>
      <c r="FG60" s="22"/>
      <c r="FH60" s="22"/>
      <c r="FI60" s="22"/>
      <c r="FJ60" s="22"/>
      <c r="FK60" s="22"/>
      <c r="FL60" s="22"/>
      <c r="FM60" s="22"/>
      <c r="FN60" s="22"/>
      <c r="FO60" s="22"/>
      <c r="FP60" s="22"/>
      <c r="FQ60" s="22"/>
      <c r="FR60" s="22"/>
      <c r="FS60" s="22"/>
      <c r="FT60" s="22"/>
      <c r="FU60" s="22"/>
      <c r="FV60" s="22"/>
      <c r="FW60" s="22"/>
      <c r="FX60" s="22"/>
      <c r="FY60" s="22"/>
      <c r="FZ60" s="22"/>
      <c r="GA60" s="22"/>
      <c r="GB60" s="22"/>
      <c r="GC60" s="22"/>
      <c r="GD60" s="22"/>
      <c r="GE60" s="22"/>
      <c r="GF60" s="22"/>
      <c r="GG60" s="22"/>
      <c r="GH60" s="22"/>
      <c r="GI60" s="22"/>
      <c r="GJ60" s="22"/>
      <c r="GK60" s="22"/>
      <c r="GL60" s="22"/>
      <c r="GM60" s="22"/>
      <c r="GN60" s="22"/>
      <c r="GO60" s="22"/>
      <c r="GP60" s="22"/>
      <c r="GQ60" s="22"/>
      <c r="GR60" s="22"/>
      <c r="GS60" s="22"/>
      <c r="GT60" s="22"/>
      <c r="GU60" s="22"/>
      <c r="GV60" s="22"/>
      <c r="GW60" s="22"/>
      <c r="GX60" s="22"/>
      <c r="GY60" s="22"/>
      <c r="GZ60" s="22"/>
      <c r="HA60" s="22"/>
      <c r="HB60" s="22"/>
      <c r="HC60" s="22"/>
    </row>
    <row r="61" spans="1:211" ht="15" customHeight="1" x14ac:dyDescent="0.2">
      <c r="A61" s="22"/>
      <c r="B61" s="14"/>
      <c r="C61" s="73"/>
      <c r="D61" s="46"/>
      <c r="E61" s="46"/>
      <c r="F61" s="120"/>
      <c r="G61" s="120"/>
      <c r="H61" s="47"/>
      <c r="I61" s="116"/>
      <c r="J61" s="45"/>
      <c r="K61" s="45"/>
      <c r="L61" s="73"/>
      <c r="M61" s="118"/>
      <c r="N61" s="119"/>
      <c r="O61" s="113"/>
      <c r="P61" s="115"/>
      <c r="Q61"/>
      <c r="R61"/>
      <c r="S61" s="114"/>
      <c r="T61" s="110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</row>
    <row r="62" spans="1:211" ht="15" customHeight="1" x14ac:dyDescent="0.2">
      <c r="A62" s="22"/>
      <c r="B62" s="14"/>
      <c r="C62" s="73"/>
      <c r="D62" s="46"/>
      <c r="E62" s="46"/>
      <c r="F62" s="120"/>
      <c r="G62" s="120"/>
      <c r="H62" s="47"/>
      <c r="I62" s="116"/>
      <c r="J62" s="45"/>
      <c r="K62" s="45"/>
      <c r="L62" s="73"/>
      <c r="M62" s="118"/>
      <c r="N62" s="119"/>
      <c r="O62" s="113"/>
      <c r="P62" s="115"/>
      <c r="Q62"/>
      <c r="R62"/>
      <c r="S62" s="114"/>
      <c r="T62" s="110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</row>
    <row r="63" spans="1:211" ht="15" customHeight="1" x14ac:dyDescent="0.2">
      <c r="A63" s="22"/>
      <c r="B63" s="14"/>
      <c r="C63" s="73"/>
      <c r="D63" s="46"/>
      <c r="E63" s="46"/>
      <c r="F63" s="120"/>
      <c r="G63" s="120"/>
      <c r="H63" s="47"/>
      <c r="I63" s="116"/>
      <c r="J63" s="45"/>
      <c r="K63" s="73"/>
      <c r="L63" s="73"/>
      <c r="M63" s="118"/>
      <c r="N63" s="119"/>
      <c r="O63" s="113"/>
      <c r="P63" s="115"/>
      <c r="Q63"/>
      <c r="R63"/>
      <c r="S63" s="114"/>
      <c r="T63" s="110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</row>
    <row r="64" spans="1:211" ht="15" customHeight="1" x14ac:dyDescent="0.2">
      <c r="A64" s="22"/>
      <c r="B64" s="14"/>
      <c r="C64" s="73"/>
      <c r="D64" s="46"/>
      <c r="E64" s="46"/>
      <c r="F64" s="120"/>
      <c r="G64" s="120"/>
      <c r="H64" s="47"/>
      <c r="I64" s="116"/>
      <c r="J64" s="45"/>
      <c r="K64" s="73"/>
      <c r="L64" s="73"/>
      <c r="M64" s="118"/>
      <c r="N64" s="119"/>
      <c r="O64" s="113"/>
      <c r="P64" s="115"/>
      <c r="Q64"/>
      <c r="R64"/>
      <c r="S64" s="114"/>
      <c r="T64" s="110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</row>
    <row r="65" spans="1:211" ht="15" customHeight="1" x14ac:dyDescent="0.2">
      <c r="A65" s="22"/>
      <c r="B65" s="14"/>
      <c r="C65" s="73"/>
      <c r="D65" s="46"/>
      <c r="E65" s="46"/>
      <c r="F65" s="120"/>
      <c r="G65" s="120"/>
      <c r="H65" s="47"/>
      <c r="I65" s="116"/>
      <c r="J65" s="45"/>
      <c r="K65" s="73"/>
      <c r="L65" s="73"/>
      <c r="M65" s="118"/>
      <c r="N65" s="119"/>
      <c r="O65" s="113"/>
      <c r="P65" s="115"/>
      <c r="Q65"/>
      <c r="R65"/>
      <c r="S65" s="114"/>
      <c r="T65" s="110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</row>
    <row r="66" spans="1:211" ht="15" customHeight="1" x14ac:dyDescent="0.2">
      <c r="A66" s="22"/>
      <c r="B66" s="14"/>
      <c r="C66" s="73"/>
      <c r="D66" s="46"/>
      <c r="E66" s="46"/>
      <c r="F66" s="120"/>
      <c r="G66" s="120"/>
      <c r="H66" s="47"/>
      <c r="I66" s="116"/>
      <c r="J66" s="45"/>
      <c r="K66" s="73"/>
      <c r="L66" s="73"/>
      <c r="M66" s="118"/>
      <c r="N66" s="119"/>
      <c r="O66" s="113"/>
      <c r="P66" s="115"/>
      <c r="Q66"/>
      <c r="R66"/>
      <c r="S66" s="114"/>
      <c r="T66" s="110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</row>
    <row r="67" spans="1:211" ht="15" customHeight="1" x14ac:dyDescent="0.2">
      <c r="A67" s="22"/>
      <c r="B67" s="14"/>
      <c r="C67" s="73"/>
      <c r="D67" s="46"/>
      <c r="E67" s="46"/>
      <c r="F67" s="120"/>
      <c r="G67" s="120"/>
      <c r="H67" s="47"/>
      <c r="I67" s="116"/>
      <c r="J67" s="45"/>
      <c r="K67" s="45"/>
      <c r="L67" s="73"/>
      <c r="M67" s="118"/>
      <c r="N67" s="119"/>
      <c r="O67" s="113"/>
      <c r="P67" s="115"/>
      <c r="Q67"/>
      <c r="R67"/>
      <c r="S67" s="114"/>
      <c r="T67" s="110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</row>
    <row r="68" spans="1:211" ht="15" customHeight="1" x14ac:dyDescent="0.2">
      <c r="A68" s="22"/>
      <c r="B68" s="14"/>
      <c r="C68" s="73"/>
      <c r="D68" s="46"/>
      <c r="E68" s="46"/>
      <c r="F68" s="120"/>
      <c r="G68" s="120"/>
      <c r="H68" s="47"/>
      <c r="I68" s="116"/>
      <c r="J68" s="45"/>
      <c r="K68" s="73"/>
      <c r="L68" s="73"/>
      <c r="M68" s="118"/>
      <c r="N68" s="119"/>
      <c r="O68" s="113"/>
      <c r="P68" s="115"/>
      <c r="Q68"/>
      <c r="R68"/>
      <c r="S68" s="114"/>
      <c r="T68" s="110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  <c r="CZ68" s="22"/>
      <c r="DA68" s="22"/>
      <c r="DB68" s="22"/>
      <c r="DC68" s="22"/>
      <c r="DD68" s="22"/>
      <c r="DE68" s="22"/>
      <c r="DF68" s="22"/>
      <c r="DG68" s="22"/>
      <c r="DH68" s="22"/>
      <c r="DI68" s="22"/>
      <c r="DJ68" s="22"/>
      <c r="DK68" s="22"/>
      <c r="DL68" s="22"/>
      <c r="DM68" s="22"/>
      <c r="DN68" s="22"/>
      <c r="DO68" s="22"/>
      <c r="DP68" s="22"/>
      <c r="DQ68" s="22"/>
      <c r="DR68" s="22"/>
      <c r="DS68" s="22"/>
      <c r="DT68" s="22"/>
      <c r="DU68" s="22"/>
      <c r="DV68" s="22"/>
      <c r="DW68" s="22"/>
      <c r="DX68" s="22"/>
      <c r="DY68" s="22"/>
      <c r="DZ68" s="22"/>
      <c r="EA68" s="22"/>
      <c r="EB68" s="22"/>
      <c r="EC68" s="22"/>
      <c r="ED68" s="22"/>
      <c r="EE68" s="22"/>
      <c r="EF68" s="22"/>
      <c r="EG68" s="22"/>
      <c r="EH68" s="22"/>
      <c r="EI68" s="22"/>
      <c r="EJ68" s="22"/>
      <c r="EK68" s="22"/>
      <c r="EL68" s="22"/>
      <c r="EM68" s="22"/>
      <c r="EN68" s="22"/>
      <c r="EO68" s="22"/>
      <c r="EP68" s="22"/>
      <c r="EQ68" s="22"/>
      <c r="ER68" s="22"/>
      <c r="ES68" s="22"/>
      <c r="ET68" s="22"/>
      <c r="EU68" s="22"/>
      <c r="EV68" s="22"/>
      <c r="EW68" s="22"/>
      <c r="EX68" s="22"/>
      <c r="EY68" s="22"/>
      <c r="EZ68" s="22"/>
      <c r="FA68" s="22"/>
      <c r="FB68" s="22"/>
      <c r="FC68" s="22"/>
      <c r="FD68" s="22"/>
      <c r="FE68" s="22"/>
      <c r="FF68" s="22"/>
      <c r="FG68" s="22"/>
      <c r="FH68" s="22"/>
      <c r="FI68" s="22"/>
      <c r="FJ68" s="22"/>
      <c r="FK68" s="22"/>
      <c r="FL68" s="22"/>
      <c r="FM68" s="22"/>
      <c r="FN68" s="22"/>
      <c r="FO68" s="22"/>
      <c r="FP68" s="22"/>
      <c r="FQ68" s="22"/>
      <c r="FR68" s="22"/>
      <c r="FS68" s="22"/>
      <c r="FT68" s="22"/>
      <c r="FU68" s="22"/>
      <c r="FV68" s="22"/>
      <c r="FW68" s="22"/>
      <c r="FX68" s="22"/>
      <c r="FY68" s="22"/>
      <c r="FZ68" s="22"/>
      <c r="GA68" s="22"/>
      <c r="GB68" s="22"/>
      <c r="GC68" s="22"/>
      <c r="GD68" s="22"/>
      <c r="GE68" s="22"/>
      <c r="GF68" s="22"/>
      <c r="GG68" s="22"/>
      <c r="GH68" s="22"/>
      <c r="GI68" s="22"/>
      <c r="GJ68" s="22"/>
      <c r="GK68" s="22"/>
      <c r="GL68" s="22"/>
      <c r="GM68" s="22"/>
      <c r="GN68" s="22"/>
      <c r="GO68" s="22"/>
      <c r="GP68" s="22"/>
      <c r="GQ68" s="22"/>
      <c r="GR68" s="22"/>
      <c r="GS68" s="22"/>
      <c r="GT68" s="22"/>
      <c r="GU68" s="22"/>
      <c r="GV68" s="22"/>
      <c r="GW68" s="22"/>
      <c r="GX68" s="22"/>
      <c r="GY68" s="22"/>
      <c r="GZ68" s="22"/>
      <c r="HA68" s="22"/>
      <c r="HB68" s="22"/>
      <c r="HC68" s="22"/>
    </row>
    <row r="69" spans="1:211" ht="15" customHeight="1" x14ac:dyDescent="0.2">
      <c r="A69" s="22"/>
      <c r="B69" s="14"/>
      <c r="C69" s="73"/>
      <c r="D69" s="46"/>
      <c r="E69" s="46"/>
      <c r="F69" s="120"/>
      <c r="G69" s="120"/>
      <c r="H69" s="47"/>
      <c r="I69" s="116"/>
      <c r="J69" s="45"/>
      <c r="K69" s="45"/>
      <c r="L69" s="73"/>
      <c r="M69" s="118"/>
      <c r="N69" s="119"/>
      <c r="O69" s="113"/>
      <c r="P69" s="115"/>
      <c r="Q69"/>
      <c r="R69"/>
      <c r="S69" s="114"/>
      <c r="T69" s="110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  <c r="CZ69" s="22"/>
      <c r="DA69" s="22"/>
      <c r="DB69" s="22"/>
      <c r="DC69" s="22"/>
      <c r="DD69" s="22"/>
      <c r="DE69" s="22"/>
      <c r="DF69" s="22"/>
      <c r="DG69" s="22"/>
      <c r="DH69" s="22"/>
      <c r="DI69" s="22"/>
      <c r="DJ69" s="22"/>
      <c r="DK69" s="22"/>
      <c r="DL69" s="22"/>
      <c r="DM69" s="22"/>
      <c r="DN69" s="22"/>
      <c r="DO69" s="22"/>
      <c r="DP69" s="22"/>
      <c r="DQ69" s="22"/>
      <c r="DR69" s="22"/>
      <c r="DS69" s="22"/>
      <c r="DT69" s="22"/>
      <c r="DU69" s="22"/>
      <c r="DV69" s="22"/>
      <c r="DW69" s="22"/>
      <c r="DX69" s="22"/>
      <c r="DY69" s="22"/>
      <c r="DZ69" s="22"/>
      <c r="EA69" s="22"/>
      <c r="EB69" s="22"/>
      <c r="EC69" s="22"/>
      <c r="ED69" s="22"/>
      <c r="EE69" s="22"/>
      <c r="EF69" s="22"/>
      <c r="EG69" s="22"/>
      <c r="EH69" s="22"/>
      <c r="EI69" s="22"/>
      <c r="EJ69" s="22"/>
      <c r="EK69" s="22"/>
      <c r="EL69" s="22"/>
      <c r="EM69" s="22"/>
      <c r="EN69" s="22"/>
      <c r="EO69" s="22"/>
      <c r="EP69" s="22"/>
      <c r="EQ69" s="22"/>
      <c r="ER69" s="22"/>
      <c r="ES69" s="22"/>
      <c r="ET69" s="22"/>
      <c r="EU69" s="22"/>
      <c r="EV69" s="22"/>
      <c r="EW69" s="22"/>
      <c r="EX69" s="22"/>
      <c r="EY69" s="22"/>
      <c r="EZ69" s="22"/>
      <c r="FA69" s="22"/>
      <c r="FB69" s="22"/>
      <c r="FC69" s="22"/>
      <c r="FD69" s="22"/>
      <c r="FE69" s="22"/>
      <c r="FF69" s="22"/>
      <c r="FG69" s="22"/>
      <c r="FH69" s="22"/>
      <c r="FI69" s="22"/>
      <c r="FJ69" s="22"/>
      <c r="FK69" s="22"/>
      <c r="FL69" s="22"/>
      <c r="FM69" s="22"/>
      <c r="FN69" s="22"/>
      <c r="FO69" s="22"/>
      <c r="FP69" s="22"/>
      <c r="FQ69" s="22"/>
      <c r="FR69" s="22"/>
      <c r="FS69" s="22"/>
      <c r="FT69" s="22"/>
      <c r="FU69" s="22"/>
      <c r="FV69" s="22"/>
      <c r="FW69" s="22"/>
      <c r="FX69" s="22"/>
      <c r="FY69" s="22"/>
      <c r="FZ69" s="22"/>
      <c r="GA69" s="22"/>
      <c r="GB69" s="22"/>
      <c r="GC69" s="22"/>
      <c r="GD69" s="22"/>
      <c r="GE69" s="22"/>
      <c r="GF69" s="22"/>
      <c r="GG69" s="22"/>
      <c r="GH69" s="22"/>
      <c r="GI69" s="22"/>
      <c r="GJ69" s="22"/>
      <c r="GK69" s="22"/>
      <c r="GL69" s="22"/>
      <c r="GM69" s="22"/>
      <c r="GN69" s="22"/>
      <c r="GO69" s="22"/>
      <c r="GP69" s="22"/>
      <c r="GQ69" s="22"/>
      <c r="GR69" s="22"/>
      <c r="GS69" s="22"/>
      <c r="GT69" s="22"/>
      <c r="GU69" s="22"/>
      <c r="GV69" s="22"/>
      <c r="GW69" s="22"/>
      <c r="GX69" s="22"/>
      <c r="GY69" s="22"/>
      <c r="GZ69" s="22"/>
      <c r="HA69" s="22"/>
      <c r="HB69" s="22"/>
      <c r="HC69" s="22"/>
    </row>
    <row r="70" spans="1:211" ht="15" customHeight="1" x14ac:dyDescent="0.2">
      <c r="A70" s="22"/>
      <c r="B70" s="14"/>
      <c r="C70" s="73"/>
      <c r="D70" s="46"/>
      <c r="E70" s="46"/>
      <c r="F70" s="120"/>
      <c r="G70" s="120"/>
      <c r="H70" s="47"/>
      <c r="I70" s="116"/>
      <c r="J70" s="45"/>
      <c r="K70" s="45"/>
      <c r="L70" s="73"/>
      <c r="M70" s="118"/>
      <c r="N70" s="119"/>
      <c r="O70" s="113"/>
      <c r="P70" s="115"/>
      <c r="Q70"/>
      <c r="R70"/>
      <c r="S70" s="114"/>
      <c r="T70" s="110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2"/>
      <c r="CZ70" s="22"/>
      <c r="DA70" s="22"/>
      <c r="DB70" s="22"/>
      <c r="DC70" s="22"/>
      <c r="DD70" s="22"/>
      <c r="DE70" s="22"/>
      <c r="DF70" s="22"/>
      <c r="DG70" s="22"/>
      <c r="DH70" s="22"/>
      <c r="DI70" s="22"/>
      <c r="DJ70" s="22"/>
      <c r="DK70" s="22"/>
      <c r="DL70" s="22"/>
      <c r="DM70" s="22"/>
      <c r="DN70" s="22"/>
      <c r="DO70" s="22"/>
      <c r="DP70" s="22"/>
      <c r="DQ70" s="22"/>
      <c r="DR70" s="22"/>
      <c r="DS70" s="22"/>
      <c r="DT70" s="22"/>
      <c r="DU70" s="22"/>
      <c r="DV70" s="22"/>
      <c r="DW70" s="22"/>
      <c r="DX70" s="22"/>
      <c r="DY70" s="22"/>
      <c r="DZ70" s="22"/>
      <c r="EA70" s="22"/>
      <c r="EB70" s="22"/>
      <c r="EC70" s="22"/>
      <c r="ED70" s="22"/>
      <c r="EE70" s="22"/>
      <c r="EF70" s="22"/>
      <c r="EG70" s="22"/>
      <c r="EH70" s="22"/>
      <c r="EI70" s="22"/>
      <c r="EJ70" s="22"/>
      <c r="EK70" s="22"/>
      <c r="EL70" s="22"/>
      <c r="EM70" s="22"/>
      <c r="EN70" s="22"/>
      <c r="EO70" s="22"/>
      <c r="EP70" s="22"/>
      <c r="EQ70" s="22"/>
      <c r="ER70" s="22"/>
      <c r="ES70" s="22"/>
      <c r="ET70" s="22"/>
      <c r="EU70" s="22"/>
      <c r="EV70" s="22"/>
      <c r="EW70" s="22"/>
      <c r="EX70" s="22"/>
      <c r="EY70" s="22"/>
      <c r="EZ70" s="22"/>
      <c r="FA70" s="22"/>
      <c r="FB70" s="22"/>
      <c r="FC70" s="22"/>
      <c r="FD70" s="22"/>
      <c r="FE70" s="22"/>
      <c r="FF70" s="22"/>
      <c r="FG70" s="22"/>
      <c r="FH70" s="22"/>
      <c r="FI70" s="22"/>
      <c r="FJ70" s="22"/>
      <c r="FK70" s="22"/>
      <c r="FL70" s="22"/>
      <c r="FM70" s="22"/>
      <c r="FN70" s="22"/>
      <c r="FO70" s="22"/>
      <c r="FP70" s="22"/>
      <c r="FQ70" s="22"/>
      <c r="FR70" s="22"/>
      <c r="FS70" s="22"/>
      <c r="FT70" s="22"/>
      <c r="FU70" s="22"/>
      <c r="FV70" s="22"/>
      <c r="FW70" s="22"/>
      <c r="FX70" s="22"/>
      <c r="FY70" s="22"/>
      <c r="FZ70" s="22"/>
      <c r="GA70" s="22"/>
      <c r="GB70" s="22"/>
      <c r="GC70" s="22"/>
      <c r="GD70" s="22"/>
      <c r="GE70" s="22"/>
      <c r="GF70" s="22"/>
      <c r="GG70" s="22"/>
      <c r="GH70" s="22"/>
      <c r="GI70" s="22"/>
      <c r="GJ70" s="22"/>
      <c r="GK70" s="22"/>
      <c r="GL70" s="22"/>
      <c r="GM70" s="22"/>
      <c r="GN70" s="22"/>
      <c r="GO70" s="22"/>
      <c r="GP70" s="22"/>
      <c r="GQ70" s="22"/>
      <c r="GR70" s="22"/>
      <c r="GS70" s="22"/>
      <c r="GT70" s="22"/>
      <c r="GU70" s="22"/>
      <c r="GV70" s="22"/>
      <c r="GW70" s="22"/>
      <c r="GX70" s="22"/>
      <c r="GY70" s="22"/>
      <c r="GZ70" s="22"/>
      <c r="HA70" s="22"/>
      <c r="HB70" s="22"/>
      <c r="HC70" s="22"/>
    </row>
    <row r="71" spans="1:211" ht="15" customHeight="1" x14ac:dyDescent="0.2">
      <c r="A71" s="22"/>
      <c r="B71" s="14"/>
      <c r="C71" s="73"/>
      <c r="D71" s="46"/>
      <c r="E71" s="46"/>
      <c r="F71" s="120"/>
      <c r="G71" s="120"/>
      <c r="H71" s="47"/>
      <c r="I71" s="116"/>
      <c r="J71" s="45"/>
      <c r="K71" s="45"/>
      <c r="L71" s="73"/>
      <c r="M71" s="118"/>
      <c r="N71" s="119"/>
      <c r="O71" s="113"/>
      <c r="P71" s="115"/>
      <c r="Q71"/>
      <c r="R71"/>
      <c r="S71" s="114"/>
      <c r="T71" s="110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  <c r="CZ71" s="22"/>
      <c r="DA71" s="22"/>
      <c r="DB71" s="22"/>
      <c r="DC71" s="22"/>
      <c r="DD71" s="22"/>
      <c r="DE71" s="22"/>
      <c r="DF71" s="22"/>
      <c r="DG71" s="22"/>
      <c r="DH71" s="22"/>
      <c r="DI71" s="22"/>
      <c r="DJ71" s="22"/>
      <c r="DK71" s="22"/>
      <c r="DL71" s="22"/>
      <c r="DM71" s="22"/>
      <c r="DN71" s="22"/>
      <c r="DO71" s="22"/>
      <c r="DP71" s="22"/>
      <c r="DQ71" s="22"/>
      <c r="DR71" s="22"/>
      <c r="DS71" s="22"/>
      <c r="DT71" s="22"/>
      <c r="DU71" s="22"/>
      <c r="DV71" s="22"/>
      <c r="DW71" s="22"/>
      <c r="DX71" s="22"/>
      <c r="DY71" s="22"/>
      <c r="DZ71" s="22"/>
      <c r="EA71" s="22"/>
      <c r="EB71" s="22"/>
      <c r="EC71" s="22"/>
      <c r="ED71" s="22"/>
      <c r="EE71" s="22"/>
      <c r="EF71" s="22"/>
      <c r="EG71" s="22"/>
      <c r="EH71" s="22"/>
      <c r="EI71" s="22"/>
      <c r="EJ71" s="22"/>
      <c r="EK71" s="22"/>
      <c r="EL71" s="22"/>
      <c r="EM71" s="22"/>
      <c r="EN71" s="22"/>
      <c r="EO71" s="22"/>
      <c r="EP71" s="22"/>
      <c r="EQ71" s="22"/>
      <c r="ER71" s="22"/>
      <c r="ES71" s="22"/>
      <c r="ET71" s="22"/>
      <c r="EU71" s="22"/>
      <c r="EV71" s="22"/>
      <c r="EW71" s="22"/>
      <c r="EX71" s="22"/>
      <c r="EY71" s="22"/>
      <c r="EZ71" s="22"/>
      <c r="FA71" s="22"/>
      <c r="FB71" s="22"/>
      <c r="FC71" s="22"/>
      <c r="FD71" s="22"/>
      <c r="FE71" s="22"/>
      <c r="FF71" s="22"/>
      <c r="FG71" s="22"/>
      <c r="FH71" s="22"/>
      <c r="FI71" s="22"/>
      <c r="FJ71" s="22"/>
      <c r="FK71" s="22"/>
      <c r="FL71" s="22"/>
      <c r="FM71" s="22"/>
      <c r="FN71" s="22"/>
      <c r="FO71" s="22"/>
      <c r="FP71" s="22"/>
      <c r="FQ71" s="22"/>
      <c r="FR71" s="22"/>
      <c r="FS71" s="22"/>
      <c r="FT71" s="22"/>
      <c r="FU71" s="22"/>
      <c r="FV71" s="22"/>
      <c r="FW71" s="22"/>
      <c r="FX71" s="22"/>
      <c r="FY71" s="22"/>
      <c r="FZ71" s="22"/>
      <c r="GA71" s="22"/>
      <c r="GB71" s="22"/>
      <c r="GC71" s="22"/>
      <c r="GD71" s="22"/>
      <c r="GE71" s="22"/>
      <c r="GF71" s="22"/>
      <c r="GG71" s="22"/>
      <c r="GH71" s="22"/>
      <c r="GI71" s="22"/>
      <c r="GJ71" s="22"/>
      <c r="GK71" s="22"/>
      <c r="GL71" s="22"/>
      <c r="GM71" s="22"/>
      <c r="GN71" s="22"/>
      <c r="GO71" s="22"/>
      <c r="GP71" s="22"/>
      <c r="GQ71" s="22"/>
      <c r="GR71" s="22"/>
      <c r="GS71" s="22"/>
      <c r="GT71" s="22"/>
      <c r="GU71" s="22"/>
      <c r="GV71" s="22"/>
      <c r="GW71" s="22"/>
      <c r="GX71" s="22"/>
      <c r="GY71" s="22"/>
      <c r="GZ71" s="22"/>
      <c r="HA71" s="22"/>
      <c r="HB71" s="22"/>
      <c r="HC71" s="22"/>
    </row>
    <row r="72" spans="1:211" ht="15" customHeight="1" x14ac:dyDescent="0.2">
      <c r="A72" s="22"/>
      <c r="B72" s="14"/>
      <c r="C72" s="73"/>
      <c r="D72" s="46"/>
      <c r="E72" s="46"/>
      <c r="F72" s="120"/>
      <c r="G72" s="120"/>
      <c r="H72" s="47"/>
      <c r="I72" s="116"/>
      <c r="J72" s="45"/>
      <c r="K72" s="45"/>
      <c r="L72" s="73"/>
      <c r="M72" s="118"/>
      <c r="N72" s="119"/>
      <c r="O72" s="113"/>
      <c r="P72" s="115"/>
      <c r="Q72"/>
      <c r="R72"/>
      <c r="S72" s="114"/>
      <c r="T72" s="110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  <c r="CZ72" s="22"/>
      <c r="DA72" s="22"/>
      <c r="DB72" s="22"/>
      <c r="DC72" s="22"/>
      <c r="DD72" s="22"/>
      <c r="DE72" s="22"/>
      <c r="DF72" s="22"/>
      <c r="DG72" s="22"/>
      <c r="DH72" s="22"/>
      <c r="DI72" s="22"/>
      <c r="DJ72" s="22"/>
      <c r="DK72" s="22"/>
      <c r="DL72" s="22"/>
      <c r="DM72" s="22"/>
      <c r="DN72" s="22"/>
      <c r="DO72" s="22"/>
      <c r="DP72" s="22"/>
      <c r="DQ72" s="22"/>
      <c r="DR72" s="22"/>
      <c r="DS72" s="22"/>
      <c r="DT72" s="22"/>
      <c r="DU72" s="22"/>
      <c r="DV72" s="22"/>
      <c r="DW72" s="22"/>
      <c r="DX72" s="22"/>
      <c r="DY72" s="22"/>
      <c r="DZ72" s="22"/>
      <c r="EA72" s="22"/>
      <c r="EB72" s="22"/>
      <c r="EC72" s="22"/>
      <c r="ED72" s="22"/>
      <c r="EE72" s="22"/>
      <c r="EF72" s="22"/>
      <c r="EG72" s="22"/>
      <c r="EH72" s="22"/>
      <c r="EI72" s="22"/>
      <c r="EJ72" s="22"/>
      <c r="EK72" s="22"/>
      <c r="EL72" s="22"/>
      <c r="EM72" s="22"/>
      <c r="EN72" s="22"/>
      <c r="EO72" s="22"/>
      <c r="EP72" s="22"/>
      <c r="EQ72" s="22"/>
      <c r="ER72" s="22"/>
      <c r="ES72" s="22"/>
      <c r="ET72" s="22"/>
      <c r="EU72" s="22"/>
      <c r="EV72" s="22"/>
      <c r="EW72" s="22"/>
      <c r="EX72" s="22"/>
      <c r="EY72" s="22"/>
      <c r="EZ72" s="22"/>
      <c r="FA72" s="22"/>
      <c r="FB72" s="22"/>
      <c r="FC72" s="22"/>
      <c r="FD72" s="22"/>
      <c r="FE72" s="22"/>
      <c r="FF72" s="22"/>
      <c r="FG72" s="22"/>
      <c r="FH72" s="22"/>
      <c r="FI72" s="22"/>
      <c r="FJ72" s="22"/>
      <c r="FK72" s="22"/>
      <c r="FL72" s="22"/>
      <c r="FM72" s="22"/>
      <c r="FN72" s="22"/>
      <c r="FO72" s="22"/>
      <c r="FP72" s="22"/>
      <c r="FQ72" s="22"/>
      <c r="FR72" s="22"/>
      <c r="FS72" s="22"/>
      <c r="FT72" s="22"/>
      <c r="FU72" s="22"/>
      <c r="FV72" s="22"/>
      <c r="FW72" s="22"/>
      <c r="FX72" s="22"/>
      <c r="FY72" s="22"/>
      <c r="FZ72" s="22"/>
      <c r="GA72" s="22"/>
      <c r="GB72" s="22"/>
      <c r="GC72" s="22"/>
      <c r="GD72" s="22"/>
      <c r="GE72" s="22"/>
      <c r="GF72" s="22"/>
      <c r="GG72" s="22"/>
      <c r="GH72" s="22"/>
      <c r="GI72" s="22"/>
      <c r="GJ72" s="22"/>
      <c r="GK72" s="22"/>
      <c r="GL72" s="22"/>
      <c r="GM72" s="22"/>
      <c r="GN72" s="22"/>
      <c r="GO72" s="22"/>
      <c r="GP72" s="22"/>
      <c r="GQ72" s="22"/>
      <c r="GR72" s="22"/>
      <c r="GS72" s="22"/>
      <c r="GT72" s="22"/>
      <c r="GU72" s="22"/>
      <c r="GV72" s="22"/>
      <c r="GW72" s="22"/>
      <c r="GX72" s="22"/>
      <c r="GY72" s="22"/>
      <c r="GZ72" s="22"/>
      <c r="HA72" s="22"/>
      <c r="HB72" s="22"/>
      <c r="HC72" s="22"/>
    </row>
    <row r="73" spans="1:211" ht="15" customHeight="1" x14ac:dyDescent="0.2">
      <c r="A73" s="22"/>
      <c r="B73" s="14"/>
      <c r="C73" s="73"/>
      <c r="D73" s="46"/>
      <c r="E73" s="46"/>
      <c r="F73" s="120"/>
      <c r="G73" s="120"/>
      <c r="H73" s="47"/>
      <c r="I73" s="116"/>
      <c r="J73" s="45"/>
      <c r="K73" s="45"/>
      <c r="L73" s="73"/>
      <c r="M73" s="118"/>
      <c r="N73" s="119"/>
      <c r="O73" s="113"/>
      <c r="P73" s="115"/>
      <c r="Q73"/>
      <c r="R73"/>
      <c r="S73" s="114"/>
      <c r="T73" s="110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  <c r="CY73" s="22"/>
      <c r="CZ73" s="22"/>
      <c r="DA73" s="22"/>
      <c r="DB73" s="22"/>
      <c r="DC73" s="22"/>
      <c r="DD73" s="22"/>
      <c r="DE73" s="22"/>
      <c r="DF73" s="22"/>
      <c r="DG73" s="22"/>
      <c r="DH73" s="22"/>
      <c r="DI73" s="22"/>
      <c r="DJ73" s="22"/>
      <c r="DK73" s="22"/>
      <c r="DL73" s="22"/>
      <c r="DM73" s="22"/>
      <c r="DN73" s="22"/>
      <c r="DO73" s="22"/>
      <c r="DP73" s="22"/>
      <c r="DQ73" s="22"/>
      <c r="DR73" s="22"/>
      <c r="DS73" s="22"/>
      <c r="DT73" s="22"/>
      <c r="DU73" s="22"/>
      <c r="DV73" s="22"/>
      <c r="DW73" s="22"/>
      <c r="DX73" s="22"/>
      <c r="DY73" s="22"/>
      <c r="DZ73" s="22"/>
      <c r="EA73" s="22"/>
      <c r="EB73" s="22"/>
      <c r="EC73" s="22"/>
      <c r="ED73" s="22"/>
      <c r="EE73" s="22"/>
      <c r="EF73" s="22"/>
      <c r="EG73" s="22"/>
      <c r="EH73" s="22"/>
      <c r="EI73" s="22"/>
      <c r="EJ73" s="22"/>
      <c r="EK73" s="22"/>
      <c r="EL73" s="22"/>
      <c r="EM73" s="22"/>
      <c r="EN73" s="22"/>
      <c r="EO73" s="22"/>
      <c r="EP73" s="22"/>
      <c r="EQ73" s="22"/>
      <c r="ER73" s="22"/>
      <c r="ES73" s="22"/>
      <c r="ET73" s="22"/>
      <c r="EU73" s="22"/>
      <c r="EV73" s="22"/>
      <c r="EW73" s="22"/>
      <c r="EX73" s="22"/>
      <c r="EY73" s="22"/>
      <c r="EZ73" s="22"/>
      <c r="FA73" s="22"/>
      <c r="FB73" s="22"/>
      <c r="FC73" s="22"/>
      <c r="FD73" s="22"/>
      <c r="FE73" s="22"/>
      <c r="FF73" s="22"/>
      <c r="FG73" s="22"/>
      <c r="FH73" s="22"/>
      <c r="FI73" s="22"/>
      <c r="FJ73" s="22"/>
      <c r="FK73" s="22"/>
      <c r="FL73" s="22"/>
      <c r="FM73" s="22"/>
      <c r="FN73" s="22"/>
      <c r="FO73" s="22"/>
      <c r="FP73" s="22"/>
      <c r="FQ73" s="22"/>
      <c r="FR73" s="22"/>
      <c r="FS73" s="22"/>
      <c r="FT73" s="22"/>
      <c r="FU73" s="22"/>
      <c r="FV73" s="22"/>
      <c r="FW73" s="22"/>
      <c r="FX73" s="22"/>
      <c r="FY73" s="22"/>
      <c r="FZ73" s="22"/>
      <c r="GA73" s="22"/>
      <c r="GB73" s="22"/>
      <c r="GC73" s="22"/>
      <c r="GD73" s="22"/>
      <c r="GE73" s="22"/>
      <c r="GF73" s="22"/>
      <c r="GG73" s="22"/>
      <c r="GH73" s="22"/>
      <c r="GI73" s="22"/>
      <c r="GJ73" s="22"/>
      <c r="GK73" s="22"/>
      <c r="GL73" s="22"/>
      <c r="GM73" s="22"/>
      <c r="GN73" s="22"/>
      <c r="GO73" s="22"/>
      <c r="GP73" s="22"/>
      <c r="GQ73" s="22"/>
      <c r="GR73" s="22"/>
      <c r="GS73" s="22"/>
      <c r="GT73" s="22"/>
      <c r="GU73" s="22"/>
      <c r="GV73" s="22"/>
      <c r="GW73" s="22"/>
      <c r="GX73" s="22"/>
      <c r="GY73" s="22"/>
      <c r="GZ73" s="22"/>
      <c r="HA73" s="22"/>
      <c r="HB73" s="22"/>
      <c r="HC73" s="22"/>
    </row>
    <row r="74" spans="1:211" ht="15" customHeight="1" x14ac:dyDescent="0.2">
      <c r="A74" s="22"/>
      <c r="B74" s="14"/>
      <c r="C74" s="73"/>
      <c r="D74" s="46"/>
      <c r="E74" s="46"/>
      <c r="F74" s="120"/>
      <c r="G74" s="120"/>
      <c r="H74" s="47"/>
      <c r="I74" s="116"/>
      <c r="J74" s="45"/>
      <c r="K74" s="73"/>
      <c r="L74" s="73"/>
      <c r="M74" s="118"/>
      <c r="N74" s="119"/>
      <c r="O74" s="113"/>
      <c r="P74" s="115"/>
      <c r="Q74"/>
      <c r="R74"/>
      <c r="S74" s="114"/>
      <c r="T74" s="110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  <c r="CY74" s="22"/>
      <c r="CZ74" s="22"/>
      <c r="DA74" s="22"/>
      <c r="DB74" s="22"/>
      <c r="DC74" s="22"/>
      <c r="DD74" s="22"/>
      <c r="DE74" s="22"/>
      <c r="DF74" s="22"/>
      <c r="DG74" s="22"/>
      <c r="DH74" s="22"/>
      <c r="DI74" s="22"/>
      <c r="DJ74" s="22"/>
      <c r="DK74" s="22"/>
      <c r="DL74" s="22"/>
      <c r="DM74" s="22"/>
      <c r="DN74" s="22"/>
      <c r="DO74" s="22"/>
      <c r="DP74" s="22"/>
      <c r="DQ74" s="22"/>
      <c r="DR74" s="22"/>
      <c r="DS74" s="22"/>
      <c r="DT74" s="22"/>
      <c r="DU74" s="22"/>
      <c r="DV74" s="22"/>
      <c r="DW74" s="22"/>
      <c r="DX74" s="22"/>
      <c r="DY74" s="22"/>
      <c r="DZ74" s="22"/>
      <c r="EA74" s="22"/>
      <c r="EB74" s="22"/>
      <c r="EC74" s="22"/>
      <c r="ED74" s="22"/>
      <c r="EE74" s="22"/>
      <c r="EF74" s="22"/>
      <c r="EG74" s="22"/>
      <c r="EH74" s="22"/>
      <c r="EI74" s="22"/>
      <c r="EJ74" s="22"/>
      <c r="EK74" s="22"/>
      <c r="EL74" s="22"/>
      <c r="EM74" s="22"/>
      <c r="EN74" s="22"/>
      <c r="EO74" s="22"/>
      <c r="EP74" s="22"/>
      <c r="EQ74" s="22"/>
      <c r="ER74" s="22"/>
      <c r="ES74" s="22"/>
      <c r="ET74" s="22"/>
      <c r="EU74" s="22"/>
      <c r="EV74" s="22"/>
      <c r="EW74" s="22"/>
      <c r="EX74" s="22"/>
      <c r="EY74" s="22"/>
      <c r="EZ74" s="22"/>
      <c r="FA74" s="22"/>
      <c r="FB74" s="22"/>
      <c r="FC74" s="22"/>
      <c r="FD74" s="22"/>
      <c r="FE74" s="22"/>
      <c r="FF74" s="22"/>
      <c r="FG74" s="22"/>
      <c r="FH74" s="22"/>
      <c r="FI74" s="22"/>
      <c r="FJ74" s="22"/>
      <c r="FK74" s="22"/>
      <c r="FL74" s="22"/>
      <c r="FM74" s="22"/>
      <c r="FN74" s="22"/>
      <c r="FO74" s="22"/>
      <c r="FP74" s="22"/>
      <c r="FQ74" s="22"/>
      <c r="FR74" s="22"/>
      <c r="FS74" s="22"/>
      <c r="FT74" s="22"/>
      <c r="FU74" s="22"/>
      <c r="FV74" s="22"/>
      <c r="FW74" s="22"/>
      <c r="FX74" s="22"/>
      <c r="FY74" s="22"/>
      <c r="FZ74" s="22"/>
      <c r="GA74" s="22"/>
      <c r="GB74" s="22"/>
      <c r="GC74" s="22"/>
      <c r="GD74" s="22"/>
      <c r="GE74" s="22"/>
      <c r="GF74" s="22"/>
      <c r="GG74" s="22"/>
      <c r="GH74" s="22"/>
      <c r="GI74" s="22"/>
      <c r="GJ74" s="22"/>
      <c r="GK74" s="22"/>
      <c r="GL74" s="22"/>
      <c r="GM74" s="22"/>
      <c r="GN74" s="22"/>
      <c r="GO74" s="22"/>
      <c r="GP74" s="22"/>
      <c r="GQ74" s="22"/>
      <c r="GR74" s="22"/>
      <c r="GS74" s="22"/>
      <c r="GT74" s="22"/>
      <c r="GU74" s="22"/>
      <c r="GV74" s="22"/>
      <c r="GW74" s="22"/>
      <c r="GX74" s="22"/>
      <c r="GY74" s="22"/>
      <c r="GZ74" s="22"/>
      <c r="HA74" s="22"/>
      <c r="HB74" s="22"/>
      <c r="HC74" s="22"/>
    </row>
    <row r="75" spans="1:211" ht="15" customHeight="1" x14ac:dyDescent="0.2">
      <c r="A75" s="22"/>
      <c r="B75" s="14"/>
      <c r="C75" s="73"/>
      <c r="D75" s="46"/>
      <c r="E75" s="46"/>
      <c r="F75" s="120"/>
      <c r="G75" s="120"/>
      <c r="H75" s="47"/>
      <c r="I75" s="116"/>
      <c r="J75" s="45"/>
      <c r="K75" s="45"/>
      <c r="L75" s="73"/>
      <c r="M75" s="118"/>
      <c r="N75" s="119"/>
      <c r="O75" s="113"/>
      <c r="P75" s="115"/>
      <c r="Q75"/>
      <c r="R75"/>
      <c r="S75" s="114"/>
      <c r="T75" s="110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  <c r="CY75" s="22"/>
      <c r="CZ75" s="22"/>
      <c r="DA75" s="22"/>
      <c r="DB75" s="22"/>
      <c r="DC75" s="22"/>
      <c r="DD75" s="22"/>
      <c r="DE75" s="22"/>
      <c r="DF75" s="22"/>
      <c r="DG75" s="22"/>
      <c r="DH75" s="22"/>
      <c r="DI75" s="22"/>
      <c r="DJ75" s="22"/>
      <c r="DK75" s="22"/>
      <c r="DL75" s="22"/>
      <c r="DM75" s="22"/>
      <c r="DN75" s="22"/>
      <c r="DO75" s="22"/>
      <c r="DP75" s="22"/>
      <c r="DQ75" s="22"/>
      <c r="DR75" s="22"/>
      <c r="DS75" s="22"/>
      <c r="DT75" s="22"/>
      <c r="DU75" s="22"/>
      <c r="DV75" s="22"/>
      <c r="DW75" s="22"/>
      <c r="DX75" s="22"/>
      <c r="DY75" s="22"/>
      <c r="DZ75" s="22"/>
      <c r="EA75" s="22"/>
      <c r="EB75" s="22"/>
      <c r="EC75" s="22"/>
      <c r="ED75" s="22"/>
      <c r="EE75" s="22"/>
      <c r="EF75" s="22"/>
      <c r="EG75" s="22"/>
      <c r="EH75" s="22"/>
      <c r="EI75" s="22"/>
      <c r="EJ75" s="22"/>
      <c r="EK75" s="22"/>
      <c r="EL75" s="22"/>
      <c r="EM75" s="22"/>
      <c r="EN75" s="22"/>
      <c r="EO75" s="22"/>
      <c r="EP75" s="22"/>
      <c r="EQ75" s="22"/>
      <c r="ER75" s="22"/>
      <c r="ES75" s="22"/>
      <c r="ET75" s="22"/>
      <c r="EU75" s="22"/>
      <c r="EV75" s="22"/>
      <c r="EW75" s="22"/>
      <c r="EX75" s="22"/>
      <c r="EY75" s="22"/>
      <c r="EZ75" s="22"/>
      <c r="FA75" s="22"/>
      <c r="FB75" s="22"/>
      <c r="FC75" s="22"/>
      <c r="FD75" s="22"/>
      <c r="FE75" s="22"/>
      <c r="FF75" s="22"/>
      <c r="FG75" s="22"/>
      <c r="FH75" s="22"/>
      <c r="FI75" s="22"/>
      <c r="FJ75" s="22"/>
      <c r="FK75" s="22"/>
      <c r="FL75" s="22"/>
      <c r="FM75" s="22"/>
      <c r="FN75" s="22"/>
      <c r="FO75" s="22"/>
      <c r="FP75" s="22"/>
      <c r="FQ75" s="22"/>
      <c r="FR75" s="22"/>
      <c r="FS75" s="22"/>
      <c r="FT75" s="22"/>
      <c r="FU75" s="22"/>
      <c r="FV75" s="22"/>
      <c r="FW75" s="22"/>
      <c r="FX75" s="22"/>
      <c r="FY75" s="22"/>
      <c r="FZ75" s="22"/>
      <c r="GA75" s="22"/>
      <c r="GB75" s="22"/>
      <c r="GC75" s="22"/>
      <c r="GD75" s="22"/>
      <c r="GE75" s="22"/>
      <c r="GF75" s="22"/>
      <c r="GG75" s="22"/>
      <c r="GH75" s="22"/>
      <c r="GI75" s="22"/>
      <c r="GJ75" s="22"/>
      <c r="GK75" s="22"/>
      <c r="GL75" s="22"/>
      <c r="GM75" s="22"/>
      <c r="GN75" s="22"/>
      <c r="GO75" s="22"/>
      <c r="GP75" s="22"/>
      <c r="GQ75" s="22"/>
      <c r="GR75" s="22"/>
      <c r="GS75" s="22"/>
      <c r="GT75" s="22"/>
      <c r="GU75" s="22"/>
      <c r="GV75" s="22"/>
      <c r="GW75" s="22"/>
      <c r="GX75" s="22"/>
      <c r="GY75" s="22"/>
      <c r="GZ75" s="22"/>
      <c r="HA75" s="22"/>
      <c r="HB75" s="22"/>
      <c r="HC75" s="22"/>
    </row>
    <row r="76" spans="1:211" ht="15" customHeight="1" x14ac:dyDescent="0.2">
      <c r="A76" s="22"/>
      <c r="B76" s="14"/>
      <c r="C76" s="73"/>
      <c r="D76" s="46"/>
      <c r="E76" s="46"/>
      <c r="F76" s="120"/>
      <c r="G76" s="120"/>
      <c r="H76" s="47"/>
      <c r="I76" s="116"/>
      <c r="J76" s="45"/>
      <c r="K76" s="45"/>
      <c r="L76" s="73"/>
      <c r="M76" s="118"/>
      <c r="N76" s="119"/>
      <c r="O76" s="113"/>
      <c r="P76" s="115"/>
      <c r="Q76"/>
      <c r="R76"/>
      <c r="S76" s="114"/>
      <c r="T76" s="110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  <c r="CY76" s="22"/>
      <c r="CZ76" s="22"/>
      <c r="DA76" s="22"/>
      <c r="DB76" s="22"/>
      <c r="DC76" s="22"/>
      <c r="DD76" s="22"/>
      <c r="DE76" s="22"/>
      <c r="DF76" s="22"/>
      <c r="DG76" s="22"/>
      <c r="DH76" s="22"/>
      <c r="DI76" s="22"/>
      <c r="DJ76" s="22"/>
      <c r="DK76" s="22"/>
      <c r="DL76" s="22"/>
      <c r="DM76" s="22"/>
      <c r="DN76" s="22"/>
      <c r="DO76" s="22"/>
      <c r="DP76" s="22"/>
      <c r="DQ76" s="22"/>
      <c r="DR76" s="22"/>
      <c r="DS76" s="22"/>
      <c r="DT76" s="22"/>
      <c r="DU76" s="22"/>
      <c r="DV76" s="22"/>
      <c r="DW76" s="22"/>
      <c r="DX76" s="22"/>
      <c r="DY76" s="22"/>
      <c r="DZ76" s="22"/>
      <c r="EA76" s="22"/>
      <c r="EB76" s="22"/>
      <c r="EC76" s="22"/>
      <c r="ED76" s="22"/>
      <c r="EE76" s="22"/>
      <c r="EF76" s="22"/>
      <c r="EG76" s="22"/>
      <c r="EH76" s="22"/>
      <c r="EI76" s="22"/>
      <c r="EJ76" s="22"/>
      <c r="EK76" s="22"/>
      <c r="EL76" s="22"/>
      <c r="EM76" s="22"/>
      <c r="EN76" s="22"/>
      <c r="EO76" s="22"/>
      <c r="EP76" s="22"/>
      <c r="EQ76" s="22"/>
      <c r="ER76" s="22"/>
      <c r="ES76" s="22"/>
      <c r="ET76" s="22"/>
      <c r="EU76" s="22"/>
      <c r="EV76" s="22"/>
      <c r="EW76" s="22"/>
      <c r="EX76" s="22"/>
      <c r="EY76" s="22"/>
      <c r="EZ76" s="22"/>
      <c r="FA76" s="22"/>
      <c r="FB76" s="22"/>
      <c r="FC76" s="22"/>
      <c r="FD76" s="22"/>
      <c r="FE76" s="22"/>
      <c r="FF76" s="22"/>
      <c r="FG76" s="22"/>
      <c r="FH76" s="22"/>
      <c r="FI76" s="22"/>
      <c r="FJ76" s="22"/>
      <c r="FK76" s="22"/>
      <c r="FL76" s="22"/>
      <c r="FM76" s="22"/>
      <c r="FN76" s="22"/>
      <c r="FO76" s="22"/>
      <c r="FP76" s="22"/>
      <c r="FQ76" s="22"/>
      <c r="FR76" s="22"/>
      <c r="FS76" s="22"/>
      <c r="FT76" s="22"/>
      <c r="FU76" s="22"/>
      <c r="FV76" s="22"/>
      <c r="FW76" s="22"/>
      <c r="FX76" s="22"/>
      <c r="FY76" s="22"/>
      <c r="FZ76" s="22"/>
      <c r="GA76" s="22"/>
      <c r="GB76" s="22"/>
      <c r="GC76" s="22"/>
      <c r="GD76" s="22"/>
      <c r="GE76" s="22"/>
      <c r="GF76" s="22"/>
      <c r="GG76" s="22"/>
      <c r="GH76" s="22"/>
      <c r="GI76" s="22"/>
      <c r="GJ76" s="22"/>
      <c r="GK76" s="22"/>
      <c r="GL76" s="22"/>
      <c r="GM76" s="22"/>
      <c r="GN76" s="22"/>
      <c r="GO76" s="22"/>
      <c r="GP76" s="22"/>
      <c r="GQ76" s="22"/>
      <c r="GR76" s="22"/>
      <c r="GS76" s="22"/>
      <c r="GT76" s="22"/>
      <c r="GU76" s="22"/>
      <c r="GV76" s="22"/>
      <c r="GW76" s="22"/>
      <c r="GX76" s="22"/>
      <c r="GY76" s="22"/>
      <c r="GZ76" s="22"/>
      <c r="HA76" s="22"/>
      <c r="HB76" s="22"/>
      <c r="HC76" s="22"/>
    </row>
    <row r="77" spans="1:211" ht="15" customHeight="1" x14ac:dyDescent="0.2">
      <c r="A77" s="22"/>
      <c r="B77" s="14"/>
      <c r="C77" s="73"/>
      <c r="D77" s="46"/>
      <c r="E77" s="46"/>
      <c r="F77" s="120"/>
      <c r="G77" s="120"/>
      <c r="H77" s="47"/>
      <c r="I77" s="116"/>
      <c r="J77" s="45"/>
      <c r="K77" s="73"/>
      <c r="L77" s="73"/>
      <c r="M77" s="118"/>
      <c r="N77" s="119"/>
      <c r="O77" s="113"/>
      <c r="P77" s="115"/>
      <c r="Q77"/>
      <c r="R77"/>
      <c r="S77" s="114"/>
      <c r="T77" s="110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2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  <c r="DM77" s="22"/>
      <c r="DN77" s="22"/>
      <c r="DO77" s="22"/>
      <c r="DP77" s="22"/>
      <c r="DQ77" s="22"/>
      <c r="DR77" s="22"/>
      <c r="DS77" s="22"/>
      <c r="DT77" s="22"/>
      <c r="DU77" s="22"/>
      <c r="DV77" s="22"/>
      <c r="DW77" s="22"/>
      <c r="DX77" s="22"/>
      <c r="DY77" s="22"/>
      <c r="DZ77" s="22"/>
      <c r="EA77" s="22"/>
      <c r="EB77" s="22"/>
      <c r="EC77" s="22"/>
      <c r="ED77" s="22"/>
      <c r="EE77" s="22"/>
      <c r="EF77" s="22"/>
      <c r="EG77" s="22"/>
      <c r="EH77" s="22"/>
      <c r="EI77" s="22"/>
      <c r="EJ77" s="22"/>
      <c r="EK77" s="22"/>
      <c r="EL77" s="22"/>
      <c r="EM77" s="22"/>
      <c r="EN77" s="22"/>
      <c r="EO77" s="22"/>
      <c r="EP77" s="22"/>
      <c r="EQ77" s="22"/>
      <c r="ER77" s="22"/>
      <c r="ES77" s="22"/>
      <c r="ET77" s="22"/>
      <c r="EU77" s="22"/>
      <c r="EV77" s="22"/>
      <c r="EW77" s="22"/>
      <c r="EX77" s="22"/>
      <c r="EY77" s="22"/>
      <c r="EZ77" s="22"/>
      <c r="FA77" s="22"/>
      <c r="FB77" s="22"/>
      <c r="FC77" s="22"/>
      <c r="FD77" s="22"/>
      <c r="FE77" s="22"/>
      <c r="FF77" s="22"/>
      <c r="FG77" s="22"/>
      <c r="FH77" s="22"/>
      <c r="FI77" s="22"/>
      <c r="FJ77" s="22"/>
      <c r="FK77" s="22"/>
      <c r="FL77" s="22"/>
      <c r="FM77" s="22"/>
      <c r="FN77" s="22"/>
      <c r="FO77" s="22"/>
      <c r="FP77" s="22"/>
      <c r="FQ77" s="22"/>
      <c r="FR77" s="22"/>
      <c r="FS77" s="22"/>
      <c r="FT77" s="22"/>
      <c r="FU77" s="22"/>
      <c r="FV77" s="22"/>
      <c r="FW77" s="22"/>
      <c r="FX77" s="22"/>
      <c r="FY77" s="22"/>
      <c r="FZ77" s="22"/>
      <c r="GA77" s="22"/>
      <c r="GB77" s="22"/>
      <c r="GC77" s="22"/>
      <c r="GD77" s="22"/>
      <c r="GE77" s="22"/>
      <c r="GF77" s="22"/>
      <c r="GG77" s="22"/>
      <c r="GH77" s="22"/>
      <c r="GI77" s="22"/>
      <c r="GJ77" s="22"/>
      <c r="GK77" s="22"/>
      <c r="GL77" s="22"/>
      <c r="GM77" s="22"/>
      <c r="GN77" s="22"/>
      <c r="GO77" s="22"/>
      <c r="GP77" s="22"/>
      <c r="GQ77" s="22"/>
      <c r="GR77" s="22"/>
      <c r="GS77" s="22"/>
      <c r="GT77" s="22"/>
      <c r="GU77" s="22"/>
      <c r="GV77" s="22"/>
      <c r="GW77" s="22"/>
      <c r="GX77" s="22"/>
      <c r="GY77" s="22"/>
      <c r="GZ77" s="22"/>
      <c r="HA77" s="22"/>
      <c r="HB77" s="22"/>
      <c r="HC77" s="22"/>
    </row>
    <row r="78" spans="1:211" ht="15" customHeight="1" x14ac:dyDescent="0.2">
      <c r="A78" s="22"/>
      <c r="B78" s="14"/>
      <c r="C78" s="73"/>
      <c r="D78" s="46"/>
      <c r="E78" s="46"/>
      <c r="F78" s="120"/>
      <c r="G78" s="120"/>
      <c r="H78" s="47"/>
      <c r="I78" s="116"/>
      <c r="J78" s="45"/>
      <c r="K78" s="45"/>
      <c r="L78" s="73"/>
      <c r="M78" s="118"/>
      <c r="N78" s="119"/>
      <c r="O78" s="113"/>
      <c r="P78" s="115"/>
      <c r="Q78"/>
      <c r="R78"/>
      <c r="S78" s="114"/>
      <c r="T78" s="110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  <c r="BS78" s="22"/>
      <c r="BT78" s="22"/>
      <c r="BU78" s="22"/>
      <c r="BV78" s="22"/>
      <c r="BW78" s="22"/>
      <c r="BX78" s="22"/>
      <c r="BY78" s="22"/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  <c r="CY78" s="22"/>
      <c r="CZ78" s="22"/>
      <c r="DA78" s="22"/>
      <c r="DB78" s="22"/>
      <c r="DC78" s="22"/>
      <c r="DD78" s="22"/>
      <c r="DE78" s="22"/>
      <c r="DF78" s="22"/>
      <c r="DG78" s="22"/>
      <c r="DH78" s="22"/>
      <c r="DI78" s="22"/>
      <c r="DJ78" s="22"/>
      <c r="DK78" s="22"/>
      <c r="DL78" s="22"/>
      <c r="DM78" s="22"/>
      <c r="DN78" s="22"/>
      <c r="DO78" s="22"/>
      <c r="DP78" s="22"/>
      <c r="DQ78" s="22"/>
      <c r="DR78" s="22"/>
      <c r="DS78" s="22"/>
      <c r="DT78" s="22"/>
      <c r="DU78" s="22"/>
      <c r="DV78" s="22"/>
      <c r="DW78" s="22"/>
      <c r="DX78" s="22"/>
      <c r="DY78" s="22"/>
      <c r="DZ78" s="22"/>
      <c r="EA78" s="22"/>
      <c r="EB78" s="22"/>
      <c r="EC78" s="22"/>
      <c r="ED78" s="22"/>
      <c r="EE78" s="22"/>
      <c r="EF78" s="22"/>
      <c r="EG78" s="22"/>
      <c r="EH78" s="22"/>
      <c r="EI78" s="22"/>
      <c r="EJ78" s="22"/>
      <c r="EK78" s="22"/>
      <c r="EL78" s="22"/>
      <c r="EM78" s="22"/>
      <c r="EN78" s="22"/>
      <c r="EO78" s="22"/>
      <c r="EP78" s="22"/>
      <c r="EQ78" s="22"/>
      <c r="ER78" s="22"/>
      <c r="ES78" s="22"/>
      <c r="ET78" s="22"/>
      <c r="EU78" s="22"/>
      <c r="EV78" s="22"/>
      <c r="EW78" s="22"/>
      <c r="EX78" s="22"/>
      <c r="EY78" s="22"/>
      <c r="EZ78" s="22"/>
      <c r="FA78" s="22"/>
      <c r="FB78" s="22"/>
      <c r="FC78" s="22"/>
      <c r="FD78" s="22"/>
      <c r="FE78" s="22"/>
      <c r="FF78" s="22"/>
      <c r="FG78" s="22"/>
      <c r="FH78" s="22"/>
      <c r="FI78" s="22"/>
      <c r="FJ78" s="22"/>
      <c r="FK78" s="22"/>
      <c r="FL78" s="22"/>
      <c r="FM78" s="22"/>
      <c r="FN78" s="22"/>
      <c r="FO78" s="22"/>
      <c r="FP78" s="22"/>
      <c r="FQ78" s="22"/>
      <c r="FR78" s="22"/>
      <c r="FS78" s="22"/>
      <c r="FT78" s="22"/>
      <c r="FU78" s="22"/>
      <c r="FV78" s="22"/>
      <c r="FW78" s="22"/>
      <c r="FX78" s="22"/>
      <c r="FY78" s="22"/>
      <c r="FZ78" s="22"/>
      <c r="GA78" s="22"/>
      <c r="GB78" s="22"/>
      <c r="GC78" s="22"/>
      <c r="GD78" s="22"/>
      <c r="GE78" s="22"/>
      <c r="GF78" s="22"/>
      <c r="GG78" s="22"/>
      <c r="GH78" s="22"/>
      <c r="GI78" s="22"/>
      <c r="GJ78" s="22"/>
      <c r="GK78" s="22"/>
      <c r="GL78" s="22"/>
      <c r="GM78" s="22"/>
      <c r="GN78" s="22"/>
      <c r="GO78" s="22"/>
      <c r="GP78" s="22"/>
      <c r="GQ78" s="22"/>
      <c r="GR78" s="22"/>
      <c r="GS78" s="22"/>
      <c r="GT78" s="22"/>
      <c r="GU78" s="22"/>
      <c r="GV78" s="22"/>
      <c r="GW78" s="22"/>
      <c r="GX78" s="22"/>
      <c r="GY78" s="22"/>
      <c r="GZ78" s="22"/>
      <c r="HA78" s="22"/>
      <c r="HB78" s="22"/>
      <c r="HC78" s="22"/>
    </row>
    <row r="79" spans="1:211" ht="15" customHeight="1" x14ac:dyDescent="0.2">
      <c r="A79" s="22"/>
      <c r="B79" s="14"/>
      <c r="C79" s="73"/>
      <c r="D79" s="46"/>
      <c r="E79" s="46"/>
      <c r="F79" s="120"/>
      <c r="G79" s="120"/>
      <c r="H79" s="47"/>
      <c r="I79" s="116"/>
      <c r="J79" s="45"/>
      <c r="K79" s="45"/>
      <c r="L79" s="73"/>
      <c r="M79" s="118"/>
      <c r="N79" s="119"/>
      <c r="O79" s="113"/>
      <c r="P79" s="115"/>
      <c r="Q79"/>
      <c r="R79"/>
      <c r="S79" s="114"/>
      <c r="T79" s="110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  <c r="BS79" s="22"/>
      <c r="BT79" s="22"/>
      <c r="BU79" s="22"/>
      <c r="BV79" s="22"/>
      <c r="BW79" s="22"/>
      <c r="BX79" s="22"/>
      <c r="BY79" s="22"/>
      <c r="BZ79" s="22"/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  <c r="CY79" s="22"/>
      <c r="CZ79" s="22"/>
      <c r="DA79" s="22"/>
      <c r="DB79" s="22"/>
      <c r="DC79" s="22"/>
      <c r="DD79" s="22"/>
      <c r="DE79" s="22"/>
      <c r="DF79" s="22"/>
      <c r="DG79" s="22"/>
      <c r="DH79" s="22"/>
      <c r="DI79" s="22"/>
      <c r="DJ79" s="22"/>
      <c r="DK79" s="22"/>
      <c r="DL79" s="22"/>
      <c r="DM79" s="22"/>
      <c r="DN79" s="22"/>
      <c r="DO79" s="22"/>
      <c r="DP79" s="22"/>
      <c r="DQ79" s="22"/>
      <c r="DR79" s="22"/>
      <c r="DS79" s="22"/>
      <c r="DT79" s="22"/>
      <c r="DU79" s="22"/>
      <c r="DV79" s="22"/>
      <c r="DW79" s="22"/>
      <c r="DX79" s="22"/>
      <c r="DY79" s="22"/>
      <c r="DZ79" s="22"/>
      <c r="EA79" s="22"/>
      <c r="EB79" s="22"/>
      <c r="EC79" s="22"/>
      <c r="ED79" s="22"/>
      <c r="EE79" s="22"/>
      <c r="EF79" s="22"/>
      <c r="EG79" s="22"/>
      <c r="EH79" s="22"/>
      <c r="EI79" s="22"/>
      <c r="EJ79" s="22"/>
      <c r="EK79" s="22"/>
      <c r="EL79" s="22"/>
      <c r="EM79" s="22"/>
      <c r="EN79" s="22"/>
      <c r="EO79" s="22"/>
      <c r="EP79" s="22"/>
      <c r="EQ79" s="22"/>
      <c r="ER79" s="22"/>
      <c r="ES79" s="22"/>
      <c r="ET79" s="22"/>
      <c r="EU79" s="22"/>
      <c r="EV79" s="22"/>
      <c r="EW79" s="22"/>
      <c r="EX79" s="22"/>
      <c r="EY79" s="22"/>
      <c r="EZ79" s="22"/>
      <c r="FA79" s="22"/>
      <c r="FB79" s="22"/>
      <c r="FC79" s="22"/>
      <c r="FD79" s="22"/>
      <c r="FE79" s="22"/>
      <c r="FF79" s="22"/>
      <c r="FG79" s="22"/>
      <c r="FH79" s="22"/>
      <c r="FI79" s="22"/>
      <c r="FJ79" s="22"/>
      <c r="FK79" s="22"/>
      <c r="FL79" s="22"/>
      <c r="FM79" s="22"/>
      <c r="FN79" s="22"/>
      <c r="FO79" s="22"/>
      <c r="FP79" s="22"/>
      <c r="FQ79" s="22"/>
      <c r="FR79" s="22"/>
      <c r="FS79" s="22"/>
      <c r="FT79" s="22"/>
      <c r="FU79" s="22"/>
      <c r="FV79" s="22"/>
      <c r="FW79" s="22"/>
      <c r="FX79" s="22"/>
      <c r="FY79" s="22"/>
      <c r="FZ79" s="22"/>
      <c r="GA79" s="22"/>
      <c r="GB79" s="22"/>
      <c r="GC79" s="22"/>
      <c r="GD79" s="22"/>
      <c r="GE79" s="22"/>
      <c r="GF79" s="22"/>
      <c r="GG79" s="22"/>
      <c r="GH79" s="22"/>
      <c r="GI79" s="22"/>
      <c r="GJ79" s="22"/>
      <c r="GK79" s="22"/>
      <c r="GL79" s="22"/>
      <c r="GM79" s="22"/>
      <c r="GN79" s="22"/>
      <c r="GO79" s="22"/>
      <c r="GP79" s="22"/>
      <c r="GQ79" s="22"/>
      <c r="GR79" s="22"/>
      <c r="GS79" s="22"/>
      <c r="GT79" s="22"/>
      <c r="GU79" s="22"/>
      <c r="GV79" s="22"/>
      <c r="GW79" s="22"/>
      <c r="GX79" s="22"/>
      <c r="GY79" s="22"/>
      <c r="GZ79" s="22"/>
      <c r="HA79" s="22"/>
      <c r="HB79" s="22"/>
      <c r="HC79" s="22"/>
    </row>
    <row r="80" spans="1:211" ht="15" customHeight="1" x14ac:dyDescent="0.2">
      <c r="A80" s="22"/>
      <c r="B80" s="14"/>
      <c r="C80" s="73"/>
      <c r="D80" s="46"/>
      <c r="E80" s="46"/>
      <c r="F80" s="120"/>
      <c r="G80" s="120"/>
      <c r="H80" s="47"/>
      <c r="I80" s="116"/>
      <c r="J80" s="45"/>
      <c r="K80" s="73"/>
      <c r="L80" s="73"/>
      <c r="M80" s="118"/>
      <c r="N80" s="119"/>
      <c r="O80" s="113"/>
      <c r="P80" s="115"/>
      <c r="Q80"/>
      <c r="R80"/>
      <c r="S80" s="114"/>
      <c r="T80" s="110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  <c r="BS80" s="22"/>
      <c r="BT80" s="22"/>
      <c r="BU80" s="22"/>
      <c r="BV80" s="22"/>
      <c r="BW80" s="22"/>
      <c r="BX80" s="22"/>
      <c r="BY80" s="22"/>
      <c r="BZ80" s="22"/>
      <c r="CA80" s="22"/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  <c r="CY80" s="22"/>
      <c r="CZ80" s="22"/>
      <c r="DA80" s="22"/>
      <c r="DB80" s="22"/>
      <c r="DC80" s="22"/>
      <c r="DD80" s="22"/>
      <c r="DE80" s="22"/>
      <c r="DF80" s="22"/>
      <c r="DG80" s="22"/>
      <c r="DH80" s="22"/>
      <c r="DI80" s="22"/>
      <c r="DJ80" s="22"/>
      <c r="DK80" s="22"/>
      <c r="DL80" s="22"/>
      <c r="DM80" s="22"/>
      <c r="DN80" s="22"/>
      <c r="DO80" s="22"/>
      <c r="DP80" s="22"/>
      <c r="DQ80" s="22"/>
      <c r="DR80" s="22"/>
      <c r="DS80" s="22"/>
      <c r="DT80" s="22"/>
      <c r="DU80" s="22"/>
      <c r="DV80" s="22"/>
      <c r="DW80" s="22"/>
      <c r="DX80" s="22"/>
      <c r="DY80" s="22"/>
      <c r="DZ80" s="22"/>
      <c r="EA80" s="22"/>
      <c r="EB80" s="22"/>
      <c r="EC80" s="22"/>
      <c r="ED80" s="22"/>
      <c r="EE80" s="22"/>
      <c r="EF80" s="22"/>
      <c r="EG80" s="22"/>
      <c r="EH80" s="22"/>
      <c r="EI80" s="22"/>
      <c r="EJ80" s="22"/>
      <c r="EK80" s="22"/>
      <c r="EL80" s="22"/>
      <c r="EM80" s="22"/>
      <c r="EN80" s="22"/>
      <c r="EO80" s="22"/>
      <c r="EP80" s="22"/>
      <c r="EQ80" s="22"/>
      <c r="ER80" s="22"/>
      <c r="ES80" s="22"/>
      <c r="ET80" s="22"/>
      <c r="EU80" s="22"/>
      <c r="EV80" s="22"/>
      <c r="EW80" s="22"/>
      <c r="EX80" s="22"/>
      <c r="EY80" s="22"/>
      <c r="EZ80" s="22"/>
      <c r="FA80" s="22"/>
      <c r="FB80" s="22"/>
      <c r="FC80" s="22"/>
      <c r="FD80" s="22"/>
      <c r="FE80" s="22"/>
      <c r="FF80" s="22"/>
      <c r="FG80" s="22"/>
      <c r="FH80" s="22"/>
      <c r="FI80" s="22"/>
      <c r="FJ80" s="22"/>
      <c r="FK80" s="22"/>
      <c r="FL80" s="22"/>
      <c r="FM80" s="22"/>
      <c r="FN80" s="22"/>
      <c r="FO80" s="22"/>
      <c r="FP80" s="22"/>
      <c r="FQ80" s="22"/>
      <c r="FR80" s="22"/>
      <c r="FS80" s="22"/>
      <c r="FT80" s="22"/>
      <c r="FU80" s="22"/>
      <c r="FV80" s="22"/>
      <c r="FW80" s="22"/>
      <c r="FX80" s="22"/>
      <c r="FY80" s="22"/>
      <c r="FZ80" s="22"/>
      <c r="GA80" s="22"/>
      <c r="GB80" s="22"/>
      <c r="GC80" s="22"/>
      <c r="GD80" s="22"/>
      <c r="GE80" s="22"/>
      <c r="GF80" s="22"/>
      <c r="GG80" s="22"/>
      <c r="GH80" s="22"/>
      <c r="GI80" s="22"/>
      <c r="GJ80" s="22"/>
      <c r="GK80" s="22"/>
      <c r="GL80" s="22"/>
      <c r="GM80" s="22"/>
      <c r="GN80" s="22"/>
      <c r="GO80" s="22"/>
      <c r="GP80" s="22"/>
      <c r="GQ80" s="22"/>
      <c r="GR80" s="22"/>
      <c r="GS80" s="22"/>
      <c r="GT80" s="22"/>
      <c r="GU80" s="22"/>
      <c r="GV80" s="22"/>
      <c r="GW80" s="22"/>
      <c r="GX80" s="22"/>
      <c r="GY80" s="22"/>
      <c r="GZ80" s="22"/>
      <c r="HA80" s="22"/>
      <c r="HB80" s="22"/>
      <c r="HC80" s="22"/>
    </row>
    <row r="81" spans="1:211" ht="15" customHeight="1" x14ac:dyDescent="0.2">
      <c r="A81" s="22"/>
      <c r="B81" s="14"/>
      <c r="C81" s="73"/>
      <c r="D81" s="46"/>
      <c r="E81" s="46"/>
      <c r="F81" s="120"/>
      <c r="G81" s="120"/>
      <c r="H81" s="47"/>
      <c r="I81" s="116"/>
      <c r="J81" s="45"/>
      <c r="K81" s="73"/>
      <c r="L81" s="73"/>
      <c r="M81" s="118"/>
      <c r="N81" s="119"/>
      <c r="O81" s="113"/>
      <c r="P81" s="115"/>
      <c r="Q81"/>
      <c r="R81"/>
      <c r="S81" s="114"/>
      <c r="T81" s="110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  <c r="BS81" s="22"/>
      <c r="BT81" s="22"/>
      <c r="BU81" s="22"/>
      <c r="BV81" s="22"/>
      <c r="BW81" s="22"/>
      <c r="BX81" s="22"/>
      <c r="BY81" s="22"/>
      <c r="BZ81" s="22"/>
      <c r="CA81" s="22"/>
      <c r="CB81" s="22"/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  <c r="CY81" s="22"/>
      <c r="CZ81" s="22"/>
      <c r="DA81" s="22"/>
      <c r="DB81" s="22"/>
      <c r="DC81" s="22"/>
      <c r="DD81" s="22"/>
      <c r="DE81" s="22"/>
      <c r="DF81" s="22"/>
      <c r="DG81" s="22"/>
      <c r="DH81" s="22"/>
      <c r="DI81" s="22"/>
      <c r="DJ81" s="22"/>
      <c r="DK81" s="22"/>
      <c r="DL81" s="22"/>
      <c r="DM81" s="22"/>
      <c r="DN81" s="22"/>
      <c r="DO81" s="22"/>
      <c r="DP81" s="22"/>
      <c r="DQ81" s="22"/>
      <c r="DR81" s="22"/>
      <c r="DS81" s="22"/>
      <c r="DT81" s="22"/>
      <c r="DU81" s="22"/>
      <c r="DV81" s="22"/>
      <c r="DW81" s="22"/>
      <c r="DX81" s="22"/>
      <c r="DY81" s="22"/>
      <c r="DZ81" s="22"/>
      <c r="EA81" s="22"/>
      <c r="EB81" s="22"/>
      <c r="EC81" s="22"/>
      <c r="ED81" s="22"/>
      <c r="EE81" s="22"/>
      <c r="EF81" s="22"/>
      <c r="EG81" s="22"/>
      <c r="EH81" s="22"/>
      <c r="EI81" s="22"/>
      <c r="EJ81" s="22"/>
      <c r="EK81" s="22"/>
      <c r="EL81" s="22"/>
      <c r="EM81" s="22"/>
      <c r="EN81" s="22"/>
      <c r="EO81" s="22"/>
      <c r="EP81" s="22"/>
      <c r="EQ81" s="22"/>
      <c r="ER81" s="22"/>
      <c r="ES81" s="22"/>
      <c r="ET81" s="22"/>
      <c r="EU81" s="22"/>
      <c r="EV81" s="22"/>
      <c r="EW81" s="22"/>
      <c r="EX81" s="22"/>
      <c r="EY81" s="22"/>
      <c r="EZ81" s="22"/>
      <c r="FA81" s="22"/>
      <c r="FB81" s="22"/>
      <c r="FC81" s="22"/>
      <c r="FD81" s="22"/>
      <c r="FE81" s="22"/>
      <c r="FF81" s="22"/>
      <c r="FG81" s="22"/>
      <c r="FH81" s="22"/>
      <c r="FI81" s="22"/>
      <c r="FJ81" s="22"/>
      <c r="FK81" s="22"/>
      <c r="FL81" s="22"/>
      <c r="FM81" s="22"/>
      <c r="FN81" s="22"/>
      <c r="FO81" s="22"/>
      <c r="FP81" s="22"/>
      <c r="FQ81" s="22"/>
      <c r="FR81" s="22"/>
      <c r="FS81" s="22"/>
      <c r="FT81" s="22"/>
      <c r="FU81" s="22"/>
      <c r="FV81" s="22"/>
      <c r="FW81" s="22"/>
      <c r="FX81" s="22"/>
      <c r="FY81" s="22"/>
      <c r="FZ81" s="22"/>
      <c r="GA81" s="22"/>
      <c r="GB81" s="22"/>
      <c r="GC81" s="22"/>
      <c r="GD81" s="22"/>
      <c r="GE81" s="22"/>
      <c r="GF81" s="22"/>
      <c r="GG81" s="22"/>
      <c r="GH81" s="22"/>
      <c r="GI81" s="22"/>
      <c r="GJ81" s="22"/>
      <c r="GK81" s="22"/>
      <c r="GL81" s="22"/>
      <c r="GM81" s="22"/>
      <c r="GN81" s="22"/>
      <c r="GO81" s="22"/>
      <c r="GP81" s="22"/>
      <c r="GQ81" s="22"/>
      <c r="GR81" s="22"/>
      <c r="GS81" s="22"/>
      <c r="GT81" s="22"/>
      <c r="GU81" s="22"/>
      <c r="GV81" s="22"/>
      <c r="GW81" s="22"/>
      <c r="GX81" s="22"/>
      <c r="GY81" s="22"/>
      <c r="GZ81" s="22"/>
      <c r="HA81" s="22"/>
      <c r="HB81" s="22"/>
      <c r="HC81" s="22"/>
    </row>
    <row r="82" spans="1:211" ht="15" customHeight="1" x14ac:dyDescent="0.2">
      <c r="A82" s="22"/>
      <c r="B82" s="14"/>
      <c r="C82" s="73"/>
      <c r="D82" s="46"/>
      <c r="E82" s="46"/>
      <c r="F82" s="120"/>
      <c r="G82" s="120"/>
      <c r="H82" s="47"/>
      <c r="I82" s="116"/>
      <c r="J82" s="45"/>
      <c r="K82" s="73"/>
      <c r="L82" s="73"/>
      <c r="M82" s="118"/>
      <c r="N82" s="119"/>
      <c r="O82" s="113"/>
      <c r="P82" s="115"/>
      <c r="Q82"/>
      <c r="R82"/>
      <c r="S82" s="114"/>
      <c r="T82" s="110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2"/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  <c r="CZ82" s="22"/>
      <c r="DA82" s="22"/>
      <c r="DB82" s="22"/>
      <c r="DC82" s="22"/>
      <c r="DD82" s="22"/>
      <c r="DE82" s="22"/>
      <c r="DF82" s="22"/>
      <c r="DG82" s="22"/>
      <c r="DH82" s="22"/>
      <c r="DI82" s="22"/>
      <c r="DJ82" s="22"/>
      <c r="DK82" s="22"/>
      <c r="DL82" s="22"/>
      <c r="DM82" s="22"/>
      <c r="DN82" s="22"/>
      <c r="DO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D82" s="22"/>
      <c r="EE82" s="22"/>
      <c r="EF82" s="22"/>
      <c r="EG82" s="22"/>
      <c r="EH82" s="22"/>
      <c r="EI82" s="22"/>
      <c r="EJ82" s="22"/>
      <c r="EK82" s="22"/>
      <c r="EL82" s="22"/>
      <c r="EM82" s="22"/>
      <c r="EN82" s="22"/>
      <c r="EO82" s="22"/>
      <c r="EP82" s="22"/>
      <c r="EQ82" s="22"/>
      <c r="ER82" s="22"/>
      <c r="ES82" s="22"/>
      <c r="ET82" s="22"/>
      <c r="EU82" s="22"/>
      <c r="EV82" s="22"/>
      <c r="EW82" s="22"/>
      <c r="EX82" s="22"/>
      <c r="EY82" s="22"/>
      <c r="EZ82" s="22"/>
      <c r="FA82" s="22"/>
      <c r="FB82" s="22"/>
      <c r="FC82" s="22"/>
      <c r="FD82" s="22"/>
      <c r="FE82" s="22"/>
      <c r="FF82" s="22"/>
      <c r="FG82" s="22"/>
      <c r="FH82" s="22"/>
      <c r="FI82" s="22"/>
      <c r="FJ82" s="22"/>
      <c r="FK82" s="22"/>
      <c r="FL82" s="22"/>
      <c r="FM82" s="22"/>
      <c r="FN82" s="22"/>
      <c r="FO82" s="22"/>
      <c r="FP82" s="22"/>
      <c r="FQ82" s="22"/>
      <c r="FR82" s="22"/>
      <c r="FS82" s="22"/>
      <c r="FT82" s="22"/>
      <c r="FU82" s="22"/>
      <c r="FV82" s="22"/>
      <c r="FW82" s="22"/>
      <c r="FX82" s="22"/>
      <c r="FY82" s="22"/>
      <c r="FZ82" s="22"/>
      <c r="GA82" s="22"/>
      <c r="GB82" s="22"/>
      <c r="GC82" s="22"/>
      <c r="GD82" s="22"/>
      <c r="GE82" s="22"/>
      <c r="GF82" s="22"/>
      <c r="GG82" s="22"/>
      <c r="GH82" s="22"/>
      <c r="GI82" s="22"/>
      <c r="GJ82" s="22"/>
      <c r="GK82" s="22"/>
      <c r="GL82" s="22"/>
      <c r="GM82" s="22"/>
      <c r="GN82" s="22"/>
      <c r="GO82" s="22"/>
      <c r="GP82" s="22"/>
      <c r="GQ82" s="22"/>
      <c r="GR82" s="22"/>
      <c r="GS82" s="22"/>
      <c r="GT82" s="22"/>
      <c r="GU82" s="22"/>
      <c r="GV82" s="22"/>
      <c r="GW82" s="22"/>
      <c r="GX82" s="22"/>
      <c r="GY82" s="22"/>
      <c r="GZ82" s="22"/>
      <c r="HA82" s="22"/>
      <c r="HB82" s="22"/>
      <c r="HC82" s="22"/>
    </row>
    <row r="83" spans="1:211" ht="15" customHeight="1" x14ac:dyDescent="0.2">
      <c r="A83" s="22"/>
      <c r="B83" s="14"/>
      <c r="C83" s="73"/>
      <c r="D83" s="46"/>
      <c r="E83" s="46"/>
      <c r="F83" s="120"/>
      <c r="G83" s="120"/>
      <c r="H83" s="47"/>
      <c r="I83" s="116"/>
      <c r="J83" s="45"/>
      <c r="K83" s="45"/>
      <c r="L83" s="73"/>
      <c r="M83" s="118"/>
      <c r="N83" s="119"/>
      <c r="O83" s="113"/>
      <c r="P83" s="115"/>
      <c r="Q83"/>
      <c r="R83"/>
      <c r="S83" s="114"/>
      <c r="T83" s="110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2"/>
      <c r="CD83" s="22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  <c r="CZ83" s="22"/>
      <c r="DA83" s="22"/>
      <c r="DB83" s="22"/>
      <c r="DC83" s="22"/>
      <c r="DD83" s="22"/>
      <c r="DE83" s="22"/>
      <c r="DF83" s="22"/>
      <c r="DG83" s="22"/>
      <c r="DH83" s="22"/>
      <c r="DI83" s="22"/>
      <c r="DJ83" s="22"/>
      <c r="DK83" s="22"/>
      <c r="DL83" s="22"/>
      <c r="DM83" s="22"/>
      <c r="DN83" s="22"/>
      <c r="DO83" s="22"/>
      <c r="DP83" s="22"/>
      <c r="DQ83" s="22"/>
      <c r="DR83" s="22"/>
      <c r="DS83" s="22"/>
      <c r="DT83" s="22"/>
      <c r="DU83" s="22"/>
      <c r="DV83" s="22"/>
      <c r="DW83" s="22"/>
      <c r="DX83" s="22"/>
      <c r="DY83" s="22"/>
      <c r="DZ83" s="22"/>
      <c r="EA83" s="22"/>
      <c r="EB83" s="22"/>
      <c r="EC83" s="22"/>
      <c r="ED83" s="22"/>
      <c r="EE83" s="22"/>
      <c r="EF83" s="22"/>
      <c r="EG83" s="22"/>
      <c r="EH83" s="22"/>
      <c r="EI83" s="22"/>
      <c r="EJ83" s="22"/>
      <c r="EK83" s="22"/>
      <c r="EL83" s="22"/>
      <c r="EM83" s="22"/>
      <c r="EN83" s="22"/>
      <c r="EO83" s="22"/>
      <c r="EP83" s="22"/>
      <c r="EQ83" s="22"/>
      <c r="ER83" s="22"/>
      <c r="ES83" s="22"/>
      <c r="ET83" s="22"/>
      <c r="EU83" s="22"/>
      <c r="EV83" s="22"/>
      <c r="EW83" s="22"/>
      <c r="EX83" s="22"/>
      <c r="EY83" s="22"/>
      <c r="EZ83" s="22"/>
      <c r="FA83" s="22"/>
      <c r="FB83" s="22"/>
      <c r="FC83" s="22"/>
      <c r="FD83" s="22"/>
      <c r="FE83" s="22"/>
      <c r="FF83" s="22"/>
      <c r="FG83" s="22"/>
      <c r="FH83" s="22"/>
      <c r="FI83" s="22"/>
      <c r="FJ83" s="22"/>
      <c r="FK83" s="22"/>
      <c r="FL83" s="22"/>
      <c r="FM83" s="22"/>
      <c r="FN83" s="22"/>
      <c r="FO83" s="22"/>
      <c r="FP83" s="22"/>
      <c r="FQ83" s="22"/>
      <c r="FR83" s="22"/>
      <c r="FS83" s="22"/>
      <c r="FT83" s="22"/>
      <c r="FU83" s="22"/>
      <c r="FV83" s="22"/>
      <c r="FW83" s="22"/>
      <c r="FX83" s="22"/>
      <c r="FY83" s="22"/>
      <c r="FZ83" s="22"/>
      <c r="GA83" s="22"/>
      <c r="GB83" s="22"/>
      <c r="GC83" s="22"/>
      <c r="GD83" s="22"/>
      <c r="GE83" s="22"/>
      <c r="GF83" s="22"/>
      <c r="GG83" s="22"/>
      <c r="GH83" s="22"/>
      <c r="GI83" s="22"/>
      <c r="GJ83" s="22"/>
      <c r="GK83" s="22"/>
      <c r="GL83" s="22"/>
      <c r="GM83" s="22"/>
      <c r="GN83" s="22"/>
      <c r="GO83" s="22"/>
      <c r="GP83" s="22"/>
      <c r="GQ83" s="22"/>
      <c r="GR83" s="22"/>
      <c r="GS83" s="22"/>
      <c r="GT83" s="22"/>
      <c r="GU83" s="22"/>
      <c r="GV83" s="22"/>
      <c r="GW83" s="22"/>
      <c r="GX83" s="22"/>
      <c r="GY83" s="22"/>
      <c r="GZ83" s="22"/>
      <c r="HA83" s="22"/>
      <c r="HB83" s="22"/>
      <c r="HC83" s="22"/>
    </row>
    <row r="84" spans="1:211" ht="15" customHeight="1" x14ac:dyDescent="0.2">
      <c r="A84" s="22"/>
      <c r="B84" s="14"/>
      <c r="C84" s="73"/>
      <c r="D84" s="46"/>
      <c r="E84" s="46"/>
      <c r="F84" s="120"/>
      <c r="G84" s="120"/>
      <c r="H84" s="47"/>
      <c r="I84" s="116"/>
      <c r="J84" s="45"/>
      <c r="K84" s="73"/>
      <c r="L84" s="73"/>
      <c r="M84" s="118"/>
      <c r="N84" s="119"/>
      <c r="O84" s="113"/>
      <c r="P84" s="115"/>
      <c r="Q84"/>
      <c r="R84"/>
      <c r="S84" s="114"/>
      <c r="T84" s="110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2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22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22"/>
      <c r="EH84" s="22"/>
      <c r="EI84" s="22"/>
      <c r="EJ84" s="22"/>
      <c r="EK84" s="22"/>
      <c r="EL84" s="22"/>
      <c r="EM84" s="22"/>
      <c r="EN84" s="22"/>
      <c r="EO84" s="22"/>
      <c r="EP84" s="22"/>
      <c r="EQ84" s="22"/>
      <c r="ER84" s="22"/>
      <c r="ES84" s="22"/>
      <c r="ET84" s="22"/>
      <c r="EU84" s="22"/>
      <c r="EV84" s="22"/>
      <c r="EW84" s="22"/>
      <c r="EX84" s="22"/>
      <c r="EY84" s="22"/>
      <c r="EZ84" s="22"/>
      <c r="FA84" s="22"/>
      <c r="FB84" s="22"/>
      <c r="FC84" s="22"/>
      <c r="FD84" s="22"/>
      <c r="FE84" s="22"/>
      <c r="FF84" s="22"/>
      <c r="FG84" s="22"/>
      <c r="FH84" s="22"/>
      <c r="FI84" s="22"/>
      <c r="FJ84" s="22"/>
      <c r="FK84" s="22"/>
      <c r="FL84" s="22"/>
      <c r="FM84" s="22"/>
      <c r="FN84" s="22"/>
      <c r="FO84" s="22"/>
      <c r="FP84" s="22"/>
      <c r="FQ84" s="22"/>
      <c r="FR84" s="22"/>
      <c r="FS84" s="22"/>
      <c r="FT84" s="22"/>
      <c r="FU84" s="22"/>
      <c r="FV84" s="22"/>
      <c r="FW84" s="22"/>
      <c r="FX84" s="22"/>
      <c r="FY84" s="22"/>
      <c r="FZ84" s="22"/>
      <c r="GA84" s="22"/>
      <c r="GB84" s="22"/>
      <c r="GC84" s="22"/>
      <c r="GD84" s="22"/>
      <c r="GE84" s="22"/>
      <c r="GF84" s="22"/>
      <c r="GG84" s="22"/>
      <c r="GH84" s="22"/>
      <c r="GI84" s="22"/>
      <c r="GJ84" s="22"/>
      <c r="GK84" s="22"/>
      <c r="GL84" s="22"/>
      <c r="GM84" s="22"/>
      <c r="GN84" s="22"/>
      <c r="GO84" s="22"/>
      <c r="GP84" s="22"/>
      <c r="GQ84" s="22"/>
      <c r="GR84" s="22"/>
      <c r="GS84" s="22"/>
      <c r="GT84" s="22"/>
      <c r="GU84" s="22"/>
      <c r="GV84" s="22"/>
      <c r="GW84" s="22"/>
      <c r="GX84" s="22"/>
      <c r="GY84" s="22"/>
      <c r="GZ84" s="22"/>
      <c r="HA84" s="22"/>
      <c r="HB84" s="22"/>
      <c r="HC84" s="22"/>
    </row>
    <row r="85" spans="1:211" ht="15" customHeight="1" x14ac:dyDescent="0.2">
      <c r="A85" s="22"/>
      <c r="B85" s="14"/>
      <c r="C85" s="73"/>
      <c r="D85" s="46"/>
      <c r="E85" s="46"/>
      <c r="F85" s="120"/>
      <c r="G85" s="120"/>
      <c r="H85" s="47"/>
      <c r="I85" s="116"/>
      <c r="J85" s="45"/>
      <c r="K85" s="45"/>
      <c r="L85" s="73"/>
      <c r="M85" s="118"/>
      <c r="N85" s="119"/>
      <c r="O85" s="113"/>
      <c r="P85" s="115"/>
      <c r="Q85"/>
      <c r="R85"/>
      <c r="S85" s="114"/>
      <c r="T85" s="110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  <c r="BS85" s="22"/>
      <c r="BT85" s="22"/>
      <c r="BU85" s="22"/>
      <c r="BV85" s="22"/>
      <c r="BW85" s="22"/>
      <c r="BX85" s="22"/>
      <c r="BY85" s="22"/>
      <c r="BZ85" s="22"/>
      <c r="CA85" s="22"/>
      <c r="CB85" s="22"/>
      <c r="CC85" s="22"/>
      <c r="CD85" s="22"/>
      <c r="CE85" s="22"/>
      <c r="CF85" s="22"/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  <c r="CY85" s="22"/>
      <c r="CZ85" s="22"/>
      <c r="DA85" s="22"/>
      <c r="DB85" s="22"/>
      <c r="DC85" s="22"/>
      <c r="DD85" s="22"/>
      <c r="DE85" s="22"/>
      <c r="DF85" s="22"/>
      <c r="DG85" s="22"/>
      <c r="DH85" s="22"/>
      <c r="DI85" s="22"/>
      <c r="DJ85" s="22"/>
      <c r="DK85" s="22"/>
      <c r="DL85" s="22"/>
      <c r="DM85" s="22"/>
      <c r="DN85" s="22"/>
      <c r="DO85" s="22"/>
      <c r="DP85" s="22"/>
      <c r="DQ85" s="22"/>
      <c r="DR85" s="22"/>
      <c r="DS85" s="22"/>
      <c r="DT85" s="22"/>
      <c r="DU85" s="22"/>
      <c r="DV85" s="22"/>
      <c r="DW85" s="22"/>
      <c r="DX85" s="22"/>
      <c r="DY85" s="22"/>
      <c r="DZ85" s="22"/>
      <c r="EA85" s="22"/>
      <c r="EB85" s="22"/>
      <c r="EC85" s="22"/>
      <c r="ED85" s="22"/>
      <c r="EE85" s="22"/>
      <c r="EF85" s="22"/>
      <c r="EG85" s="22"/>
      <c r="EH85" s="22"/>
      <c r="EI85" s="22"/>
      <c r="EJ85" s="22"/>
      <c r="EK85" s="22"/>
      <c r="EL85" s="22"/>
      <c r="EM85" s="22"/>
      <c r="EN85" s="22"/>
      <c r="EO85" s="22"/>
      <c r="EP85" s="22"/>
      <c r="EQ85" s="22"/>
      <c r="ER85" s="22"/>
      <c r="ES85" s="22"/>
      <c r="ET85" s="22"/>
      <c r="EU85" s="22"/>
      <c r="EV85" s="22"/>
      <c r="EW85" s="22"/>
      <c r="EX85" s="22"/>
      <c r="EY85" s="22"/>
      <c r="EZ85" s="22"/>
      <c r="FA85" s="22"/>
      <c r="FB85" s="22"/>
      <c r="FC85" s="22"/>
      <c r="FD85" s="22"/>
      <c r="FE85" s="22"/>
      <c r="FF85" s="22"/>
      <c r="FG85" s="22"/>
      <c r="FH85" s="22"/>
      <c r="FI85" s="22"/>
      <c r="FJ85" s="22"/>
      <c r="FK85" s="22"/>
      <c r="FL85" s="22"/>
      <c r="FM85" s="22"/>
      <c r="FN85" s="22"/>
      <c r="FO85" s="22"/>
      <c r="FP85" s="22"/>
      <c r="FQ85" s="22"/>
      <c r="FR85" s="22"/>
      <c r="FS85" s="22"/>
      <c r="FT85" s="22"/>
      <c r="FU85" s="22"/>
      <c r="FV85" s="22"/>
      <c r="FW85" s="22"/>
      <c r="FX85" s="22"/>
      <c r="FY85" s="22"/>
      <c r="FZ85" s="22"/>
      <c r="GA85" s="22"/>
      <c r="GB85" s="22"/>
      <c r="GC85" s="22"/>
      <c r="GD85" s="22"/>
      <c r="GE85" s="22"/>
      <c r="GF85" s="22"/>
      <c r="GG85" s="22"/>
      <c r="GH85" s="22"/>
      <c r="GI85" s="22"/>
      <c r="GJ85" s="22"/>
      <c r="GK85" s="22"/>
      <c r="GL85" s="22"/>
      <c r="GM85" s="22"/>
      <c r="GN85" s="22"/>
      <c r="GO85" s="22"/>
      <c r="GP85" s="22"/>
      <c r="GQ85" s="22"/>
      <c r="GR85" s="22"/>
      <c r="GS85" s="22"/>
      <c r="GT85" s="22"/>
      <c r="GU85" s="22"/>
      <c r="GV85" s="22"/>
      <c r="GW85" s="22"/>
      <c r="GX85" s="22"/>
      <c r="GY85" s="22"/>
      <c r="GZ85" s="22"/>
      <c r="HA85" s="22"/>
      <c r="HB85" s="22"/>
      <c r="HC85" s="22"/>
    </row>
    <row r="86" spans="1:211" ht="15" customHeight="1" x14ac:dyDescent="0.2">
      <c r="A86" s="22"/>
      <c r="B86" s="14"/>
      <c r="C86" s="73"/>
      <c r="D86" s="46"/>
      <c r="E86" s="46"/>
      <c r="F86" s="120"/>
      <c r="G86" s="120"/>
      <c r="H86" s="47"/>
      <c r="I86" s="116"/>
      <c r="J86" s="45"/>
      <c r="K86" s="73"/>
      <c r="L86" s="73"/>
      <c r="M86" s="118"/>
      <c r="N86" s="119"/>
      <c r="O86" s="113"/>
      <c r="P86" s="115"/>
      <c r="Q86"/>
      <c r="R86"/>
      <c r="S86" s="114"/>
      <c r="T86" s="110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2"/>
      <c r="CD86" s="22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  <c r="CZ86" s="22"/>
      <c r="DA86" s="22"/>
      <c r="DB86" s="22"/>
      <c r="DC86" s="22"/>
      <c r="DD86" s="22"/>
      <c r="DE86" s="22"/>
      <c r="DF86" s="22"/>
      <c r="DG86" s="22"/>
      <c r="DH86" s="22"/>
      <c r="DI86" s="22"/>
      <c r="DJ86" s="22"/>
      <c r="DK86" s="22"/>
      <c r="DL86" s="22"/>
      <c r="DM86" s="22"/>
      <c r="DN86" s="22"/>
      <c r="DO86" s="22"/>
      <c r="DP86" s="22"/>
      <c r="DQ86" s="22"/>
      <c r="DR86" s="22"/>
      <c r="DS86" s="22"/>
      <c r="DT86" s="22"/>
      <c r="DU86" s="22"/>
      <c r="DV86" s="22"/>
      <c r="DW86" s="22"/>
      <c r="DX86" s="22"/>
      <c r="DY86" s="22"/>
      <c r="DZ86" s="22"/>
      <c r="EA86" s="22"/>
      <c r="EB86" s="22"/>
      <c r="EC86" s="22"/>
      <c r="ED86" s="22"/>
      <c r="EE86" s="22"/>
      <c r="EF86" s="22"/>
      <c r="EG86" s="22"/>
      <c r="EH86" s="22"/>
      <c r="EI86" s="22"/>
      <c r="EJ86" s="22"/>
      <c r="EK86" s="22"/>
      <c r="EL86" s="22"/>
      <c r="EM86" s="22"/>
      <c r="EN86" s="22"/>
      <c r="EO86" s="22"/>
      <c r="EP86" s="22"/>
      <c r="EQ86" s="22"/>
      <c r="ER86" s="22"/>
      <c r="ES86" s="22"/>
      <c r="ET86" s="22"/>
      <c r="EU86" s="22"/>
      <c r="EV86" s="22"/>
      <c r="EW86" s="22"/>
      <c r="EX86" s="22"/>
      <c r="EY86" s="22"/>
      <c r="EZ86" s="22"/>
      <c r="FA86" s="22"/>
      <c r="FB86" s="22"/>
      <c r="FC86" s="22"/>
      <c r="FD86" s="22"/>
      <c r="FE86" s="22"/>
      <c r="FF86" s="22"/>
      <c r="FG86" s="22"/>
      <c r="FH86" s="22"/>
      <c r="FI86" s="22"/>
      <c r="FJ86" s="22"/>
      <c r="FK86" s="22"/>
      <c r="FL86" s="22"/>
      <c r="FM86" s="22"/>
      <c r="FN86" s="22"/>
      <c r="FO86" s="22"/>
      <c r="FP86" s="22"/>
      <c r="FQ86" s="22"/>
      <c r="FR86" s="22"/>
      <c r="FS86" s="22"/>
      <c r="FT86" s="22"/>
      <c r="FU86" s="22"/>
      <c r="FV86" s="22"/>
      <c r="FW86" s="22"/>
      <c r="FX86" s="22"/>
      <c r="FY86" s="22"/>
      <c r="FZ86" s="22"/>
      <c r="GA86" s="22"/>
      <c r="GB86" s="22"/>
      <c r="GC86" s="22"/>
      <c r="GD86" s="22"/>
      <c r="GE86" s="22"/>
      <c r="GF86" s="22"/>
      <c r="GG86" s="22"/>
      <c r="GH86" s="22"/>
      <c r="GI86" s="22"/>
      <c r="GJ86" s="22"/>
      <c r="GK86" s="22"/>
      <c r="GL86" s="22"/>
      <c r="GM86" s="22"/>
      <c r="GN86" s="22"/>
      <c r="GO86" s="22"/>
      <c r="GP86" s="22"/>
      <c r="GQ86" s="22"/>
      <c r="GR86" s="22"/>
      <c r="GS86" s="22"/>
      <c r="GT86" s="22"/>
      <c r="GU86" s="22"/>
      <c r="GV86" s="22"/>
      <c r="GW86" s="22"/>
      <c r="GX86" s="22"/>
      <c r="GY86" s="22"/>
      <c r="GZ86" s="22"/>
      <c r="HA86" s="22"/>
      <c r="HB86" s="22"/>
      <c r="HC86" s="22"/>
    </row>
    <row r="87" spans="1:211" ht="15" customHeight="1" x14ac:dyDescent="0.2">
      <c r="A87" s="22"/>
      <c r="B87" s="14"/>
      <c r="C87" s="73"/>
      <c r="D87" s="46"/>
      <c r="E87" s="46"/>
      <c r="F87" s="120"/>
      <c r="G87" s="120"/>
      <c r="H87" s="47"/>
      <c r="I87" s="116"/>
      <c r="J87" s="45"/>
      <c r="K87" s="45"/>
      <c r="L87" s="73"/>
      <c r="M87" s="118"/>
      <c r="N87" s="119"/>
      <c r="O87" s="113"/>
      <c r="P87" s="115"/>
      <c r="Q87"/>
      <c r="R87"/>
      <c r="S87" s="114"/>
      <c r="T87" s="110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2"/>
      <c r="CD87" s="22"/>
      <c r="CE87" s="22"/>
      <c r="CF87" s="22"/>
      <c r="CG87" s="22"/>
      <c r="CH87" s="22"/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  <c r="CY87" s="22"/>
      <c r="CZ87" s="22"/>
      <c r="DA87" s="22"/>
      <c r="DB87" s="22"/>
      <c r="DC87" s="22"/>
      <c r="DD87" s="22"/>
      <c r="DE87" s="22"/>
      <c r="DF87" s="22"/>
      <c r="DG87" s="22"/>
      <c r="DH87" s="22"/>
      <c r="DI87" s="22"/>
      <c r="DJ87" s="22"/>
      <c r="DK87" s="22"/>
      <c r="DL87" s="22"/>
      <c r="DM87" s="22"/>
      <c r="DN87" s="22"/>
      <c r="DO87" s="22"/>
      <c r="DP87" s="22"/>
      <c r="DQ87" s="22"/>
      <c r="DR87" s="22"/>
      <c r="DS87" s="22"/>
      <c r="DT87" s="22"/>
      <c r="DU87" s="22"/>
      <c r="DV87" s="22"/>
      <c r="DW87" s="22"/>
      <c r="DX87" s="22"/>
      <c r="DY87" s="22"/>
      <c r="DZ87" s="22"/>
      <c r="EA87" s="22"/>
      <c r="EB87" s="22"/>
      <c r="EC87" s="22"/>
      <c r="ED87" s="22"/>
      <c r="EE87" s="22"/>
      <c r="EF87" s="22"/>
      <c r="EG87" s="22"/>
      <c r="EH87" s="22"/>
      <c r="EI87" s="22"/>
      <c r="EJ87" s="22"/>
      <c r="EK87" s="22"/>
      <c r="EL87" s="22"/>
      <c r="EM87" s="22"/>
      <c r="EN87" s="22"/>
      <c r="EO87" s="22"/>
      <c r="EP87" s="22"/>
      <c r="EQ87" s="22"/>
      <c r="ER87" s="22"/>
      <c r="ES87" s="22"/>
      <c r="ET87" s="22"/>
      <c r="EU87" s="22"/>
      <c r="EV87" s="22"/>
      <c r="EW87" s="22"/>
      <c r="EX87" s="22"/>
      <c r="EY87" s="22"/>
      <c r="EZ87" s="22"/>
      <c r="FA87" s="22"/>
      <c r="FB87" s="22"/>
      <c r="FC87" s="22"/>
      <c r="FD87" s="22"/>
      <c r="FE87" s="22"/>
      <c r="FF87" s="22"/>
      <c r="FG87" s="22"/>
      <c r="FH87" s="22"/>
      <c r="FI87" s="22"/>
      <c r="FJ87" s="22"/>
      <c r="FK87" s="22"/>
      <c r="FL87" s="22"/>
      <c r="FM87" s="22"/>
      <c r="FN87" s="22"/>
      <c r="FO87" s="22"/>
      <c r="FP87" s="22"/>
      <c r="FQ87" s="22"/>
      <c r="FR87" s="22"/>
      <c r="FS87" s="22"/>
      <c r="FT87" s="22"/>
      <c r="FU87" s="22"/>
      <c r="FV87" s="22"/>
      <c r="FW87" s="22"/>
      <c r="FX87" s="22"/>
      <c r="FY87" s="22"/>
      <c r="FZ87" s="22"/>
      <c r="GA87" s="22"/>
      <c r="GB87" s="22"/>
      <c r="GC87" s="22"/>
      <c r="GD87" s="22"/>
      <c r="GE87" s="22"/>
      <c r="GF87" s="22"/>
      <c r="GG87" s="22"/>
      <c r="GH87" s="22"/>
      <c r="GI87" s="22"/>
      <c r="GJ87" s="22"/>
      <c r="GK87" s="22"/>
      <c r="GL87" s="22"/>
      <c r="GM87" s="22"/>
      <c r="GN87" s="22"/>
      <c r="GO87" s="22"/>
      <c r="GP87" s="22"/>
      <c r="GQ87" s="22"/>
      <c r="GR87" s="22"/>
      <c r="GS87" s="22"/>
      <c r="GT87" s="22"/>
      <c r="GU87" s="22"/>
      <c r="GV87" s="22"/>
      <c r="GW87" s="22"/>
      <c r="GX87" s="22"/>
      <c r="GY87" s="22"/>
      <c r="GZ87" s="22"/>
      <c r="HA87" s="22"/>
      <c r="HB87" s="22"/>
      <c r="HC87" s="22"/>
    </row>
    <row r="88" spans="1:211" ht="15" customHeight="1" x14ac:dyDescent="0.2">
      <c r="A88" s="22"/>
      <c r="B88" s="14"/>
      <c r="C88" s="73"/>
      <c r="D88" s="46"/>
      <c r="E88" s="46"/>
      <c r="F88" s="120"/>
      <c r="G88" s="120"/>
      <c r="H88" s="47"/>
      <c r="I88" s="116"/>
      <c r="J88" s="45"/>
      <c r="K88" s="73"/>
      <c r="L88" s="73"/>
      <c r="M88" s="118"/>
      <c r="N88" s="119"/>
      <c r="O88" s="113"/>
      <c r="P88" s="115"/>
      <c r="Q88"/>
      <c r="R88"/>
      <c r="S88" s="114"/>
      <c r="T88" s="110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2"/>
      <c r="CD88" s="22"/>
      <c r="CE88" s="22"/>
      <c r="CF88" s="22"/>
      <c r="CG88" s="22"/>
      <c r="CH88" s="22"/>
      <c r="CI88" s="22"/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  <c r="CY88" s="22"/>
      <c r="CZ88" s="22"/>
      <c r="DA88" s="22"/>
      <c r="DB88" s="22"/>
      <c r="DC88" s="22"/>
      <c r="DD88" s="22"/>
      <c r="DE88" s="22"/>
      <c r="DF88" s="22"/>
      <c r="DG88" s="22"/>
      <c r="DH88" s="22"/>
      <c r="DI88" s="22"/>
      <c r="DJ88" s="22"/>
      <c r="DK88" s="22"/>
      <c r="DL88" s="22"/>
      <c r="DM88" s="22"/>
      <c r="DN88" s="22"/>
      <c r="DO88" s="22"/>
      <c r="DP88" s="22"/>
      <c r="DQ88" s="22"/>
      <c r="DR88" s="22"/>
      <c r="DS88" s="22"/>
      <c r="DT88" s="22"/>
      <c r="DU88" s="22"/>
      <c r="DV88" s="22"/>
      <c r="DW88" s="22"/>
      <c r="DX88" s="22"/>
      <c r="DY88" s="22"/>
      <c r="DZ88" s="22"/>
      <c r="EA88" s="22"/>
      <c r="EB88" s="22"/>
      <c r="EC88" s="22"/>
      <c r="ED88" s="22"/>
      <c r="EE88" s="22"/>
      <c r="EF88" s="22"/>
      <c r="EG88" s="22"/>
      <c r="EH88" s="22"/>
      <c r="EI88" s="22"/>
      <c r="EJ88" s="22"/>
      <c r="EK88" s="22"/>
      <c r="EL88" s="22"/>
      <c r="EM88" s="22"/>
      <c r="EN88" s="22"/>
      <c r="EO88" s="22"/>
      <c r="EP88" s="22"/>
      <c r="EQ88" s="22"/>
      <c r="ER88" s="22"/>
      <c r="ES88" s="22"/>
      <c r="ET88" s="22"/>
      <c r="EU88" s="22"/>
      <c r="EV88" s="22"/>
      <c r="EW88" s="22"/>
      <c r="EX88" s="22"/>
      <c r="EY88" s="22"/>
      <c r="EZ88" s="22"/>
      <c r="FA88" s="22"/>
      <c r="FB88" s="22"/>
      <c r="FC88" s="22"/>
      <c r="FD88" s="22"/>
      <c r="FE88" s="22"/>
      <c r="FF88" s="22"/>
      <c r="FG88" s="22"/>
      <c r="FH88" s="22"/>
      <c r="FI88" s="22"/>
      <c r="FJ88" s="22"/>
      <c r="FK88" s="22"/>
      <c r="FL88" s="22"/>
      <c r="FM88" s="22"/>
      <c r="FN88" s="22"/>
      <c r="FO88" s="22"/>
      <c r="FP88" s="22"/>
      <c r="FQ88" s="22"/>
      <c r="FR88" s="22"/>
      <c r="FS88" s="22"/>
      <c r="FT88" s="22"/>
      <c r="FU88" s="22"/>
      <c r="FV88" s="22"/>
      <c r="FW88" s="22"/>
      <c r="FX88" s="22"/>
      <c r="FY88" s="22"/>
      <c r="FZ88" s="22"/>
      <c r="GA88" s="22"/>
      <c r="GB88" s="22"/>
      <c r="GC88" s="22"/>
      <c r="GD88" s="22"/>
      <c r="GE88" s="22"/>
      <c r="GF88" s="22"/>
      <c r="GG88" s="22"/>
      <c r="GH88" s="22"/>
      <c r="GI88" s="22"/>
      <c r="GJ88" s="22"/>
      <c r="GK88" s="22"/>
      <c r="GL88" s="22"/>
      <c r="GM88" s="22"/>
      <c r="GN88" s="22"/>
      <c r="GO88" s="22"/>
      <c r="GP88" s="22"/>
      <c r="GQ88" s="22"/>
      <c r="GR88" s="22"/>
      <c r="GS88" s="22"/>
      <c r="GT88" s="22"/>
      <c r="GU88" s="22"/>
      <c r="GV88" s="22"/>
      <c r="GW88" s="22"/>
      <c r="GX88" s="22"/>
      <c r="GY88" s="22"/>
      <c r="GZ88" s="22"/>
      <c r="HA88" s="22"/>
      <c r="HB88" s="22"/>
      <c r="HC88" s="22"/>
    </row>
    <row r="89" spans="1:211" ht="15" customHeight="1" x14ac:dyDescent="0.2">
      <c r="A89" s="22"/>
      <c r="B89" s="14"/>
      <c r="C89" s="73"/>
      <c r="D89" s="46"/>
      <c r="E89" s="46"/>
      <c r="F89" s="120"/>
      <c r="G89" s="120"/>
      <c r="H89" s="47"/>
      <c r="I89" s="116"/>
      <c r="J89" s="45"/>
      <c r="K89" s="45"/>
      <c r="L89" s="73"/>
      <c r="M89" s="118"/>
      <c r="N89" s="119"/>
      <c r="O89" s="113"/>
      <c r="P89" s="115"/>
      <c r="Q89"/>
      <c r="R89"/>
      <c r="S89" s="114"/>
      <c r="T89" s="110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2"/>
      <c r="CD89" s="22"/>
      <c r="CE89" s="22"/>
      <c r="CF89" s="22"/>
      <c r="CG89" s="22"/>
      <c r="CH89" s="22"/>
      <c r="CI89" s="22"/>
      <c r="CJ89" s="22"/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  <c r="CY89" s="22"/>
      <c r="CZ89" s="22"/>
      <c r="DA89" s="22"/>
      <c r="DB89" s="22"/>
      <c r="DC89" s="22"/>
      <c r="DD89" s="22"/>
      <c r="DE89" s="22"/>
      <c r="DF89" s="22"/>
      <c r="DG89" s="22"/>
      <c r="DH89" s="22"/>
      <c r="DI89" s="22"/>
      <c r="DJ89" s="22"/>
      <c r="DK89" s="22"/>
      <c r="DL89" s="22"/>
      <c r="DM89" s="22"/>
      <c r="DN89" s="22"/>
      <c r="DO89" s="22"/>
      <c r="DP89" s="22"/>
      <c r="DQ89" s="22"/>
      <c r="DR89" s="22"/>
      <c r="DS89" s="22"/>
      <c r="DT89" s="22"/>
      <c r="DU89" s="22"/>
      <c r="DV89" s="22"/>
      <c r="DW89" s="22"/>
      <c r="DX89" s="22"/>
      <c r="DY89" s="22"/>
      <c r="DZ89" s="22"/>
      <c r="EA89" s="22"/>
      <c r="EB89" s="22"/>
      <c r="EC89" s="22"/>
      <c r="ED89" s="22"/>
      <c r="EE89" s="22"/>
      <c r="EF89" s="22"/>
      <c r="EG89" s="22"/>
      <c r="EH89" s="22"/>
      <c r="EI89" s="22"/>
      <c r="EJ89" s="22"/>
      <c r="EK89" s="22"/>
      <c r="EL89" s="22"/>
      <c r="EM89" s="22"/>
      <c r="EN89" s="22"/>
      <c r="EO89" s="22"/>
      <c r="EP89" s="22"/>
      <c r="EQ89" s="22"/>
      <c r="ER89" s="22"/>
      <c r="ES89" s="22"/>
      <c r="ET89" s="22"/>
      <c r="EU89" s="22"/>
      <c r="EV89" s="22"/>
      <c r="EW89" s="22"/>
      <c r="EX89" s="22"/>
      <c r="EY89" s="22"/>
      <c r="EZ89" s="22"/>
      <c r="FA89" s="22"/>
      <c r="FB89" s="22"/>
      <c r="FC89" s="22"/>
      <c r="FD89" s="22"/>
      <c r="FE89" s="22"/>
      <c r="FF89" s="22"/>
      <c r="FG89" s="22"/>
      <c r="FH89" s="22"/>
      <c r="FI89" s="22"/>
      <c r="FJ89" s="22"/>
      <c r="FK89" s="22"/>
      <c r="FL89" s="22"/>
      <c r="FM89" s="22"/>
      <c r="FN89" s="22"/>
      <c r="FO89" s="22"/>
      <c r="FP89" s="22"/>
      <c r="FQ89" s="22"/>
      <c r="FR89" s="22"/>
      <c r="FS89" s="22"/>
      <c r="FT89" s="22"/>
      <c r="FU89" s="22"/>
      <c r="FV89" s="22"/>
      <c r="FW89" s="22"/>
      <c r="FX89" s="22"/>
      <c r="FY89" s="22"/>
      <c r="FZ89" s="22"/>
      <c r="GA89" s="22"/>
      <c r="GB89" s="22"/>
      <c r="GC89" s="22"/>
      <c r="GD89" s="22"/>
      <c r="GE89" s="22"/>
      <c r="GF89" s="22"/>
      <c r="GG89" s="22"/>
      <c r="GH89" s="22"/>
      <c r="GI89" s="22"/>
      <c r="GJ89" s="22"/>
      <c r="GK89" s="22"/>
      <c r="GL89" s="22"/>
      <c r="GM89" s="22"/>
      <c r="GN89" s="22"/>
      <c r="GO89" s="22"/>
      <c r="GP89" s="22"/>
      <c r="GQ89" s="22"/>
      <c r="GR89" s="22"/>
      <c r="GS89" s="22"/>
      <c r="GT89" s="22"/>
      <c r="GU89" s="22"/>
      <c r="GV89" s="22"/>
      <c r="GW89" s="22"/>
      <c r="GX89" s="22"/>
      <c r="GY89" s="22"/>
      <c r="GZ89" s="22"/>
      <c r="HA89" s="22"/>
      <c r="HB89" s="22"/>
      <c r="HC89" s="22"/>
    </row>
    <row r="90" spans="1:211" ht="15" customHeight="1" x14ac:dyDescent="0.2">
      <c r="A90" s="22"/>
      <c r="B90" s="14"/>
      <c r="C90" s="73"/>
      <c r="D90" s="46"/>
      <c r="E90" s="46"/>
      <c r="F90" s="120"/>
      <c r="G90" s="120"/>
      <c r="H90" s="47"/>
      <c r="I90" s="116"/>
      <c r="J90" s="45"/>
      <c r="K90" s="73"/>
      <c r="L90" s="73"/>
      <c r="M90" s="118"/>
      <c r="N90" s="119"/>
      <c r="O90" s="113"/>
      <c r="P90" s="115"/>
      <c r="Q90"/>
      <c r="R90"/>
      <c r="S90" s="114"/>
      <c r="T90" s="110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2"/>
      <c r="CD90" s="22"/>
      <c r="CE90" s="22"/>
      <c r="CF90" s="22"/>
      <c r="CG90" s="22"/>
      <c r="CH90" s="22"/>
      <c r="CI90" s="22"/>
      <c r="CJ90" s="22"/>
      <c r="CK90" s="22"/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  <c r="CY90" s="22"/>
      <c r="CZ90" s="22"/>
      <c r="DA90" s="22"/>
      <c r="DB90" s="22"/>
      <c r="DC90" s="22"/>
      <c r="DD90" s="22"/>
      <c r="DE90" s="22"/>
      <c r="DF90" s="22"/>
      <c r="DG90" s="22"/>
      <c r="DH90" s="22"/>
      <c r="DI90" s="22"/>
      <c r="DJ90" s="22"/>
      <c r="DK90" s="22"/>
      <c r="DL90" s="22"/>
      <c r="DM90" s="22"/>
      <c r="DN90" s="22"/>
      <c r="DO90" s="22"/>
      <c r="DP90" s="22"/>
      <c r="DQ90" s="22"/>
      <c r="DR90" s="22"/>
      <c r="DS90" s="22"/>
      <c r="DT90" s="22"/>
      <c r="DU90" s="22"/>
      <c r="DV90" s="22"/>
      <c r="DW90" s="22"/>
      <c r="DX90" s="22"/>
      <c r="DY90" s="22"/>
      <c r="DZ90" s="22"/>
      <c r="EA90" s="22"/>
      <c r="EB90" s="22"/>
      <c r="EC90" s="22"/>
      <c r="ED90" s="22"/>
      <c r="EE90" s="22"/>
      <c r="EF90" s="22"/>
      <c r="EG90" s="22"/>
      <c r="EH90" s="22"/>
      <c r="EI90" s="22"/>
      <c r="EJ90" s="22"/>
      <c r="EK90" s="22"/>
      <c r="EL90" s="22"/>
      <c r="EM90" s="22"/>
      <c r="EN90" s="22"/>
      <c r="EO90" s="22"/>
      <c r="EP90" s="22"/>
      <c r="EQ90" s="22"/>
      <c r="ER90" s="22"/>
      <c r="ES90" s="22"/>
      <c r="ET90" s="22"/>
      <c r="EU90" s="22"/>
      <c r="EV90" s="22"/>
      <c r="EW90" s="22"/>
      <c r="EX90" s="22"/>
      <c r="EY90" s="22"/>
      <c r="EZ90" s="22"/>
      <c r="FA90" s="22"/>
      <c r="FB90" s="22"/>
      <c r="FC90" s="22"/>
      <c r="FD90" s="22"/>
      <c r="FE90" s="22"/>
      <c r="FF90" s="22"/>
      <c r="FG90" s="22"/>
      <c r="FH90" s="22"/>
      <c r="FI90" s="22"/>
      <c r="FJ90" s="22"/>
      <c r="FK90" s="22"/>
      <c r="FL90" s="22"/>
      <c r="FM90" s="22"/>
      <c r="FN90" s="22"/>
      <c r="FO90" s="22"/>
      <c r="FP90" s="22"/>
      <c r="FQ90" s="22"/>
      <c r="FR90" s="22"/>
      <c r="FS90" s="22"/>
      <c r="FT90" s="22"/>
      <c r="FU90" s="22"/>
      <c r="FV90" s="22"/>
      <c r="FW90" s="22"/>
      <c r="FX90" s="22"/>
      <c r="FY90" s="22"/>
      <c r="FZ90" s="22"/>
      <c r="GA90" s="22"/>
      <c r="GB90" s="22"/>
      <c r="GC90" s="22"/>
      <c r="GD90" s="22"/>
      <c r="GE90" s="22"/>
      <c r="GF90" s="22"/>
      <c r="GG90" s="22"/>
      <c r="GH90" s="22"/>
      <c r="GI90" s="22"/>
      <c r="GJ90" s="22"/>
      <c r="GK90" s="22"/>
      <c r="GL90" s="22"/>
      <c r="GM90" s="22"/>
      <c r="GN90" s="22"/>
      <c r="GO90" s="22"/>
      <c r="GP90" s="22"/>
      <c r="GQ90" s="22"/>
      <c r="GR90" s="22"/>
      <c r="GS90" s="22"/>
      <c r="GT90" s="22"/>
      <c r="GU90" s="22"/>
      <c r="GV90" s="22"/>
      <c r="GW90" s="22"/>
      <c r="GX90" s="22"/>
      <c r="GY90" s="22"/>
      <c r="GZ90" s="22"/>
      <c r="HA90" s="22"/>
      <c r="HB90" s="22"/>
      <c r="HC90" s="22"/>
    </row>
    <row r="91" spans="1:211" ht="15" customHeight="1" x14ac:dyDescent="0.2">
      <c r="A91" s="22"/>
      <c r="B91" s="14"/>
      <c r="C91" s="73"/>
      <c r="D91" s="46"/>
      <c r="E91" s="46"/>
      <c r="F91" s="120"/>
      <c r="G91" s="120"/>
      <c r="H91" s="47"/>
      <c r="I91" s="116"/>
      <c r="J91" s="45"/>
      <c r="K91" s="45"/>
      <c r="L91" s="73"/>
      <c r="M91" s="118"/>
      <c r="N91" s="119"/>
      <c r="O91" s="113"/>
      <c r="P91" s="115"/>
      <c r="Q91"/>
      <c r="R91"/>
      <c r="S91" s="114"/>
      <c r="T91" s="110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2"/>
      <c r="CD91" s="22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  <c r="CZ91" s="22"/>
      <c r="DA91" s="22"/>
      <c r="DB91" s="22"/>
      <c r="DC91" s="22"/>
      <c r="DD91" s="22"/>
      <c r="DE91" s="22"/>
      <c r="DF91" s="22"/>
      <c r="DG91" s="22"/>
      <c r="DH91" s="22"/>
      <c r="DI91" s="22"/>
      <c r="DJ91" s="22"/>
      <c r="DK91" s="22"/>
      <c r="DL91" s="22"/>
      <c r="DM91" s="22"/>
      <c r="DN91" s="22"/>
      <c r="DO91" s="22"/>
      <c r="DP91" s="22"/>
      <c r="DQ91" s="22"/>
      <c r="DR91" s="22"/>
      <c r="DS91" s="22"/>
      <c r="DT91" s="22"/>
      <c r="DU91" s="22"/>
      <c r="DV91" s="22"/>
      <c r="DW91" s="22"/>
      <c r="DX91" s="22"/>
      <c r="DY91" s="22"/>
      <c r="DZ91" s="22"/>
      <c r="EA91" s="22"/>
      <c r="EB91" s="22"/>
      <c r="EC91" s="22"/>
      <c r="ED91" s="22"/>
      <c r="EE91" s="22"/>
      <c r="EF91" s="22"/>
      <c r="EG91" s="22"/>
      <c r="EH91" s="22"/>
      <c r="EI91" s="22"/>
      <c r="EJ91" s="22"/>
      <c r="EK91" s="22"/>
      <c r="EL91" s="22"/>
      <c r="EM91" s="22"/>
      <c r="EN91" s="22"/>
      <c r="EO91" s="22"/>
      <c r="EP91" s="22"/>
      <c r="EQ91" s="22"/>
      <c r="ER91" s="22"/>
      <c r="ES91" s="22"/>
      <c r="ET91" s="22"/>
      <c r="EU91" s="22"/>
      <c r="EV91" s="22"/>
      <c r="EW91" s="22"/>
      <c r="EX91" s="22"/>
      <c r="EY91" s="22"/>
      <c r="EZ91" s="22"/>
      <c r="FA91" s="22"/>
      <c r="FB91" s="22"/>
      <c r="FC91" s="22"/>
      <c r="FD91" s="22"/>
      <c r="FE91" s="22"/>
      <c r="FF91" s="22"/>
      <c r="FG91" s="22"/>
      <c r="FH91" s="22"/>
      <c r="FI91" s="22"/>
      <c r="FJ91" s="22"/>
      <c r="FK91" s="22"/>
      <c r="FL91" s="22"/>
      <c r="FM91" s="22"/>
      <c r="FN91" s="22"/>
      <c r="FO91" s="22"/>
      <c r="FP91" s="22"/>
      <c r="FQ91" s="22"/>
      <c r="FR91" s="22"/>
      <c r="FS91" s="22"/>
      <c r="FT91" s="22"/>
      <c r="FU91" s="22"/>
      <c r="FV91" s="22"/>
      <c r="FW91" s="22"/>
      <c r="FX91" s="22"/>
      <c r="FY91" s="22"/>
      <c r="FZ91" s="22"/>
      <c r="GA91" s="22"/>
      <c r="GB91" s="22"/>
      <c r="GC91" s="22"/>
      <c r="GD91" s="22"/>
      <c r="GE91" s="22"/>
      <c r="GF91" s="22"/>
      <c r="GG91" s="22"/>
      <c r="GH91" s="22"/>
      <c r="GI91" s="22"/>
      <c r="GJ91" s="22"/>
      <c r="GK91" s="22"/>
      <c r="GL91" s="22"/>
      <c r="GM91" s="22"/>
      <c r="GN91" s="22"/>
      <c r="GO91" s="22"/>
      <c r="GP91" s="22"/>
      <c r="GQ91" s="22"/>
      <c r="GR91" s="22"/>
      <c r="GS91" s="22"/>
      <c r="GT91" s="22"/>
      <c r="GU91" s="22"/>
      <c r="GV91" s="22"/>
      <c r="GW91" s="22"/>
      <c r="GX91" s="22"/>
      <c r="GY91" s="22"/>
      <c r="GZ91" s="22"/>
      <c r="HA91" s="22"/>
      <c r="HB91" s="22"/>
      <c r="HC91" s="22"/>
    </row>
    <row r="92" spans="1:211" ht="15" customHeight="1" x14ac:dyDescent="0.2">
      <c r="A92" s="22"/>
      <c r="B92" s="14"/>
      <c r="C92" s="73"/>
      <c r="D92" s="46"/>
      <c r="E92" s="46"/>
      <c r="F92" s="120"/>
      <c r="G92" s="120"/>
      <c r="H92" s="47"/>
      <c r="I92" s="116"/>
      <c r="J92" s="45"/>
      <c r="K92" s="45"/>
      <c r="L92" s="73"/>
      <c r="M92" s="118"/>
      <c r="N92" s="119"/>
      <c r="O92" s="113"/>
      <c r="P92" s="115"/>
      <c r="Q92"/>
      <c r="R92"/>
      <c r="S92" s="114"/>
      <c r="T92" s="110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22"/>
      <c r="DK92" s="22"/>
      <c r="DL92" s="22"/>
      <c r="DM92" s="22"/>
      <c r="DN92" s="22"/>
      <c r="DO92" s="22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22"/>
      <c r="EC92" s="22"/>
      <c r="ED92" s="22"/>
      <c r="EE92" s="22"/>
      <c r="EF92" s="22"/>
      <c r="EG92" s="22"/>
      <c r="EH92" s="22"/>
      <c r="EI92" s="22"/>
      <c r="EJ92" s="22"/>
      <c r="EK92" s="22"/>
      <c r="EL92" s="22"/>
      <c r="EM92" s="22"/>
      <c r="EN92" s="22"/>
      <c r="EO92" s="22"/>
      <c r="EP92" s="22"/>
      <c r="EQ92" s="22"/>
      <c r="ER92" s="22"/>
      <c r="ES92" s="22"/>
      <c r="ET92" s="22"/>
      <c r="EU92" s="22"/>
      <c r="EV92" s="22"/>
      <c r="EW92" s="22"/>
      <c r="EX92" s="22"/>
      <c r="EY92" s="22"/>
      <c r="EZ92" s="22"/>
      <c r="FA92" s="22"/>
      <c r="FB92" s="22"/>
      <c r="FC92" s="22"/>
      <c r="FD92" s="22"/>
      <c r="FE92" s="22"/>
      <c r="FF92" s="22"/>
      <c r="FG92" s="22"/>
      <c r="FH92" s="22"/>
      <c r="FI92" s="22"/>
      <c r="FJ92" s="22"/>
      <c r="FK92" s="22"/>
      <c r="FL92" s="22"/>
      <c r="FM92" s="22"/>
      <c r="FN92" s="22"/>
      <c r="FO92" s="22"/>
      <c r="FP92" s="22"/>
      <c r="FQ92" s="22"/>
      <c r="FR92" s="22"/>
      <c r="FS92" s="22"/>
      <c r="FT92" s="22"/>
      <c r="FU92" s="22"/>
      <c r="FV92" s="22"/>
      <c r="FW92" s="22"/>
      <c r="FX92" s="22"/>
      <c r="FY92" s="22"/>
      <c r="FZ92" s="22"/>
      <c r="GA92" s="22"/>
      <c r="GB92" s="22"/>
      <c r="GC92" s="22"/>
      <c r="GD92" s="22"/>
      <c r="GE92" s="22"/>
      <c r="GF92" s="22"/>
      <c r="GG92" s="22"/>
      <c r="GH92" s="22"/>
      <c r="GI92" s="22"/>
      <c r="GJ92" s="22"/>
      <c r="GK92" s="22"/>
      <c r="GL92" s="22"/>
      <c r="GM92" s="22"/>
      <c r="GN92" s="22"/>
      <c r="GO92" s="22"/>
      <c r="GP92" s="22"/>
      <c r="GQ92" s="22"/>
      <c r="GR92" s="22"/>
      <c r="GS92" s="22"/>
      <c r="GT92" s="22"/>
      <c r="GU92" s="22"/>
      <c r="GV92" s="22"/>
      <c r="GW92" s="22"/>
      <c r="GX92" s="22"/>
      <c r="GY92" s="22"/>
      <c r="GZ92" s="22"/>
      <c r="HA92" s="22"/>
      <c r="HB92" s="22"/>
      <c r="HC92" s="22"/>
    </row>
    <row r="93" spans="1:211" ht="15" customHeight="1" x14ac:dyDescent="0.2">
      <c r="A93" s="22"/>
      <c r="B93" s="14"/>
      <c r="C93" s="73"/>
      <c r="D93" s="46"/>
      <c r="E93" s="46"/>
      <c r="F93" s="120"/>
      <c r="G93" s="120"/>
      <c r="H93" s="47"/>
      <c r="I93" s="116"/>
      <c r="J93" s="45"/>
      <c r="K93" s="45"/>
      <c r="L93" s="73"/>
      <c r="M93" s="118"/>
      <c r="N93" s="119"/>
      <c r="O93" s="113"/>
      <c r="P93" s="115"/>
      <c r="Q93"/>
      <c r="R93"/>
      <c r="S93" s="114"/>
      <c r="T93" s="110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  <c r="CZ93" s="22"/>
      <c r="DA93" s="22"/>
      <c r="DB93" s="22"/>
      <c r="DC93" s="22"/>
      <c r="DD93" s="22"/>
      <c r="DE93" s="22"/>
      <c r="DF93" s="22"/>
      <c r="DG93" s="22"/>
      <c r="DH93" s="22"/>
      <c r="DI93" s="22"/>
      <c r="DJ93" s="22"/>
      <c r="DK93" s="22"/>
      <c r="DL93" s="22"/>
      <c r="DM93" s="22"/>
      <c r="DN93" s="22"/>
      <c r="DO93" s="22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22"/>
      <c r="EC93" s="22"/>
      <c r="ED93" s="22"/>
      <c r="EE93" s="22"/>
      <c r="EF93" s="22"/>
      <c r="EG93" s="22"/>
      <c r="EH93" s="22"/>
      <c r="EI93" s="22"/>
      <c r="EJ93" s="22"/>
      <c r="EK93" s="22"/>
      <c r="EL93" s="22"/>
      <c r="EM93" s="22"/>
      <c r="EN93" s="22"/>
      <c r="EO93" s="22"/>
      <c r="EP93" s="22"/>
      <c r="EQ93" s="22"/>
      <c r="ER93" s="22"/>
      <c r="ES93" s="22"/>
      <c r="ET93" s="22"/>
      <c r="EU93" s="22"/>
      <c r="EV93" s="22"/>
      <c r="EW93" s="22"/>
      <c r="EX93" s="22"/>
      <c r="EY93" s="22"/>
      <c r="EZ93" s="22"/>
      <c r="FA93" s="22"/>
      <c r="FB93" s="22"/>
      <c r="FC93" s="22"/>
      <c r="FD93" s="22"/>
      <c r="FE93" s="22"/>
      <c r="FF93" s="22"/>
      <c r="FG93" s="22"/>
      <c r="FH93" s="22"/>
      <c r="FI93" s="22"/>
      <c r="FJ93" s="22"/>
      <c r="FK93" s="22"/>
      <c r="FL93" s="22"/>
      <c r="FM93" s="22"/>
      <c r="FN93" s="22"/>
      <c r="FO93" s="22"/>
      <c r="FP93" s="22"/>
      <c r="FQ93" s="22"/>
      <c r="FR93" s="22"/>
      <c r="FS93" s="22"/>
      <c r="FT93" s="22"/>
      <c r="FU93" s="22"/>
      <c r="FV93" s="22"/>
      <c r="FW93" s="22"/>
      <c r="FX93" s="22"/>
      <c r="FY93" s="22"/>
      <c r="FZ93" s="22"/>
      <c r="GA93" s="22"/>
      <c r="GB93" s="22"/>
      <c r="GC93" s="22"/>
      <c r="GD93" s="22"/>
      <c r="GE93" s="22"/>
      <c r="GF93" s="22"/>
      <c r="GG93" s="22"/>
      <c r="GH93" s="22"/>
      <c r="GI93" s="22"/>
      <c r="GJ93" s="22"/>
      <c r="GK93" s="22"/>
      <c r="GL93" s="22"/>
      <c r="GM93" s="22"/>
      <c r="GN93" s="22"/>
      <c r="GO93" s="22"/>
      <c r="GP93" s="22"/>
      <c r="GQ93" s="22"/>
      <c r="GR93" s="22"/>
      <c r="GS93" s="22"/>
      <c r="GT93" s="22"/>
      <c r="GU93" s="22"/>
      <c r="GV93" s="22"/>
      <c r="GW93" s="22"/>
      <c r="GX93" s="22"/>
      <c r="GY93" s="22"/>
      <c r="GZ93" s="22"/>
      <c r="HA93" s="22"/>
      <c r="HB93" s="22"/>
      <c r="HC93" s="22"/>
    </row>
    <row r="94" spans="1:211" ht="15" customHeight="1" x14ac:dyDescent="0.2">
      <c r="A94" s="22"/>
      <c r="B94" s="14"/>
      <c r="C94" s="73"/>
      <c r="D94" s="46"/>
      <c r="E94" s="46"/>
      <c r="F94" s="120"/>
      <c r="G94" s="120"/>
      <c r="H94" s="47"/>
      <c r="I94" s="116"/>
      <c r="J94" s="45"/>
      <c r="K94" s="45"/>
      <c r="L94" s="73"/>
      <c r="M94" s="118"/>
      <c r="N94" s="119"/>
      <c r="O94" s="113"/>
      <c r="P94" s="115"/>
      <c r="Q94"/>
      <c r="R94"/>
      <c r="S94" s="114"/>
      <c r="T94" s="110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2"/>
      <c r="CR94" s="22"/>
      <c r="CS94" s="22"/>
      <c r="CT94" s="22"/>
      <c r="CU94" s="22"/>
      <c r="CV94" s="22"/>
      <c r="CW94" s="22"/>
      <c r="CX94" s="22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22"/>
      <c r="DK94" s="22"/>
      <c r="DL94" s="22"/>
      <c r="DM94" s="22"/>
      <c r="DN94" s="22"/>
      <c r="DO94" s="22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22"/>
      <c r="EC94" s="22"/>
      <c r="ED94" s="22"/>
      <c r="EE94" s="22"/>
      <c r="EF94" s="22"/>
      <c r="EG94" s="22"/>
      <c r="EH94" s="22"/>
      <c r="EI94" s="22"/>
      <c r="EJ94" s="22"/>
      <c r="EK94" s="22"/>
      <c r="EL94" s="22"/>
      <c r="EM94" s="22"/>
      <c r="EN94" s="22"/>
      <c r="EO94" s="22"/>
      <c r="EP94" s="22"/>
      <c r="EQ94" s="22"/>
      <c r="ER94" s="22"/>
      <c r="ES94" s="22"/>
      <c r="ET94" s="22"/>
      <c r="EU94" s="22"/>
      <c r="EV94" s="22"/>
      <c r="EW94" s="22"/>
      <c r="EX94" s="22"/>
      <c r="EY94" s="22"/>
      <c r="EZ94" s="22"/>
      <c r="FA94" s="22"/>
      <c r="FB94" s="22"/>
      <c r="FC94" s="22"/>
      <c r="FD94" s="22"/>
      <c r="FE94" s="22"/>
      <c r="FF94" s="22"/>
      <c r="FG94" s="22"/>
      <c r="FH94" s="22"/>
      <c r="FI94" s="22"/>
      <c r="FJ94" s="22"/>
      <c r="FK94" s="22"/>
      <c r="FL94" s="22"/>
      <c r="FM94" s="22"/>
      <c r="FN94" s="22"/>
      <c r="FO94" s="22"/>
      <c r="FP94" s="22"/>
      <c r="FQ94" s="22"/>
      <c r="FR94" s="22"/>
      <c r="FS94" s="22"/>
      <c r="FT94" s="22"/>
      <c r="FU94" s="22"/>
      <c r="FV94" s="22"/>
      <c r="FW94" s="22"/>
      <c r="FX94" s="22"/>
      <c r="FY94" s="22"/>
      <c r="FZ94" s="22"/>
      <c r="GA94" s="22"/>
      <c r="GB94" s="22"/>
      <c r="GC94" s="22"/>
      <c r="GD94" s="22"/>
      <c r="GE94" s="22"/>
      <c r="GF94" s="22"/>
      <c r="GG94" s="22"/>
      <c r="GH94" s="22"/>
      <c r="GI94" s="22"/>
      <c r="GJ94" s="22"/>
      <c r="GK94" s="22"/>
      <c r="GL94" s="22"/>
      <c r="GM94" s="22"/>
      <c r="GN94" s="22"/>
      <c r="GO94" s="22"/>
      <c r="GP94" s="22"/>
      <c r="GQ94" s="22"/>
      <c r="GR94" s="22"/>
      <c r="GS94" s="22"/>
      <c r="GT94" s="22"/>
      <c r="GU94" s="22"/>
      <c r="GV94" s="22"/>
      <c r="GW94" s="22"/>
      <c r="GX94" s="22"/>
      <c r="GY94" s="22"/>
      <c r="GZ94" s="22"/>
      <c r="HA94" s="22"/>
      <c r="HB94" s="22"/>
      <c r="HC94" s="22"/>
    </row>
    <row r="95" spans="1:211" ht="15" customHeight="1" x14ac:dyDescent="0.2">
      <c r="A95" s="22"/>
      <c r="B95" s="14"/>
      <c r="C95" s="73"/>
      <c r="D95" s="46"/>
      <c r="E95" s="46"/>
      <c r="F95" s="120"/>
      <c r="G95" s="120"/>
      <c r="H95" s="47"/>
      <c r="I95" s="116"/>
      <c r="J95" s="45"/>
      <c r="K95" s="73"/>
      <c r="L95" s="73"/>
      <c r="M95" s="118"/>
      <c r="N95" s="119"/>
      <c r="O95" s="113"/>
      <c r="P95" s="115"/>
      <c r="Q95"/>
      <c r="R95"/>
      <c r="S95" s="114"/>
      <c r="T95" s="110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2"/>
      <c r="CD95" s="22"/>
      <c r="CE95" s="22"/>
      <c r="CF95" s="22"/>
      <c r="CG95" s="22"/>
      <c r="CH95" s="22"/>
      <c r="CI95" s="22"/>
      <c r="CJ95" s="22"/>
      <c r="CK95" s="22"/>
      <c r="CL95" s="22"/>
      <c r="CM95" s="22"/>
      <c r="CN95" s="22"/>
      <c r="CO95" s="22"/>
      <c r="CP95" s="22"/>
      <c r="CQ95" s="22"/>
      <c r="CR95" s="22"/>
      <c r="CS95" s="22"/>
      <c r="CT95" s="22"/>
      <c r="CU95" s="22"/>
      <c r="CV95" s="22"/>
      <c r="CW95" s="22"/>
      <c r="CX95" s="22"/>
      <c r="CY95" s="22"/>
      <c r="CZ95" s="22"/>
      <c r="DA95" s="22"/>
      <c r="DB95" s="22"/>
      <c r="DC95" s="22"/>
      <c r="DD95" s="22"/>
      <c r="DE95" s="22"/>
      <c r="DF95" s="22"/>
      <c r="DG95" s="22"/>
      <c r="DH95" s="22"/>
      <c r="DI95" s="22"/>
      <c r="DJ95" s="22"/>
      <c r="DK95" s="22"/>
      <c r="DL95" s="22"/>
      <c r="DM95" s="22"/>
      <c r="DN95" s="22"/>
      <c r="DO95" s="22"/>
      <c r="DP95" s="22"/>
      <c r="DQ95" s="22"/>
      <c r="DR95" s="22"/>
      <c r="DS95" s="22"/>
      <c r="DT95" s="22"/>
      <c r="DU95" s="22"/>
      <c r="DV95" s="22"/>
      <c r="DW95" s="22"/>
      <c r="DX95" s="22"/>
      <c r="DY95" s="22"/>
      <c r="DZ95" s="22"/>
      <c r="EA95" s="22"/>
      <c r="EB95" s="22"/>
      <c r="EC95" s="22"/>
      <c r="ED95" s="22"/>
      <c r="EE95" s="22"/>
      <c r="EF95" s="22"/>
      <c r="EG95" s="22"/>
      <c r="EH95" s="22"/>
      <c r="EI95" s="22"/>
      <c r="EJ95" s="22"/>
      <c r="EK95" s="22"/>
      <c r="EL95" s="22"/>
      <c r="EM95" s="22"/>
      <c r="EN95" s="22"/>
      <c r="EO95" s="22"/>
      <c r="EP95" s="22"/>
      <c r="EQ95" s="22"/>
      <c r="ER95" s="22"/>
      <c r="ES95" s="22"/>
      <c r="ET95" s="22"/>
      <c r="EU95" s="22"/>
      <c r="EV95" s="22"/>
      <c r="EW95" s="22"/>
      <c r="EX95" s="22"/>
      <c r="EY95" s="22"/>
      <c r="EZ95" s="22"/>
      <c r="FA95" s="22"/>
      <c r="FB95" s="22"/>
      <c r="FC95" s="22"/>
      <c r="FD95" s="22"/>
      <c r="FE95" s="22"/>
      <c r="FF95" s="22"/>
      <c r="FG95" s="22"/>
      <c r="FH95" s="22"/>
      <c r="FI95" s="22"/>
      <c r="FJ95" s="22"/>
      <c r="FK95" s="22"/>
      <c r="FL95" s="22"/>
      <c r="FM95" s="22"/>
      <c r="FN95" s="22"/>
      <c r="FO95" s="22"/>
      <c r="FP95" s="22"/>
      <c r="FQ95" s="22"/>
      <c r="FR95" s="22"/>
      <c r="FS95" s="22"/>
      <c r="FT95" s="22"/>
      <c r="FU95" s="22"/>
      <c r="FV95" s="22"/>
      <c r="FW95" s="22"/>
      <c r="FX95" s="22"/>
      <c r="FY95" s="22"/>
      <c r="FZ95" s="22"/>
      <c r="GA95" s="22"/>
      <c r="GB95" s="22"/>
      <c r="GC95" s="22"/>
      <c r="GD95" s="22"/>
      <c r="GE95" s="22"/>
      <c r="GF95" s="22"/>
      <c r="GG95" s="22"/>
      <c r="GH95" s="22"/>
      <c r="GI95" s="22"/>
      <c r="GJ95" s="22"/>
      <c r="GK95" s="22"/>
      <c r="GL95" s="22"/>
      <c r="GM95" s="22"/>
      <c r="GN95" s="22"/>
      <c r="GO95" s="22"/>
      <c r="GP95" s="22"/>
      <c r="GQ95" s="22"/>
      <c r="GR95" s="22"/>
      <c r="GS95" s="22"/>
      <c r="GT95" s="22"/>
      <c r="GU95" s="22"/>
      <c r="GV95" s="22"/>
      <c r="GW95" s="22"/>
      <c r="GX95" s="22"/>
      <c r="GY95" s="22"/>
      <c r="GZ95" s="22"/>
      <c r="HA95" s="22"/>
      <c r="HB95" s="22"/>
      <c r="HC95" s="22"/>
    </row>
    <row r="96" spans="1:211" ht="15" customHeight="1" x14ac:dyDescent="0.2">
      <c r="A96" s="22"/>
      <c r="B96" s="14"/>
      <c r="C96" s="73"/>
      <c r="D96" s="46"/>
      <c r="E96" s="46"/>
      <c r="F96" s="120"/>
      <c r="G96" s="120"/>
      <c r="H96" s="47"/>
      <c r="I96" s="116"/>
      <c r="J96" s="45"/>
      <c r="K96" s="45"/>
      <c r="L96" s="73"/>
      <c r="M96" s="118"/>
      <c r="N96" s="119"/>
      <c r="O96" s="113"/>
      <c r="P96" s="115"/>
      <c r="Q96"/>
      <c r="R96"/>
      <c r="S96" s="114"/>
      <c r="T96" s="110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  <c r="BS96" s="22"/>
      <c r="BT96" s="22"/>
      <c r="BU96" s="22"/>
      <c r="BV96" s="22"/>
      <c r="BW96" s="22"/>
      <c r="BX96" s="22"/>
      <c r="BY96" s="22"/>
      <c r="BZ96" s="22"/>
      <c r="CA96" s="22"/>
      <c r="CB96" s="22"/>
      <c r="CC96" s="22"/>
      <c r="CD96" s="22"/>
      <c r="CE96" s="22"/>
      <c r="CF96" s="22"/>
      <c r="CG96" s="22"/>
      <c r="CH96" s="22"/>
      <c r="CI96" s="22"/>
      <c r="CJ96" s="22"/>
      <c r="CK96" s="22"/>
      <c r="CL96" s="22"/>
      <c r="CM96" s="22"/>
      <c r="CN96" s="22"/>
      <c r="CO96" s="22"/>
      <c r="CP96" s="22"/>
      <c r="CQ96" s="22"/>
      <c r="CR96" s="22"/>
      <c r="CS96" s="22"/>
      <c r="CT96" s="22"/>
      <c r="CU96" s="22"/>
      <c r="CV96" s="22"/>
      <c r="CW96" s="22"/>
      <c r="CX96" s="22"/>
      <c r="CY96" s="22"/>
      <c r="CZ96" s="22"/>
      <c r="DA96" s="22"/>
      <c r="DB96" s="22"/>
      <c r="DC96" s="22"/>
      <c r="DD96" s="22"/>
      <c r="DE96" s="22"/>
      <c r="DF96" s="22"/>
      <c r="DG96" s="22"/>
      <c r="DH96" s="22"/>
      <c r="DI96" s="22"/>
      <c r="DJ96" s="22"/>
      <c r="DK96" s="22"/>
      <c r="DL96" s="22"/>
      <c r="DM96" s="22"/>
      <c r="DN96" s="22"/>
      <c r="DO96" s="22"/>
      <c r="DP96" s="22"/>
      <c r="DQ96" s="22"/>
      <c r="DR96" s="22"/>
      <c r="DS96" s="22"/>
      <c r="DT96" s="22"/>
      <c r="DU96" s="22"/>
      <c r="DV96" s="22"/>
      <c r="DW96" s="22"/>
      <c r="DX96" s="22"/>
      <c r="DY96" s="22"/>
      <c r="DZ96" s="22"/>
      <c r="EA96" s="22"/>
      <c r="EB96" s="22"/>
      <c r="EC96" s="22"/>
      <c r="ED96" s="22"/>
      <c r="EE96" s="22"/>
      <c r="EF96" s="22"/>
      <c r="EG96" s="22"/>
      <c r="EH96" s="22"/>
      <c r="EI96" s="22"/>
      <c r="EJ96" s="22"/>
      <c r="EK96" s="22"/>
      <c r="EL96" s="22"/>
      <c r="EM96" s="22"/>
      <c r="EN96" s="22"/>
      <c r="EO96" s="22"/>
      <c r="EP96" s="22"/>
      <c r="EQ96" s="22"/>
      <c r="ER96" s="22"/>
      <c r="ES96" s="22"/>
      <c r="ET96" s="22"/>
      <c r="EU96" s="22"/>
      <c r="EV96" s="22"/>
      <c r="EW96" s="22"/>
      <c r="EX96" s="22"/>
      <c r="EY96" s="22"/>
      <c r="EZ96" s="22"/>
      <c r="FA96" s="22"/>
      <c r="FB96" s="22"/>
      <c r="FC96" s="22"/>
      <c r="FD96" s="22"/>
      <c r="FE96" s="22"/>
      <c r="FF96" s="22"/>
      <c r="FG96" s="22"/>
      <c r="FH96" s="22"/>
      <c r="FI96" s="22"/>
      <c r="FJ96" s="22"/>
      <c r="FK96" s="22"/>
      <c r="FL96" s="22"/>
      <c r="FM96" s="22"/>
      <c r="FN96" s="22"/>
      <c r="FO96" s="22"/>
      <c r="FP96" s="22"/>
      <c r="FQ96" s="22"/>
      <c r="FR96" s="22"/>
      <c r="FS96" s="22"/>
      <c r="FT96" s="22"/>
      <c r="FU96" s="22"/>
      <c r="FV96" s="22"/>
      <c r="FW96" s="22"/>
      <c r="FX96" s="22"/>
      <c r="FY96" s="22"/>
      <c r="FZ96" s="22"/>
      <c r="GA96" s="22"/>
      <c r="GB96" s="22"/>
      <c r="GC96" s="22"/>
      <c r="GD96" s="22"/>
      <c r="GE96" s="22"/>
      <c r="GF96" s="22"/>
      <c r="GG96" s="22"/>
      <c r="GH96" s="22"/>
      <c r="GI96" s="22"/>
      <c r="GJ96" s="22"/>
      <c r="GK96" s="22"/>
      <c r="GL96" s="22"/>
      <c r="GM96" s="22"/>
      <c r="GN96" s="22"/>
      <c r="GO96" s="22"/>
      <c r="GP96" s="22"/>
      <c r="GQ96" s="22"/>
      <c r="GR96" s="22"/>
      <c r="GS96" s="22"/>
      <c r="GT96" s="22"/>
      <c r="GU96" s="22"/>
      <c r="GV96" s="22"/>
      <c r="GW96" s="22"/>
      <c r="GX96" s="22"/>
      <c r="GY96" s="22"/>
      <c r="GZ96" s="22"/>
      <c r="HA96" s="22"/>
      <c r="HB96" s="22"/>
      <c r="HC96" s="22"/>
    </row>
    <row r="97" spans="1:211" ht="15" customHeight="1" x14ac:dyDescent="0.2">
      <c r="A97" s="22"/>
      <c r="B97" s="14"/>
      <c r="C97" s="73"/>
      <c r="D97" s="46"/>
      <c r="E97" s="46"/>
      <c r="F97" s="120"/>
      <c r="G97" s="120"/>
      <c r="H97" s="47"/>
      <c r="I97" s="116"/>
      <c r="J97" s="45"/>
      <c r="K97" s="45"/>
      <c r="L97" s="73"/>
      <c r="M97" s="118"/>
      <c r="N97" s="119"/>
      <c r="O97" s="113"/>
      <c r="P97" s="115"/>
      <c r="Q97"/>
      <c r="R97"/>
      <c r="S97" s="114"/>
      <c r="T97" s="110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  <c r="BS97" s="22"/>
      <c r="BT97" s="22"/>
      <c r="BU97" s="22"/>
      <c r="BV97" s="22"/>
      <c r="BW97" s="22"/>
      <c r="BX97" s="22"/>
      <c r="BY97" s="22"/>
      <c r="BZ97" s="22"/>
      <c r="CA97" s="22"/>
      <c r="CB97" s="22"/>
      <c r="CC97" s="22"/>
      <c r="CD97" s="22"/>
      <c r="CE97" s="22"/>
      <c r="CF97" s="22"/>
      <c r="CG97" s="22"/>
      <c r="CH97" s="22"/>
      <c r="CI97" s="22"/>
      <c r="CJ97" s="22"/>
      <c r="CK97" s="22"/>
      <c r="CL97" s="22"/>
      <c r="CM97" s="22"/>
      <c r="CN97" s="22"/>
      <c r="CO97" s="22"/>
      <c r="CP97" s="22"/>
      <c r="CQ97" s="22"/>
      <c r="CR97" s="22"/>
      <c r="CS97" s="22"/>
      <c r="CT97" s="22"/>
      <c r="CU97" s="22"/>
      <c r="CV97" s="22"/>
      <c r="CW97" s="22"/>
      <c r="CX97" s="22"/>
      <c r="CY97" s="22"/>
      <c r="CZ97" s="22"/>
      <c r="DA97" s="22"/>
      <c r="DB97" s="22"/>
      <c r="DC97" s="22"/>
      <c r="DD97" s="22"/>
      <c r="DE97" s="22"/>
      <c r="DF97" s="22"/>
      <c r="DG97" s="22"/>
      <c r="DH97" s="22"/>
      <c r="DI97" s="22"/>
      <c r="DJ97" s="22"/>
      <c r="DK97" s="22"/>
      <c r="DL97" s="22"/>
      <c r="DM97" s="22"/>
      <c r="DN97" s="22"/>
      <c r="DO97" s="22"/>
      <c r="DP97" s="22"/>
      <c r="DQ97" s="22"/>
      <c r="DR97" s="22"/>
      <c r="DS97" s="22"/>
      <c r="DT97" s="22"/>
      <c r="DU97" s="22"/>
      <c r="DV97" s="22"/>
      <c r="DW97" s="22"/>
      <c r="DX97" s="22"/>
      <c r="DY97" s="22"/>
      <c r="DZ97" s="22"/>
      <c r="EA97" s="22"/>
      <c r="EB97" s="22"/>
      <c r="EC97" s="22"/>
      <c r="ED97" s="22"/>
      <c r="EE97" s="22"/>
      <c r="EF97" s="22"/>
      <c r="EG97" s="22"/>
      <c r="EH97" s="22"/>
      <c r="EI97" s="22"/>
      <c r="EJ97" s="22"/>
      <c r="EK97" s="22"/>
      <c r="EL97" s="22"/>
      <c r="EM97" s="22"/>
      <c r="EN97" s="22"/>
      <c r="EO97" s="22"/>
      <c r="EP97" s="22"/>
      <c r="EQ97" s="22"/>
      <c r="ER97" s="22"/>
      <c r="ES97" s="22"/>
      <c r="ET97" s="22"/>
      <c r="EU97" s="22"/>
      <c r="EV97" s="22"/>
      <c r="EW97" s="22"/>
      <c r="EX97" s="22"/>
      <c r="EY97" s="22"/>
      <c r="EZ97" s="22"/>
      <c r="FA97" s="22"/>
      <c r="FB97" s="22"/>
      <c r="FC97" s="22"/>
      <c r="FD97" s="22"/>
      <c r="FE97" s="22"/>
      <c r="FF97" s="22"/>
      <c r="FG97" s="22"/>
      <c r="FH97" s="22"/>
      <c r="FI97" s="22"/>
      <c r="FJ97" s="22"/>
      <c r="FK97" s="22"/>
      <c r="FL97" s="22"/>
      <c r="FM97" s="22"/>
      <c r="FN97" s="22"/>
      <c r="FO97" s="22"/>
      <c r="FP97" s="22"/>
      <c r="FQ97" s="22"/>
      <c r="FR97" s="22"/>
      <c r="FS97" s="22"/>
      <c r="FT97" s="22"/>
      <c r="FU97" s="22"/>
      <c r="FV97" s="22"/>
      <c r="FW97" s="22"/>
      <c r="FX97" s="22"/>
      <c r="FY97" s="22"/>
      <c r="FZ97" s="22"/>
      <c r="GA97" s="22"/>
      <c r="GB97" s="22"/>
      <c r="GC97" s="22"/>
      <c r="GD97" s="22"/>
      <c r="GE97" s="22"/>
      <c r="GF97" s="22"/>
      <c r="GG97" s="22"/>
      <c r="GH97" s="22"/>
      <c r="GI97" s="22"/>
      <c r="GJ97" s="22"/>
      <c r="GK97" s="22"/>
      <c r="GL97" s="22"/>
      <c r="GM97" s="22"/>
      <c r="GN97" s="22"/>
      <c r="GO97" s="22"/>
      <c r="GP97" s="22"/>
      <c r="GQ97" s="22"/>
      <c r="GR97" s="22"/>
      <c r="GS97" s="22"/>
      <c r="GT97" s="22"/>
      <c r="GU97" s="22"/>
      <c r="GV97" s="22"/>
      <c r="GW97" s="22"/>
      <c r="GX97" s="22"/>
      <c r="GY97" s="22"/>
      <c r="GZ97" s="22"/>
      <c r="HA97" s="22"/>
      <c r="HB97" s="22"/>
      <c r="HC97" s="22"/>
    </row>
    <row r="98" spans="1:211" ht="15" customHeight="1" x14ac:dyDescent="0.2">
      <c r="A98" s="22"/>
      <c r="B98" s="14"/>
      <c r="C98" s="73"/>
      <c r="D98" s="46"/>
      <c r="E98" s="46"/>
      <c r="F98" s="120"/>
      <c r="G98" s="120"/>
      <c r="H98" s="47"/>
      <c r="I98" s="116"/>
      <c r="J98" s="45"/>
      <c r="K98" s="45"/>
      <c r="L98" s="73"/>
      <c r="M98" s="118"/>
      <c r="N98" s="119"/>
      <c r="O98" s="113"/>
      <c r="P98" s="115"/>
      <c r="Q98"/>
      <c r="R98"/>
      <c r="S98" s="114"/>
      <c r="T98" s="110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2"/>
      <c r="CD98" s="22"/>
      <c r="CE98" s="22"/>
      <c r="CF98" s="22"/>
      <c r="CG98" s="22"/>
      <c r="CH98" s="22"/>
      <c r="CI98" s="22"/>
      <c r="CJ98" s="22"/>
      <c r="CK98" s="22"/>
      <c r="CL98" s="22"/>
      <c r="CM98" s="22"/>
      <c r="CN98" s="22"/>
      <c r="CO98" s="22"/>
      <c r="CP98" s="22"/>
      <c r="CQ98" s="22"/>
      <c r="CR98" s="22"/>
      <c r="CS98" s="22"/>
      <c r="CT98" s="22"/>
      <c r="CU98" s="22"/>
      <c r="CV98" s="22"/>
      <c r="CW98" s="22"/>
      <c r="CX98" s="22"/>
      <c r="CY98" s="22"/>
      <c r="CZ98" s="22"/>
      <c r="DA98" s="22"/>
      <c r="DB98" s="22"/>
      <c r="DC98" s="22"/>
      <c r="DD98" s="22"/>
      <c r="DE98" s="22"/>
      <c r="DF98" s="22"/>
      <c r="DG98" s="22"/>
      <c r="DH98" s="22"/>
      <c r="DI98" s="22"/>
      <c r="DJ98" s="22"/>
      <c r="DK98" s="22"/>
      <c r="DL98" s="22"/>
      <c r="DM98" s="22"/>
      <c r="DN98" s="22"/>
      <c r="DO98" s="22"/>
      <c r="DP98" s="22"/>
      <c r="DQ98" s="22"/>
      <c r="DR98" s="22"/>
      <c r="DS98" s="22"/>
      <c r="DT98" s="22"/>
      <c r="DU98" s="22"/>
      <c r="DV98" s="22"/>
      <c r="DW98" s="22"/>
      <c r="DX98" s="22"/>
      <c r="DY98" s="22"/>
      <c r="DZ98" s="22"/>
      <c r="EA98" s="22"/>
      <c r="EB98" s="22"/>
      <c r="EC98" s="22"/>
      <c r="ED98" s="22"/>
      <c r="EE98" s="22"/>
      <c r="EF98" s="22"/>
      <c r="EG98" s="22"/>
      <c r="EH98" s="22"/>
      <c r="EI98" s="22"/>
      <c r="EJ98" s="22"/>
      <c r="EK98" s="22"/>
      <c r="EL98" s="22"/>
      <c r="EM98" s="22"/>
      <c r="EN98" s="22"/>
      <c r="EO98" s="22"/>
      <c r="EP98" s="22"/>
      <c r="EQ98" s="22"/>
      <c r="ER98" s="22"/>
      <c r="ES98" s="22"/>
      <c r="ET98" s="22"/>
      <c r="EU98" s="22"/>
      <c r="EV98" s="22"/>
      <c r="EW98" s="22"/>
      <c r="EX98" s="22"/>
      <c r="EY98" s="22"/>
      <c r="EZ98" s="22"/>
      <c r="FA98" s="22"/>
      <c r="FB98" s="22"/>
      <c r="FC98" s="22"/>
      <c r="FD98" s="22"/>
      <c r="FE98" s="22"/>
      <c r="FF98" s="22"/>
      <c r="FG98" s="22"/>
      <c r="FH98" s="22"/>
      <c r="FI98" s="22"/>
      <c r="FJ98" s="22"/>
      <c r="FK98" s="22"/>
      <c r="FL98" s="22"/>
      <c r="FM98" s="22"/>
      <c r="FN98" s="22"/>
      <c r="FO98" s="22"/>
      <c r="FP98" s="22"/>
      <c r="FQ98" s="22"/>
      <c r="FR98" s="22"/>
      <c r="FS98" s="22"/>
      <c r="FT98" s="22"/>
      <c r="FU98" s="22"/>
      <c r="FV98" s="22"/>
      <c r="FW98" s="22"/>
      <c r="FX98" s="22"/>
      <c r="FY98" s="22"/>
      <c r="FZ98" s="22"/>
      <c r="GA98" s="22"/>
      <c r="GB98" s="22"/>
      <c r="GC98" s="22"/>
      <c r="GD98" s="22"/>
      <c r="GE98" s="22"/>
      <c r="GF98" s="22"/>
      <c r="GG98" s="22"/>
      <c r="GH98" s="22"/>
      <c r="GI98" s="22"/>
      <c r="GJ98" s="22"/>
      <c r="GK98" s="22"/>
      <c r="GL98" s="22"/>
      <c r="GM98" s="22"/>
      <c r="GN98" s="22"/>
      <c r="GO98" s="22"/>
      <c r="GP98" s="22"/>
      <c r="GQ98" s="22"/>
      <c r="GR98" s="22"/>
      <c r="GS98" s="22"/>
      <c r="GT98" s="22"/>
      <c r="GU98" s="22"/>
      <c r="GV98" s="22"/>
      <c r="GW98" s="22"/>
      <c r="GX98" s="22"/>
      <c r="GY98" s="22"/>
      <c r="GZ98" s="22"/>
      <c r="HA98" s="22"/>
      <c r="HB98" s="22"/>
      <c r="HC98" s="22"/>
    </row>
    <row r="99" spans="1:211" ht="15" customHeight="1" x14ac:dyDescent="0.2">
      <c r="A99" s="22"/>
      <c r="B99" s="14"/>
      <c r="C99" s="73"/>
      <c r="D99" s="46"/>
      <c r="E99" s="46"/>
      <c r="F99" s="120"/>
      <c r="G99" s="120"/>
      <c r="H99" s="47"/>
      <c r="I99" s="116"/>
      <c r="J99" s="45"/>
      <c r="K99" s="45"/>
      <c r="L99" s="73"/>
      <c r="M99" s="118"/>
      <c r="N99" s="119"/>
      <c r="O99" s="113"/>
      <c r="P99" s="115"/>
      <c r="Q99"/>
      <c r="R99"/>
      <c r="S99" s="114"/>
      <c r="T99" s="110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  <c r="BS99" s="22"/>
      <c r="BT99" s="22"/>
      <c r="BU99" s="22"/>
      <c r="BV99" s="22"/>
      <c r="BW99" s="22"/>
      <c r="BX99" s="22"/>
      <c r="BY99" s="22"/>
      <c r="BZ99" s="22"/>
      <c r="CA99" s="22"/>
      <c r="CB99" s="22"/>
      <c r="CC99" s="22"/>
      <c r="CD99" s="22"/>
      <c r="CE99" s="22"/>
      <c r="CF99" s="22"/>
      <c r="CG99" s="22"/>
      <c r="CH99" s="22"/>
      <c r="CI99" s="22"/>
      <c r="CJ99" s="22"/>
      <c r="CK99" s="22"/>
      <c r="CL99" s="22"/>
      <c r="CM99" s="22"/>
      <c r="CN99" s="22"/>
      <c r="CO99" s="22"/>
      <c r="CP99" s="22"/>
      <c r="CQ99" s="22"/>
      <c r="CR99" s="22"/>
      <c r="CS99" s="22"/>
      <c r="CT99" s="22"/>
      <c r="CU99" s="22"/>
      <c r="CV99" s="22"/>
      <c r="CW99" s="22"/>
      <c r="CX99" s="22"/>
      <c r="CY99" s="22"/>
      <c r="CZ99" s="22"/>
      <c r="DA99" s="22"/>
      <c r="DB99" s="22"/>
      <c r="DC99" s="22"/>
      <c r="DD99" s="22"/>
      <c r="DE99" s="22"/>
      <c r="DF99" s="22"/>
      <c r="DG99" s="22"/>
      <c r="DH99" s="22"/>
      <c r="DI99" s="22"/>
      <c r="DJ99" s="22"/>
      <c r="DK99" s="22"/>
      <c r="DL99" s="22"/>
      <c r="DM99" s="22"/>
      <c r="DN99" s="22"/>
      <c r="DO99" s="22"/>
      <c r="DP99" s="22"/>
      <c r="DQ99" s="22"/>
      <c r="DR99" s="22"/>
      <c r="DS99" s="22"/>
      <c r="DT99" s="22"/>
      <c r="DU99" s="22"/>
      <c r="DV99" s="22"/>
      <c r="DW99" s="22"/>
      <c r="DX99" s="22"/>
      <c r="DY99" s="22"/>
      <c r="DZ99" s="22"/>
      <c r="EA99" s="22"/>
      <c r="EB99" s="22"/>
      <c r="EC99" s="22"/>
      <c r="ED99" s="22"/>
      <c r="EE99" s="22"/>
      <c r="EF99" s="22"/>
      <c r="EG99" s="22"/>
      <c r="EH99" s="22"/>
      <c r="EI99" s="22"/>
      <c r="EJ99" s="22"/>
      <c r="EK99" s="22"/>
      <c r="EL99" s="22"/>
      <c r="EM99" s="22"/>
      <c r="EN99" s="22"/>
      <c r="EO99" s="22"/>
      <c r="EP99" s="22"/>
      <c r="EQ99" s="22"/>
      <c r="ER99" s="22"/>
      <c r="ES99" s="22"/>
      <c r="ET99" s="22"/>
      <c r="EU99" s="22"/>
      <c r="EV99" s="22"/>
      <c r="EW99" s="22"/>
      <c r="EX99" s="22"/>
      <c r="EY99" s="22"/>
      <c r="EZ99" s="22"/>
      <c r="FA99" s="22"/>
      <c r="FB99" s="22"/>
      <c r="FC99" s="22"/>
      <c r="FD99" s="22"/>
      <c r="FE99" s="22"/>
      <c r="FF99" s="22"/>
      <c r="FG99" s="22"/>
      <c r="FH99" s="22"/>
      <c r="FI99" s="22"/>
      <c r="FJ99" s="22"/>
      <c r="FK99" s="22"/>
      <c r="FL99" s="22"/>
      <c r="FM99" s="22"/>
      <c r="FN99" s="22"/>
      <c r="FO99" s="22"/>
      <c r="FP99" s="22"/>
      <c r="FQ99" s="22"/>
      <c r="FR99" s="22"/>
      <c r="FS99" s="22"/>
      <c r="FT99" s="22"/>
      <c r="FU99" s="22"/>
      <c r="FV99" s="22"/>
      <c r="FW99" s="22"/>
      <c r="FX99" s="22"/>
      <c r="FY99" s="22"/>
      <c r="FZ99" s="22"/>
      <c r="GA99" s="22"/>
      <c r="GB99" s="22"/>
      <c r="GC99" s="22"/>
      <c r="GD99" s="22"/>
      <c r="GE99" s="22"/>
      <c r="GF99" s="22"/>
      <c r="GG99" s="22"/>
      <c r="GH99" s="22"/>
      <c r="GI99" s="22"/>
      <c r="GJ99" s="22"/>
      <c r="GK99" s="22"/>
      <c r="GL99" s="22"/>
      <c r="GM99" s="22"/>
      <c r="GN99" s="22"/>
      <c r="GO99" s="22"/>
      <c r="GP99" s="22"/>
      <c r="GQ99" s="22"/>
      <c r="GR99" s="22"/>
      <c r="GS99" s="22"/>
      <c r="GT99" s="22"/>
      <c r="GU99" s="22"/>
      <c r="GV99" s="22"/>
      <c r="GW99" s="22"/>
      <c r="GX99" s="22"/>
      <c r="GY99" s="22"/>
      <c r="GZ99" s="22"/>
      <c r="HA99" s="22"/>
      <c r="HB99" s="22"/>
      <c r="HC99" s="22"/>
    </row>
    <row r="100" spans="1:211" ht="15" customHeight="1" x14ac:dyDescent="0.2">
      <c r="A100" s="22"/>
      <c r="B100" s="14"/>
      <c r="C100" s="73"/>
      <c r="D100" s="46"/>
      <c r="E100" s="46"/>
      <c r="F100" s="120"/>
      <c r="G100" s="120"/>
      <c r="H100" s="47"/>
      <c r="I100" s="116"/>
      <c r="J100" s="45"/>
      <c r="K100" s="45"/>
      <c r="L100" s="73"/>
      <c r="M100" s="118"/>
      <c r="N100" s="119"/>
      <c r="O100" s="113"/>
      <c r="P100" s="115"/>
      <c r="Q100"/>
      <c r="R100"/>
      <c r="S100" s="114"/>
      <c r="T100" s="110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2"/>
      <c r="CD100" s="22"/>
      <c r="CE100" s="22"/>
      <c r="CF100" s="22"/>
      <c r="CG100" s="22"/>
      <c r="CH100" s="22"/>
      <c r="CI100" s="22"/>
      <c r="CJ100" s="22"/>
      <c r="CK100" s="22"/>
      <c r="CL100" s="22"/>
      <c r="CM100" s="22"/>
      <c r="CN100" s="22"/>
      <c r="CO100" s="22"/>
      <c r="CP100" s="22"/>
      <c r="CQ100" s="22"/>
      <c r="CR100" s="22"/>
      <c r="CS100" s="22"/>
      <c r="CT100" s="22"/>
      <c r="CU100" s="22"/>
      <c r="CV100" s="22"/>
      <c r="CW100" s="22"/>
      <c r="CX100" s="22"/>
      <c r="CY100" s="22"/>
      <c r="CZ100" s="22"/>
      <c r="DA100" s="22"/>
      <c r="DB100" s="22"/>
      <c r="DC100" s="22"/>
      <c r="DD100" s="22"/>
      <c r="DE100" s="22"/>
      <c r="DF100" s="22"/>
      <c r="DG100" s="22"/>
      <c r="DH100" s="22"/>
      <c r="DI100" s="22"/>
      <c r="DJ100" s="22"/>
      <c r="DK100" s="22"/>
      <c r="DL100" s="22"/>
      <c r="DM100" s="22"/>
      <c r="DN100" s="22"/>
      <c r="DO100" s="22"/>
      <c r="DP100" s="22"/>
      <c r="DQ100" s="22"/>
      <c r="DR100" s="22"/>
      <c r="DS100" s="22"/>
      <c r="DT100" s="22"/>
      <c r="DU100" s="22"/>
      <c r="DV100" s="22"/>
      <c r="DW100" s="22"/>
      <c r="DX100" s="22"/>
      <c r="DY100" s="22"/>
      <c r="DZ100" s="22"/>
      <c r="EA100" s="22"/>
      <c r="EB100" s="22"/>
      <c r="EC100" s="22"/>
      <c r="ED100" s="22"/>
      <c r="EE100" s="22"/>
      <c r="EF100" s="22"/>
      <c r="EG100" s="22"/>
      <c r="EH100" s="22"/>
      <c r="EI100" s="22"/>
      <c r="EJ100" s="22"/>
      <c r="EK100" s="22"/>
      <c r="EL100" s="22"/>
      <c r="EM100" s="22"/>
      <c r="EN100" s="22"/>
      <c r="EO100" s="22"/>
      <c r="EP100" s="22"/>
      <c r="EQ100" s="22"/>
      <c r="ER100" s="22"/>
      <c r="ES100" s="22"/>
      <c r="ET100" s="22"/>
      <c r="EU100" s="22"/>
      <c r="EV100" s="22"/>
      <c r="EW100" s="22"/>
      <c r="EX100" s="22"/>
      <c r="EY100" s="22"/>
      <c r="EZ100" s="22"/>
      <c r="FA100" s="22"/>
      <c r="FB100" s="22"/>
      <c r="FC100" s="22"/>
      <c r="FD100" s="22"/>
      <c r="FE100" s="22"/>
      <c r="FF100" s="22"/>
      <c r="FG100" s="22"/>
      <c r="FH100" s="22"/>
      <c r="FI100" s="22"/>
      <c r="FJ100" s="22"/>
      <c r="FK100" s="22"/>
      <c r="FL100" s="22"/>
      <c r="FM100" s="22"/>
      <c r="FN100" s="22"/>
      <c r="FO100" s="22"/>
      <c r="FP100" s="22"/>
      <c r="FQ100" s="22"/>
      <c r="FR100" s="22"/>
      <c r="FS100" s="22"/>
      <c r="FT100" s="22"/>
      <c r="FU100" s="22"/>
      <c r="FV100" s="22"/>
      <c r="FW100" s="22"/>
      <c r="FX100" s="22"/>
      <c r="FY100" s="22"/>
      <c r="FZ100" s="22"/>
      <c r="GA100" s="22"/>
      <c r="GB100" s="22"/>
      <c r="GC100" s="22"/>
      <c r="GD100" s="22"/>
      <c r="GE100" s="22"/>
      <c r="GF100" s="22"/>
      <c r="GG100" s="22"/>
      <c r="GH100" s="22"/>
      <c r="GI100" s="22"/>
      <c r="GJ100" s="22"/>
      <c r="GK100" s="22"/>
      <c r="GL100" s="22"/>
      <c r="GM100" s="22"/>
      <c r="GN100" s="22"/>
      <c r="GO100" s="22"/>
      <c r="GP100" s="22"/>
      <c r="GQ100" s="22"/>
      <c r="GR100" s="22"/>
      <c r="GS100" s="22"/>
      <c r="GT100" s="22"/>
      <c r="GU100" s="22"/>
      <c r="GV100" s="22"/>
      <c r="GW100" s="22"/>
      <c r="GX100" s="22"/>
      <c r="GY100" s="22"/>
      <c r="GZ100" s="22"/>
      <c r="HA100" s="22"/>
      <c r="HB100" s="22"/>
      <c r="HC100" s="22"/>
    </row>
    <row r="101" spans="1:211" ht="15" customHeight="1" x14ac:dyDescent="0.2">
      <c r="A101" s="22"/>
      <c r="B101" s="14"/>
      <c r="C101" s="73"/>
      <c r="D101" s="46"/>
      <c r="E101" s="46"/>
      <c r="F101" s="120"/>
      <c r="G101" s="120"/>
      <c r="H101" s="47"/>
      <c r="I101" s="116"/>
      <c r="J101" s="45"/>
      <c r="K101" s="45"/>
      <c r="L101" s="73"/>
      <c r="M101" s="118"/>
      <c r="N101" s="119"/>
      <c r="O101" s="113"/>
      <c r="P101" s="115"/>
      <c r="Q101"/>
      <c r="R101"/>
      <c r="S101" s="114"/>
      <c r="T101" s="110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  <c r="BS101" s="22"/>
      <c r="BT101" s="22"/>
      <c r="BU101" s="22"/>
      <c r="BV101" s="22"/>
      <c r="BW101" s="22"/>
      <c r="BX101" s="22"/>
      <c r="BY101" s="22"/>
      <c r="BZ101" s="22"/>
      <c r="CA101" s="22"/>
      <c r="CB101" s="22"/>
      <c r="CC101" s="22"/>
      <c r="CD101" s="22"/>
      <c r="CE101" s="22"/>
      <c r="CF101" s="22"/>
      <c r="CG101" s="22"/>
      <c r="CH101" s="22"/>
      <c r="CI101" s="22"/>
      <c r="CJ101" s="22"/>
      <c r="CK101" s="22"/>
      <c r="CL101" s="22"/>
      <c r="CM101" s="22"/>
      <c r="CN101" s="22"/>
      <c r="CO101" s="22"/>
      <c r="CP101" s="22"/>
      <c r="CQ101" s="22"/>
      <c r="CR101" s="22"/>
      <c r="CS101" s="22"/>
      <c r="CT101" s="22"/>
      <c r="CU101" s="22"/>
      <c r="CV101" s="22"/>
      <c r="CW101" s="22"/>
      <c r="CX101" s="22"/>
      <c r="CY101" s="22"/>
      <c r="CZ101" s="22"/>
      <c r="DA101" s="22"/>
      <c r="DB101" s="22"/>
      <c r="DC101" s="22"/>
      <c r="DD101" s="22"/>
      <c r="DE101" s="22"/>
      <c r="DF101" s="22"/>
      <c r="DG101" s="22"/>
      <c r="DH101" s="22"/>
      <c r="DI101" s="22"/>
      <c r="DJ101" s="22"/>
      <c r="DK101" s="22"/>
      <c r="DL101" s="22"/>
      <c r="DM101" s="22"/>
      <c r="DN101" s="22"/>
      <c r="DO101" s="22"/>
      <c r="DP101" s="22"/>
      <c r="DQ101" s="22"/>
      <c r="DR101" s="22"/>
      <c r="DS101" s="22"/>
      <c r="DT101" s="22"/>
      <c r="DU101" s="22"/>
      <c r="DV101" s="22"/>
      <c r="DW101" s="22"/>
      <c r="DX101" s="22"/>
      <c r="DY101" s="22"/>
      <c r="DZ101" s="22"/>
      <c r="EA101" s="22"/>
      <c r="EB101" s="22"/>
      <c r="EC101" s="22"/>
      <c r="ED101" s="22"/>
      <c r="EE101" s="22"/>
      <c r="EF101" s="22"/>
      <c r="EG101" s="22"/>
      <c r="EH101" s="22"/>
      <c r="EI101" s="22"/>
      <c r="EJ101" s="22"/>
      <c r="EK101" s="22"/>
      <c r="EL101" s="22"/>
      <c r="EM101" s="22"/>
      <c r="EN101" s="22"/>
      <c r="EO101" s="22"/>
      <c r="EP101" s="22"/>
      <c r="EQ101" s="22"/>
      <c r="ER101" s="22"/>
      <c r="ES101" s="22"/>
      <c r="ET101" s="22"/>
      <c r="EU101" s="22"/>
      <c r="EV101" s="22"/>
      <c r="EW101" s="22"/>
      <c r="EX101" s="22"/>
      <c r="EY101" s="22"/>
      <c r="EZ101" s="22"/>
      <c r="FA101" s="22"/>
      <c r="FB101" s="22"/>
      <c r="FC101" s="22"/>
      <c r="FD101" s="22"/>
      <c r="FE101" s="22"/>
      <c r="FF101" s="22"/>
      <c r="FG101" s="22"/>
      <c r="FH101" s="22"/>
      <c r="FI101" s="22"/>
      <c r="FJ101" s="22"/>
      <c r="FK101" s="22"/>
      <c r="FL101" s="22"/>
      <c r="FM101" s="22"/>
      <c r="FN101" s="22"/>
      <c r="FO101" s="22"/>
      <c r="FP101" s="22"/>
      <c r="FQ101" s="22"/>
      <c r="FR101" s="22"/>
      <c r="FS101" s="22"/>
      <c r="FT101" s="22"/>
      <c r="FU101" s="22"/>
      <c r="FV101" s="22"/>
      <c r="FW101" s="22"/>
      <c r="FX101" s="22"/>
      <c r="FY101" s="22"/>
      <c r="FZ101" s="22"/>
      <c r="GA101" s="22"/>
      <c r="GB101" s="22"/>
      <c r="GC101" s="22"/>
      <c r="GD101" s="22"/>
      <c r="GE101" s="22"/>
      <c r="GF101" s="22"/>
      <c r="GG101" s="22"/>
      <c r="GH101" s="22"/>
      <c r="GI101" s="22"/>
      <c r="GJ101" s="22"/>
      <c r="GK101" s="22"/>
      <c r="GL101" s="22"/>
      <c r="GM101" s="22"/>
      <c r="GN101" s="22"/>
      <c r="GO101" s="22"/>
      <c r="GP101" s="22"/>
      <c r="GQ101" s="22"/>
      <c r="GR101" s="22"/>
      <c r="GS101" s="22"/>
      <c r="GT101" s="22"/>
      <c r="GU101" s="22"/>
      <c r="GV101" s="22"/>
      <c r="GW101" s="22"/>
      <c r="GX101" s="22"/>
      <c r="GY101" s="22"/>
      <c r="GZ101" s="22"/>
      <c r="HA101" s="22"/>
      <c r="HB101" s="22"/>
      <c r="HC101" s="22"/>
    </row>
    <row r="102" spans="1:211" ht="15" customHeight="1" x14ac:dyDescent="0.2">
      <c r="A102" s="22"/>
      <c r="B102" s="14"/>
      <c r="C102" s="73"/>
      <c r="D102" s="46"/>
      <c r="E102" s="46"/>
      <c r="F102" s="120"/>
      <c r="G102" s="120"/>
      <c r="H102" s="47"/>
      <c r="I102" s="116"/>
      <c r="J102" s="45"/>
      <c r="K102" s="73"/>
      <c r="L102" s="73"/>
      <c r="M102" s="118"/>
      <c r="N102" s="119"/>
      <c r="O102" s="113"/>
      <c r="P102" s="115"/>
      <c r="Q102"/>
      <c r="R102"/>
      <c r="S102" s="114"/>
      <c r="T102" s="110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2"/>
      <c r="CD102" s="22"/>
      <c r="CE102" s="22"/>
      <c r="CF102" s="22"/>
      <c r="CG102" s="22"/>
      <c r="CH102" s="22"/>
      <c r="CI102" s="22"/>
      <c r="CJ102" s="22"/>
      <c r="CK102" s="22"/>
      <c r="CL102" s="22"/>
      <c r="CM102" s="22"/>
      <c r="CN102" s="22"/>
      <c r="CO102" s="22"/>
      <c r="CP102" s="22"/>
      <c r="CQ102" s="22"/>
      <c r="CR102" s="22"/>
      <c r="CS102" s="22"/>
      <c r="CT102" s="22"/>
      <c r="CU102" s="22"/>
      <c r="CV102" s="22"/>
      <c r="CW102" s="22"/>
      <c r="CX102" s="22"/>
      <c r="CY102" s="22"/>
      <c r="CZ102" s="22"/>
      <c r="DA102" s="22"/>
      <c r="DB102" s="22"/>
      <c r="DC102" s="22"/>
      <c r="DD102" s="22"/>
      <c r="DE102" s="22"/>
      <c r="DF102" s="22"/>
      <c r="DG102" s="22"/>
      <c r="DH102" s="22"/>
      <c r="DI102" s="22"/>
      <c r="DJ102" s="22"/>
      <c r="DK102" s="22"/>
      <c r="DL102" s="22"/>
      <c r="DM102" s="22"/>
      <c r="DN102" s="22"/>
      <c r="DO102" s="22"/>
      <c r="DP102" s="22"/>
      <c r="DQ102" s="22"/>
      <c r="DR102" s="22"/>
      <c r="DS102" s="22"/>
      <c r="DT102" s="22"/>
      <c r="DU102" s="22"/>
      <c r="DV102" s="22"/>
      <c r="DW102" s="22"/>
      <c r="DX102" s="22"/>
      <c r="DY102" s="22"/>
      <c r="DZ102" s="22"/>
      <c r="EA102" s="22"/>
      <c r="EB102" s="22"/>
      <c r="EC102" s="22"/>
      <c r="ED102" s="22"/>
      <c r="EE102" s="22"/>
      <c r="EF102" s="22"/>
      <c r="EG102" s="22"/>
      <c r="EH102" s="22"/>
      <c r="EI102" s="22"/>
      <c r="EJ102" s="22"/>
      <c r="EK102" s="22"/>
      <c r="EL102" s="22"/>
      <c r="EM102" s="22"/>
      <c r="EN102" s="22"/>
      <c r="EO102" s="22"/>
      <c r="EP102" s="22"/>
      <c r="EQ102" s="22"/>
      <c r="ER102" s="22"/>
      <c r="ES102" s="22"/>
      <c r="ET102" s="22"/>
      <c r="EU102" s="22"/>
      <c r="EV102" s="22"/>
      <c r="EW102" s="22"/>
      <c r="EX102" s="22"/>
      <c r="EY102" s="22"/>
      <c r="EZ102" s="22"/>
      <c r="FA102" s="22"/>
      <c r="FB102" s="22"/>
      <c r="FC102" s="22"/>
      <c r="FD102" s="22"/>
      <c r="FE102" s="22"/>
      <c r="FF102" s="22"/>
      <c r="FG102" s="22"/>
      <c r="FH102" s="22"/>
      <c r="FI102" s="22"/>
      <c r="FJ102" s="22"/>
      <c r="FK102" s="22"/>
      <c r="FL102" s="22"/>
      <c r="FM102" s="22"/>
      <c r="FN102" s="22"/>
      <c r="FO102" s="22"/>
      <c r="FP102" s="22"/>
      <c r="FQ102" s="22"/>
      <c r="FR102" s="22"/>
      <c r="FS102" s="22"/>
      <c r="FT102" s="22"/>
      <c r="FU102" s="22"/>
      <c r="FV102" s="22"/>
      <c r="FW102" s="22"/>
      <c r="FX102" s="22"/>
      <c r="FY102" s="22"/>
      <c r="FZ102" s="22"/>
      <c r="GA102" s="22"/>
      <c r="GB102" s="22"/>
      <c r="GC102" s="22"/>
      <c r="GD102" s="22"/>
      <c r="GE102" s="22"/>
      <c r="GF102" s="22"/>
      <c r="GG102" s="22"/>
      <c r="GH102" s="22"/>
      <c r="GI102" s="22"/>
      <c r="GJ102" s="22"/>
      <c r="GK102" s="22"/>
      <c r="GL102" s="22"/>
      <c r="GM102" s="22"/>
      <c r="GN102" s="22"/>
      <c r="GO102" s="22"/>
      <c r="GP102" s="22"/>
      <c r="GQ102" s="22"/>
      <c r="GR102" s="22"/>
      <c r="GS102" s="22"/>
      <c r="GT102" s="22"/>
      <c r="GU102" s="22"/>
      <c r="GV102" s="22"/>
      <c r="GW102" s="22"/>
      <c r="GX102" s="22"/>
      <c r="GY102" s="22"/>
      <c r="GZ102" s="22"/>
      <c r="HA102" s="22"/>
      <c r="HB102" s="22"/>
      <c r="HC102" s="22"/>
    </row>
    <row r="103" spans="1:211" ht="15" customHeight="1" x14ac:dyDescent="0.2">
      <c r="A103" s="22"/>
      <c r="B103" s="14"/>
      <c r="C103" s="73"/>
      <c r="D103" s="46"/>
      <c r="E103" s="46"/>
      <c r="F103" s="120"/>
      <c r="G103" s="120"/>
      <c r="H103" s="47"/>
      <c r="I103" s="116"/>
      <c r="J103" s="45"/>
      <c r="K103" s="45"/>
      <c r="L103" s="73"/>
      <c r="M103" s="118"/>
      <c r="N103" s="119"/>
      <c r="O103" s="113"/>
      <c r="P103" s="115"/>
      <c r="Q103"/>
      <c r="R103"/>
      <c r="S103" s="114"/>
      <c r="T103" s="110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2"/>
      <c r="BO103" s="22"/>
      <c r="BP103" s="22"/>
      <c r="BQ103" s="22"/>
      <c r="BR103" s="22"/>
      <c r="BS103" s="22"/>
      <c r="BT103" s="22"/>
      <c r="BU103" s="22"/>
      <c r="BV103" s="22"/>
      <c r="BW103" s="22"/>
      <c r="BX103" s="22"/>
      <c r="BY103" s="22"/>
      <c r="BZ103" s="22"/>
      <c r="CA103" s="22"/>
      <c r="CB103" s="22"/>
      <c r="CC103" s="22"/>
      <c r="CD103" s="22"/>
      <c r="CE103" s="22"/>
      <c r="CF103" s="22"/>
      <c r="CG103" s="22"/>
      <c r="CH103" s="22"/>
      <c r="CI103" s="22"/>
      <c r="CJ103" s="22"/>
      <c r="CK103" s="22"/>
      <c r="CL103" s="22"/>
      <c r="CM103" s="22"/>
      <c r="CN103" s="22"/>
      <c r="CO103" s="22"/>
      <c r="CP103" s="22"/>
      <c r="CQ103" s="22"/>
      <c r="CR103" s="22"/>
      <c r="CS103" s="22"/>
      <c r="CT103" s="22"/>
      <c r="CU103" s="22"/>
      <c r="CV103" s="22"/>
      <c r="CW103" s="22"/>
      <c r="CX103" s="22"/>
      <c r="CY103" s="22"/>
      <c r="CZ103" s="22"/>
      <c r="DA103" s="22"/>
      <c r="DB103" s="22"/>
      <c r="DC103" s="22"/>
      <c r="DD103" s="22"/>
      <c r="DE103" s="22"/>
      <c r="DF103" s="22"/>
      <c r="DG103" s="22"/>
      <c r="DH103" s="22"/>
      <c r="DI103" s="22"/>
      <c r="DJ103" s="22"/>
      <c r="DK103" s="22"/>
      <c r="DL103" s="22"/>
      <c r="DM103" s="22"/>
      <c r="DN103" s="22"/>
      <c r="DO103" s="22"/>
      <c r="DP103" s="22"/>
      <c r="DQ103" s="22"/>
      <c r="DR103" s="22"/>
      <c r="DS103" s="22"/>
      <c r="DT103" s="22"/>
      <c r="DU103" s="22"/>
      <c r="DV103" s="22"/>
      <c r="DW103" s="22"/>
      <c r="DX103" s="22"/>
      <c r="DY103" s="22"/>
      <c r="DZ103" s="22"/>
      <c r="EA103" s="22"/>
      <c r="EB103" s="22"/>
      <c r="EC103" s="22"/>
      <c r="ED103" s="22"/>
      <c r="EE103" s="22"/>
      <c r="EF103" s="22"/>
      <c r="EG103" s="22"/>
      <c r="EH103" s="22"/>
      <c r="EI103" s="22"/>
      <c r="EJ103" s="22"/>
      <c r="EK103" s="22"/>
      <c r="EL103" s="22"/>
      <c r="EM103" s="22"/>
      <c r="EN103" s="22"/>
      <c r="EO103" s="22"/>
      <c r="EP103" s="22"/>
      <c r="EQ103" s="22"/>
      <c r="ER103" s="22"/>
      <c r="ES103" s="22"/>
      <c r="ET103" s="22"/>
      <c r="EU103" s="22"/>
      <c r="EV103" s="22"/>
      <c r="EW103" s="22"/>
      <c r="EX103" s="22"/>
      <c r="EY103" s="22"/>
      <c r="EZ103" s="22"/>
      <c r="FA103" s="22"/>
      <c r="FB103" s="22"/>
      <c r="FC103" s="22"/>
      <c r="FD103" s="22"/>
      <c r="FE103" s="22"/>
      <c r="FF103" s="22"/>
      <c r="FG103" s="22"/>
      <c r="FH103" s="22"/>
      <c r="FI103" s="22"/>
      <c r="FJ103" s="22"/>
      <c r="FK103" s="22"/>
      <c r="FL103" s="22"/>
      <c r="FM103" s="22"/>
      <c r="FN103" s="22"/>
      <c r="FO103" s="22"/>
      <c r="FP103" s="22"/>
      <c r="FQ103" s="22"/>
      <c r="FR103" s="22"/>
      <c r="FS103" s="22"/>
      <c r="FT103" s="22"/>
      <c r="FU103" s="22"/>
      <c r="FV103" s="22"/>
      <c r="FW103" s="22"/>
      <c r="FX103" s="22"/>
      <c r="FY103" s="22"/>
      <c r="FZ103" s="22"/>
      <c r="GA103" s="22"/>
      <c r="GB103" s="22"/>
      <c r="GC103" s="22"/>
      <c r="GD103" s="22"/>
      <c r="GE103" s="22"/>
      <c r="GF103" s="22"/>
      <c r="GG103" s="22"/>
      <c r="GH103" s="22"/>
      <c r="GI103" s="22"/>
      <c r="GJ103" s="22"/>
      <c r="GK103" s="22"/>
      <c r="GL103" s="22"/>
      <c r="GM103" s="22"/>
      <c r="GN103" s="22"/>
      <c r="GO103" s="22"/>
      <c r="GP103" s="22"/>
      <c r="GQ103" s="22"/>
      <c r="GR103" s="22"/>
      <c r="GS103" s="22"/>
      <c r="GT103" s="22"/>
      <c r="GU103" s="22"/>
      <c r="GV103" s="22"/>
      <c r="GW103" s="22"/>
      <c r="GX103" s="22"/>
      <c r="GY103" s="22"/>
      <c r="GZ103" s="22"/>
      <c r="HA103" s="22"/>
      <c r="HB103" s="22"/>
      <c r="HC103" s="22"/>
    </row>
    <row r="104" spans="1:211" ht="15" customHeight="1" x14ac:dyDescent="0.2">
      <c r="A104" s="22"/>
      <c r="B104" s="14"/>
      <c r="C104" s="73"/>
      <c r="D104" s="46"/>
      <c r="E104" s="46"/>
      <c r="F104" s="120"/>
      <c r="G104" s="120"/>
      <c r="H104" s="47"/>
      <c r="I104" s="116"/>
      <c r="J104" s="45"/>
      <c r="K104" s="45"/>
      <c r="L104" s="73"/>
      <c r="M104" s="118"/>
      <c r="N104" s="119"/>
      <c r="O104" s="113"/>
      <c r="P104" s="115"/>
      <c r="Q104"/>
      <c r="R104"/>
      <c r="S104" s="114"/>
      <c r="T104" s="110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  <c r="BS104" s="22"/>
      <c r="BT104" s="22"/>
      <c r="BU104" s="22"/>
      <c r="BV104" s="22"/>
      <c r="BW104" s="22"/>
      <c r="BX104" s="22"/>
      <c r="BY104" s="22"/>
      <c r="BZ104" s="22"/>
      <c r="CA104" s="22"/>
      <c r="CB104" s="22"/>
      <c r="CC104" s="22"/>
      <c r="CD104" s="22"/>
      <c r="CE104" s="22"/>
      <c r="CF104" s="22"/>
      <c r="CG104" s="22"/>
      <c r="CH104" s="22"/>
      <c r="CI104" s="22"/>
      <c r="CJ104" s="22"/>
      <c r="CK104" s="22"/>
      <c r="CL104" s="22"/>
      <c r="CM104" s="22"/>
      <c r="CN104" s="22"/>
      <c r="CO104" s="22"/>
      <c r="CP104" s="22"/>
      <c r="CQ104" s="22"/>
      <c r="CR104" s="22"/>
      <c r="CS104" s="22"/>
      <c r="CT104" s="22"/>
      <c r="CU104" s="22"/>
      <c r="CV104" s="22"/>
      <c r="CW104" s="22"/>
      <c r="CX104" s="22"/>
      <c r="CY104" s="22"/>
      <c r="CZ104" s="22"/>
      <c r="DA104" s="22"/>
      <c r="DB104" s="22"/>
      <c r="DC104" s="22"/>
      <c r="DD104" s="22"/>
      <c r="DE104" s="22"/>
      <c r="DF104" s="22"/>
      <c r="DG104" s="22"/>
      <c r="DH104" s="22"/>
      <c r="DI104" s="22"/>
      <c r="DJ104" s="22"/>
      <c r="DK104" s="22"/>
      <c r="DL104" s="22"/>
      <c r="DM104" s="22"/>
      <c r="DN104" s="22"/>
      <c r="DO104" s="22"/>
      <c r="DP104" s="22"/>
      <c r="DQ104" s="22"/>
      <c r="DR104" s="22"/>
      <c r="DS104" s="22"/>
      <c r="DT104" s="22"/>
      <c r="DU104" s="22"/>
      <c r="DV104" s="22"/>
      <c r="DW104" s="22"/>
      <c r="DX104" s="22"/>
      <c r="DY104" s="22"/>
      <c r="DZ104" s="22"/>
      <c r="EA104" s="22"/>
      <c r="EB104" s="22"/>
      <c r="EC104" s="22"/>
      <c r="ED104" s="22"/>
      <c r="EE104" s="22"/>
      <c r="EF104" s="22"/>
      <c r="EG104" s="22"/>
      <c r="EH104" s="22"/>
      <c r="EI104" s="22"/>
      <c r="EJ104" s="22"/>
      <c r="EK104" s="22"/>
      <c r="EL104" s="22"/>
      <c r="EM104" s="22"/>
      <c r="EN104" s="22"/>
      <c r="EO104" s="22"/>
      <c r="EP104" s="22"/>
      <c r="EQ104" s="22"/>
      <c r="ER104" s="22"/>
      <c r="ES104" s="22"/>
      <c r="ET104" s="22"/>
      <c r="EU104" s="22"/>
      <c r="EV104" s="22"/>
      <c r="EW104" s="22"/>
      <c r="EX104" s="22"/>
      <c r="EY104" s="22"/>
      <c r="EZ104" s="22"/>
      <c r="FA104" s="22"/>
      <c r="FB104" s="22"/>
      <c r="FC104" s="22"/>
      <c r="FD104" s="22"/>
      <c r="FE104" s="22"/>
      <c r="FF104" s="22"/>
      <c r="FG104" s="22"/>
      <c r="FH104" s="22"/>
      <c r="FI104" s="22"/>
      <c r="FJ104" s="22"/>
      <c r="FK104" s="22"/>
      <c r="FL104" s="22"/>
      <c r="FM104" s="22"/>
      <c r="FN104" s="22"/>
      <c r="FO104" s="22"/>
      <c r="FP104" s="22"/>
      <c r="FQ104" s="22"/>
      <c r="FR104" s="22"/>
      <c r="FS104" s="22"/>
      <c r="FT104" s="22"/>
      <c r="FU104" s="22"/>
      <c r="FV104" s="22"/>
      <c r="FW104" s="22"/>
      <c r="FX104" s="22"/>
      <c r="FY104" s="22"/>
      <c r="FZ104" s="22"/>
      <c r="GA104" s="22"/>
      <c r="GB104" s="22"/>
      <c r="GC104" s="22"/>
      <c r="GD104" s="22"/>
      <c r="GE104" s="22"/>
      <c r="GF104" s="22"/>
      <c r="GG104" s="22"/>
      <c r="GH104" s="22"/>
      <c r="GI104" s="22"/>
      <c r="GJ104" s="22"/>
      <c r="GK104" s="22"/>
      <c r="GL104" s="22"/>
      <c r="GM104" s="22"/>
      <c r="GN104" s="22"/>
      <c r="GO104" s="22"/>
      <c r="GP104" s="22"/>
      <c r="GQ104" s="22"/>
      <c r="GR104" s="22"/>
      <c r="GS104" s="22"/>
      <c r="GT104" s="22"/>
      <c r="GU104" s="22"/>
      <c r="GV104" s="22"/>
      <c r="GW104" s="22"/>
      <c r="GX104" s="22"/>
      <c r="GY104" s="22"/>
      <c r="GZ104" s="22"/>
      <c r="HA104" s="22"/>
      <c r="HB104" s="22"/>
      <c r="HC104" s="22"/>
    </row>
    <row r="105" spans="1:211" ht="15" customHeight="1" x14ac:dyDescent="0.2">
      <c r="A105" s="22"/>
      <c r="B105" s="14"/>
      <c r="C105" s="73"/>
      <c r="D105" s="46"/>
      <c r="E105" s="46"/>
      <c r="F105" s="120"/>
      <c r="G105" s="120"/>
      <c r="H105" s="47"/>
      <c r="I105" s="116"/>
      <c r="J105" s="45"/>
      <c r="K105" s="73"/>
      <c r="L105" s="73"/>
      <c r="M105" s="118"/>
      <c r="N105" s="119"/>
      <c r="O105" s="113"/>
      <c r="P105" s="115"/>
      <c r="Q105"/>
      <c r="R105"/>
      <c r="S105" s="114"/>
      <c r="T105" s="110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  <c r="BS105" s="22"/>
      <c r="BT105" s="22"/>
      <c r="BU105" s="22"/>
      <c r="BV105" s="22"/>
      <c r="BW105" s="22"/>
      <c r="BX105" s="22"/>
      <c r="BY105" s="22"/>
      <c r="BZ105" s="22"/>
      <c r="CA105" s="22"/>
      <c r="CB105" s="22"/>
      <c r="CC105" s="22"/>
      <c r="CD105" s="22"/>
      <c r="CE105" s="22"/>
      <c r="CF105" s="22"/>
      <c r="CG105" s="22"/>
      <c r="CH105" s="22"/>
      <c r="CI105" s="22"/>
      <c r="CJ105" s="22"/>
      <c r="CK105" s="22"/>
      <c r="CL105" s="22"/>
      <c r="CM105" s="22"/>
      <c r="CN105" s="22"/>
      <c r="CO105" s="22"/>
      <c r="CP105" s="22"/>
      <c r="CQ105" s="22"/>
      <c r="CR105" s="22"/>
      <c r="CS105" s="22"/>
      <c r="CT105" s="22"/>
      <c r="CU105" s="22"/>
      <c r="CV105" s="22"/>
      <c r="CW105" s="22"/>
      <c r="CX105" s="22"/>
      <c r="CY105" s="22"/>
      <c r="CZ105" s="22"/>
      <c r="DA105" s="22"/>
      <c r="DB105" s="22"/>
      <c r="DC105" s="22"/>
      <c r="DD105" s="22"/>
      <c r="DE105" s="22"/>
      <c r="DF105" s="22"/>
      <c r="DG105" s="22"/>
      <c r="DH105" s="22"/>
      <c r="DI105" s="22"/>
      <c r="DJ105" s="22"/>
      <c r="DK105" s="22"/>
      <c r="DL105" s="22"/>
      <c r="DM105" s="22"/>
      <c r="DN105" s="22"/>
      <c r="DO105" s="22"/>
      <c r="DP105" s="22"/>
      <c r="DQ105" s="22"/>
      <c r="DR105" s="22"/>
      <c r="DS105" s="22"/>
      <c r="DT105" s="22"/>
      <c r="DU105" s="22"/>
      <c r="DV105" s="22"/>
      <c r="DW105" s="22"/>
      <c r="DX105" s="22"/>
      <c r="DY105" s="22"/>
      <c r="DZ105" s="22"/>
      <c r="EA105" s="22"/>
      <c r="EB105" s="22"/>
      <c r="EC105" s="22"/>
      <c r="ED105" s="22"/>
      <c r="EE105" s="22"/>
      <c r="EF105" s="22"/>
      <c r="EG105" s="22"/>
      <c r="EH105" s="22"/>
      <c r="EI105" s="22"/>
      <c r="EJ105" s="22"/>
      <c r="EK105" s="22"/>
      <c r="EL105" s="22"/>
      <c r="EM105" s="22"/>
      <c r="EN105" s="22"/>
      <c r="EO105" s="22"/>
      <c r="EP105" s="22"/>
      <c r="EQ105" s="22"/>
      <c r="ER105" s="22"/>
      <c r="ES105" s="22"/>
      <c r="ET105" s="22"/>
      <c r="EU105" s="22"/>
      <c r="EV105" s="22"/>
      <c r="EW105" s="22"/>
      <c r="EX105" s="22"/>
      <c r="EY105" s="22"/>
      <c r="EZ105" s="22"/>
      <c r="FA105" s="22"/>
      <c r="FB105" s="22"/>
      <c r="FC105" s="22"/>
      <c r="FD105" s="22"/>
      <c r="FE105" s="22"/>
      <c r="FF105" s="22"/>
      <c r="FG105" s="22"/>
      <c r="FH105" s="22"/>
      <c r="FI105" s="22"/>
      <c r="FJ105" s="22"/>
      <c r="FK105" s="22"/>
      <c r="FL105" s="22"/>
      <c r="FM105" s="22"/>
      <c r="FN105" s="22"/>
      <c r="FO105" s="22"/>
      <c r="FP105" s="22"/>
      <c r="FQ105" s="22"/>
      <c r="FR105" s="22"/>
      <c r="FS105" s="22"/>
      <c r="FT105" s="22"/>
      <c r="FU105" s="22"/>
      <c r="FV105" s="22"/>
      <c r="FW105" s="22"/>
      <c r="FX105" s="22"/>
      <c r="FY105" s="22"/>
      <c r="FZ105" s="22"/>
      <c r="GA105" s="22"/>
      <c r="GB105" s="22"/>
      <c r="GC105" s="22"/>
      <c r="GD105" s="22"/>
      <c r="GE105" s="22"/>
      <c r="GF105" s="22"/>
      <c r="GG105" s="22"/>
      <c r="GH105" s="22"/>
      <c r="GI105" s="22"/>
      <c r="GJ105" s="22"/>
      <c r="GK105" s="22"/>
      <c r="GL105" s="22"/>
      <c r="GM105" s="22"/>
      <c r="GN105" s="22"/>
      <c r="GO105" s="22"/>
      <c r="GP105" s="22"/>
      <c r="GQ105" s="22"/>
      <c r="GR105" s="22"/>
      <c r="GS105" s="22"/>
      <c r="GT105" s="22"/>
      <c r="GU105" s="22"/>
      <c r="GV105" s="22"/>
      <c r="GW105" s="22"/>
      <c r="GX105" s="22"/>
      <c r="GY105" s="22"/>
      <c r="GZ105" s="22"/>
      <c r="HA105" s="22"/>
      <c r="HB105" s="22"/>
      <c r="HC105" s="22"/>
    </row>
    <row r="106" spans="1:211" ht="15" customHeight="1" x14ac:dyDescent="0.2">
      <c r="A106" s="22"/>
      <c r="B106" s="14"/>
      <c r="C106" s="73"/>
      <c r="D106" s="46"/>
      <c r="E106" s="46"/>
      <c r="F106" s="120"/>
      <c r="G106" s="120"/>
      <c r="H106" s="47"/>
      <c r="I106" s="116"/>
      <c r="J106" s="45"/>
      <c r="K106" s="45"/>
      <c r="L106" s="73"/>
      <c r="M106" s="118"/>
      <c r="N106" s="119"/>
      <c r="O106" s="113"/>
      <c r="P106" s="115"/>
      <c r="Q106"/>
      <c r="R106"/>
      <c r="S106" s="114"/>
      <c r="T106" s="110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2"/>
      <c r="BO106" s="22"/>
      <c r="BP106" s="22"/>
      <c r="BQ106" s="22"/>
      <c r="BR106" s="22"/>
      <c r="BS106" s="22"/>
      <c r="BT106" s="22"/>
      <c r="BU106" s="22"/>
      <c r="BV106" s="22"/>
      <c r="BW106" s="22"/>
      <c r="BX106" s="22"/>
      <c r="BY106" s="22"/>
      <c r="BZ106" s="22"/>
      <c r="CA106" s="22"/>
      <c r="CB106" s="22"/>
      <c r="CC106" s="22"/>
      <c r="CD106" s="22"/>
      <c r="CE106" s="22"/>
      <c r="CF106" s="22"/>
      <c r="CG106" s="22"/>
      <c r="CH106" s="22"/>
      <c r="CI106" s="22"/>
      <c r="CJ106" s="22"/>
      <c r="CK106" s="22"/>
      <c r="CL106" s="22"/>
      <c r="CM106" s="22"/>
      <c r="CN106" s="22"/>
      <c r="CO106" s="22"/>
      <c r="CP106" s="22"/>
      <c r="CQ106" s="22"/>
      <c r="CR106" s="22"/>
      <c r="CS106" s="22"/>
      <c r="CT106" s="22"/>
      <c r="CU106" s="22"/>
      <c r="CV106" s="22"/>
      <c r="CW106" s="22"/>
      <c r="CX106" s="22"/>
      <c r="CY106" s="22"/>
      <c r="CZ106" s="22"/>
      <c r="DA106" s="22"/>
      <c r="DB106" s="22"/>
      <c r="DC106" s="22"/>
      <c r="DD106" s="22"/>
      <c r="DE106" s="22"/>
      <c r="DF106" s="22"/>
      <c r="DG106" s="22"/>
      <c r="DH106" s="22"/>
      <c r="DI106" s="22"/>
      <c r="DJ106" s="22"/>
      <c r="DK106" s="22"/>
      <c r="DL106" s="22"/>
      <c r="DM106" s="22"/>
      <c r="DN106" s="22"/>
      <c r="DO106" s="22"/>
      <c r="DP106" s="22"/>
      <c r="DQ106" s="22"/>
      <c r="DR106" s="22"/>
      <c r="DS106" s="22"/>
      <c r="DT106" s="22"/>
      <c r="DU106" s="22"/>
      <c r="DV106" s="22"/>
      <c r="DW106" s="22"/>
      <c r="DX106" s="22"/>
      <c r="DY106" s="22"/>
      <c r="DZ106" s="22"/>
      <c r="EA106" s="22"/>
      <c r="EB106" s="22"/>
      <c r="EC106" s="22"/>
      <c r="ED106" s="22"/>
      <c r="EE106" s="22"/>
      <c r="EF106" s="22"/>
      <c r="EG106" s="22"/>
      <c r="EH106" s="22"/>
      <c r="EI106" s="22"/>
      <c r="EJ106" s="22"/>
      <c r="EK106" s="22"/>
      <c r="EL106" s="22"/>
      <c r="EM106" s="22"/>
      <c r="EN106" s="22"/>
      <c r="EO106" s="22"/>
      <c r="EP106" s="22"/>
      <c r="EQ106" s="22"/>
      <c r="ER106" s="22"/>
      <c r="ES106" s="22"/>
      <c r="ET106" s="22"/>
      <c r="EU106" s="22"/>
      <c r="EV106" s="22"/>
      <c r="EW106" s="22"/>
      <c r="EX106" s="22"/>
      <c r="EY106" s="22"/>
      <c r="EZ106" s="22"/>
      <c r="FA106" s="22"/>
      <c r="FB106" s="22"/>
      <c r="FC106" s="22"/>
      <c r="FD106" s="22"/>
      <c r="FE106" s="22"/>
      <c r="FF106" s="22"/>
      <c r="FG106" s="22"/>
      <c r="FH106" s="22"/>
      <c r="FI106" s="22"/>
      <c r="FJ106" s="22"/>
      <c r="FK106" s="22"/>
      <c r="FL106" s="22"/>
      <c r="FM106" s="22"/>
      <c r="FN106" s="22"/>
      <c r="FO106" s="22"/>
      <c r="FP106" s="22"/>
      <c r="FQ106" s="22"/>
      <c r="FR106" s="22"/>
      <c r="FS106" s="22"/>
      <c r="FT106" s="22"/>
      <c r="FU106" s="22"/>
      <c r="FV106" s="22"/>
      <c r="FW106" s="22"/>
      <c r="FX106" s="22"/>
      <c r="FY106" s="22"/>
      <c r="FZ106" s="22"/>
      <c r="GA106" s="22"/>
      <c r="GB106" s="22"/>
      <c r="GC106" s="22"/>
      <c r="GD106" s="22"/>
      <c r="GE106" s="22"/>
      <c r="GF106" s="22"/>
      <c r="GG106" s="22"/>
      <c r="GH106" s="22"/>
      <c r="GI106" s="22"/>
      <c r="GJ106" s="22"/>
      <c r="GK106" s="22"/>
      <c r="GL106" s="22"/>
      <c r="GM106" s="22"/>
      <c r="GN106" s="22"/>
      <c r="GO106" s="22"/>
      <c r="GP106" s="22"/>
      <c r="GQ106" s="22"/>
      <c r="GR106" s="22"/>
      <c r="GS106" s="22"/>
      <c r="GT106" s="22"/>
      <c r="GU106" s="22"/>
      <c r="GV106" s="22"/>
      <c r="GW106" s="22"/>
      <c r="GX106" s="22"/>
      <c r="GY106" s="22"/>
      <c r="GZ106" s="22"/>
      <c r="HA106" s="22"/>
      <c r="HB106" s="22"/>
      <c r="HC106" s="22"/>
    </row>
    <row r="107" spans="1:211" ht="15" customHeight="1" x14ac:dyDescent="0.2">
      <c r="A107" s="22"/>
      <c r="B107" s="14"/>
      <c r="C107" s="73"/>
      <c r="D107" s="46"/>
      <c r="E107" s="46"/>
      <c r="F107" s="120"/>
      <c r="G107" s="120"/>
      <c r="H107" s="47"/>
      <c r="I107" s="116"/>
      <c r="J107" s="45"/>
      <c r="K107" s="45"/>
      <c r="L107" s="73"/>
      <c r="M107" s="118"/>
      <c r="N107" s="119"/>
      <c r="O107" s="113"/>
      <c r="P107" s="115"/>
      <c r="Q107"/>
      <c r="R107"/>
      <c r="S107" s="114"/>
      <c r="T107" s="110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  <c r="BS107" s="22"/>
      <c r="BT107" s="22"/>
      <c r="BU107" s="22"/>
      <c r="BV107" s="22"/>
      <c r="BW107" s="22"/>
      <c r="BX107" s="22"/>
      <c r="BY107" s="22"/>
      <c r="BZ107" s="22"/>
      <c r="CA107" s="22"/>
      <c r="CB107" s="22"/>
      <c r="CC107" s="22"/>
      <c r="CD107" s="22"/>
      <c r="CE107" s="22"/>
      <c r="CF107" s="22"/>
      <c r="CG107" s="22"/>
      <c r="CH107" s="22"/>
      <c r="CI107" s="22"/>
      <c r="CJ107" s="22"/>
      <c r="CK107" s="22"/>
      <c r="CL107" s="22"/>
      <c r="CM107" s="22"/>
      <c r="CN107" s="22"/>
      <c r="CO107" s="22"/>
      <c r="CP107" s="22"/>
      <c r="CQ107" s="22"/>
      <c r="CR107" s="22"/>
      <c r="CS107" s="22"/>
      <c r="CT107" s="22"/>
      <c r="CU107" s="22"/>
      <c r="CV107" s="22"/>
      <c r="CW107" s="22"/>
      <c r="CX107" s="22"/>
      <c r="CY107" s="22"/>
      <c r="CZ107" s="22"/>
      <c r="DA107" s="22"/>
      <c r="DB107" s="22"/>
      <c r="DC107" s="22"/>
      <c r="DD107" s="22"/>
      <c r="DE107" s="22"/>
      <c r="DF107" s="22"/>
      <c r="DG107" s="22"/>
      <c r="DH107" s="22"/>
      <c r="DI107" s="22"/>
      <c r="DJ107" s="22"/>
      <c r="DK107" s="22"/>
      <c r="DL107" s="22"/>
      <c r="DM107" s="22"/>
      <c r="DN107" s="22"/>
      <c r="DO107" s="22"/>
      <c r="DP107" s="22"/>
      <c r="DQ107" s="22"/>
      <c r="DR107" s="22"/>
      <c r="DS107" s="22"/>
      <c r="DT107" s="22"/>
      <c r="DU107" s="22"/>
      <c r="DV107" s="22"/>
      <c r="DW107" s="22"/>
      <c r="DX107" s="22"/>
      <c r="DY107" s="22"/>
      <c r="DZ107" s="22"/>
      <c r="EA107" s="22"/>
      <c r="EB107" s="22"/>
      <c r="EC107" s="22"/>
      <c r="ED107" s="22"/>
      <c r="EE107" s="22"/>
      <c r="EF107" s="22"/>
      <c r="EG107" s="22"/>
      <c r="EH107" s="22"/>
      <c r="EI107" s="22"/>
      <c r="EJ107" s="22"/>
      <c r="EK107" s="22"/>
      <c r="EL107" s="22"/>
      <c r="EM107" s="22"/>
      <c r="EN107" s="22"/>
      <c r="EO107" s="22"/>
      <c r="EP107" s="22"/>
      <c r="EQ107" s="22"/>
      <c r="ER107" s="22"/>
      <c r="ES107" s="22"/>
      <c r="ET107" s="22"/>
      <c r="EU107" s="22"/>
      <c r="EV107" s="22"/>
      <c r="EW107" s="22"/>
      <c r="EX107" s="22"/>
      <c r="EY107" s="22"/>
      <c r="EZ107" s="22"/>
      <c r="FA107" s="22"/>
      <c r="FB107" s="22"/>
      <c r="FC107" s="22"/>
      <c r="FD107" s="22"/>
      <c r="FE107" s="22"/>
      <c r="FF107" s="22"/>
      <c r="FG107" s="22"/>
      <c r="FH107" s="22"/>
      <c r="FI107" s="22"/>
      <c r="FJ107" s="22"/>
      <c r="FK107" s="22"/>
      <c r="FL107" s="22"/>
      <c r="FM107" s="22"/>
      <c r="FN107" s="22"/>
      <c r="FO107" s="22"/>
      <c r="FP107" s="22"/>
      <c r="FQ107" s="22"/>
      <c r="FR107" s="22"/>
      <c r="FS107" s="22"/>
      <c r="FT107" s="22"/>
      <c r="FU107" s="22"/>
      <c r="FV107" s="22"/>
      <c r="FW107" s="22"/>
      <c r="FX107" s="22"/>
      <c r="FY107" s="22"/>
      <c r="FZ107" s="22"/>
      <c r="GA107" s="22"/>
      <c r="GB107" s="22"/>
      <c r="GC107" s="22"/>
      <c r="GD107" s="22"/>
      <c r="GE107" s="22"/>
      <c r="GF107" s="22"/>
      <c r="GG107" s="22"/>
      <c r="GH107" s="22"/>
      <c r="GI107" s="22"/>
      <c r="GJ107" s="22"/>
      <c r="GK107" s="22"/>
      <c r="GL107" s="22"/>
      <c r="GM107" s="22"/>
      <c r="GN107" s="22"/>
      <c r="GO107" s="22"/>
      <c r="GP107" s="22"/>
      <c r="GQ107" s="22"/>
      <c r="GR107" s="22"/>
      <c r="GS107" s="22"/>
      <c r="GT107" s="22"/>
      <c r="GU107" s="22"/>
      <c r="GV107" s="22"/>
      <c r="GW107" s="22"/>
      <c r="GX107" s="22"/>
      <c r="GY107" s="22"/>
      <c r="GZ107" s="22"/>
      <c r="HA107" s="22"/>
      <c r="HB107" s="22"/>
      <c r="HC107" s="22"/>
    </row>
    <row r="108" spans="1:211" ht="15" customHeight="1" x14ac:dyDescent="0.2">
      <c r="A108" s="22"/>
      <c r="B108" s="14"/>
      <c r="C108" s="73"/>
      <c r="D108" s="46"/>
      <c r="E108" s="46"/>
      <c r="F108" s="120"/>
      <c r="G108" s="120"/>
      <c r="H108" s="47"/>
      <c r="I108" s="116"/>
      <c r="J108" s="45"/>
      <c r="K108" s="73"/>
      <c r="L108" s="73"/>
      <c r="M108" s="118"/>
      <c r="N108" s="119"/>
      <c r="O108" s="113"/>
      <c r="P108" s="115"/>
      <c r="Q108"/>
      <c r="R108"/>
      <c r="S108" s="114"/>
      <c r="T108" s="110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  <c r="BS108" s="22"/>
      <c r="BT108" s="22"/>
      <c r="BU108" s="22"/>
      <c r="BV108" s="22"/>
      <c r="BW108" s="22"/>
      <c r="BX108" s="22"/>
      <c r="BY108" s="22"/>
      <c r="BZ108" s="22"/>
      <c r="CA108" s="22"/>
      <c r="CB108" s="22"/>
      <c r="CC108" s="22"/>
      <c r="CD108" s="22"/>
      <c r="CE108" s="22"/>
      <c r="CF108" s="22"/>
      <c r="CG108" s="22"/>
      <c r="CH108" s="22"/>
      <c r="CI108" s="22"/>
      <c r="CJ108" s="22"/>
      <c r="CK108" s="22"/>
      <c r="CL108" s="22"/>
      <c r="CM108" s="22"/>
      <c r="CN108" s="22"/>
      <c r="CO108" s="22"/>
      <c r="CP108" s="22"/>
      <c r="CQ108" s="22"/>
      <c r="CR108" s="22"/>
      <c r="CS108" s="22"/>
      <c r="CT108" s="22"/>
      <c r="CU108" s="22"/>
      <c r="CV108" s="22"/>
      <c r="CW108" s="22"/>
      <c r="CX108" s="22"/>
      <c r="CY108" s="22"/>
      <c r="CZ108" s="22"/>
      <c r="DA108" s="22"/>
      <c r="DB108" s="22"/>
      <c r="DC108" s="22"/>
      <c r="DD108" s="22"/>
      <c r="DE108" s="22"/>
      <c r="DF108" s="22"/>
      <c r="DG108" s="22"/>
      <c r="DH108" s="22"/>
      <c r="DI108" s="22"/>
      <c r="DJ108" s="22"/>
      <c r="DK108" s="22"/>
      <c r="DL108" s="22"/>
      <c r="DM108" s="22"/>
      <c r="DN108" s="22"/>
      <c r="DO108" s="22"/>
      <c r="DP108" s="22"/>
      <c r="DQ108" s="22"/>
      <c r="DR108" s="22"/>
      <c r="DS108" s="22"/>
      <c r="DT108" s="22"/>
      <c r="DU108" s="22"/>
      <c r="DV108" s="22"/>
      <c r="DW108" s="22"/>
      <c r="DX108" s="22"/>
      <c r="DY108" s="22"/>
      <c r="DZ108" s="22"/>
      <c r="EA108" s="22"/>
      <c r="EB108" s="22"/>
      <c r="EC108" s="22"/>
      <c r="ED108" s="22"/>
      <c r="EE108" s="22"/>
      <c r="EF108" s="22"/>
      <c r="EG108" s="22"/>
      <c r="EH108" s="22"/>
      <c r="EI108" s="22"/>
      <c r="EJ108" s="22"/>
      <c r="EK108" s="22"/>
      <c r="EL108" s="22"/>
      <c r="EM108" s="22"/>
      <c r="EN108" s="22"/>
      <c r="EO108" s="22"/>
      <c r="EP108" s="22"/>
      <c r="EQ108" s="22"/>
      <c r="ER108" s="22"/>
      <c r="ES108" s="22"/>
      <c r="ET108" s="22"/>
      <c r="EU108" s="22"/>
      <c r="EV108" s="22"/>
      <c r="EW108" s="22"/>
      <c r="EX108" s="22"/>
      <c r="EY108" s="22"/>
      <c r="EZ108" s="22"/>
      <c r="FA108" s="22"/>
      <c r="FB108" s="22"/>
      <c r="FC108" s="22"/>
      <c r="FD108" s="22"/>
      <c r="FE108" s="22"/>
      <c r="FF108" s="22"/>
      <c r="FG108" s="22"/>
      <c r="FH108" s="22"/>
      <c r="FI108" s="22"/>
      <c r="FJ108" s="22"/>
      <c r="FK108" s="22"/>
      <c r="FL108" s="22"/>
      <c r="FM108" s="22"/>
      <c r="FN108" s="22"/>
      <c r="FO108" s="22"/>
      <c r="FP108" s="22"/>
      <c r="FQ108" s="22"/>
      <c r="FR108" s="22"/>
      <c r="FS108" s="22"/>
      <c r="FT108" s="22"/>
      <c r="FU108" s="22"/>
      <c r="FV108" s="22"/>
      <c r="FW108" s="22"/>
      <c r="FX108" s="22"/>
      <c r="FY108" s="22"/>
      <c r="FZ108" s="22"/>
      <c r="GA108" s="22"/>
      <c r="GB108" s="22"/>
      <c r="GC108" s="22"/>
      <c r="GD108" s="22"/>
      <c r="GE108" s="22"/>
      <c r="GF108" s="22"/>
      <c r="GG108" s="22"/>
      <c r="GH108" s="22"/>
      <c r="GI108" s="22"/>
      <c r="GJ108" s="22"/>
      <c r="GK108" s="22"/>
      <c r="GL108" s="22"/>
      <c r="GM108" s="22"/>
      <c r="GN108" s="22"/>
      <c r="GO108" s="22"/>
      <c r="GP108" s="22"/>
      <c r="GQ108" s="22"/>
      <c r="GR108" s="22"/>
      <c r="GS108" s="22"/>
      <c r="GT108" s="22"/>
      <c r="GU108" s="22"/>
      <c r="GV108" s="22"/>
      <c r="GW108" s="22"/>
      <c r="GX108" s="22"/>
      <c r="GY108" s="22"/>
      <c r="GZ108" s="22"/>
      <c r="HA108" s="22"/>
      <c r="HB108" s="22"/>
      <c r="HC108" s="22"/>
    </row>
    <row r="109" spans="1:211" ht="15" customHeight="1" x14ac:dyDescent="0.2">
      <c r="A109" s="22"/>
      <c r="B109" s="14"/>
      <c r="C109" s="73"/>
      <c r="D109" s="46"/>
      <c r="E109" s="46"/>
      <c r="F109" s="120"/>
      <c r="G109" s="120"/>
      <c r="H109" s="47"/>
      <c r="I109" s="116"/>
      <c r="J109" s="45"/>
      <c r="K109" s="45"/>
      <c r="L109" s="73"/>
      <c r="M109" s="118"/>
      <c r="N109" s="119"/>
      <c r="O109" s="113"/>
      <c r="P109" s="115"/>
      <c r="Q109"/>
      <c r="R109"/>
      <c r="S109" s="114"/>
      <c r="T109" s="110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2"/>
      <c r="BO109" s="22"/>
      <c r="BP109" s="22"/>
      <c r="BQ109" s="22"/>
      <c r="BR109" s="22"/>
      <c r="BS109" s="22"/>
      <c r="BT109" s="22"/>
      <c r="BU109" s="22"/>
      <c r="BV109" s="22"/>
      <c r="BW109" s="22"/>
      <c r="BX109" s="22"/>
      <c r="BY109" s="22"/>
      <c r="BZ109" s="22"/>
      <c r="CA109" s="22"/>
      <c r="CB109" s="22"/>
      <c r="CC109" s="22"/>
      <c r="CD109" s="22"/>
      <c r="CE109" s="22"/>
      <c r="CF109" s="22"/>
      <c r="CG109" s="22"/>
      <c r="CH109" s="22"/>
      <c r="CI109" s="22"/>
      <c r="CJ109" s="22"/>
      <c r="CK109" s="22"/>
      <c r="CL109" s="22"/>
      <c r="CM109" s="22"/>
      <c r="CN109" s="22"/>
      <c r="CO109" s="22"/>
      <c r="CP109" s="22"/>
      <c r="CQ109" s="22"/>
      <c r="CR109" s="22"/>
      <c r="CS109" s="22"/>
      <c r="CT109" s="22"/>
      <c r="CU109" s="22"/>
      <c r="CV109" s="22"/>
      <c r="CW109" s="22"/>
      <c r="CX109" s="22"/>
      <c r="CY109" s="22"/>
      <c r="CZ109" s="22"/>
      <c r="DA109" s="22"/>
      <c r="DB109" s="22"/>
      <c r="DC109" s="22"/>
      <c r="DD109" s="22"/>
      <c r="DE109" s="22"/>
      <c r="DF109" s="22"/>
      <c r="DG109" s="22"/>
      <c r="DH109" s="22"/>
      <c r="DI109" s="22"/>
      <c r="DJ109" s="22"/>
      <c r="DK109" s="22"/>
      <c r="DL109" s="22"/>
      <c r="DM109" s="22"/>
      <c r="DN109" s="22"/>
      <c r="DO109" s="22"/>
      <c r="DP109" s="22"/>
      <c r="DQ109" s="22"/>
      <c r="DR109" s="22"/>
      <c r="DS109" s="22"/>
      <c r="DT109" s="22"/>
      <c r="DU109" s="22"/>
      <c r="DV109" s="22"/>
      <c r="DW109" s="22"/>
      <c r="DX109" s="22"/>
      <c r="DY109" s="22"/>
      <c r="DZ109" s="22"/>
      <c r="EA109" s="22"/>
      <c r="EB109" s="22"/>
      <c r="EC109" s="22"/>
      <c r="ED109" s="22"/>
      <c r="EE109" s="22"/>
      <c r="EF109" s="22"/>
      <c r="EG109" s="22"/>
      <c r="EH109" s="22"/>
      <c r="EI109" s="22"/>
      <c r="EJ109" s="22"/>
      <c r="EK109" s="22"/>
      <c r="EL109" s="22"/>
      <c r="EM109" s="22"/>
      <c r="EN109" s="22"/>
      <c r="EO109" s="22"/>
      <c r="EP109" s="22"/>
      <c r="EQ109" s="22"/>
      <c r="ER109" s="22"/>
      <c r="ES109" s="22"/>
      <c r="ET109" s="22"/>
      <c r="EU109" s="22"/>
      <c r="EV109" s="22"/>
      <c r="EW109" s="22"/>
      <c r="EX109" s="22"/>
      <c r="EY109" s="22"/>
      <c r="EZ109" s="22"/>
      <c r="FA109" s="22"/>
      <c r="FB109" s="22"/>
      <c r="FC109" s="22"/>
      <c r="FD109" s="22"/>
      <c r="FE109" s="22"/>
      <c r="FF109" s="22"/>
      <c r="FG109" s="22"/>
      <c r="FH109" s="22"/>
      <c r="FI109" s="22"/>
      <c r="FJ109" s="22"/>
      <c r="FK109" s="22"/>
      <c r="FL109" s="22"/>
      <c r="FM109" s="22"/>
      <c r="FN109" s="22"/>
      <c r="FO109" s="22"/>
      <c r="FP109" s="22"/>
      <c r="FQ109" s="22"/>
      <c r="FR109" s="22"/>
      <c r="FS109" s="22"/>
      <c r="FT109" s="22"/>
      <c r="FU109" s="22"/>
      <c r="FV109" s="22"/>
      <c r="FW109" s="22"/>
      <c r="FX109" s="22"/>
      <c r="FY109" s="22"/>
      <c r="FZ109" s="22"/>
      <c r="GA109" s="22"/>
      <c r="GB109" s="22"/>
      <c r="GC109" s="22"/>
      <c r="GD109" s="22"/>
      <c r="GE109" s="22"/>
      <c r="GF109" s="22"/>
      <c r="GG109" s="22"/>
      <c r="GH109" s="22"/>
      <c r="GI109" s="22"/>
      <c r="GJ109" s="22"/>
      <c r="GK109" s="22"/>
      <c r="GL109" s="22"/>
      <c r="GM109" s="22"/>
      <c r="GN109" s="22"/>
      <c r="GO109" s="22"/>
      <c r="GP109" s="22"/>
      <c r="GQ109" s="22"/>
      <c r="GR109" s="22"/>
      <c r="GS109" s="22"/>
      <c r="GT109" s="22"/>
      <c r="GU109" s="22"/>
      <c r="GV109" s="22"/>
      <c r="GW109" s="22"/>
      <c r="GX109" s="22"/>
      <c r="GY109" s="22"/>
      <c r="GZ109" s="22"/>
      <c r="HA109" s="22"/>
      <c r="HB109" s="22"/>
      <c r="HC109" s="22"/>
    </row>
    <row r="110" spans="1:211" ht="15" customHeight="1" x14ac:dyDescent="0.2">
      <c r="A110" s="22"/>
      <c r="B110" s="14"/>
      <c r="C110" s="73"/>
      <c r="D110" s="46"/>
      <c r="E110" s="46"/>
      <c r="F110" s="120"/>
      <c r="G110" s="120"/>
      <c r="H110" s="47"/>
      <c r="I110" s="116"/>
      <c r="J110" s="45"/>
      <c r="K110" s="45"/>
      <c r="L110" s="73"/>
      <c r="M110" s="118"/>
      <c r="N110" s="119"/>
      <c r="O110" s="113"/>
      <c r="P110" s="115"/>
      <c r="Q110"/>
      <c r="R110"/>
      <c r="S110" s="114"/>
      <c r="T110" s="110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2"/>
      <c r="BO110" s="22"/>
      <c r="BP110" s="22"/>
      <c r="BQ110" s="22"/>
      <c r="BR110" s="22"/>
      <c r="BS110" s="22"/>
      <c r="BT110" s="22"/>
      <c r="BU110" s="22"/>
      <c r="BV110" s="22"/>
      <c r="BW110" s="22"/>
      <c r="BX110" s="22"/>
      <c r="BY110" s="22"/>
      <c r="BZ110" s="22"/>
      <c r="CA110" s="22"/>
      <c r="CB110" s="22"/>
      <c r="CC110" s="22"/>
      <c r="CD110" s="22"/>
      <c r="CE110" s="22"/>
      <c r="CF110" s="22"/>
      <c r="CG110" s="22"/>
      <c r="CH110" s="22"/>
      <c r="CI110" s="22"/>
      <c r="CJ110" s="22"/>
      <c r="CK110" s="22"/>
      <c r="CL110" s="22"/>
      <c r="CM110" s="22"/>
      <c r="CN110" s="22"/>
      <c r="CO110" s="22"/>
      <c r="CP110" s="22"/>
      <c r="CQ110" s="22"/>
      <c r="CR110" s="22"/>
      <c r="CS110" s="22"/>
      <c r="CT110" s="22"/>
      <c r="CU110" s="22"/>
      <c r="CV110" s="22"/>
      <c r="CW110" s="22"/>
      <c r="CX110" s="22"/>
      <c r="CY110" s="22"/>
      <c r="CZ110" s="22"/>
      <c r="DA110" s="22"/>
      <c r="DB110" s="22"/>
      <c r="DC110" s="22"/>
      <c r="DD110" s="22"/>
      <c r="DE110" s="22"/>
      <c r="DF110" s="22"/>
      <c r="DG110" s="22"/>
      <c r="DH110" s="22"/>
      <c r="DI110" s="22"/>
      <c r="DJ110" s="22"/>
      <c r="DK110" s="22"/>
      <c r="DL110" s="22"/>
      <c r="DM110" s="22"/>
      <c r="DN110" s="22"/>
      <c r="DO110" s="22"/>
      <c r="DP110" s="22"/>
      <c r="DQ110" s="22"/>
      <c r="DR110" s="22"/>
      <c r="DS110" s="22"/>
      <c r="DT110" s="22"/>
      <c r="DU110" s="22"/>
      <c r="DV110" s="22"/>
      <c r="DW110" s="22"/>
      <c r="DX110" s="22"/>
      <c r="DY110" s="22"/>
      <c r="DZ110" s="22"/>
      <c r="EA110" s="22"/>
      <c r="EB110" s="22"/>
      <c r="EC110" s="22"/>
      <c r="ED110" s="22"/>
      <c r="EE110" s="22"/>
      <c r="EF110" s="22"/>
      <c r="EG110" s="22"/>
      <c r="EH110" s="22"/>
      <c r="EI110" s="22"/>
      <c r="EJ110" s="22"/>
      <c r="EK110" s="22"/>
      <c r="EL110" s="22"/>
      <c r="EM110" s="22"/>
      <c r="EN110" s="22"/>
      <c r="EO110" s="22"/>
      <c r="EP110" s="22"/>
      <c r="EQ110" s="22"/>
      <c r="ER110" s="22"/>
      <c r="ES110" s="22"/>
      <c r="ET110" s="22"/>
      <c r="EU110" s="22"/>
      <c r="EV110" s="22"/>
      <c r="EW110" s="22"/>
      <c r="EX110" s="22"/>
      <c r="EY110" s="22"/>
      <c r="EZ110" s="22"/>
      <c r="FA110" s="22"/>
      <c r="FB110" s="22"/>
      <c r="FC110" s="22"/>
      <c r="FD110" s="22"/>
      <c r="FE110" s="22"/>
      <c r="FF110" s="22"/>
      <c r="FG110" s="22"/>
      <c r="FH110" s="22"/>
      <c r="FI110" s="22"/>
      <c r="FJ110" s="22"/>
      <c r="FK110" s="22"/>
      <c r="FL110" s="22"/>
      <c r="FM110" s="22"/>
      <c r="FN110" s="22"/>
      <c r="FO110" s="22"/>
      <c r="FP110" s="22"/>
      <c r="FQ110" s="22"/>
      <c r="FR110" s="22"/>
      <c r="FS110" s="22"/>
      <c r="FT110" s="22"/>
      <c r="FU110" s="22"/>
      <c r="FV110" s="22"/>
      <c r="FW110" s="22"/>
      <c r="FX110" s="22"/>
      <c r="FY110" s="22"/>
      <c r="FZ110" s="22"/>
      <c r="GA110" s="22"/>
      <c r="GB110" s="22"/>
      <c r="GC110" s="22"/>
      <c r="GD110" s="22"/>
      <c r="GE110" s="22"/>
      <c r="GF110" s="22"/>
      <c r="GG110" s="22"/>
      <c r="GH110" s="22"/>
      <c r="GI110" s="22"/>
      <c r="GJ110" s="22"/>
      <c r="GK110" s="22"/>
      <c r="GL110" s="22"/>
      <c r="GM110" s="22"/>
      <c r="GN110" s="22"/>
      <c r="GO110" s="22"/>
      <c r="GP110" s="22"/>
      <c r="GQ110" s="22"/>
      <c r="GR110" s="22"/>
      <c r="GS110" s="22"/>
      <c r="GT110" s="22"/>
      <c r="GU110" s="22"/>
      <c r="GV110" s="22"/>
      <c r="GW110" s="22"/>
      <c r="GX110" s="22"/>
      <c r="GY110" s="22"/>
      <c r="GZ110" s="22"/>
      <c r="HA110" s="22"/>
      <c r="HB110" s="22"/>
      <c r="HC110" s="22"/>
    </row>
    <row r="111" spans="1:211" ht="15" customHeight="1" x14ac:dyDescent="0.2">
      <c r="A111" s="22"/>
      <c r="B111" s="14"/>
      <c r="C111" s="73"/>
      <c r="D111" s="46"/>
      <c r="E111" s="46"/>
      <c r="F111" s="120"/>
      <c r="G111" s="120"/>
      <c r="H111" s="47"/>
      <c r="I111" s="116"/>
      <c r="J111" s="45"/>
      <c r="K111" s="73"/>
      <c r="L111" s="73"/>
      <c r="M111" s="118"/>
      <c r="N111" s="119"/>
      <c r="O111" s="113"/>
      <c r="P111" s="115"/>
      <c r="Q111"/>
      <c r="R111"/>
      <c r="S111" s="114"/>
      <c r="T111" s="110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  <c r="BS111" s="22"/>
      <c r="BT111" s="22"/>
      <c r="BU111" s="22"/>
      <c r="BV111" s="22"/>
      <c r="BW111" s="22"/>
      <c r="BX111" s="22"/>
      <c r="BY111" s="22"/>
      <c r="BZ111" s="22"/>
      <c r="CA111" s="22"/>
      <c r="CB111" s="22"/>
      <c r="CC111" s="22"/>
      <c r="CD111" s="22"/>
      <c r="CE111" s="22"/>
      <c r="CF111" s="22"/>
      <c r="CG111" s="22"/>
      <c r="CH111" s="22"/>
      <c r="CI111" s="22"/>
      <c r="CJ111" s="22"/>
      <c r="CK111" s="22"/>
      <c r="CL111" s="22"/>
      <c r="CM111" s="22"/>
      <c r="CN111" s="22"/>
      <c r="CO111" s="22"/>
      <c r="CP111" s="22"/>
      <c r="CQ111" s="22"/>
      <c r="CR111" s="22"/>
      <c r="CS111" s="22"/>
      <c r="CT111" s="22"/>
      <c r="CU111" s="22"/>
      <c r="CV111" s="22"/>
      <c r="CW111" s="22"/>
      <c r="CX111" s="22"/>
      <c r="CY111" s="22"/>
      <c r="CZ111" s="22"/>
      <c r="DA111" s="22"/>
      <c r="DB111" s="22"/>
      <c r="DC111" s="22"/>
      <c r="DD111" s="22"/>
      <c r="DE111" s="22"/>
      <c r="DF111" s="22"/>
      <c r="DG111" s="22"/>
      <c r="DH111" s="22"/>
      <c r="DI111" s="22"/>
      <c r="DJ111" s="22"/>
      <c r="DK111" s="22"/>
      <c r="DL111" s="22"/>
      <c r="DM111" s="22"/>
      <c r="DN111" s="22"/>
      <c r="DO111" s="22"/>
      <c r="DP111" s="22"/>
      <c r="DQ111" s="22"/>
      <c r="DR111" s="22"/>
      <c r="DS111" s="22"/>
      <c r="DT111" s="22"/>
      <c r="DU111" s="22"/>
      <c r="DV111" s="22"/>
      <c r="DW111" s="22"/>
      <c r="DX111" s="22"/>
      <c r="DY111" s="22"/>
      <c r="DZ111" s="22"/>
      <c r="EA111" s="22"/>
      <c r="EB111" s="22"/>
      <c r="EC111" s="22"/>
      <c r="ED111" s="22"/>
      <c r="EE111" s="22"/>
      <c r="EF111" s="22"/>
      <c r="EG111" s="22"/>
      <c r="EH111" s="22"/>
      <c r="EI111" s="22"/>
      <c r="EJ111" s="22"/>
      <c r="EK111" s="22"/>
      <c r="EL111" s="22"/>
      <c r="EM111" s="22"/>
      <c r="EN111" s="22"/>
      <c r="EO111" s="22"/>
      <c r="EP111" s="22"/>
      <c r="EQ111" s="22"/>
      <c r="ER111" s="22"/>
      <c r="ES111" s="22"/>
      <c r="ET111" s="22"/>
      <c r="EU111" s="22"/>
      <c r="EV111" s="22"/>
      <c r="EW111" s="22"/>
      <c r="EX111" s="22"/>
      <c r="EY111" s="22"/>
      <c r="EZ111" s="22"/>
      <c r="FA111" s="22"/>
      <c r="FB111" s="22"/>
      <c r="FC111" s="22"/>
      <c r="FD111" s="22"/>
      <c r="FE111" s="22"/>
      <c r="FF111" s="22"/>
      <c r="FG111" s="22"/>
      <c r="FH111" s="22"/>
      <c r="FI111" s="22"/>
      <c r="FJ111" s="22"/>
      <c r="FK111" s="22"/>
      <c r="FL111" s="22"/>
      <c r="FM111" s="22"/>
      <c r="FN111" s="22"/>
      <c r="FO111" s="22"/>
      <c r="FP111" s="22"/>
      <c r="FQ111" s="22"/>
      <c r="FR111" s="22"/>
      <c r="FS111" s="22"/>
      <c r="FT111" s="22"/>
      <c r="FU111" s="22"/>
      <c r="FV111" s="22"/>
      <c r="FW111" s="22"/>
      <c r="FX111" s="22"/>
      <c r="FY111" s="22"/>
      <c r="FZ111" s="22"/>
      <c r="GA111" s="22"/>
      <c r="GB111" s="22"/>
      <c r="GC111" s="22"/>
      <c r="GD111" s="22"/>
      <c r="GE111" s="22"/>
      <c r="GF111" s="22"/>
      <c r="GG111" s="22"/>
      <c r="GH111" s="22"/>
      <c r="GI111" s="22"/>
      <c r="GJ111" s="22"/>
      <c r="GK111" s="22"/>
      <c r="GL111" s="22"/>
      <c r="GM111" s="22"/>
      <c r="GN111" s="22"/>
      <c r="GO111" s="22"/>
      <c r="GP111" s="22"/>
      <c r="GQ111" s="22"/>
      <c r="GR111" s="22"/>
      <c r="GS111" s="22"/>
      <c r="GT111" s="22"/>
      <c r="GU111" s="22"/>
      <c r="GV111" s="22"/>
      <c r="GW111" s="22"/>
      <c r="GX111" s="22"/>
      <c r="GY111" s="22"/>
      <c r="GZ111" s="22"/>
      <c r="HA111" s="22"/>
      <c r="HB111" s="22"/>
      <c r="HC111" s="22"/>
    </row>
    <row r="112" spans="1:211" ht="15" customHeight="1" x14ac:dyDescent="0.2">
      <c r="A112" s="22"/>
      <c r="B112" s="14"/>
      <c r="C112" s="73"/>
      <c r="D112" s="46"/>
      <c r="E112" s="46"/>
      <c r="F112" s="120"/>
      <c r="G112" s="120"/>
      <c r="H112" s="47"/>
      <c r="I112" s="116"/>
      <c r="J112" s="45"/>
      <c r="K112" s="45"/>
      <c r="L112" s="73"/>
      <c r="M112" s="118"/>
      <c r="N112" s="119"/>
      <c r="O112" s="113"/>
      <c r="P112" s="115"/>
      <c r="Q112"/>
      <c r="R112"/>
      <c r="S112" s="114"/>
      <c r="T112" s="110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  <c r="BS112" s="22"/>
      <c r="BT112" s="22"/>
      <c r="BU112" s="22"/>
      <c r="BV112" s="22"/>
      <c r="BW112" s="22"/>
      <c r="BX112" s="22"/>
      <c r="BY112" s="22"/>
      <c r="BZ112" s="22"/>
      <c r="CA112" s="22"/>
      <c r="CB112" s="22"/>
      <c r="CC112" s="22"/>
      <c r="CD112" s="22"/>
      <c r="CE112" s="22"/>
      <c r="CF112" s="22"/>
      <c r="CG112" s="22"/>
      <c r="CH112" s="22"/>
      <c r="CI112" s="22"/>
      <c r="CJ112" s="22"/>
      <c r="CK112" s="22"/>
      <c r="CL112" s="22"/>
      <c r="CM112" s="22"/>
      <c r="CN112" s="22"/>
      <c r="CO112" s="22"/>
      <c r="CP112" s="22"/>
      <c r="CQ112" s="22"/>
      <c r="CR112" s="22"/>
      <c r="CS112" s="22"/>
      <c r="CT112" s="22"/>
      <c r="CU112" s="22"/>
      <c r="CV112" s="22"/>
      <c r="CW112" s="22"/>
      <c r="CX112" s="22"/>
      <c r="CY112" s="22"/>
      <c r="CZ112" s="22"/>
      <c r="DA112" s="22"/>
      <c r="DB112" s="22"/>
      <c r="DC112" s="22"/>
      <c r="DD112" s="22"/>
      <c r="DE112" s="22"/>
      <c r="DF112" s="22"/>
      <c r="DG112" s="22"/>
      <c r="DH112" s="22"/>
      <c r="DI112" s="22"/>
      <c r="DJ112" s="22"/>
      <c r="DK112" s="22"/>
      <c r="DL112" s="22"/>
      <c r="DM112" s="22"/>
      <c r="DN112" s="22"/>
      <c r="DO112" s="22"/>
      <c r="DP112" s="22"/>
      <c r="DQ112" s="22"/>
      <c r="DR112" s="22"/>
      <c r="DS112" s="22"/>
      <c r="DT112" s="22"/>
      <c r="DU112" s="22"/>
      <c r="DV112" s="22"/>
      <c r="DW112" s="22"/>
      <c r="DX112" s="22"/>
      <c r="DY112" s="22"/>
      <c r="DZ112" s="22"/>
      <c r="EA112" s="22"/>
      <c r="EB112" s="22"/>
      <c r="EC112" s="22"/>
      <c r="ED112" s="22"/>
      <c r="EE112" s="22"/>
      <c r="EF112" s="22"/>
      <c r="EG112" s="22"/>
      <c r="EH112" s="22"/>
      <c r="EI112" s="22"/>
      <c r="EJ112" s="22"/>
      <c r="EK112" s="22"/>
      <c r="EL112" s="22"/>
      <c r="EM112" s="22"/>
      <c r="EN112" s="22"/>
      <c r="EO112" s="22"/>
      <c r="EP112" s="22"/>
      <c r="EQ112" s="22"/>
      <c r="ER112" s="22"/>
      <c r="ES112" s="22"/>
      <c r="ET112" s="22"/>
      <c r="EU112" s="22"/>
      <c r="EV112" s="22"/>
      <c r="EW112" s="22"/>
      <c r="EX112" s="22"/>
      <c r="EY112" s="22"/>
      <c r="EZ112" s="22"/>
      <c r="FA112" s="22"/>
      <c r="FB112" s="22"/>
      <c r="FC112" s="22"/>
      <c r="FD112" s="22"/>
      <c r="FE112" s="22"/>
      <c r="FF112" s="22"/>
      <c r="FG112" s="22"/>
      <c r="FH112" s="22"/>
      <c r="FI112" s="22"/>
      <c r="FJ112" s="22"/>
      <c r="FK112" s="22"/>
      <c r="FL112" s="22"/>
      <c r="FM112" s="22"/>
      <c r="FN112" s="22"/>
      <c r="FO112" s="22"/>
      <c r="FP112" s="22"/>
      <c r="FQ112" s="22"/>
      <c r="FR112" s="22"/>
      <c r="FS112" s="22"/>
      <c r="FT112" s="22"/>
      <c r="FU112" s="22"/>
      <c r="FV112" s="22"/>
      <c r="FW112" s="22"/>
      <c r="FX112" s="22"/>
      <c r="FY112" s="22"/>
      <c r="FZ112" s="22"/>
      <c r="GA112" s="22"/>
      <c r="GB112" s="22"/>
      <c r="GC112" s="22"/>
      <c r="GD112" s="22"/>
      <c r="GE112" s="22"/>
      <c r="GF112" s="22"/>
      <c r="GG112" s="22"/>
      <c r="GH112" s="22"/>
      <c r="GI112" s="22"/>
      <c r="GJ112" s="22"/>
      <c r="GK112" s="22"/>
      <c r="GL112" s="22"/>
      <c r="GM112" s="22"/>
      <c r="GN112" s="22"/>
      <c r="GO112" s="22"/>
      <c r="GP112" s="22"/>
      <c r="GQ112" s="22"/>
      <c r="GR112" s="22"/>
      <c r="GS112" s="22"/>
      <c r="GT112" s="22"/>
      <c r="GU112" s="22"/>
      <c r="GV112" s="22"/>
      <c r="GW112" s="22"/>
      <c r="GX112" s="22"/>
      <c r="GY112" s="22"/>
      <c r="GZ112" s="22"/>
      <c r="HA112" s="22"/>
      <c r="HB112" s="22"/>
      <c r="HC112" s="22"/>
    </row>
    <row r="113" spans="1:211" ht="15" customHeight="1" x14ac:dyDescent="0.2">
      <c r="A113" s="22"/>
      <c r="B113" s="14"/>
      <c r="C113" s="73"/>
      <c r="D113" s="46"/>
      <c r="E113" s="46"/>
      <c r="F113" s="120"/>
      <c r="G113" s="120"/>
      <c r="H113" s="47"/>
      <c r="I113" s="116"/>
      <c r="J113" s="45"/>
      <c r="K113" s="73"/>
      <c r="L113" s="73"/>
      <c r="M113" s="118"/>
      <c r="N113" s="119"/>
      <c r="O113" s="113"/>
      <c r="P113" s="115"/>
      <c r="Q113"/>
      <c r="R113"/>
      <c r="S113" s="114"/>
      <c r="T113" s="110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  <c r="BS113" s="22"/>
      <c r="BT113" s="22"/>
      <c r="BU113" s="22"/>
      <c r="BV113" s="22"/>
      <c r="BW113" s="22"/>
      <c r="BX113" s="22"/>
      <c r="BY113" s="22"/>
      <c r="BZ113" s="22"/>
      <c r="CA113" s="22"/>
      <c r="CB113" s="22"/>
      <c r="CC113" s="22"/>
      <c r="CD113" s="22"/>
      <c r="CE113" s="22"/>
      <c r="CF113" s="22"/>
      <c r="CG113" s="22"/>
      <c r="CH113" s="22"/>
      <c r="CI113" s="22"/>
      <c r="CJ113" s="22"/>
      <c r="CK113" s="22"/>
      <c r="CL113" s="22"/>
      <c r="CM113" s="22"/>
      <c r="CN113" s="22"/>
      <c r="CO113" s="22"/>
      <c r="CP113" s="22"/>
      <c r="CQ113" s="22"/>
      <c r="CR113" s="22"/>
      <c r="CS113" s="22"/>
      <c r="CT113" s="22"/>
      <c r="CU113" s="22"/>
      <c r="CV113" s="22"/>
      <c r="CW113" s="22"/>
      <c r="CX113" s="22"/>
      <c r="CY113" s="22"/>
      <c r="CZ113" s="22"/>
      <c r="DA113" s="22"/>
      <c r="DB113" s="22"/>
      <c r="DC113" s="22"/>
      <c r="DD113" s="22"/>
      <c r="DE113" s="22"/>
      <c r="DF113" s="22"/>
      <c r="DG113" s="22"/>
      <c r="DH113" s="22"/>
      <c r="DI113" s="22"/>
      <c r="DJ113" s="22"/>
      <c r="DK113" s="22"/>
      <c r="DL113" s="22"/>
      <c r="DM113" s="22"/>
      <c r="DN113" s="22"/>
      <c r="DO113" s="22"/>
      <c r="DP113" s="22"/>
      <c r="DQ113" s="22"/>
      <c r="DR113" s="22"/>
      <c r="DS113" s="22"/>
      <c r="DT113" s="22"/>
      <c r="DU113" s="22"/>
      <c r="DV113" s="22"/>
      <c r="DW113" s="22"/>
      <c r="DX113" s="22"/>
      <c r="DY113" s="22"/>
      <c r="DZ113" s="22"/>
      <c r="EA113" s="22"/>
      <c r="EB113" s="22"/>
      <c r="EC113" s="22"/>
      <c r="ED113" s="22"/>
      <c r="EE113" s="22"/>
      <c r="EF113" s="22"/>
      <c r="EG113" s="22"/>
      <c r="EH113" s="22"/>
      <c r="EI113" s="22"/>
      <c r="EJ113" s="22"/>
      <c r="EK113" s="22"/>
      <c r="EL113" s="22"/>
      <c r="EM113" s="22"/>
      <c r="EN113" s="22"/>
      <c r="EO113" s="22"/>
      <c r="EP113" s="22"/>
      <c r="EQ113" s="22"/>
      <c r="ER113" s="22"/>
      <c r="ES113" s="22"/>
      <c r="ET113" s="22"/>
      <c r="EU113" s="22"/>
      <c r="EV113" s="22"/>
      <c r="EW113" s="22"/>
      <c r="EX113" s="22"/>
      <c r="EY113" s="22"/>
      <c r="EZ113" s="22"/>
      <c r="FA113" s="22"/>
      <c r="FB113" s="22"/>
      <c r="FC113" s="22"/>
      <c r="FD113" s="22"/>
      <c r="FE113" s="22"/>
      <c r="FF113" s="22"/>
      <c r="FG113" s="22"/>
      <c r="FH113" s="22"/>
      <c r="FI113" s="22"/>
      <c r="FJ113" s="22"/>
      <c r="FK113" s="22"/>
      <c r="FL113" s="22"/>
      <c r="FM113" s="22"/>
      <c r="FN113" s="22"/>
      <c r="FO113" s="22"/>
      <c r="FP113" s="22"/>
      <c r="FQ113" s="22"/>
      <c r="FR113" s="22"/>
      <c r="FS113" s="22"/>
      <c r="FT113" s="22"/>
      <c r="FU113" s="22"/>
      <c r="FV113" s="22"/>
      <c r="FW113" s="22"/>
      <c r="FX113" s="22"/>
      <c r="FY113" s="22"/>
      <c r="FZ113" s="22"/>
      <c r="GA113" s="22"/>
      <c r="GB113" s="22"/>
      <c r="GC113" s="22"/>
      <c r="GD113" s="22"/>
      <c r="GE113" s="22"/>
      <c r="GF113" s="22"/>
      <c r="GG113" s="22"/>
      <c r="GH113" s="22"/>
      <c r="GI113" s="22"/>
      <c r="GJ113" s="22"/>
      <c r="GK113" s="22"/>
      <c r="GL113" s="22"/>
      <c r="GM113" s="22"/>
      <c r="GN113" s="22"/>
      <c r="GO113" s="22"/>
      <c r="GP113" s="22"/>
      <c r="GQ113" s="22"/>
      <c r="GR113" s="22"/>
      <c r="GS113" s="22"/>
      <c r="GT113" s="22"/>
      <c r="GU113" s="22"/>
      <c r="GV113" s="22"/>
      <c r="GW113" s="22"/>
      <c r="GX113" s="22"/>
      <c r="GY113" s="22"/>
      <c r="GZ113" s="22"/>
      <c r="HA113" s="22"/>
      <c r="HB113" s="22"/>
      <c r="HC113" s="22"/>
    </row>
    <row r="114" spans="1:211" ht="15" customHeight="1" x14ac:dyDescent="0.2">
      <c r="A114" s="22"/>
      <c r="B114" s="14"/>
      <c r="C114" s="73"/>
      <c r="D114" s="46"/>
      <c r="E114" s="46"/>
      <c r="F114" s="120"/>
      <c r="G114" s="120"/>
      <c r="H114" s="47"/>
      <c r="I114" s="116"/>
      <c r="J114" s="45"/>
      <c r="K114" s="73"/>
      <c r="L114" s="73"/>
      <c r="M114" s="118"/>
      <c r="N114" s="119"/>
      <c r="O114" s="113"/>
      <c r="P114" s="115"/>
      <c r="Q114"/>
      <c r="R114"/>
      <c r="S114" s="114"/>
      <c r="T114" s="110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2"/>
      <c r="BO114" s="22"/>
      <c r="BP114" s="22"/>
      <c r="BQ114" s="22"/>
      <c r="BR114" s="22"/>
      <c r="BS114" s="22"/>
      <c r="BT114" s="22"/>
      <c r="BU114" s="22"/>
      <c r="BV114" s="22"/>
      <c r="BW114" s="22"/>
      <c r="BX114" s="22"/>
      <c r="BY114" s="22"/>
      <c r="BZ114" s="22"/>
      <c r="CA114" s="22"/>
      <c r="CB114" s="22"/>
      <c r="CC114" s="22"/>
      <c r="CD114" s="22"/>
      <c r="CE114" s="22"/>
      <c r="CF114" s="22"/>
      <c r="CG114" s="22"/>
      <c r="CH114" s="22"/>
      <c r="CI114" s="22"/>
      <c r="CJ114" s="22"/>
      <c r="CK114" s="22"/>
      <c r="CL114" s="22"/>
      <c r="CM114" s="22"/>
      <c r="CN114" s="22"/>
      <c r="CO114" s="22"/>
      <c r="CP114" s="22"/>
      <c r="CQ114" s="22"/>
      <c r="CR114" s="22"/>
      <c r="CS114" s="22"/>
      <c r="CT114" s="22"/>
      <c r="CU114" s="22"/>
      <c r="CV114" s="22"/>
      <c r="CW114" s="22"/>
      <c r="CX114" s="22"/>
      <c r="CY114" s="22"/>
      <c r="CZ114" s="22"/>
      <c r="DA114" s="22"/>
      <c r="DB114" s="22"/>
      <c r="DC114" s="22"/>
      <c r="DD114" s="22"/>
      <c r="DE114" s="22"/>
      <c r="DF114" s="22"/>
      <c r="DG114" s="22"/>
      <c r="DH114" s="22"/>
      <c r="DI114" s="22"/>
      <c r="DJ114" s="22"/>
      <c r="DK114" s="22"/>
      <c r="DL114" s="22"/>
      <c r="DM114" s="22"/>
      <c r="DN114" s="22"/>
      <c r="DO114" s="22"/>
      <c r="DP114" s="22"/>
      <c r="DQ114" s="22"/>
      <c r="DR114" s="22"/>
      <c r="DS114" s="22"/>
      <c r="DT114" s="22"/>
      <c r="DU114" s="22"/>
      <c r="DV114" s="22"/>
      <c r="DW114" s="22"/>
      <c r="DX114" s="22"/>
      <c r="DY114" s="22"/>
      <c r="DZ114" s="22"/>
      <c r="EA114" s="22"/>
      <c r="EB114" s="22"/>
      <c r="EC114" s="22"/>
      <c r="ED114" s="22"/>
      <c r="EE114" s="22"/>
      <c r="EF114" s="22"/>
      <c r="EG114" s="22"/>
      <c r="EH114" s="22"/>
      <c r="EI114" s="22"/>
      <c r="EJ114" s="22"/>
      <c r="EK114" s="22"/>
      <c r="EL114" s="22"/>
      <c r="EM114" s="22"/>
      <c r="EN114" s="22"/>
      <c r="EO114" s="22"/>
      <c r="EP114" s="22"/>
      <c r="EQ114" s="22"/>
      <c r="ER114" s="22"/>
      <c r="ES114" s="22"/>
      <c r="ET114" s="22"/>
      <c r="EU114" s="22"/>
      <c r="EV114" s="22"/>
      <c r="EW114" s="22"/>
      <c r="EX114" s="22"/>
      <c r="EY114" s="22"/>
      <c r="EZ114" s="22"/>
      <c r="FA114" s="22"/>
      <c r="FB114" s="22"/>
      <c r="FC114" s="22"/>
      <c r="FD114" s="22"/>
      <c r="FE114" s="22"/>
      <c r="FF114" s="22"/>
      <c r="FG114" s="22"/>
      <c r="FH114" s="22"/>
      <c r="FI114" s="22"/>
      <c r="FJ114" s="22"/>
      <c r="FK114" s="22"/>
      <c r="FL114" s="22"/>
      <c r="FM114" s="22"/>
      <c r="FN114" s="22"/>
      <c r="FO114" s="22"/>
      <c r="FP114" s="22"/>
      <c r="FQ114" s="22"/>
      <c r="FR114" s="22"/>
      <c r="FS114" s="22"/>
      <c r="FT114" s="22"/>
      <c r="FU114" s="22"/>
      <c r="FV114" s="22"/>
      <c r="FW114" s="22"/>
      <c r="FX114" s="22"/>
      <c r="FY114" s="22"/>
      <c r="FZ114" s="22"/>
      <c r="GA114" s="22"/>
      <c r="GB114" s="22"/>
      <c r="GC114" s="22"/>
      <c r="GD114" s="22"/>
      <c r="GE114" s="22"/>
      <c r="GF114" s="22"/>
      <c r="GG114" s="22"/>
      <c r="GH114" s="22"/>
      <c r="GI114" s="22"/>
      <c r="GJ114" s="22"/>
      <c r="GK114" s="22"/>
      <c r="GL114" s="22"/>
      <c r="GM114" s="22"/>
      <c r="GN114" s="22"/>
      <c r="GO114" s="22"/>
      <c r="GP114" s="22"/>
      <c r="GQ114" s="22"/>
      <c r="GR114" s="22"/>
      <c r="GS114" s="22"/>
      <c r="GT114" s="22"/>
      <c r="GU114" s="22"/>
      <c r="GV114" s="22"/>
      <c r="GW114" s="22"/>
      <c r="GX114" s="22"/>
      <c r="GY114" s="22"/>
      <c r="GZ114" s="22"/>
      <c r="HA114" s="22"/>
      <c r="HB114" s="22"/>
      <c r="HC114" s="22"/>
    </row>
    <row r="115" spans="1:211" ht="15" customHeight="1" x14ac:dyDescent="0.2">
      <c r="A115" s="22"/>
      <c r="B115" s="14"/>
      <c r="C115" s="73"/>
      <c r="D115" s="46"/>
      <c r="E115" s="46"/>
      <c r="F115" s="120"/>
      <c r="G115" s="120"/>
      <c r="H115" s="47"/>
      <c r="I115" s="116"/>
      <c r="J115" s="45"/>
      <c r="K115" s="73"/>
      <c r="L115" s="73"/>
      <c r="M115" s="118"/>
      <c r="N115" s="119"/>
      <c r="O115" s="113"/>
      <c r="P115" s="115"/>
      <c r="Q115"/>
      <c r="R115"/>
      <c r="S115" s="114"/>
      <c r="T115" s="110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2"/>
      <c r="BO115" s="22"/>
      <c r="BP115" s="22"/>
      <c r="BQ115" s="22"/>
      <c r="BR115" s="22"/>
      <c r="BS115" s="22"/>
      <c r="BT115" s="22"/>
      <c r="BU115" s="22"/>
      <c r="BV115" s="22"/>
      <c r="BW115" s="22"/>
      <c r="BX115" s="22"/>
      <c r="BY115" s="22"/>
      <c r="BZ115" s="22"/>
      <c r="CA115" s="22"/>
      <c r="CB115" s="22"/>
      <c r="CC115" s="22"/>
      <c r="CD115" s="22"/>
      <c r="CE115" s="22"/>
      <c r="CF115" s="22"/>
      <c r="CG115" s="22"/>
      <c r="CH115" s="22"/>
      <c r="CI115" s="22"/>
      <c r="CJ115" s="22"/>
      <c r="CK115" s="22"/>
      <c r="CL115" s="22"/>
      <c r="CM115" s="22"/>
      <c r="CN115" s="22"/>
      <c r="CO115" s="22"/>
      <c r="CP115" s="22"/>
      <c r="CQ115" s="22"/>
      <c r="CR115" s="22"/>
      <c r="CS115" s="22"/>
      <c r="CT115" s="22"/>
      <c r="CU115" s="22"/>
      <c r="CV115" s="22"/>
      <c r="CW115" s="22"/>
      <c r="CX115" s="22"/>
      <c r="CY115" s="22"/>
      <c r="CZ115" s="22"/>
      <c r="DA115" s="22"/>
      <c r="DB115" s="22"/>
      <c r="DC115" s="22"/>
      <c r="DD115" s="22"/>
      <c r="DE115" s="22"/>
      <c r="DF115" s="22"/>
      <c r="DG115" s="22"/>
      <c r="DH115" s="22"/>
      <c r="DI115" s="22"/>
      <c r="DJ115" s="22"/>
      <c r="DK115" s="22"/>
      <c r="DL115" s="22"/>
      <c r="DM115" s="22"/>
      <c r="DN115" s="22"/>
      <c r="DO115" s="22"/>
      <c r="DP115" s="22"/>
      <c r="DQ115" s="22"/>
      <c r="DR115" s="22"/>
      <c r="DS115" s="22"/>
      <c r="DT115" s="22"/>
      <c r="DU115" s="22"/>
      <c r="DV115" s="22"/>
      <c r="DW115" s="22"/>
      <c r="DX115" s="22"/>
      <c r="DY115" s="22"/>
      <c r="DZ115" s="22"/>
      <c r="EA115" s="22"/>
      <c r="EB115" s="22"/>
      <c r="EC115" s="22"/>
      <c r="ED115" s="22"/>
      <c r="EE115" s="22"/>
      <c r="EF115" s="22"/>
      <c r="EG115" s="22"/>
      <c r="EH115" s="22"/>
      <c r="EI115" s="22"/>
      <c r="EJ115" s="22"/>
      <c r="EK115" s="22"/>
      <c r="EL115" s="22"/>
      <c r="EM115" s="22"/>
      <c r="EN115" s="22"/>
      <c r="EO115" s="22"/>
      <c r="EP115" s="22"/>
      <c r="EQ115" s="22"/>
      <c r="ER115" s="22"/>
      <c r="ES115" s="22"/>
      <c r="ET115" s="22"/>
      <c r="EU115" s="22"/>
      <c r="EV115" s="22"/>
      <c r="EW115" s="22"/>
      <c r="EX115" s="22"/>
      <c r="EY115" s="22"/>
      <c r="EZ115" s="22"/>
      <c r="FA115" s="22"/>
      <c r="FB115" s="22"/>
      <c r="FC115" s="22"/>
      <c r="FD115" s="22"/>
      <c r="FE115" s="22"/>
      <c r="FF115" s="22"/>
      <c r="FG115" s="22"/>
      <c r="FH115" s="22"/>
      <c r="FI115" s="22"/>
      <c r="FJ115" s="22"/>
      <c r="FK115" s="22"/>
      <c r="FL115" s="22"/>
      <c r="FM115" s="22"/>
      <c r="FN115" s="22"/>
      <c r="FO115" s="22"/>
      <c r="FP115" s="22"/>
      <c r="FQ115" s="22"/>
      <c r="FR115" s="22"/>
      <c r="FS115" s="22"/>
      <c r="FT115" s="22"/>
      <c r="FU115" s="22"/>
      <c r="FV115" s="22"/>
      <c r="FW115" s="22"/>
      <c r="FX115" s="22"/>
      <c r="FY115" s="22"/>
      <c r="FZ115" s="22"/>
      <c r="GA115" s="22"/>
      <c r="GB115" s="22"/>
      <c r="GC115" s="22"/>
      <c r="GD115" s="22"/>
      <c r="GE115" s="22"/>
      <c r="GF115" s="22"/>
      <c r="GG115" s="22"/>
      <c r="GH115" s="22"/>
      <c r="GI115" s="22"/>
      <c r="GJ115" s="22"/>
      <c r="GK115" s="22"/>
      <c r="GL115" s="22"/>
      <c r="GM115" s="22"/>
      <c r="GN115" s="22"/>
      <c r="GO115" s="22"/>
      <c r="GP115" s="22"/>
      <c r="GQ115" s="22"/>
      <c r="GR115" s="22"/>
      <c r="GS115" s="22"/>
      <c r="GT115" s="22"/>
      <c r="GU115" s="22"/>
      <c r="GV115" s="22"/>
      <c r="GW115" s="22"/>
      <c r="GX115" s="22"/>
      <c r="GY115" s="22"/>
      <c r="GZ115" s="22"/>
      <c r="HA115" s="22"/>
      <c r="HB115" s="22"/>
      <c r="HC115" s="22"/>
    </row>
    <row r="116" spans="1:211" ht="15" customHeight="1" x14ac:dyDescent="0.2">
      <c r="A116" s="22"/>
      <c r="B116" s="14"/>
      <c r="C116" s="73"/>
      <c r="D116" s="46"/>
      <c r="E116" s="46"/>
      <c r="F116" s="120"/>
      <c r="G116" s="120"/>
      <c r="H116" s="47"/>
      <c r="I116" s="116"/>
      <c r="J116" s="45"/>
      <c r="K116" s="73"/>
      <c r="L116" s="73"/>
      <c r="M116" s="118"/>
      <c r="N116" s="119"/>
      <c r="O116" s="113"/>
      <c r="P116" s="115"/>
      <c r="Q116"/>
      <c r="R116"/>
      <c r="S116" s="114"/>
      <c r="T116" s="110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2"/>
      <c r="BO116" s="22"/>
      <c r="BP116" s="22"/>
      <c r="BQ116" s="22"/>
      <c r="BR116" s="22"/>
      <c r="BS116" s="22"/>
      <c r="BT116" s="22"/>
      <c r="BU116" s="22"/>
      <c r="BV116" s="22"/>
      <c r="BW116" s="22"/>
      <c r="BX116" s="22"/>
      <c r="BY116" s="22"/>
      <c r="BZ116" s="22"/>
      <c r="CA116" s="22"/>
      <c r="CB116" s="22"/>
      <c r="CC116" s="22"/>
      <c r="CD116" s="22"/>
      <c r="CE116" s="22"/>
      <c r="CF116" s="22"/>
      <c r="CG116" s="22"/>
      <c r="CH116" s="22"/>
      <c r="CI116" s="22"/>
      <c r="CJ116" s="22"/>
      <c r="CK116" s="22"/>
      <c r="CL116" s="22"/>
      <c r="CM116" s="22"/>
      <c r="CN116" s="22"/>
      <c r="CO116" s="22"/>
      <c r="CP116" s="22"/>
      <c r="CQ116" s="22"/>
      <c r="CR116" s="22"/>
      <c r="CS116" s="22"/>
      <c r="CT116" s="22"/>
      <c r="CU116" s="22"/>
      <c r="CV116" s="22"/>
      <c r="CW116" s="22"/>
      <c r="CX116" s="22"/>
      <c r="CY116" s="22"/>
      <c r="CZ116" s="22"/>
      <c r="DA116" s="22"/>
      <c r="DB116" s="22"/>
      <c r="DC116" s="22"/>
      <c r="DD116" s="22"/>
      <c r="DE116" s="22"/>
      <c r="DF116" s="22"/>
      <c r="DG116" s="22"/>
      <c r="DH116" s="22"/>
      <c r="DI116" s="22"/>
      <c r="DJ116" s="22"/>
      <c r="DK116" s="22"/>
      <c r="DL116" s="22"/>
      <c r="DM116" s="22"/>
      <c r="DN116" s="22"/>
      <c r="DO116" s="22"/>
      <c r="DP116" s="22"/>
      <c r="DQ116" s="22"/>
      <c r="DR116" s="22"/>
      <c r="DS116" s="22"/>
      <c r="DT116" s="22"/>
      <c r="DU116" s="22"/>
      <c r="DV116" s="22"/>
      <c r="DW116" s="22"/>
      <c r="DX116" s="22"/>
      <c r="DY116" s="22"/>
      <c r="DZ116" s="22"/>
      <c r="EA116" s="22"/>
      <c r="EB116" s="22"/>
      <c r="EC116" s="22"/>
      <c r="ED116" s="22"/>
      <c r="EE116" s="22"/>
      <c r="EF116" s="22"/>
      <c r="EG116" s="22"/>
      <c r="EH116" s="22"/>
      <c r="EI116" s="22"/>
      <c r="EJ116" s="22"/>
      <c r="EK116" s="22"/>
      <c r="EL116" s="22"/>
      <c r="EM116" s="22"/>
      <c r="EN116" s="22"/>
      <c r="EO116" s="22"/>
      <c r="EP116" s="22"/>
      <c r="EQ116" s="22"/>
      <c r="ER116" s="22"/>
      <c r="ES116" s="22"/>
      <c r="ET116" s="22"/>
      <c r="EU116" s="22"/>
      <c r="EV116" s="22"/>
      <c r="EW116" s="22"/>
      <c r="EX116" s="22"/>
      <c r="EY116" s="22"/>
      <c r="EZ116" s="22"/>
      <c r="FA116" s="22"/>
      <c r="FB116" s="22"/>
      <c r="FC116" s="22"/>
      <c r="FD116" s="22"/>
      <c r="FE116" s="22"/>
      <c r="FF116" s="22"/>
      <c r="FG116" s="22"/>
      <c r="FH116" s="22"/>
      <c r="FI116" s="22"/>
      <c r="FJ116" s="22"/>
      <c r="FK116" s="22"/>
      <c r="FL116" s="22"/>
      <c r="FM116" s="22"/>
      <c r="FN116" s="22"/>
      <c r="FO116" s="22"/>
      <c r="FP116" s="22"/>
      <c r="FQ116" s="22"/>
      <c r="FR116" s="22"/>
      <c r="FS116" s="22"/>
      <c r="FT116" s="22"/>
      <c r="FU116" s="22"/>
      <c r="FV116" s="22"/>
      <c r="FW116" s="22"/>
      <c r="FX116" s="22"/>
      <c r="FY116" s="22"/>
      <c r="FZ116" s="22"/>
      <c r="GA116" s="22"/>
      <c r="GB116" s="22"/>
      <c r="GC116" s="22"/>
      <c r="GD116" s="22"/>
      <c r="GE116" s="22"/>
      <c r="GF116" s="22"/>
      <c r="GG116" s="22"/>
      <c r="GH116" s="22"/>
      <c r="GI116" s="22"/>
      <c r="GJ116" s="22"/>
      <c r="GK116" s="22"/>
      <c r="GL116" s="22"/>
      <c r="GM116" s="22"/>
      <c r="GN116" s="22"/>
      <c r="GO116" s="22"/>
      <c r="GP116" s="22"/>
      <c r="GQ116" s="22"/>
      <c r="GR116" s="22"/>
      <c r="GS116" s="22"/>
      <c r="GT116" s="22"/>
      <c r="GU116" s="22"/>
      <c r="GV116" s="22"/>
      <c r="GW116" s="22"/>
      <c r="GX116" s="22"/>
      <c r="GY116" s="22"/>
      <c r="GZ116" s="22"/>
      <c r="HA116" s="22"/>
      <c r="HB116" s="22"/>
      <c r="HC116" s="22"/>
    </row>
    <row r="117" spans="1:211" ht="15" customHeight="1" x14ac:dyDescent="0.2">
      <c r="A117" s="22"/>
      <c r="B117" s="14"/>
      <c r="C117" s="73"/>
      <c r="D117" s="46"/>
      <c r="E117" s="46"/>
      <c r="F117" s="120"/>
      <c r="G117" s="120"/>
      <c r="H117" s="47"/>
      <c r="I117" s="116"/>
      <c r="J117" s="45"/>
      <c r="K117" s="45"/>
      <c r="L117" s="73"/>
      <c r="M117" s="118"/>
      <c r="N117" s="119"/>
      <c r="O117" s="113"/>
      <c r="P117" s="115"/>
      <c r="Q117"/>
      <c r="R117"/>
      <c r="S117" s="114"/>
      <c r="T117" s="110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2"/>
      <c r="BO117" s="22"/>
      <c r="BP117" s="22"/>
      <c r="BQ117" s="22"/>
      <c r="BR117" s="22"/>
      <c r="BS117" s="22"/>
      <c r="BT117" s="22"/>
      <c r="BU117" s="22"/>
      <c r="BV117" s="22"/>
      <c r="BW117" s="22"/>
      <c r="BX117" s="22"/>
      <c r="BY117" s="22"/>
      <c r="BZ117" s="22"/>
      <c r="CA117" s="22"/>
      <c r="CB117" s="22"/>
      <c r="CC117" s="22"/>
      <c r="CD117" s="22"/>
      <c r="CE117" s="22"/>
      <c r="CF117" s="22"/>
      <c r="CG117" s="22"/>
      <c r="CH117" s="22"/>
      <c r="CI117" s="22"/>
      <c r="CJ117" s="22"/>
      <c r="CK117" s="22"/>
      <c r="CL117" s="22"/>
      <c r="CM117" s="22"/>
      <c r="CN117" s="22"/>
      <c r="CO117" s="22"/>
      <c r="CP117" s="22"/>
      <c r="CQ117" s="22"/>
      <c r="CR117" s="22"/>
      <c r="CS117" s="22"/>
      <c r="CT117" s="22"/>
      <c r="CU117" s="22"/>
      <c r="CV117" s="22"/>
      <c r="CW117" s="22"/>
      <c r="CX117" s="22"/>
      <c r="CY117" s="22"/>
      <c r="CZ117" s="22"/>
      <c r="DA117" s="22"/>
      <c r="DB117" s="22"/>
      <c r="DC117" s="22"/>
      <c r="DD117" s="22"/>
      <c r="DE117" s="22"/>
      <c r="DF117" s="22"/>
      <c r="DG117" s="22"/>
      <c r="DH117" s="22"/>
      <c r="DI117" s="22"/>
      <c r="DJ117" s="22"/>
      <c r="DK117" s="22"/>
      <c r="DL117" s="22"/>
      <c r="DM117" s="22"/>
      <c r="DN117" s="22"/>
      <c r="DO117" s="22"/>
      <c r="DP117" s="22"/>
      <c r="DQ117" s="22"/>
      <c r="DR117" s="22"/>
      <c r="DS117" s="22"/>
      <c r="DT117" s="22"/>
      <c r="DU117" s="22"/>
      <c r="DV117" s="22"/>
      <c r="DW117" s="22"/>
      <c r="DX117" s="22"/>
      <c r="DY117" s="22"/>
      <c r="DZ117" s="22"/>
      <c r="EA117" s="22"/>
      <c r="EB117" s="22"/>
      <c r="EC117" s="22"/>
      <c r="ED117" s="22"/>
      <c r="EE117" s="22"/>
      <c r="EF117" s="22"/>
      <c r="EG117" s="22"/>
      <c r="EH117" s="22"/>
      <c r="EI117" s="22"/>
      <c r="EJ117" s="22"/>
      <c r="EK117" s="22"/>
      <c r="EL117" s="22"/>
      <c r="EM117" s="22"/>
      <c r="EN117" s="22"/>
      <c r="EO117" s="22"/>
      <c r="EP117" s="22"/>
      <c r="EQ117" s="22"/>
      <c r="ER117" s="22"/>
      <c r="ES117" s="22"/>
      <c r="ET117" s="22"/>
      <c r="EU117" s="22"/>
      <c r="EV117" s="22"/>
      <c r="EW117" s="22"/>
      <c r="EX117" s="22"/>
      <c r="EY117" s="22"/>
      <c r="EZ117" s="22"/>
      <c r="FA117" s="22"/>
      <c r="FB117" s="22"/>
      <c r="FC117" s="22"/>
      <c r="FD117" s="22"/>
      <c r="FE117" s="22"/>
      <c r="FF117" s="22"/>
      <c r="FG117" s="22"/>
      <c r="FH117" s="22"/>
      <c r="FI117" s="22"/>
      <c r="FJ117" s="22"/>
      <c r="FK117" s="22"/>
      <c r="FL117" s="22"/>
      <c r="FM117" s="22"/>
      <c r="FN117" s="22"/>
      <c r="FO117" s="22"/>
      <c r="FP117" s="22"/>
      <c r="FQ117" s="22"/>
      <c r="FR117" s="22"/>
      <c r="FS117" s="22"/>
      <c r="FT117" s="22"/>
      <c r="FU117" s="22"/>
      <c r="FV117" s="22"/>
      <c r="FW117" s="22"/>
      <c r="FX117" s="22"/>
      <c r="FY117" s="22"/>
      <c r="FZ117" s="22"/>
      <c r="GA117" s="22"/>
      <c r="GB117" s="22"/>
      <c r="GC117" s="22"/>
      <c r="GD117" s="22"/>
      <c r="GE117" s="22"/>
      <c r="GF117" s="22"/>
      <c r="GG117" s="22"/>
      <c r="GH117" s="22"/>
      <c r="GI117" s="22"/>
      <c r="GJ117" s="22"/>
      <c r="GK117" s="22"/>
      <c r="GL117" s="22"/>
      <c r="GM117" s="22"/>
      <c r="GN117" s="22"/>
      <c r="GO117" s="22"/>
      <c r="GP117" s="22"/>
      <c r="GQ117" s="22"/>
      <c r="GR117" s="22"/>
      <c r="GS117" s="22"/>
      <c r="GT117" s="22"/>
      <c r="GU117" s="22"/>
      <c r="GV117" s="22"/>
      <c r="GW117" s="22"/>
      <c r="GX117" s="22"/>
      <c r="GY117" s="22"/>
      <c r="GZ117" s="22"/>
      <c r="HA117" s="22"/>
      <c r="HB117" s="22"/>
      <c r="HC117" s="22"/>
    </row>
    <row r="118" spans="1:211" ht="15" customHeight="1" x14ac:dyDescent="0.2">
      <c r="A118" s="22"/>
      <c r="B118" s="14"/>
      <c r="C118" s="73"/>
      <c r="D118" s="46"/>
      <c r="E118" s="46"/>
      <c r="F118" s="120"/>
      <c r="G118" s="120"/>
      <c r="H118" s="47"/>
      <c r="I118" s="116"/>
      <c r="J118" s="45"/>
      <c r="K118" s="45"/>
      <c r="L118" s="73"/>
      <c r="M118" s="118"/>
      <c r="N118" s="119"/>
      <c r="O118" s="113"/>
      <c r="P118" s="115"/>
      <c r="Q118"/>
      <c r="R118"/>
      <c r="S118" s="114"/>
      <c r="T118" s="110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  <c r="CU118" s="22"/>
      <c r="CV118" s="22"/>
      <c r="CW118" s="22"/>
      <c r="CX118" s="22"/>
      <c r="CY118" s="22"/>
      <c r="CZ118" s="22"/>
      <c r="DA118" s="22"/>
      <c r="DB118" s="22"/>
      <c r="DC118" s="22"/>
      <c r="DD118" s="22"/>
      <c r="DE118" s="22"/>
      <c r="DF118" s="22"/>
      <c r="DG118" s="22"/>
      <c r="DH118" s="22"/>
      <c r="DI118" s="22"/>
      <c r="DJ118" s="22"/>
      <c r="DK118" s="22"/>
      <c r="DL118" s="22"/>
      <c r="DM118" s="22"/>
      <c r="DN118" s="22"/>
      <c r="DO118" s="22"/>
      <c r="DP118" s="22"/>
      <c r="DQ118" s="22"/>
      <c r="DR118" s="22"/>
      <c r="DS118" s="22"/>
      <c r="DT118" s="22"/>
      <c r="DU118" s="22"/>
      <c r="DV118" s="22"/>
      <c r="DW118" s="22"/>
      <c r="DX118" s="22"/>
      <c r="DY118" s="22"/>
      <c r="DZ118" s="22"/>
      <c r="EA118" s="22"/>
      <c r="EB118" s="22"/>
      <c r="EC118" s="22"/>
      <c r="ED118" s="22"/>
      <c r="EE118" s="22"/>
      <c r="EF118" s="22"/>
      <c r="EG118" s="22"/>
      <c r="EH118" s="22"/>
      <c r="EI118" s="22"/>
      <c r="EJ118" s="22"/>
      <c r="EK118" s="22"/>
      <c r="EL118" s="22"/>
      <c r="EM118" s="22"/>
      <c r="EN118" s="22"/>
      <c r="EO118" s="22"/>
      <c r="EP118" s="22"/>
      <c r="EQ118" s="22"/>
      <c r="ER118" s="22"/>
      <c r="ES118" s="22"/>
      <c r="ET118" s="22"/>
      <c r="EU118" s="22"/>
      <c r="EV118" s="22"/>
      <c r="EW118" s="22"/>
      <c r="EX118" s="22"/>
      <c r="EY118" s="22"/>
      <c r="EZ118" s="22"/>
      <c r="FA118" s="22"/>
      <c r="FB118" s="22"/>
      <c r="FC118" s="22"/>
      <c r="FD118" s="22"/>
      <c r="FE118" s="22"/>
      <c r="FF118" s="22"/>
      <c r="FG118" s="22"/>
      <c r="FH118" s="22"/>
      <c r="FI118" s="22"/>
      <c r="FJ118" s="22"/>
      <c r="FK118" s="22"/>
      <c r="FL118" s="22"/>
      <c r="FM118" s="22"/>
      <c r="FN118" s="22"/>
      <c r="FO118" s="22"/>
      <c r="FP118" s="22"/>
      <c r="FQ118" s="22"/>
      <c r="FR118" s="22"/>
      <c r="FS118" s="22"/>
      <c r="FT118" s="22"/>
      <c r="FU118" s="22"/>
      <c r="FV118" s="22"/>
      <c r="FW118" s="22"/>
      <c r="FX118" s="22"/>
      <c r="FY118" s="22"/>
      <c r="FZ118" s="22"/>
      <c r="GA118" s="22"/>
      <c r="GB118" s="22"/>
      <c r="GC118" s="22"/>
      <c r="GD118" s="22"/>
      <c r="GE118" s="22"/>
      <c r="GF118" s="22"/>
      <c r="GG118" s="22"/>
      <c r="GH118" s="22"/>
      <c r="GI118" s="22"/>
      <c r="GJ118" s="22"/>
      <c r="GK118" s="22"/>
      <c r="GL118" s="22"/>
      <c r="GM118" s="22"/>
      <c r="GN118" s="22"/>
      <c r="GO118" s="22"/>
      <c r="GP118" s="22"/>
      <c r="GQ118" s="22"/>
      <c r="GR118" s="22"/>
      <c r="GS118" s="22"/>
      <c r="GT118" s="22"/>
      <c r="GU118" s="22"/>
      <c r="GV118" s="22"/>
      <c r="GW118" s="22"/>
      <c r="GX118" s="22"/>
      <c r="GY118" s="22"/>
      <c r="GZ118" s="22"/>
      <c r="HA118" s="22"/>
      <c r="HB118" s="22"/>
      <c r="HC118" s="22"/>
    </row>
    <row r="119" spans="1:211" ht="15" customHeight="1" x14ac:dyDescent="0.2">
      <c r="A119" s="22"/>
      <c r="B119" s="14"/>
      <c r="C119" s="73"/>
      <c r="D119" s="46"/>
      <c r="E119" s="46"/>
      <c r="F119" s="120"/>
      <c r="G119" s="120"/>
      <c r="H119" s="47"/>
      <c r="I119" s="116"/>
      <c r="J119" s="45"/>
      <c r="K119" s="45"/>
      <c r="L119" s="73"/>
      <c r="M119" s="118"/>
      <c r="N119" s="119"/>
      <c r="O119" s="113"/>
      <c r="P119" s="115"/>
      <c r="Q119"/>
      <c r="R119"/>
      <c r="S119" s="114"/>
      <c r="T119" s="110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  <c r="CU119" s="22"/>
      <c r="CV119" s="22"/>
      <c r="CW119" s="22"/>
      <c r="CX119" s="22"/>
      <c r="CY119" s="22"/>
      <c r="CZ119" s="22"/>
      <c r="DA119" s="22"/>
      <c r="DB119" s="22"/>
      <c r="DC119" s="22"/>
      <c r="DD119" s="22"/>
      <c r="DE119" s="22"/>
      <c r="DF119" s="22"/>
      <c r="DG119" s="22"/>
      <c r="DH119" s="22"/>
      <c r="DI119" s="22"/>
      <c r="DJ119" s="22"/>
      <c r="DK119" s="22"/>
      <c r="DL119" s="22"/>
      <c r="DM119" s="22"/>
      <c r="DN119" s="22"/>
      <c r="DO119" s="22"/>
      <c r="DP119" s="22"/>
      <c r="DQ119" s="22"/>
      <c r="DR119" s="22"/>
      <c r="DS119" s="22"/>
      <c r="DT119" s="22"/>
      <c r="DU119" s="22"/>
      <c r="DV119" s="22"/>
      <c r="DW119" s="22"/>
      <c r="DX119" s="22"/>
      <c r="DY119" s="22"/>
      <c r="DZ119" s="22"/>
      <c r="EA119" s="22"/>
      <c r="EB119" s="22"/>
      <c r="EC119" s="22"/>
      <c r="ED119" s="22"/>
      <c r="EE119" s="22"/>
      <c r="EF119" s="22"/>
      <c r="EG119" s="22"/>
      <c r="EH119" s="22"/>
      <c r="EI119" s="22"/>
      <c r="EJ119" s="22"/>
      <c r="EK119" s="22"/>
      <c r="EL119" s="22"/>
      <c r="EM119" s="22"/>
      <c r="EN119" s="22"/>
      <c r="EO119" s="22"/>
      <c r="EP119" s="22"/>
      <c r="EQ119" s="22"/>
      <c r="ER119" s="22"/>
      <c r="ES119" s="22"/>
      <c r="ET119" s="22"/>
      <c r="EU119" s="22"/>
      <c r="EV119" s="22"/>
      <c r="EW119" s="22"/>
      <c r="EX119" s="22"/>
      <c r="EY119" s="22"/>
      <c r="EZ119" s="22"/>
      <c r="FA119" s="22"/>
      <c r="FB119" s="22"/>
      <c r="FC119" s="22"/>
      <c r="FD119" s="22"/>
      <c r="FE119" s="22"/>
      <c r="FF119" s="22"/>
      <c r="FG119" s="22"/>
      <c r="FH119" s="22"/>
      <c r="FI119" s="22"/>
      <c r="FJ119" s="22"/>
      <c r="FK119" s="22"/>
      <c r="FL119" s="22"/>
      <c r="FM119" s="22"/>
      <c r="FN119" s="22"/>
      <c r="FO119" s="22"/>
      <c r="FP119" s="22"/>
      <c r="FQ119" s="22"/>
      <c r="FR119" s="22"/>
      <c r="FS119" s="22"/>
      <c r="FT119" s="22"/>
      <c r="FU119" s="22"/>
      <c r="FV119" s="22"/>
      <c r="FW119" s="22"/>
      <c r="FX119" s="22"/>
      <c r="FY119" s="22"/>
      <c r="FZ119" s="22"/>
      <c r="GA119" s="22"/>
      <c r="GB119" s="22"/>
      <c r="GC119" s="22"/>
      <c r="GD119" s="22"/>
      <c r="GE119" s="22"/>
      <c r="GF119" s="22"/>
      <c r="GG119" s="22"/>
      <c r="GH119" s="22"/>
      <c r="GI119" s="22"/>
      <c r="GJ119" s="22"/>
      <c r="GK119" s="22"/>
      <c r="GL119" s="22"/>
      <c r="GM119" s="22"/>
      <c r="GN119" s="22"/>
      <c r="GO119" s="22"/>
      <c r="GP119" s="22"/>
      <c r="GQ119" s="22"/>
      <c r="GR119" s="22"/>
      <c r="GS119" s="22"/>
      <c r="GT119" s="22"/>
      <c r="GU119" s="22"/>
      <c r="GV119" s="22"/>
      <c r="GW119" s="22"/>
      <c r="GX119" s="22"/>
      <c r="GY119" s="22"/>
      <c r="GZ119" s="22"/>
      <c r="HA119" s="22"/>
      <c r="HB119" s="22"/>
      <c r="HC119" s="22"/>
    </row>
    <row r="120" spans="1:211" ht="15" customHeight="1" x14ac:dyDescent="0.2">
      <c r="A120" s="22"/>
      <c r="B120" s="14"/>
      <c r="C120" s="73"/>
      <c r="D120" s="46"/>
      <c r="E120" s="46"/>
      <c r="F120" s="120"/>
      <c r="G120" s="120"/>
      <c r="H120" s="47"/>
      <c r="I120" s="116"/>
      <c r="J120" s="45"/>
      <c r="K120" s="45"/>
      <c r="L120" s="73"/>
      <c r="M120" s="118"/>
      <c r="N120" s="119"/>
      <c r="O120" s="113"/>
      <c r="P120" s="115"/>
      <c r="Q120"/>
      <c r="R120"/>
      <c r="S120" s="114"/>
      <c r="T120" s="110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2"/>
      <c r="BO120" s="22"/>
      <c r="BP120" s="22"/>
      <c r="BQ120" s="22"/>
      <c r="BR120" s="22"/>
      <c r="BS120" s="22"/>
      <c r="BT120" s="22"/>
      <c r="BU120" s="22"/>
      <c r="BV120" s="22"/>
      <c r="BW120" s="22"/>
      <c r="BX120" s="22"/>
      <c r="BY120" s="22"/>
      <c r="BZ120" s="22"/>
      <c r="CA120" s="22"/>
      <c r="CB120" s="22"/>
      <c r="CC120" s="22"/>
      <c r="CD120" s="22"/>
      <c r="CE120" s="22"/>
      <c r="CF120" s="22"/>
      <c r="CG120" s="22"/>
      <c r="CH120" s="22"/>
      <c r="CI120" s="22"/>
      <c r="CJ120" s="22"/>
      <c r="CK120" s="22"/>
      <c r="CL120" s="22"/>
      <c r="CM120" s="22"/>
      <c r="CN120" s="22"/>
      <c r="CO120" s="22"/>
      <c r="CP120" s="22"/>
      <c r="CQ120" s="22"/>
      <c r="CR120" s="22"/>
      <c r="CS120" s="22"/>
      <c r="CT120" s="22"/>
      <c r="CU120" s="22"/>
      <c r="CV120" s="22"/>
      <c r="CW120" s="22"/>
      <c r="CX120" s="22"/>
      <c r="CY120" s="22"/>
      <c r="CZ120" s="22"/>
      <c r="DA120" s="22"/>
      <c r="DB120" s="22"/>
      <c r="DC120" s="22"/>
      <c r="DD120" s="22"/>
      <c r="DE120" s="22"/>
      <c r="DF120" s="22"/>
      <c r="DG120" s="22"/>
      <c r="DH120" s="22"/>
      <c r="DI120" s="22"/>
      <c r="DJ120" s="22"/>
      <c r="DK120" s="22"/>
      <c r="DL120" s="22"/>
      <c r="DM120" s="22"/>
      <c r="DN120" s="22"/>
      <c r="DO120" s="22"/>
      <c r="DP120" s="22"/>
      <c r="DQ120" s="22"/>
      <c r="DR120" s="22"/>
      <c r="DS120" s="22"/>
      <c r="DT120" s="22"/>
      <c r="DU120" s="22"/>
      <c r="DV120" s="22"/>
      <c r="DW120" s="22"/>
      <c r="DX120" s="22"/>
      <c r="DY120" s="22"/>
      <c r="DZ120" s="22"/>
      <c r="EA120" s="22"/>
      <c r="EB120" s="22"/>
      <c r="EC120" s="22"/>
      <c r="ED120" s="22"/>
      <c r="EE120" s="22"/>
      <c r="EF120" s="22"/>
      <c r="EG120" s="22"/>
      <c r="EH120" s="22"/>
      <c r="EI120" s="22"/>
      <c r="EJ120" s="22"/>
      <c r="EK120" s="22"/>
      <c r="EL120" s="22"/>
      <c r="EM120" s="22"/>
      <c r="EN120" s="22"/>
      <c r="EO120" s="22"/>
      <c r="EP120" s="22"/>
      <c r="EQ120" s="22"/>
      <c r="ER120" s="22"/>
      <c r="ES120" s="22"/>
      <c r="ET120" s="22"/>
      <c r="EU120" s="22"/>
      <c r="EV120" s="22"/>
      <c r="EW120" s="22"/>
      <c r="EX120" s="22"/>
      <c r="EY120" s="22"/>
      <c r="EZ120" s="22"/>
      <c r="FA120" s="22"/>
      <c r="FB120" s="22"/>
      <c r="FC120" s="22"/>
      <c r="FD120" s="22"/>
      <c r="FE120" s="22"/>
      <c r="FF120" s="22"/>
      <c r="FG120" s="22"/>
      <c r="FH120" s="22"/>
      <c r="FI120" s="22"/>
      <c r="FJ120" s="22"/>
      <c r="FK120" s="22"/>
      <c r="FL120" s="22"/>
      <c r="FM120" s="22"/>
      <c r="FN120" s="22"/>
      <c r="FO120" s="22"/>
      <c r="FP120" s="22"/>
      <c r="FQ120" s="22"/>
      <c r="FR120" s="22"/>
      <c r="FS120" s="22"/>
      <c r="FT120" s="22"/>
      <c r="FU120" s="22"/>
      <c r="FV120" s="22"/>
      <c r="FW120" s="22"/>
      <c r="FX120" s="22"/>
      <c r="FY120" s="22"/>
      <c r="FZ120" s="22"/>
      <c r="GA120" s="22"/>
      <c r="GB120" s="22"/>
      <c r="GC120" s="22"/>
      <c r="GD120" s="22"/>
      <c r="GE120" s="22"/>
      <c r="GF120" s="22"/>
      <c r="GG120" s="22"/>
      <c r="GH120" s="22"/>
      <c r="GI120" s="22"/>
      <c r="GJ120" s="22"/>
      <c r="GK120" s="22"/>
      <c r="GL120" s="22"/>
      <c r="GM120" s="22"/>
      <c r="GN120" s="22"/>
      <c r="GO120" s="22"/>
      <c r="GP120" s="22"/>
      <c r="GQ120" s="22"/>
      <c r="GR120" s="22"/>
      <c r="GS120" s="22"/>
      <c r="GT120" s="22"/>
      <c r="GU120" s="22"/>
      <c r="GV120" s="22"/>
      <c r="GW120" s="22"/>
      <c r="GX120" s="22"/>
      <c r="GY120" s="22"/>
      <c r="GZ120" s="22"/>
      <c r="HA120" s="22"/>
      <c r="HB120" s="22"/>
      <c r="HC120" s="22"/>
    </row>
    <row r="121" spans="1:211" ht="15" customHeight="1" x14ac:dyDescent="0.2">
      <c r="A121" s="22"/>
      <c r="B121" s="14"/>
      <c r="C121" s="73"/>
      <c r="D121" s="46"/>
      <c r="E121" s="46"/>
      <c r="F121" s="120"/>
      <c r="G121" s="120"/>
      <c r="H121" s="47"/>
      <c r="I121" s="116"/>
      <c r="J121" s="45"/>
      <c r="K121" s="73"/>
      <c r="L121" s="73"/>
      <c r="M121" s="118"/>
      <c r="N121" s="119"/>
      <c r="O121" s="113"/>
      <c r="P121" s="115"/>
      <c r="Q121"/>
      <c r="R121"/>
      <c r="S121" s="114"/>
      <c r="T121" s="110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2"/>
      <c r="BO121" s="22"/>
      <c r="BP121" s="22"/>
      <c r="BQ121" s="22"/>
      <c r="BR121" s="22"/>
      <c r="BS121" s="22"/>
      <c r="BT121" s="22"/>
      <c r="BU121" s="22"/>
      <c r="BV121" s="22"/>
      <c r="BW121" s="22"/>
      <c r="BX121" s="22"/>
      <c r="BY121" s="22"/>
      <c r="BZ121" s="22"/>
      <c r="CA121" s="22"/>
      <c r="CB121" s="22"/>
      <c r="CC121" s="22"/>
      <c r="CD121" s="22"/>
      <c r="CE121" s="22"/>
      <c r="CF121" s="22"/>
      <c r="CG121" s="22"/>
      <c r="CH121" s="22"/>
      <c r="CI121" s="22"/>
      <c r="CJ121" s="22"/>
      <c r="CK121" s="22"/>
      <c r="CL121" s="22"/>
      <c r="CM121" s="22"/>
      <c r="CN121" s="22"/>
      <c r="CO121" s="22"/>
      <c r="CP121" s="22"/>
      <c r="CQ121" s="22"/>
      <c r="CR121" s="22"/>
      <c r="CS121" s="22"/>
      <c r="CT121" s="22"/>
      <c r="CU121" s="22"/>
      <c r="CV121" s="22"/>
      <c r="CW121" s="22"/>
      <c r="CX121" s="22"/>
      <c r="CY121" s="22"/>
      <c r="CZ121" s="22"/>
      <c r="DA121" s="22"/>
      <c r="DB121" s="22"/>
      <c r="DC121" s="22"/>
      <c r="DD121" s="22"/>
      <c r="DE121" s="22"/>
      <c r="DF121" s="22"/>
      <c r="DG121" s="22"/>
      <c r="DH121" s="22"/>
      <c r="DI121" s="22"/>
      <c r="DJ121" s="22"/>
      <c r="DK121" s="22"/>
      <c r="DL121" s="22"/>
      <c r="DM121" s="22"/>
      <c r="DN121" s="22"/>
      <c r="DO121" s="22"/>
      <c r="DP121" s="22"/>
      <c r="DQ121" s="22"/>
      <c r="DR121" s="22"/>
      <c r="DS121" s="22"/>
      <c r="DT121" s="22"/>
      <c r="DU121" s="22"/>
      <c r="DV121" s="22"/>
      <c r="DW121" s="22"/>
      <c r="DX121" s="22"/>
      <c r="DY121" s="22"/>
      <c r="DZ121" s="22"/>
      <c r="EA121" s="22"/>
      <c r="EB121" s="22"/>
      <c r="EC121" s="22"/>
      <c r="ED121" s="22"/>
      <c r="EE121" s="22"/>
      <c r="EF121" s="22"/>
      <c r="EG121" s="22"/>
      <c r="EH121" s="22"/>
      <c r="EI121" s="22"/>
      <c r="EJ121" s="22"/>
      <c r="EK121" s="22"/>
      <c r="EL121" s="22"/>
      <c r="EM121" s="22"/>
      <c r="EN121" s="22"/>
      <c r="EO121" s="22"/>
      <c r="EP121" s="22"/>
      <c r="EQ121" s="22"/>
      <c r="ER121" s="22"/>
      <c r="ES121" s="22"/>
      <c r="ET121" s="22"/>
      <c r="EU121" s="22"/>
      <c r="EV121" s="22"/>
      <c r="EW121" s="22"/>
      <c r="EX121" s="22"/>
      <c r="EY121" s="22"/>
      <c r="EZ121" s="22"/>
      <c r="FA121" s="22"/>
      <c r="FB121" s="22"/>
      <c r="FC121" s="22"/>
      <c r="FD121" s="22"/>
      <c r="FE121" s="22"/>
      <c r="FF121" s="22"/>
      <c r="FG121" s="22"/>
      <c r="FH121" s="22"/>
      <c r="FI121" s="22"/>
      <c r="FJ121" s="22"/>
      <c r="FK121" s="22"/>
      <c r="FL121" s="22"/>
      <c r="FM121" s="22"/>
      <c r="FN121" s="22"/>
      <c r="FO121" s="22"/>
      <c r="FP121" s="22"/>
      <c r="FQ121" s="22"/>
      <c r="FR121" s="22"/>
      <c r="FS121" s="22"/>
      <c r="FT121" s="22"/>
      <c r="FU121" s="22"/>
      <c r="FV121" s="22"/>
      <c r="FW121" s="22"/>
      <c r="FX121" s="22"/>
      <c r="FY121" s="22"/>
      <c r="FZ121" s="22"/>
      <c r="GA121" s="22"/>
      <c r="GB121" s="22"/>
      <c r="GC121" s="22"/>
      <c r="GD121" s="22"/>
      <c r="GE121" s="22"/>
      <c r="GF121" s="22"/>
      <c r="GG121" s="22"/>
      <c r="GH121" s="22"/>
      <c r="GI121" s="22"/>
      <c r="GJ121" s="22"/>
      <c r="GK121" s="22"/>
      <c r="GL121" s="22"/>
      <c r="GM121" s="22"/>
      <c r="GN121" s="22"/>
      <c r="GO121" s="22"/>
      <c r="GP121" s="22"/>
      <c r="GQ121" s="22"/>
      <c r="GR121" s="22"/>
      <c r="GS121" s="22"/>
      <c r="GT121" s="22"/>
      <c r="GU121" s="22"/>
      <c r="GV121" s="22"/>
      <c r="GW121" s="22"/>
      <c r="GX121" s="22"/>
      <c r="GY121" s="22"/>
      <c r="GZ121" s="22"/>
      <c r="HA121" s="22"/>
      <c r="HB121" s="22"/>
      <c r="HC121" s="22"/>
    </row>
    <row r="122" spans="1:211" ht="15" customHeight="1" x14ac:dyDescent="0.2">
      <c r="A122" s="22"/>
      <c r="B122" s="14"/>
      <c r="C122" s="73"/>
      <c r="D122" s="46"/>
      <c r="E122" s="46"/>
      <c r="F122" s="120"/>
      <c r="G122" s="120"/>
      <c r="H122" s="47"/>
      <c r="I122" s="116"/>
      <c r="J122" s="45"/>
      <c r="K122" s="73"/>
      <c r="L122" s="73"/>
      <c r="M122" s="118"/>
      <c r="N122" s="119"/>
      <c r="O122" s="113"/>
      <c r="P122" s="115"/>
      <c r="Q122"/>
      <c r="R122"/>
      <c r="S122" s="114"/>
      <c r="T122" s="110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2"/>
      <c r="BO122" s="22"/>
      <c r="BP122" s="22"/>
      <c r="BQ122" s="22"/>
      <c r="BR122" s="22"/>
      <c r="BS122" s="22"/>
      <c r="BT122" s="22"/>
      <c r="BU122" s="22"/>
      <c r="BV122" s="22"/>
      <c r="BW122" s="22"/>
      <c r="BX122" s="22"/>
      <c r="BY122" s="22"/>
      <c r="BZ122" s="22"/>
      <c r="CA122" s="22"/>
      <c r="CB122" s="22"/>
      <c r="CC122" s="22"/>
      <c r="CD122" s="22"/>
      <c r="CE122" s="22"/>
      <c r="CF122" s="22"/>
      <c r="CG122" s="22"/>
      <c r="CH122" s="22"/>
      <c r="CI122" s="22"/>
      <c r="CJ122" s="22"/>
      <c r="CK122" s="22"/>
      <c r="CL122" s="22"/>
      <c r="CM122" s="22"/>
      <c r="CN122" s="22"/>
      <c r="CO122" s="22"/>
      <c r="CP122" s="22"/>
      <c r="CQ122" s="22"/>
      <c r="CR122" s="22"/>
      <c r="CS122" s="22"/>
      <c r="CT122" s="22"/>
      <c r="CU122" s="22"/>
      <c r="CV122" s="22"/>
      <c r="CW122" s="22"/>
      <c r="CX122" s="22"/>
      <c r="CY122" s="22"/>
      <c r="CZ122" s="22"/>
      <c r="DA122" s="22"/>
      <c r="DB122" s="22"/>
      <c r="DC122" s="22"/>
      <c r="DD122" s="22"/>
      <c r="DE122" s="22"/>
      <c r="DF122" s="22"/>
      <c r="DG122" s="22"/>
      <c r="DH122" s="22"/>
      <c r="DI122" s="22"/>
      <c r="DJ122" s="22"/>
      <c r="DK122" s="22"/>
      <c r="DL122" s="22"/>
      <c r="DM122" s="22"/>
      <c r="DN122" s="22"/>
      <c r="DO122" s="22"/>
      <c r="DP122" s="22"/>
      <c r="DQ122" s="22"/>
      <c r="DR122" s="22"/>
      <c r="DS122" s="22"/>
      <c r="DT122" s="22"/>
      <c r="DU122" s="22"/>
      <c r="DV122" s="22"/>
      <c r="DW122" s="22"/>
      <c r="DX122" s="22"/>
      <c r="DY122" s="22"/>
      <c r="DZ122" s="22"/>
      <c r="EA122" s="22"/>
      <c r="EB122" s="22"/>
      <c r="EC122" s="22"/>
      <c r="ED122" s="22"/>
      <c r="EE122" s="22"/>
      <c r="EF122" s="22"/>
      <c r="EG122" s="22"/>
      <c r="EH122" s="22"/>
      <c r="EI122" s="22"/>
      <c r="EJ122" s="22"/>
      <c r="EK122" s="22"/>
      <c r="EL122" s="22"/>
      <c r="EM122" s="22"/>
      <c r="EN122" s="22"/>
      <c r="EO122" s="22"/>
      <c r="EP122" s="22"/>
      <c r="EQ122" s="22"/>
      <c r="ER122" s="22"/>
      <c r="ES122" s="22"/>
      <c r="ET122" s="22"/>
      <c r="EU122" s="22"/>
      <c r="EV122" s="22"/>
      <c r="EW122" s="22"/>
      <c r="EX122" s="22"/>
      <c r="EY122" s="22"/>
      <c r="EZ122" s="22"/>
      <c r="FA122" s="22"/>
      <c r="FB122" s="22"/>
      <c r="FC122" s="22"/>
      <c r="FD122" s="22"/>
      <c r="FE122" s="22"/>
      <c r="FF122" s="22"/>
      <c r="FG122" s="22"/>
      <c r="FH122" s="22"/>
      <c r="FI122" s="22"/>
      <c r="FJ122" s="22"/>
      <c r="FK122" s="22"/>
      <c r="FL122" s="22"/>
      <c r="FM122" s="22"/>
      <c r="FN122" s="22"/>
      <c r="FO122" s="22"/>
      <c r="FP122" s="22"/>
      <c r="FQ122" s="22"/>
      <c r="FR122" s="22"/>
      <c r="FS122" s="22"/>
      <c r="FT122" s="22"/>
      <c r="FU122" s="22"/>
      <c r="FV122" s="22"/>
      <c r="FW122" s="22"/>
      <c r="FX122" s="22"/>
      <c r="FY122" s="22"/>
      <c r="FZ122" s="22"/>
      <c r="GA122" s="22"/>
      <c r="GB122" s="22"/>
      <c r="GC122" s="22"/>
      <c r="GD122" s="22"/>
      <c r="GE122" s="22"/>
      <c r="GF122" s="22"/>
      <c r="GG122" s="22"/>
      <c r="GH122" s="22"/>
      <c r="GI122" s="22"/>
      <c r="GJ122" s="22"/>
      <c r="GK122" s="22"/>
      <c r="GL122" s="22"/>
      <c r="GM122" s="22"/>
      <c r="GN122" s="22"/>
      <c r="GO122" s="22"/>
      <c r="GP122" s="22"/>
      <c r="GQ122" s="22"/>
      <c r="GR122" s="22"/>
      <c r="GS122" s="22"/>
      <c r="GT122" s="22"/>
      <c r="GU122" s="22"/>
      <c r="GV122" s="22"/>
      <c r="GW122" s="22"/>
      <c r="GX122" s="22"/>
      <c r="GY122" s="22"/>
      <c r="GZ122" s="22"/>
      <c r="HA122" s="22"/>
      <c r="HB122" s="22"/>
      <c r="HC122" s="22"/>
    </row>
    <row r="123" spans="1:211" ht="15" customHeight="1" x14ac:dyDescent="0.2">
      <c r="A123" s="22"/>
      <c r="B123" s="14"/>
      <c r="C123" s="73"/>
      <c r="D123" s="46"/>
      <c r="E123" s="46"/>
      <c r="F123" s="120"/>
      <c r="G123" s="120"/>
      <c r="H123" s="47"/>
      <c r="I123" s="116"/>
      <c r="J123" s="45"/>
      <c r="K123" s="45"/>
      <c r="L123" s="73"/>
      <c r="M123" s="118"/>
      <c r="N123" s="119"/>
      <c r="O123" s="113"/>
      <c r="P123" s="115"/>
      <c r="Q123"/>
      <c r="R123"/>
      <c r="S123" s="114"/>
      <c r="T123" s="110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2"/>
      <c r="BO123" s="22"/>
      <c r="BP123" s="22"/>
      <c r="BQ123" s="22"/>
      <c r="BR123" s="22"/>
      <c r="BS123" s="22"/>
      <c r="BT123" s="22"/>
      <c r="BU123" s="22"/>
      <c r="BV123" s="22"/>
      <c r="BW123" s="22"/>
      <c r="BX123" s="22"/>
      <c r="BY123" s="22"/>
      <c r="BZ123" s="22"/>
      <c r="CA123" s="22"/>
      <c r="CB123" s="22"/>
      <c r="CC123" s="22"/>
      <c r="CD123" s="22"/>
      <c r="CE123" s="22"/>
      <c r="CF123" s="22"/>
      <c r="CG123" s="22"/>
      <c r="CH123" s="22"/>
      <c r="CI123" s="22"/>
      <c r="CJ123" s="22"/>
      <c r="CK123" s="22"/>
      <c r="CL123" s="22"/>
      <c r="CM123" s="22"/>
      <c r="CN123" s="22"/>
      <c r="CO123" s="22"/>
      <c r="CP123" s="22"/>
      <c r="CQ123" s="22"/>
      <c r="CR123" s="22"/>
      <c r="CS123" s="22"/>
      <c r="CT123" s="22"/>
      <c r="CU123" s="22"/>
      <c r="CV123" s="22"/>
      <c r="CW123" s="22"/>
      <c r="CX123" s="22"/>
      <c r="CY123" s="22"/>
      <c r="CZ123" s="22"/>
      <c r="DA123" s="22"/>
      <c r="DB123" s="22"/>
      <c r="DC123" s="22"/>
      <c r="DD123" s="22"/>
      <c r="DE123" s="22"/>
      <c r="DF123" s="22"/>
      <c r="DG123" s="22"/>
      <c r="DH123" s="22"/>
      <c r="DI123" s="22"/>
      <c r="DJ123" s="22"/>
      <c r="DK123" s="22"/>
      <c r="DL123" s="22"/>
      <c r="DM123" s="22"/>
      <c r="DN123" s="22"/>
      <c r="DO123" s="22"/>
      <c r="DP123" s="22"/>
      <c r="DQ123" s="22"/>
      <c r="DR123" s="22"/>
      <c r="DS123" s="22"/>
      <c r="DT123" s="22"/>
      <c r="DU123" s="22"/>
      <c r="DV123" s="22"/>
      <c r="DW123" s="22"/>
      <c r="DX123" s="22"/>
      <c r="DY123" s="22"/>
      <c r="DZ123" s="22"/>
      <c r="EA123" s="22"/>
      <c r="EB123" s="22"/>
      <c r="EC123" s="22"/>
      <c r="ED123" s="22"/>
      <c r="EE123" s="22"/>
      <c r="EF123" s="22"/>
      <c r="EG123" s="22"/>
      <c r="EH123" s="22"/>
      <c r="EI123" s="22"/>
      <c r="EJ123" s="22"/>
      <c r="EK123" s="22"/>
      <c r="EL123" s="22"/>
      <c r="EM123" s="22"/>
      <c r="EN123" s="22"/>
      <c r="EO123" s="22"/>
      <c r="EP123" s="22"/>
      <c r="EQ123" s="22"/>
      <c r="ER123" s="22"/>
      <c r="ES123" s="22"/>
      <c r="ET123" s="22"/>
      <c r="EU123" s="22"/>
      <c r="EV123" s="22"/>
      <c r="EW123" s="22"/>
      <c r="EX123" s="22"/>
      <c r="EY123" s="22"/>
      <c r="EZ123" s="22"/>
      <c r="FA123" s="22"/>
      <c r="FB123" s="22"/>
      <c r="FC123" s="22"/>
      <c r="FD123" s="22"/>
      <c r="FE123" s="22"/>
      <c r="FF123" s="22"/>
      <c r="FG123" s="22"/>
      <c r="FH123" s="22"/>
      <c r="FI123" s="22"/>
      <c r="FJ123" s="22"/>
      <c r="FK123" s="22"/>
      <c r="FL123" s="22"/>
      <c r="FM123" s="22"/>
      <c r="FN123" s="22"/>
      <c r="FO123" s="22"/>
      <c r="FP123" s="22"/>
      <c r="FQ123" s="22"/>
      <c r="FR123" s="22"/>
      <c r="FS123" s="22"/>
      <c r="FT123" s="22"/>
      <c r="FU123" s="22"/>
      <c r="FV123" s="22"/>
      <c r="FW123" s="22"/>
      <c r="FX123" s="22"/>
      <c r="FY123" s="22"/>
      <c r="FZ123" s="22"/>
      <c r="GA123" s="22"/>
      <c r="GB123" s="22"/>
      <c r="GC123" s="22"/>
      <c r="GD123" s="22"/>
      <c r="GE123" s="22"/>
      <c r="GF123" s="22"/>
      <c r="GG123" s="22"/>
      <c r="GH123" s="22"/>
      <c r="GI123" s="22"/>
      <c r="GJ123" s="22"/>
      <c r="GK123" s="22"/>
      <c r="GL123" s="22"/>
      <c r="GM123" s="22"/>
      <c r="GN123" s="22"/>
      <c r="GO123" s="22"/>
      <c r="GP123" s="22"/>
      <c r="GQ123" s="22"/>
      <c r="GR123" s="22"/>
      <c r="GS123" s="22"/>
      <c r="GT123" s="22"/>
      <c r="GU123" s="22"/>
      <c r="GV123" s="22"/>
      <c r="GW123" s="22"/>
      <c r="GX123" s="22"/>
      <c r="GY123" s="22"/>
      <c r="GZ123" s="22"/>
      <c r="HA123" s="22"/>
      <c r="HB123" s="22"/>
      <c r="HC123" s="22"/>
    </row>
    <row r="124" spans="1:211" ht="15" customHeight="1" x14ac:dyDescent="0.2">
      <c r="A124" s="22"/>
      <c r="B124" s="14"/>
      <c r="C124" s="73"/>
      <c r="D124" s="46"/>
      <c r="E124" s="46"/>
      <c r="F124" s="120"/>
      <c r="G124" s="120"/>
      <c r="H124" s="47"/>
      <c r="I124" s="116"/>
      <c r="J124" s="45"/>
      <c r="K124" s="73"/>
      <c r="L124" s="73"/>
      <c r="M124" s="118"/>
      <c r="N124" s="119"/>
      <c r="O124" s="113"/>
      <c r="P124" s="115"/>
      <c r="Q124"/>
      <c r="R124"/>
      <c r="S124" s="114"/>
      <c r="T124" s="110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2"/>
      <c r="BO124" s="22"/>
      <c r="BP124" s="22"/>
      <c r="BQ124" s="22"/>
      <c r="BR124" s="22"/>
      <c r="BS124" s="22"/>
      <c r="BT124" s="22"/>
      <c r="BU124" s="22"/>
      <c r="BV124" s="22"/>
      <c r="BW124" s="22"/>
      <c r="BX124" s="22"/>
      <c r="BY124" s="22"/>
      <c r="BZ124" s="22"/>
      <c r="CA124" s="22"/>
      <c r="CB124" s="22"/>
      <c r="CC124" s="22"/>
      <c r="CD124" s="22"/>
      <c r="CE124" s="22"/>
      <c r="CF124" s="22"/>
      <c r="CG124" s="22"/>
      <c r="CH124" s="22"/>
      <c r="CI124" s="22"/>
      <c r="CJ124" s="22"/>
      <c r="CK124" s="22"/>
      <c r="CL124" s="22"/>
      <c r="CM124" s="22"/>
      <c r="CN124" s="22"/>
      <c r="CO124" s="22"/>
      <c r="CP124" s="22"/>
      <c r="CQ124" s="22"/>
      <c r="CR124" s="22"/>
      <c r="CS124" s="22"/>
      <c r="CT124" s="22"/>
      <c r="CU124" s="22"/>
      <c r="CV124" s="22"/>
      <c r="CW124" s="22"/>
      <c r="CX124" s="22"/>
      <c r="CY124" s="22"/>
      <c r="CZ124" s="22"/>
      <c r="DA124" s="22"/>
      <c r="DB124" s="22"/>
      <c r="DC124" s="22"/>
      <c r="DD124" s="22"/>
      <c r="DE124" s="22"/>
      <c r="DF124" s="22"/>
      <c r="DG124" s="22"/>
      <c r="DH124" s="22"/>
      <c r="DI124" s="22"/>
      <c r="DJ124" s="22"/>
      <c r="DK124" s="22"/>
      <c r="DL124" s="22"/>
      <c r="DM124" s="22"/>
      <c r="DN124" s="22"/>
      <c r="DO124" s="22"/>
      <c r="DP124" s="22"/>
      <c r="DQ124" s="22"/>
      <c r="DR124" s="22"/>
      <c r="DS124" s="22"/>
      <c r="DT124" s="22"/>
      <c r="DU124" s="22"/>
      <c r="DV124" s="22"/>
      <c r="DW124" s="22"/>
      <c r="DX124" s="22"/>
      <c r="DY124" s="22"/>
      <c r="DZ124" s="22"/>
      <c r="EA124" s="22"/>
      <c r="EB124" s="22"/>
      <c r="EC124" s="22"/>
      <c r="ED124" s="22"/>
      <c r="EE124" s="22"/>
      <c r="EF124" s="22"/>
      <c r="EG124" s="22"/>
      <c r="EH124" s="22"/>
      <c r="EI124" s="22"/>
      <c r="EJ124" s="22"/>
      <c r="EK124" s="22"/>
      <c r="EL124" s="22"/>
      <c r="EM124" s="22"/>
      <c r="EN124" s="22"/>
      <c r="EO124" s="22"/>
      <c r="EP124" s="22"/>
      <c r="EQ124" s="22"/>
      <c r="ER124" s="22"/>
      <c r="ES124" s="22"/>
      <c r="ET124" s="22"/>
      <c r="EU124" s="22"/>
      <c r="EV124" s="22"/>
      <c r="EW124" s="22"/>
      <c r="EX124" s="22"/>
      <c r="EY124" s="22"/>
      <c r="EZ124" s="22"/>
      <c r="FA124" s="22"/>
      <c r="FB124" s="22"/>
      <c r="FC124" s="22"/>
      <c r="FD124" s="22"/>
      <c r="FE124" s="22"/>
      <c r="FF124" s="22"/>
      <c r="FG124" s="22"/>
      <c r="FH124" s="22"/>
      <c r="FI124" s="22"/>
      <c r="FJ124" s="22"/>
      <c r="FK124" s="22"/>
      <c r="FL124" s="22"/>
      <c r="FM124" s="22"/>
      <c r="FN124" s="22"/>
      <c r="FO124" s="22"/>
      <c r="FP124" s="22"/>
      <c r="FQ124" s="22"/>
      <c r="FR124" s="22"/>
      <c r="FS124" s="22"/>
      <c r="FT124" s="22"/>
      <c r="FU124" s="22"/>
      <c r="FV124" s="22"/>
      <c r="FW124" s="22"/>
      <c r="FX124" s="22"/>
      <c r="FY124" s="22"/>
      <c r="FZ124" s="22"/>
      <c r="GA124" s="22"/>
      <c r="GB124" s="22"/>
      <c r="GC124" s="22"/>
      <c r="GD124" s="22"/>
      <c r="GE124" s="22"/>
      <c r="GF124" s="22"/>
      <c r="GG124" s="22"/>
      <c r="GH124" s="22"/>
      <c r="GI124" s="22"/>
      <c r="GJ124" s="22"/>
      <c r="GK124" s="22"/>
      <c r="GL124" s="22"/>
      <c r="GM124" s="22"/>
      <c r="GN124" s="22"/>
      <c r="GO124" s="22"/>
      <c r="GP124" s="22"/>
      <c r="GQ124" s="22"/>
      <c r="GR124" s="22"/>
      <c r="GS124" s="22"/>
      <c r="GT124" s="22"/>
      <c r="GU124" s="22"/>
      <c r="GV124" s="22"/>
      <c r="GW124" s="22"/>
      <c r="GX124" s="22"/>
      <c r="GY124" s="22"/>
      <c r="GZ124" s="22"/>
      <c r="HA124" s="22"/>
      <c r="HB124" s="22"/>
      <c r="HC124" s="22"/>
    </row>
    <row r="125" spans="1:211" ht="15" customHeight="1" x14ac:dyDescent="0.2">
      <c r="A125" s="22"/>
      <c r="B125" s="14"/>
      <c r="C125" s="73"/>
      <c r="D125" s="46"/>
      <c r="E125" s="46"/>
      <c r="F125" s="120"/>
      <c r="G125" s="120"/>
      <c r="H125" s="47"/>
      <c r="I125" s="116"/>
      <c r="J125" s="45"/>
      <c r="K125" s="45"/>
      <c r="L125" s="73"/>
      <c r="M125" s="118"/>
      <c r="N125" s="119"/>
      <c r="O125" s="113"/>
      <c r="P125" s="115"/>
      <c r="Q125"/>
      <c r="R125"/>
      <c r="S125" s="114"/>
      <c r="T125" s="110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  <c r="BS125" s="22"/>
      <c r="BT125" s="22"/>
      <c r="BU125" s="22"/>
      <c r="BV125" s="22"/>
      <c r="BW125" s="22"/>
      <c r="BX125" s="22"/>
      <c r="BY125" s="22"/>
      <c r="BZ125" s="22"/>
      <c r="CA125" s="22"/>
      <c r="CB125" s="22"/>
      <c r="CC125" s="22"/>
      <c r="CD125" s="22"/>
      <c r="CE125" s="22"/>
      <c r="CF125" s="22"/>
      <c r="CG125" s="22"/>
      <c r="CH125" s="22"/>
      <c r="CI125" s="22"/>
      <c r="CJ125" s="22"/>
      <c r="CK125" s="22"/>
      <c r="CL125" s="22"/>
      <c r="CM125" s="22"/>
      <c r="CN125" s="22"/>
      <c r="CO125" s="22"/>
      <c r="CP125" s="22"/>
      <c r="CQ125" s="22"/>
      <c r="CR125" s="22"/>
      <c r="CS125" s="22"/>
      <c r="CT125" s="22"/>
      <c r="CU125" s="22"/>
      <c r="CV125" s="22"/>
      <c r="CW125" s="22"/>
      <c r="CX125" s="22"/>
      <c r="CY125" s="22"/>
      <c r="CZ125" s="22"/>
      <c r="DA125" s="22"/>
      <c r="DB125" s="22"/>
      <c r="DC125" s="22"/>
      <c r="DD125" s="22"/>
      <c r="DE125" s="22"/>
      <c r="DF125" s="22"/>
      <c r="DG125" s="22"/>
      <c r="DH125" s="22"/>
      <c r="DI125" s="22"/>
      <c r="DJ125" s="22"/>
      <c r="DK125" s="22"/>
      <c r="DL125" s="22"/>
      <c r="DM125" s="22"/>
      <c r="DN125" s="22"/>
      <c r="DO125" s="22"/>
      <c r="DP125" s="22"/>
      <c r="DQ125" s="22"/>
      <c r="DR125" s="22"/>
      <c r="DS125" s="22"/>
      <c r="DT125" s="22"/>
      <c r="DU125" s="22"/>
      <c r="DV125" s="22"/>
      <c r="DW125" s="22"/>
      <c r="DX125" s="22"/>
      <c r="DY125" s="22"/>
      <c r="DZ125" s="22"/>
      <c r="EA125" s="22"/>
      <c r="EB125" s="22"/>
      <c r="EC125" s="22"/>
      <c r="ED125" s="22"/>
      <c r="EE125" s="22"/>
      <c r="EF125" s="22"/>
      <c r="EG125" s="22"/>
      <c r="EH125" s="22"/>
      <c r="EI125" s="22"/>
      <c r="EJ125" s="22"/>
      <c r="EK125" s="22"/>
      <c r="EL125" s="22"/>
      <c r="EM125" s="22"/>
      <c r="EN125" s="22"/>
      <c r="EO125" s="22"/>
      <c r="EP125" s="22"/>
      <c r="EQ125" s="22"/>
      <c r="ER125" s="22"/>
      <c r="ES125" s="22"/>
      <c r="ET125" s="22"/>
      <c r="EU125" s="22"/>
      <c r="EV125" s="22"/>
      <c r="EW125" s="22"/>
      <c r="EX125" s="22"/>
      <c r="EY125" s="22"/>
      <c r="EZ125" s="22"/>
      <c r="FA125" s="22"/>
      <c r="FB125" s="22"/>
      <c r="FC125" s="22"/>
      <c r="FD125" s="22"/>
      <c r="FE125" s="22"/>
      <c r="FF125" s="22"/>
      <c r="FG125" s="22"/>
      <c r="FH125" s="22"/>
      <c r="FI125" s="22"/>
      <c r="FJ125" s="22"/>
      <c r="FK125" s="22"/>
      <c r="FL125" s="22"/>
      <c r="FM125" s="22"/>
      <c r="FN125" s="22"/>
      <c r="FO125" s="22"/>
      <c r="FP125" s="22"/>
      <c r="FQ125" s="22"/>
      <c r="FR125" s="22"/>
      <c r="FS125" s="22"/>
      <c r="FT125" s="22"/>
      <c r="FU125" s="22"/>
      <c r="FV125" s="22"/>
      <c r="FW125" s="22"/>
      <c r="FX125" s="22"/>
      <c r="FY125" s="22"/>
      <c r="FZ125" s="22"/>
      <c r="GA125" s="22"/>
      <c r="GB125" s="22"/>
      <c r="GC125" s="22"/>
      <c r="GD125" s="22"/>
      <c r="GE125" s="22"/>
      <c r="GF125" s="22"/>
      <c r="GG125" s="22"/>
      <c r="GH125" s="22"/>
      <c r="GI125" s="22"/>
      <c r="GJ125" s="22"/>
      <c r="GK125" s="22"/>
      <c r="GL125" s="22"/>
      <c r="GM125" s="22"/>
      <c r="GN125" s="22"/>
      <c r="GO125" s="22"/>
      <c r="GP125" s="22"/>
      <c r="GQ125" s="22"/>
      <c r="GR125" s="22"/>
      <c r="GS125" s="22"/>
      <c r="GT125" s="22"/>
      <c r="GU125" s="22"/>
      <c r="GV125" s="22"/>
      <c r="GW125" s="22"/>
      <c r="GX125" s="22"/>
      <c r="GY125" s="22"/>
      <c r="GZ125" s="22"/>
      <c r="HA125" s="22"/>
      <c r="HB125" s="22"/>
      <c r="HC125" s="22"/>
    </row>
    <row r="126" spans="1:211" ht="15" customHeight="1" x14ac:dyDescent="0.2">
      <c r="A126" s="22"/>
      <c r="B126" s="14"/>
      <c r="C126" s="73"/>
      <c r="D126" s="46"/>
      <c r="E126" s="46"/>
      <c r="F126" s="120"/>
      <c r="G126" s="120"/>
      <c r="H126" s="47"/>
      <c r="I126" s="116"/>
      <c r="J126" s="45"/>
      <c r="K126" s="73"/>
      <c r="L126" s="73"/>
      <c r="M126" s="118"/>
      <c r="N126" s="119"/>
      <c r="O126" s="113"/>
      <c r="P126" s="115"/>
      <c r="Q126"/>
      <c r="R126"/>
      <c r="S126" s="114"/>
      <c r="T126" s="110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  <c r="BO126" s="22"/>
      <c r="BP126" s="22"/>
      <c r="BQ126" s="22"/>
      <c r="BR126" s="22"/>
      <c r="BS126" s="22"/>
      <c r="BT126" s="22"/>
      <c r="BU126" s="22"/>
      <c r="BV126" s="22"/>
      <c r="BW126" s="22"/>
      <c r="BX126" s="22"/>
      <c r="BY126" s="22"/>
      <c r="BZ126" s="22"/>
      <c r="CA126" s="22"/>
      <c r="CB126" s="22"/>
      <c r="CC126" s="22"/>
      <c r="CD126" s="22"/>
      <c r="CE126" s="22"/>
      <c r="CF126" s="22"/>
      <c r="CG126" s="22"/>
      <c r="CH126" s="22"/>
      <c r="CI126" s="22"/>
      <c r="CJ126" s="22"/>
      <c r="CK126" s="22"/>
      <c r="CL126" s="22"/>
      <c r="CM126" s="22"/>
      <c r="CN126" s="22"/>
      <c r="CO126" s="22"/>
      <c r="CP126" s="22"/>
      <c r="CQ126" s="22"/>
      <c r="CR126" s="22"/>
      <c r="CS126" s="22"/>
      <c r="CT126" s="22"/>
      <c r="CU126" s="22"/>
      <c r="CV126" s="22"/>
      <c r="CW126" s="22"/>
      <c r="CX126" s="22"/>
      <c r="CY126" s="22"/>
      <c r="CZ126" s="22"/>
      <c r="DA126" s="22"/>
      <c r="DB126" s="22"/>
      <c r="DC126" s="22"/>
      <c r="DD126" s="22"/>
      <c r="DE126" s="22"/>
      <c r="DF126" s="22"/>
      <c r="DG126" s="22"/>
      <c r="DH126" s="22"/>
      <c r="DI126" s="22"/>
      <c r="DJ126" s="22"/>
      <c r="DK126" s="22"/>
      <c r="DL126" s="22"/>
      <c r="DM126" s="22"/>
      <c r="DN126" s="22"/>
      <c r="DO126" s="22"/>
      <c r="DP126" s="22"/>
      <c r="DQ126" s="22"/>
      <c r="DR126" s="22"/>
      <c r="DS126" s="22"/>
      <c r="DT126" s="22"/>
      <c r="DU126" s="22"/>
      <c r="DV126" s="22"/>
      <c r="DW126" s="22"/>
      <c r="DX126" s="22"/>
      <c r="DY126" s="22"/>
      <c r="DZ126" s="22"/>
      <c r="EA126" s="22"/>
      <c r="EB126" s="22"/>
      <c r="EC126" s="22"/>
      <c r="ED126" s="22"/>
      <c r="EE126" s="22"/>
      <c r="EF126" s="22"/>
      <c r="EG126" s="22"/>
      <c r="EH126" s="22"/>
      <c r="EI126" s="22"/>
      <c r="EJ126" s="22"/>
      <c r="EK126" s="22"/>
      <c r="EL126" s="22"/>
      <c r="EM126" s="22"/>
      <c r="EN126" s="22"/>
      <c r="EO126" s="22"/>
      <c r="EP126" s="22"/>
      <c r="EQ126" s="22"/>
      <c r="ER126" s="22"/>
      <c r="ES126" s="22"/>
      <c r="ET126" s="22"/>
      <c r="EU126" s="22"/>
      <c r="EV126" s="22"/>
      <c r="EW126" s="22"/>
      <c r="EX126" s="22"/>
      <c r="EY126" s="22"/>
      <c r="EZ126" s="22"/>
      <c r="FA126" s="22"/>
      <c r="FB126" s="22"/>
      <c r="FC126" s="22"/>
      <c r="FD126" s="22"/>
      <c r="FE126" s="22"/>
      <c r="FF126" s="22"/>
      <c r="FG126" s="22"/>
      <c r="FH126" s="22"/>
      <c r="FI126" s="22"/>
      <c r="FJ126" s="22"/>
      <c r="FK126" s="22"/>
      <c r="FL126" s="22"/>
      <c r="FM126" s="22"/>
      <c r="FN126" s="22"/>
      <c r="FO126" s="22"/>
      <c r="FP126" s="22"/>
      <c r="FQ126" s="22"/>
      <c r="FR126" s="22"/>
      <c r="FS126" s="22"/>
      <c r="FT126" s="22"/>
      <c r="FU126" s="22"/>
      <c r="FV126" s="22"/>
      <c r="FW126" s="22"/>
      <c r="FX126" s="22"/>
      <c r="FY126" s="22"/>
      <c r="FZ126" s="22"/>
      <c r="GA126" s="22"/>
      <c r="GB126" s="22"/>
      <c r="GC126" s="22"/>
      <c r="GD126" s="22"/>
      <c r="GE126" s="22"/>
      <c r="GF126" s="22"/>
      <c r="GG126" s="22"/>
      <c r="GH126" s="22"/>
      <c r="GI126" s="22"/>
      <c r="GJ126" s="22"/>
      <c r="GK126" s="22"/>
      <c r="GL126" s="22"/>
      <c r="GM126" s="22"/>
      <c r="GN126" s="22"/>
      <c r="GO126" s="22"/>
      <c r="GP126" s="22"/>
      <c r="GQ126" s="22"/>
      <c r="GR126" s="22"/>
      <c r="GS126" s="22"/>
      <c r="GT126" s="22"/>
      <c r="GU126" s="22"/>
      <c r="GV126" s="22"/>
      <c r="GW126" s="22"/>
      <c r="GX126" s="22"/>
      <c r="GY126" s="22"/>
      <c r="GZ126" s="22"/>
      <c r="HA126" s="22"/>
      <c r="HB126" s="22"/>
      <c r="HC126" s="22"/>
    </row>
    <row r="127" spans="1:211" ht="15" customHeight="1" x14ac:dyDescent="0.2">
      <c r="A127" s="22"/>
      <c r="B127" s="14"/>
      <c r="C127" s="73"/>
      <c r="D127" s="46"/>
      <c r="E127" s="46"/>
      <c r="F127" s="120"/>
      <c r="G127" s="120"/>
      <c r="H127" s="47"/>
      <c r="I127" s="116"/>
      <c r="J127" s="45"/>
      <c r="K127" s="73"/>
      <c r="L127" s="73"/>
      <c r="M127" s="118"/>
      <c r="N127" s="119"/>
      <c r="O127" s="113"/>
      <c r="P127" s="115"/>
      <c r="Q127"/>
      <c r="R127"/>
      <c r="S127" s="114"/>
      <c r="T127" s="110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2"/>
      <c r="BO127" s="22"/>
      <c r="BP127" s="22"/>
      <c r="BQ127" s="22"/>
      <c r="BR127" s="22"/>
      <c r="BS127" s="22"/>
      <c r="BT127" s="22"/>
      <c r="BU127" s="22"/>
      <c r="BV127" s="22"/>
      <c r="BW127" s="22"/>
      <c r="BX127" s="22"/>
      <c r="BY127" s="22"/>
      <c r="BZ127" s="22"/>
      <c r="CA127" s="22"/>
      <c r="CB127" s="22"/>
      <c r="CC127" s="22"/>
      <c r="CD127" s="22"/>
      <c r="CE127" s="22"/>
      <c r="CF127" s="22"/>
      <c r="CG127" s="22"/>
      <c r="CH127" s="22"/>
      <c r="CI127" s="22"/>
      <c r="CJ127" s="22"/>
      <c r="CK127" s="22"/>
      <c r="CL127" s="22"/>
      <c r="CM127" s="22"/>
      <c r="CN127" s="22"/>
      <c r="CO127" s="22"/>
      <c r="CP127" s="22"/>
      <c r="CQ127" s="22"/>
      <c r="CR127" s="22"/>
      <c r="CS127" s="22"/>
      <c r="CT127" s="22"/>
      <c r="CU127" s="22"/>
      <c r="CV127" s="22"/>
      <c r="CW127" s="22"/>
      <c r="CX127" s="22"/>
      <c r="CY127" s="22"/>
      <c r="CZ127" s="22"/>
      <c r="DA127" s="22"/>
      <c r="DB127" s="22"/>
      <c r="DC127" s="22"/>
      <c r="DD127" s="22"/>
      <c r="DE127" s="22"/>
      <c r="DF127" s="22"/>
      <c r="DG127" s="22"/>
      <c r="DH127" s="22"/>
      <c r="DI127" s="22"/>
      <c r="DJ127" s="22"/>
      <c r="DK127" s="22"/>
      <c r="DL127" s="22"/>
      <c r="DM127" s="22"/>
      <c r="DN127" s="22"/>
      <c r="DO127" s="22"/>
      <c r="DP127" s="22"/>
      <c r="DQ127" s="22"/>
      <c r="DR127" s="22"/>
      <c r="DS127" s="22"/>
      <c r="DT127" s="22"/>
      <c r="DU127" s="22"/>
      <c r="DV127" s="22"/>
      <c r="DW127" s="22"/>
      <c r="DX127" s="22"/>
      <c r="DY127" s="22"/>
      <c r="DZ127" s="22"/>
      <c r="EA127" s="22"/>
      <c r="EB127" s="22"/>
      <c r="EC127" s="22"/>
      <c r="ED127" s="22"/>
      <c r="EE127" s="22"/>
      <c r="EF127" s="22"/>
      <c r="EG127" s="22"/>
      <c r="EH127" s="22"/>
      <c r="EI127" s="22"/>
      <c r="EJ127" s="22"/>
      <c r="EK127" s="22"/>
      <c r="EL127" s="22"/>
      <c r="EM127" s="22"/>
      <c r="EN127" s="22"/>
      <c r="EO127" s="22"/>
      <c r="EP127" s="22"/>
      <c r="EQ127" s="22"/>
      <c r="ER127" s="22"/>
      <c r="ES127" s="22"/>
      <c r="ET127" s="22"/>
      <c r="EU127" s="22"/>
      <c r="EV127" s="22"/>
      <c r="EW127" s="22"/>
      <c r="EX127" s="22"/>
      <c r="EY127" s="22"/>
      <c r="EZ127" s="22"/>
      <c r="FA127" s="22"/>
      <c r="FB127" s="22"/>
      <c r="FC127" s="22"/>
      <c r="FD127" s="22"/>
      <c r="FE127" s="22"/>
      <c r="FF127" s="22"/>
      <c r="FG127" s="22"/>
      <c r="FH127" s="22"/>
      <c r="FI127" s="22"/>
      <c r="FJ127" s="22"/>
      <c r="FK127" s="22"/>
      <c r="FL127" s="22"/>
      <c r="FM127" s="22"/>
      <c r="FN127" s="22"/>
      <c r="FO127" s="22"/>
      <c r="FP127" s="22"/>
      <c r="FQ127" s="22"/>
      <c r="FR127" s="22"/>
      <c r="FS127" s="22"/>
      <c r="FT127" s="22"/>
      <c r="FU127" s="22"/>
      <c r="FV127" s="22"/>
      <c r="FW127" s="22"/>
      <c r="FX127" s="22"/>
      <c r="FY127" s="22"/>
      <c r="FZ127" s="22"/>
      <c r="GA127" s="22"/>
      <c r="GB127" s="22"/>
      <c r="GC127" s="22"/>
      <c r="GD127" s="22"/>
      <c r="GE127" s="22"/>
      <c r="GF127" s="22"/>
      <c r="GG127" s="22"/>
      <c r="GH127" s="22"/>
      <c r="GI127" s="22"/>
      <c r="GJ127" s="22"/>
      <c r="GK127" s="22"/>
      <c r="GL127" s="22"/>
      <c r="GM127" s="22"/>
      <c r="GN127" s="22"/>
      <c r="GO127" s="22"/>
      <c r="GP127" s="22"/>
      <c r="GQ127" s="22"/>
      <c r="GR127" s="22"/>
      <c r="GS127" s="22"/>
      <c r="GT127" s="22"/>
      <c r="GU127" s="22"/>
      <c r="GV127" s="22"/>
      <c r="GW127" s="22"/>
      <c r="GX127" s="22"/>
      <c r="GY127" s="22"/>
      <c r="GZ127" s="22"/>
      <c r="HA127" s="22"/>
      <c r="HB127" s="22"/>
      <c r="HC127" s="22"/>
    </row>
    <row r="128" spans="1:211" ht="15" customHeight="1" x14ac:dyDescent="0.2">
      <c r="A128" s="22"/>
      <c r="B128" s="14"/>
      <c r="C128" s="73"/>
      <c r="D128" s="46"/>
      <c r="E128" s="46"/>
      <c r="F128" s="120"/>
      <c r="G128" s="120"/>
      <c r="H128" s="47"/>
      <c r="I128" s="116"/>
      <c r="J128" s="45"/>
      <c r="K128" s="73"/>
      <c r="L128" s="73"/>
      <c r="M128" s="118"/>
      <c r="N128" s="119"/>
      <c r="O128" s="113"/>
      <c r="P128" s="115"/>
      <c r="Q128"/>
      <c r="R128"/>
      <c r="S128" s="114"/>
      <c r="T128" s="110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2"/>
      <c r="BO128" s="22"/>
      <c r="BP128" s="22"/>
      <c r="BQ128" s="22"/>
      <c r="BR128" s="22"/>
      <c r="BS128" s="22"/>
      <c r="BT128" s="22"/>
      <c r="BU128" s="22"/>
      <c r="BV128" s="22"/>
      <c r="BW128" s="22"/>
      <c r="BX128" s="22"/>
      <c r="BY128" s="22"/>
      <c r="BZ128" s="22"/>
      <c r="CA128" s="22"/>
      <c r="CB128" s="22"/>
      <c r="CC128" s="22"/>
      <c r="CD128" s="22"/>
      <c r="CE128" s="22"/>
      <c r="CF128" s="22"/>
      <c r="CG128" s="22"/>
      <c r="CH128" s="22"/>
      <c r="CI128" s="22"/>
      <c r="CJ128" s="22"/>
      <c r="CK128" s="22"/>
      <c r="CL128" s="22"/>
      <c r="CM128" s="22"/>
      <c r="CN128" s="22"/>
      <c r="CO128" s="22"/>
      <c r="CP128" s="22"/>
      <c r="CQ128" s="22"/>
      <c r="CR128" s="22"/>
      <c r="CS128" s="22"/>
      <c r="CT128" s="22"/>
      <c r="CU128" s="22"/>
      <c r="CV128" s="22"/>
      <c r="CW128" s="22"/>
      <c r="CX128" s="22"/>
      <c r="CY128" s="22"/>
      <c r="CZ128" s="22"/>
      <c r="DA128" s="22"/>
      <c r="DB128" s="22"/>
      <c r="DC128" s="22"/>
      <c r="DD128" s="22"/>
      <c r="DE128" s="22"/>
      <c r="DF128" s="22"/>
      <c r="DG128" s="22"/>
      <c r="DH128" s="22"/>
      <c r="DI128" s="22"/>
      <c r="DJ128" s="22"/>
      <c r="DK128" s="22"/>
      <c r="DL128" s="22"/>
      <c r="DM128" s="22"/>
      <c r="DN128" s="22"/>
      <c r="DO128" s="22"/>
      <c r="DP128" s="22"/>
      <c r="DQ128" s="22"/>
      <c r="DR128" s="22"/>
      <c r="DS128" s="22"/>
      <c r="DT128" s="22"/>
      <c r="DU128" s="22"/>
      <c r="DV128" s="22"/>
      <c r="DW128" s="22"/>
      <c r="DX128" s="22"/>
      <c r="DY128" s="22"/>
      <c r="DZ128" s="22"/>
      <c r="EA128" s="22"/>
      <c r="EB128" s="22"/>
      <c r="EC128" s="22"/>
      <c r="ED128" s="22"/>
      <c r="EE128" s="22"/>
      <c r="EF128" s="22"/>
      <c r="EG128" s="22"/>
      <c r="EH128" s="22"/>
      <c r="EI128" s="22"/>
      <c r="EJ128" s="22"/>
      <c r="EK128" s="22"/>
      <c r="EL128" s="22"/>
      <c r="EM128" s="22"/>
      <c r="EN128" s="22"/>
      <c r="EO128" s="22"/>
      <c r="EP128" s="22"/>
      <c r="EQ128" s="22"/>
      <c r="ER128" s="22"/>
      <c r="ES128" s="22"/>
      <c r="ET128" s="22"/>
      <c r="EU128" s="22"/>
      <c r="EV128" s="22"/>
      <c r="EW128" s="22"/>
      <c r="EX128" s="22"/>
      <c r="EY128" s="22"/>
      <c r="EZ128" s="22"/>
      <c r="FA128" s="22"/>
      <c r="FB128" s="22"/>
      <c r="FC128" s="22"/>
      <c r="FD128" s="22"/>
      <c r="FE128" s="22"/>
      <c r="FF128" s="22"/>
      <c r="FG128" s="22"/>
      <c r="FH128" s="22"/>
      <c r="FI128" s="22"/>
      <c r="FJ128" s="22"/>
      <c r="FK128" s="22"/>
      <c r="FL128" s="22"/>
      <c r="FM128" s="22"/>
      <c r="FN128" s="22"/>
      <c r="FO128" s="22"/>
      <c r="FP128" s="22"/>
      <c r="FQ128" s="22"/>
      <c r="FR128" s="22"/>
      <c r="FS128" s="22"/>
      <c r="FT128" s="22"/>
      <c r="FU128" s="22"/>
      <c r="FV128" s="22"/>
      <c r="FW128" s="22"/>
      <c r="FX128" s="22"/>
      <c r="FY128" s="22"/>
      <c r="FZ128" s="22"/>
      <c r="GA128" s="22"/>
      <c r="GB128" s="22"/>
      <c r="GC128" s="22"/>
      <c r="GD128" s="22"/>
      <c r="GE128" s="22"/>
      <c r="GF128" s="22"/>
      <c r="GG128" s="22"/>
      <c r="GH128" s="22"/>
      <c r="GI128" s="22"/>
      <c r="GJ128" s="22"/>
      <c r="GK128" s="22"/>
      <c r="GL128" s="22"/>
      <c r="GM128" s="22"/>
      <c r="GN128" s="22"/>
      <c r="GO128" s="22"/>
      <c r="GP128" s="22"/>
      <c r="GQ128" s="22"/>
      <c r="GR128" s="22"/>
      <c r="GS128" s="22"/>
      <c r="GT128" s="22"/>
      <c r="GU128" s="22"/>
      <c r="GV128" s="22"/>
      <c r="GW128" s="22"/>
      <c r="GX128" s="22"/>
      <c r="GY128" s="22"/>
      <c r="GZ128" s="22"/>
      <c r="HA128" s="22"/>
      <c r="HB128" s="22"/>
      <c r="HC128" s="22"/>
    </row>
    <row r="129" spans="1:211" ht="15" customHeight="1" x14ac:dyDescent="0.2">
      <c r="A129" s="22"/>
      <c r="B129" s="14"/>
      <c r="C129" s="73"/>
      <c r="D129" s="46"/>
      <c r="E129" s="46"/>
      <c r="F129" s="120"/>
      <c r="G129" s="120"/>
      <c r="H129" s="47"/>
      <c r="I129" s="116"/>
      <c r="J129" s="45"/>
      <c r="K129" s="45"/>
      <c r="L129" s="73"/>
      <c r="M129" s="118"/>
      <c r="N129" s="119"/>
      <c r="O129" s="113"/>
      <c r="P129" s="115"/>
      <c r="Q129"/>
      <c r="R129"/>
      <c r="S129" s="114"/>
      <c r="T129" s="110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2"/>
      <c r="BO129" s="22"/>
      <c r="BP129" s="22"/>
      <c r="BQ129" s="22"/>
      <c r="BR129" s="22"/>
      <c r="BS129" s="22"/>
      <c r="BT129" s="22"/>
      <c r="BU129" s="22"/>
      <c r="BV129" s="22"/>
      <c r="BW129" s="22"/>
      <c r="BX129" s="22"/>
      <c r="BY129" s="22"/>
      <c r="BZ129" s="22"/>
      <c r="CA129" s="22"/>
      <c r="CB129" s="22"/>
      <c r="CC129" s="22"/>
      <c r="CD129" s="22"/>
      <c r="CE129" s="22"/>
      <c r="CF129" s="22"/>
      <c r="CG129" s="22"/>
      <c r="CH129" s="22"/>
      <c r="CI129" s="22"/>
      <c r="CJ129" s="22"/>
      <c r="CK129" s="22"/>
      <c r="CL129" s="22"/>
      <c r="CM129" s="22"/>
      <c r="CN129" s="22"/>
      <c r="CO129" s="22"/>
      <c r="CP129" s="22"/>
      <c r="CQ129" s="22"/>
      <c r="CR129" s="22"/>
      <c r="CS129" s="22"/>
      <c r="CT129" s="22"/>
      <c r="CU129" s="22"/>
      <c r="CV129" s="22"/>
      <c r="CW129" s="22"/>
      <c r="CX129" s="22"/>
      <c r="CY129" s="22"/>
      <c r="CZ129" s="22"/>
      <c r="DA129" s="22"/>
      <c r="DB129" s="22"/>
      <c r="DC129" s="22"/>
      <c r="DD129" s="22"/>
      <c r="DE129" s="22"/>
      <c r="DF129" s="22"/>
      <c r="DG129" s="22"/>
      <c r="DH129" s="22"/>
      <c r="DI129" s="22"/>
      <c r="DJ129" s="22"/>
      <c r="DK129" s="22"/>
      <c r="DL129" s="22"/>
      <c r="DM129" s="22"/>
      <c r="DN129" s="22"/>
      <c r="DO129" s="22"/>
      <c r="DP129" s="22"/>
      <c r="DQ129" s="22"/>
      <c r="DR129" s="22"/>
      <c r="DS129" s="22"/>
      <c r="DT129" s="22"/>
      <c r="DU129" s="22"/>
      <c r="DV129" s="22"/>
      <c r="DW129" s="22"/>
      <c r="DX129" s="22"/>
      <c r="DY129" s="22"/>
      <c r="DZ129" s="22"/>
      <c r="EA129" s="22"/>
      <c r="EB129" s="22"/>
      <c r="EC129" s="22"/>
      <c r="ED129" s="22"/>
      <c r="EE129" s="22"/>
      <c r="EF129" s="22"/>
      <c r="EG129" s="22"/>
      <c r="EH129" s="22"/>
      <c r="EI129" s="22"/>
      <c r="EJ129" s="22"/>
      <c r="EK129" s="22"/>
      <c r="EL129" s="22"/>
      <c r="EM129" s="22"/>
      <c r="EN129" s="22"/>
      <c r="EO129" s="22"/>
      <c r="EP129" s="22"/>
      <c r="EQ129" s="22"/>
      <c r="ER129" s="22"/>
      <c r="ES129" s="22"/>
      <c r="ET129" s="22"/>
      <c r="EU129" s="22"/>
      <c r="EV129" s="22"/>
      <c r="EW129" s="22"/>
      <c r="EX129" s="22"/>
      <c r="EY129" s="22"/>
      <c r="EZ129" s="22"/>
      <c r="FA129" s="22"/>
      <c r="FB129" s="22"/>
      <c r="FC129" s="22"/>
      <c r="FD129" s="22"/>
      <c r="FE129" s="22"/>
      <c r="FF129" s="22"/>
      <c r="FG129" s="22"/>
      <c r="FH129" s="22"/>
      <c r="FI129" s="22"/>
      <c r="FJ129" s="22"/>
      <c r="FK129" s="22"/>
      <c r="FL129" s="22"/>
      <c r="FM129" s="22"/>
      <c r="FN129" s="22"/>
      <c r="FO129" s="22"/>
      <c r="FP129" s="22"/>
      <c r="FQ129" s="22"/>
      <c r="FR129" s="22"/>
      <c r="FS129" s="22"/>
      <c r="FT129" s="22"/>
      <c r="FU129" s="22"/>
      <c r="FV129" s="22"/>
      <c r="FW129" s="22"/>
      <c r="FX129" s="22"/>
      <c r="FY129" s="22"/>
      <c r="FZ129" s="22"/>
      <c r="GA129" s="22"/>
      <c r="GB129" s="22"/>
      <c r="GC129" s="22"/>
      <c r="GD129" s="22"/>
      <c r="GE129" s="22"/>
      <c r="GF129" s="22"/>
      <c r="GG129" s="22"/>
      <c r="GH129" s="22"/>
      <c r="GI129" s="22"/>
      <c r="GJ129" s="22"/>
      <c r="GK129" s="22"/>
      <c r="GL129" s="22"/>
      <c r="GM129" s="22"/>
      <c r="GN129" s="22"/>
      <c r="GO129" s="22"/>
      <c r="GP129" s="22"/>
      <c r="GQ129" s="22"/>
      <c r="GR129" s="22"/>
      <c r="GS129" s="22"/>
      <c r="GT129" s="22"/>
      <c r="GU129" s="22"/>
      <c r="GV129" s="22"/>
      <c r="GW129" s="22"/>
      <c r="GX129" s="22"/>
      <c r="GY129" s="22"/>
      <c r="GZ129" s="22"/>
      <c r="HA129" s="22"/>
      <c r="HB129" s="22"/>
      <c r="HC129" s="22"/>
    </row>
    <row r="130" spans="1:211" ht="15" customHeight="1" x14ac:dyDescent="0.2">
      <c r="A130" s="22"/>
      <c r="B130" s="14"/>
      <c r="C130" s="73"/>
      <c r="D130" s="46"/>
      <c r="E130" s="46"/>
      <c r="F130" s="120"/>
      <c r="G130" s="120"/>
      <c r="H130" s="47"/>
      <c r="I130" s="116"/>
      <c r="J130" s="45"/>
      <c r="K130" s="45"/>
      <c r="L130" s="73"/>
      <c r="M130" s="118"/>
      <c r="N130" s="119"/>
      <c r="O130" s="113"/>
      <c r="P130" s="115"/>
      <c r="Q130"/>
      <c r="R130"/>
      <c r="S130" s="114"/>
      <c r="T130" s="110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  <c r="CU130" s="22"/>
      <c r="CV130" s="22"/>
      <c r="CW130" s="22"/>
      <c r="CX130" s="22"/>
      <c r="CY130" s="22"/>
      <c r="CZ130" s="22"/>
      <c r="DA130" s="22"/>
      <c r="DB130" s="22"/>
      <c r="DC130" s="22"/>
      <c r="DD130" s="22"/>
      <c r="DE130" s="22"/>
      <c r="DF130" s="22"/>
      <c r="DG130" s="22"/>
      <c r="DH130" s="22"/>
      <c r="DI130" s="22"/>
      <c r="DJ130" s="22"/>
      <c r="DK130" s="22"/>
      <c r="DL130" s="22"/>
      <c r="DM130" s="22"/>
      <c r="DN130" s="22"/>
      <c r="DO130" s="22"/>
      <c r="DP130" s="22"/>
      <c r="DQ130" s="22"/>
      <c r="DR130" s="22"/>
      <c r="DS130" s="22"/>
      <c r="DT130" s="22"/>
      <c r="DU130" s="22"/>
      <c r="DV130" s="22"/>
      <c r="DW130" s="22"/>
      <c r="DX130" s="22"/>
      <c r="DY130" s="22"/>
      <c r="DZ130" s="22"/>
      <c r="EA130" s="22"/>
      <c r="EB130" s="22"/>
      <c r="EC130" s="22"/>
      <c r="ED130" s="22"/>
      <c r="EE130" s="22"/>
      <c r="EF130" s="22"/>
      <c r="EG130" s="22"/>
      <c r="EH130" s="22"/>
      <c r="EI130" s="22"/>
      <c r="EJ130" s="22"/>
      <c r="EK130" s="22"/>
      <c r="EL130" s="22"/>
      <c r="EM130" s="22"/>
      <c r="EN130" s="22"/>
      <c r="EO130" s="22"/>
      <c r="EP130" s="22"/>
      <c r="EQ130" s="22"/>
      <c r="ER130" s="22"/>
      <c r="ES130" s="22"/>
      <c r="ET130" s="22"/>
      <c r="EU130" s="22"/>
      <c r="EV130" s="22"/>
      <c r="EW130" s="22"/>
      <c r="EX130" s="22"/>
      <c r="EY130" s="22"/>
      <c r="EZ130" s="22"/>
      <c r="FA130" s="22"/>
      <c r="FB130" s="22"/>
      <c r="FC130" s="22"/>
      <c r="FD130" s="22"/>
      <c r="FE130" s="22"/>
      <c r="FF130" s="22"/>
      <c r="FG130" s="22"/>
      <c r="FH130" s="22"/>
      <c r="FI130" s="22"/>
      <c r="FJ130" s="22"/>
      <c r="FK130" s="22"/>
      <c r="FL130" s="22"/>
      <c r="FM130" s="22"/>
      <c r="FN130" s="22"/>
      <c r="FO130" s="22"/>
      <c r="FP130" s="22"/>
      <c r="FQ130" s="22"/>
      <c r="FR130" s="22"/>
      <c r="FS130" s="22"/>
      <c r="FT130" s="22"/>
      <c r="FU130" s="22"/>
      <c r="FV130" s="22"/>
      <c r="FW130" s="22"/>
      <c r="FX130" s="22"/>
      <c r="FY130" s="22"/>
      <c r="FZ130" s="22"/>
      <c r="GA130" s="22"/>
      <c r="GB130" s="22"/>
      <c r="GC130" s="22"/>
      <c r="GD130" s="22"/>
      <c r="GE130" s="22"/>
      <c r="GF130" s="22"/>
      <c r="GG130" s="22"/>
      <c r="GH130" s="22"/>
      <c r="GI130" s="22"/>
      <c r="GJ130" s="22"/>
      <c r="GK130" s="22"/>
      <c r="GL130" s="22"/>
      <c r="GM130" s="22"/>
      <c r="GN130" s="22"/>
      <c r="GO130" s="22"/>
      <c r="GP130" s="22"/>
      <c r="GQ130" s="22"/>
      <c r="GR130" s="22"/>
      <c r="GS130" s="22"/>
      <c r="GT130" s="22"/>
      <c r="GU130" s="22"/>
      <c r="GV130" s="22"/>
      <c r="GW130" s="22"/>
      <c r="GX130" s="22"/>
      <c r="GY130" s="22"/>
      <c r="GZ130" s="22"/>
      <c r="HA130" s="22"/>
      <c r="HB130" s="22"/>
      <c r="HC130" s="22"/>
    </row>
    <row r="131" spans="1:211" ht="15" customHeight="1" x14ac:dyDescent="0.2">
      <c r="A131" s="22"/>
      <c r="B131" s="14"/>
      <c r="C131" s="73"/>
      <c r="D131" s="46"/>
      <c r="E131" s="46"/>
      <c r="F131" s="120"/>
      <c r="G131" s="120"/>
      <c r="H131" s="47"/>
      <c r="I131" s="116"/>
      <c r="J131" s="45"/>
      <c r="K131" s="73"/>
      <c r="L131" s="73"/>
      <c r="M131" s="118"/>
      <c r="N131" s="119"/>
      <c r="O131" s="113"/>
      <c r="P131" s="115"/>
      <c r="Q131"/>
      <c r="R131"/>
      <c r="S131" s="114"/>
      <c r="T131" s="110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  <c r="CU131" s="22"/>
      <c r="CV131" s="22"/>
      <c r="CW131" s="22"/>
      <c r="CX131" s="22"/>
      <c r="CY131" s="22"/>
      <c r="CZ131" s="22"/>
      <c r="DA131" s="22"/>
      <c r="DB131" s="22"/>
      <c r="DC131" s="22"/>
      <c r="DD131" s="22"/>
      <c r="DE131" s="22"/>
      <c r="DF131" s="22"/>
      <c r="DG131" s="22"/>
      <c r="DH131" s="22"/>
      <c r="DI131" s="22"/>
      <c r="DJ131" s="22"/>
      <c r="DK131" s="22"/>
      <c r="DL131" s="22"/>
      <c r="DM131" s="22"/>
      <c r="DN131" s="22"/>
      <c r="DO131" s="22"/>
      <c r="DP131" s="22"/>
      <c r="DQ131" s="22"/>
      <c r="DR131" s="22"/>
      <c r="DS131" s="22"/>
      <c r="DT131" s="22"/>
      <c r="DU131" s="22"/>
      <c r="DV131" s="22"/>
      <c r="DW131" s="22"/>
      <c r="DX131" s="22"/>
      <c r="DY131" s="22"/>
      <c r="DZ131" s="22"/>
      <c r="EA131" s="22"/>
      <c r="EB131" s="22"/>
      <c r="EC131" s="22"/>
      <c r="ED131" s="22"/>
      <c r="EE131" s="22"/>
      <c r="EF131" s="22"/>
      <c r="EG131" s="22"/>
      <c r="EH131" s="22"/>
      <c r="EI131" s="22"/>
      <c r="EJ131" s="22"/>
      <c r="EK131" s="22"/>
      <c r="EL131" s="22"/>
      <c r="EM131" s="22"/>
      <c r="EN131" s="22"/>
      <c r="EO131" s="22"/>
      <c r="EP131" s="22"/>
      <c r="EQ131" s="22"/>
      <c r="ER131" s="22"/>
      <c r="ES131" s="22"/>
      <c r="ET131" s="22"/>
      <c r="EU131" s="22"/>
      <c r="EV131" s="22"/>
      <c r="EW131" s="22"/>
      <c r="EX131" s="22"/>
      <c r="EY131" s="22"/>
      <c r="EZ131" s="22"/>
      <c r="FA131" s="22"/>
      <c r="FB131" s="22"/>
      <c r="FC131" s="22"/>
      <c r="FD131" s="22"/>
      <c r="FE131" s="22"/>
      <c r="FF131" s="22"/>
      <c r="FG131" s="22"/>
      <c r="FH131" s="22"/>
      <c r="FI131" s="22"/>
      <c r="FJ131" s="22"/>
      <c r="FK131" s="22"/>
      <c r="FL131" s="22"/>
      <c r="FM131" s="22"/>
      <c r="FN131" s="22"/>
      <c r="FO131" s="22"/>
      <c r="FP131" s="22"/>
      <c r="FQ131" s="22"/>
      <c r="FR131" s="22"/>
      <c r="FS131" s="22"/>
      <c r="FT131" s="22"/>
      <c r="FU131" s="22"/>
      <c r="FV131" s="22"/>
      <c r="FW131" s="22"/>
      <c r="FX131" s="22"/>
      <c r="FY131" s="22"/>
      <c r="FZ131" s="22"/>
      <c r="GA131" s="22"/>
      <c r="GB131" s="22"/>
      <c r="GC131" s="22"/>
      <c r="GD131" s="22"/>
      <c r="GE131" s="22"/>
      <c r="GF131" s="22"/>
      <c r="GG131" s="22"/>
      <c r="GH131" s="22"/>
      <c r="GI131" s="22"/>
      <c r="GJ131" s="22"/>
      <c r="GK131" s="22"/>
      <c r="GL131" s="22"/>
      <c r="GM131" s="22"/>
      <c r="GN131" s="22"/>
      <c r="GO131" s="22"/>
      <c r="GP131" s="22"/>
      <c r="GQ131" s="22"/>
      <c r="GR131" s="22"/>
      <c r="GS131" s="22"/>
      <c r="GT131" s="22"/>
      <c r="GU131" s="22"/>
      <c r="GV131" s="22"/>
      <c r="GW131" s="22"/>
      <c r="GX131" s="22"/>
      <c r="GY131" s="22"/>
      <c r="GZ131" s="22"/>
      <c r="HA131" s="22"/>
      <c r="HB131" s="22"/>
      <c r="HC131" s="22"/>
    </row>
    <row r="132" spans="1:211" ht="15" customHeight="1" x14ac:dyDescent="0.2">
      <c r="A132" s="22"/>
      <c r="B132" s="14"/>
      <c r="C132" s="73"/>
      <c r="D132" s="46"/>
      <c r="E132" s="46"/>
      <c r="F132" s="120"/>
      <c r="G132" s="120"/>
      <c r="H132" s="47"/>
      <c r="I132" s="116"/>
      <c r="J132" s="45"/>
      <c r="K132" s="45"/>
      <c r="L132" s="73"/>
      <c r="M132" s="118"/>
      <c r="N132" s="119"/>
      <c r="O132" s="113"/>
      <c r="P132" s="115"/>
      <c r="Q132"/>
      <c r="R132"/>
      <c r="S132" s="114"/>
      <c r="T132" s="110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2"/>
      <c r="BO132" s="22"/>
      <c r="BP132" s="22"/>
      <c r="BQ132" s="22"/>
      <c r="BR132" s="22"/>
      <c r="BS132" s="22"/>
      <c r="BT132" s="22"/>
      <c r="BU132" s="22"/>
      <c r="BV132" s="22"/>
      <c r="BW132" s="22"/>
      <c r="BX132" s="22"/>
      <c r="BY132" s="22"/>
      <c r="BZ132" s="22"/>
      <c r="CA132" s="22"/>
      <c r="CB132" s="22"/>
      <c r="CC132" s="22"/>
      <c r="CD132" s="22"/>
      <c r="CE132" s="22"/>
      <c r="CF132" s="22"/>
      <c r="CG132" s="22"/>
      <c r="CH132" s="22"/>
      <c r="CI132" s="22"/>
      <c r="CJ132" s="22"/>
      <c r="CK132" s="22"/>
      <c r="CL132" s="22"/>
      <c r="CM132" s="22"/>
      <c r="CN132" s="22"/>
      <c r="CO132" s="22"/>
      <c r="CP132" s="22"/>
      <c r="CQ132" s="22"/>
      <c r="CR132" s="22"/>
      <c r="CS132" s="22"/>
      <c r="CT132" s="22"/>
      <c r="CU132" s="22"/>
      <c r="CV132" s="22"/>
      <c r="CW132" s="22"/>
      <c r="CX132" s="22"/>
      <c r="CY132" s="22"/>
      <c r="CZ132" s="22"/>
      <c r="DA132" s="22"/>
      <c r="DB132" s="22"/>
      <c r="DC132" s="22"/>
      <c r="DD132" s="22"/>
      <c r="DE132" s="22"/>
      <c r="DF132" s="22"/>
      <c r="DG132" s="22"/>
      <c r="DH132" s="22"/>
      <c r="DI132" s="22"/>
      <c r="DJ132" s="22"/>
      <c r="DK132" s="22"/>
      <c r="DL132" s="22"/>
      <c r="DM132" s="22"/>
      <c r="DN132" s="22"/>
      <c r="DO132" s="22"/>
      <c r="DP132" s="22"/>
      <c r="DQ132" s="22"/>
      <c r="DR132" s="22"/>
      <c r="DS132" s="22"/>
      <c r="DT132" s="22"/>
      <c r="DU132" s="22"/>
      <c r="DV132" s="22"/>
      <c r="DW132" s="22"/>
      <c r="DX132" s="22"/>
      <c r="DY132" s="22"/>
      <c r="DZ132" s="22"/>
      <c r="EA132" s="22"/>
      <c r="EB132" s="22"/>
      <c r="EC132" s="22"/>
      <c r="ED132" s="22"/>
      <c r="EE132" s="22"/>
      <c r="EF132" s="22"/>
      <c r="EG132" s="22"/>
      <c r="EH132" s="22"/>
      <c r="EI132" s="22"/>
      <c r="EJ132" s="22"/>
      <c r="EK132" s="22"/>
      <c r="EL132" s="22"/>
      <c r="EM132" s="22"/>
      <c r="EN132" s="22"/>
      <c r="EO132" s="22"/>
      <c r="EP132" s="22"/>
      <c r="EQ132" s="22"/>
      <c r="ER132" s="22"/>
      <c r="ES132" s="22"/>
      <c r="ET132" s="22"/>
      <c r="EU132" s="22"/>
      <c r="EV132" s="22"/>
      <c r="EW132" s="22"/>
      <c r="EX132" s="22"/>
      <c r="EY132" s="22"/>
      <c r="EZ132" s="22"/>
      <c r="FA132" s="22"/>
      <c r="FB132" s="22"/>
      <c r="FC132" s="22"/>
      <c r="FD132" s="22"/>
      <c r="FE132" s="22"/>
      <c r="FF132" s="22"/>
      <c r="FG132" s="22"/>
      <c r="FH132" s="22"/>
      <c r="FI132" s="22"/>
      <c r="FJ132" s="22"/>
      <c r="FK132" s="22"/>
      <c r="FL132" s="22"/>
      <c r="FM132" s="22"/>
      <c r="FN132" s="22"/>
      <c r="FO132" s="22"/>
      <c r="FP132" s="22"/>
      <c r="FQ132" s="22"/>
      <c r="FR132" s="22"/>
      <c r="FS132" s="22"/>
      <c r="FT132" s="22"/>
      <c r="FU132" s="22"/>
      <c r="FV132" s="22"/>
      <c r="FW132" s="22"/>
      <c r="FX132" s="22"/>
      <c r="FY132" s="22"/>
      <c r="FZ132" s="22"/>
      <c r="GA132" s="22"/>
      <c r="GB132" s="22"/>
      <c r="GC132" s="22"/>
      <c r="GD132" s="22"/>
      <c r="GE132" s="22"/>
      <c r="GF132" s="22"/>
      <c r="GG132" s="22"/>
      <c r="GH132" s="22"/>
      <c r="GI132" s="22"/>
      <c r="GJ132" s="22"/>
      <c r="GK132" s="22"/>
      <c r="GL132" s="22"/>
      <c r="GM132" s="22"/>
      <c r="GN132" s="22"/>
      <c r="GO132" s="22"/>
      <c r="GP132" s="22"/>
      <c r="GQ132" s="22"/>
      <c r="GR132" s="22"/>
      <c r="GS132" s="22"/>
      <c r="GT132" s="22"/>
      <c r="GU132" s="22"/>
      <c r="GV132" s="22"/>
      <c r="GW132" s="22"/>
      <c r="GX132" s="22"/>
      <c r="GY132" s="22"/>
      <c r="GZ132" s="22"/>
      <c r="HA132" s="22"/>
      <c r="HB132" s="22"/>
      <c r="HC132" s="22"/>
    </row>
    <row r="133" spans="1:211" ht="15" customHeight="1" x14ac:dyDescent="0.2">
      <c r="A133" s="22"/>
      <c r="B133" s="14"/>
      <c r="C133" s="73"/>
      <c r="D133" s="46"/>
      <c r="E133" s="46"/>
      <c r="F133" s="120"/>
      <c r="G133" s="120"/>
      <c r="H133" s="47"/>
      <c r="I133" s="116"/>
      <c r="J133" s="45"/>
      <c r="K133" s="45"/>
      <c r="L133" s="73"/>
      <c r="M133" s="118"/>
      <c r="N133" s="119"/>
      <c r="O133" s="113"/>
      <c r="P133" s="115"/>
      <c r="Q133"/>
      <c r="R133"/>
      <c r="S133" s="114"/>
      <c r="T133" s="110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  <c r="BQ133" s="22"/>
      <c r="BR133" s="22"/>
      <c r="BS133" s="22"/>
      <c r="BT133" s="22"/>
      <c r="BU133" s="22"/>
      <c r="BV133" s="22"/>
      <c r="BW133" s="22"/>
      <c r="BX133" s="22"/>
      <c r="BY133" s="22"/>
      <c r="BZ133" s="22"/>
      <c r="CA133" s="22"/>
      <c r="CB133" s="22"/>
      <c r="CC133" s="22"/>
      <c r="CD133" s="22"/>
      <c r="CE133" s="22"/>
      <c r="CF133" s="22"/>
      <c r="CG133" s="22"/>
      <c r="CH133" s="22"/>
      <c r="CI133" s="22"/>
      <c r="CJ133" s="22"/>
      <c r="CK133" s="22"/>
      <c r="CL133" s="22"/>
      <c r="CM133" s="22"/>
      <c r="CN133" s="22"/>
      <c r="CO133" s="22"/>
      <c r="CP133" s="22"/>
      <c r="CQ133" s="22"/>
      <c r="CR133" s="22"/>
      <c r="CS133" s="22"/>
      <c r="CT133" s="22"/>
      <c r="CU133" s="22"/>
      <c r="CV133" s="22"/>
      <c r="CW133" s="22"/>
      <c r="CX133" s="22"/>
      <c r="CY133" s="22"/>
      <c r="CZ133" s="22"/>
      <c r="DA133" s="22"/>
      <c r="DB133" s="22"/>
      <c r="DC133" s="22"/>
      <c r="DD133" s="22"/>
      <c r="DE133" s="22"/>
      <c r="DF133" s="22"/>
      <c r="DG133" s="22"/>
      <c r="DH133" s="22"/>
      <c r="DI133" s="22"/>
      <c r="DJ133" s="22"/>
      <c r="DK133" s="22"/>
      <c r="DL133" s="22"/>
      <c r="DM133" s="22"/>
      <c r="DN133" s="22"/>
      <c r="DO133" s="22"/>
      <c r="DP133" s="22"/>
      <c r="DQ133" s="22"/>
      <c r="DR133" s="22"/>
      <c r="DS133" s="22"/>
      <c r="DT133" s="22"/>
      <c r="DU133" s="22"/>
      <c r="DV133" s="22"/>
      <c r="DW133" s="22"/>
      <c r="DX133" s="22"/>
      <c r="DY133" s="22"/>
      <c r="DZ133" s="22"/>
      <c r="EA133" s="22"/>
      <c r="EB133" s="22"/>
      <c r="EC133" s="22"/>
      <c r="ED133" s="22"/>
      <c r="EE133" s="22"/>
      <c r="EF133" s="22"/>
      <c r="EG133" s="22"/>
      <c r="EH133" s="22"/>
      <c r="EI133" s="22"/>
      <c r="EJ133" s="22"/>
      <c r="EK133" s="22"/>
      <c r="EL133" s="22"/>
      <c r="EM133" s="22"/>
      <c r="EN133" s="22"/>
      <c r="EO133" s="22"/>
      <c r="EP133" s="22"/>
      <c r="EQ133" s="22"/>
      <c r="ER133" s="22"/>
      <c r="ES133" s="22"/>
      <c r="ET133" s="22"/>
      <c r="EU133" s="22"/>
      <c r="EV133" s="22"/>
      <c r="EW133" s="22"/>
      <c r="EX133" s="22"/>
      <c r="EY133" s="22"/>
      <c r="EZ133" s="22"/>
      <c r="FA133" s="22"/>
      <c r="FB133" s="22"/>
      <c r="FC133" s="22"/>
      <c r="FD133" s="22"/>
      <c r="FE133" s="22"/>
      <c r="FF133" s="22"/>
      <c r="FG133" s="22"/>
      <c r="FH133" s="22"/>
      <c r="FI133" s="22"/>
      <c r="FJ133" s="22"/>
      <c r="FK133" s="22"/>
      <c r="FL133" s="22"/>
      <c r="FM133" s="22"/>
      <c r="FN133" s="22"/>
      <c r="FO133" s="22"/>
      <c r="FP133" s="22"/>
      <c r="FQ133" s="22"/>
      <c r="FR133" s="22"/>
      <c r="FS133" s="22"/>
      <c r="FT133" s="22"/>
      <c r="FU133" s="22"/>
      <c r="FV133" s="22"/>
      <c r="FW133" s="22"/>
      <c r="FX133" s="22"/>
      <c r="FY133" s="22"/>
      <c r="FZ133" s="22"/>
      <c r="GA133" s="22"/>
      <c r="GB133" s="22"/>
      <c r="GC133" s="22"/>
      <c r="GD133" s="22"/>
      <c r="GE133" s="22"/>
      <c r="GF133" s="22"/>
      <c r="GG133" s="22"/>
      <c r="GH133" s="22"/>
      <c r="GI133" s="22"/>
      <c r="GJ133" s="22"/>
      <c r="GK133" s="22"/>
      <c r="GL133" s="22"/>
      <c r="GM133" s="22"/>
      <c r="GN133" s="22"/>
      <c r="GO133" s="22"/>
      <c r="GP133" s="22"/>
      <c r="GQ133" s="22"/>
      <c r="GR133" s="22"/>
      <c r="GS133" s="22"/>
      <c r="GT133" s="22"/>
      <c r="GU133" s="22"/>
      <c r="GV133" s="22"/>
      <c r="GW133" s="22"/>
      <c r="GX133" s="22"/>
      <c r="GY133" s="22"/>
      <c r="GZ133" s="22"/>
      <c r="HA133" s="22"/>
      <c r="HB133" s="22"/>
      <c r="HC133" s="22"/>
    </row>
    <row r="134" spans="1:211" ht="15" customHeight="1" x14ac:dyDescent="0.2">
      <c r="A134" s="22"/>
      <c r="B134" s="14"/>
      <c r="C134" s="73"/>
      <c r="D134" s="46"/>
      <c r="E134" s="46"/>
      <c r="F134" s="120"/>
      <c r="G134" s="120"/>
      <c r="H134" s="47"/>
      <c r="I134" s="116"/>
      <c r="J134" s="45"/>
      <c r="K134" s="73"/>
      <c r="L134" s="73"/>
      <c r="M134" s="118"/>
      <c r="N134" s="119"/>
      <c r="O134" s="113"/>
      <c r="P134" s="115"/>
      <c r="Q134"/>
      <c r="R134"/>
      <c r="S134" s="114"/>
      <c r="T134" s="110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  <c r="BS134" s="22"/>
      <c r="BT134" s="22"/>
      <c r="BU134" s="22"/>
      <c r="BV134" s="22"/>
      <c r="BW134" s="22"/>
      <c r="BX134" s="22"/>
      <c r="BY134" s="22"/>
      <c r="BZ134" s="22"/>
      <c r="CA134" s="22"/>
      <c r="CB134" s="22"/>
      <c r="CC134" s="22"/>
      <c r="CD134" s="22"/>
      <c r="CE134" s="22"/>
      <c r="CF134" s="22"/>
      <c r="CG134" s="22"/>
      <c r="CH134" s="22"/>
      <c r="CI134" s="22"/>
      <c r="CJ134" s="22"/>
      <c r="CK134" s="22"/>
      <c r="CL134" s="22"/>
      <c r="CM134" s="22"/>
      <c r="CN134" s="22"/>
      <c r="CO134" s="22"/>
      <c r="CP134" s="22"/>
      <c r="CQ134" s="22"/>
      <c r="CR134" s="22"/>
      <c r="CS134" s="22"/>
      <c r="CT134" s="22"/>
      <c r="CU134" s="22"/>
      <c r="CV134" s="22"/>
      <c r="CW134" s="22"/>
      <c r="CX134" s="22"/>
      <c r="CY134" s="22"/>
      <c r="CZ134" s="22"/>
      <c r="DA134" s="22"/>
      <c r="DB134" s="22"/>
      <c r="DC134" s="22"/>
      <c r="DD134" s="22"/>
      <c r="DE134" s="22"/>
      <c r="DF134" s="22"/>
      <c r="DG134" s="22"/>
      <c r="DH134" s="22"/>
      <c r="DI134" s="22"/>
      <c r="DJ134" s="22"/>
      <c r="DK134" s="22"/>
      <c r="DL134" s="22"/>
      <c r="DM134" s="22"/>
      <c r="DN134" s="22"/>
      <c r="DO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D134" s="22"/>
      <c r="EE134" s="22"/>
      <c r="EF134" s="22"/>
      <c r="EG134" s="22"/>
      <c r="EH134" s="22"/>
      <c r="EI134" s="22"/>
      <c r="EJ134" s="22"/>
      <c r="EK134" s="22"/>
      <c r="EL134" s="22"/>
      <c r="EM134" s="22"/>
      <c r="EN134" s="22"/>
      <c r="EO134" s="22"/>
      <c r="EP134" s="22"/>
      <c r="EQ134" s="22"/>
      <c r="ER134" s="22"/>
      <c r="ES134" s="22"/>
      <c r="ET134" s="22"/>
      <c r="EU134" s="22"/>
      <c r="EV134" s="22"/>
      <c r="EW134" s="22"/>
      <c r="EX134" s="22"/>
      <c r="EY134" s="22"/>
      <c r="EZ134" s="22"/>
      <c r="FA134" s="22"/>
      <c r="FB134" s="22"/>
      <c r="FC134" s="22"/>
      <c r="FD134" s="22"/>
      <c r="FE134" s="22"/>
      <c r="FF134" s="22"/>
      <c r="FG134" s="22"/>
      <c r="FH134" s="22"/>
      <c r="FI134" s="22"/>
      <c r="FJ134" s="22"/>
      <c r="FK134" s="22"/>
      <c r="FL134" s="22"/>
      <c r="FM134" s="22"/>
      <c r="FN134" s="22"/>
      <c r="FO134" s="22"/>
      <c r="FP134" s="22"/>
      <c r="FQ134" s="22"/>
      <c r="FR134" s="22"/>
      <c r="FS134" s="22"/>
      <c r="FT134" s="22"/>
      <c r="FU134" s="22"/>
      <c r="FV134" s="22"/>
      <c r="FW134" s="22"/>
      <c r="FX134" s="22"/>
      <c r="FY134" s="22"/>
      <c r="FZ134" s="22"/>
      <c r="GA134" s="22"/>
      <c r="GB134" s="22"/>
      <c r="GC134" s="22"/>
      <c r="GD134" s="22"/>
      <c r="GE134" s="22"/>
      <c r="GF134" s="22"/>
      <c r="GG134" s="22"/>
      <c r="GH134" s="22"/>
      <c r="GI134" s="22"/>
      <c r="GJ134" s="22"/>
      <c r="GK134" s="22"/>
      <c r="GL134" s="22"/>
      <c r="GM134" s="22"/>
      <c r="GN134" s="22"/>
      <c r="GO134" s="22"/>
      <c r="GP134" s="22"/>
      <c r="GQ134" s="22"/>
      <c r="GR134" s="22"/>
      <c r="GS134" s="22"/>
      <c r="GT134" s="22"/>
      <c r="GU134" s="22"/>
      <c r="GV134" s="22"/>
      <c r="GW134" s="22"/>
      <c r="GX134" s="22"/>
      <c r="GY134" s="22"/>
      <c r="GZ134" s="22"/>
      <c r="HA134" s="22"/>
      <c r="HB134" s="22"/>
      <c r="HC134" s="22"/>
    </row>
    <row r="135" spans="1:211" ht="15" customHeight="1" x14ac:dyDescent="0.2">
      <c r="A135" s="22"/>
      <c r="B135" s="14"/>
      <c r="C135" s="73"/>
      <c r="D135" s="46"/>
      <c r="E135" s="46"/>
      <c r="F135" s="120"/>
      <c r="G135" s="120"/>
      <c r="H135" s="47"/>
      <c r="I135" s="116"/>
      <c r="J135" s="45"/>
      <c r="K135" s="45"/>
      <c r="L135" s="73"/>
      <c r="M135" s="118"/>
      <c r="N135" s="119"/>
      <c r="O135" s="113"/>
      <c r="P135" s="115"/>
      <c r="Q135"/>
      <c r="R135"/>
      <c r="S135" s="114"/>
      <c r="T135" s="110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  <c r="BS135" s="22"/>
      <c r="BT135" s="22"/>
      <c r="BU135" s="22"/>
      <c r="BV135" s="22"/>
      <c r="BW135" s="22"/>
      <c r="BX135" s="22"/>
      <c r="BY135" s="22"/>
      <c r="BZ135" s="22"/>
      <c r="CA135" s="22"/>
      <c r="CB135" s="22"/>
      <c r="CC135" s="22"/>
      <c r="CD135" s="22"/>
      <c r="CE135" s="22"/>
      <c r="CF135" s="22"/>
      <c r="CG135" s="22"/>
      <c r="CH135" s="22"/>
      <c r="CI135" s="22"/>
      <c r="CJ135" s="22"/>
      <c r="CK135" s="22"/>
      <c r="CL135" s="22"/>
      <c r="CM135" s="22"/>
      <c r="CN135" s="22"/>
      <c r="CO135" s="22"/>
      <c r="CP135" s="22"/>
      <c r="CQ135" s="22"/>
      <c r="CR135" s="22"/>
      <c r="CS135" s="22"/>
      <c r="CT135" s="22"/>
      <c r="CU135" s="22"/>
      <c r="CV135" s="22"/>
      <c r="CW135" s="22"/>
      <c r="CX135" s="22"/>
      <c r="CY135" s="22"/>
      <c r="CZ135" s="22"/>
      <c r="DA135" s="22"/>
      <c r="DB135" s="22"/>
      <c r="DC135" s="22"/>
      <c r="DD135" s="22"/>
      <c r="DE135" s="22"/>
      <c r="DF135" s="22"/>
      <c r="DG135" s="22"/>
      <c r="DH135" s="22"/>
      <c r="DI135" s="22"/>
      <c r="DJ135" s="22"/>
      <c r="DK135" s="22"/>
      <c r="DL135" s="22"/>
      <c r="DM135" s="22"/>
      <c r="DN135" s="22"/>
      <c r="DO135" s="22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D135" s="22"/>
      <c r="EE135" s="22"/>
      <c r="EF135" s="22"/>
      <c r="EG135" s="22"/>
      <c r="EH135" s="22"/>
      <c r="EI135" s="22"/>
      <c r="EJ135" s="22"/>
      <c r="EK135" s="22"/>
      <c r="EL135" s="22"/>
      <c r="EM135" s="22"/>
      <c r="EN135" s="22"/>
      <c r="EO135" s="22"/>
      <c r="EP135" s="22"/>
      <c r="EQ135" s="22"/>
      <c r="ER135" s="22"/>
      <c r="ES135" s="22"/>
      <c r="ET135" s="22"/>
      <c r="EU135" s="22"/>
      <c r="EV135" s="22"/>
      <c r="EW135" s="22"/>
      <c r="EX135" s="22"/>
      <c r="EY135" s="22"/>
      <c r="EZ135" s="22"/>
      <c r="FA135" s="22"/>
      <c r="FB135" s="22"/>
      <c r="FC135" s="22"/>
      <c r="FD135" s="22"/>
      <c r="FE135" s="22"/>
      <c r="FF135" s="22"/>
      <c r="FG135" s="22"/>
      <c r="FH135" s="22"/>
      <c r="FI135" s="22"/>
      <c r="FJ135" s="22"/>
      <c r="FK135" s="22"/>
      <c r="FL135" s="22"/>
      <c r="FM135" s="22"/>
      <c r="FN135" s="22"/>
      <c r="FO135" s="22"/>
      <c r="FP135" s="22"/>
      <c r="FQ135" s="22"/>
      <c r="FR135" s="22"/>
      <c r="FS135" s="22"/>
      <c r="FT135" s="22"/>
      <c r="FU135" s="22"/>
      <c r="FV135" s="22"/>
      <c r="FW135" s="22"/>
      <c r="FX135" s="22"/>
      <c r="FY135" s="22"/>
      <c r="FZ135" s="22"/>
      <c r="GA135" s="22"/>
      <c r="GB135" s="22"/>
      <c r="GC135" s="22"/>
      <c r="GD135" s="22"/>
      <c r="GE135" s="22"/>
      <c r="GF135" s="22"/>
      <c r="GG135" s="22"/>
      <c r="GH135" s="22"/>
      <c r="GI135" s="22"/>
      <c r="GJ135" s="22"/>
      <c r="GK135" s="22"/>
      <c r="GL135" s="22"/>
      <c r="GM135" s="22"/>
      <c r="GN135" s="22"/>
      <c r="GO135" s="22"/>
      <c r="GP135" s="22"/>
      <c r="GQ135" s="22"/>
      <c r="GR135" s="22"/>
      <c r="GS135" s="22"/>
      <c r="GT135" s="22"/>
      <c r="GU135" s="22"/>
      <c r="GV135" s="22"/>
      <c r="GW135" s="22"/>
      <c r="GX135" s="22"/>
      <c r="GY135" s="22"/>
      <c r="GZ135" s="22"/>
      <c r="HA135" s="22"/>
      <c r="HB135" s="22"/>
      <c r="HC135" s="22"/>
    </row>
    <row r="136" spans="1:211" ht="15" customHeight="1" x14ac:dyDescent="0.2">
      <c r="A136" s="22"/>
      <c r="B136" s="14"/>
      <c r="C136" s="73"/>
      <c r="D136" s="46"/>
      <c r="E136" s="46"/>
      <c r="F136" s="120"/>
      <c r="G136" s="120"/>
      <c r="H136" s="47"/>
      <c r="I136" s="116"/>
      <c r="J136" s="45"/>
      <c r="K136" s="45"/>
      <c r="L136" s="73"/>
      <c r="M136" s="118"/>
      <c r="N136" s="119"/>
      <c r="O136" s="113"/>
      <c r="P136" s="115"/>
      <c r="Q136"/>
      <c r="R136"/>
      <c r="S136" s="114"/>
      <c r="T136" s="110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  <c r="BS136" s="22"/>
      <c r="BT136" s="22"/>
      <c r="BU136" s="22"/>
      <c r="BV136" s="22"/>
      <c r="BW136" s="22"/>
      <c r="BX136" s="22"/>
      <c r="BY136" s="22"/>
      <c r="BZ136" s="22"/>
      <c r="CA136" s="22"/>
      <c r="CB136" s="22"/>
      <c r="CC136" s="22"/>
      <c r="CD136" s="22"/>
      <c r="CE136" s="22"/>
      <c r="CF136" s="22"/>
      <c r="CG136" s="22"/>
      <c r="CH136" s="22"/>
      <c r="CI136" s="22"/>
      <c r="CJ136" s="22"/>
      <c r="CK136" s="22"/>
      <c r="CL136" s="22"/>
      <c r="CM136" s="22"/>
      <c r="CN136" s="22"/>
      <c r="CO136" s="22"/>
      <c r="CP136" s="22"/>
      <c r="CQ136" s="22"/>
      <c r="CR136" s="22"/>
      <c r="CS136" s="22"/>
      <c r="CT136" s="22"/>
      <c r="CU136" s="22"/>
      <c r="CV136" s="22"/>
      <c r="CW136" s="22"/>
      <c r="CX136" s="22"/>
      <c r="CY136" s="22"/>
      <c r="CZ136" s="22"/>
      <c r="DA136" s="22"/>
      <c r="DB136" s="22"/>
      <c r="DC136" s="22"/>
      <c r="DD136" s="22"/>
      <c r="DE136" s="22"/>
      <c r="DF136" s="22"/>
      <c r="DG136" s="22"/>
      <c r="DH136" s="22"/>
      <c r="DI136" s="22"/>
      <c r="DJ136" s="22"/>
      <c r="DK136" s="22"/>
      <c r="DL136" s="22"/>
      <c r="DM136" s="22"/>
      <c r="DN136" s="22"/>
      <c r="DO136" s="22"/>
      <c r="DP136" s="22"/>
      <c r="DQ136" s="22"/>
      <c r="DR136" s="22"/>
      <c r="DS136" s="22"/>
      <c r="DT136" s="22"/>
      <c r="DU136" s="22"/>
      <c r="DV136" s="22"/>
      <c r="DW136" s="22"/>
      <c r="DX136" s="22"/>
      <c r="DY136" s="22"/>
      <c r="DZ136" s="22"/>
      <c r="EA136" s="22"/>
      <c r="EB136" s="22"/>
      <c r="EC136" s="22"/>
      <c r="ED136" s="22"/>
      <c r="EE136" s="22"/>
      <c r="EF136" s="22"/>
      <c r="EG136" s="22"/>
      <c r="EH136" s="22"/>
      <c r="EI136" s="22"/>
      <c r="EJ136" s="22"/>
      <c r="EK136" s="22"/>
      <c r="EL136" s="22"/>
      <c r="EM136" s="22"/>
      <c r="EN136" s="22"/>
      <c r="EO136" s="22"/>
      <c r="EP136" s="22"/>
      <c r="EQ136" s="22"/>
      <c r="ER136" s="22"/>
      <c r="ES136" s="22"/>
      <c r="ET136" s="22"/>
      <c r="EU136" s="22"/>
      <c r="EV136" s="22"/>
      <c r="EW136" s="22"/>
      <c r="EX136" s="22"/>
      <c r="EY136" s="22"/>
      <c r="EZ136" s="22"/>
      <c r="FA136" s="22"/>
      <c r="FB136" s="22"/>
      <c r="FC136" s="22"/>
      <c r="FD136" s="22"/>
      <c r="FE136" s="22"/>
      <c r="FF136" s="22"/>
      <c r="FG136" s="22"/>
      <c r="FH136" s="22"/>
      <c r="FI136" s="22"/>
      <c r="FJ136" s="22"/>
      <c r="FK136" s="22"/>
      <c r="FL136" s="22"/>
      <c r="FM136" s="22"/>
      <c r="FN136" s="22"/>
      <c r="FO136" s="22"/>
      <c r="FP136" s="22"/>
      <c r="FQ136" s="22"/>
      <c r="FR136" s="22"/>
      <c r="FS136" s="22"/>
      <c r="FT136" s="22"/>
      <c r="FU136" s="22"/>
      <c r="FV136" s="22"/>
      <c r="FW136" s="22"/>
      <c r="FX136" s="22"/>
      <c r="FY136" s="22"/>
      <c r="FZ136" s="22"/>
      <c r="GA136" s="22"/>
      <c r="GB136" s="22"/>
      <c r="GC136" s="22"/>
      <c r="GD136" s="22"/>
      <c r="GE136" s="22"/>
      <c r="GF136" s="22"/>
      <c r="GG136" s="22"/>
      <c r="GH136" s="22"/>
      <c r="GI136" s="22"/>
      <c r="GJ136" s="22"/>
      <c r="GK136" s="22"/>
      <c r="GL136" s="22"/>
      <c r="GM136" s="22"/>
      <c r="GN136" s="22"/>
      <c r="GO136" s="22"/>
      <c r="GP136" s="22"/>
      <c r="GQ136" s="22"/>
      <c r="GR136" s="22"/>
      <c r="GS136" s="22"/>
      <c r="GT136" s="22"/>
      <c r="GU136" s="22"/>
      <c r="GV136" s="22"/>
      <c r="GW136" s="22"/>
      <c r="GX136" s="22"/>
      <c r="GY136" s="22"/>
      <c r="GZ136" s="22"/>
      <c r="HA136" s="22"/>
      <c r="HB136" s="22"/>
      <c r="HC136" s="22"/>
    </row>
    <row r="137" spans="1:211" ht="15" customHeight="1" x14ac:dyDescent="0.2">
      <c r="A137" s="22"/>
      <c r="B137" s="14"/>
      <c r="C137" s="73"/>
      <c r="D137" s="46"/>
      <c r="E137" s="46"/>
      <c r="F137" s="120"/>
      <c r="G137" s="120"/>
      <c r="H137" s="47"/>
      <c r="I137" s="116"/>
      <c r="J137" s="45"/>
      <c r="K137" s="45"/>
      <c r="L137" s="73"/>
      <c r="M137" s="118"/>
      <c r="N137" s="119"/>
      <c r="O137" s="113"/>
      <c r="P137" s="115"/>
      <c r="Q137"/>
      <c r="R137"/>
      <c r="S137" s="114"/>
      <c r="T137" s="110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2"/>
      <c r="BO137" s="22"/>
      <c r="BP137" s="22"/>
      <c r="BQ137" s="22"/>
      <c r="BR137" s="22"/>
      <c r="BS137" s="22"/>
      <c r="BT137" s="22"/>
      <c r="BU137" s="22"/>
      <c r="BV137" s="22"/>
      <c r="BW137" s="22"/>
      <c r="BX137" s="22"/>
      <c r="BY137" s="22"/>
      <c r="BZ137" s="22"/>
      <c r="CA137" s="22"/>
      <c r="CB137" s="22"/>
      <c r="CC137" s="22"/>
      <c r="CD137" s="22"/>
      <c r="CE137" s="22"/>
      <c r="CF137" s="22"/>
      <c r="CG137" s="22"/>
      <c r="CH137" s="22"/>
      <c r="CI137" s="22"/>
      <c r="CJ137" s="22"/>
      <c r="CK137" s="22"/>
      <c r="CL137" s="22"/>
      <c r="CM137" s="22"/>
      <c r="CN137" s="22"/>
      <c r="CO137" s="22"/>
      <c r="CP137" s="22"/>
      <c r="CQ137" s="22"/>
      <c r="CR137" s="22"/>
      <c r="CS137" s="22"/>
      <c r="CT137" s="22"/>
      <c r="CU137" s="22"/>
      <c r="CV137" s="22"/>
      <c r="CW137" s="22"/>
      <c r="CX137" s="22"/>
      <c r="CY137" s="22"/>
      <c r="CZ137" s="22"/>
      <c r="DA137" s="22"/>
      <c r="DB137" s="22"/>
      <c r="DC137" s="22"/>
      <c r="DD137" s="22"/>
      <c r="DE137" s="22"/>
      <c r="DF137" s="22"/>
      <c r="DG137" s="22"/>
      <c r="DH137" s="22"/>
      <c r="DI137" s="22"/>
      <c r="DJ137" s="22"/>
      <c r="DK137" s="22"/>
      <c r="DL137" s="22"/>
      <c r="DM137" s="22"/>
      <c r="DN137" s="22"/>
      <c r="DO137" s="22"/>
      <c r="DP137" s="22"/>
      <c r="DQ137" s="22"/>
      <c r="DR137" s="22"/>
      <c r="DS137" s="22"/>
      <c r="DT137" s="22"/>
      <c r="DU137" s="22"/>
      <c r="DV137" s="22"/>
      <c r="DW137" s="22"/>
      <c r="DX137" s="22"/>
      <c r="DY137" s="22"/>
      <c r="DZ137" s="22"/>
      <c r="EA137" s="22"/>
      <c r="EB137" s="22"/>
      <c r="EC137" s="22"/>
      <c r="ED137" s="22"/>
      <c r="EE137" s="22"/>
      <c r="EF137" s="22"/>
      <c r="EG137" s="22"/>
      <c r="EH137" s="22"/>
      <c r="EI137" s="22"/>
      <c r="EJ137" s="22"/>
      <c r="EK137" s="22"/>
      <c r="EL137" s="22"/>
      <c r="EM137" s="22"/>
      <c r="EN137" s="22"/>
      <c r="EO137" s="22"/>
      <c r="EP137" s="22"/>
      <c r="EQ137" s="22"/>
      <c r="ER137" s="22"/>
      <c r="ES137" s="22"/>
      <c r="ET137" s="22"/>
      <c r="EU137" s="22"/>
      <c r="EV137" s="22"/>
      <c r="EW137" s="22"/>
      <c r="EX137" s="22"/>
      <c r="EY137" s="22"/>
      <c r="EZ137" s="22"/>
      <c r="FA137" s="22"/>
      <c r="FB137" s="22"/>
      <c r="FC137" s="22"/>
      <c r="FD137" s="22"/>
      <c r="FE137" s="22"/>
      <c r="FF137" s="22"/>
      <c r="FG137" s="22"/>
      <c r="FH137" s="22"/>
      <c r="FI137" s="22"/>
      <c r="FJ137" s="22"/>
      <c r="FK137" s="22"/>
      <c r="FL137" s="22"/>
      <c r="FM137" s="22"/>
      <c r="FN137" s="22"/>
      <c r="FO137" s="22"/>
      <c r="FP137" s="22"/>
      <c r="FQ137" s="22"/>
      <c r="FR137" s="22"/>
      <c r="FS137" s="22"/>
      <c r="FT137" s="22"/>
      <c r="FU137" s="22"/>
      <c r="FV137" s="22"/>
      <c r="FW137" s="22"/>
      <c r="FX137" s="22"/>
      <c r="FY137" s="22"/>
      <c r="FZ137" s="22"/>
      <c r="GA137" s="22"/>
      <c r="GB137" s="22"/>
      <c r="GC137" s="22"/>
      <c r="GD137" s="22"/>
      <c r="GE137" s="22"/>
      <c r="GF137" s="22"/>
      <c r="GG137" s="22"/>
      <c r="GH137" s="22"/>
      <c r="GI137" s="22"/>
      <c r="GJ137" s="22"/>
      <c r="GK137" s="22"/>
      <c r="GL137" s="22"/>
      <c r="GM137" s="22"/>
      <c r="GN137" s="22"/>
      <c r="GO137" s="22"/>
      <c r="GP137" s="22"/>
      <c r="GQ137" s="22"/>
      <c r="GR137" s="22"/>
      <c r="GS137" s="22"/>
      <c r="GT137" s="22"/>
      <c r="GU137" s="22"/>
      <c r="GV137" s="22"/>
      <c r="GW137" s="22"/>
      <c r="GX137" s="22"/>
      <c r="GY137" s="22"/>
      <c r="GZ137" s="22"/>
      <c r="HA137" s="22"/>
      <c r="HB137" s="22"/>
      <c r="HC137" s="22"/>
    </row>
    <row r="138" spans="1:211" ht="15" customHeight="1" x14ac:dyDescent="0.2">
      <c r="A138" s="22"/>
      <c r="B138" s="14"/>
      <c r="C138" s="73"/>
      <c r="D138" s="46"/>
      <c r="E138" s="46"/>
      <c r="F138" s="120"/>
      <c r="G138" s="120"/>
      <c r="H138" s="47"/>
      <c r="I138" s="116"/>
      <c r="J138" s="45"/>
      <c r="K138" s="73"/>
      <c r="L138" s="73"/>
      <c r="M138" s="118"/>
      <c r="N138" s="119"/>
      <c r="O138" s="113"/>
      <c r="P138" s="115"/>
      <c r="Q138"/>
      <c r="R138"/>
      <c r="S138" s="114"/>
      <c r="T138" s="110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2"/>
      <c r="BO138" s="22"/>
      <c r="BP138" s="22"/>
      <c r="BQ138" s="22"/>
      <c r="BR138" s="22"/>
      <c r="BS138" s="22"/>
      <c r="BT138" s="22"/>
      <c r="BU138" s="22"/>
      <c r="BV138" s="22"/>
      <c r="BW138" s="22"/>
      <c r="BX138" s="22"/>
      <c r="BY138" s="22"/>
      <c r="BZ138" s="22"/>
      <c r="CA138" s="22"/>
      <c r="CB138" s="22"/>
      <c r="CC138" s="22"/>
      <c r="CD138" s="22"/>
      <c r="CE138" s="22"/>
      <c r="CF138" s="22"/>
      <c r="CG138" s="22"/>
      <c r="CH138" s="22"/>
      <c r="CI138" s="22"/>
      <c r="CJ138" s="22"/>
      <c r="CK138" s="22"/>
      <c r="CL138" s="22"/>
      <c r="CM138" s="22"/>
      <c r="CN138" s="22"/>
      <c r="CO138" s="22"/>
      <c r="CP138" s="22"/>
      <c r="CQ138" s="22"/>
      <c r="CR138" s="22"/>
      <c r="CS138" s="22"/>
      <c r="CT138" s="22"/>
      <c r="CU138" s="22"/>
      <c r="CV138" s="22"/>
      <c r="CW138" s="22"/>
      <c r="CX138" s="22"/>
      <c r="CY138" s="22"/>
      <c r="CZ138" s="22"/>
      <c r="DA138" s="22"/>
      <c r="DB138" s="22"/>
      <c r="DC138" s="22"/>
      <c r="DD138" s="22"/>
      <c r="DE138" s="22"/>
      <c r="DF138" s="22"/>
      <c r="DG138" s="22"/>
      <c r="DH138" s="22"/>
      <c r="DI138" s="22"/>
      <c r="DJ138" s="22"/>
      <c r="DK138" s="22"/>
      <c r="DL138" s="22"/>
      <c r="DM138" s="22"/>
      <c r="DN138" s="22"/>
      <c r="DO138" s="22"/>
      <c r="DP138" s="22"/>
      <c r="DQ138" s="22"/>
      <c r="DR138" s="22"/>
      <c r="DS138" s="22"/>
      <c r="DT138" s="22"/>
      <c r="DU138" s="22"/>
      <c r="DV138" s="22"/>
      <c r="DW138" s="22"/>
      <c r="DX138" s="22"/>
      <c r="DY138" s="22"/>
      <c r="DZ138" s="22"/>
      <c r="EA138" s="22"/>
      <c r="EB138" s="22"/>
      <c r="EC138" s="22"/>
      <c r="ED138" s="22"/>
      <c r="EE138" s="22"/>
      <c r="EF138" s="22"/>
      <c r="EG138" s="22"/>
      <c r="EH138" s="22"/>
      <c r="EI138" s="22"/>
      <c r="EJ138" s="22"/>
      <c r="EK138" s="22"/>
      <c r="EL138" s="22"/>
      <c r="EM138" s="22"/>
      <c r="EN138" s="22"/>
      <c r="EO138" s="22"/>
      <c r="EP138" s="22"/>
      <c r="EQ138" s="22"/>
      <c r="ER138" s="22"/>
      <c r="ES138" s="22"/>
      <c r="ET138" s="22"/>
      <c r="EU138" s="22"/>
      <c r="EV138" s="22"/>
      <c r="EW138" s="22"/>
      <c r="EX138" s="22"/>
      <c r="EY138" s="22"/>
      <c r="EZ138" s="22"/>
      <c r="FA138" s="22"/>
      <c r="FB138" s="22"/>
      <c r="FC138" s="22"/>
      <c r="FD138" s="22"/>
      <c r="FE138" s="22"/>
      <c r="FF138" s="22"/>
      <c r="FG138" s="22"/>
      <c r="FH138" s="22"/>
      <c r="FI138" s="22"/>
      <c r="FJ138" s="22"/>
      <c r="FK138" s="22"/>
      <c r="FL138" s="22"/>
      <c r="FM138" s="22"/>
      <c r="FN138" s="22"/>
      <c r="FO138" s="22"/>
      <c r="FP138" s="22"/>
      <c r="FQ138" s="22"/>
      <c r="FR138" s="22"/>
      <c r="FS138" s="22"/>
      <c r="FT138" s="22"/>
      <c r="FU138" s="22"/>
      <c r="FV138" s="22"/>
      <c r="FW138" s="22"/>
      <c r="FX138" s="22"/>
      <c r="FY138" s="22"/>
      <c r="FZ138" s="22"/>
      <c r="GA138" s="22"/>
      <c r="GB138" s="22"/>
      <c r="GC138" s="22"/>
      <c r="GD138" s="22"/>
      <c r="GE138" s="22"/>
      <c r="GF138" s="22"/>
      <c r="GG138" s="22"/>
      <c r="GH138" s="22"/>
      <c r="GI138" s="22"/>
      <c r="GJ138" s="22"/>
      <c r="GK138" s="22"/>
      <c r="GL138" s="22"/>
      <c r="GM138" s="22"/>
      <c r="GN138" s="22"/>
      <c r="GO138" s="22"/>
      <c r="GP138" s="22"/>
      <c r="GQ138" s="22"/>
      <c r="GR138" s="22"/>
      <c r="GS138" s="22"/>
      <c r="GT138" s="22"/>
      <c r="GU138" s="22"/>
      <c r="GV138" s="22"/>
      <c r="GW138" s="22"/>
      <c r="GX138" s="22"/>
      <c r="GY138" s="22"/>
      <c r="GZ138" s="22"/>
      <c r="HA138" s="22"/>
      <c r="HB138" s="22"/>
      <c r="HC138" s="22"/>
    </row>
    <row r="139" spans="1:211" ht="15" customHeight="1" x14ac:dyDescent="0.2">
      <c r="A139" s="22"/>
      <c r="B139" s="14"/>
      <c r="C139" s="73"/>
      <c r="D139" s="46"/>
      <c r="E139" s="46"/>
      <c r="F139" s="120"/>
      <c r="G139" s="120"/>
      <c r="H139" s="47"/>
      <c r="I139" s="116"/>
      <c r="J139" s="45"/>
      <c r="K139" s="45"/>
      <c r="L139" s="73"/>
      <c r="M139" s="118"/>
      <c r="N139" s="119"/>
      <c r="O139" s="113"/>
      <c r="P139" s="115"/>
      <c r="Q139"/>
      <c r="R139"/>
      <c r="S139" s="114"/>
      <c r="T139" s="110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2"/>
      <c r="BO139" s="22"/>
      <c r="BP139" s="22"/>
      <c r="BQ139" s="22"/>
      <c r="BR139" s="22"/>
      <c r="BS139" s="22"/>
      <c r="BT139" s="22"/>
      <c r="BU139" s="22"/>
      <c r="BV139" s="22"/>
      <c r="BW139" s="22"/>
      <c r="BX139" s="22"/>
      <c r="BY139" s="22"/>
      <c r="BZ139" s="22"/>
      <c r="CA139" s="22"/>
      <c r="CB139" s="22"/>
      <c r="CC139" s="22"/>
      <c r="CD139" s="22"/>
      <c r="CE139" s="22"/>
      <c r="CF139" s="22"/>
      <c r="CG139" s="22"/>
      <c r="CH139" s="22"/>
      <c r="CI139" s="22"/>
      <c r="CJ139" s="22"/>
      <c r="CK139" s="22"/>
      <c r="CL139" s="22"/>
      <c r="CM139" s="22"/>
      <c r="CN139" s="22"/>
      <c r="CO139" s="22"/>
      <c r="CP139" s="22"/>
      <c r="CQ139" s="22"/>
      <c r="CR139" s="22"/>
      <c r="CS139" s="22"/>
      <c r="CT139" s="22"/>
      <c r="CU139" s="22"/>
      <c r="CV139" s="22"/>
      <c r="CW139" s="22"/>
      <c r="CX139" s="22"/>
      <c r="CY139" s="22"/>
      <c r="CZ139" s="22"/>
      <c r="DA139" s="22"/>
      <c r="DB139" s="22"/>
      <c r="DC139" s="22"/>
      <c r="DD139" s="22"/>
      <c r="DE139" s="22"/>
      <c r="DF139" s="22"/>
      <c r="DG139" s="22"/>
      <c r="DH139" s="22"/>
      <c r="DI139" s="22"/>
      <c r="DJ139" s="22"/>
      <c r="DK139" s="22"/>
      <c r="DL139" s="22"/>
      <c r="DM139" s="22"/>
      <c r="DN139" s="22"/>
      <c r="DO139" s="22"/>
      <c r="DP139" s="22"/>
      <c r="DQ139" s="22"/>
      <c r="DR139" s="22"/>
      <c r="DS139" s="22"/>
      <c r="DT139" s="22"/>
      <c r="DU139" s="22"/>
      <c r="DV139" s="22"/>
      <c r="DW139" s="22"/>
      <c r="DX139" s="22"/>
      <c r="DY139" s="22"/>
      <c r="DZ139" s="22"/>
      <c r="EA139" s="22"/>
      <c r="EB139" s="22"/>
      <c r="EC139" s="22"/>
      <c r="ED139" s="22"/>
      <c r="EE139" s="22"/>
      <c r="EF139" s="22"/>
      <c r="EG139" s="22"/>
      <c r="EH139" s="22"/>
      <c r="EI139" s="22"/>
      <c r="EJ139" s="22"/>
      <c r="EK139" s="22"/>
      <c r="EL139" s="22"/>
      <c r="EM139" s="22"/>
      <c r="EN139" s="22"/>
      <c r="EO139" s="22"/>
      <c r="EP139" s="22"/>
      <c r="EQ139" s="22"/>
      <c r="ER139" s="22"/>
      <c r="ES139" s="22"/>
      <c r="ET139" s="22"/>
      <c r="EU139" s="22"/>
      <c r="EV139" s="22"/>
      <c r="EW139" s="22"/>
      <c r="EX139" s="22"/>
      <c r="EY139" s="22"/>
      <c r="EZ139" s="22"/>
      <c r="FA139" s="22"/>
      <c r="FB139" s="22"/>
      <c r="FC139" s="22"/>
      <c r="FD139" s="22"/>
      <c r="FE139" s="22"/>
      <c r="FF139" s="22"/>
      <c r="FG139" s="22"/>
      <c r="FH139" s="22"/>
      <c r="FI139" s="22"/>
      <c r="FJ139" s="22"/>
      <c r="FK139" s="22"/>
      <c r="FL139" s="22"/>
      <c r="FM139" s="22"/>
      <c r="FN139" s="22"/>
      <c r="FO139" s="22"/>
      <c r="FP139" s="22"/>
      <c r="FQ139" s="22"/>
      <c r="FR139" s="22"/>
      <c r="FS139" s="22"/>
      <c r="FT139" s="22"/>
      <c r="FU139" s="22"/>
      <c r="FV139" s="22"/>
      <c r="FW139" s="22"/>
      <c r="FX139" s="22"/>
      <c r="FY139" s="22"/>
      <c r="FZ139" s="22"/>
      <c r="GA139" s="22"/>
      <c r="GB139" s="22"/>
      <c r="GC139" s="22"/>
      <c r="GD139" s="22"/>
      <c r="GE139" s="22"/>
      <c r="GF139" s="22"/>
      <c r="GG139" s="22"/>
      <c r="GH139" s="22"/>
      <c r="GI139" s="22"/>
      <c r="GJ139" s="22"/>
      <c r="GK139" s="22"/>
      <c r="GL139" s="22"/>
      <c r="GM139" s="22"/>
      <c r="GN139" s="22"/>
      <c r="GO139" s="22"/>
      <c r="GP139" s="22"/>
      <c r="GQ139" s="22"/>
      <c r="GR139" s="22"/>
      <c r="GS139" s="22"/>
      <c r="GT139" s="22"/>
      <c r="GU139" s="22"/>
      <c r="GV139" s="22"/>
      <c r="GW139" s="22"/>
      <c r="GX139" s="22"/>
      <c r="GY139" s="22"/>
      <c r="GZ139" s="22"/>
      <c r="HA139" s="22"/>
      <c r="HB139" s="22"/>
      <c r="HC139" s="22"/>
    </row>
    <row r="140" spans="1:211" ht="15" customHeight="1" x14ac:dyDescent="0.2">
      <c r="A140" s="22"/>
      <c r="B140" s="14"/>
      <c r="C140" s="73"/>
      <c r="D140" s="46"/>
      <c r="E140" s="46"/>
      <c r="F140" s="120"/>
      <c r="G140" s="120"/>
      <c r="H140" s="47"/>
      <c r="I140" s="116"/>
      <c r="J140" s="45"/>
      <c r="K140" s="73"/>
      <c r="L140" s="73"/>
      <c r="M140" s="118"/>
      <c r="N140" s="119"/>
      <c r="O140" s="113"/>
      <c r="P140" s="115"/>
      <c r="Q140"/>
      <c r="R140"/>
      <c r="S140" s="114"/>
      <c r="T140" s="110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2"/>
      <c r="BO140" s="22"/>
      <c r="BP140" s="22"/>
      <c r="BQ140" s="22"/>
      <c r="BR140" s="22"/>
      <c r="BS140" s="22"/>
      <c r="BT140" s="22"/>
      <c r="BU140" s="22"/>
      <c r="BV140" s="22"/>
      <c r="BW140" s="22"/>
      <c r="BX140" s="22"/>
      <c r="BY140" s="22"/>
      <c r="BZ140" s="22"/>
      <c r="CA140" s="22"/>
      <c r="CB140" s="22"/>
      <c r="CC140" s="22"/>
      <c r="CD140" s="22"/>
      <c r="CE140" s="22"/>
      <c r="CF140" s="22"/>
      <c r="CG140" s="22"/>
      <c r="CH140" s="22"/>
      <c r="CI140" s="22"/>
      <c r="CJ140" s="22"/>
      <c r="CK140" s="22"/>
      <c r="CL140" s="22"/>
      <c r="CM140" s="22"/>
      <c r="CN140" s="22"/>
      <c r="CO140" s="22"/>
      <c r="CP140" s="22"/>
      <c r="CQ140" s="22"/>
      <c r="CR140" s="22"/>
      <c r="CS140" s="22"/>
      <c r="CT140" s="22"/>
      <c r="CU140" s="22"/>
      <c r="CV140" s="22"/>
      <c r="CW140" s="22"/>
      <c r="CX140" s="22"/>
      <c r="CY140" s="22"/>
      <c r="CZ140" s="22"/>
      <c r="DA140" s="22"/>
      <c r="DB140" s="22"/>
      <c r="DC140" s="22"/>
      <c r="DD140" s="22"/>
      <c r="DE140" s="22"/>
      <c r="DF140" s="22"/>
      <c r="DG140" s="22"/>
      <c r="DH140" s="22"/>
      <c r="DI140" s="22"/>
      <c r="DJ140" s="22"/>
      <c r="DK140" s="22"/>
      <c r="DL140" s="22"/>
      <c r="DM140" s="22"/>
      <c r="DN140" s="22"/>
      <c r="DO140" s="22"/>
      <c r="DP140" s="22"/>
      <c r="DQ140" s="22"/>
      <c r="DR140" s="22"/>
      <c r="DS140" s="22"/>
      <c r="DT140" s="22"/>
      <c r="DU140" s="22"/>
      <c r="DV140" s="22"/>
      <c r="DW140" s="22"/>
      <c r="DX140" s="22"/>
      <c r="DY140" s="22"/>
      <c r="DZ140" s="22"/>
      <c r="EA140" s="22"/>
      <c r="EB140" s="22"/>
      <c r="EC140" s="22"/>
      <c r="ED140" s="22"/>
      <c r="EE140" s="22"/>
      <c r="EF140" s="22"/>
      <c r="EG140" s="22"/>
      <c r="EH140" s="22"/>
      <c r="EI140" s="22"/>
      <c r="EJ140" s="22"/>
      <c r="EK140" s="22"/>
      <c r="EL140" s="22"/>
      <c r="EM140" s="22"/>
      <c r="EN140" s="22"/>
      <c r="EO140" s="22"/>
      <c r="EP140" s="22"/>
      <c r="EQ140" s="22"/>
      <c r="ER140" s="22"/>
      <c r="ES140" s="22"/>
      <c r="ET140" s="22"/>
      <c r="EU140" s="22"/>
      <c r="EV140" s="22"/>
      <c r="EW140" s="22"/>
      <c r="EX140" s="22"/>
      <c r="EY140" s="22"/>
      <c r="EZ140" s="22"/>
      <c r="FA140" s="22"/>
      <c r="FB140" s="22"/>
      <c r="FC140" s="22"/>
      <c r="FD140" s="22"/>
      <c r="FE140" s="22"/>
      <c r="FF140" s="22"/>
      <c r="FG140" s="22"/>
      <c r="FH140" s="22"/>
      <c r="FI140" s="22"/>
      <c r="FJ140" s="22"/>
      <c r="FK140" s="22"/>
      <c r="FL140" s="22"/>
      <c r="FM140" s="22"/>
      <c r="FN140" s="22"/>
      <c r="FO140" s="22"/>
      <c r="FP140" s="22"/>
      <c r="FQ140" s="22"/>
      <c r="FR140" s="22"/>
      <c r="FS140" s="22"/>
      <c r="FT140" s="22"/>
      <c r="FU140" s="22"/>
      <c r="FV140" s="22"/>
      <c r="FW140" s="22"/>
      <c r="FX140" s="22"/>
      <c r="FY140" s="22"/>
      <c r="FZ140" s="22"/>
      <c r="GA140" s="22"/>
      <c r="GB140" s="22"/>
      <c r="GC140" s="22"/>
      <c r="GD140" s="22"/>
      <c r="GE140" s="22"/>
      <c r="GF140" s="22"/>
      <c r="GG140" s="22"/>
      <c r="GH140" s="22"/>
      <c r="GI140" s="22"/>
      <c r="GJ140" s="22"/>
      <c r="GK140" s="22"/>
      <c r="GL140" s="22"/>
      <c r="GM140" s="22"/>
      <c r="GN140" s="22"/>
      <c r="GO140" s="22"/>
      <c r="GP140" s="22"/>
      <c r="GQ140" s="22"/>
      <c r="GR140" s="22"/>
      <c r="GS140" s="22"/>
      <c r="GT140" s="22"/>
      <c r="GU140" s="22"/>
      <c r="GV140" s="22"/>
      <c r="GW140" s="22"/>
      <c r="GX140" s="22"/>
      <c r="GY140" s="22"/>
      <c r="GZ140" s="22"/>
      <c r="HA140" s="22"/>
      <c r="HB140" s="22"/>
      <c r="HC140" s="22"/>
    </row>
    <row r="141" spans="1:211" ht="15" customHeight="1" x14ac:dyDescent="0.2">
      <c r="A141" s="22"/>
      <c r="B141" s="14"/>
      <c r="C141" s="73"/>
      <c r="D141" s="46"/>
      <c r="E141" s="46"/>
      <c r="F141" s="120"/>
      <c r="G141" s="120"/>
      <c r="H141" s="47"/>
      <c r="I141" s="116"/>
      <c r="J141" s="45"/>
      <c r="K141" s="45"/>
      <c r="L141" s="73"/>
      <c r="M141" s="118"/>
      <c r="N141" s="119"/>
      <c r="O141" s="113"/>
      <c r="P141" s="115"/>
      <c r="Q141"/>
      <c r="R141"/>
      <c r="S141" s="114"/>
      <c r="T141" s="110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2"/>
      <c r="BO141" s="22"/>
      <c r="BP141" s="22"/>
      <c r="BQ141" s="22"/>
      <c r="BR141" s="22"/>
      <c r="BS141" s="22"/>
      <c r="BT141" s="22"/>
      <c r="BU141" s="22"/>
      <c r="BV141" s="22"/>
      <c r="BW141" s="22"/>
      <c r="BX141" s="22"/>
      <c r="BY141" s="22"/>
      <c r="BZ141" s="22"/>
      <c r="CA141" s="22"/>
      <c r="CB141" s="22"/>
      <c r="CC141" s="22"/>
      <c r="CD141" s="22"/>
      <c r="CE141" s="22"/>
      <c r="CF141" s="22"/>
      <c r="CG141" s="22"/>
      <c r="CH141" s="22"/>
      <c r="CI141" s="22"/>
      <c r="CJ141" s="22"/>
      <c r="CK141" s="22"/>
      <c r="CL141" s="22"/>
      <c r="CM141" s="22"/>
      <c r="CN141" s="22"/>
      <c r="CO141" s="22"/>
      <c r="CP141" s="22"/>
      <c r="CQ141" s="22"/>
      <c r="CR141" s="22"/>
      <c r="CS141" s="22"/>
      <c r="CT141" s="22"/>
      <c r="CU141" s="22"/>
      <c r="CV141" s="22"/>
      <c r="CW141" s="22"/>
      <c r="CX141" s="22"/>
      <c r="CY141" s="22"/>
      <c r="CZ141" s="22"/>
      <c r="DA141" s="22"/>
      <c r="DB141" s="22"/>
      <c r="DC141" s="22"/>
      <c r="DD141" s="22"/>
      <c r="DE141" s="22"/>
      <c r="DF141" s="22"/>
      <c r="DG141" s="22"/>
      <c r="DH141" s="22"/>
      <c r="DI141" s="22"/>
      <c r="DJ141" s="22"/>
      <c r="DK141" s="22"/>
      <c r="DL141" s="22"/>
      <c r="DM141" s="22"/>
      <c r="DN141" s="22"/>
      <c r="DO141" s="22"/>
      <c r="DP141" s="22"/>
      <c r="DQ141" s="22"/>
      <c r="DR141" s="22"/>
      <c r="DS141" s="22"/>
      <c r="DT141" s="22"/>
      <c r="DU141" s="22"/>
      <c r="DV141" s="22"/>
      <c r="DW141" s="22"/>
      <c r="DX141" s="22"/>
      <c r="DY141" s="22"/>
      <c r="DZ141" s="22"/>
      <c r="EA141" s="22"/>
      <c r="EB141" s="22"/>
      <c r="EC141" s="22"/>
      <c r="ED141" s="22"/>
      <c r="EE141" s="22"/>
      <c r="EF141" s="22"/>
      <c r="EG141" s="22"/>
      <c r="EH141" s="22"/>
      <c r="EI141" s="22"/>
      <c r="EJ141" s="22"/>
      <c r="EK141" s="22"/>
      <c r="EL141" s="22"/>
      <c r="EM141" s="22"/>
      <c r="EN141" s="22"/>
      <c r="EO141" s="22"/>
      <c r="EP141" s="22"/>
      <c r="EQ141" s="22"/>
      <c r="ER141" s="22"/>
      <c r="ES141" s="22"/>
      <c r="ET141" s="22"/>
      <c r="EU141" s="22"/>
      <c r="EV141" s="22"/>
      <c r="EW141" s="22"/>
      <c r="EX141" s="22"/>
      <c r="EY141" s="22"/>
      <c r="EZ141" s="22"/>
      <c r="FA141" s="22"/>
      <c r="FB141" s="22"/>
      <c r="FC141" s="22"/>
      <c r="FD141" s="22"/>
      <c r="FE141" s="22"/>
      <c r="FF141" s="22"/>
      <c r="FG141" s="22"/>
      <c r="FH141" s="22"/>
      <c r="FI141" s="22"/>
      <c r="FJ141" s="22"/>
      <c r="FK141" s="22"/>
      <c r="FL141" s="22"/>
      <c r="FM141" s="22"/>
      <c r="FN141" s="22"/>
      <c r="FO141" s="22"/>
      <c r="FP141" s="22"/>
      <c r="FQ141" s="22"/>
      <c r="FR141" s="22"/>
      <c r="FS141" s="22"/>
      <c r="FT141" s="22"/>
      <c r="FU141" s="22"/>
      <c r="FV141" s="22"/>
      <c r="FW141" s="22"/>
      <c r="FX141" s="22"/>
      <c r="FY141" s="22"/>
      <c r="FZ141" s="22"/>
      <c r="GA141" s="22"/>
      <c r="GB141" s="22"/>
      <c r="GC141" s="22"/>
      <c r="GD141" s="22"/>
      <c r="GE141" s="22"/>
      <c r="GF141" s="22"/>
      <c r="GG141" s="22"/>
      <c r="GH141" s="22"/>
      <c r="GI141" s="22"/>
      <c r="GJ141" s="22"/>
      <c r="GK141" s="22"/>
      <c r="GL141" s="22"/>
      <c r="GM141" s="22"/>
      <c r="GN141" s="22"/>
      <c r="GO141" s="22"/>
      <c r="GP141" s="22"/>
      <c r="GQ141" s="22"/>
      <c r="GR141" s="22"/>
      <c r="GS141" s="22"/>
      <c r="GT141" s="22"/>
      <c r="GU141" s="22"/>
      <c r="GV141" s="22"/>
      <c r="GW141" s="22"/>
      <c r="GX141" s="22"/>
      <c r="GY141" s="22"/>
      <c r="GZ141" s="22"/>
      <c r="HA141" s="22"/>
      <c r="HB141" s="22"/>
      <c r="HC141" s="22"/>
    </row>
    <row r="142" spans="1:211" ht="15" customHeight="1" x14ac:dyDescent="0.2">
      <c r="A142" s="22"/>
      <c r="B142" s="14"/>
      <c r="C142" s="73"/>
      <c r="D142" s="46"/>
      <c r="E142" s="46"/>
      <c r="F142" s="120"/>
      <c r="G142" s="120"/>
      <c r="H142" s="47"/>
      <c r="I142" s="116"/>
      <c r="J142" s="45"/>
      <c r="K142" s="45"/>
      <c r="L142" s="73"/>
      <c r="M142" s="118"/>
      <c r="N142" s="119"/>
      <c r="O142" s="113"/>
      <c r="P142" s="115"/>
      <c r="Q142"/>
      <c r="R142"/>
      <c r="S142" s="114"/>
      <c r="T142" s="110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  <c r="BS142" s="22"/>
      <c r="BT142" s="22"/>
      <c r="BU142" s="22"/>
      <c r="BV142" s="22"/>
      <c r="BW142" s="22"/>
      <c r="BX142" s="22"/>
      <c r="BY142" s="22"/>
      <c r="BZ142" s="22"/>
      <c r="CA142" s="22"/>
      <c r="CB142" s="22"/>
      <c r="CC142" s="22"/>
      <c r="CD142" s="22"/>
      <c r="CE142" s="22"/>
      <c r="CF142" s="22"/>
      <c r="CG142" s="22"/>
      <c r="CH142" s="22"/>
      <c r="CI142" s="22"/>
      <c r="CJ142" s="22"/>
      <c r="CK142" s="22"/>
      <c r="CL142" s="22"/>
      <c r="CM142" s="22"/>
      <c r="CN142" s="22"/>
      <c r="CO142" s="22"/>
      <c r="CP142" s="22"/>
      <c r="CQ142" s="22"/>
      <c r="CR142" s="22"/>
      <c r="CS142" s="22"/>
      <c r="CT142" s="22"/>
      <c r="CU142" s="22"/>
      <c r="CV142" s="22"/>
      <c r="CW142" s="22"/>
      <c r="CX142" s="22"/>
      <c r="CY142" s="22"/>
      <c r="CZ142" s="22"/>
      <c r="DA142" s="22"/>
      <c r="DB142" s="22"/>
      <c r="DC142" s="22"/>
      <c r="DD142" s="22"/>
      <c r="DE142" s="22"/>
      <c r="DF142" s="22"/>
      <c r="DG142" s="22"/>
      <c r="DH142" s="22"/>
      <c r="DI142" s="22"/>
      <c r="DJ142" s="22"/>
      <c r="DK142" s="22"/>
      <c r="DL142" s="22"/>
      <c r="DM142" s="22"/>
      <c r="DN142" s="22"/>
      <c r="DO142" s="22"/>
      <c r="DP142" s="22"/>
      <c r="DQ142" s="22"/>
      <c r="DR142" s="22"/>
      <c r="DS142" s="22"/>
      <c r="DT142" s="22"/>
      <c r="DU142" s="22"/>
      <c r="DV142" s="22"/>
      <c r="DW142" s="22"/>
      <c r="DX142" s="22"/>
      <c r="DY142" s="22"/>
      <c r="DZ142" s="22"/>
      <c r="EA142" s="22"/>
      <c r="EB142" s="22"/>
      <c r="EC142" s="22"/>
      <c r="ED142" s="22"/>
      <c r="EE142" s="22"/>
      <c r="EF142" s="22"/>
      <c r="EG142" s="22"/>
      <c r="EH142" s="22"/>
      <c r="EI142" s="22"/>
      <c r="EJ142" s="22"/>
      <c r="EK142" s="22"/>
      <c r="EL142" s="22"/>
      <c r="EM142" s="22"/>
      <c r="EN142" s="22"/>
      <c r="EO142" s="22"/>
      <c r="EP142" s="22"/>
      <c r="EQ142" s="22"/>
      <c r="ER142" s="22"/>
      <c r="ES142" s="22"/>
      <c r="ET142" s="22"/>
      <c r="EU142" s="22"/>
      <c r="EV142" s="22"/>
      <c r="EW142" s="22"/>
      <c r="EX142" s="22"/>
      <c r="EY142" s="22"/>
      <c r="EZ142" s="22"/>
      <c r="FA142" s="22"/>
      <c r="FB142" s="22"/>
      <c r="FC142" s="22"/>
      <c r="FD142" s="22"/>
      <c r="FE142" s="22"/>
      <c r="FF142" s="22"/>
      <c r="FG142" s="22"/>
      <c r="FH142" s="22"/>
      <c r="FI142" s="22"/>
      <c r="FJ142" s="22"/>
      <c r="FK142" s="22"/>
      <c r="FL142" s="22"/>
      <c r="FM142" s="22"/>
      <c r="FN142" s="22"/>
      <c r="FO142" s="22"/>
      <c r="FP142" s="22"/>
      <c r="FQ142" s="22"/>
      <c r="FR142" s="22"/>
      <c r="FS142" s="22"/>
      <c r="FT142" s="22"/>
      <c r="FU142" s="22"/>
      <c r="FV142" s="22"/>
      <c r="FW142" s="22"/>
      <c r="FX142" s="22"/>
      <c r="FY142" s="22"/>
      <c r="FZ142" s="22"/>
      <c r="GA142" s="22"/>
      <c r="GB142" s="22"/>
      <c r="GC142" s="22"/>
      <c r="GD142" s="22"/>
      <c r="GE142" s="22"/>
      <c r="GF142" s="22"/>
      <c r="GG142" s="22"/>
      <c r="GH142" s="22"/>
      <c r="GI142" s="22"/>
      <c r="GJ142" s="22"/>
      <c r="GK142" s="22"/>
      <c r="GL142" s="22"/>
      <c r="GM142" s="22"/>
      <c r="GN142" s="22"/>
      <c r="GO142" s="22"/>
      <c r="GP142" s="22"/>
      <c r="GQ142" s="22"/>
      <c r="GR142" s="22"/>
      <c r="GS142" s="22"/>
      <c r="GT142" s="22"/>
      <c r="GU142" s="22"/>
      <c r="GV142" s="22"/>
      <c r="GW142" s="22"/>
      <c r="GX142" s="22"/>
      <c r="GY142" s="22"/>
      <c r="GZ142" s="22"/>
      <c r="HA142" s="22"/>
      <c r="HB142" s="22"/>
      <c r="HC142" s="22"/>
    </row>
    <row r="143" spans="1:211" ht="15" customHeight="1" x14ac:dyDescent="0.2">
      <c r="A143" s="22"/>
      <c r="B143" s="14"/>
      <c r="C143" s="73"/>
      <c r="D143" s="46"/>
      <c r="E143" s="46"/>
      <c r="F143" s="120"/>
      <c r="G143" s="120"/>
      <c r="H143" s="47"/>
      <c r="I143" s="116"/>
      <c r="J143" s="45"/>
      <c r="K143" s="45"/>
      <c r="L143" s="73"/>
      <c r="M143" s="118"/>
      <c r="N143" s="119"/>
      <c r="O143" s="113"/>
      <c r="P143" s="115"/>
      <c r="Q143"/>
      <c r="R143"/>
      <c r="S143" s="114"/>
      <c r="T143" s="110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2"/>
      <c r="BO143" s="22"/>
      <c r="BP143" s="22"/>
      <c r="BQ143" s="22"/>
      <c r="BR143" s="22"/>
      <c r="BS143" s="22"/>
      <c r="BT143" s="22"/>
      <c r="BU143" s="22"/>
      <c r="BV143" s="22"/>
      <c r="BW143" s="22"/>
      <c r="BX143" s="22"/>
      <c r="BY143" s="22"/>
      <c r="BZ143" s="22"/>
      <c r="CA143" s="22"/>
      <c r="CB143" s="22"/>
      <c r="CC143" s="22"/>
      <c r="CD143" s="22"/>
      <c r="CE143" s="22"/>
      <c r="CF143" s="22"/>
      <c r="CG143" s="22"/>
      <c r="CH143" s="22"/>
      <c r="CI143" s="22"/>
      <c r="CJ143" s="22"/>
      <c r="CK143" s="22"/>
      <c r="CL143" s="22"/>
      <c r="CM143" s="22"/>
      <c r="CN143" s="22"/>
      <c r="CO143" s="22"/>
      <c r="CP143" s="22"/>
      <c r="CQ143" s="22"/>
      <c r="CR143" s="22"/>
      <c r="CS143" s="22"/>
      <c r="CT143" s="22"/>
      <c r="CU143" s="22"/>
      <c r="CV143" s="22"/>
      <c r="CW143" s="22"/>
      <c r="CX143" s="22"/>
      <c r="CY143" s="22"/>
      <c r="CZ143" s="22"/>
      <c r="DA143" s="22"/>
      <c r="DB143" s="22"/>
      <c r="DC143" s="22"/>
      <c r="DD143" s="22"/>
      <c r="DE143" s="22"/>
      <c r="DF143" s="22"/>
      <c r="DG143" s="22"/>
      <c r="DH143" s="22"/>
      <c r="DI143" s="22"/>
      <c r="DJ143" s="22"/>
      <c r="DK143" s="22"/>
      <c r="DL143" s="22"/>
      <c r="DM143" s="22"/>
      <c r="DN143" s="22"/>
      <c r="DO143" s="22"/>
      <c r="DP143" s="22"/>
      <c r="DQ143" s="22"/>
      <c r="DR143" s="22"/>
      <c r="DS143" s="22"/>
      <c r="DT143" s="22"/>
      <c r="DU143" s="22"/>
      <c r="DV143" s="22"/>
      <c r="DW143" s="22"/>
      <c r="DX143" s="22"/>
      <c r="DY143" s="22"/>
      <c r="DZ143" s="22"/>
      <c r="EA143" s="22"/>
      <c r="EB143" s="22"/>
      <c r="EC143" s="22"/>
      <c r="ED143" s="22"/>
      <c r="EE143" s="22"/>
      <c r="EF143" s="22"/>
      <c r="EG143" s="22"/>
      <c r="EH143" s="22"/>
      <c r="EI143" s="22"/>
      <c r="EJ143" s="22"/>
      <c r="EK143" s="22"/>
      <c r="EL143" s="22"/>
      <c r="EM143" s="22"/>
      <c r="EN143" s="22"/>
      <c r="EO143" s="22"/>
      <c r="EP143" s="22"/>
      <c r="EQ143" s="22"/>
      <c r="ER143" s="22"/>
      <c r="ES143" s="22"/>
      <c r="ET143" s="22"/>
      <c r="EU143" s="22"/>
      <c r="EV143" s="22"/>
      <c r="EW143" s="22"/>
      <c r="EX143" s="22"/>
      <c r="EY143" s="22"/>
      <c r="EZ143" s="22"/>
      <c r="FA143" s="22"/>
      <c r="FB143" s="22"/>
      <c r="FC143" s="22"/>
      <c r="FD143" s="22"/>
      <c r="FE143" s="22"/>
      <c r="FF143" s="22"/>
      <c r="FG143" s="22"/>
      <c r="FH143" s="22"/>
      <c r="FI143" s="22"/>
      <c r="FJ143" s="22"/>
      <c r="FK143" s="22"/>
      <c r="FL143" s="22"/>
      <c r="FM143" s="22"/>
      <c r="FN143" s="22"/>
      <c r="FO143" s="22"/>
      <c r="FP143" s="22"/>
      <c r="FQ143" s="22"/>
      <c r="FR143" s="22"/>
      <c r="FS143" s="22"/>
      <c r="FT143" s="22"/>
      <c r="FU143" s="22"/>
      <c r="FV143" s="22"/>
      <c r="FW143" s="22"/>
      <c r="FX143" s="22"/>
      <c r="FY143" s="22"/>
      <c r="FZ143" s="22"/>
      <c r="GA143" s="22"/>
      <c r="GB143" s="22"/>
      <c r="GC143" s="22"/>
      <c r="GD143" s="22"/>
      <c r="GE143" s="22"/>
      <c r="GF143" s="22"/>
      <c r="GG143" s="22"/>
      <c r="GH143" s="22"/>
      <c r="GI143" s="22"/>
      <c r="GJ143" s="22"/>
      <c r="GK143" s="22"/>
      <c r="GL143" s="22"/>
      <c r="GM143" s="22"/>
      <c r="GN143" s="22"/>
      <c r="GO143" s="22"/>
      <c r="GP143" s="22"/>
      <c r="GQ143" s="22"/>
      <c r="GR143" s="22"/>
      <c r="GS143" s="22"/>
      <c r="GT143" s="22"/>
      <c r="GU143" s="22"/>
      <c r="GV143" s="22"/>
      <c r="GW143" s="22"/>
      <c r="GX143" s="22"/>
      <c r="GY143" s="22"/>
      <c r="GZ143" s="22"/>
      <c r="HA143" s="22"/>
      <c r="HB143" s="22"/>
      <c r="HC143" s="22"/>
    </row>
    <row r="144" spans="1:211" ht="15" customHeight="1" x14ac:dyDescent="0.2">
      <c r="A144" s="22"/>
      <c r="B144" s="14"/>
      <c r="C144" s="73"/>
      <c r="D144" s="46"/>
      <c r="E144" s="46"/>
      <c r="F144" s="120"/>
      <c r="G144" s="120"/>
      <c r="H144" s="47"/>
      <c r="I144" s="116"/>
      <c r="J144" s="45"/>
      <c r="K144" s="45"/>
      <c r="L144" s="73"/>
      <c r="M144" s="118"/>
      <c r="N144" s="119"/>
      <c r="O144" s="113"/>
      <c r="P144" s="115"/>
      <c r="Q144"/>
      <c r="R144"/>
      <c r="S144" s="114"/>
      <c r="T144" s="110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2"/>
      <c r="BO144" s="22"/>
      <c r="BP144" s="22"/>
      <c r="BQ144" s="22"/>
      <c r="BR144" s="22"/>
      <c r="BS144" s="22"/>
      <c r="BT144" s="22"/>
      <c r="BU144" s="22"/>
      <c r="BV144" s="22"/>
      <c r="BW144" s="22"/>
      <c r="BX144" s="22"/>
      <c r="BY144" s="22"/>
      <c r="BZ144" s="22"/>
      <c r="CA144" s="22"/>
      <c r="CB144" s="22"/>
      <c r="CC144" s="22"/>
      <c r="CD144" s="22"/>
      <c r="CE144" s="22"/>
      <c r="CF144" s="22"/>
      <c r="CG144" s="22"/>
      <c r="CH144" s="22"/>
      <c r="CI144" s="22"/>
      <c r="CJ144" s="22"/>
      <c r="CK144" s="22"/>
      <c r="CL144" s="22"/>
      <c r="CM144" s="22"/>
      <c r="CN144" s="22"/>
      <c r="CO144" s="22"/>
      <c r="CP144" s="22"/>
      <c r="CQ144" s="22"/>
      <c r="CR144" s="22"/>
      <c r="CS144" s="22"/>
      <c r="CT144" s="22"/>
      <c r="CU144" s="22"/>
      <c r="CV144" s="22"/>
      <c r="CW144" s="22"/>
      <c r="CX144" s="22"/>
      <c r="CY144" s="22"/>
      <c r="CZ144" s="22"/>
      <c r="DA144" s="22"/>
      <c r="DB144" s="22"/>
      <c r="DC144" s="22"/>
      <c r="DD144" s="22"/>
      <c r="DE144" s="22"/>
      <c r="DF144" s="22"/>
      <c r="DG144" s="22"/>
      <c r="DH144" s="22"/>
      <c r="DI144" s="22"/>
      <c r="DJ144" s="22"/>
      <c r="DK144" s="22"/>
      <c r="DL144" s="22"/>
      <c r="DM144" s="22"/>
      <c r="DN144" s="22"/>
      <c r="DO144" s="22"/>
      <c r="DP144" s="22"/>
      <c r="DQ144" s="22"/>
      <c r="DR144" s="22"/>
      <c r="DS144" s="22"/>
      <c r="DT144" s="22"/>
      <c r="DU144" s="22"/>
      <c r="DV144" s="22"/>
      <c r="DW144" s="22"/>
      <c r="DX144" s="22"/>
      <c r="DY144" s="22"/>
      <c r="DZ144" s="22"/>
      <c r="EA144" s="22"/>
      <c r="EB144" s="22"/>
      <c r="EC144" s="22"/>
      <c r="ED144" s="22"/>
      <c r="EE144" s="22"/>
      <c r="EF144" s="22"/>
      <c r="EG144" s="22"/>
      <c r="EH144" s="22"/>
      <c r="EI144" s="22"/>
      <c r="EJ144" s="22"/>
      <c r="EK144" s="22"/>
      <c r="EL144" s="22"/>
      <c r="EM144" s="22"/>
      <c r="EN144" s="22"/>
      <c r="EO144" s="22"/>
      <c r="EP144" s="22"/>
      <c r="EQ144" s="22"/>
      <c r="ER144" s="22"/>
      <c r="ES144" s="22"/>
      <c r="ET144" s="22"/>
      <c r="EU144" s="22"/>
      <c r="EV144" s="22"/>
      <c r="EW144" s="22"/>
      <c r="EX144" s="22"/>
      <c r="EY144" s="22"/>
      <c r="EZ144" s="22"/>
      <c r="FA144" s="22"/>
      <c r="FB144" s="22"/>
      <c r="FC144" s="22"/>
      <c r="FD144" s="22"/>
      <c r="FE144" s="22"/>
      <c r="FF144" s="22"/>
      <c r="FG144" s="22"/>
      <c r="FH144" s="22"/>
      <c r="FI144" s="22"/>
      <c r="FJ144" s="22"/>
      <c r="FK144" s="22"/>
      <c r="FL144" s="22"/>
      <c r="FM144" s="22"/>
      <c r="FN144" s="22"/>
      <c r="FO144" s="22"/>
      <c r="FP144" s="22"/>
      <c r="FQ144" s="22"/>
      <c r="FR144" s="22"/>
      <c r="FS144" s="22"/>
      <c r="FT144" s="22"/>
      <c r="FU144" s="22"/>
      <c r="FV144" s="22"/>
      <c r="FW144" s="22"/>
      <c r="FX144" s="22"/>
      <c r="FY144" s="22"/>
      <c r="FZ144" s="22"/>
      <c r="GA144" s="22"/>
      <c r="GB144" s="22"/>
      <c r="GC144" s="22"/>
      <c r="GD144" s="22"/>
      <c r="GE144" s="22"/>
      <c r="GF144" s="22"/>
      <c r="GG144" s="22"/>
      <c r="GH144" s="22"/>
      <c r="GI144" s="22"/>
      <c r="GJ144" s="22"/>
      <c r="GK144" s="22"/>
      <c r="GL144" s="22"/>
      <c r="GM144" s="22"/>
      <c r="GN144" s="22"/>
      <c r="GO144" s="22"/>
      <c r="GP144" s="22"/>
      <c r="GQ144" s="22"/>
      <c r="GR144" s="22"/>
      <c r="GS144" s="22"/>
      <c r="GT144" s="22"/>
      <c r="GU144" s="22"/>
      <c r="GV144" s="22"/>
      <c r="GW144" s="22"/>
      <c r="GX144" s="22"/>
      <c r="GY144" s="22"/>
      <c r="GZ144" s="22"/>
      <c r="HA144" s="22"/>
      <c r="HB144" s="22"/>
      <c r="HC144" s="22"/>
    </row>
    <row r="145" spans="1:211" ht="15" customHeight="1" x14ac:dyDescent="0.2">
      <c r="A145" s="22"/>
      <c r="B145" s="14"/>
      <c r="C145" s="73"/>
      <c r="D145" s="46"/>
      <c r="E145" s="46"/>
      <c r="F145" s="120"/>
      <c r="G145" s="120"/>
      <c r="H145" s="47"/>
      <c r="I145" s="116"/>
      <c r="J145" s="45"/>
      <c r="K145" s="73"/>
      <c r="L145" s="73"/>
      <c r="M145" s="118"/>
      <c r="N145" s="119"/>
      <c r="O145" s="113"/>
      <c r="P145" s="115"/>
      <c r="Q145"/>
      <c r="R145"/>
      <c r="S145" s="114"/>
      <c r="T145" s="110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2"/>
      <c r="BO145" s="22"/>
      <c r="BP145" s="22"/>
      <c r="BQ145" s="22"/>
      <c r="BR145" s="22"/>
      <c r="BS145" s="22"/>
      <c r="BT145" s="22"/>
      <c r="BU145" s="22"/>
      <c r="BV145" s="22"/>
      <c r="BW145" s="22"/>
      <c r="BX145" s="22"/>
      <c r="BY145" s="22"/>
      <c r="BZ145" s="22"/>
      <c r="CA145" s="22"/>
      <c r="CB145" s="22"/>
      <c r="CC145" s="22"/>
      <c r="CD145" s="22"/>
      <c r="CE145" s="22"/>
      <c r="CF145" s="22"/>
      <c r="CG145" s="22"/>
      <c r="CH145" s="22"/>
      <c r="CI145" s="22"/>
      <c r="CJ145" s="22"/>
      <c r="CK145" s="22"/>
      <c r="CL145" s="22"/>
      <c r="CM145" s="22"/>
      <c r="CN145" s="22"/>
      <c r="CO145" s="22"/>
      <c r="CP145" s="22"/>
      <c r="CQ145" s="22"/>
      <c r="CR145" s="22"/>
      <c r="CS145" s="22"/>
      <c r="CT145" s="22"/>
      <c r="CU145" s="22"/>
      <c r="CV145" s="22"/>
      <c r="CW145" s="22"/>
      <c r="CX145" s="22"/>
      <c r="CY145" s="22"/>
      <c r="CZ145" s="22"/>
      <c r="DA145" s="22"/>
      <c r="DB145" s="22"/>
      <c r="DC145" s="22"/>
      <c r="DD145" s="22"/>
      <c r="DE145" s="22"/>
      <c r="DF145" s="22"/>
      <c r="DG145" s="22"/>
      <c r="DH145" s="22"/>
      <c r="DI145" s="22"/>
      <c r="DJ145" s="22"/>
      <c r="DK145" s="22"/>
      <c r="DL145" s="22"/>
      <c r="DM145" s="22"/>
      <c r="DN145" s="22"/>
      <c r="DO145" s="22"/>
      <c r="DP145" s="22"/>
      <c r="DQ145" s="22"/>
      <c r="DR145" s="22"/>
      <c r="DS145" s="22"/>
      <c r="DT145" s="22"/>
      <c r="DU145" s="22"/>
      <c r="DV145" s="22"/>
      <c r="DW145" s="22"/>
      <c r="DX145" s="22"/>
      <c r="DY145" s="22"/>
      <c r="DZ145" s="22"/>
      <c r="EA145" s="22"/>
      <c r="EB145" s="22"/>
      <c r="EC145" s="22"/>
      <c r="ED145" s="22"/>
      <c r="EE145" s="22"/>
      <c r="EF145" s="22"/>
      <c r="EG145" s="22"/>
      <c r="EH145" s="22"/>
      <c r="EI145" s="22"/>
      <c r="EJ145" s="22"/>
      <c r="EK145" s="22"/>
      <c r="EL145" s="22"/>
      <c r="EM145" s="22"/>
      <c r="EN145" s="22"/>
      <c r="EO145" s="22"/>
      <c r="EP145" s="22"/>
      <c r="EQ145" s="22"/>
      <c r="ER145" s="22"/>
      <c r="ES145" s="22"/>
      <c r="ET145" s="22"/>
      <c r="EU145" s="22"/>
      <c r="EV145" s="22"/>
      <c r="EW145" s="22"/>
      <c r="EX145" s="22"/>
      <c r="EY145" s="22"/>
      <c r="EZ145" s="22"/>
      <c r="FA145" s="22"/>
      <c r="FB145" s="22"/>
      <c r="FC145" s="22"/>
      <c r="FD145" s="22"/>
      <c r="FE145" s="22"/>
      <c r="FF145" s="22"/>
      <c r="FG145" s="22"/>
      <c r="FH145" s="22"/>
      <c r="FI145" s="22"/>
      <c r="FJ145" s="22"/>
      <c r="FK145" s="22"/>
      <c r="FL145" s="22"/>
      <c r="FM145" s="22"/>
      <c r="FN145" s="22"/>
      <c r="FO145" s="22"/>
      <c r="FP145" s="22"/>
      <c r="FQ145" s="22"/>
      <c r="FR145" s="22"/>
      <c r="FS145" s="22"/>
      <c r="FT145" s="22"/>
      <c r="FU145" s="22"/>
      <c r="FV145" s="22"/>
      <c r="FW145" s="22"/>
      <c r="FX145" s="22"/>
      <c r="FY145" s="22"/>
      <c r="FZ145" s="22"/>
      <c r="GA145" s="22"/>
      <c r="GB145" s="22"/>
      <c r="GC145" s="22"/>
      <c r="GD145" s="22"/>
      <c r="GE145" s="22"/>
      <c r="GF145" s="22"/>
      <c r="GG145" s="22"/>
      <c r="GH145" s="22"/>
      <c r="GI145" s="22"/>
      <c r="GJ145" s="22"/>
      <c r="GK145" s="22"/>
      <c r="GL145" s="22"/>
      <c r="GM145" s="22"/>
      <c r="GN145" s="22"/>
      <c r="GO145" s="22"/>
      <c r="GP145" s="22"/>
      <c r="GQ145" s="22"/>
      <c r="GR145" s="22"/>
      <c r="GS145" s="22"/>
      <c r="GT145" s="22"/>
      <c r="GU145" s="22"/>
      <c r="GV145" s="22"/>
      <c r="GW145" s="22"/>
      <c r="GX145" s="22"/>
      <c r="GY145" s="22"/>
      <c r="GZ145" s="22"/>
      <c r="HA145" s="22"/>
      <c r="HB145" s="22"/>
      <c r="HC145" s="22"/>
    </row>
    <row r="146" spans="1:211" ht="15" customHeight="1" x14ac:dyDescent="0.2">
      <c r="A146" s="22"/>
      <c r="B146" s="14"/>
      <c r="C146" s="73"/>
      <c r="D146" s="46"/>
      <c r="E146" s="46"/>
      <c r="F146" s="120"/>
      <c r="G146" s="120"/>
      <c r="H146" s="47"/>
      <c r="I146" s="116"/>
      <c r="J146" s="45"/>
      <c r="K146" s="45"/>
      <c r="L146" s="73"/>
      <c r="M146" s="118"/>
      <c r="N146" s="119"/>
      <c r="O146" s="113"/>
      <c r="P146" s="115"/>
      <c r="Q146"/>
      <c r="R146"/>
      <c r="S146" s="114"/>
      <c r="T146" s="110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  <c r="BS146" s="22"/>
      <c r="BT146" s="22"/>
      <c r="BU146" s="22"/>
      <c r="BV146" s="22"/>
      <c r="BW146" s="22"/>
      <c r="BX146" s="22"/>
      <c r="BY146" s="22"/>
      <c r="BZ146" s="22"/>
      <c r="CA146" s="22"/>
      <c r="CB146" s="22"/>
      <c r="CC146" s="22"/>
      <c r="CD146" s="22"/>
      <c r="CE146" s="22"/>
      <c r="CF146" s="22"/>
      <c r="CG146" s="22"/>
      <c r="CH146" s="22"/>
      <c r="CI146" s="22"/>
      <c r="CJ146" s="22"/>
      <c r="CK146" s="22"/>
      <c r="CL146" s="22"/>
      <c r="CM146" s="22"/>
      <c r="CN146" s="22"/>
      <c r="CO146" s="22"/>
      <c r="CP146" s="22"/>
      <c r="CQ146" s="22"/>
      <c r="CR146" s="22"/>
      <c r="CS146" s="22"/>
      <c r="CT146" s="22"/>
      <c r="CU146" s="22"/>
      <c r="CV146" s="22"/>
      <c r="CW146" s="22"/>
      <c r="CX146" s="22"/>
      <c r="CY146" s="22"/>
      <c r="CZ146" s="22"/>
      <c r="DA146" s="22"/>
      <c r="DB146" s="22"/>
      <c r="DC146" s="22"/>
      <c r="DD146" s="22"/>
      <c r="DE146" s="22"/>
      <c r="DF146" s="22"/>
      <c r="DG146" s="22"/>
      <c r="DH146" s="22"/>
      <c r="DI146" s="22"/>
      <c r="DJ146" s="22"/>
      <c r="DK146" s="22"/>
      <c r="DL146" s="22"/>
      <c r="DM146" s="22"/>
      <c r="DN146" s="22"/>
      <c r="DO146" s="22"/>
      <c r="DP146" s="22"/>
      <c r="DQ146" s="22"/>
      <c r="DR146" s="22"/>
      <c r="DS146" s="22"/>
      <c r="DT146" s="22"/>
      <c r="DU146" s="22"/>
      <c r="DV146" s="22"/>
      <c r="DW146" s="22"/>
      <c r="DX146" s="22"/>
      <c r="DY146" s="22"/>
      <c r="DZ146" s="22"/>
      <c r="EA146" s="22"/>
      <c r="EB146" s="22"/>
      <c r="EC146" s="22"/>
      <c r="ED146" s="22"/>
      <c r="EE146" s="22"/>
      <c r="EF146" s="22"/>
      <c r="EG146" s="22"/>
      <c r="EH146" s="22"/>
      <c r="EI146" s="22"/>
      <c r="EJ146" s="22"/>
      <c r="EK146" s="22"/>
      <c r="EL146" s="22"/>
      <c r="EM146" s="22"/>
      <c r="EN146" s="22"/>
      <c r="EO146" s="22"/>
      <c r="EP146" s="22"/>
      <c r="EQ146" s="22"/>
      <c r="ER146" s="22"/>
      <c r="ES146" s="22"/>
      <c r="ET146" s="22"/>
      <c r="EU146" s="22"/>
      <c r="EV146" s="22"/>
      <c r="EW146" s="22"/>
      <c r="EX146" s="22"/>
      <c r="EY146" s="22"/>
      <c r="EZ146" s="22"/>
      <c r="FA146" s="22"/>
      <c r="FB146" s="22"/>
      <c r="FC146" s="22"/>
      <c r="FD146" s="22"/>
      <c r="FE146" s="22"/>
      <c r="FF146" s="22"/>
      <c r="FG146" s="22"/>
      <c r="FH146" s="22"/>
      <c r="FI146" s="22"/>
      <c r="FJ146" s="22"/>
      <c r="FK146" s="22"/>
      <c r="FL146" s="22"/>
      <c r="FM146" s="22"/>
      <c r="FN146" s="22"/>
      <c r="FO146" s="22"/>
      <c r="FP146" s="22"/>
      <c r="FQ146" s="22"/>
      <c r="FR146" s="22"/>
      <c r="FS146" s="22"/>
      <c r="FT146" s="22"/>
      <c r="FU146" s="22"/>
      <c r="FV146" s="22"/>
      <c r="FW146" s="22"/>
      <c r="FX146" s="22"/>
      <c r="FY146" s="22"/>
      <c r="FZ146" s="22"/>
      <c r="GA146" s="22"/>
      <c r="GB146" s="22"/>
      <c r="GC146" s="22"/>
      <c r="GD146" s="22"/>
      <c r="GE146" s="22"/>
      <c r="GF146" s="22"/>
      <c r="GG146" s="22"/>
      <c r="GH146" s="22"/>
      <c r="GI146" s="22"/>
      <c r="GJ146" s="22"/>
      <c r="GK146" s="22"/>
      <c r="GL146" s="22"/>
      <c r="GM146" s="22"/>
      <c r="GN146" s="22"/>
      <c r="GO146" s="22"/>
      <c r="GP146" s="22"/>
      <c r="GQ146" s="22"/>
      <c r="GR146" s="22"/>
      <c r="GS146" s="22"/>
      <c r="GT146" s="22"/>
      <c r="GU146" s="22"/>
      <c r="GV146" s="22"/>
      <c r="GW146" s="22"/>
      <c r="GX146" s="22"/>
      <c r="GY146" s="22"/>
      <c r="GZ146" s="22"/>
      <c r="HA146" s="22"/>
      <c r="HB146" s="22"/>
      <c r="HC146" s="22"/>
    </row>
    <row r="147" spans="1:211" ht="15" customHeight="1" x14ac:dyDescent="0.2">
      <c r="A147" s="22"/>
      <c r="B147" s="14"/>
      <c r="C147" s="73"/>
      <c r="D147" s="46"/>
      <c r="E147" s="46"/>
      <c r="F147" s="120"/>
      <c r="G147" s="120"/>
      <c r="H147" s="47"/>
      <c r="I147" s="116"/>
      <c r="J147" s="45"/>
      <c r="K147" s="73"/>
      <c r="L147" s="73"/>
      <c r="M147" s="118"/>
      <c r="N147" s="119"/>
      <c r="O147" s="113"/>
      <c r="P147" s="115"/>
      <c r="Q147"/>
      <c r="R147"/>
      <c r="S147" s="114"/>
      <c r="T147" s="110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2"/>
      <c r="BO147" s="22"/>
      <c r="BP147" s="22"/>
      <c r="BQ147" s="22"/>
      <c r="BR147" s="22"/>
      <c r="BS147" s="22"/>
      <c r="BT147" s="22"/>
      <c r="BU147" s="22"/>
      <c r="BV147" s="22"/>
      <c r="BW147" s="22"/>
      <c r="BX147" s="22"/>
      <c r="BY147" s="22"/>
      <c r="BZ147" s="22"/>
      <c r="CA147" s="22"/>
      <c r="CB147" s="22"/>
      <c r="CC147" s="22"/>
      <c r="CD147" s="22"/>
      <c r="CE147" s="22"/>
      <c r="CF147" s="22"/>
      <c r="CG147" s="22"/>
      <c r="CH147" s="22"/>
      <c r="CI147" s="22"/>
      <c r="CJ147" s="22"/>
      <c r="CK147" s="22"/>
      <c r="CL147" s="22"/>
      <c r="CM147" s="22"/>
      <c r="CN147" s="22"/>
      <c r="CO147" s="22"/>
      <c r="CP147" s="22"/>
      <c r="CQ147" s="22"/>
      <c r="CR147" s="22"/>
      <c r="CS147" s="22"/>
      <c r="CT147" s="22"/>
      <c r="CU147" s="22"/>
      <c r="CV147" s="22"/>
      <c r="CW147" s="22"/>
      <c r="CX147" s="22"/>
      <c r="CY147" s="22"/>
      <c r="CZ147" s="22"/>
      <c r="DA147" s="22"/>
      <c r="DB147" s="22"/>
      <c r="DC147" s="22"/>
      <c r="DD147" s="22"/>
      <c r="DE147" s="22"/>
      <c r="DF147" s="22"/>
      <c r="DG147" s="22"/>
      <c r="DH147" s="22"/>
      <c r="DI147" s="22"/>
      <c r="DJ147" s="22"/>
      <c r="DK147" s="22"/>
      <c r="DL147" s="22"/>
      <c r="DM147" s="22"/>
      <c r="DN147" s="22"/>
      <c r="DO147" s="22"/>
      <c r="DP147" s="22"/>
      <c r="DQ147" s="22"/>
      <c r="DR147" s="22"/>
      <c r="DS147" s="22"/>
      <c r="DT147" s="22"/>
      <c r="DU147" s="22"/>
      <c r="DV147" s="22"/>
      <c r="DW147" s="22"/>
      <c r="DX147" s="22"/>
      <c r="DY147" s="22"/>
      <c r="DZ147" s="22"/>
      <c r="EA147" s="22"/>
      <c r="EB147" s="22"/>
      <c r="EC147" s="22"/>
      <c r="ED147" s="22"/>
      <c r="EE147" s="22"/>
      <c r="EF147" s="22"/>
      <c r="EG147" s="22"/>
      <c r="EH147" s="22"/>
      <c r="EI147" s="22"/>
      <c r="EJ147" s="22"/>
      <c r="EK147" s="22"/>
      <c r="EL147" s="22"/>
      <c r="EM147" s="22"/>
      <c r="EN147" s="22"/>
      <c r="EO147" s="22"/>
      <c r="EP147" s="22"/>
      <c r="EQ147" s="22"/>
      <c r="ER147" s="22"/>
      <c r="ES147" s="22"/>
      <c r="ET147" s="22"/>
      <c r="EU147" s="22"/>
      <c r="EV147" s="22"/>
      <c r="EW147" s="22"/>
      <c r="EX147" s="22"/>
      <c r="EY147" s="22"/>
      <c r="EZ147" s="22"/>
      <c r="FA147" s="22"/>
      <c r="FB147" s="22"/>
      <c r="FC147" s="22"/>
      <c r="FD147" s="22"/>
      <c r="FE147" s="22"/>
      <c r="FF147" s="22"/>
      <c r="FG147" s="22"/>
      <c r="FH147" s="22"/>
      <c r="FI147" s="22"/>
      <c r="FJ147" s="22"/>
      <c r="FK147" s="22"/>
      <c r="FL147" s="22"/>
      <c r="FM147" s="22"/>
      <c r="FN147" s="22"/>
      <c r="FO147" s="22"/>
      <c r="FP147" s="22"/>
      <c r="FQ147" s="22"/>
      <c r="FR147" s="22"/>
      <c r="FS147" s="22"/>
      <c r="FT147" s="22"/>
      <c r="FU147" s="22"/>
      <c r="FV147" s="22"/>
      <c r="FW147" s="22"/>
      <c r="FX147" s="22"/>
      <c r="FY147" s="22"/>
      <c r="FZ147" s="22"/>
      <c r="GA147" s="22"/>
      <c r="GB147" s="22"/>
      <c r="GC147" s="22"/>
      <c r="GD147" s="22"/>
      <c r="GE147" s="22"/>
      <c r="GF147" s="22"/>
      <c r="GG147" s="22"/>
      <c r="GH147" s="22"/>
      <c r="GI147" s="22"/>
      <c r="GJ147" s="22"/>
      <c r="GK147" s="22"/>
      <c r="GL147" s="22"/>
      <c r="GM147" s="22"/>
      <c r="GN147" s="22"/>
      <c r="GO147" s="22"/>
      <c r="GP147" s="22"/>
      <c r="GQ147" s="22"/>
      <c r="GR147" s="22"/>
      <c r="GS147" s="22"/>
      <c r="GT147" s="22"/>
      <c r="GU147" s="22"/>
      <c r="GV147" s="22"/>
      <c r="GW147" s="22"/>
      <c r="GX147" s="22"/>
      <c r="GY147" s="22"/>
      <c r="GZ147" s="22"/>
      <c r="HA147" s="22"/>
      <c r="HB147" s="22"/>
      <c r="HC147" s="22"/>
    </row>
    <row r="148" spans="1:211" ht="15" customHeight="1" x14ac:dyDescent="0.2">
      <c r="A148" s="22"/>
      <c r="B148" s="14"/>
      <c r="C148" s="73"/>
      <c r="D148" s="46"/>
      <c r="E148" s="46"/>
      <c r="F148" s="120"/>
      <c r="G148" s="120"/>
      <c r="H148" s="47"/>
      <c r="I148" s="116"/>
      <c r="J148" s="45"/>
      <c r="K148" s="45"/>
      <c r="L148" s="73"/>
      <c r="M148" s="118"/>
      <c r="N148" s="119"/>
      <c r="O148" s="113"/>
      <c r="P148" s="115"/>
      <c r="Q148"/>
      <c r="R148"/>
      <c r="S148" s="114"/>
      <c r="T148" s="110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  <c r="BS148" s="22"/>
      <c r="BT148" s="22"/>
      <c r="BU148" s="22"/>
      <c r="BV148" s="22"/>
      <c r="BW148" s="22"/>
      <c r="BX148" s="22"/>
      <c r="BY148" s="22"/>
      <c r="BZ148" s="22"/>
      <c r="CA148" s="22"/>
      <c r="CB148" s="22"/>
      <c r="CC148" s="22"/>
      <c r="CD148" s="22"/>
      <c r="CE148" s="22"/>
      <c r="CF148" s="22"/>
      <c r="CG148" s="22"/>
      <c r="CH148" s="22"/>
      <c r="CI148" s="22"/>
      <c r="CJ148" s="22"/>
      <c r="CK148" s="22"/>
      <c r="CL148" s="22"/>
      <c r="CM148" s="22"/>
      <c r="CN148" s="22"/>
      <c r="CO148" s="22"/>
      <c r="CP148" s="22"/>
      <c r="CQ148" s="22"/>
      <c r="CR148" s="22"/>
      <c r="CS148" s="22"/>
      <c r="CT148" s="22"/>
      <c r="CU148" s="22"/>
      <c r="CV148" s="22"/>
      <c r="CW148" s="22"/>
      <c r="CX148" s="22"/>
      <c r="CY148" s="22"/>
      <c r="CZ148" s="22"/>
      <c r="DA148" s="22"/>
      <c r="DB148" s="22"/>
      <c r="DC148" s="22"/>
      <c r="DD148" s="22"/>
      <c r="DE148" s="22"/>
      <c r="DF148" s="22"/>
      <c r="DG148" s="22"/>
      <c r="DH148" s="22"/>
      <c r="DI148" s="22"/>
      <c r="DJ148" s="22"/>
      <c r="DK148" s="22"/>
      <c r="DL148" s="22"/>
      <c r="DM148" s="22"/>
      <c r="DN148" s="22"/>
      <c r="DO148" s="22"/>
      <c r="DP148" s="22"/>
      <c r="DQ148" s="22"/>
      <c r="DR148" s="22"/>
      <c r="DS148" s="22"/>
      <c r="DT148" s="22"/>
      <c r="DU148" s="22"/>
      <c r="DV148" s="22"/>
      <c r="DW148" s="22"/>
      <c r="DX148" s="22"/>
      <c r="DY148" s="22"/>
      <c r="DZ148" s="22"/>
      <c r="EA148" s="22"/>
      <c r="EB148" s="22"/>
      <c r="EC148" s="22"/>
      <c r="ED148" s="22"/>
      <c r="EE148" s="22"/>
      <c r="EF148" s="22"/>
      <c r="EG148" s="22"/>
      <c r="EH148" s="22"/>
      <c r="EI148" s="22"/>
      <c r="EJ148" s="22"/>
      <c r="EK148" s="22"/>
      <c r="EL148" s="22"/>
      <c r="EM148" s="22"/>
      <c r="EN148" s="22"/>
      <c r="EO148" s="22"/>
      <c r="EP148" s="22"/>
      <c r="EQ148" s="22"/>
      <c r="ER148" s="22"/>
      <c r="ES148" s="22"/>
      <c r="ET148" s="22"/>
      <c r="EU148" s="22"/>
      <c r="EV148" s="22"/>
      <c r="EW148" s="22"/>
      <c r="EX148" s="22"/>
      <c r="EY148" s="22"/>
      <c r="EZ148" s="22"/>
      <c r="FA148" s="22"/>
      <c r="FB148" s="22"/>
      <c r="FC148" s="22"/>
      <c r="FD148" s="22"/>
      <c r="FE148" s="22"/>
      <c r="FF148" s="22"/>
      <c r="FG148" s="22"/>
      <c r="FH148" s="22"/>
      <c r="FI148" s="22"/>
      <c r="FJ148" s="22"/>
      <c r="FK148" s="22"/>
      <c r="FL148" s="22"/>
      <c r="FM148" s="22"/>
      <c r="FN148" s="22"/>
      <c r="FO148" s="22"/>
      <c r="FP148" s="22"/>
      <c r="FQ148" s="22"/>
      <c r="FR148" s="22"/>
      <c r="FS148" s="22"/>
      <c r="FT148" s="22"/>
      <c r="FU148" s="22"/>
      <c r="FV148" s="22"/>
      <c r="FW148" s="22"/>
      <c r="FX148" s="22"/>
      <c r="FY148" s="22"/>
      <c r="FZ148" s="22"/>
      <c r="GA148" s="22"/>
      <c r="GB148" s="22"/>
      <c r="GC148" s="22"/>
      <c r="GD148" s="22"/>
      <c r="GE148" s="22"/>
      <c r="GF148" s="22"/>
      <c r="GG148" s="22"/>
      <c r="GH148" s="22"/>
      <c r="GI148" s="22"/>
      <c r="GJ148" s="22"/>
      <c r="GK148" s="22"/>
      <c r="GL148" s="22"/>
      <c r="GM148" s="22"/>
      <c r="GN148" s="22"/>
      <c r="GO148" s="22"/>
      <c r="GP148" s="22"/>
      <c r="GQ148" s="22"/>
      <c r="GR148" s="22"/>
      <c r="GS148" s="22"/>
      <c r="GT148" s="22"/>
      <c r="GU148" s="22"/>
      <c r="GV148" s="22"/>
      <c r="GW148" s="22"/>
      <c r="GX148" s="22"/>
      <c r="GY148" s="22"/>
      <c r="GZ148" s="22"/>
      <c r="HA148" s="22"/>
      <c r="HB148" s="22"/>
      <c r="HC148" s="22"/>
    </row>
    <row r="149" spans="1:211" ht="15" customHeight="1" x14ac:dyDescent="0.2">
      <c r="A149" s="22"/>
      <c r="B149" s="14"/>
      <c r="C149" s="73"/>
      <c r="D149" s="46"/>
      <c r="E149" s="46"/>
      <c r="F149" s="120"/>
      <c r="G149" s="120"/>
      <c r="H149" s="47"/>
      <c r="I149" s="116"/>
      <c r="J149" s="45"/>
      <c r="K149" s="73"/>
      <c r="L149" s="73"/>
      <c r="M149" s="118"/>
      <c r="N149" s="119"/>
      <c r="O149" s="113"/>
      <c r="P149" s="115"/>
      <c r="Q149"/>
      <c r="R149"/>
      <c r="S149" s="114"/>
      <c r="T149" s="110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  <c r="BS149" s="22"/>
      <c r="BT149" s="22"/>
      <c r="BU149" s="22"/>
      <c r="BV149" s="22"/>
      <c r="BW149" s="22"/>
      <c r="BX149" s="22"/>
      <c r="BY149" s="22"/>
      <c r="BZ149" s="22"/>
      <c r="CA149" s="22"/>
      <c r="CB149" s="22"/>
      <c r="CC149" s="22"/>
      <c r="CD149" s="22"/>
      <c r="CE149" s="22"/>
      <c r="CF149" s="22"/>
      <c r="CG149" s="22"/>
      <c r="CH149" s="22"/>
      <c r="CI149" s="22"/>
      <c r="CJ149" s="22"/>
      <c r="CK149" s="22"/>
      <c r="CL149" s="22"/>
      <c r="CM149" s="22"/>
      <c r="CN149" s="22"/>
      <c r="CO149" s="22"/>
      <c r="CP149" s="22"/>
      <c r="CQ149" s="22"/>
      <c r="CR149" s="22"/>
      <c r="CS149" s="22"/>
      <c r="CT149" s="22"/>
      <c r="CU149" s="22"/>
      <c r="CV149" s="22"/>
      <c r="CW149" s="22"/>
      <c r="CX149" s="22"/>
      <c r="CY149" s="22"/>
      <c r="CZ149" s="22"/>
      <c r="DA149" s="22"/>
      <c r="DB149" s="22"/>
      <c r="DC149" s="22"/>
      <c r="DD149" s="22"/>
      <c r="DE149" s="22"/>
      <c r="DF149" s="22"/>
      <c r="DG149" s="22"/>
      <c r="DH149" s="22"/>
      <c r="DI149" s="22"/>
      <c r="DJ149" s="22"/>
      <c r="DK149" s="22"/>
      <c r="DL149" s="22"/>
      <c r="DM149" s="22"/>
      <c r="DN149" s="22"/>
      <c r="DO149" s="22"/>
      <c r="DP149" s="22"/>
      <c r="DQ149" s="22"/>
      <c r="DR149" s="22"/>
      <c r="DS149" s="22"/>
      <c r="DT149" s="22"/>
      <c r="DU149" s="22"/>
      <c r="DV149" s="22"/>
      <c r="DW149" s="22"/>
      <c r="DX149" s="22"/>
      <c r="DY149" s="22"/>
      <c r="DZ149" s="22"/>
      <c r="EA149" s="22"/>
      <c r="EB149" s="22"/>
      <c r="EC149" s="22"/>
      <c r="ED149" s="22"/>
      <c r="EE149" s="22"/>
      <c r="EF149" s="22"/>
      <c r="EG149" s="22"/>
      <c r="EH149" s="22"/>
      <c r="EI149" s="22"/>
      <c r="EJ149" s="22"/>
      <c r="EK149" s="22"/>
      <c r="EL149" s="22"/>
      <c r="EM149" s="22"/>
      <c r="EN149" s="22"/>
      <c r="EO149" s="22"/>
      <c r="EP149" s="22"/>
      <c r="EQ149" s="22"/>
      <c r="ER149" s="22"/>
      <c r="ES149" s="22"/>
      <c r="ET149" s="22"/>
      <c r="EU149" s="22"/>
      <c r="EV149" s="22"/>
      <c r="EW149" s="22"/>
      <c r="EX149" s="22"/>
      <c r="EY149" s="22"/>
      <c r="EZ149" s="22"/>
      <c r="FA149" s="22"/>
      <c r="FB149" s="22"/>
      <c r="FC149" s="22"/>
      <c r="FD149" s="22"/>
      <c r="FE149" s="22"/>
      <c r="FF149" s="22"/>
      <c r="FG149" s="22"/>
      <c r="FH149" s="22"/>
      <c r="FI149" s="22"/>
      <c r="FJ149" s="22"/>
      <c r="FK149" s="22"/>
      <c r="FL149" s="22"/>
      <c r="FM149" s="22"/>
      <c r="FN149" s="22"/>
      <c r="FO149" s="22"/>
      <c r="FP149" s="22"/>
      <c r="FQ149" s="22"/>
      <c r="FR149" s="22"/>
      <c r="FS149" s="22"/>
      <c r="FT149" s="22"/>
      <c r="FU149" s="22"/>
      <c r="FV149" s="22"/>
      <c r="FW149" s="22"/>
      <c r="FX149" s="22"/>
      <c r="FY149" s="22"/>
      <c r="FZ149" s="22"/>
      <c r="GA149" s="22"/>
      <c r="GB149" s="22"/>
      <c r="GC149" s="22"/>
      <c r="GD149" s="22"/>
      <c r="GE149" s="22"/>
      <c r="GF149" s="22"/>
      <c r="GG149" s="22"/>
      <c r="GH149" s="22"/>
      <c r="GI149" s="22"/>
      <c r="GJ149" s="22"/>
      <c r="GK149" s="22"/>
      <c r="GL149" s="22"/>
      <c r="GM149" s="22"/>
      <c r="GN149" s="22"/>
      <c r="GO149" s="22"/>
      <c r="GP149" s="22"/>
      <c r="GQ149" s="22"/>
      <c r="GR149" s="22"/>
      <c r="GS149" s="22"/>
      <c r="GT149" s="22"/>
      <c r="GU149" s="22"/>
      <c r="GV149" s="22"/>
      <c r="GW149" s="22"/>
      <c r="GX149" s="22"/>
      <c r="GY149" s="22"/>
      <c r="GZ149" s="22"/>
      <c r="HA149" s="22"/>
      <c r="HB149" s="22"/>
      <c r="HC149" s="22"/>
    </row>
    <row r="150" spans="1:211" ht="15" customHeight="1" x14ac:dyDescent="0.2">
      <c r="A150" s="22"/>
      <c r="B150" s="14"/>
      <c r="C150" s="73"/>
      <c r="D150" s="46"/>
      <c r="E150" s="46"/>
      <c r="F150" s="120"/>
      <c r="G150" s="120"/>
      <c r="H150" s="47"/>
      <c r="I150" s="116"/>
      <c r="J150" s="45"/>
      <c r="K150" s="73"/>
      <c r="L150" s="73"/>
      <c r="M150" s="118"/>
      <c r="N150" s="119"/>
      <c r="O150" s="113"/>
      <c r="P150" s="115"/>
      <c r="Q150"/>
      <c r="R150"/>
      <c r="S150" s="114"/>
      <c r="T150" s="110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  <c r="BO150" s="22"/>
      <c r="BP150" s="22"/>
      <c r="BQ150" s="22"/>
      <c r="BR150" s="22"/>
      <c r="BS150" s="22"/>
      <c r="BT150" s="22"/>
      <c r="BU150" s="22"/>
      <c r="BV150" s="22"/>
      <c r="BW150" s="22"/>
      <c r="BX150" s="22"/>
      <c r="BY150" s="22"/>
      <c r="BZ150" s="22"/>
      <c r="CA150" s="22"/>
      <c r="CB150" s="22"/>
      <c r="CC150" s="22"/>
      <c r="CD150" s="22"/>
      <c r="CE150" s="22"/>
      <c r="CF150" s="22"/>
      <c r="CG150" s="22"/>
      <c r="CH150" s="22"/>
      <c r="CI150" s="22"/>
      <c r="CJ150" s="22"/>
      <c r="CK150" s="22"/>
      <c r="CL150" s="22"/>
      <c r="CM150" s="22"/>
      <c r="CN150" s="22"/>
      <c r="CO150" s="22"/>
      <c r="CP150" s="22"/>
      <c r="CQ150" s="22"/>
      <c r="CR150" s="22"/>
      <c r="CS150" s="22"/>
      <c r="CT150" s="22"/>
      <c r="CU150" s="22"/>
      <c r="CV150" s="22"/>
      <c r="CW150" s="22"/>
      <c r="CX150" s="22"/>
      <c r="CY150" s="22"/>
      <c r="CZ150" s="22"/>
      <c r="DA150" s="22"/>
      <c r="DB150" s="22"/>
      <c r="DC150" s="22"/>
      <c r="DD150" s="22"/>
      <c r="DE150" s="22"/>
      <c r="DF150" s="22"/>
      <c r="DG150" s="22"/>
      <c r="DH150" s="22"/>
      <c r="DI150" s="22"/>
      <c r="DJ150" s="22"/>
      <c r="DK150" s="22"/>
      <c r="DL150" s="22"/>
      <c r="DM150" s="22"/>
      <c r="DN150" s="22"/>
      <c r="DO150" s="22"/>
      <c r="DP150" s="22"/>
      <c r="DQ150" s="22"/>
      <c r="DR150" s="22"/>
      <c r="DS150" s="22"/>
      <c r="DT150" s="22"/>
      <c r="DU150" s="22"/>
      <c r="DV150" s="22"/>
      <c r="DW150" s="22"/>
      <c r="DX150" s="22"/>
      <c r="DY150" s="22"/>
      <c r="DZ150" s="22"/>
      <c r="EA150" s="22"/>
      <c r="EB150" s="22"/>
      <c r="EC150" s="22"/>
      <c r="ED150" s="22"/>
      <c r="EE150" s="22"/>
      <c r="EF150" s="22"/>
      <c r="EG150" s="22"/>
      <c r="EH150" s="22"/>
      <c r="EI150" s="22"/>
      <c r="EJ150" s="22"/>
      <c r="EK150" s="22"/>
      <c r="EL150" s="22"/>
      <c r="EM150" s="22"/>
      <c r="EN150" s="22"/>
      <c r="EO150" s="22"/>
      <c r="EP150" s="22"/>
      <c r="EQ150" s="22"/>
      <c r="ER150" s="22"/>
      <c r="ES150" s="22"/>
      <c r="ET150" s="22"/>
      <c r="EU150" s="22"/>
      <c r="EV150" s="22"/>
      <c r="EW150" s="22"/>
      <c r="EX150" s="22"/>
      <c r="EY150" s="22"/>
      <c r="EZ150" s="22"/>
      <c r="FA150" s="22"/>
      <c r="FB150" s="22"/>
      <c r="FC150" s="22"/>
      <c r="FD150" s="22"/>
      <c r="FE150" s="22"/>
      <c r="FF150" s="22"/>
      <c r="FG150" s="22"/>
      <c r="FH150" s="22"/>
      <c r="FI150" s="22"/>
      <c r="FJ150" s="22"/>
      <c r="FK150" s="22"/>
      <c r="FL150" s="22"/>
      <c r="FM150" s="22"/>
      <c r="FN150" s="22"/>
      <c r="FO150" s="22"/>
      <c r="FP150" s="22"/>
      <c r="FQ150" s="22"/>
      <c r="FR150" s="22"/>
      <c r="FS150" s="22"/>
      <c r="FT150" s="22"/>
      <c r="FU150" s="22"/>
      <c r="FV150" s="22"/>
      <c r="FW150" s="22"/>
      <c r="FX150" s="22"/>
      <c r="FY150" s="22"/>
      <c r="FZ150" s="22"/>
      <c r="GA150" s="22"/>
      <c r="GB150" s="22"/>
      <c r="GC150" s="22"/>
      <c r="GD150" s="22"/>
      <c r="GE150" s="22"/>
      <c r="GF150" s="22"/>
      <c r="GG150" s="22"/>
      <c r="GH150" s="22"/>
      <c r="GI150" s="22"/>
      <c r="GJ150" s="22"/>
      <c r="GK150" s="22"/>
      <c r="GL150" s="22"/>
      <c r="GM150" s="22"/>
      <c r="GN150" s="22"/>
      <c r="GO150" s="22"/>
      <c r="GP150" s="22"/>
      <c r="GQ150" s="22"/>
      <c r="GR150" s="22"/>
      <c r="GS150" s="22"/>
      <c r="GT150" s="22"/>
      <c r="GU150" s="22"/>
      <c r="GV150" s="22"/>
      <c r="GW150" s="22"/>
      <c r="GX150" s="22"/>
      <c r="GY150" s="22"/>
      <c r="GZ150" s="22"/>
      <c r="HA150" s="22"/>
      <c r="HB150" s="22"/>
      <c r="HC150" s="22"/>
    </row>
    <row r="151" spans="1:211" ht="15" customHeight="1" x14ac:dyDescent="0.2">
      <c r="A151" s="22"/>
      <c r="B151" s="14"/>
      <c r="C151" s="73"/>
      <c r="D151" s="46"/>
      <c r="E151" s="46"/>
      <c r="F151" s="120"/>
      <c r="G151" s="120"/>
      <c r="H151" s="47"/>
      <c r="I151" s="116"/>
      <c r="J151" s="45"/>
      <c r="K151" s="73"/>
      <c r="L151" s="73"/>
      <c r="M151" s="118"/>
      <c r="N151" s="119"/>
      <c r="O151" s="113"/>
      <c r="P151" s="115"/>
      <c r="Q151"/>
      <c r="R151"/>
      <c r="S151" s="114"/>
      <c r="T151" s="110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2"/>
      <c r="BO151" s="22"/>
      <c r="BP151" s="22"/>
      <c r="BQ151" s="22"/>
      <c r="BR151" s="22"/>
      <c r="BS151" s="22"/>
      <c r="BT151" s="22"/>
      <c r="BU151" s="22"/>
      <c r="BV151" s="22"/>
      <c r="BW151" s="22"/>
      <c r="BX151" s="22"/>
      <c r="BY151" s="22"/>
      <c r="BZ151" s="22"/>
      <c r="CA151" s="22"/>
      <c r="CB151" s="22"/>
      <c r="CC151" s="22"/>
      <c r="CD151" s="22"/>
      <c r="CE151" s="22"/>
      <c r="CF151" s="22"/>
      <c r="CG151" s="22"/>
      <c r="CH151" s="22"/>
      <c r="CI151" s="22"/>
      <c r="CJ151" s="22"/>
      <c r="CK151" s="22"/>
      <c r="CL151" s="22"/>
      <c r="CM151" s="22"/>
      <c r="CN151" s="22"/>
      <c r="CO151" s="22"/>
      <c r="CP151" s="22"/>
      <c r="CQ151" s="22"/>
      <c r="CR151" s="22"/>
      <c r="CS151" s="22"/>
      <c r="CT151" s="22"/>
      <c r="CU151" s="22"/>
      <c r="CV151" s="22"/>
      <c r="CW151" s="22"/>
      <c r="CX151" s="22"/>
      <c r="CY151" s="22"/>
      <c r="CZ151" s="22"/>
      <c r="DA151" s="22"/>
      <c r="DB151" s="22"/>
      <c r="DC151" s="22"/>
      <c r="DD151" s="22"/>
      <c r="DE151" s="22"/>
      <c r="DF151" s="22"/>
      <c r="DG151" s="22"/>
      <c r="DH151" s="22"/>
      <c r="DI151" s="22"/>
      <c r="DJ151" s="22"/>
      <c r="DK151" s="22"/>
      <c r="DL151" s="22"/>
      <c r="DM151" s="22"/>
      <c r="DN151" s="22"/>
      <c r="DO151" s="22"/>
      <c r="DP151" s="22"/>
      <c r="DQ151" s="22"/>
      <c r="DR151" s="22"/>
      <c r="DS151" s="22"/>
      <c r="DT151" s="22"/>
      <c r="DU151" s="22"/>
      <c r="DV151" s="22"/>
      <c r="DW151" s="22"/>
      <c r="DX151" s="22"/>
      <c r="DY151" s="22"/>
      <c r="DZ151" s="22"/>
      <c r="EA151" s="22"/>
      <c r="EB151" s="22"/>
      <c r="EC151" s="22"/>
      <c r="ED151" s="22"/>
      <c r="EE151" s="22"/>
      <c r="EF151" s="22"/>
      <c r="EG151" s="22"/>
      <c r="EH151" s="22"/>
      <c r="EI151" s="22"/>
      <c r="EJ151" s="22"/>
      <c r="EK151" s="22"/>
      <c r="EL151" s="22"/>
      <c r="EM151" s="22"/>
      <c r="EN151" s="22"/>
      <c r="EO151" s="22"/>
      <c r="EP151" s="22"/>
      <c r="EQ151" s="22"/>
      <c r="ER151" s="22"/>
      <c r="ES151" s="22"/>
      <c r="ET151" s="22"/>
      <c r="EU151" s="22"/>
      <c r="EV151" s="22"/>
      <c r="EW151" s="22"/>
      <c r="EX151" s="22"/>
      <c r="EY151" s="22"/>
      <c r="EZ151" s="22"/>
      <c r="FA151" s="22"/>
      <c r="FB151" s="22"/>
      <c r="FC151" s="22"/>
      <c r="FD151" s="22"/>
      <c r="FE151" s="22"/>
      <c r="FF151" s="22"/>
      <c r="FG151" s="22"/>
      <c r="FH151" s="22"/>
      <c r="FI151" s="22"/>
      <c r="FJ151" s="22"/>
      <c r="FK151" s="22"/>
      <c r="FL151" s="22"/>
      <c r="FM151" s="22"/>
      <c r="FN151" s="22"/>
      <c r="FO151" s="22"/>
      <c r="FP151" s="22"/>
      <c r="FQ151" s="22"/>
      <c r="FR151" s="22"/>
      <c r="FS151" s="22"/>
      <c r="FT151" s="22"/>
      <c r="FU151" s="22"/>
      <c r="FV151" s="22"/>
      <c r="FW151" s="22"/>
      <c r="FX151" s="22"/>
      <c r="FY151" s="22"/>
      <c r="FZ151" s="22"/>
      <c r="GA151" s="22"/>
      <c r="GB151" s="22"/>
      <c r="GC151" s="22"/>
      <c r="GD151" s="22"/>
      <c r="GE151" s="22"/>
      <c r="GF151" s="22"/>
      <c r="GG151" s="22"/>
      <c r="GH151" s="22"/>
      <c r="GI151" s="22"/>
      <c r="GJ151" s="22"/>
      <c r="GK151" s="22"/>
      <c r="GL151" s="22"/>
      <c r="GM151" s="22"/>
      <c r="GN151" s="22"/>
      <c r="GO151" s="22"/>
      <c r="GP151" s="22"/>
      <c r="GQ151" s="22"/>
      <c r="GR151" s="22"/>
      <c r="GS151" s="22"/>
      <c r="GT151" s="22"/>
      <c r="GU151" s="22"/>
      <c r="GV151" s="22"/>
      <c r="GW151" s="22"/>
      <c r="GX151" s="22"/>
      <c r="GY151" s="22"/>
      <c r="GZ151" s="22"/>
      <c r="HA151" s="22"/>
      <c r="HB151" s="22"/>
      <c r="HC151" s="22"/>
    </row>
    <row r="152" spans="1:211" ht="15" customHeight="1" x14ac:dyDescent="0.2">
      <c r="A152" s="22"/>
      <c r="B152" s="14"/>
      <c r="C152" s="73"/>
      <c r="D152" s="46"/>
      <c r="E152" s="46"/>
      <c r="F152" s="120"/>
      <c r="G152" s="120"/>
      <c r="H152" s="47"/>
      <c r="I152" s="116"/>
      <c r="J152" s="45"/>
      <c r="K152" s="45"/>
      <c r="L152" s="73"/>
      <c r="M152" s="118"/>
      <c r="N152" s="119"/>
      <c r="O152" s="113"/>
      <c r="P152" s="115"/>
      <c r="Q152"/>
      <c r="R152"/>
      <c r="S152" s="114"/>
      <c r="T152" s="110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  <c r="BS152" s="22"/>
      <c r="BT152" s="22"/>
      <c r="BU152" s="22"/>
      <c r="BV152" s="22"/>
      <c r="BW152" s="22"/>
      <c r="BX152" s="22"/>
      <c r="BY152" s="22"/>
      <c r="BZ152" s="22"/>
      <c r="CA152" s="22"/>
      <c r="CB152" s="22"/>
      <c r="CC152" s="22"/>
      <c r="CD152" s="22"/>
      <c r="CE152" s="22"/>
      <c r="CF152" s="22"/>
      <c r="CG152" s="22"/>
      <c r="CH152" s="22"/>
      <c r="CI152" s="22"/>
      <c r="CJ152" s="22"/>
      <c r="CK152" s="22"/>
      <c r="CL152" s="22"/>
      <c r="CM152" s="22"/>
      <c r="CN152" s="22"/>
      <c r="CO152" s="22"/>
      <c r="CP152" s="22"/>
      <c r="CQ152" s="22"/>
      <c r="CR152" s="22"/>
      <c r="CS152" s="22"/>
      <c r="CT152" s="22"/>
      <c r="CU152" s="22"/>
      <c r="CV152" s="22"/>
      <c r="CW152" s="22"/>
      <c r="CX152" s="22"/>
      <c r="CY152" s="22"/>
      <c r="CZ152" s="22"/>
      <c r="DA152" s="22"/>
      <c r="DB152" s="22"/>
      <c r="DC152" s="22"/>
      <c r="DD152" s="22"/>
      <c r="DE152" s="22"/>
      <c r="DF152" s="22"/>
      <c r="DG152" s="22"/>
      <c r="DH152" s="22"/>
      <c r="DI152" s="22"/>
      <c r="DJ152" s="22"/>
      <c r="DK152" s="22"/>
      <c r="DL152" s="22"/>
      <c r="DM152" s="22"/>
      <c r="DN152" s="22"/>
      <c r="DO152" s="22"/>
      <c r="DP152" s="22"/>
      <c r="DQ152" s="22"/>
      <c r="DR152" s="22"/>
      <c r="DS152" s="22"/>
      <c r="DT152" s="22"/>
      <c r="DU152" s="22"/>
      <c r="DV152" s="22"/>
      <c r="DW152" s="22"/>
      <c r="DX152" s="22"/>
      <c r="DY152" s="22"/>
      <c r="DZ152" s="22"/>
      <c r="EA152" s="22"/>
      <c r="EB152" s="22"/>
      <c r="EC152" s="22"/>
      <c r="ED152" s="22"/>
      <c r="EE152" s="22"/>
      <c r="EF152" s="22"/>
      <c r="EG152" s="22"/>
      <c r="EH152" s="22"/>
      <c r="EI152" s="22"/>
      <c r="EJ152" s="22"/>
      <c r="EK152" s="22"/>
      <c r="EL152" s="22"/>
      <c r="EM152" s="22"/>
      <c r="EN152" s="22"/>
      <c r="EO152" s="22"/>
      <c r="EP152" s="22"/>
      <c r="EQ152" s="22"/>
      <c r="ER152" s="22"/>
      <c r="ES152" s="22"/>
      <c r="ET152" s="22"/>
      <c r="EU152" s="22"/>
      <c r="EV152" s="22"/>
      <c r="EW152" s="22"/>
      <c r="EX152" s="22"/>
      <c r="EY152" s="22"/>
      <c r="EZ152" s="22"/>
      <c r="FA152" s="22"/>
      <c r="FB152" s="22"/>
      <c r="FC152" s="22"/>
      <c r="FD152" s="22"/>
      <c r="FE152" s="22"/>
      <c r="FF152" s="22"/>
      <c r="FG152" s="22"/>
      <c r="FH152" s="22"/>
      <c r="FI152" s="22"/>
      <c r="FJ152" s="22"/>
      <c r="FK152" s="22"/>
      <c r="FL152" s="22"/>
      <c r="FM152" s="22"/>
      <c r="FN152" s="22"/>
      <c r="FO152" s="22"/>
      <c r="FP152" s="22"/>
      <c r="FQ152" s="22"/>
      <c r="FR152" s="22"/>
      <c r="FS152" s="22"/>
      <c r="FT152" s="22"/>
      <c r="FU152" s="22"/>
      <c r="FV152" s="22"/>
      <c r="FW152" s="22"/>
      <c r="FX152" s="22"/>
      <c r="FY152" s="22"/>
      <c r="FZ152" s="22"/>
      <c r="GA152" s="22"/>
      <c r="GB152" s="22"/>
      <c r="GC152" s="22"/>
      <c r="GD152" s="22"/>
      <c r="GE152" s="22"/>
      <c r="GF152" s="22"/>
      <c r="GG152" s="22"/>
      <c r="GH152" s="22"/>
      <c r="GI152" s="22"/>
      <c r="GJ152" s="22"/>
      <c r="GK152" s="22"/>
      <c r="GL152" s="22"/>
      <c r="GM152" s="22"/>
      <c r="GN152" s="22"/>
      <c r="GO152" s="22"/>
      <c r="GP152" s="22"/>
      <c r="GQ152" s="22"/>
      <c r="GR152" s="22"/>
      <c r="GS152" s="22"/>
      <c r="GT152" s="22"/>
      <c r="GU152" s="22"/>
      <c r="GV152" s="22"/>
      <c r="GW152" s="22"/>
      <c r="GX152" s="22"/>
      <c r="GY152" s="22"/>
      <c r="GZ152" s="22"/>
      <c r="HA152" s="22"/>
      <c r="HB152" s="22"/>
      <c r="HC152" s="22"/>
    </row>
    <row r="153" spans="1:211" ht="15" customHeight="1" x14ac:dyDescent="0.2">
      <c r="A153" s="22"/>
      <c r="B153" s="14"/>
      <c r="C153" s="73"/>
      <c r="D153" s="46"/>
      <c r="E153" s="46"/>
      <c r="F153" s="120"/>
      <c r="G153" s="120"/>
      <c r="H153" s="47"/>
      <c r="I153" s="116"/>
      <c r="J153" s="45"/>
      <c r="K153" s="45"/>
      <c r="L153" s="73"/>
      <c r="M153" s="118"/>
      <c r="N153" s="119"/>
      <c r="O153" s="113"/>
      <c r="P153" s="115"/>
      <c r="Q153"/>
      <c r="R153"/>
      <c r="S153" s="114"/>
      <c r="T153" s="110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  <c r="BS153" s="22"/>
      <c r="BT153" s="22"/>
      <c r="BU153" s="22"/>
      <c r="BV153" s="22"/>
      <c r="BW153" s="22"/>
      <c r="BX153" s="22"/>
      <c r="BY153" s="22"/>
      <c r="BZ153" s="22"/>
      <c r="CA153" s="22"/>
      <c r="CB153" s="22"/>
      <c r="CC153" s="22"/>
      <c r="CD153" s="22"/>
      <c r="CE153" s="22"/>
      <c r="CF153" s="22"/>
      <c r="CG153" s="22"/>
      <c r="CH153" s="22"/>
      <c r="CI153" s="22"/>
      <c r="CJ153" s="22"/>
      <c r="CK153" s="22"/>
      <c r="CL153" s="22"/>
      <c r="CM153" s="22"/>
      <c r="CN153" s="22"/>
      <c r="CO153" s="22"/>
      <c r="CP153" s="22"/>
      <c r="CQ153" s="22"/>
      <c r="CR153" s="22"/>
      <c r="CS153" s="22"/>
      <c r="CT153" s="22"/>
      <c r="CU153" s="22"/>
      <c r="CV153" s="22"/>
      <c r="CW153" s="22"/>
      <c r="CX153" s="22"/>
      <c r="CY153" s="22"/>
      <c r="CZ153" s="22"/>
      <c r="DA153" s="22"/>
      <c r="DB153" s="22"/>
      <c r="DC153" s="22"/>
      <c r="DD153" s="22"/>
      <c r="DE153" s="22"/>
      <c r="DF153" s="22"/>
      <c r="DG153" s="22"/>
      <c r="DH153" s="22"/>
      <c r="DI153" s="22"/>
      <c r="DJ153" s="22"/>
      <c r="DK153" s="22"/>
      <c r="DL153" s="22"/>
      <c r="DM153" s="22"/>
      <c r="DN153" s="22"/>
      <c r="DO153" s="22"/>
      <c r="DP153" s="22"/>
      <c r="DQ153" s="22"/>
      <c r="DR153" s="22"/>
      <c r="DS153" s="22"/>
      <c r="DT153" s="22"/>
      <c r="DU153" s="22"/>
      <c r="DV153" s="22"/>
      <c r="DW153" s="22"/>
      <c r="DX153" s="22"/>
      <c r="DY153" s="22"/>
      <c r="DZ153" s="22"/>
      <c r="EA153" s="22"/>
      <c r="EB153" s="22"/>
      <c r="EC153" s="22"/>
      <c r="ED153" s="22"/>
      <c r="EE153" s="22"/>
      <c r="EF153" s="22"/>
      <c r="EG153" s="22"/>
      <c r="EH153" s="22"/>
      <c r="EI153" s="22"/>
      <c r="EJ153" s="22"/>
      <c r="EK153" s="22"/>
      <c r="EL153" s="22"/>
      <c r="EM153" s="22"/>
      <c r="EN153" s="22"/>
      <c r="EO153" s="22"/>
      <c r="EP153" s="22"/>
      <c r="EQ153" s="22"/>
      <c r="ER153" s="22"/>
      <c r="ES153" s="22"/>
      <c r="ET153" s="22"/>
      <c r="EU153" s="22"/>
      <c r="EV153" s="22"/>
      <c r="EW153" s="22"/>
      <c r="EX153" s="22"/>
      <c r="EY153" s="22"/>
      <c r="EZ153" s="22"/>
      <c r="FA153" s="22"/>
      <c r="FB153" s="22"/>
      <c r="FC153" s="22"/>
      <c r="FD153" s="22"/>
      <c r="FE153" s="22"/>
      <c r="FF153" s="22"/>
      <c r="FG153" s="22"/>
      <c r="FH153" s="22"/>
      <c r="FI153" s="22"/>
      <c r="FJ153" s="22"/>
      <c r="FK153" s="22"/>
      <c r="FL153" s="22"/>
      <c r="FM153" s="22"/>
      <c r="FN153" s="22"/>
      <c r="FO153" s="22"/>
      <c r="FP153" s="22"/>
      <c r="FQ153" s="22"/>
      <c r="FR153" s="22"/>
      <c r="FS153" s="22"/>
      <c r="FT153" s="22"/>
      <c r="FU153" s="22"/>
      <c r="FV153" s="22"/>
      <c r="FW153" s="22"/>
      <c r="FX153" s="22"/>
      <c r="FY153" s="22"/>
      <c r="FZ153" s="22"/>
      <c r="GA153" s="22"/>
      <c r="GB153" s="22"/>
      <c r="GC153" s="22"/>
      <c r="GD153" s="22"/>
      <c r="GE153" s="22"/>
      <c r="GF153" s="22"/>
      <c r="GG153" s="22"/>
      <c r="GH153" s="22"/>
      <c r="GI153" s="22"/>
      <c r="GJ153" s="22"/>
      <c r="GK153" s="22"/>
      <c r="GL153" s="22"/>
      <c r="GM153" s="22"/>
      <c r="GN153" s="22"/>
      <c r="GO153" s="22"/>
      <c r="GP153" s="22"/>
      <c r="GQ153" s="22"/>
      <c r="GR153" s="22"/>
      <c r="GS153" s="22"/>
      <c r="GT153" s="22"/>
      <c r="GU153" s="22"/>
      <c r="GV153" s="22"/>
      <c r="GW153" s="22"/>
      <c r="GX153" s="22"/>
      <c r="GY153" s="22"/>
      <c r="GZ153" s="22"/>
      <c r="HA153" s="22"/>
      <c r="HB153" s="22"/>
      <c r="HC153" s="22"/>
    </row>
    <row r="154" spans="1:211" ht="15" customHeight="1" x14ac:dyDescent="0.2">
      <c r="A154" s="22"/>
      <c r="B154" s="14"/>
      <c r="C154" s="73"/>
      <c r="D154" s="46"/>
      <c r="E154" s="46"/>
      <c r="F154" s="120"/>
      <c r="G154" s="120"/>
      <c r="H154" s="47"/>
      <c r="I154" s="116"/>
      <c r="J154" s="45"/>
      <c r="K154" s="73"/>
      <c r="L154" s="73"/>
      <c r="M154" s="118"/>
      <c r="N154" s="119"/>
      <c r="O154" s="113"/>
      <c r="P154" s="115"/>
      <c r="Q154"/>
      <c r="R154"/>
      <c r="S154" s="114"/>
      <c r="T154" s="110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  <c r="BS154" s="22"/>
      <c r="BT154" s="22"/>
      <c r="BU154" s="22"/>
      <c r="BV154" s="22"/>
      <c r="BW154" s="22"/>
      <c r="BX154" s="22"/>
      <c r="BY154" s="22"/>
      <c r="BZ154" s="22"/>
      <c r="CA154" s="22"/>
      <c r="CB154" s="22"/>
      <c r="CC154" s="22"/>
      <c r="CD154" s="22"/>
      <c r="CE154" s="22"/>
      <c r="CF154" s="22"/>
      <c r="CG154" s="22"/>
      <c r="CH154" s="22"/>
      <c r="CI154" s="22"/>
      <c r="CJ154" s="22"/>
      <c r="CK154" s="22"/>
      <c r="CL154" s="22"/>
      <c r="CM154" s="22"/>
      <c r="CN154" s="22"/>
      <c r="CO154" s="22"/>
      <c r="CP154" s="22"/>
      <c r="CQ154" s="22"/>
      <c r="CR154" s="22"/>
      <c r="CS154" s="22"/>
      <c r="CT154" s="22"/>
      <c r="CU154" s="22"/>
      <c r="CV154" s="22"/>
      <c r="CW154" s="22"/>
      <c r="CX154" s="22"/>
      <c r="CY154" s="22"/>
      <c r="CZ154" s="22"/>
      <c r="DA154" s="22"/>
      <c r="DB154" s="22"/>
      <c r="DC154" s="22"/>
      <c r="DD154" s="22"/>
      <c r="DE154" s="22"/>
      <c r="DF154" s="22"/>
      <c r="DG154" s="22"/>
      <c r="DH154" s="22"/>
      <c r="DI154" s="22"/>
      <c r="DJ154" s="22"/>
      <c r="DK154" s="22"/>
      <c r="DL154" s="22"/>
      <c r="DM154" s="22"/>
      <c r="DN154" s="22"/>
      <c r="DO154" s="22"/>
      <c r="DP154" s="22"/>
      <c r="DQ154" s="22"/>
      <c r="DR154" s="22"/>
      <c r="DS154" s="22"/>
      <c r="DT154" s="22"/>
      <c r="DU154" s="22"/>
      <c r="DV154" s="22"/>
      <c r="DW154" s="22"/>
      <c r="DX154" s="22"/>
      <c r="DY154" s="22"/>
      <c r="DZ154" s="22"/>
      <c r="EA154" s="22"/>
      <c r="EB154" s="22"/>
      <c r="EC154" s="22"/>
      <c r="ED154" s="22"/>
      <c r="EE154" s="22"/>
      <c r="EF154" s="22"/>
      <c r="EG154" s="22"/>
      <c r="EH154" s="22"/>
      <c r="EI154" s="22"/>
      <c r="EJ154" s="22"/>
      <c r="EK154" s="22"/>
      <c r="EL154" s="22"/>
      <c r="EM154" s="22"/>
      <c r="EN154" s="22"/>
      <c r="EO154" s="22"/>
      <c r="EP154" s="22"/>
      <c r="EQ154" s="22"/>
      <c r="ER154" s="22"/>
      <c r="ES154" s="22"/>
      <c r="ET154" s="22"/>
      <c r="EU154" s="22"/>
      <c r="EV154" s="22"/>
      <c r="EW154" s="22"/>
      <c r="EX154" s="22"/>
      <c r="EY154" s="22"/>
      <c r="EZ154" s="22"/>
      <c r="FA154" s="22"/>
      <c r="FB154" s="22"/>
      <c r="FC154" s="22"/>
      <c r="FD154" s="22"/>
      <c r="FE154" s="22"/>
      <c r="FF154" s="22"/>
      <c r="FG154" s="22"/>
      <c r="FH154" s="22"/>
      <c r="FI154" s="22"/>
      <c r="FJ154" s="22"/>
      <c r="FK154" s="22"/>
      <c r="FL154" s="22"/>
      <c r="FM154" s="22"/>
      <c r="FN154" s="22"/>
      <c r="FO154" s="22"/>
      <c r="FP154" s="22"/>
      <c r="FQ154" s="22"/>
      <c r="FR154" s="22"/>
      <c r="FS154" s="22"/>
      <c r="FT154" s="22"/>
      <c r="FU154" s="22"/>
      <c r="FV154" s="22"/>
      <c r="FW154" s="22"/>
      <c r="FX154" s="22"/>
      <c r="FY154" s="22"/>
      <c r="FZ154" s="22"/>
      <c r="GA154" s="22"/>
      <c r="GB154" s="22"/>
      <c r="GC154" s="22"/>
      <c r="GD154" s="22"/>
      <c r="GE154" s="22"/>
      <c r="GF154" s="22"/>
      <c r="GG154" s="22"/>
      <c r="GH154" s="22"/>
      <c r="GI154" s="22"/>
      <c r="GJ154" s="22"/>
      <c r="GK154" s="22"/>
      <c r="GL154" s="22"/>
      <c r="GM154" s="22"/>
      <c r="GN154" s="22"/>
      <c r="GO154" s="22"/>
      <c r="GP154" s="22"/>
      <c r="GQ154" s="22"/>
      <c r="GR154" s="22"/>
      <c r="GS154" s="22"/>
      <c r="GT154" s="22"/>
      <c r="GU154" s="22"/>
      <c r="GV154" s="22"/>
      <c r="GW154" s="22"/>
      <c r="GX154" s="22"/>
      <c r="GY154" s="22"/>
      <c r="GZ154" s="22"/>
      <c r="HA154" s="22"/>
      <c r="HB154" s="22"/>
      <c r="HC154" s="22"/>
    </row>
    <row r="155" spans="1:211" ht="15" customHeight="1" x14ac:dyDescent="0.2">
      <c r="A155" s="22"/>
      <c r="B155" s="14"/>
      <c r="C155" s="73"/>
      <c r="D155" s="46"/>
      <c r="E155" s="46"/>
      <c r="F155" s="120"/>
      <c r="G155" s="120"/>
      <c r="H155" s="47"/>
      <c r="I155" s="116"/>
      <c r="J155" s="45"/>
      <c r="K155" s="45"/>
      <c r="L155" s="73"/>
      <c r="M155" s="118"/>
      <c r="N155" s="119"/>
      <c r="O155" s="113"/>
      <c r="P155" s="115"/>
      <c r="Q155"/>
      <c r="R155"/>
      <c r="S155" s="114"/>
      <c r="T155" s="110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2"/>
      <c r="BO155" s="22"/>
      <c r="BP155" s="22"/>
      <c r="BQ155" s="22"/>
      <c r="BR155" s="22"/>
      <c r="BS155" s="22"/>
      <c r="BT155" s="22"/>
      <c r="BU155" s="22"/>
      <c r="BV155" s="22"/>
      <c r="BW155" s="22"/>
      <c r="BX155" s="22"/>
      <c r="BY155" s="22"/>
      <c r="BZ155" s="22"/>
      <c r="CA155" s="22"/>
      <c r="CB155" s="22"/>
      <c r="CC155" s="22"/>
      <c r="CD155" s="22"/>
      <c r="CE155" s="22"/>
      <c r="CF155" s="22"/>
      <c r="CG155" s="22"/>
      <c r="CH155" s="22"/>
      <c r="CI155" s="22"/>
      <c r="CJ155" s="22"/>
      <c r="CK155" s="22"/>
      <c r="CL155" s="22"/>
      <c r="CM155" s="22"/>
      <c r="CN155" s="22"/>
      <c r="CO155" s="22"/>
      <c r="CP155" s="22"/>
      <c r="CQ155" s="22"/>
      <c r="CR155" s="22"/>
      <c r="CS155" s="22"/>
      <c r="CT155" s="22"/>
      <c r="CU155" s="22"/>
      <c r="CV155" s="22"/>
      <c r="CW155" s="22"/>
      <c r="CX155" s="22"/>
      <c r="CY155" s="22"/>
      <c r="CZ155" s="22"/>
      <c r="DA155" s="22"/>
      <c r="DB155" s="22"/>
      <c r="DC155" s="22"/>
      <c r="DD155" s="22"/>
      <c r="DE155" s="22"/>
      <c r="DF155" s="22"/>
      <c r="DG155" s="22"/>
      <c r="DH155" s="22"/>
      <c r="DI155" s="22"/>
      <c r="DJ155" s="22"/>
      <c r="DK155" s="22"/>
      <c r="DL155" s="22"/>
      <c r="DM155" s="22"/>
      <c r="DN155" s="22"/>
      <c r="DO155" s="22"/>
      <c r="DP155" s="22"/>
      <c r="DQ155" s="22"/>
      <c r="DR155" s="22"/>
      <c r="DS155" s="22"/>
      <c r="DT155" s="22"/>
      <c r="DU155" s="22"/>
      <c r="DV155" s="22"/>
      <c r="DW155" s="22"/>
      <c r="DX155" s="22"/>
      <c r="DY155" s="22"/>
      <c r="DZ155" s="22"/>
      <c r="EA155" s="22"/>
      <c r="EB155" s="22"/>
      <c r="EC155" s="22"/>
      <c r="ED155" s="22"/>
      <c r="EE155" s="22"/>
      <c r="EF155" s="22"/>
      <c r="EG155" s="22"/>
      <c r="EH155" s="22"/>
      <c r="EI155" s="22"/>
      <c r="EJ155" s="22"/>
      <c r="EK155" s="22"/>
      <c r="EL155" s="22"/>
      <c r="EM155" s="22"/>
      <c r="EN155" s="22"/>
      <c r="EO155" s="22"/>
      <c r="EP155" s="22"/>
      <c r="EQ155" s="22"/>
      <c r="ER155" s="22"/>
      <c r="ES155" s="22"/>
      <c r="ET155" s="22"/>
      <c r="EU155" s="22"/>
      <c r="EV155" s="22"/>
      <c r="EW155" s="22"/>
      <c r="EX155" s="22"/>
      <c r="EY155" s="22"/>
      <c r="EZ155" s="22"/>
      <c r="FA155" s="22"/>
      <c r="FB155" s="22"/>
      <c r="FC155" s="22"/>
      <c r="FD155" s="22"/>
      <c r="FE155" s="22"/>
      <c r="FF155" s="22"/>
      <c r="FG155" s="22"/>
      <c r="FH155" s="22"/>
      <c r="FI155" s="22"/>
      <c r="FJ155" s="22"/>
      <c r="FK155" s="22"/>
      <c r="FL155" s="22"/>
      <c r="FM155" s="22"/>
      <c r="FN155" s="22"/>
      <c r="FO155" s="22"/>
      <c r="FP155" s="22"/>
      <c r="FQ155" s="22"/>
      <c r="FR155" s="22"/>
      <c r="FS155" s="22"/>
      <c r="FT155" s="22"/>
      <c r="FU155" s="22"/>
      <c r="FV155" s="22"/>
      <c r="FW155" s="22"/>
      <c r="FX155" s="22"/>
      <c r="FY155" s="22"/>
      <c r="FZ155" s="22"/>
      <c r="GA155" s="22"/>
      <c r="GB155" s="22"/>
      <c r="GC155" s="22"/>
      <c r="GD155" s="22"/>
      <c r="GE155" s="22"/>
      <c r="GF155" s="22"/>
      <c r="GG155" s="22"/>
      <c r="GH155" s="22"/>
      <c r="GI155" s="22"/>
      <c r="GJ155" s="22"/>
      <c r="GK155" s="22"/>
      <c r="GL155" s="22"/>
      <c r="GM155" s="22"/>
      <c r="GN155" s="22"/>
      <c r="GO155" s="22"/>
      <c r="GP155" s="22"/>
      <c r="GQ155" s="22"/>
      <c r="GR155" s="22"/>
      <c r="GS155" s="22"/>
      <c r="GT155" s="22"/>
      <c r="GU155" s="22"/>
      <c r="GV155" s="22"/>
      <c r="GW155" s="22"/>
      <c r="GX155" s="22"/>
      <c r="GY155" s="22"/>
      <c r="GZ155" s="22"/>
      <c r="HA155" s="22"/>
      <c r="HB155" s="22"/>
      <c r="HC155" s="22"/>
    </row>
    <row r="156" spans="1:211" ht="15" customHeight="1" x14ac:dyDescent="0.2">
      <c r="A156" s="22"/>
      <c r="B156" s="14"/>
      <c r="C156" s="73"/>
      <c r="D156" s="46"/>
      <c r="E156" s="46"/>
      <c r="F156" s="120"/>
      <c r="G156" s="120"/>
      <c r="H156" s="47"/>
      <c r="I156" s="116"/>
      <c r="J156" s="45"/>
      <c r="K156" s="45"/>
      <c r="L156" s="73"/>
      <c r="M156" s="118"/>
      <c r="N156" s="119"/>
      <c r="O156" s="113"/>
      <c r="P156" s="115"/>
      <c r="Q156"/>
      <c r="R156"/>
      <c r="S156" s="114"/>
      <c r="T156" s="110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2"/>
      <c r="BO156" s="22"/>
      <c r="BP156" s="22"/>
      <c r="BQ156" s="22"/>
      <c r="BR156" s="22"/>
      <c r="BS156" s="22"/>
      <c r="BT156" s="22"/>
      <c r="BU156" s="22"/>
      <c r="BV156" s="22"/>
      <c r="BW156" s="22"/>
      <c r="BX156" s="22"/>
      <c r="BY156" s="22"/>
      <c r="BZ156" s="22"/>
      <c r="CA156" s="22"/>
      <c r="CB156" s="22"/>
      <c r="CC156" s="22"/>
      <c r="CD156" s="22"/>
      <c r="CE156" s="22"/>
      <c r="CF156" s="22"/>
      <c r="CG156" s="22"/>
      <c r="CH156" s="22"/>
      <c r="CI156" s="22"/>
      <c r="CJ156" s="22"/>
      <c r="CK156" s="22"/>
      <c r="CL156" s="22"/>
      <c r="CM156" s="22"/>
      <c r="CN156" s="22"/>
      <c r="CO156" s="22"/>
      <c r="CP156" s="22"/>
      <c r="CQ156" s="22"/>
      <c r="CR156" s="22"/>
      <c r="CS156" s="22"/>
      <c r="CT156" s="22"/>
      <c r="CU156" s="22"/>
      <c r="CV156" s="22"/>
      <c r="CW156" s="22"/>
      <c r="CX156" s="22"/>
      <c r="CY156" s="22"/>
      <c r="CZ156" s="22"/>
      <c r="DA156" s="22"/>
      <c r="DB156" s="22"/>
      <c r="DC156" s="22"/>
      <c r="DD156" s="22"/>
      <c r="DE156" s="22"/>
      <c r="DF156" s="22"/>
      <c r="DG156" s="22"/>
      <c r="DH156" s="22"/>
      <c r="DI156" s="22"/>
      <c r="DJ156" s="22"/>
      <c r="DK156" s="22"/>
      <c r="DL156" s="22"/>
      <c r="DM156" s="22"/>
      <c r="DN156" s="22"/>
      <c r="DO156" s="22"/>
      <c r="DP156" s="22"/>
      <c r="DQ156" s="22"/>
      <c r="DR156" s="22"/>
      <c r="DS156" s="22"/>
      <c r="DT156" s="22"/>
      <c r="DU156" s="22"/>
      <c r="DV156" s="22"/>
      <c r="DW156" s="22"/>
      <c r="DX156" s="22"/>
      <c r="DY156" s="22"/>
      <c r="DZ156" s="22"/>
      <c r="EA156" s="22"/>
      <c r="EB156" s="22"/>
      <c r="EC156" s="22"/>
      <c r="ED156" s="22"/>
      <c r="EE156" s="22"/>
      <c r="EF156" s="22"/>
      <c r="EG156" s="22"/>
      <c r="EH156" s="22"/>
      <c r="EI156" s="22"/>
      <c r="EJ156" s="22"/>
      <c r="EK156" s="22"/>
      <c r="EL156" s="22"/>
      <c r="EM156" s="22"/>
      <c r="EN156" s="22"/>
      <c r="EO156" s="22"/>
      <c r="EP156" s="22"/>
      <c r="EQ156" s="22"/>
      <c r="ER156" s="22"/>
      <c r="ES156" s="22"/>
      <c r="ET156" s="22"/>
      <c r="EU156" s="22"/>
      <c r="EV156" s="22"/>
      <c r="EW156" s="22"/>
      <c r="EX156" s="22"/>
      <c r="EY156" s="22"/>
      <c r="EZ156" s="22"/>
      <c r="FA156" s="22"/>
      <c r="FB156" s="22"/>
      <c r="FC156" s="22"/>
      <c r="FD156" s="22"/>
      <c r="FE156" s="22"/>
      <c r="FF156" s="22"/>
      <c r="FG156" s="22"/>
      <c r="FH156" s="22"/>
      <c r="FI156" s="22"/>
      <c r="FJ156" s="22"/>
      <c r="FK156" s="22"/>
      <c r="FL156" s="22"/>
      <c r="FM156" s="22"/>
      <c r="FN156" s="22"/>
      <c r="FO156" s="22"/>
      <c r="FP156" s="22"/>
      <c r="FQ156" s="22"/>
      <c r="FR156" s="22"/>
      <c r="FS156" s="22"/>
      <c r="FT156" s="22"/>
      <c r="FU156" s="22"/>
      <c r="FV156" s="22"/>
      <c r="FW156" s="22"/>
      <c r="FX156" s="22"/>
      <c r="FY156" s="22"/>
      <c r="FZ156" s="22"/>
      <c r="GA156" s="22"/>
      <c r="GB156" s="22"/>
      <c r="GC156" s="22"/>
      <c r="GD156" s="22"/>
      <c r="GE156" s="22"/>
      <c r="GF156" s="22"/>
      <c r="GG156" s="22"/>
      <c r="GH156" s="22"/>
      <c r="GI156" s="22"/>
      <c r="GJ156" s="22"/>
      <c r="GK156" s="22"/>
      <c r="GL156" s="22"/>
      <c r="GM156" s="22"/>
      <c r="GN156" s="22"/>
      <c r="GO156" s="22"/>
      <c r="GP156" s="22"/>
      <c r="GQ156" s="22"/>
      <c r="GR156" s="22"/>
      <c r="GS156" s="22"/>
      <c r="GT156" s="22"/>
      <c r="GU156" s="22"/>
      <c r="GV156" s="22"/>
      <c r="GW156" s="22"/>
      <c r="GX156" s="22"/>
      <c r="GY156" s="22"/>
      <c r="GZ156" s="22"/>
      <c r="HA156" s="22"/>
      <c r="HB156" s="22"/>
      <c r="HC156" s="22"/>
    </row>
    <row r="157" spans="1:211" ht="15" customHeight="1" x14ac:dyDescent="0.2">
      <c r="A157" s="22"/>
      <c r="B157" s="14"/>
      <c r="C157" s="73"/>
      <c r="D157" s="46"/>
      <c r="E157" s="46"/>
      <c r="F157" s="120"/>
      <c r="G157" s="120"/>
      <c r="H157" s="47"/>
      <c r="I157" s="116"/>
      <c r="J157" s="45"/>
      <c r="K157" s="45"/>
      <c r="L157" s="73"/>
      <c r="M157" s="118"/>
      <c r="N157" s="119"/>
      <c r="O157" s="113"/>
      <c r="P157" s="115"/>
      <c r="Q157"/>
      <c r="R157"/>
      <c r="S157" s="114"/>
      <c r="T157" s="110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2"/>
      <c r="BO157" s="22"/>
      <c r="BP157" s="22"/>
      <c r="BQ157" s="22"/>
      <c r="BR157" s="22"/>
      <c r="BS157" s="22"/>
      <c r="BT157" s="22"/>
      <c r="BU157" s="22"/>
      <c r="BV157" s="22"/>
      <c r="BW157" s="22"/>
      <c r="BX157" s="22"/>
      <c r="BY157" s="22"/>
      <c r="BZ157" s="22"/>
      <c r="CA157" s="22"/>
      <c r="CB157" s="22"/>
      <c r="CC157" s="22"/>
      <c r="CD157" s="22"/>
      <c r="CE157" s="22"/>
      <c r="CF157" s="22"/>
      <c r="CG157" s="22"/>
      <c r="CH157" s="22"/>
      <c r="CI157" s="22"/>
      <c r="CJ157" s="22"/>
      <c r="CK157" s="22"/>
      <c r="CL157" s="22"/>
      <c r="CM157" s="22"/>
      <c r="CN157" s="22"/>
      <c r="CO157" s="22"/>
      <c r="CP157" s="22"/>
      <c r="CQ157" s="22"/>
      <c r="CR157" s="22"/>
      <c r="CS157" s="22"/>
      <c r="CT157" s="22"/>
      <c r="CU157" s="22"/>
      <c r="CV157" s="22"/>
      <c r="CW157" s="22"/>
      <c r="CX157" s="22"/>
      <c r="CY157" s="22"/>
      <c r="CZ157" s="22"/>
      <c r="DA157" s="22"/>
      <c r="DB157" s="22"/>
      <c r="DC157" s="22"/>
      <c r="DD157" s="22"/>
      <c r="DE157" s="22"/>
      <c r="DF157" s="22"/>
      <c r="DG157" s="22"/>
      <c r="DH157" s="22"/>
      <c r="DI157" s="22"/>
      <c r="DJ157" s="22"/>
      <c r="DK157" s="22"/>
      <c r="DL157" s="22"/>
      <c r="DM157" s="22"/>
      <c r="DN157" s="22"/>
      <c r="DO157" s="22"/>
      <c r="DP157" s="22"/>
      <c r="DQ157" s="22"/>
      <c r="DR157" s="22"/>
      <c r="DS157" s="22"/>
      <c r="DT157" s="22"/>
      <c r="DU157" s="22"/>
      <c r="DV157" s="22"/>
      <c r="DW157" s="22"/>
      <c r="DX157" s="22"/>
      <c r="DY157" s="22"/>
      <c r="DZ157" s="22"/>
      <c r="EA157" s="22"/>
      <c r="EB157" s="22"/>
      <c r="EC157" s="22"/>
      <c r="ED157" s="22"/>
      <c r="EE157" s="22"/>
      <c r="EF157" s="22"/>
      <c r="EG157" s="22"/>
      <c r="EH157" s="22"/>
      <c r="EI157" s="22"/>
      <c r="EJ157" s="22"/>
      <c r="EK157" s="22"/>
      <c r="EL157" s="22"/>
      <c r="EM157" s="22"/>
      <c r="EN157" s="22"/>
      <c r="EO157" s="22"/>
      <c r="EP157" s="22"/>
      <c r="EQ157" s="22"/>
      <c r="ER157" s="22"/>
      <c r="ES157" s="22"/>
      <c r="ET157" s="22"/>
      <c r="EU157" s="22"/>
      <c r="EV157" s="22"/>
      <c r="EW157" s="22"/>
      <c r="EX157" s="22"/>
      <c r="EY157" s="22"/>
      <c r="EZ157" s="22"/>
      <c r="FA157" s="22"/>
      <c r="FB157" s="22"/>
      <c r="FC157" s="22"/>
      <c r="FD157" s="22"/>
      <c r="FE157" s="22"/>
      <c r="FF157" s="22"/>
      <c r="FG157" s="22"/>
      <c r="FH157" s="22"/>
      <c r="FI157" s="22"/>
      <c r="FJ157" s="22"/>
      <c r="FK157" s="22"/>
      <c r="FL157" s="22"/>
      <c r="FM157" s="22"/>
      <c r="FN157" s="22"/>
      <c r="FO157" s="22"/>
      <c r="FP157" s="22"/>
      <c r="FQ157" s="22"/>
      <c r="FR157" s="22"/>
      <c r="FS157" s="22"/>
      <c r="FT157" s="22"/>
      <c r="FU157" s="22"/>
      <c r="FV157" s="22"/>
      <c r="FW157" s="22"/>
      <c r="FX157" s="22"/>
      <c r="FY157" s="22"/>
      <c r="FZ157" s="22"/>
      <c r="GA157" s="22"/>
      <c r="GB157" s="22"/>
      <c r="GC157" s="22"/>
      <c r="GD157" s="22"/>
      <c r="GE157" s="22"/>
      <c r="GF157" s="22"/>
      <c r="GG157" s="22"/>
      <c r="GH157" s="22"/>
      <c r="GI157" s="22"/>
      <c r="GJ157" s="22"/>
      <c r="GK157" s="22"/>
      <c r="GL157" s="22"/>
      <c r="GM157" s="22"/>
      <c r="GN157" s="22"/>
      <c r="GO157" s="22"/>
      <c r="GP157" s="22"/>
      <c r="GQ157" s="22"/>
      <c r="GR157" s="22"/>
      <c r="GS157" s="22"/>
      <c r="GT157" s="22"/>
      <c r="GU157" s="22"/>
      <c r="GV157" s="22"/>
      <c r="GW157" s="22"/>
      <c r="GX157" s="22"/>
      <c r="GY157" s="22"/>
      <c r="GZ157" s="22"/>
      <c r="HA157" s="22"/>
      <c r="HB157" s="22"/>
      <c r="HC157" s="22"/>
    </row>
    <row r="158" spans="1:211" ht="15" customHeight="1" x14ac:dyDescent="0.2">
      <c r="A158" s="22"/>
      <c r="B158" s="14"/>
      <c r="C158" s="73"/>
      <c r="D158" s="46"/>
      <c r="E158" s="46"/>
      <c r="F158" s="120"/>
      <c r="G158" s="120"/>
      <c r="H158" s="47"/>
      <c r="I158" s="116"/>
      <c r="J158" s="45"/>
      <c r="K158" s="73"/>
      <c r="L158" s="73"/>
      <c r="M158" s="118"/>
      <c r="N158" s="119"/>
      <c r="O158" s="113"/>
      <c r="P158" s="115"/>
      <c r="Q158"/>
      <c r="R158"/>
      <c r="S158" s="114"/>
      <c r="T158" s="110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2"/>
      <c r="BO158" s="22"/>
      <c r="BP158" s="22"/>
      <c r="BQ158" s="22"/>
      <c r="BR158" s="22"/>
      <c r="BS158" s="22"/>
      <c r="BT158" s="22"/>
      <c r="BU158" s="22"/>
      <c r="BV158" s="22"/>
      <c r="BW158" s="22"/>
      <c r="BX158" s="22"/>
      <c r="BY158" s="22"/>
      <c r="BZ158" s="22"/>
      <c r="CA158" s="22"/>
      <c r="CB158" s="22"/>
      <c r="CC158" s="22"/>
      <c r="CD158" s="22"/>
      <c r="CE158" s="22"/>
      <c r="CF158" s="22"/>
      <c r="CG158" s="22"/>
      <c r="CH158" s="22"/>
      <c r="CI158" s="22"/>
      <c r="CJ158" s="22"/>
      <c r="CK158" s="22"/>
      <c r="CL158" s="22"/>
      <c r="CM158" s="22"/>
      <c r="CN158" s="22"/>
      <c r="CO158" s="22"/>
      <c r="CP158" s="22"/>
      <c r="CQ158" s="22"/>
      <c r="CR158" s="22"/>
      <c r="CS158" s="22"/>
      <c r="CT158" s="22"/>
      <c r="CU158" s="22"/>
      <c r="CV158" s="22"/>
      <c r="CW158" s="22"/>
      <c r="CX158" s="22"/>
      <c r="CY158" s="22"/>
      <c r="CZ158" s="22"/>
      <c r="DA158" s="22"/>
      <c r="DB158" s="22"/>
      <c r="DC158" s="22"/>
      <c r="DD158" s="22"/>
      <c r="DE158" s="22"/>
      <c r="DF158" s="22"/>
      <c r="DG158" s="22"/>
      <c r="DH158" s="22"/>
      <c r="DI158" s="22"/>
      <c r="DJ158" s="22"/>
      <c r="DK158" s="22"/>
      <c r="DL158" s="22"/>
      <c r="DM158" s="22"/>
      <c r="DN158" s="22"/>
      <c r="DO158" s="22"/>
      <c r="DP158" s="22"/>
      <c r="DQ158" s="22"/>
      <c r="DR158" s="22"/>
      <c r="DS158" s="22"/>
      <c r="DT158" s="22"/>
      <c r="DU158" s="22"/>
      <c r="DV158" s="22"/>
      <c r="DW158" s="22"/>
      <c r="DX158" s="22"/>
      <c r="DY158" s="22"/>
      <c r="DZ158" s="22"/>
      <c r="EA158" s="22"/>
      <c r="EB158" s="22"/>
      <c r="EC158" s="22"/>
      <c r="ED158" s="22"/>
      <c r="EE158" s="22"/>
      <c r="EF158" s="22"/>
      <c r="EG158" s="22"/>
      <c r="EH158" s="22"/>
      <c r="EI158" s="22"/>
      <c r="EJ158" s="22"/>
      <c r="EK158" s="22"/>
      <c r="EL158" s="22"/>
      <c r="EM158" s="22"/>
      <c r="EN158" s="22"/>
      <c r="EO158" s="22"/>
      <c r="EP158" s="22"/>
      <c r="EQ158" s="22"/>
      <c r="ER158" s="22"/>
      <c r="ES158" s="22"/>
      <c r="ET158" s="22"/>
      <c r="EU158" s="22"/>
      <c r="EV158" s="22"/>
      <c r="EW158" s="22"/>
      <c r="EX158" s="22"/>
      <c r="EY158" s="22"/>
      <c r="EZ158" s="22"/>
      <c r="FA158" s="22"/>
      <c r="FB158" s="22"/>
      <c r="FC158" s="22"/>
      <c r="FD158" s="22"/>
      <c r="FE158" s="22"/>
      <c r="FF158" s="22"/>
      <c r="FG158" s="22"/>
      <c r="FH158" s="22"/>
      <c r="FI158" s="22"/>
      <c r="FJ158" s="22"/>
      <c r="FK158" s="22"/>
      <c r="FL158" s="22"/>
      <c r="FM158" s="22"/>
      <c r="FN158" s="22"/>
      <c r="FO158" s="22"/>
      <c r="FP158" s="22"/>
      <c r="FQ158" s="22"/>
      <c r="FR158" s="22"/>
      <c r="FS158" s="22"/>
      <c r="FT158" s="22"/>
      <c r="FU158" s="22"/>
      <c r="FV158" s="22"/>
      <c r="FW158" s="22"/>
      <c r="FX158" s="22"/>
      <c r="FY158" s="22"/>
      <c r="FZ158" s="22"/>
      <c r="GA158" s="22"/>
      <c r="GB158" s="22"/>
      <c r="GC158" s="22"/>
      <c r="GD158" s="22"/>
      <c r="GE158" s="22"/>
      <c r="GF158" s="22"/>
      <c r="GG158" s="22"/>
      <c r="GH158" s="22"/>
      <c r="GI158" s="22"/>
      <c r="GJ158" s="22"/>
      <c r="GK158" s="22"/>
      <c r="GL158" s="22"/>
      <c r="GM158" s="22"/>
      <c r="GN158" s="22"/>
      <c r="GO158" s="22"/>
      <c r="GP158" s="22"/>
      <c r="GQ158" s="22"/>
      <c r="GR158" s="22"/>
      <c r="GS158" s="22"/>
      <c r="GT158" s="22"/>
      <c r="GU158" s="22"/>
      <c r="GV158" s="22"/>
      <c r="GW158" s="22"/>
      <c r="GX158" s="22"/>
      <c r="GY158" s="22"/>
      <c r="GZ158" s="22"/>
      <c r="HA158" s="22"/>
      <c r="HB158" s="22"/>
      <c r="HC158" s="22"/>
    </row>
    <row r="159" spans="1:211" ht="15" customHeight="1" x14ac:dyDescent="0.2">
      <c r="A159" s="22"/>
      <c r="B159" s="14"/>
      <c r="C159" s="73"/>
      <c r="D159" s="46"/>
      <c r="E159" s="46"/>
      <c r="F159" s="120"/>
      <c r="G159" s="120"/>
      <c r="H159" s="47"/>
      <c r="I159" s="116"/>
      <c r="J159" s="45"/>
      <c r="K159" s="73"/>
      <c r="L159" s="73"/>
      <c r="M159" s="118"/>
      <c r="N159" s="119"/>
      <c r="O159" s="113"/>
      <c r="P159" s="115"/>
      <c r="Q159"/>
      <c r="R159"/>
      <c r="S159" s="114"/>
      <c r="T159" s="110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2"/>
      <c r="BO159" s="22"/>
      <c r="BP159" s="22"/>
      <c r="BQ159" s="22"/>
      <c r="BR159" s="22"/>
      <c r="BS159" s="22"/>
      <c r="BT159" s="22"/>
      <c r="BU159" s="22"/>
      <c r="BV159" s="22"/>
      <c r="BW159" s="22"/>
      <c r="BX159" s="22"/>
      <c r="BY159" s="22"/>
      <c r="BZ159" s="22"/>
      <c r="CA159" s="22"/>
      <c r="CB159" s="22"/>
      <c r="CC159" s="22"/>
      <c r="CD159" s="22"/>
      <c r="CE159" s="22"/>
      <c r="CF159" s="22"/>
      <c r="CG159" s="22"/>
      <c r="CH159" s="22"/>
      <c r="CI159" s="22"/>
      <c r="CJ159" s="22"/>
      <c r="CK159" s="22"/>
      <c r="CL159" s="22"/>
      <c r="CM159" s="22"/>
      <c r="CN159" s="22"/>
      <c r="CO159" s="22"/>
      <c r="CP159" s="22"/>
      <c r="CQ159" s="22"/>
      <c r="CR159" s="22"/>
      <c r="CS159" s="22"/>
      <c r="CT159" s="22"/>
      <c r="CU159" s="22"/>
      <c r="CV159" s="22"/>
      <c r="CW159" s="22"/>
      <c r="CX159" s="22"/>
      <c r="CY159" s="22"/>
      <c r="CZ159" s="22"/>
      <c r="DA159" s="22"/>
      <c r="DB159" s="22"/>
      <c r="DC159" s="22"/>
      <c r="DD159" s="22"/>
      <c r="DE159" s="22"/>
      <c r="DF159" s="22"/>
      <c r="DG159" s="22"/>
      <c r="DH159" s="22"/>
      <c r="DI159" s="22"/>
      <c r="DJ159" s="22"/>
      <c r="DK159" s="22"/>
      <c r="DL159" s="22"/>
      <c r="DM159" s="22"/>
      <c r="DN159" s="22"/>
      <c r="DO159" s="22"/>
      <c r="DP159" s="22"/>
      <c r="DQ159" s="22"/>
      <c r="DR159" s="22"/>
      <c r="DS159" s="22"/>
      <c r="DT159" s="22"/>
      <c r="DU159" s="22"/>
      <c r="DV159" s="22"/>
      <c r="DW159" s="22"/>
      <c r="DX159" s="22"/>
      <c r="DY159" s="22"/>
      <c r="DZ159" s="22"/>
      <c r="EA159" s="22"/>
      <c r="EB159" s="22"/>
      <c r="EC159" s="22"/>
      <c r="ED159" s="22"/>
      <c r="EE159" s="22"/>
      <c r="EF159" s="22"/>
      <c r="EG159" s="22"/>
      <c r="EH159" s="22"/>
      <c r="EI159" s="22"/>
      <c r="EJ159" s="22"/>
      <c r="EK159" s="22"/>
      <c r="EL159" s="22"/>
      <c r="EM159" s="22"/>
      <c r="EN159" s="22"/>
      <c r="EO159" s="22"/>
      <c r="EP159" s="22"/>
      <c r="EQ159" s="22"/>
      <c r="ER159" s="22"/>
      <c r="ES159" s="22"/>
      <c r="ET159" s="22"/>
      <c r="EU159" s="22"/>
      <c r="EV159" s="22"/>
      <c r="EW159" s="22"/>
      <c r="EX159" s="22"/>
      <c r="EY159" s="22"/>
      <c r="EZ159" s="22"/>
      <c r="FA159" s="22"/>
      <c r="FB159" s="22"/>
      <c r="FC159" s="22"/>
      <c r="FD159" s="22"/>
      <c r="FE159" s="22"/>
      <c r="FF159" s="22"/>
      <c r="FG159" s="22"/>
      <c r="FH159" s="22"/>
      <c r="FI159" s="22"/>
      <c r="FJ159" s="22"/>
      <c r="FK159" s="22"/>
      <c r="FL159" s="22"/>
      <c r="FM159" s="22"/>
      <c r="FN159" s="22"/>
      <c r="FO159" s="22"/>
      <c r="FP159" s="22"/>
      <c r="FQ159" s="22"/>
      <c r="FR159" s="22"/>
      <c r="FS159" s="22"/>
      <c r="FT159" s="22"/>
      <c r="FU159" s="22"/>
      <c r="FV159" s="22"/>
      <c r="FW159" s="22"/>
      <c r="FX159" s="22"/>
      <c r="FY159" s="22"/>
      <c r="FZ159" s="22"/>
      <c r="GA159" s="22"/>
      <c r="GB159" s="22"/>
      <c r="GC159" s="22"/>
      <c r="GD159" s="22"/>
      <c r="GE159" s="22"/>
      <c r="GF159" s="22"/>
      <c r="GG159" s="22"/>
      <c r="GH159" s="22"/>
      <c r="GI159" s="22"/>
      <c r="GJ159" s="22"/>
      <c r="GK159" s="22"/>
      <c r="GL159" s="22"/>
      <c r="GM159" s="22"/>
      <c r="GN159" s="22"/>
      <c r="GO159" s="22"/>
      <c r="GP159" s="22"/>
      <c r="GQ159" s="22"/>
      <c r="GR159" s="22"/>
      <c r="GS159" s="22"/>
      <c r="GT159" s="22"/>
      <c r="GU159" s="22"/>
      <c r="GV159" s="22"/>
      <c r="GW159" s="22"/>
      <c r="GX159" s="22"/>
      <c r="GY159" s="22"/>
      <c r="GZ159" s="22"/>
      <c r="HA159" s="22"/>
      <c r="HB159" s="22"/>
      <c r="HC159" s="22"/>
    </row>
    <row r="160" spans="1:211" ht="15" customHeight="1" x14ac:dyDescent="0.2">
      <c r="A160" s="22"/>
      <c r="B160" s="14"/>
      <c r="C160" s="73"/>
      <c r="D160" s="46"/>
      <c r="E160" s="46"/>
      <c r="F160" s="120"/>
      <c r="G160" s="120"/>
      <c r="H160" s="47"/>
      <c r="I160" s="116"/>
      <c r="J160" s="45"/>
      <c r="K160" s="45"/>
      <c r="L160" s="73"/>
      <c r="M160" s="118"/>
      <c r="N160" s="119"/>
      <c r="O160" s="113"/>
      <c r="P160" s="115"/>
      <c r="Q160"/>
      <c r="R160"/>
      <c r="S160" s="114"/>
      <c r="T160" s="110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  <c r="BS160" s="22"/>
      <c r="BT160" s="22"/>
      <c r="BU160" s="22"/>
      <c r="BV160" s="22"/>
      <c r="BW160" s="22"/>
      <c r="BX160" s="22"/>
      <c r="BY160" s="22"/>
      <c r="BZ160" s="22"/>
      <c r="CA160" s="22"/>
      <c r="CB160" s="22"/>
      <c r="CC160" s="22"/>
      <c r="CD160" s="22"/>
      <c r="CE160" s="22"/>
      <c r="CF160" s="22"/>
      <c r="CG160" s="22"/>
      <c r="CH160" s="22"/>
      <c r="CI160" s="22"/>
      <c r="CJ160" s="22"/>
      <c r="CK160" s="22"/>
      <c r="CL160" s="22"/>
      <c r="CM160" s="22"/>
      <c r="CN160" s="22"/>
      <c r="CO160" s="22"/>
      <c r="CP160" s="22"/>
      <c r="CQ160" s="22"/>
      <c r="CR160" s="22"/>
      <c r="CS160" s="22"/>
      <c r="CT160" s="22"/>
      <c r="CU160" s="22"/>
      <c r="CV160" s="22"/>
      <c r="CW160" s="22"/>
      <c r="CX160" s="22"/>
      <c r="CY160" s="22"/>
      <c r="CZ160" s="22"/>
      <c r="DA160" s="22"/>
      <c r="DB160" s="22"/>
      <c r="DC160" s="22"/>
      <c r="DD160" s="22"/>
      <c r="DE160" s="22"/>
      <c r="DF160" s="22"/>
      <c r="DG160" s="22"/>
      <c r="DH160" s="22"/>
      <c r="DI160" s="22"/>
      <c r="DJ160" s="22"/>
      <c r="DK160" s="22"/>
      <c r="DL160" s="22"/>
      <c r="DM160" s="22"/>
      <c r="DN160" s="22"/>
      <c r="DO160" s="22"/>
      <c r="DP160" s="22"/>
      <c r="DQ160" s="22"/>
      <c r="DR160" s="22"/>
      <c r="DS160" s="22"/>
      <c r="DT160" s="22"/>
      <c r="DU160" s="22"/>
      <c r="DV160" s="22"/>
      <c r="DW160" s="22"/>
      <c r="DX160" s="22"/>
      <c r="DY160" s="22"/>
      <c r="DZ160" s="22"/>
      <c r="EA160" s="22"/>
      <c r="EB160" s="22"/>
      <c r="EC160" s="22"/>
      <c r="ED160" s="22"/>
      <c r="EE160" s="22"/>
      <c r="EF160" s="22"/>
      <c r="EG160" s="22"/>
      <c r="EH160" s="22"/>
      <c r="EI160" s="22"/>
      <c r="EJ160" s="22"/>
      <c r="EK160" s="22"/>
      <c r="EL160" s="22"/>
      <c r="EM160" s="22"/>
      <c r="EN160" s="22"/>
      <c r="EO160" s="22"/>
      <c r="EP160" s="22"/>
      <c r="EQ160" s="22"/>
      <c r="ER160" s="22"/>
      <c r="ES160" s="22"/>
      <c r="ET160" s="22"/>
      <c r="EU160" s="22"/>
      <c r="EV160" s="22"/>
      <c r="EW160" s="22"/>
      <c r="EX160" s="22"/>
      <c r="EY160" s="22"/>
      <c r="EZ160" s="22"/>
      <c r="FA160" s="22"/>
      <c r="FB160" s="22"/>
      <c r="FC160" s="22"/>
      <c r="FD160" s="22"/>
      <c r="FE160" s="22"/>
      <c r="FF160" s="22"/>
      <c r="FG160" s="22"/>
      <c r="FH160" s="22"/>
      <c r="FI160" s="22"/>
      <c r="FJ160" s="22"/>
      <c r="FK160" s="22"/>
      <c r="FL160" s="22"/>
      <c r="FM160" s="22"/>
      <c r="FN160" s="22"/>
      <c r="FO160" s="22"/>
      <c r="FP160" s="22"/>
      <c r="FQ160" s="22"/>
      <c r="FR160" s="22"/>
      <c r="FS160" s="22"/>
      <c r="FT160" s="22"/>
      <c r="FU160" s="22"/>
      <c r="FV160" s="22"/>
      <c r="FW160" s="22"/>
      <c r="FX160" s="22"/>
      <c r="FY160" s="22"/>
      <c r="FZ160" s="22"/>
      <c r="GA160" s="22"/>
      <c r="GB160" s="22"/>
      <c r="GC160" s="22"/>
      <c r="GD160" s="22"/>
      <c r="GE160" s="22"/>
      <c r="GF160" s="22"/>
      <c r="GG160" s="22"/>
      <c r="GH160" s="22"/>
      <c r="GI160" s="22"/>
      <c r="GJ160" s="22"/>
      <c r="GK160" s="22"/>
      <c r="GL160" s="22"/>
      <c r="GM160" s="22"/>
      <c r="GN160" s="22"/>
      <c r="GO160" s="22"/>
      <c r="GP160" s="22"/>
      <c r="GQ160" s="22"/>
      <c r="GR160" s="22"/>
      <c r="GS160" s="22"/>
      <c r="GT160" s="22"/>
      <c r="GU160" s="22"/>
      <c r="GV160" s="22"/>
      <c r="GW160" s="22"/>
      <c r="GX160" s="22"/>
      <c r="GY160" s="22"/>
      <c r="GZ160" s="22"/>
      <c r="HA160" s="22"/>
      <c r="HB160" s="22"/>
      <c r="HC160" s="22"/>
    </row>
    <row r="161" spans="1:211" ht="15" customHeight="1" x14ac:dyDescent="0.2">
      <c r="A161" s="22"/>
      <c r="B161" s="14"/>
      <c r="C161" s="73"/>
      <c r="D161" s="46"/>
      <c r="E161" s="46"/>
      <c r="F161" s="120"/>
      <c r="G161" s="120"/>
      <c r="H161" s="47"/>
      <c r="I161" s="116"/>
      <c r="J161" s="45"/>
      <c r="K161" s="45"/>
      <c r="L161" s="73"/>
      <c r="M161" s="118"/>
      <c r="N161" s="119"/>
      <c r="O161" s="113"/>
      <c r="P161" s="115"/>
      <c r="Q161"/>
      <c r="R161"/>
      <c r="S161" s="114"/>
      <c r="T161" s="110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  <c r="BS161" s="22"/>
      <c r="BT161" s="22"/>
      <c r="BU161" s="22"/>
      <c r="BV161" s="22"/>
      <c r="BW161" s="22"/>
      <c r="BX161" s="22"/>
      <c r="BY161" s="22"/>
      <c r="BZ161" s="22"/>
      <c r="CA161" s="22"/>
      <c r="CB161" s="22"/>
      <c r="CC161" s="22"/>
      <c r="CD161" s="22"/>
      <c r="CE161" s="22"/>
      <c r="CF161" s="22"/>
      <c r="CG161" s="22"/>
      <c r="CH161" s="22"/>
      <c r="CI161" s="22"/>
      <c r="CJ161" s="22"/>
      <c r="CK161" s="22"/>
      <c r="CL161" s="22"/>
      <c r="CM161" s="22"/>
      <c r="CN161" s="22"/>
      <c r="CO161" s="22"/>
      <c r="CP161" s="22"/>
      <c r="CQ161" s="22"/>
      <c r="CR161" s="22"/>
      <c r="CS161" s="22"/>
      <c r="CT161" s="22"/>
      <c r="CU161" s="22"/>
      <c r="CV161" s="22"/>
      <c r="CW161" s="22"/>
      <c r="CX161" s="22"/>
      <c r="CY161" s="22"/>
      <c r="CZ161" s="22"/>
      <c r="DA161" s="22"/>
      <c r="DB161" s="22"/>
      <c r="DC161" s="22"/>
      <c r="DD161" s="22"/>
      <c r="DE161" s="22"/>
      <c r="DF161" s="22"/>
      <c r="DG161" s="22"/>
      <c r="DH161" s="22"/>
      <c r="DI161" s="22"/>
      <c r="DJ161" s="22"/>
      <c r="DK161" s="22"/>
      <c r="DL161" s="22"/>
      <c r="DM161" s="22"/>
      <c r="DN161" s="22"/>
      <c r="DO161" s="22"/>
      <c r="DP161" s="22"/>
      <c r="DQ161" s="22"/>
      <c r="DR161" s="22"/>
      <c r="DS161" s="22"/>
      <c r="DT161" s="22"/>
      <c r="DU161" s="22"/>
      <c r="DV161" s="22"/>
      <c r="DW161" s="22"/>
      <c r="DX161" s="22"/>
      <c r="DY161" s="22"/>
      <c r="DZ161" s="22"/>
      <c r="EA161" s="22"/>
      <c r="EB161" s="22"/>
      <c r="EC161" s="22"/>
      <c r="ED161" s="22"/>
      <c r="EE161" s="22"/>
      <c r="EF161" s="22"/>
      <c r="EG161" s="22"/>
      <c r="EH161" s="22"/>
      <c r="EI161" s="22"/>
      <c r="EJ161" s="22"/>
      <c r="EK161" s="22"/>
      <c r="EL161" s="22"/>
      <c r="EM161" s="22"/>
      <c r="EN161" s="22"/>
      <c r="EO161" s="22"/>
      <c r="EP161" s="22"/>
      <c r="EQ161" s="22"/>
      <c r="ER161" s="22"/>
      <c r="ES161" s="22"/>
      <c r="ET161" s="22"/>
      <c r="EU161" s="22"/>
      <c r="EV161" s="22"/>
      <c r="EW161" s="22"/>
      <c r="EX161" s="22"/>
      <c r="EY161" s="22"/>
      <c r="EZ161" s="22"/>
      <c r="FA161" s="22"/>
      <c r="FB161" s="22"/>
      <c r="FC161" s="22"/>
      <c r="FD161" s="22"/>
      <c r="FE161" s="22"/>
      <c r="FF161" s="22"/>
      <c r="FG161" s="22"/>
      <c r="FH161" s="22"/>
      <c r="FI161" s="22"/>
      <c r="FJ161" s="22"/>
      <c r="FK161" s="22"/>
      <c r="FL161" s="22"/>
      <c r="FM161" s="22"/>
      <c r="FN161" s="22"/>
      <c r="FO161" s="22"/>
      <c r="FP161" s="22"/>
      <c r="FQ161" s="22"/>
      <c r="FR161" s="22"/>
      <c r="FS161" s="22"/>
      <c r="FT161" s="22"/>
      <c r="FU161" s="22"/>
      <c r="FV161" s="22"/>
      <c r="FW161" s="22"/>
      <c r="FX161" s="22"/>
      <c r="FY161" s="22"/>
      <c r="FZ161" s="22"/>
      <c r="GA161" s="22"/>
      <c r="GB161" s="22"/>
      <c r="GC161" s="22"/>
      <c r="GD161" s="22"/>
      <c r="GE161" s="22"/>
      <c r="GF161" s="22"/>
      <c r="GG161" s="22"/>
      <c r="GH161" s="22"/>
      <c r="GI161" s="22"/>
      <c r="GJ161" s="22"/>
      <c r="GK161" s="22"/>
      <c r="GL161" s="22"/>
      <c r="GM161" s="22"/>
      <c r="GN161" s="22"/>
      <c r="GO161" s="22"/>
      <c r="GP161" s="22"/>
      <c r="GQ161" s="22"/>
      <c r="GR161" s="22"/>
      <c r="GS161" s="22"/>
      <c r="GT161" s="22"/>
      <c r="GU161" s="22"/>
      <c r="GV161" s="22"/>
      <c r="GW161" s="22"/>
      <c r="GX161" s="22"/>
      <c r="GY161" s="22"/>
      <c r="GZ161" s="22"/>
      <c r="HA161" s="22"/>
      <c r="HB161" s="22"/>
      <c r="HC161" s="22"/>
    </row>
    <row r="162" spans="1:211" ht="15" customHeight="1" x14ac:dyDescent="0.2">
      <c r="A162" s="22"/>
      <c r="B162" s="14"/>
      <c r="C162" s="73"/>
      <c r="D162" s="46"/>
      <c r="E162" s="46"/>
      <c r="F162" s="120"/>
      <c r="G162" s="120"/>
      <c r="H162" s="47"/>
      <c r="I162" s="116"/>
      <c r="J162" s="45"/>
      <c r="K162" s="73"/>
      <c r="L162" s="73"/>
      <c r="M162" s="118"/>
      <c r="N162" s="119"/>
      <c r="O162" s="113"/>
      <c r="P162" s="115"/>
      <c r="Q162"/>
      <c r="R162"/>
      <c r="S162" s="114"/>
      <c r="T162" s="110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  <c r="BS162" s="22"/>
      <c r="BT162" s="22"/>
      <c r="BU162" s="22"/>
      <c r="BV162" s="22"/>
      <c r="BW162" s="22"/>
      <c r="BX162" s="22"/>
      <c r="BY162" s="22"/>
      <c r="BZ162" s="22"/>
      <c r="CA162" s="22"/>
      <c r="CB162" s="22"/>
      <c r="CC162" s="22"/>
      <c r="CD162" s="22"/>
      <c r="CE162" s="22"/>
      <c r="CF162" s="22"/>
      <c r="CG162" s="22"/>
      <c r="CH162" s="22"/>
      <c r="CI162" s="22"/>
      <c r="CJ162" s="22"/>
      <c r="CK162" s="22"/>
      <c r="CL162" s="22"/>
      <c r="CM162" s="22"/>
      <c r="CN162" s="22"/>
      <c r="CO162" s="22"/>
      <c r="CP162" s="22"/>
      <c r="CQ162" s="22"/>
      <c r="CR162" s="22"/>
      <c r="CS162" s="22"/>
      <c r="CT162" s="22"/>
      <c r="CU162" s="22"/>
      <c r="CV162" s="22"/>
      <c r="CW162" s="22"/>
      <c r="CX162" s="22"/>
      <c r="CY162" s="22"/>
      <c r="CZ162" s="22"/>
      <c r="DA162" s="22"/>
      <c r="DB162" s="22"/>
      <c r="DC162" s="22"/>
      <c r="DD162" s="22"/>
      <c r="DE162" s="22"/>
      <c r="DF162" s="22"/>
      <c r="DG162" s="22"/>
      <c r="DH162" s="22"/>
      <c r="DI162" s="22"/>
      <c r="DJ162" s="22"/>
      <c r="DK162" s="22"/>
      <c r="DL162" s="22"/>
      <c r="DM162" s="22"/>
      <c r="DN162" s="22"/>
      <c r="DO162" s="22"/>
      <c r="DP162" s="22"/>
      <c r="DQ162" s="22"/>
      <c r="DR162" s="22"/>
      <c r="DS162" s="22"/>
      <c r="DT162" s="22"/>
      <c r="DU162" s="22"/>
      <c r="DV162" s="22"/>
      <c r="DW162" s="22"/>
      <c r="DX162" s="22"/>
      <c r="DY162" s="22"/>
      <c r="DZ162" s="22"/>
      <c r="EA162" s="22"/>
      <c r="EB162" s="22"/>
      <c r="EC162" s="22"/>
      <c r="ED162" s="22"/>
      <c r="EE162" s="22"/>
      <c r="EF162" s="22"/>
      <c r="EG162" s="22"/>
      <c r="EH162" s="22"/>
      <c r="EI162" s="22"/>
      <c r="EJ162" s="22"/>
      <c r="EK162" s="22"/>
      <c r="EL162" s="22"/>
      <c r="EM162" s="22"/>
      <c r="EN162" s="22"/>
      <c r="EO162" s="22"/>
      <c r="EP162" s="22"/>
      <c r="EQ162" s="22"/>
      <c r="ER162" s="22"/>
      <c r="ES162" s="22"/>
      <c r="ET162" s="22"/>
      <c r="EU162" s="22"/>
      <c r="EV162" s="22"/>
      <c r="EW162" s="22"/>
      <c r="EX162" s="22"/>
      <c r="EY162" s="22"/>
      <c r="EZ162" s="22"/>
      <c r="FA162" s="22"/>
      <c r="FB162" s="22"/>
      <c r="FC162" s="22"/>
      <c r="FD162" s="22"/>
      <c r="FE162" s="22"/>
      <c r="FF162" s="22"/>
      <c r="FG162" s="22"/>
      <c r="FH162" s="22"/>
      <c r="FI162" s="22"/>
      <c r="FJ162" s="22"/>
      <c r="FK162" s="22"/>
      <c r="FL162" s="22"/>
      <c r="FM162" s="22"/>
      <c r="FN162" s="22"/>
      <c r="FO162" s="22"/>
      <c r="FP162" s="22"/>
      <c r="FQ162" s="22"/>
      <c r="FR162" s="22"/>
      <c r="FS162" s="22"/>
      <c r="FT162" s="22"/>
      <c r="FU162" s="22"/>
      <c r="FV162" s="22"/>
      <c r="FW162" s="22"/>
      <c r="FX162" s="22"/>
      <c r="FY162" s="22"/>
      <c r="FZ162" s="22"/>
      <c r="GA162" s="22"/>
      <c r="GB162" s="22"/>
      <c r="GC162" s="22"/>
      <c r="GD162" s="22"/>
      <c r="GE162" s="22"/>
      <c r="GF162" s="22"/>
      <c r="GG162" s="22"/>
      <c r="GH162" s="22"/>
      <c r="GI162" s="22"/>
      <c r="GJ162" s="22"/>
      <c r="GK162" s="22"/>
      <c r="GL162" s="22"/>
      <c r="GM162" s="22"/>
      <c r="GN162" s="22"/>
      <c r="GO162" s="22"/>
      <c r="GP162" s="22"/>
      <c r="GQ162" s="22"/>
      <c r="GR162" s="22"/>
      <c r="GS162" s="22"/>
      <c r="GT162" s="22"/>
      <c r="GU162" s="22"/>
      <c r="GV162" s="22"/>
      <c r="GW162" s="22"/>
      <c r="GX162" s="22"/>
      <c r="GY162" s="22"/>
      <c r="GZ162" s="22"/>
      <c r="HA162" s="22"/>
      <c r="HB162" s="22"/>
      <c r="HC162" s="22"/>
    </row>
    <row r="163" spans="1:211" ht="15" customHeight="1" x14ac:dyDescent="0.2">
      <c r="A163" s="22"/>
      <c r="B163" s="14"/>
      <c r="C163" s="73"/>
      <c r="D163" s="46"/>
      <c r="E163" s="46"/>
      <c r="F163" s="120"/>
      <c r="G163" s="120"/>
      <c r="H163" s="47"/>
      <c r="I163" s="116"/>
      <c r="J163" s="45"/>
      <c r="K163" s="73"/>
      <c r="L163" s="73"/>
      <c r="M163" s="118"/>
      <c r="N163" s="119"/>
      <c r="O163" s="113"/>
      <c r="P163" s="115"/>
      <c r="Q163"/>
      <c r="R163"/>
      <c r="S163" s="114"/>
      <c r="T163" s="110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2"/>
      <c r="BO163" s="22"/>
      <c r="BP163" s="22"/>
      <c r="BQ163" s="22"/>
      <c r="BR163" s="22"/>
      <c r="BS163" s="22"/>
      <c r="BT163" s="22"/>
      <c r="BU163" s="22"/>
      <c r="BV163" s="22"/>
      <c r="BW163" s="22"/>
      <c r="BX163" s="22"/>
      <c r="BY163" s="22"/>
      <c r="BZ163" s="22"/>
      <c r="CA163" s="22"/>
      <c r="CB163" s="22"/>
      <c r="CC163" s="22"/>
      <c r="CD163" s="22"/>
      <c r="CE163" s="22"/>
      <c r="CF163" s="22"/>
      <c r="CG163" s="22"/>
      <c r="CH163" s="22"/>
      <c r="CI163" s="22"/>
      <c r="CJ163" s="22"/>
      <c r="CK163" s="22"/>
      <c r="CL163" s="22"/>
      <c r="CM163" s="22"/>
      <c r="CN163" s="22"/>
      <c r="CO163" s="22"/>
      <c r="CP163" s="22"/>
      <c r="CQ163" s="22"/>
      <c r="CR163" s="22"/>
      <c r="CS163" s="22"/>
      <c r="CT163" s="22"/>
      <c r="CU163" s="22"/>
      <c r="CV163" s="22"/>
      <c r="CW163" s="22"/>
      <c r="CX163" s="22"/>
      <c r="CY163" s="22"/>
      <c r="CZ163" s="22"/>
      <c r="DA163" s="22"/>
      <c r="DB163" s="22"/>
      <c r="DC163" s="22"/>
      <c r="DD163" s="22"/>
      <c r="DE163" s="22"/>
      <c r="DF163" s="22"/>
      <c r="DG163" s="22"/>
      <c r="DH163" s="22"/>
      <c r="DI163" s="22"/>
      <c r="DJ163" s="22"/>
      <c r="DK163" s="22"/>
      <c r="DL163" s="22"/>
      <c r="DM163" s="22"/>
      <c r="DN163" s="22"/>
      <c r="DO163" s="22"/>
      <c r="DP163" s="22"/>
      <c r="DQ163" s="22"/>
      <c r="DR163" s="22"/>
      <c r="DS163" s="22"/>
      <c r="DT163" s="22"/>
      <c r="DU163" s="22"/>
      <c r="DV163" s="22"/>
      <c r="DW163" s="22"/>
      <c r="DX163" s="22"/>
      <c r="DY163" s="22"/>
      <c r="DZ163" s="22"/>
      <c r="EA163" s="22"/>
      <c r="EB163" s="22"/>
      <c r="EC163" s="22"/>
      <c r="ED163" s="22"/>
      <c r="EE163" s="22"/>
      <c r="EF163" s="22"/>
      <c r="EG163" s="22"/>
      <c r="EH163" s="22"/>
      <c r="EI163" s="22"/>
      <c r="EJ163" s="22"/>
      <c r="EK163" s="22"/>
      <c r="EL163" s="22"/>
      <c r="EM163" s="22"/>
      <c r="EN163" s="22"/>
      <c r="EO163" s="22"/>
      <c r="EP163" s="22"/>
      <c r="EQ163" s="22"/>
      <c r="ER163" s="22"/>
      <c r="ES163" s="22"/>
      <c r="ET163" s="22"/>
      <c r="EU163" s="22"/>
      <c r="EV163" s="22"/>
      <c r="EW163" s="22"/>
      <c r="EX163" s="22"/>
      <c r="EY163" s="22"/>
      <c r="EZ163" s="22"/>
      <c r="FA163" s="22"/>
      <c r="FB163" s="22"/>
      <c r="FC163" s="22"/>
      <c r="FD163" s="22"/>
      <c r="FE163" s="22"/>
      <c r="FF163" s="22"/>
      <c r="FG163" s="22"/>
      <c r="FH163" s="22"/>
      <c r="FI163" s="22"/>
      <c r="FJ163" s="22"/>
      <c r="FK163" s="22"/>
      <c r="FL163" s="22"/>
      <c r="FM163" s="22"/>
      <c r="FN163" s="22"/>
      <c r="FO163" s="22"/>
      <c r="FP163" s="22"/>
      <c r="FQ163" s="22"/>
      <c r="FR163" s="22"/>
      <c r="FS163" s="22"/>
      <c r="FT163" s="22"/>
      <c r="FU163" s="22"/>
      <c r="FV163" s="22"/>
      <c r="FW163" s="22"/>
      <c r="FX163" s="22"/>
      <c r="FY163" s="22"/>
      <c r="FZ163" s="22"/>
      <c r="GA163" s="22"/>
      <c r="GB163" s="22"/>
      <c r="GC163" s="22"/>
      <c r="GD163" s="22"/>
      <c r="GE163" s="22"/>
      <c r="GF163" s="22"/>
      <c r="GG163" s="22"/>
      <c r="GH163" s="22"/>
      <c r="GI163" s="22"/>
      <c r="GJ163" s="22"/>
      <c r="GK163" s="22"/>
      <c r="GL163" s="22"/>
      <c r="GM163" s="22"/>
      <c r="GN163" s="22"/>
      <c r="GO163" s="22"/>
      <c r="GP163" s="22"/>
      <c r="GQ163" s="22"/>
      <c r="GR163" s="22"/>
      <c r="GS163" s="22"/>
      <c r="GT163" s="22"/>
      <c r="GU163" s="22"/>
      <c r="GV163" s="22"/>
      <c r="GW163" s="22"/>
      <c r="GX163" s="22"/>
      <c r="GY163" s="22"/>
      <c r="GZ163" s="22"/>
      <c r="HA163" s="22"/>
      <c r="HB163" s="22"/>
      <c r="HC163" s="22"/>
    </row>
    <row r="164" spans="1:211" ht="15" customHeight="1" x14ac:dyDescent="0.2">
      <c r="A164" s="22"/>
      <c r="B164" s="14"/>
      <c r="C164" s="73"/>
      <c r="D164" s="46"/>
      <c r="E164" s="46"/>
      <c r="F164" s="120"/>
      <c r="G164" s="120"/>
      <c r="H164" s="47"/>
      <c r="I164" s="116"/>
      <c r="J164" s="45"/>
      <c r="K164" s="45"/>
      <c r="L164" s="73"/>
      <c r="M164" s="118"/>
      <c r="N164" s="119"/>
      <c r="O164" s="113"/>
      <c r="P164" s="115"/>
      <c r="Q164"/>
      <c r="R164"/>
      <c r="S164" s="114"/>
      <c r="T164" s="110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2"/>
      <c r="BO164" s="22"/>
      <c r="BP164" s="22"/>
      <c r="BQ164" s="22"/>
      <c r="BR164" s="22"/>
      <c r="BS164" s="22"/>
      <c r="BT164" s="22"/>
      <c r="BU164" s="22"/>
      <c r="BV164" s="22"/>
      <c r="BW164" s="22"/>
      <c r="BX164" s="22"/>
      <c r="BY164" s="22"/>
      <c r="BZ164" s="22"/>
      <c r="CA164" s="22"/>
      <c r="CB164" s="22"/>
      <c r="CC164" s="22"/>
      <c r="CD164" s="22"/>
      <c r="CE164" s="22"/>
      <c r="CF164" s="22"/>
      <c r="CG164" s="22"/>
      <c r="CH164" s="22"/>
      <c r="CI164" s="22"/>
      <c r="CJ164" s="22"/>
      <c r="CK164" s="22"/>
      <c r="CL164" s="22"/>
      <c r="CM164" s="22"/>
      <c r="CN164" s="22"/>
      <c r="CO164" s="22"/>
      <c r="CP164" s="22"/>
      <c r="CQ164" s="22"/>
      <c r="CR164" s="22"/>
      <c r="CS164" s="22"/>
      <c r="CT164" s="22"/>
      <c r="CU164" s="22"/>
      <c r="CV164" s="22"/>
      <c r="CW164" s="22"/>
      <c r="CX164" s="22"/>
      <c r="CY164" s="22"/>
      <c r="CZ164" s="22"/>
      <c r="DA164" s="22"/>
      <c r="DB164" s="22"/>
      <c r="DC164" s="22"/>
      <c r="DD164" s="22"/>
      <c r="DE164" s="22"/>
      <c r="DF164" s="22"/>
      <c r="DG164" s="22"/>
      <c r="DH164" s="22"/>
      <c r="DI164" s="22"/>
      <c r="DJ164" s="22"/>
      <c r="DK164" s="22"/>
      <c r="DL164" s="22"/>
      <c r="DM164" s="22"/>
      <c r="DN164" s="22"/>
      <c r="DO164" s="22"/>
      <c r="DP164" s="22"/>
      <c r="DQ164" s="22"/>
      <c r="DR164" s="22"/>
      <c r="DS164" s="22"/>
      <c r="DT164" s="22"/>
      <c r="DU164" s="22"/>
      <c r="DV164" s="22"/>
      <c r="DW164" s="22"/>
      <c r="DX164" s="22"/>
      <c r="DY164" s="22"/>
      <c r="DZ164" s="22"/>
      <c r="EA164" s="22"/>
      <c r="EB164" s="22"/>
      <c r="EC164" s="22"/>
      <c r="ED164" s="22"/>
      <c r="EE164" s="22"/>
      <c r="EF164" s="22"/>
      <c r="EG164" s="22"/>
      <c r="EH164" s="22"/>
      <c r="EI164" s="22"/>
      <c r="EJ164" s="22"/>
      <c r="EK164" s="22"/>
      <c r="EL164" s="22"/>
      <c r="EM164" s="22"/>
      <c r="EN164" s="22"/>
      <c r="EO164" s="22"/>
      <c r="EP164" s="22"/>
      <c r="EQ164" s="22"/>
      <c r="ER164" s="22"/>
      <c r="ES164" s="22"/>
      <c r="ET164" s="22"/>
      <c r="EU164" s="22"/>
      <c r="EV164" s="22"/>
      <c r="EW164" s="22"/>
      <c r="EX164" s="22"/>
      <c r="EY164" s="22"/>
      <c r="EZ164" s="22"/>
      <c r="FA164" s="22"/>
      <c r="FB164" s="22"/>
      <c r="FC164" s="22"/>
      <c r="FD164" s="22"/>
      <c r="FE164" s="22"/>
      <c r="FF164" s="22"/>
      <c r="FG164" s="22"/>
      <c r="FH164" s="22"/>
      <c r="FI164" s="22"/>
      <c r="FJ164" s="22"/>
      <c r="FK164" s="22"/>
      <c r="FL164" s="22"/>
      <c r="FM164" s="22"/>
      <c r="FN164" s="22"/>
      <c r="FO164" s="22"/>
      <c r="FP164" s="22"/>
      <c r="FQ164" s="22"/>
      <c r="FR164" s="22"/>
      <c r="FS164" s="22"/>
      <c r="FT164" s="22"/>
      <c r="FU164" s="22"/>
      <c r="FV164" s="22"/>
      <c r="FW164" s="22"/>
      <c r="FX164" s="22"/>
      <c r="FY164" s="22"/>
      <c r="FZ164" s="22"/>
      <c r="GA164" s="22"/>
      <c r="GB164" s="22"/>
      <c r="GC164" s="22"/>
      <c r="GD164" s="22"/>
      <c r="GE164" s="22"/>
      <c r="GF164" s="22"/>
      <c r="GG164" s="22"/>
      <c r="GH164" s="22"/>
      <c r="GI164" s="22"/>
      <c r="GJ164" s="22"/>
      <c r="GK164" s="22"/>
      <c r="GL164" s="22"/>
      <c r="GM164" s="22"/>
      <c r="GN164" s="22"/>
      <c r="GO164" s="22"/>
      <c r="GP164" s="22"/>
      <c r="GQ164" s="22"/>
      <c r="GR164" s="22"/>
      <c r="GS164" s="22"/>
      <c r="GT164" s="22"/>
      <c r="GU164" s="22"/>
      <c r="GV164" s="22"/>
      <c r="GW164" s="22"/>
      <c r="GX164" s="22"/>
      <c r="GY164" s="22"/>
      <c r="GZ164" s="22"/>
      <c r="HA164" s="22"/>
      <c r="HB164" s="22"/>
      <c r="HC164" s="22"/>
    </row>
    <row r="165" spans="1:211" ht="15" customHeight="1" x14ac:dyDescent="0.2">
      <c r="A165" s="22"/>
      <c r="B165" s="14"/>
      <c r="C165" s="73"/>
      <c r="D165" s="46"/>
      <c r="E165" s="46"/>
      <c r="F165" s="120"/>
      <c r="G165" s="120"/>
      <c r="H165" s="47"/>
      <c r="I165" s="116"/>
      <c r="J165" s="45"/>
      <c r="K165" s="45"/>
      <c r="L165" s="73"/>
      <c r="M165" s="118"/>
      <c r="N165" s="119"/>
      <c r="O165" s="113"/>
      <c r="P165" s="115"/>
      <c r="Q165"/>
      <c r="R165"/>
      <c r="S165" s="114"/>
      <c r="T165" s="110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2"/>
      <c r="BO165" s="22"/>
      <c r="BP165" s="22"/>
      <c r="BQ165" s="22"/>
      <c r="BR165" s="22"/>
      <c r="BS165" s="22"/>
      <c r="BT165" s="22"/>
      <c r="BU165" s="22"/>
      <c r="BV165" s="22"/>
      <c r="BW165" s="22"/>
      <c r="BX165" s="22"/>
      <c r="BY165" s="22"/>
      <c r="BZ165" s="22"/>
      <c r="CA165" s="22"/>
      <c r="CB165" s="22"/>
      <c r="CC165" s="22"/>
      <c r="CD165" s="22"/>
      <c r="CE165" s="22"/>
      <c r="CF165" s="22"/>
      <c r="CG165" s="22"/>
      <c r="CH165" s="22"/>
      <c r="CI165" s="22"/>
      <c r="CJ165" s="22"/>
      <c r="CK165" s="22"/>
      <c r="CL165" s="22"/>
      <c r="CM165" s="22"/>
      <c r="CN165" s="22"/>
      <c r="CO165" s="22"/>
      <c r="CP165" s="22"/>
      <c r="CQ165" s="22"/>
      <c r="CR165" s="22"/>
      <c r="CS165" s="22"/>
      <c r="CT165" s="22"/>
      <c r="CU165" s="22"/>
      <c r="CV165" s="22"/>
      <c r="CW165" s="22"/>
      <c r="CX165" s="22"/>
      <c r="CY165" s="22"/>
      <c r="CZ165" s="22"/>
      <c r="DA165" s="22"/>
      <c r="DB165" s="22"/>
      <c r="DC165" s="22"/>
      <c r="DD165" s="22"/>
      <c r="DE165" s="22"/>
      <c r="DF165" s="22"/>
      <c r="DG165" s="22"/>
      <c r="DH165" s="22"/>
      <c r="DI165" s="22"/>
      <c r="DJ165" s="22"/>
      <c r="DK165" s="22"/>
      <c r="DL165" s="22"/>
      <c r="DM165" s="22"/>
      <c r="DN165" s="22"/>
      <c r="DO165" s="22"/>
      <c r="DP165" s="22"/>
      <c r="DQ165" s="22"/>
      <c r="DR165" s="22"/>
      <c r="DS165" s="22"/>
      <c r="DT165" s="22"/>
      <c r="DU165" s="22"/>
      <c r="DV165" s="22"/>
      <c r="DW165" s="22"/>
      <c r="DX165" s="22"/>
      <c r="DY165" s="22"/>
      <c r="DZ165" s="22"/>
      <c r="EA165" s="22"/>
      <c r="EB165" s="22"/>
      <c r="EC165" s="22"/>
      <c r="ED165" s="22"/>
      <c r="EE165" s="22"/>
      <c r="EF165" s="22"/>
      <c r="EG165" s="22"/>
      <c r="EH165" s="22"/>
      <c r="EI165" s="22"/>
      <c r="EJ165" s="22"/>
      <c r="EK165" s="22"/>
      <c r="EL165" s="22"/>
      <c r="EM165" s="22"/>
      <c r="EN165" s="22"/>
      <c r="EO165" s="22"/>
      <c r="EP165" s="22"/>
      <c r="EQ165" s="22"/>
      <c r="ER165" s="22"/>
      <c r="ES165" s="22"/>
      <c r="ET165" s="22"/>
      <c r="EU165" s="22"/>
      <c r="EV165" s="22"/>
      <c r="EW165" s="22"/>
      <c r="EX165" s="22"/>
      <c r="EY165" s="22"/>
      <c r="EZ165" s="22"/>
      <c r="FA165" s="22"/>
      <c r="FB165" s="22"/>
      <c r="FC165" s="22"/>
      <c r="FD165" s="22"/>
      <c r="FE165" s="22"/>
      <c r="FF165" s="22"/>
      <c r="FG165" s="22"/>
      <c r="FH165" s="22"/>
      <c r="FI165" s="22"/>
      <c r="FJ165" s="22"/>
      <c r="FK165" s="22"/>
      <c r="FL165" s="22"/>
      <c r="FM165" s="22"/>
      <c r="FN165" s="22"/>
      <c r="FO165" s="22"/>
      <c r="FP165" s="22"/>
      <c r="FQ165" s="22"/>
      <c r="FR165" s="22"/>
      <c r="FS165" s="22"/>
      <c r="FT165" s="22"/>
      <c r="FU165" s="22"/>
      <c r="FV165" s="22"/>
      <c r="FW165" s="22"/>
      <c r="FX165" s="22"/>
      <c r="FY165" s="22"/>
      <c r="FZ165" s="22"/>
      <c r="GA165" s="22"/>
      <c r="GB165" s="22"/>
      <c r="GC165" s="22"/>
      <c r="GD165" s="22"/>
      <c r="GE165" s="22"/>
      <c r="GF165" s="22"/>
      <c r="GG165" s="22"/>
      <c r="GH165" s="22"/>
      <c r="GI165" s="22"/>
      <c r="GJ165" s="22"/>
      <c r="GK165" s="22"/>
      <c r="GL165" s="22"/>
      <c r="GM165" s="22"/>
      <c r="GN165" s="22"/>
      <c r="GO165" s="22"/>
      <c r="GP165" s="22"/>
      <c r="GQ165" s="22"/>
      <c r="GR165" s="22"/>
      <c r="GS165" s="22"/>
      <c r="GT165" s="22"/>
      <c r="GU165" s="22"/>
      <c r="GV165" s="22"/>
      <c r="GW165" s="22"/>
      <c r="GX165" s="22"/>
      <c r="GY165" s="22"/>
      <c r="GZ165" s="22"/>
      <c r="HA165" s="22"/>
      <c r="HB165" s="22"/>
      <c r="HC165" s="22"/>
    </row>
    <row r="166" spans="1:211" ht="15" customHeight="1" x14ac:dyDescent="0.2">
      <c r="A166" s="22"/>
      <c r="B166" s="14"/>
      <c r="C166" s="73"/>
      <c r="D166" s="46"/>
      <c r="E166" s="46"/>
      <c r="F166" s="120"/>
      <c r="G166" s="120"/>
      <c r="H166" s="47"/>
      <c r="I166" s="116"/>
      <c r="J166" s="45"/>
      <c r="K166" s="45"/>
      <c r="L166" s="73"/>
      <c r="M166" s="118"/>
      <c r="N166" s="119"/>
      <c r="O166" s="113"/>
      <c r="P166" s="115"/>
      <c r="Q166"/>
      <c r="R166"/>
      <c r="S166" s="114"/>
      <c r="T166" s="110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2"/>
      <c r="BO166" s="22"/>
      <c r="BP166" s="22"/>
      <c r="BQ166" s="22"/>
      <c r="BR166" s="22"/>
      <c r="BS166" s="22"/>
      <c r="BT166" s="22"/>
      <c r="BU166" s="22"/>
      <c r="BV166" s="22"/>
      <c r="BW166" s="22"/>
      <c r="BX166" s="22"/>
      <c r="BY166" s="22"/>
      <c r="BZ166" s="22"/>
      <c r="CA166" s="22"/>
      <c r="CB166" s="22"/>
      <c r="CC166" s="22"/>
      <c r="CD166" s="22"/>
      <c r="CE166" s="22"/>
      <c r="CF166" s="22"/>
      <c r="CG166" s="22"/>
      <c r="CH166" s="22"/>
      <c r="CI166" s="22"/>
      <c r="CJ166" s="22"/>
      <c r="CK166" s="22"/>
      <c r="CL166" s="22"/>
      <c r="CM166" s="22"/>
      <c r="CN166" s="22"/>
      <c r="CO166" s="22"/>
      <c r="CP166" s="22"/>
      <c r="CQ166" s="22"/>
      <c r="CR166" s="22"/>
      <c r="CS166" s="22"/>
      <c r="CT166" s="22"/>
      <c r="CU166" s="22"/>
      <c r="CV166" s="22"/>
      <c r="CW166" s="22"/>
      <c r="CX166" s="22"/>
      <c r="CY166" s="22"/>
      <c r="CZ166" s="22"/>
      <c r="DA166" s="22"/>
      <c r="DB166" s="22"/>
      <c r="DC166" s="22"/>
      <c r="DD166" s="22"/>
      <c r="DE166" s="22"/>
      <c r="DF166" s="22"/>
      <c r="DG166" s="22"/>
      <c r="DH166" s="22"/>
      <c r="DI166" s="22"/>
      <c r="DJ166" s="22"/>
      <c r="DK166" s="22"/>
      <c r="DL166" s="22"/>
      <c r="DM166" s="22"/>
      <c r="DN166" s="22"/>
      <c r="DO166" s="22"/>
      <c r="DP166" s="22"/>
      <c r="DQ166" s="22"/>
      <c r="DR166" s="22"/>
      <c r="DS166" s="22"/>
      <c r="DT166" s="22"/>
      <c r="DU166" s="22"/>
      <c r="DV166" s="22"/>
      <c r="DW166" s="22"/>
      <c r="DX166" s="22"/>
      <c r="DY166" s="22"/>
      <c r="DZ166" s="22"/>
      <c r="EA166" s="22"/>
      <c r="EB166" s="22"/>
      <c r="EC166" s="22"/>
      <c r="ED166" s="22"/>
      <c r="EE166" s="22"/>
      <c r="EF166" s="22"/>
      <c r="EG166" s="22"/>
      <c r="EH166" s="22"/>
      <c r="EI166" s="22"/>
      <c r="EJ166" s="22"/>
      <c r="EK166" s="22"/>
      <c r="EL166" s="22"/>
      <c r="EM166" s="22"/>
      <c r="EN166" s="22"/>
      <c r="EO166" s="22"/>
      <c r="EP166" s="22"/>
      <c r="EQ166" s="22"/>
      <c r="ER166" s="22"/>
      <c r="ES166" s="22"/>
      <c r="ET166" s="22"/>
      <c r="EU166" s="22"/>
      <c r="EV166" s="22"/>
      <c r="EW166" s="22"/>
      <c r="EX166" s="22"/>
      <c r="EY166" s="22"/>
      <c r="EZ166" s="22"/>
      <c r="FA166" s="22"/>
      <c r="FB166" s="22"/>
      <c r="FC166" s="22"/>
      <c r="FD166" s="22"/>
      <c r="FE166" s="22"/>
      <c r="FF166" s="22"/>
      <c r="FG166" s="22"/>
      <c r="FH166" s="22"/>
      <c r="FI166" s="22"/>
      <c r="FJ166" s="22"/>
      <c r="FK166" s="22"/>
      <c r="FL166" s="22"/>
      <c r="FM166" s="22"/>
      <c r="FN166" s="22"/>
      <c r="FO166" s="22"/>
      <c r="FP166" s="22"/>
      <c r="FQ166" s="22"/>
      <c r="FR166" s="22"/>
      <c r="FS166" s="22"/>
      <c r="FT166" s="22"/>
      <c r="FU166" s="22"/>
      <c r="FV166" s="22"/>
      <c r="FW166" s="22"/>
      <c r="FX166" s="22"/>
      <c r="FY166" s="22"/>
      <c r="FZ166" s="22"/>
      <c r="GA166" s="22"/>
      <c r="GB166" s="22"/>
      <c r="GC166" s="22"/>
      <c r="GD166" s="22"/>
      <c r="GE166" s="22"/>
      <c r="GF166" s="22"/>
      <c r="GG166" s="22"/>
      <c r="GH166" s="22"/>
      <c r="GI166" s="22"/>
      <c r="GJ166" s="22"/>
      <c r="GK166" s="22"/>
      <c r="GL166" s="22"/>
      <c r="GM166" s="22"/>
      <c r="GN166" s="22"/>
      <c r="GO166" s="22"/>
      <c r="GP166" s="22"/>
      <c r="GQ166" s="22"/>
      <c r="GR166" s="22"/>
      <c r="GS166" s="22"/>
      <c r="GT166" s="22"/>
      <c r="GU166" s="22"/>
      <c r="GV166" s="22"/>
      <c r="GW166" s="22"/>
      <c r="GX166" s="22"/>
      <c r="GY166" s="22"/>
      <c r="GZ166" s="22"/>
      <c r="HA166" s="22"/>
      <c r="HB166" s="22"/>
      <c r="HC166" s="22"/>
    </row>
    <row r="167" spans="1:211" ht="15" customHeight="1" x14ac:dyDescent="0.2">
      <c r="A167" s="22"/>
      <c r="B167" s="14"/>
      <c r="C167" s="73"/>
      <c r="D167" s="46"/>
      <c r="E167" s="46"/>
      <c r="F167" s="120"/>
      <c r="G167" s="120"/>
      <c r="H167" s="47"/>
      <c r="I167" s="116"/>
      <c r="J167" s="45"/>
      <c r="K167" s="45"/>
      <c r="L167" s="73"/>
      <c r="M167" s="118"/>
      <c r="N167" s="119"/>
      <c r="O167" s="113"/>
      <c r="P167" s="115"/>
      <c r="Q167"/>
      <c r="R167"/>
      <c r="S167" s="114"/>
      <c r="T167" s="110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2"/>
      <c r="BO167" s="22"/>
      <c r="BP167" s="22"/>
      <c r="BQ167" s="22"/>
      <c r="BR167" s="22"/>
      <c r="BS167" s="22"/>
      <c r="BT167" s="22"/>
      <c r="BU167" s="22"/>
      <c r="BV167" s="22"/>
      <c r="BW167" s="22"/>
      <c r="BX167" s="22"/>
      <c r="BY167" s="22"/>
      <c r="BZ167" s="22"/>
      <c r="CA167" s="22"/>
      <c r="CB167" s="22"/>
      <c r="CC167" s="22"/>
      <c r="CD167" s="22"/>
      <c r="CE167" s="22"/>
      <c r="CF167" s="22"/>
      <c r="CG167" s="22"/>
      <c r="CH167" s="22"/>
      <c r="CI167" s="22"/>
      <c r="CJ167" s="22"/>
      <c r="CK167" s="22"/>
      <c r="CL167" s="22"/>
      <c r="CM167" s="22"/>
      <c r="CN167" s="22"/>
      <c r="CO167" s="22"/>
      <c r="CP167" s="22"/>
      <c r="CQ167" s="22"/>
      <c r="CR167" s="22"/>
      <c r="CS167" s="22"/>
      <c r="CT167" s="22"/>
      <c r="CU167" s="22"/>
      <c r="CV167" s="22"/>
      <c r="CW167" s="22"/>
      <c r="CX167" s="22"/>
      <c r="CY167" s="22"/>
      <c r="CZ167" s="22"/>
      <c r="DA167" s="22"/>
      <c r="DB167" s="22"/>
      <c r="DC167" s="22"/>
      <c r="DD167" s="22"/>
      <c r="DE167" s="22"/>
      <c r="DF167" s="22"/>
      <c r="DG167" s="22"/>
      <c r="DH167" s="22"/>
      <c r="DI167" s="22"/>
      <c r="DJ167" s="22"/>
      <c r="DK167" s="22"/>
      <c r="DL167" s="22"/>
      <c r="DM167" s="22"/>
      <c r="DN167" s="22"/>
      <c r="DO167" s="22"/>
      <c r="DP167" s="22"/>
      <c r="DQ167" s="22"/>
      <c r="DR167" s="22"/>
      <c r="DS167" s="22"/>
      <c r="DT167" s="22"/>
      <c r="DU167" s="22"/>
      <c r="DV167" s="22"/>
      <c r="DW167" s="22"/>
      <c r="DX167" s="22"/>
      <c r="DY167" s="22"/>
      <c r="DZ167" s="22"/>
      <c r="EA167" s="22"/>
      <c r="EB167" s="22"/>
      <c r="EC167" s="22"/>
      <c r="ED167" s="22"/>
      <c r="EE167" s="22"/>
      <c r="EF167" s="22"/>
      <c r="EG167" s="22"/>
      <c r="EH167" s="22"/>
      <c r="EI167" s="22"/>
      <c r="EJ167" s="22"/>
      <c r="EK167" s="22"/>
      <c r="EL167" s="22"/>
      <c r="EM167" s="22"/>
      <c r="EN167" s="22"/>
      <c r="EO167" s="22"/>
      <c r="EP167" s="22"/>
      <c r="EQ167" s="22"/>
      <c r="ER167" s="22"/>
      <c r="ES167" s="22"/>
      <c r="ET167" s="22"/>
      <c r="EU167" s="22"/>
      <c r="EV167" s="22"/>
      <c r="EW167" s="22"/>
      <c r="EX167" s="22"/>
      <c r="EY167" s="22"/>
      <c r="EZ167" s="22"/>
      <c r="FA167" s="22"/>
      <c r="FB167" s="22"/>
      <c r="FC167" s="22"/>
      <c r="FD167" s="22"/>
      <c r="FE167" s="22"/>
      <c r="FF167" s="22"/>
      <c r="FG167" s="22"/>
      <c r="FH167" s="22"/>
      <c r="FI167" s="22"/>
      <c r="FJ167" s="22"/>
      <c r="FK167" s="22"/>
      <c r="FL167" s="22"/>
      <c r="FM167" s="22"/>
      <c r="FN167" s="22"/>
      <c r="FO167" s="22"/>
      <c r="FP167" s="22"/>
      <c r="FQ167" s="22"/>
      <c r="FR167" s="22"/>
      <c r="FS167" s="22"/>
      <c r="FT167" s="22"/>
      <c r="FU167" s="22"/>
      <c r="FV167" s="22"/>
      <c r="FW167" s="22"/>
      <c r="FX167" s="22"/>
      <c r="FY167" s="22"/>
      <c r="FZ167" s="22"/>
      <c r="GA167" s="22"/>
      <c r="GB167" s="22"/>
      <c r="GC167" s="22"/>
      <c r="GD167" s="22"/>
      <c r="GE167" s="22"/>
      <c r="GF167" s="22"/>
      <c r="GG167" s="22"/>
      <c r="GH167" s="22"/>
      <c r="GI167" s="22"/>
      <c r="GJ167" s="22"/>
      <c r="GK167" s="22"/>
      <c r="GL167" s="22"/>
      <c r="GM167" s="22"/>
      <c r="GN167" s="22"/>
      <c r="GO167" s="22"/>
      <c r="GP167" s="22"/>
      <c r="GQ167" s="22"/>
      <c r="GR167" s="22"/>
      <c r="GS167" s="22"/>
      <c r="GT167" s="22"/>
      <c r="GU167" s="22"/>
      <c r="GV167" s="22"/>
      <c r="GW167" s="22"/>
      <c r="GX167" s="22"/>
      <c r="GY167" s="22"/>
      <c r="GZ167" s="22"/>
      <c r="HA167" s="22"/>
      <c r="HB167" s="22"/>
      <c r="HC167" s="22"/>
    </row>
    <row r="168" spans="1:211" ht="15" customHeight="1" x14ac:dyDescent="0.2">
      <c r="A168" s="22"/>
      <c r="B168" s="14"/>
      <c r="C168" s="73"/>
      <c r="D168" s="46"/>
      <c r="E168" s="46"/>
      <c r="F168" s="120"/>
      <c r="G168" s="120"/>
      <c r="H168" s="47"/>
      <c r="I168" s="116"/>
      <c r="J168" s="45"/>
      <c r="K168" s="45"/>
      <c r="L168" s="73"/>
      <c r="M168" s="118"/>
      <c r="N168" s="119"/>
      <c r="O168" s="113"/>
      <c r="P168" s="115"/>
      <c r="Q168"/>
      <c r="R168"/>
      <c r="S168" s="114"/>
      <c r="T168" s="110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2"/>
      <c r="BO168" s="22"/>
      <c r="BP168" s="22"/>
      <c r="BQ168" s="22"/>
      <c r="BR168" s="22"/>
      <c r="BS168" s="22"/>
      <c r="BT168" s="22"/>
      <c r="BU168" s="22"/>
      <c r="BV168" s="22"/>
      <c r="BW168" s="22"/>
      <c r="BX168" s="22"/>
      <c r="BY168" s="22"/>
      <c r="BZ168" s="22"/>
      <c r="CA168" s="22"/>
      <c r="CB168" s="22"/>
      <c r="CC168" s="22"/>
      <c r="CD168" s="22"/>
      <c r="CE168" s="22"/>
      <c r="CF168" s="22"/>
      <c r="CG168" s="22"/>
      <c r="CH168" s="22"/>
      <c r="CI168" s="22"/>
      <c r="CJ168" s="22"/>
      <c r="CK168" s="22"/>
      <c r="CL168" s="22"/>
      <c r="CM168" s="22"/>
      <c r="CN168" s="22"/>
      <c r="CO168" s="22"/>
      <c r="CP168" s="22"/>
      <c r="CQ168" s="22"/>
      <c r="CR168" s="22"/>
      <c r="CS168" s="22"/>
      <c r="CT168" s="22"/>
      <c r="CU168" s="22"/>
      <c r="CV168" s="22"/>
      <c r="CW168" s="22"/>
      <c r="CX168" s="22"/>
      <c r="CY168" s="22"/>
      <c r="CZ168" s="22"/>
      <c r="DA168" s="22"/>
      <c r="DB168" s="22"/>
      <c r="DC168" s="22"/>
      <c r="DD168" s="22"/>
      <c r="DE168" s="22"/>
      <c r="DF168" s="22"/>
      <c r="DG168" s="22"/>
      <c r="DH168" s="22"/>
      <c r="DI168" s="22"/>
      <c r="DJ168" s="22"/>
      <c r="DK168" s="22"/>
      <c r="DL168" s="22"/>
      <c r="DM168" s="22"/>
      <c r="DN168" s="22"/>
      <c r="DO168" s="22"/>
      <c r="DP168" s="22"/>
      <c r="DQ168" s="22"/>
      <c r="DR168" s="22"/>
      <c r="DS168" s="22"/>
      <c r="DT168" s="22"/>
      <c r="DU168" s="22"/>
      <c r="DV168" s="22"/>
      <c r="DW168" s="22"/>
      <c r="DX168" s="22"/>
      <c r="DY168" s="22"/>
      <c r="DZ168" s="22"/>
      <c r="EA168" s="22"/>
      <c r="EB168" s="22"/>
      <c r="EC168" s="22"/>
      <c r="ED168" s="22"/>
      <c r="EE168" s="22"/>
      <c r="EF168" s="22"/>
      <c r="EG168" s="22"/>
      <c r="EH168" s="22"/>
      <c r="EI168" s="22"/>
      <c r="EJ168" s="22"/>
      <c r="EK168" s="22"/>
      <c r="EL168" s="22"/>
      <c r="EM168" s="22"/>
      <c r="EN168" s="22"/>
      <c r="EO168" s="22"/>
      <c r="EP168" s="22"/>
      <c r="EQ168" s="22"/>
      <c r="ER168" s="22"/>
      <c r="ES168" s="22"/>
      <c r="ET168" s="22"/>
      <c r="EU168" s="22"/>
      <c r="EV168" s="22"/>
      <c r="EW168" s="22"/>
      <c r="EX168" s="22"/>
      <c r="EY168" s="22"/>
      <c r="EZ168" s="22"/>
      <c r="FA168" s="22"/>
      <c r="FB168" s="22"/>
      <c r="FC168" s="22"/>
      <c r="FD168" s="22"/>
      <c r="FE168" s="22"/>
      <c r="FF168" s="22"/>
      <c r="FG168" s="22"/>
      <c r="FH168" s="22"/>
      <c r="FI168" s="22"/>
      <c r="FJ168" s="22"/>
      <c r="FK168" s="22"/>
      <c r="FL168" s="22"/>
      <c r="FM168" s="22"/>
      <c r="FN168" s="22"/>
      <c r="FO168" s="22"/>
      <c r="FP168" s="22"/>
      <c r="FQ168" s="22"/>
      <c r="FR168" s="22"/>
      <c r="FS168" s="22"/>
      <c r="FT168" s="22"/>
      <c r="FU168" s="22"/>
      <c r="FV168" s="22"/>
      <c r="FW168" s="22"/>
      <c r="FX168" s="22"/>
      <c r="FY168" s="22"/>
      <c r="FZ168" s="22"/>
      <c r="GA168" s="22"/>
      <c r="GB168" s="22"/>
      <c r="GC168" s="22"/>
      <c r="GD168" s="22"/>
      <c r="GE168" s="22"/>
      <c r="GF168" s="22"/>
      <c r="GG168" s="22"/>
      <c r="GH168" s="22"/>
      <c r="GI168" s="22"/>
      <c r="GJ168" s="22"/>
      <c r="GK168" s="22"/>
      <c r="GL168" s="22"/>
      <c r="GM168" s="22"/>
      <c r="GN168" s="22"/>
      <c r="GO168" s="22"/>
      <c r="GP168" s="22"/>
      <c r="GQ168" s="22"/>
      <c r="GR168" s="22"/>
      <c r="GS168" s="22"/>
      <c r="GT168" s="22"/>
      <c r="GU168" s="22"/>
      <c r="GV168" s="22"/>
      <c r="GW168" s="22"/>
      <c r="GX168" s="22"/>
      <c r="GY168" s="22"/>
      <c r="GZ168" s="22"/>
      <c r="HA168" s="22"/>
      <c r="HB168" s="22"/>
      <c r="HC168" s="22"/>
    </row>
    <row r="169" spans="1:211" ht="15" customHeight="1" x14ac:dyDescent="0.2">
      <c r="A169" s="22"/>
      <c r="B169" s="14"/>
      <c r="C169" s="73"/>
      <c r="D169" s="46"/>
      <c r="E169" s="46"/>
      <c r="F169" s="120"/>
      <c r="G169" s="120"/>
      <c r="H169" s="47"/>
      <c r="I169" s="116"/>
      <c r="J169" s="45"/>
      <c r="K169" s="73"/>
      <c r="L169" s="73"/>
      <c r="M169" s="118"/>
      <c r="N169" s="119"/>
      <c r="O169" s="113"/>
      <c r="P169" s="115"/>
      <c r="Q169"/>
      <c r="R169"/>
      <c r="S169" s="114"/>
      <c r="T169" s="110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2"/>
      <c r="BO169" s="22"/>
      <c r="BP169" s="22"/>
      <c r="BQ169" s="22"/>
      <c r="BR169" s="22"/>
      <c r="BS169" s="22"/>
      <c r="BT169" s="22"/>
      <c r="BU169" s="22"/>
      <c r="BV169" s="22"/>
      <c r="BW169" s="22"/>
      <c r="BX169" s="22"/>
      <c r="BY169" s="22"/>
      <c r="BZ169" s="22"/>
      <c r="CA169" s="22"/>
      <c r="CB169" s="22"/>
      <c r="CC169" s="22"/>
      <c r="CD169" s="22"/>
      <c r="CE169" s="22"/>
      <c r="CF169" s="22"/>
      <c r="CG169" s="22"/>
      <c r="CH169" s="22"/>
      <c r="CI169" s="22"/>
      <c r="CJ169" s="22"/>
      <c r="CK169" s="22"/>
      <c r="CL169" s="22"/>
      <c r="CM169" s="22"/>
      <c r="CN169" s="22"/>
      <c r="CO169" s="22"/>
      <c r="CP169" s="22"/>
      <c r="CQ169" s="22"/>
      <c r="CR169" s="22"/>
      <c r="CS169" s="22"/>
      <c r="CT169" s="22"/>
      <c r="CU169" s="22"/>
      <c r="CV169" s="22"/>
      <c r="CW169" s="22"/>
      <c r="CX169" s="22"/>
      <c r="CY169" s="22"/>
      <c r="CZ169" s="22"/>
      <c r="DA169" s="22"/>
      <c r="DB169" s="22"/>
      <c r="DC169" s="22"/>
      <c r="DD169" s="22"/>
      <c r="DE169" s="22"/>
      <c r="DF169" s="22"/>
      <c r="DG169" s="22"/>
      <c r="DH169" s="22"/>
      <c r="DI169" s="22"/>
      <c r="DJ169" s="22"/>
      <c r="DK169" s="22"/>
      <c r="DL169" s="22"/>
      <c r="DM169" s="22"/>
      <c r="DN169" s="22"/>
      <c r="DO169" s="22"/>
      <c r="DP169" s="22"/>
      <c r="DQ169" s="22"/>
      <c r="DR169" s="22"/>
      <c r="DS169" s="22"/>
      <c r="DT169" s="22"/>
      <c r="DU169" s="22"/>
      <c r="DV169" s="22"/>
      <c r="DW169" s="22"/>
      <c r="DX169" s="22"/>
      <c r="DY169" s="22"/>
      <c r="DZ169" s="22"/>
      <c r="EA169" s="22"/>
      <c r="EB169" s="22"/>
      <c r="EC169" s="22"/>
      <c r="ED169" s="22"/>
      <c r="EE169" s="22"/>
      <c r="EF169" s="22"/>
      <c r="EG169" s="22"/>
      <c r="EH169" s="22"/>
      <c r="EI169" s="22"/>
      <c r="EJ169" s="22"/>
      <c r="EK169" s="22"/>
      <c r="EL169" s="22"/>
      <c r="EM169" s="22"/>
      <c r="EN169" s="22"/>
      <c r="EO169" s="22"/>
      <c r="EP169" s="22"/>
      <c r="EQ169" s="22"/>
      <c r="ER169" s="22"/>
      <c r="ES169" s="22"/>
      <c r="ET169" s="22"/>
      <c r="EU169" s="22"/>
      <c r="EV169" s="22"/>
      <c r="EW169" s="22"/>
      <c r="EX169" s="22"/>
      <c r="EY169" s="22"/>
      <c r="EZ169" s="22"/>
      <c r="FA169" s="22"/>
      <c r="FB169" s="22"/>
      <c r="FC169" s="22"/>
      <c r="FD169" s="22"/>
      <c r="FE169" s="22"/>
      <c r="FF169" s="22"/>
      <c r="FG169" s="22"/>
      <c r="FH169" s="22"/>
      <c r="FI169" s="22"/>
      <c r="FJ169" s="22"/>
      <c r="FK169" s="22"/>
      <c r="FL169" s="22"/>
      <c r="FM169" s="22"/>
      <c r="FN169" s="22"/>
      <c r="FO169" s="22"/>
      <c r="FP169" s="22"/>
      <c r="FQ169" s="22"/>
      <c r="FR169" s="22"/>
      <c r="FS169" s="22"/>
      <c r="FT169" s="22"/>
      <c r="FU169" s="22"/>
      <c r="FV169" s="22"/>
      <c r="FW169" s="22"/>
      <c r="FX169" s="22"/>
      <c r="FY169" s="22"/>
      <c r="FZ169" s="22"/>
      <c r="GA169" s="22"/>
      <c r="GB169" s="22"/>
      <c r="GC169" s="22"/>
      <c r="GD169" s="22"/>
      <c r="GE169" s="22"/>
      <c r="GF169" s="22"/>
      <c r="GG169" s="22"/>
      <c r="GH169" s="22"/>
      <c r="GI169" s="22"/>
      <c r="GJ169" s="22"/>
      <c r="GK169" s="22"/>
      <c r="GL169" s="22"/>
      <c r="GM169" s="22"/>
      <c r="GN169" s="22"/>
      <c r="GO169" s="22"/>
      <c r="GP169" s="22"/>
      <c r="GQ169" s="22"/>
      <c r="GR169" s="22"/>
      <c r="GS169" s="22"/>
      <c r="GT169" s="22"/>
      <c r="GU169" s="22"/>
      <c r="GV169" s="22"/>
      <c r="GW169" s="22"/>
      <c r="GX169" s="22"/>
      <c r="GY169" s="22"/>
      <c r="GZ169" s="22"/>
      <c r="HA169" s="22"/>
      <c r="HB169" s="22"/>
      <c r="HC169" s="22"/>
    </row>
    <row r="170" spans="1:211" ht="15" customHeight="1" x14ac:dyDescent="0.2">
      <c r="A170" s="22"/>
      <c r="B170" s="14"/>
      <c r="C170" s="73"/>
      <c r="D170" s="46"/>
      <c r="E170" s="46"/>
      <c r="F170" s="120"/>
      <c r="G170" s="120"/>
      <c r="H170" s="47"/>
      <c r="I170" s="116"/>
      <c r="J170" s="45"/>
      <c r="K170" s="45"/>
      <c r="L170" s="73"/>
      <c r="M170" s="118"/>
      <c r="N170" s="119"/>
      <c r="O170" s="113"/>
      <c r="P170" s="115"/>
      <c r="Q170"/>
      <c r="R170"/>
      <c r="S170" s="114"/>
      <c r="T170" s="110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2"/>
      <c r="BO170" s="22"/>
      <c r="BP170" s="22"/>
      <c r="BQ170" s="22"/>
      <c r="BR170" s="22"/>
      <c r="BS170" s="22"/>
      <c r="BT170" s="22"/>
      <c r="BU170" s="22"/>
      <c r="BV170" s="22"/>
      <c r="BW170" s="22"/>
      <c r="BX170" s="22"/>
      <c r="BY170" s="22"/>
      <c r="BZ170" s="22"/>
      <c r="CA170" s="22"/>
      <c r="CB170" s="22"/>
      <c r="CC170" s="22"/>
      <c r="CD170" s="22"/>
      <c r="CE170" s="22"/>
      <c r="CF170" s="22"/>
      <c r="CG170" s="22"/>
      <c r="CH170" s="22"/>
      <c r="CI170" s="22"/>
      <c r="CJ170" s="22"/>
      <c r="CK170" s="22"/>
      <c r="CL170" s="22"/>
      <c r="CM170" s="22"/>
      <c r="CN170" s="22"/>
      <c r="CO170" s="22"/>
      <c r="CP170" s="22"/>
      <c r="CQ170" s="22"/>
      <c r="CR170" s="22"/>
      <c r="CS170" s="22"/>
      <c r="CT170" s="22"/>
      <c r="CU170" s="22"/>
      <c r="CV170" s="22"/>
      <c r="CW170" s="22"/>
      <c r="CX170" s="22"/>
      <c r="CY170" s="22"/>
      <c r="CZ170" s="22"/>
      <c r="DA170" s="22"/>
      <c r="DB170" s="22"/>
      <c r="DC170" s="22"/>
      <c r="DD170" s="22"/>
      <c r="DE170" s="22"/>
      <c r="DF170" s="22"/>
      <c r="DG170" s="22"/>
      <c r="DH170" s="22"/>
      <c r="DI170" s="22"/>
      <c r="DJ170" s="22"/>
      <c r="DK170" s="22"/>
      <c r="DL170" s="22"/>
      <c r="DM170" s="22"/>
      <c r="DN170" s="22"/>
      <c r="DO170" s="22"/>
      <c r="DP170" s="22"/>
      <c r="DQ170" s="22"/>
      <c r="DR170" s="22"/>
      <c r="DS170" s="22"/>
      <c r="DT170" s="22"/>
      <c r="DU170" s="22"/>
      <c r="DV170" s="22"/>
      <c r="DW170" s="22"/>
      <c r="DX170" s="22"/>
      <c r="DY170" s="22"/>
      <c r="DZ170" s="22"/>
      <c r="EA170" s="22"/>
      <c r="EB170" s="22"/>
      <c r="EC170" s="22"/>
      <c r="ED170" s="22"/>
      <c r="EE170" s="22"/>
      <c r="EF170" s="22"/>
      <c r="EG170" s="22"/>
      <c r="EH170" s="22"/>
      <c r="EI170" s="22"/>
      <c r="EJ170" s="22"/>
      <c r="EK170" s="22"/>
      <c r="EL170" s="22"/>
      <c r="EM170" s="22"/>
      <c r="EN170" s="22"/>
      <c r="EO170" s="22"/>
      <c r="EP170" s="22"/>
      <c r="EQ170" s="22"/>
      <c r="ER170" s="22"/>
      <c r="ES170" s="22"/>
      <c r="ET170" s="22"/>
      <c r="EU170" s="22"/>
      <c r="EV170" s="22"/>
      <c r="EW170" s="22"/>
      <c r="EX170" s="22"/>
      <c r="EY170" s="22"/>
      <c r="EZ170" s="22"/>
      <c r="FA170" s="22"/>
      <c r="FB170" s="22"/>
      <c r="FC170" s="22"/>
      <c r="FD170" s="22"/>
      <c r="FE170" s="22"/>
      <c r="FF170" s="22"/>
      <c r="FG170" s="22"/>
      <c r="FH170" s="22"/>
      <c r="FI170" s="22"/>
      <c r="FJ170" s="22"/>
      <c r="FK170" s="22"/>
      <c r="FL170" s="22"/>
      <c r="FM170" s="22"/>
      <c r="FN170" s="22"/>
      <c r="FO170" s="22"/>
      <c r="FP170" s="22"/>
      <c r="FQ170" s="22"/>
      <c r="FR170" s="22"/>
      <c r="FS170" s="22"/>
      <c r="FT170" s="22"/>
      <c r="FU170" s="22"/>
      <c r="FV170" s="22"/>
      <c r="FW170" s="22"/>
      <c r="FX170" s="22"/>
      <c r="FY170" s="22"/>
      <c r="FZ170" s="22"/>
      <c r="GA170" s="22"/>
      <c r="GB170" s="22"/>
      <c r="GC170" s="22"/>
      <c r="GD170" s="22"/>
      <c r="GE170" s="22"/>
      <c r="GF170" s="22"/>
      <c r="GG170" s="22"/>
      <c r="GH170" s="22"/>
      <c r="GI170" s="22"/>
      <c r="GJ170" s="22"/>
      <c r="GK170" s="22"/>
      <c r="GL170" s="22"/>
      <c r="GM170" s="22"/>
      <c r="GN170" s="22"/>
      <c r="GO170" s="22"/>
      <c r="GP170" s="22"/>
      <c r="GQ170" s="22"/>
      <c r="GR170" s="22"/>
      <c r="GS170" s="22"/>
      <c r="GT170" s="22"/>
      <c r="GU170" s="22"/>
      <c r="GV170" s="22"/>
      <c r="GW170" s="22"/>
      <c r="GX170" s="22"/>
      <c r="GY170" s="22"/>
      <c r="GZ170" s="22"/>
      <c r="HA170" s="22"/>
      <c r="HB170" s="22"/>
      <c r="HC170" s="22"/>
    </row>
    <row r="171" spans="1:211" ht="15" customHeight="1" x14ac:dyDescent="0.2">
      <c r="A171" s="22"/>
      <c r="B171" s="14"/>
      <c r="C171" s="73"/>
      <c r="D171" s="46"/>
      <c r="E171" s="46"/>
      <c r="F171" s="120"/>
      <c r="G171" s="120"/>
      <c r="H171" s="47"/>
      <c r="I171" s="116"/>
      <c r="J171" s="45"/>
      <c r="K171" s="45"/>
      <c r="L171" s="73"/>
      <c r="M171" s="118"/>
      <c r="N171" s="119"/>
      <c r="O171" s="113"/>
      <c r="P171" s="115"/>
      <c r="Q171"/>
      <c r="R171"/>
      <c r="S171" s="114"/>
      <c r="T171" s="110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2"/>
      <c r="BO171" s="22"/>
      <c r="BP171" s="22"/>
      <c r="BQ171" s="22"/>
      <c r="BR171" s="22"/>
      <c r="BS171" s="22"/>
      <c r="BT171" s="22"/>
      <c r="BU171" s="22"/>
      <c r="BV171" s="22"/>
      <c r="BW171" s="22"/>
      <c r="BX171" s="22"/>
      <c r="BY171" s="22"/>
      <c r="BZ171" s="22"/>
      <c r="CA171" s="22"/>
      <c r="CB171" s="22"/>
      <c r="CC171" s="22"/>
      <c r="CD171" s="22"/>
      <c r="CE171" s="22"/>
      <c r="CF171" s="22"/>
      <c r="CG171" s="22"/>
      <c r="CH171" s="22"/>
      <c r="CI171" s="22"/>
      <c r="CJ171" s="22"/>
      <c r="CK171" s="22"/>
      <c r="CL171" s="22"/>
      <c r="CM171" s="22"/>
      <c r="CN171" s="22"/>
      <c r="CO171" s="22"/>
      <c r="CP171" s="22"/>
      <c r="CQ171" s="22"/>
      <c r="CR171" s="22"/>
      <c r="CS171" s="22"/>
      <c r="CT171" s="22"/>
      <c r="CU171" s="22"/>
      <c r="CV171" s="22"/>
      <c r="CW171" s="22"/>
      <c r="CX171" s="22"/>
      <c r="CY171" s="22"/>
      <c r="CZ171" s="22"/>
      <c r="DA171" s="22"/>
      <c r="DB171" s="22"/>
      <c r="DC171" s="22"/>
      <c r="DD171" s="22"/>
      <c r="DE171" s="22"/>
      <c r="DF171" s="22"/>
      <c r="DG171" s="22"/>
      <c r="DH171" s="22"/>
      <c r="DI171" s="22"/>
      <c r="DJ171" s="22"/>
      <c r="DK171" s="22"/>
      <c r="DL171" s="22"/>
      <c r="DM171" s="22"/>
      <c r="DN171" s="22"/>
      <c r="DO171" s="22"/>
      <c r="DP171" s="22"/>
      <c r="DQ171" s="22"/>
      <c r="DR171" s="22"/>
      <c r="DS171" s="22"/>
      <c r="DT171" s="22"/>
      <c r="DU171" s="22"/>
      <c r="DV171" s="22"/>
      <c r="DW171" s="22"/>
      <c r="DX171" s="22"/>
      <c r="DY171" s="22"/>
      <c r="DZ171" s="22"/>
      <c r="EA171" s="22"/>
      <c r="EB171" s="22"/>
      <c r="EC171" s="22"/>
      <c r="ED171" s="22"/>
      <c r="EE171" s="22"/>
      <c r="EF171" s="22"/>
      <c r="EG171" s="22"/>
      <c r="EH171" s="22"/>
      <c r="EI171" s="22"/>
      <c r="EJ171" s="22"/>
      <c r="EK171" s="22"/>
      <c r="EL171" s="22"/>
      <c r="EM171" s="22"/>
      <c r="EN171" s="22"/>
      <c r="EO171" s="22"/>
      <c r="EP171" s="22"/>
      <c r="EQ171" s="22"/>
      <c r="ER171" s="22"/>
      <c r="ES171" s="22"/>
      <c r="ET171" s="22"/>
      <c r="EU171" s="22"/>
      <c r="EV171" s="22"/>
      <c r="EW171" s="22"/>
      <c r="EX171" s="22"/>
      <c r="EY171" s="22"/>
      <c r="EZ171" s="22"/>
      <c r="FA171" s="22"/>
      <c r="FB171" s="22"/>
      <c r="FC171" s="22"/>
      <c r="FD171" s="22"/>
      <c r="FE171" s="22"/>
      <c r="FF171" s="22"/>
      <c r="FG171" s="22"/>
      <c r="FH171" s="22"/>
      <c r="FI171" s="22"/>
      <c r="FJ171" s="22"/>
      <c r="FK171" s="22"/>
      <c r="FL171" s="22"/>
      <c r="FM171" s="22"/>
      <c r="FN171" s="22"/>
      <c r="FO171" s="22"/>
      <c r="FP171" s="22"/>
      <c r="FQ171" s="22"/>
      <c r="FR171" s="22"/>
      <c r="FS171" s="22"/>
      <c r="FT171" s="22"/>
      <c r="FU171" s="22"/>
      <c r="FV171" s="22"/>
      <c r="FW171" s="22"/>
      <c r="FX171" s="22"/>
      <c r="FY171" s="22"/>
      <c r="FZ171" s="22"/>
      <c r="GA171" s="22"/>
      <c r="GB171" s="22"/>
      <c r="GC171" s="22"/>
      <c r="GD171" s="22"/>
      <c r="GE171" s="22"/>
      <c r="GF171" s="22"/>
      <c r="GG171" s="22"/>
      <c r="GH171" s="22"/>
      <c r="GI171" s="22"/>
      <c r="GJ171" s="22"/>
      <c r="GK171" s="22"/>
      <c r="GL171" s="22"/>
      <c r="GM171" s="22"/>
      <c r="GN171" s="22"/>
      <c r="GO171" s="22"/>
      <c r="GP171" s="22"/>
      <c r="GQ171" s="22"/>
      <c r="GR171" s="22"/>
      <c r="GS171" s="22"/>
      <c r="GT171" s="22"/>
      <c r="GU171" s="22"/>
      <c r="GV171" s="22"/>
      <c r="GW171" s="22"/>
      <c r="GX171" s="22"/>
      <c r="GY171" s="22"/>
      <c r="GZ171" s="22"/>
      <c r="HA171" s="22"/>
      <c r="HB171" s="22"/>
      <c r="HC171" s="22"/>
    </row>
    <row r="172" spans="1:211" ht="15" customHeight="1" x14ac:dyDescent="0.2">
      <c r="A172" s="22"/>
      <c r="B172" s="14"/>
      <c r="C172" s="73"/>
      <c r="D172" s="46"/>
      <c r="E172" s="46"/>
      <c r="F172" s="120"/>
      <c r="G172" s="120"/>
      <c r="H172" s="47"/>
      <c r="I172" s="116"/>
      <c r="J172" s="45"/>
      <c r="K172" s="45"/>
      <c r="L172" s="73"/>
      <c r="M172" s="118"/>
      <c r="N172" s="119"/>
      <c r="O172" s="113"/>
      <c r="P172" s="115"/>
      <c r="Q172"/>
      <c r="R172"/>
      <c r="S172" s="114"/>
      <c r="T172" s="110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2"/>
      <c r="BO172" s="22"/>
      <c r="BP172" s="22"/>
      <c r="BQ172" s="22"/>
      <c r="BR172" s="22"/>
      <c r="BS172" s="22"/>
      <c r="BT172" s="22"/>
      <c r="BU172" s="22"/>
      <c r="BV172" s="22"/>
      <c r="BW172" s="22"/>
      <c r="BX172" s="22"/>
      <c r="BY172" s="22"/>
      <c r="BZ172" s="22"/>
      <c r="CA172" s="22"/>
      <c r="CB172" s="22"/>
      <c r="CC172" s="22"/>
      <c r="CD172" s="22"/>
      <c r="CE172" s="22"/>
      <c r="CF172" s="22"/>
      <c r="CG172" s="22"/>
      <c r="CH172" s="22"/>
      <c r="CI172" s="22"/>
      <c r="CJ172" s="22"/>
      <c r="CK172" s="22"/>
      <c r="CL172" s="22"/>
      <c r="CM172" s="22"/>
      <c r="CN172" s="22"/>
      <c r="CO172" s="22"/>
      <c r="CP172" s="22"/>
      <c r="CQ172" s="22"/>
      <c r="CR172" s="22"/>
      <c r="CS172" s="22"/>
      <c r="CT172" s="22"/>
      <c r="CU172" s="22"/>
      <c r="CV172" s="22"/>
      <c r="CW172" s="22"/>
      <c r="CX172" s="22"/>
      <c r="CY172" s="22"/>
      <c r="CZ172" s="22"/>
      <c r="DA172" s="22"/>
      <c r="DB172" s="22"/>
      <c r="DC172" s="22"/>
      <c r="DD172" s="22"/>
      <c r="DE172" s="22"/>
      <c r="DF172" s="22"/>
      <c r="DG172" s="22"/>
      <c r="DH172" s="22"/>
      <c r="DI172" s="22"/>
      <c r="DJ172" s="22"/>
      <c r="DK172" s="22"/>
      <c r="DL172" s="22"/>
      <c r="DM172" s="22"/>
      <c r="DN172" s="22"/>
      <c r="DO172" s="22"/>
      <c r="DP172" s="22"/>
      <c r="DQ172" s="22"/>
      <c r="DR172" s="22"/>
      <c r="DS172" s="22"/>
      <c r="DT172" s="22"/>
      <c r="DU172" s="22"/>
      <c r="DV172" s="22"/>
      <c r="DW172" s="22"/>
      <c r="DX172" s="22"/>
      <c r="DY172" s="22"/>
      <c r="DZ172" s="22"/>
      <c r="EA172" s="22"/>
      <c r="EB172" s="22"/>
      <c r="EC172" s="22"/>
      <c r="ED172" s="22"/>
      <c r="EE172" s="22"/>
      <c r="EF172" s="22"/>
      <c r="EG172" s="22"/>
      <c r="EH172" s="22"/>
      <c r="EI172" s="22"/>
      <c r="EJ172" s="22"/>
      <c r="EK172" s="22"/>
      <c r="EL172" s="22"/>
      <c r="EM172" s="22"/>
      <c r="EN172" s="22"/>
      <c r="EO172" s="22"/>
      <c r="EP172" s="22"/>
      <c r="EQ172" s="22"/>
      <c r="ER172" s="22"/>
      <c r="ES172" s="22"/>
      <c r="ET172" s="22"/>
      <c r="EU172" s="22"/>
      <c r="EV172" s="22"/>
      <c r="EW172" s="22"/>
      <c r="EX172" s="22"/>
      <c r="EY172" s="22"/>
      <c r="EZ172" s="22"/>
      <c r="FA172" s="22"/>
      <c r="FB172" s="22"/>
      <c r="FC172" s="22"/>
      <c r="FD172" s="22"/>
      <c r="FE172" s="22"/>
      <c r="FF172" s="22"/>
      <c r="FG172" s="22"/>
      <c r="FH172" s="22"/>
      <c r="FI172" s="22"/>
      <c r="FJ172" s="22"/>
      <c r="FK172" s="22"/>
      <c r="FL172" s="22"/>
      <c r="FM172" s="22"/>
      <c r="FN172" s="22"/>
      <c r="FO172" s="22"/>
      <c r="FP172" s="22"/>
      <c r="FQ172" s="22"/>
      <c r="FR172" s="22"/>
      <c r="FS172" s="22"/>
      <c r="FT172" s="22"/>
      <c r="FU172" s="22"/>
      <c r="FV172" s="22"/>
      <c r="FW172" s="22"/>
      <c r="FX172" s="22"/>
      <c r="FY172" s="22"/>
      <c r="FZ172" s="22"/>
      <c r="GA172" s="22"/>
      <c r="GB172" s="22"/>
      <c r="GC172" s="22"/>
      <c r="GD172" s="22"/>
      <c r="GE172" s="22"/>
      <c r="GF172" s="22"/>
      <c r="GG172" s="22"/>
      <c r="GH172" s="22"/>
      <c r="GI172" s="22"/>
      <c r="GJ172" s="22"/>
      <c r="GK172" s="22"/>
      <c r="GL172" s="22"/>
      <c r="GM172" s="22"/>
      <c r="GN172" s="22"/>
      <c r="GO172" s="22"/>
      <c r="GP172" s="22"/>
      <c r="GQ172" s="22"/>
      <c r="GR172" s="22"/>
      <c r="GS172" s="22"/>
      <c r="GT172" s="22"/>
      <c r="GU172" s="22"/>
      <c r="GV172" s="22"/>
      <c r="GW172" s="22"/>
      <c r="GX172" s="22"/>
      <c r="GY172" s="22"/>
      <c r="GZ172" s="22"/>
      <c r="HA172" s="22"/>
      <c r="HB172" s="22"/>
      <c r="HC172" s="22"/>
    </row>
    <row r="173" spans="1:211" ht="15" customHeight="1" x14ac:dyDescent="0.2">
      <c r="A173" s="22"/>
      <c r="B173" s="14"/>
      <c r="C173" s="73"/>
      <c r="D173" s="46"/>
      <c r="E173" s="46"/>
      <c r="F173" s="120"/>
      <c r="G173" s="120"/>
      <c r="H173" s="47"/>
      <c r="I173" s="116"/>
      <c r="J173" s="45"/>
      <c r="K173" s="45"/>
      <c r="L173" s="73"/>
      <c r="M173" s="118"/>
      <c r="N173" s="119"/>
      <c r="O173" s="113"/>
      <c r="P173" s="115"/>
      <c r="Q173"/>
      <c r="R173"/>
      <c r="S173" s="114"/>
      <c r="T173" s="110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2"/>
      <c r="BO173" s="22"/>
      <c r="BP173" s="22"/>
      <c r="BQ173" s="22"/>
      <c r="BR173" s="22"/>
      <c r="BS173" s="22"/>
      <c r="BT173" s="22"/>
      <c r="BU173" s="22"/>
      <c r="BV173" s="22"/>
      <c r="BW173" s="22"/>
      <c r="BX173" s="22"/>
      <c r="BY173" s="22"/>
      <c r="BZ173" s="22"/>
      <c r="CA173" s="22"/>
      <c r="CB173" s="22"/>
      <c r="CC173" s="22"/>
      <c r="CD173" s="22"/>
      <c r="CE173" s="22"/>
      <c r="CF173" s="22"/>
      <c r="CG173" s="22"/>
      <c r="CH173" s="22"/>
      <c r="CI173" s="22"/>
      <c r="CJ173" s="22"/>
      <c r="CK173" s="22"/>
      <c r="CL173" s="22"/>
      <c r="CM173" s="22"/>
      <c r="CN173" s="22"/>
      <c r="CO173" s="22"/>
      <c r="CP173" s="22"/>
      <c r="CQ173" s="22"/>
      <c r="CR173" s="22"/>
      <c r="CS173" s="22"/>
      <c r="CT173" s="22"/>
      <c r="CU173" s="22"/>
      <c r="CV173" s="22"/>
      <c r="CW173" s="22"/>
      <c r="CX173" s="22"/>
      <c r="CY173" s="22"/>
      <c r="CZ173" s="22"/>
      <c r="DA173" s="22"/>
      <c r="DB173" s="22"/>
      <c r="DC173" s="22"/>
      <c r="DD173" s="22"/>
      <c r="DE173" s="22"/>
      <c r="DF173" s="22"/>
      <c r="DG173" s="22"/>
      <c r="DH173" s="22"/>
      <c r="DI173" s="22"/>
      <c r="DJ173" s="22"/>
      <c r="DK173" s="22"/>
      <c r="DL173" s="22"/>
      <c r="DM173" s="22"/>
      <c r="DN173" s="22"/>
      <c r="DO173" s="22"/>
      <c r="DP173" s="22"/>
      <c r="DQ173" s="22"/>
      <c r="DR173" s="22"/>
      <c r="DS173" s="22"/>
      <c r="DT173" s="22"/>
      <c r="DU173" s="22"/>
      <c r="DV173" s="22"/>
      <c r="DW173" s="22"/>
      <c r="DX173" s="22"/>
      <c r="DY173" s="22"/>
      <c r="DZ173" s="22"/>
      <c r="EA173" s="22"/>
      <c r="EB173" s="22"/>
      <c r="EC173" s="22"/>
      <c r="ED173" s="22"/>
      <c r="EE173" s="22"/>
      <c r="EF173" s="22"/>
      <c r="EG173" s="22"/>
      <c r="EH173" s="22"/>
      <c r="EI173" s="22"/>
      <c r="EJ173" s="22"/>
      <c r="EK173" s="22"/>
      <c r="EL173" s="22"/>
      <c r="EM173" s="22"/>
      <c r="EN173" s="22"/>
      <c r="EO173" s="22"/>
      <c r="EP173" s="22"/>
      <c r="EQ173" s="22"/>
      <c r="ER173" s="22"/>
      <c r="ES173" s="22"/>
      <c r="ET173" s="22"/>
      <c r="EU173" s="22"/>
      <c r="EV173" s="22"/>
      <c r="EW173" s="22"/>
      <c r="EX173" s="22"/>
      <c r="EY173" s="22"/>
      <c r="EZ173" s="22"/>
      <c r="FA173" s="22"/>
      <c r="FB173" s="22"/>
      <c r="FC173" s="22"/>
      <c r="FD173" s="22"/>
      <c r="FE173" s="22"/>
      <c r="FF173" s="22"/>
      <c r="FG173" s="22"/>
      <c r="FH173" s="22"/>
      <c r="FI173" s="22"/>
      <c r="FJ173" s="22"/>
      <c r="FK173" s="22"/>
      <c r="FL173" s="22"/>
      <c r="FM173" s="22"/>
      <c r="FN173" s="22"/>
      <c r="FO173" s="22"/>
      <c r="FP173" s="22"/>
      <c r="FQ173" s="22"/>
      <c r="FR173" s="22"/>
      <c r="FS173" s="22"/>
      <c r="FT173" s="22"/>
      <c r="FU173" s="22"/>
      <c r="FV173" s="22"/>
      <c r="FW173" s="22"/>
      <c r="FX173" s="22"/>
      <c r="FY173" s="22"/>
      <c r="FZ173" s="22"/>
      <c r="GA173" s="22"/>
      <c r="GB173" s="22"/>
      <c r="GC173" s="22"/>
      <c r="GD173" s="22"/>
      <c r="GE173" s="22"/>
      <c r="GF173" s="22"/>
      <c r="GG173" s="22"/>
      <c r="GH173" s="22"/>
      <c r="GI173" s="22"/>
      <c r="GJ173" s="22"/>
      <c r="GK173" s="22"/>
      <c r="GL173" s="22"/>
      <c r="GM173" s="22"/>
      <c r="GN173" s="22"/>
      <c r="GO173" s="22"/>
      <c r="GP173" s="22"/>
      <c r="GQ173" s="22"/>
      <c r="GR173" s="22"/>
      <c r="GS173" s="22"/>
      <c r="GT173" s="22"/>
      <c r="GU173" s="22"/>
      <c r="GV173" s="22"/>
      <c r="GW173" s="22"/>
      <c r="GX173" s="22"/>
      <c r="GY173" s="22"/>
      <c r="GZ173" s="22"/>
      <c r="HA173" s="22"/>
      <c r="HB173" s="22"/>
      <c r="HC173" s="22"/>
    </row>
    <row r="174" spans="1:211" ht="15" customHeight="1" x14ac:dyDescent="0.2">
      <c r="A174" s="22"/>
      <c r="B174" s="14"/>
      <c r="C174" s="73"/>
      <c r="D174" s="46"/>
      <c r="E174" s="46"/>
      <c r="F174" s="120"/>
      <c r="G174" s="120"/>
      <c r="H174" s="47"/>
      <c r="I174" s="116"/>
      <c r="J174" s="45"/>
      <c r="K174" s="45"/>
      <c r="L174" s="73"/>
      <c r="M174" s="118"/>
      <c r="N174" s="119"/>
      <c r="O174" s="113"/>
      <c r="P174" s="115"/>
      <c r="Q174"/>
      <c r="R174"/>
      <c r="S174" s="114"/>
      <c r="T174" s="110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  <c r="BO174" s="22"/>
      <c r="BP174" s="22"/>
      <c r="BQ174" s="22"/>
      <c r="BR174" s="22"/>
      <c r="BS174" s="22"/>
      <c r="BT174" s="22"/>
      <c r="BU174" s="22"/>
      <c r="BV174" s="22"/>
      <c r="BW174" s="22"/>
      <c r="BX174" s="22"/>
      <c r="BY174" s="22"/>
      <c r="BZ174" s="22"/>
      <c r="CA174" s="22"/>
      <c r="CB174" s="22"/>
      <c r="CC174" s="22"/>
      <c r="CD174" s="22"/>
      <c r="CE174" s="22"/>
      <c r="CF174" s="22"/>
      <c r="CG174" s="22"/>
      <c r="CH174" s="22"/>
      <c r="CI174" s="22"/>
      <c r="CJ174" s="22"/>
      <c r="CK174" s="22"/>
      <c r="CL174" s="22"/>
      <c r="CM174" s="22"/>
      <c r="CN174" s="22"/>
      <c r="CO174" s="22"/>
      <c r="CP174" s="22"/>
      <c r="CQ174" s="22"/>
      <c r="CR174" s="22"/>
      <c r="CS174" s="22"/>
      <c r="CT174" s="22"/>
      <c r="CU174" s="22"/>
      <c r="CV174" s="22"/>
      <c r="CW174" s="22"/>
      <c r="CX174" s="22"/>
      <c r="CY174" s="22"/>
      <c r="CZ174" s="22"/>
      <c r="DA174" s="22"/>
      <c r="DB174" s="22"/>
      <c r="DC174" s="22"/>
      <c r="DD174" s="22"/>
      <c r="DE174" s="22"/>
      <c r="DF174" s="22"/>
      <c r="DG174" s="22"/>
      <c r="DH174" s="22"/>
      <c r="DI174" s="22"/>
      <c r="DJ174" s="22"/>
      <c r="DK174" s="22"/>
      <c r="DL174" s="22"/>
      <c r="DM174" s="22"/>
      <c r="DN174" s="22"/>
      <c r="DO174" s="22"/>
      <c r="DP174" s="22"/>
      <c r="DQ174" s="22"/>
      <c r="DR174" s="22"/>
      <c r="DS174" s="22"/>
      <c r="DT174" s="22"/>
      <c r="DU174" s="22"/>
      <c r="DV174" s="22"/>
      <c r="DW174" s="22"/>
      <c r="DX174" s="22"/>
      <c r="DY174" s="22"/>
      <c r="DZ174" s="22"/>
      <c r="EA174" s="22"/>
      <c r="EB174" s="22"/>
      <c r="EC174" s="22"/>
      <c r="ED174" s="22"/>
      <c r="EE174" s="22"/>
      <c r="EF174" s="22"/>
      <c r="EG174" s="22"/>
      <c r="EH174" s="22"/>
      <c r="EI174" s="22"/>
      <c r="EJ174" s="22"/>
      <c r="EK174" s="22"/>
      <c r="EL174" s="22"/>
      <c r="EM174" s="22"/>
      <c r="EN174" s="22"/>
      <c r="EO174" s="22"/>
      <c r="EP174" s="22"/>
      <c r="EQ174" s="22"/>
      <c r="ER174" s="22"/>
      <c r="ES174" s="22"/>
      <c r="ET174" s="22"/>
      <c r="EU174" s="22"/>
      <c r="EV174" s="22"/>
      <c r="EW174" s="22"/>
      <c r="EX174" s="22"/>
      <c r="EY174" s="22"/>
      <c r="EZ174" s="22"/>
      <c r="FA174" s="22"/>
      <c r="FB174" s="22"/>
      <c r="FC174" s="22"/>
      <c r="FD174" s="22"/>
      <c r="FE174" s="22"/>
      <c r="FF174" s="22"/>
      <c r="FG174" s="22"/>
      <c r="FH174" s="22"/>
      <c r="FI174" s="22"/>
      <c r="FJ174" s="22"/>
      <c r="FK174" s="22"/>
      <c r="FL174" s="22"/>
      <c r="FM174" s="22"/>
      <c r="FN174" s="22"/>
      <c r="FO174" s="22"/>
      <c r="FP174" s="22"/>
      <c r="FQ174" s="22"/>
      <c r="FR174" s="22"/>
      <c r="FS174" s="22"/>
      <c r="FT174" s="22"/>
      <c r="FU174" s="22"/>
      <c r="FV174" s="22"/>
      <c r="FW174" s="22"/>
      <c r="FX174" s="22"/>
      <c r="FY174" s="22"/>
      <c r="FZ174" s="22"/>
      <c r="GA174" s="22"/>
      <c r="GB174" s="22"/>
      <c r="GC174" s="22"/>
      <c r="GD174" s="22"/>
      <c r="GE174" s="22"/>
      <c r="GF174" s="22"/>
      <c r="GG174" s="22"/>
      <c r="GH174" s="22"/>
      <c r="GI174" s="22"/>
      <c r="GJ174" s="22"/>
      <c r="GK174" s="22"/>
      <c r="GL174" s="22"/>
      <c r="GM174" s="22"/>
      <c r="GN174" s="22"/>
      <c r="GO174" s="22"/>
      <c r="GP174" s="22"/>
      <c r="GQ174" s="22"/>
      <c r="GR174" s="22"/>
      <c r="GS174" s="22"/>
      <c r="GT174" s="22"/>
      <c r="GU174" s="22"/>
      <c r="GV174" s="22"/>
      <c r="GW174" s="22"/>
      <c r="GX174" s="22"/>
      <c r="GY174" s="22"/>
      <c r="GZ174" s="22"/>
      <c r="HA174" s="22"/>
      <c r="HB174" s="22"/>
      <c r="HC174" s="22"/>
    </row>
    <row r="175" spans="1:211" ht="15" customHeight="1" x14ac:dyDescent="0.2">
      <c r="A175" s="22"/>
      <c r="B175" s="14"/>
      <c r="C175" s="73"/>
      <c r="D175" s="46"/>
      <c r="E175" s="46"/>
      <c r="F175" s="120"/>
      <c r="G175" s="120"/>
      <c r="H175" s="47"/>
      <c r="I175" s="116"/>
      <c r="J175" s="45"/>
      <c r="K175" s="45"/>
      <c r="L175" s="73"/>
      <c r="M175" s="118"/>
      <c r="N175" s="119"/>
      <c r="O175" s="113"/>
      <c r="P175" s="115"/>
      <c r="Q175"/>
      <c r="R175"/>
      <c r="S175" s="114"/>
      <c r="T175" s="110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2"/>
      <c r="BO175" s="22"/>
      <c r="BP175" s="22"/>
      <c r="BQ175" s="22"/>
      <c r="BR175" s="22"/>
      <c r="BS175" s="22"/>
      <c r="BT175" s="22"/>
      <c r="BU175" s="22"/>
      <c r="BV175" s="22"/>
      <c r="BW175" s="22"/>
      <c r="BX175" s="22"/>
      <c r="BY175" s="22"/>
      <c r="BZ175" s="22"/>
      <c r="CA175" s="22"/>
      <c r="CB175" s="22"/>
      <c r="CC175" s="22"/>
      <c r="CD175" s="22"/>
      <c r="CE175" s="22"/>
      <c r="CF175" s="22"/>
      <c r="CG175" s="22"/>
      <c r="CH175" s="22"/>
      <c r="CI175" s="22"/>
      <c r="CJ175" s="22"/>
      <c r="CK175" s="22"/>
      <c r="CL175" s="22"/>
      <c r="CM175" s="22"/>
      <c r="CN175" s="22"/>
      <c r="CO175" s="22"/>
      <c r="CP175" s="22"/>
      <c r="CQ175" s="22"/>
      <c r="CR175" s="22"/>
      <c r="CS175" s="22"/>
      <c r="CT175" s="22"/>
      <c r="CU175" s="22"/>
      <c r="CV175" s="22"/>
      <c r="CW175" s="22"/>
      <c r="CX175" s="22"/>
      <c r="CY175" s="22"/>
      <c r="CZ175" s="22"/>
      <c r="DA175" s="22"/>
      <c r="DB175" s="22"/>
      <c r="DC175" s="22"/>
      <c r="DD175" s="22"/>
      <c r="DE175" s="22"/>
      <c r="DF175" s="22"/>
      <c r="DG175" s="22"/>
      <c r="DH175" s="22"/>
      <c r="DI175" s="22"/>
      <c r="DJ175" s="22"/>
      <c r="DK175" s="22"/>
      <c r="DL175" s="22"/>
      <c r="DM175" s="22"/>
      <c r="DN175" s="22"/>
      <c r="DO175" s="22"/>
      <c r="DP175" s="22"/>
      <c r="DQ175" s="22"/>
      <c r="DR175" s="22"/>
      <c r="DS175" s="22"/>
      <c r="DT175" s="22"/>
      <c r="DU175" s="22"/>
      <c r="DV175" s="22"/>
      <c r="DW175" s="22"/>
      <c r="DX175" s="22"/>
      <c r="DY175" s="22"/>
      <c r="DZ175" s="22"/>
      <c r="EA175" s="22"/>
      <c r="EB175" s="22"/>
      <c r="EC175" s="22"/>
      <c r="ED175" s="22"/>
      <c r="EE175" s="22"/>
      <c r="EF175" s="22"/>
      <c r="EG175" s="22"/>
      <c r="EH175" s="22"/>
      <c r="EI175" s="22"/>
      <c r="EJ175" s="22"/>
      <c r="EK175" s="22"/>
      <c r="EL175" s="22"/>
      <c r="EM175" s="22"/>
      <c r="EN175" s="22"/>
      <c r="EO175" s="22"/>
      <c r="EP175" s="22"/>
      <c r="EQ175" s="22"/>
      <c r="ER175" s="22"/>
      <c r="ES175" s="22"/>
      <c r="ET175" s="22"/>
      <c r="EU175" s="22"/>
      <c r="EV175" s="22"/>
      <c r="EW175" s="22"/>
      <c r="EX175" s="22"/>
      <c r="EY175" s="22"/>
      <c r="EZ175" s="22"/>
      <c r="FA175" s="22"/>
      <c r="FB175" s="22"/>
      <c r="FC175" s="22"/>
      <c r="FD175" s="22"/>
      <c r="FE175" s="22"/>
      <c r="FF175" s="22"/>
      <c r="FG175" s="22"/>
      <c r="FH175" s="22"/>
      <c r="FI175" s="22"/>
      <c r="FJ175" s="22"/>
      <c r="FK175" s="22"/>
      <c r="FL175" s="22"/>
      <c r="FM175" s="22"/>
      <c r="FN175" s="22"/>
      <c r="FO175" s="22"/>
      <c r="FP175" s="22"/>
      <c r="FQ175" s="22"/>
      <c r="FR175" s="22"/>
      <c r="FS175" s="22"/>
      <c r="FT175" s="22"/>
      <c r="FU175" s="22"/>
      <c r="FV175" s="22"/>
      <c r="FW175" s="22"/>
      <c r="FX175" s="22"/>
      <c r="FY175" s="22"/>
      <c r="FZ175" s="22"/>
      <c r="GA175" s="22"/>
      <c r="GB175" s="22"/>
      <c r="GC175" s="22"/>
      <c r="GD175" s="22"/>
      <c r="GE175" s="22"/>
      <c r="GF175" s="22"/>
      <c r="GG175" s="22"/>
      <c r="GH175" s="22"/>
      <c r="GI175" s="22"/>
      <c r="GJ175" s="22"/>
      <c r="GK175" s="22"/>
      <c r="GL175" s="22"/>
      <c r="GM175" s="22"/>
      <c r="GN175" s="22"/>
      <c r="GO175" s="22"/>
      <c r="GP175" s="22"/>
      <c r="GQ175" s="22"/>
      <c r="GR175" s="22"/>
      <c r="GS175" s="22"/>
      <c r="GT175" s="22"/>
      <c r="GU175" s="22"/>
      <c r="GV175" s="22"/>
      <c r="GW175" s="22"/>
      <c r="GX175" s="22"/>
      <c r="GY175" s="22"/>
      <c r="GZ175" s="22"/>
      <c r="HA175" s="22"/>
      <c r="HB175" s="22"/>
      <c r="HC175" s="22"/>
    </row>
    <row r="176" spans="1:211" ht="15" customHeight="1" x14ac:dyDescent="0.2">
      <c r="A176" s="22"/>
      <c r="B176" s="14"/>
      <c r="C176" s="73"/>
      <c r="D176" s="46"/>
      <c r="E176" s="46"/>
      <c r="F176" s="120"/>
      <c r="G176" s="120"/>
      <c r="H176" s="47"/>
      <c r="I176" s="116"/>
      <c r="J176" s="45"/>
      <c r="K176" s="45"/>
      <c r="L176" s="73"/>
      <c r="M176" s="118"/>
      <c r="N176" s="119"/>
      <c r="O176" s="113"/>
      <c r="P176" s="115"/>
      <c r="Q176"/>
      <c r="R176"/>
      <c r="S176" s="114"/>
      <c r="T176" s="110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2"/>
      <c r="BO176" s="22"/>
      <c r="BP176" s="22"/>
      <c r="BQ176" s="22"/>
      <c r="BR176" s="22"/>
      <c r="BS176" s="22"/>
      <c r="BT176" s="22"/>
      <c r="BU176" s="22"/>
      <c r="BV176" s="22"/>
      <c r="BW176" s="22"/>
      <c r="BX176" s="22"/>
      <c r="BY176" s="22"/>
      <c r="BZ176" s="22"/>
      <c r="CA176" s="22"/>
      <c r="CB176" s="22"/>
      <c r="CC176" s="22"/>
      <c r="CD176" s="22"/>
      <c r="CE176" s="22"/>
      <c r="CF176" s="22"/>
      <c r="CG176" s="22"/>
      <c r="CH176" s="22"/>
      <c r="CI176" s="22"/>
      <c r="CJ176" s="22"/>
      <c r="CK176" s="22"/>
      <c r="CL176" s="22"/>
      <c r="CM176" s="22"/>
      <c r="CN176" s="22"/>
      <c r="CO176" s="22"/>
      <c r="CP176" s="22"/>
      <c r="CQ176" s="22"/>
      <c r="CR176" s="22"/>
      <c r="CS176" s="22"/>
      <c r="CT176" s="22"/>
      <c r="CU176" s="22"/>
      <c r="CV176" s="22"/>
      <c r="CW176" s="22"/>
      <c r="CX176" s="22"/>
      <c r="CY176" s="22"/>
      <c r="CZ176" s="22"/>
      <c r="DA176" s="22"/>
      <c r="DB176" s="22"/>
      <c r="DC176" s="22"/>
      <c r="DD176" s="22"/>
      <c r="DE176" s="22"/>
      <c r="DF176" s="22"/>
      <c r="DG176" s="22"/>
      <c r="DH176" s="22"/>
      <c r="DI176" s="22"/>
      <c r="DJ176" s="22"/>
      <c r="DK176" s="22"/>
      <c r="DL176" s="22"/>
      <c r="DM176" s="22"/>
      <c r="DN176" s="22"/>
      <c r="DO176" s="22"/>
      <c r="DP176" s="22"/>
      <c r="DQ176" s="22"/>
      <c r="DR176" s="22"/>
      <c r="DS176" s="22"/>
      <c r="DT176" s="22"/>
      <c r="DU176" s="22"/>
      <c r="DV176" s="22"/>
      <c r="DW176" s="22"/>
      <c r="DX176" s="22"/>
      <c r="DY176" s="22"/>
      <c r="DZ176" s="22"/>
      <c r="EA176" s="22"/>
      <c r="EB176" s="22"/>
      <c r="EC176" s="22"/>
      <c r="ED176" s="22"/>
      <c r="EE176" s="22"/>
      <c r="EF176" s="22"/>
      <c r="EG176" s="22"/>
      <c r="EH176" s="22"/>
      <c r="EI176" s="22"/>
      <c r="EJ176" s="22"/>
      <c r="EK176" s="22"/>
      <c r="EL176" s="22"/>
      <c r="EM176" s="22"/>
      <c r="EN176" s="22"/>
      <c r="EO176" s="22"/>
      <c r="EP176" s="22"/>
      <c r="EQ176" s="22"/>
      <c r="ER176" s="22"/>
      <c r="ES176" s="22"/>
      <c r="ET176" s="22"/>
      <c r="EU176" s="22"/>
      <c r="EV176" s="22"/>
      <c r="EW176" s="22"/>
      <c r="EX176" s="22"/>
      <c r="EY176" s="22"/>
      <c r="EZ176" s="22"/>
      <c r="FA176" s="22"/>
      <c r="FB176" s="22"/>
      <c r="FC176" s="22"/>
      <c r="FD176" s="22"/>
      <c r="FE176" s="22"/>
      <c r="FF176" s="22"/>
      <c r="FG176" s="22"/>
      <c r="FH176" s="22"/>
      <c r="FI176" s="22"/>
      <c r="FJ176" s="22"/>
      <c r="FK176" s="22"/>
      <c r="FL176" s="22"/>
      <c r="FM176" s="22"/>
      <c r="FN176" s="22"/>
      <c r="FO176" s="22"/>
      <c r="FP176" s="22"/>
      <c r="FQ176" s="22"/>
      <c r="FR176" s="22"/>
      <c r="FS176" s="22"/>
      <c r="FT176" s="22"/>
      <c r="FU176" s="22"/>
      <c r="FV176" s="22"/>
      <c r="FW176" s="22"/>
      <c r="FX176" s="22"/>
      <c r="FY176" s="22"/>
      <c r="FZ176" s="22"/>
      <c r="GA176" s="22"/>
      <c r="GB176" s="22"/>
      <c r="GC176" s="22"/>
      <c r="GD176" s="22"/>
      <c r="GE176" s="22"/>
      <c r="GF176" s="22"/>
      <c r="GG176" s="22"/>
      <c r="GH176" s="22"/>
      <c r="GI176" s="22"/>
      <c r="GJ176" s="22"/>
      <c r="GK176" s="22"/>
      <c r="GL176" s="22"/>
      <c r="GM176" s="22"/>
      <c r="GN176" s="22"/>
      <c r="GO176" s="22"/>
      <c r="GP176" s="22"/>
      <c r="GQ176" s="22"/>
      <c r="GR176" s="22"/>
      <c r="GS176" s="22"/>
      <c r="GT176" s="22"/>
      <c r="GU176" s="22"/>
      <c r="GV176" s="22"/>
      <c r="GW176" s="22"/>
      <c r="GX176" s="22"/>
      <c r="GY176" s="22"/>
      <c r="GZ176" s="22"/>
      <c r="HA176" s="22"/>
      <c r="HB176" s="22"/>
      <c r="HC176" s="22"/>
    </row>
    <row r="177" spans="1:211" ht="15" customHeight="1" x14ac:dyDescent="0.2">
      <c r="A177" s="22"/>
      <c r="B177" s="14"/>
      <c r="C177" s="73"/>
      <c r="D177" s="46"/>
      <c r="E177" s="46"/>
      <c r="F177" s="120"/>
      <c r="G177" s="120"/>
      <c r="H177" s="47"/>
      <c r="I177" s="116"/>
      <c r="J177" s="45"/>
      <c r="K177" s="73"/>
      <c r="L177" s="73"/>
      <c r="M177" s="118"/>
      <c r="N177" s="119"/>
      <c r="O177" s="113"/>
      <c r="P177" s="115"/>
      <c r="Q177"/>
      <c r="R177"/>
      <c r="S177" s="114"/>
      <c r="T177" s="110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</row>
    <row r="178" spans="1:211" ht="15" customHeight="1" x14ac:dyDescent="0.2">
      <c r="A178" s="22"/>
      <c r="B178" s="14"/>
      <c r="C178" s="73"/>
      <c r="D178" s="46"/>
      <c r="E178" s="46"/>
      <c r="F178" s="120"/>
      <c r="G178" s="120"/>
      <c r="H178" s="47"/>
      <c r="I178" s="116"/>
      <c r="J178" s="45"/>
      <c r="K178" s="73"/>
      <c r="L178" s="73"/>
      <c r="M178" s="118"/>
      <c r="N178" s="119"/>
      <c r="O178" s="113"/>
      <c r="P178" s="115"/>
      <c r="Q178"/>
      <c r="R178"/>
      <c r="S178" s="114"/>
      <c r="T178" s="110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</row>
    <row r="179" spans="1:211" ht="15" customHeight="1" x14ac:dyDescent="0.2">
      <c r="A179" s="22"/>
      <c r="B179" s="14"/>
      <c r="C179" s="73"/>
      <c r="D179" s="46"/>
      <c r="E179" s="46"/>
      <c r="F179" s="120"/>
      <c r="G179" s="120"/>
      <c r="H179" s="47"/>
      <c r="I179" s="116"/>
      <c r="J179" s="45"/>
      <c r="K179" s="73"/>
      <c r="L179" s="73"/>
      <c r="M179" s="118"/>
      <c r="N179" s="119"/>
      <c r="O179" s="113"/>
      <c r="P179" s="115"/>
      <c r="Q179"/>
      <c r="R179"/>
      <c r="S179" s="114"/>
      <c r="T179" s="110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</row>
    <row r="180" spans="1:211" ht="15" customHeight="1" x14ac:dyDescent="0.2">
      <c r="A180" s="22"/>
      <c r="B180" s="14"/>
      <c r="C180" s="73"/>
      <c r="D180" s="46"/>
      <c r="E180" s="46"/>
      <c r="F180" s="120"/>
      <c r="G180" s="120"/>
      <c r="H180" s="47"/>
      <c r="I180" s="116"/>
      <c r="J180" s="45"/>
      <c r="K180" s="73"/>
      <c r="L180" s="73"/>
      <c r="M180" s="118"/>
      <c r="N180" s="119"/>
      <c r="O180" s="113"/>
      <c r="P180" s="115"/>
      <c r="Q180"/>
      <c r="R180"/>
      <c r="S180" s="114"/>
      <c r="T180" s="110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</row>
    <row r="181" spans="1:211" ht="15" customHeight="1" x14ac:dyDescent="0.2">
      <c r="A181" s="22"/>
      <c r="B181" s="14"/>
      <c r="C181" s="73"/>
      <c r="D181" s="46"/>
      <c r="E181" s="46"/>
      <c r="F181" s="120"/>
      <c r="G181" s="120"/>
      <c r="H181" s="47"/>
      <c r="I181" s="116"/>
      <c r="J181" s="45"/>
      <c r="K181" s="45"/>
      <c r="L181" s="73"/>
      <c r="M181" s="118"/>
      <c r="N181" s="119"/>
      <c r="O181" s="113"/>
      <c r="P181" s="115"/>
      <c r="Q181"/>
      <c r="R181"/>
      <c r="S181" s="114"/>
      <c r="T181" s="110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</row>
    <row r="182" spans="1:211" ht="15" customHeight="1" x14ac:dyDescent="0.2">
      <c r="A182" s="22"/>
      <c r="B182" s="14"/>
      <c r="C182" s="73"/>
      <c r="D182" s="46"/>
      <c r="E182" s="46"/>
      <c r="F182" s="120"/>
      <c r="G182" s="120"/>
      <c r="H182" s="47"/>
      <c r="I182" s="116"/>
      <c r="J182" s="45"/>
      <c r="K182" s="45"/>
      <c r="L182" s="73"/>
      <c r="M182" s="118"/>
      <c r="N182" s="119"/>
      <c r="O182" s="113"/>
      <c r="P182" s="115"/>
      <c r="Q182"/>
      <c r="R182"/>
      <c r="S182" s="114"/>
      <c r="T182" s="110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  <c r="BS182" s="22"/>
      <c r="BT182" s="22"/>
      <c r="BU182" s="22"/>
      <c r="BV182" s="22"/>
      <c r="BW182" s="22"/>
      <c r="BX182" s="22"/>
      <c r="BY182" s="22"/>
      <c r="BZ182" s="22"/>
      <c r="CA182" s="22"/>
      <c r="CB182" s="22"/>
      <c r="CC182" s="22"/>
      <c r="CD182" s="22"/>
      <c r="CE182" s="22"/>
      <c r="CF182" s="22"/>
      <c r="CG182" s="22"/>
      <c r="CH182" s="22"/>
      <c r="CI182" s="22"/>
      <c r="CJ182" s="22"/>
      <c r="CK182" s="22"/>
      <c r="CL182" s="22"/>
      <c r="CM182" s="22"/>
      <c r="CN182" s="22"/>
      <c r="CO182" s="22"/>
      <c r="CP182" s="22"/>
      <c r="CQ182" s="22"/>
      <c r="CR182" s="22"/>
      <c r="CS182" s="22"/>
      <c r="CT182" s="22"/>
      <c r="CU182" s="22"/>
      <c r="CV182" s="22"/>
      <c r="CW182" s="22"/>
      <c r="CX182" s="22"/>
      <c r="CY182" s="22"/>
      <c r="CZ182" s="22"/>
      <c r="DA182" s="22"/>
      <c r="DB182" s="22"/>
      <c r="DC182" s="22"/>
      <c r="DD182" s="22"/>
      <c r="DE182" s="22"/>
      <c r="DF182" s="22"/>
      <c r="DG182" s="22"/>
      <c r="DH182" s="22"/>
      <c r="DI182" s="22"/>
      <c r="DJ182" s="22"/>
      <c r="DK182" s="22"/>
      <c r="DL182" s="22"/>
      <c r="DM182" s="22"/>
      <c r="DN182" s="22"/>
      <c r="DO182" s="22"/>
      <c r="DP182" s="22"/>
      <c r="DQ182" s="22"/>
      <c r="DR182" s="22"/>
      <c r="DS182" s="22"/>
      <c r="DT182" s="22"/>
      <c r="DU182" s="22"/>
      <c r="DV182" s="22"/>
      <c r="DW182" s="22"/>
      <c r="DX182" s="22"/>
      <c r="DY182" s="22"/>
      <c r="DZ182" s="22"/>
      <c r="EA182" s="22"/>
      <c r="EB182" s="22"/>
      <c r="EC182" s="22"/>
      <c r="ED182" s="22"/>
      <c r="EE182" s="22"/>
      <c r="EF182" s="22"/>
      <c r="EG182" s="22"/>
      <c r="EH182" s="22"/>
      <c r="EI182" s="22"/>
      <c r="EJ182" s="22"/>
      <c r="EK182" s="22"/>
      <c r="EL182" s="22"/>
      <c r="EM182" s="22"/>
      <c r="EN182" s="22"/>
      <c r="EO182" s="22"/>
      <c r="EP182" s="22"/>
      <c r="EQ182" s="22"/>
      <c r="ER182" s="22"/>
      <c r="ES182" s="22"/>
      <c r="ET182" s="22"/>
      <c r="EU182" s="22"/>
      <c r="EV182" s="22"/>
      <c r="EW182" s="22"/>
      <c r="EX182" s="22"/>
      <c r="EY182" s="22"/>
      <c r="EZ182" s="22"/>
      <c r="FA182" s="22"/>
      <c r="FB182" s="22"/>
      <c r="FC182" s="22"/>
      <c r="FD182" s="22"/>
      <c r="FE182" s="22"/>
      <c r="FF182" s="22"/>
      <c r="FG182" s="22"/>
      <c r="FH182" s="22"/>
      <c r="FI182" s="22"/>
      <c r="FJ182" s="22"/>
      <c r="FK182" s="22"/>
      <c r="FL182" s="22"/>
      <c r="FM182" s="22"/>
      <c r="FN182" s="22"/>
      <c r="FO182" s="22"/>
      <c r="FP182" s="22"/>
      <c r="FQ182" s="22"/>
      <c r="FR182" s="22"/>
      <c r="FS182" s="22"/>
      <c r="FT182" s="22"/>
      <c r="FU182" s="22"/>
      <c r="FV182" s="22"/>
      <c r="FW182" s="22"/>
      <c r="FX182" s="22"/>
      <c r="FY182" s="22"/>
      <c r="FZ182" s="22"/>
      <c r="GA182" s="22"/>
      <c r="GB182" s="22"/>
      <c r="GC182" s="22"/>
      <c r="GD182" s="22"/>
      <c r="GE182" s="22"/>
      <c r="GF182" s="22"/>
      <c r="GG182" s="22"/>
      <c r="GH182" s="22"/>
      <c r="GI182" s="22"/>
      <c r="GJ182" s="22"/>
      <c r="GK182" s="22"/>
      <c r="GL182" s="22"/>
      <c r="GM182" s="22"/>
      <c r="GN182" s="22"/>
      <c r="GO182" s="22"/>
      <c r="GP182" s="22"/>
      <c r="GQ182" s="22"/>
      <c r="GR182" s="22"/>
      <c r="GS182" s="22"/>
      <c r="GT182" s="22"/>
      <c r="GU182" s="22"/>
      <c r="GV182" s="22"/>
      <c r="GW182" s="22"/>
      <c r="GX182" s="22"/>
      <c r="GY182" s="22"/>
      <c r="GZ182" s="22"/>
      <c r="HA182" s="22"/>
      <c r="HB182" s="22"/>
      <c r="HC182" s="22"/>
    </row>
    <row r="183" spans="1:211" ht="15" customHeight="1" x14ac:dyDescent="0.2">
      <c r="A183" s="22"/>
      <c r="B183" s="14"/>
      <c r="C183" s="73"/>
      <c r="D183" s="46"/>
      <c r="E183" s="46"/>
      <c r="F183" s="120"/>
      <c r="G183" s="120"/>
      <c r="H183" s="47"/>
      <c r="I183" s="116"/>
      <c r="J183" s="45"/>
      <c r="K183" s="45"/>
      <c r="L183" s="73"/>
      <c r="M183" s="118"/>
      <c r="N183" s="119"/>
      <c r="O183" s="113"/>
      <c r="P183" s="115"/>
      <c r="Q183"/>
      <c r="R183"/>
      <c r="S183" s="114"/>
      <c r="T183" s="110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2"/>
      <c r="BH183" s="22"/>
      <c r="BI183" s="22"/>
      <c r="BJ183" s="22"/>
      <c r="BK183" s="22"/>
      <c r="BL183" s="22"/>
      <c r="BM183" s="22"/>
      <c r="BN183" s="22"/>
      <c r="BO183" s="22"/>
      <c r="BP183" s="22"/>
      <c r="BQ183" s="22"/>
      <c r="BR183" s="22"/>
      <c r="BS183" s="22"/>
      <c r="BT183" s="22"/>
      <c r="BU183" s="22"/>
      <c r="BV183" s="22"/>
      <c r="BW183" s="22"/>
      <c r="BX183" s="22"/>
      <c r="BY183" s="22"/>
      <c r="BZ183" s="22"/>
      <c r="CA183" s="22"/>
      <c r="CB183" s="22"/>
      <c r="CC183" s="22"/>
      <c r="CD183" s="22"/>
      <c r="CE183" s="22"/>
      <c r="CF183" s="22"/>
      <c r="CG183" s="22"/>
      <c r="CH183" s="22"/>
      <c r="CI183" s="22"/>
      <c r="CJ183" s="22"/>
      <c r="CK183" s="22"/>
      <c r="CL183" s="22"/>
      <c r="CM183" s="22"/>
      <c r="CN183" s="22"/>
      <c r="CO183" s="22"/>
      <c r="CP183" s="22"/>
      <c r="CQ183" s="22"/>
      <c r="CR183" s="22"/>
      <c r="CS183" s="22"/>
      <c r="CT183" s="22"/>
      <c r="CU183" s="22"/>
      <c r="CV183" s="22"/>
      <c r="CW183" s="22"/>
      <c r="CX183" s="22"/>
      <c r="CY183" s="22"/>
      <c r="CZ183" s="22"/>
      <c r="DA183" s="22"/>
      <c r="DB183" s="22"/>
      <c r="DC183" s="22"/>
      <c r="DD183" s="22"/>
      <c r="DE183" s="22"/>
      <c r="DF183" s="22"/>
      <c r="DG183" s="22"/>
      <c r="DH183" s="22"/>
      <c r="DI183" s="22"/>
      <c r="DJ183" s="22"/>
      <c r="DK183" s="22"/>
      <c r="DL183" s="22"/>
      <c r="DM183" s="22"/>
      <c r="DN183" s="22"/>
      <c r="DO183" s="22"/>
      <c r="DP183" s="22"/>
      <c r="DQ183" s="22"/>
      <c r="DR183" s="22"/>
      <c r="DS183" s="22"/>
      <c r="DT183" s="22"/>
      <c r="DU183" s="22"/>
      <c r="DV183" s="22"/>
      <c r="DW183" s="22"/>
      <c r="DX183" s="22"/>
      <c r="DY183" s="22"/>
      <c r="DZ183" s="22"/>
      <c r="EA183" s="22"/>
      <c r="EB183" s="22"/>
      <c r="EC183" s="22"/>
      <c r="ED183" s="22"/>
      <c r="EE183" s="22"/>
      <c r="EF183" s="22"/>
      <c r="EG183" s="22"/>
      <c r="EH183" s="22"/>
      <c r="EI183" s="22"/>
      <c r="EJ183" s="22"/>
      <c r="EK183" s="22"/>
      <c r="EL183" s="22"/>
      <c r="EM183" s="22"/>
      <c r="EN183" s="22"/>
      <c r="EO183" s="22"/>
      <c r="EP183" s="22"/>
      <c r="EQ183" s="22"/>
      <c r="ER183" s="22"/>
      <c r="ES183" s="22"/>
      <c r="ET183" s="22"/>
      <c r="EU183" s="22"/>
      <c r="EV183" s="22"/>
      <c r="EW183" s="22"/>
      <c r="EX183" s="22"/>
      <c r="EY183" s="22"/>
      <c r="EZ183" s="22"/>
      <c r="FA183" s="22"/>
      <c r="FB183" s="22"/>
      <c r="FC183" s="22"/>
      <c r="FD183" s="22"/>
      <c r="FE183" s="22"/>
      <c r="FF183" s="22"/>
      <c r="FG183" s="22"/>
      <c r="FH183" s="22"/>
      <c r="FI183" s="22"/>
      <c r="FJ183" s="22"/>
      <c r="FK183" s="22"/>
      <c r="FL183" s="22"/>
      <c r="FM183" s="22"/>
      <c r="FN183" s="22"/>
      <c r="FO183" s="22"/>
      <c r="FP183" s="22"/>
      <c r="FQ183" s="22"/>
      <c r="FR183" s="22"/>
      <c r="FS183" s="22"/>
      <c r="FT183" s="22"/>
      <c r="FU183" s="22"/>
      <c r="FV183" s="22"/>
      <c r="FW183" s="22"/>
      <c r="FX183" s="22"/>
      <c r="FY183" s="22"/>
      <c r="FZ183" s="22"/>
      <c r="GA183" s="22"/>
      <c r="GB183" s="22"/>
      <c r="GC183" s="22"/>
      <c r="GD183" s="22"/>
      <c r="GE183" s="22"/>
      <c r="GF183" s="22"/>
      <c r="GG183" s="22"/>
      <c r="GH183" s="22"/>
      <c r="GI183" s="22"/>
      <c r="GJ183" s="22"/>
      <c r="GK183" s="22"/>
      <c r="GL183" s="22"/>
      <c r="GM183" s="22"/>
      <c r="GN183" s="22"/>
      <c r="GO183" s="22"/>
      <c r="GP183" s="22"/>
      <c r="GQ183" s="22"/>
      <c r="GR183" s="22"/>
      <c r="GS183" s="22"/>
      <c r="GT183" s="22"/>
      <c r="GU183" s="22"/>
      <c r="GV183" s="22"/>
      <c r="GW183" s="22"/>
      <c r="GX183" s="22"/>
      <c r="GY183" s="22"/>
      <c r="GZ183" s="22"/>
      <c r="HA183" s="22"/>
      <c r="HB183" s="22"/>
      <c r="HC183" s="22"/>
    </row>
    <row r="184" spans="1:211" ht="15" customHeight="1" x14ac:dyDescent="0.2">
      <c r="A184" s="22"/>
      <c r="B184" s="14"/>
      <c r="C184" s="73"/>
      <c r="D184" s="46"/>
      <c r="E184" s="46"/>
      <c r="F184" s="120"/>
      <c r="G184" s="120"/>
      <c r="H184" s="47"/>
      <c r="I184" s="116"/>
      <c r="J184" s="45"/>
      <c r="K184" s="73"/>
      <c r="L184" s="73"/>
      <c r="M184" s="118"/>
      <c r="N184" s="119"/>
      <c r="O184" s="113"/>
      <c r="P184" s="115"/>
      <c r="Q184"/>
      <c r="R184"/>
      <c r="S184" s="114"/>
      <c r="T184" s="110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22"/>
      <c r="BA184" s="22"/>
      <c r="BB184" s="22"/>
      <c r="BC184" s="22"/>
      <c r="BD184" s="22"/>
      <c r="BE184" s="22"/>
      <c r="BF184" s="22"/>
      <c r="BG184" s="22"/>
      <c r="BH184" s="22"/>
      <c r="BI184" s="22"/>
      <c r="BJ184" s="22"/>
      <c r="BK184" s="22"/>
      <c r="BL184" s="22"/>
      <c r="BM184" s="22"/>
      <c r="BN184" s="22"/>
      <c r="BO184" s="22"/>
      <c r="BP184" s="22"/>
      <c r="BQ184" s="22"/>
      <c r="BR184" s="22"/>
      <c r="BS184" s="22"/>
      <c r="BT184" s="22"/>
      <c r="BU184" s="22"/>
      <c r="BV184" s="22"/>
      <c r="BW184" s="22"/>
      <c r="BX184" s="22"/>
      <c r="BY184" s="22"/>
      <c r="BZ184" s="22"/>
      <c r="CA184" s="22"/>
      <c r="CB184" s="22"/>
      <c r="CC184" s="22"/>
      <c r="CD184" s="22"/>
      <c r="CE184" s="22"/>
      <c r="CF184" s="22"/>
      <c r="CG184" s="22"/>
      <c r="CH184" s="22"/>
      <c r="CI184" s="22"/>
      <c r="CJ184" s="22"/>
      <c r="CK184" s="22"/>
      <c r="CL184" s="22"/>
      <c r="CM184" s="22"/>
      <c r="CN184" s="22"/>
      <c r="CO184" s="22"/>
      <c r="CP184" s="22"/>
      <c r="CQ184" s="22"/>
      <c r="CR184" s="22"/>
      <c r="CS184" s="22"/>
      <c r="CT184" s="22"/>
      <c r="CU184" s="22"/>
      <c r="CV184" s="22"/>
      <c r="CW184" s="22"/>
      <c r="CX184" s="22"/>
      <c r="CY184" s="22"/>
      <c r="CZ184" s="22"/>
      <c r="DA184" s="22"/>
      <c r="DB184" s="22"/>
      <c r="DC184" s="22"/>
      <c r="DD184" s="22"/>
      <c r="DE184" s="22"/>
      <c r="DF184" s="22"/>
      <c r="DG184" s="22"/>
      <c r="DH184" s="22"/>
      <c r="DI184" s="22"/>
      <c r="DJ184" s="22"/>
      <c r="DK184" s="22"/>
      <c r="DL184" s="22"/>
      <c r="DM184" s="22"/>
      <c r="DN184" s="22"/>
      <c r="DO184" s="22"/>
      <c r="DP184" s="22"/>
      <c r="DQ184" s="22"/>
      <c r="DR184" s="22"/>
      <c r="DS184" s="22"/>
      <c r="DT184" s="22"/>
      <c r="DU184" s="22"/>
      <c r="DV184" s="22"/>
      <c r="DW184" s="22"/>
      <c r="DX184" s="22"/>
      <c r="DY184" s="22"/>
      <c r="DZ184" s="22"/>
      <c r="EA184" s="22"/>
      <c r="EB184" s="22"/>
      <c r="EC184" s="22"/>
      <c r="ED184" s="22"/>
      <c r="EE184" s="22"/>
      <c r="EF184" s="22"/>
      <c r="EG184" s="22"/>
      <c r="EH184" s="22"/>
      <c r="EI184" s="22"/>
      <c r="EJ184" s="22"/>
      <c r="EK184" s="22"/>
      <c r="EL184" s="22"/>
      <c r="EM184" s="22"/>
      <c r="EN184" s="22"/>
      <c r="EO184" s="22"/>
      <c r="EP184" s="22"/>
      <c r="EQ184" s="22"/>
      <c r="ER184" s="22"/>
      <c r="ES184" s="22"/>
      <c r="ET184" s="22"/>
      <c r="EU184" s="22"/>
      <c r="EV184" s="22"/>
      <c r="EW184" s="22"/>
      <c r="EX184" s="22"/>
      <c r="EY184" s="22"/>
      <c r="EZ184" s="22"/>
      <c r="FA184" s="22"/>
      <c r="FB184" s="22"/>
      <c r="FC184" s="22"/>
      <c r="FD184" s="22"/>
      <c r="FE184" s="22"/>
      <c r="FF184" s="22"/>
      <c r="FG184" s="22"/>
      <c r="FH184" s="22"/>
      <c r="FI184" s="22"/>
      <c r="FJ184" s="22"/>
      <c r="FK184" s="22"/>
      <c r="FL184" s="22"/>
      <c r="FM184" s="22"/>
      <c r="FN184" s="22"/>
      <c r="FO184" s="22"/>
      <c r="FP184" s="22"/>
      <c r="FQ184" s="22"/>
      <c r="FR184" s="22"/>
      <c r="FS184" s="22"/>
      <c r="FT184" s="22"/>
      <c r="FU184" s="22"/>
      <c r="FV184" s="22"/>
      <c r="FW184" s="22"/>
      <c r="FX184" s="22"/>
      <c r="FY184" s="22"/>
      <c r="FZ184" s="22"/>
      <c r="GA184" s="22"/>
      <c r="GB184" s="22"/>
      <c r="GC184" s="22"/>
      <c r="GD184" s="22"/>
      <c r="GE184" s="22"/>
      <c r="GF184" s="22"/>
      <c r="GG184" s="22"/>
      <c r="GH184" s="22"/>
      <c r="GI184" s="22"/>
      <c r="GJ184" s="22"/>
      <c r="GK184" s="22"/>
      <c r="GL184" s="22"/>
      <c r="GM184" s="22"/>
      <c r="GN184" s="22"/>
      <c r="GO184" s="22"/>
      <c r="GP184" s="22"/>
      <c r="GQ184" s="22"/>
      <c r="GR184" s="22"/>
      <c r="GS184" s="22"/>
      <c r="GT184" s="22"/>
      <c r="GU184" s="22"/>
      <c r="GV184" s="22"/>
      <c r="GW184" s="22"/>
      <c r="GX184" s="22"/>
      <c r="GY184" s="22"/>
      <c r="GZ184" s="22"/>
      <c r="HA184" s="22"/>
      <c r="HB184" s="22"/>
      <c r="HC184" s="22"/>
    </row>
    <row r="185" spans="1:211" ht="15" customHeight="1" x14ac:dyDescent="0.2">
      <c r="A185" s="22"/>
      <c r="B185" s="14"/>
      <c r="C185" s="73"/>
      <c r="D185" s="46"/>
      <c r="E185" s="46"/>
      <c r="F185" s="120"/>
      <c r="G185" s="120"/>
      <c r="H185" s="47"/>
      <c r="I185" s="116"/>
      <c r="J185" s="45"/>
      <c r="K185" s="73"/>
      <c r="L185" s="73"/>
      <c r="M185" s="118"/>
      <c r="N185" s="119"/>
      <c r="O185" s="113"/>
      <c r="P185" s="115"/>
      <c r="Q185"/>
      <c r="R185"/>
      <c r="S185" s="114"/>
      <c r="T185" s="110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2"/>
      <c r="BH185" s="22"/>
      <c r="BI185" s="22"/>
      <c r="BJ185" s="22"/>
      <c r="BK185" s="22"/>
      <c r="BL185" s="22"/>
      <c r="BM185" s="22"/>
      <c r="BN185" s="22"/>
      <c r="BO185" s="22"/>
      <c r="BP185" s="22"/>
      <c r="BQ185" s="22"/>
      <c r="BR185" s="22"/>
      <c r="BS185" s="22"/>
      <c r="BT185" s="22"/>
      <c r="BU185" s="22"/>
      <c r="BV185" s="22"/>
      <c r="BW185" s="22"/>
      <c r="BX185" s="22"/>
      <c r="BY185" s="22"/>
      <c r="BZ185" s="22"/>
      <c r="CA185" s="22"/>
      <c r="CB185" s="22"/>
      <c r="CC185" s="22"/>
      <c r="CD185" s="22"/>
      <c r="CE185" s="22"/>
      <c r="CF185" s="22"/>
      <c r="CG185" s="22"/>
      <c r="CH185" s="22"/>
      <c r="CI185" s="22"/>
      <c r="CJ185" s="22"/>
      <c r="CK185" s="22"/>
      <c r="CL185" s="22"/>
      <c r="CM185" s="22"/>
      <c r="CN185" s="22"/>
      <c r="CO185" s="22"/>
      <c r="CP185" s="22"/>
      <c r="CQ185" s="22"/>
      <c r="CR185" s="22"/>
      <c r="CS185" s="22"/>
      <c r="CT185" s="22"/>
      <c r="CU185" s="22"/>
      <c r="CV185" s="22"/>
      <c r="CW185" s="22"/>
      <c r="CX185" s="22"/>
      <c r="CY185" s="22"/>
      <c r="CZ185" s="22"/>
      <c r="DA185" s="22"/>
      <c r="DB185" s="22"/>
      <c r="DC185" s="22"/>
      <c r="DD185" s="22"/>
      <c r="DE185" s="22"/>
      <c r="DF185" s="22"/>
      <c r="DG185" s="22"/>
      <c r="DH185" s="22"/>
      <c r="DI185" s="22"/>
      <c r="DJ185" s="22"/>
      <c r="DK185" s="22"/>
      <c r="DL185" s="22"/>
      <c r="DM185" s="22"/>
      <c r="DN185" s="22"/>
      <c r="DO185" s="22"/>
      <c r="DP185" s="22"/>
      <c r="DQ185" s="22"/>
      <c r="DR185" s="22"/>
      <c r="DS185" s="22"/>
      <c r="DT185" s="22"/>
      <c r="DU185" s="22"/>
      <c r="DV185" s="22"/>
      <c r="DW185" s="22"/>
      <c r="DX185" s="22"/>
      <c r="DY185" s="22"/>
      <c r="DZ185" s="22"/>
      <c r="EA185" s="22"/>
      <c r="EB185" s="22"/>
      <c r="EC185" s="22"/>
      <c r="ED185" s="22"/>
      <c r="EE185" s="22"/>
      <c r="EF185" s="22"/>
      <c r="EG185" s="22"/>
      <c r="EH185" s="22"/>
      <c r="EI185" s="22"/>
      <c r="EJ185" s="22"/>
      <c r="EK185" s="22"/>
      <c r="EL185" s="22"/>
      <c r="EM185" s="22"/>
      <c r="EN185" s="22"/>
      <c r="EO185" s="22"/>
      <c r="EP185" s="22"/>
      <c r="EQ185" s="22"/>
      <c r="ER185" s="22"/>
      <c r="ES185" s="22"/>
      <c r="ET185" s="22"/>
      <c r="EU185" s="22"/>
      <c r="EV185" s="22"/>
      <c r="EW185" s="22"/>
      <c r="EX185" s="22"/>
      <c r="EY185" s="22"/>
      <c r="EZ185" s="22"/>
      <c r="FA185" s="22"/>
      <c r="FB185" s="22"/>
      <c r="FC185" s="22"/>
      <c r="FD185" s="22"/>
      <c r="FE185" s="22"/>
      <c r="FF185" s="22"/>
      <c r="FG185" s="22"/>
      <c r="FH185" s="22"/>
      <c r="FI185" s="22"/>
      <c r="FJ185" s="22"/>
      <c r="FK185" s="22"/>
      <c r="FL185" s="22"/>
      <c r="FM185" s="22"/>
      <c r="FN185" s="22"/>
      <c r="FO185" s="22"/>
      <c r="FP185" s="22"/>
      <c r="FQ185" s="22"/>
      <c r="FR185" s="22"/>
      <c r="FS185" s="22"/>
      <c r="FT185" s="22"/>
      <c r="FU185" s="22"/>
      <c r="FV185" s="22"/>
      <c r="FW185" s="22"/>
      <c r="FX185" s="22"/>
      <c r="FY185" s="22"/>
      <c r="FZ185" s="22"/>
      <c r="GA185" s="22"/>
      <c r="GB185" s="22"/>
      <c r="GC185" s="22"/>
      <c r="GD185" s="22"/>
      <c r="GE185" s="22"/>
      <c r="GF185" s="22"/>
      <c r="GG185" s="22"/>
      <c r="GH185" s="22"/>
      <c r="GI185" s="22"/>
      <c r="GJ185" s="22"/>
      <c r="GK185" s="22"/>
      <c r="GL185" s="22"/>
      <c r="GM185" s="22"/>
      <c r="GN185" s="22"/>
      <c r="GO185" s="22"/>
      <c r="GP185" s="22"/>
      <c r="GQ185" s="22"/>
      <c r="GR185" s="22"/>
      <c r="GS185" s="22"/>
      <c r="GT185" s="22"/>
      <c r="GU185" s="22"/>
      <c r="GV185" s="22"/>
      <c r="GW185" s="22"/>
      <c r="GX185" s="22"/>
      <c r="GY185" s="22"/>
      <c r="GZ185" s="22"/>
      <c r="HA185" s="22"/>
      <c r="HB185" s="22"/>
      <c r="HC185" s="22"/>
    </row>
    <row r="186" spans="1:211" ht="15" customHeight="1" x14ac:dyDescent="0.2">
      <c r="A186" s="22"/>
      <c r="B186" s="14"/>
      <c r="C186" s="73"/>
      <c r="D186" s="46"/>
      <c r="E186" s="46"/>
      <c r="F186" s="120"/>
      <c r="G186" s="120"/>
      <c r="H186" s="47"/>
      <c r="I186" s="116"/>
      <c r="J186" s="45"/>
      <c r="K186" s="73"/>
      <c r="L186" s="73"/>
      <c r="M186" s="118"/>
      <c r="N186" s="119"/>
      <c r="O186" s="113"/>
      <c r="P186" s="115"/>
      <c r="Q186"/>
      <c r="R186"/>
      <c r="S186" s="114"/>
      <c r="T186" s="110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22"/>
      <c r="BA186" s="22"/>
      <c r="BB186" s="22"/>
      <c r="BC186" s="22"/>
      <c r="BD186" s="22"/>
      <c r="BE186" s="22"/>
      <c r="BF186" s="22"/>
      <c r="BG186" s="22"/>
      <c r="BH186" s="22"/>
      <c r="BI186" s="22"/>
      <c r="BJ186" s="22"/>
      <c r="BK186" s="22"/>
      <c r="BL186" s="22"/>
      <c r="BM186" s="22"/>
      <c r="BN186" s="22"/>
      <c r="BO186" s="22"/>
      <c r="BP186" s="22"/>
      <c r="BQ186" s="22"/>
      <c r="BR186" s="22"/>
      <c r="BS186" s="22"/>
      <c r="BT186" s="22"/>
      <c r="BU186" s="22"/>
      <c r="BV186" s="22"/>
      <c r="BW186" s="22"/>
      <c r="BX186" s="22"/>
      <c r="BY186" s="22"/>
      <c r="BZ186" s="22"/>
      <c r="CA186" s="22"/>
      <c r="CB186" s="22"/>
      <c r="CC186" s="22"/>
      <c r="CD186" s="22"/>
      <c r="CE186" s="22"/>
      <c r="CF186" s="22"/>
      <c r="CG186" s="22"/>
      <c r="CH186" s="22"/>
      <c r="CI186" s="22"/>
      <c r="CJ186" s="22"/>
      <c r="CK186" s="22"/>
      <c r="CL186" s="22"/>
      <c r="CM186" s="22"/>
      <c r="CN186" s="22"/>
      <c r="CO186" s="22"/>
      <c r="CP186" s="22"/>
      <c r="CQ186" s="22"/>
      <c r="CR186" s="22"/>
      <c r="CS186" s="22"/>
      <c r="CT186" s="22"/>
      <c r="CU186" s="22"/>
      <c r="CV186" s="22"/>
      <c r="CW186" s="22"/>
      <c r="CX186" s="22"/>
      <c r="CY186" s="22"/>
      <c r="CZ186" s="22"/>
      <c r="DA186" s="22"/>
      <c r="DB186" s="22"/>
      <c r="DC186" s="22"/>
      <c r="DD186" s="22"/>
      <c r="DE186" s="22"/>
      <c r="DF186" s="22"/>
      <c r="DG186" s="22"/>
      <c r="DH186" s="22"/>
      <c r="DI186" s="22"/>
      <c r="DJ186" s="22"/>
      <c r="DK186" s="22"/>
      <c r="DL186" s="22"/>
      <c r="DM186" s="22"/>
      <c r="DN186" s="22"/>
      <c r="DO186" s="22"/>
      <c r="DP186" s="22"/>
      <c r="DQ186" s="22"/>
      <c r="DR186" s="22"/>
      <c r="DS186" s="22"/>
      <c r="DT186" s="22"/>
      <c r="DU186" s="22"/>
      <c r="DV186" s="22"/>
      <c r="DW186" s="22"/>
      <c r="DX186" s="22"/>
      <c r="DY186" s="22"/>
      <c r="DZ186" s="22"/>
      <c r="EA186" s="22"/>
      <c r="EB186" s="22"/>
      <c r="EC186" s="22"/>
      <c r="ED186" s="22"/>
      <c r="EE186" s="22"/>
      <c r="EF186" s="22"/>
      <c r="EG186" s="22"/>
      <c r="EH186" s="22"/>
      <c r="EI186" s="22"/>
      <c r="EJ186" s="22"/>
      <c r="EK186" s="22"/>
      <c r="EL186" s="22"/>
      <c r="EM186" s="22"/>
      <c r="EN186" s="22"/>
      <c r="EO186" s="22"/>
      <c r="EP186" s="22"/>
      <c r="EQ186" s="22"/>
      <c r="ER186" s="22"/>
      <c r="ES186" s="22"/>
      <c r="ET186" s="22"/>
      <c r="EU186" s="22"/>
      <c r="EV186" s="22"/>
      <c r="EW186" s="22"/>
      <c r="EX186" s="22"/>
      <c r="EY186" s="22"/>
      <c r="EZ186" s="22"/>
      <c r="FA186" s="22"/>
      <c r="FB186" s="22"/>
      <c r="FC186" s="22"/>
      <c r="FD186" s="22"/>
      <c r="FE186" s="22"/>
      <c r="FF186" s="22"/>
      <c r="FG186" s="22"/>
      <c r="FH186" s="22"/>
      <c r="FI186" s="22"/>
      <c r="FJ186" s="22"/>
      <c r="FK186" s="22"/>
      <c r="FL186" s="22"/>
      <c r="FM186" s="22"/>
      <c r="FN186" s="22"/>
      <c r="FO186" s="22"/>
      <c r="FP186" s="22"/>
      <c r="FQ186" s="22"/>
      <c r="FR186" s="22"/>
      <c r="FS186" s="22"/>
      <c r="FT186" s="22"/>
      <c r="FU186" s="22"/>
      <c r="FV186" s="22"/>
      <c r="FW186" s="22"/>
      <c r="FX186" s="22"/>
      <c r="FY186" s="22"/>
      <c r="FZ186" s="22"/>
      <c r="GA186" s="22"/>
      <c r="GB186" s="22"/>
      <c r="GC186" s="22"/>
      <c r="GD186" s="22"/>
      <c r="GE186" s="22"/>
      <c r="GF186" s="22"/>
      <c r="GG186" s="22"/>
      <c r="GH186" s="22"/>
      <c r="GI186" s="22"/>
      <c r="GJ186" s="22"/>
      <c r="GK186" s="22"/>
      <c r="GL186" s="22"/>
      <c r="GM186" s="22"/>
      <c r="GN186" s="22"/>
      <c r="GO186" s="22"/>
      <c r="GP186" s="22"/>
      <c r="GQ186" s="22"/>
      <c r="GR186" s="22"/>
      <c r="GS186" s="22"/>
      <c r="GT186" s="22"/>
      <c r="GU186" s="22"/>
      <c r="GV186" s="22"/>
      <c r="GW186" s="22"/>
      <c r="GX186" s="22"/>
      <c r="GY186" s="22"/>
      <c r="GZ186" s="22"/>
      <c r="HA186" s="22"/>
      <c r="HB186" s="22"/>
      <c r="HC186" s="22"/>
    </row>
    <row r="187" spans="1:211" ht="15" customHeight="1" x14ac:dyDescent="0.2">
      <c r="A187" s="22"/>
      <c r="B187" s="14"/>
      <c r="C187" s="73"/>
      <c r="D187" s="46"/>
      <c r="E187" s="46"/>
      <c r="F187" s="120"/>
      <c r="G187" s="120"/>
      <c r="H187" s="47"/>
      <c r="I187" s="116"/>
      <c r="J187" s="45"/>
      <c r="K187" s="45"/>
      <c r="L187" s="73"/>
      <c r="M187" s="118"/>
      <c r="N187" s="119"/>
      <c r="O187" s="113"/>
      <c r="P187" s="115"/>
      <c r="Q187"/>
      <c r="R187"/>
      <c r="S187" s="114"/>
      <c r="T187" s="110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2"/>
      <c r="BH187" s="22"/>
      <c r="BI187" s="22"/>
      <c r="BJ187" s="22"/>
      <c r="BK187" s="22"/>
      <c r="BL187" s="22"/>
      <c r="BM187" s="22"/>
      <c r="BN187" s="22"/>
      <c r="BO187" s="22"/>
      <c r="BP187" s="22"/>
      <c r="BQ187" s="22"/>
      <c r="BR187" s="22"/>
      <c r="BS187" s="22"/>
      <c r="BT187" s="22"/>
      <c r="BU187" s="22"/>
      <c r="BV187" s="22"/>
      <c r="BW187" s="22"/>
      <c r="BX187" s="22"/>
      <c r="BY187" s="22"/>
      <c r="BZ187" s="22"/>
      <c r="CA187" s="22"/>
      <c r="CB187" s="22"/>
      <c r="CC187" s="22"/>
      <c r="CD187" s="22"/>
      <c r="CE187" s="22"/>
      <c r="CF187" s="22"/>
      <c r="CG187" s="22"/>
      <c r="CH187" s="22"/>
      <c r="CI187" s="22"/>
      <c r="CJ187" s="22"/>
      <c r="CK187" s="22"/>
      <c r="CL187" s="22"/>
      <c r="CM187" s="22"/>
      <c r="CN187" s="22"/>
      <c r="CO187" s="22"/>
      <c r="CP187" s="22"/>
      <c r="CQ187" s="22"/>
      <c r="CR187" s="22"/>
      <c r="CS187" s="22"/>
      <c r="CT187" s="22"/>
      <c r="CU187" s="22"/>
      <c r="CV187" s="22"/>
      <c r="CW187" s="22"/>
      <c r="CX187" s="22"/>
      <c r="CY187" s="22"/>
      <c r="CZ187" s="22"/>
      <c r="DA187" s="22"/>
      <c r="DB187" s="22"/>
      <c r="DC187" s="22"/>
      <c r="DD187" s="22"/>
      <c r="DE187" s="22"/>
      <c r="DF187" s="22"/>
      <c r="DG187" s="22"/>
      <c r="DH187" s="22"/>
      <c r="DI187" s="22"/>
      <c r="DJ187" s="22"/>
      <c r="DK187" s="22"/>
      <c r="DL187" s="22"/>
      <c r="DM187" s="22"/>
      <c r="DN187" s="22"/>
      <c r="DO187" s="22"/>
      <c r="DP187" s="22"/>
      <c r="DQ187" s="22"/>
      <c r="DR187" s="22"/>
      <c r="DS187" s="22"/>
      <c r="DT187" s="22"/>
      <c r="DU187" s="22"/>
      <c r="DV187" s="22"/>
      <c r="DW187" s="22"/>
      <c r="DX187" s="22"/>
      <c r="DY187" s="22"/>
      <c r="DZ187" s="22"/>
      <c r="EA187" s="22"/>
      <c r="EB187" s="22"/>
      <c r="EC187" s="22"/>
      <c r="ED187" s="22"/>
      <c r="EE187" s="22"/>
      <c r="EF187" s="22"/>
      <c r="EG187" s="22"/>
      <c r="EH187" s="22"/>
      <c r="EI187" s="22"/>
      <c r="EJ187" s="22"/>
      <c r="EK187" s="22"/>
      <c r="EL187" s="22"/>
      <c r="EM187" s="22"/>
      <c r="EN187" s="22"/>
      <c r="EO187" s="22"/>
      <c r="EP187" s="22"/>
      <c r="EQ187" s="22"/>
      <c r="ER187" s="22"/>
      <c r="ES187" s="22"/>
      <c r="ET187" s="22"/>
      <c r="EU187" s="22"/>
      <c r="EV187" s="22"/>
      <c r="EW187" s="22"/>
      <c r="EX187" s="22"/>
      <c r="EY187" s="22"/>
      <c r="EZ187" s="22"/>
      <c r="FA187" s="22"/>
      <c r="FB187" s="22"/>
      <c r="FC187" s="22"/>
      <c r="FD187" s="22"/>
      <c r="FE187" s="22"/>
      <c r="FF187" s="22"/>
      <c r="FG187" s="22"/>
      <c r="FH187" s="22"/>
      <c r="FI187" s="22"/>
      <c r="FJ187" s="22"/>
      <c r="FK187" s="22"/>
      <c r="FL187" s="22"/>
      <c r="FM187" s="22"/>
      <c r="FN187" s="22"/>
      <c r="FO187" s="22"/>
      <c r="FP187" s="22"/>
      <c r="FQ187" s="22"/>
      <c r="FR187" s="22"/>
      <c r="FS187" s="22"/>
      <c r="FT187" s="22"/>
      <c r="FU187" s="22"/>
      <c r="FV187" s="22"/>
      <c r="FW187" s="22"/>
      <c r="FX187" s="22"/>
      <c r="FY187" s="22"/>
      <c r="FZ187" s="22"/>
      <c r="GA187" s="22"/>
      <c r="GB187" s="22"/>
      <c r="GC187" s="22"/>
      <c r="GD187" s="22"/>
      <c r="GE187" s="22"/>
      <c r="GF187" s="22"/>
      <c r="GG187" s="22"/>
      <c r="GH187" s="22"/>
      <c r="GI187" s="22"/>
      <c r="GJ187" s="22"/>
      <c r="GK187" s="22"/>
      <c r="GL187" s="22"/>
      <c r="GM187" s="22"/>
      <c r="GN187" s="22"/>
      <c r="GO187" s="22"/>
      <c r="GP187" s="22"/>
      <c r="GQ187" s="22"/>
      <c r="GR187" s="22"/>
      <c r="GS187" s="22"/>
      <c r="GT187" s="22"/>
      <c r="GU187" s="22"/>
      <c r="GV187" s="22"/>
      <c r="GW187" s="22"/>
      <c r="GX187" s="22"/>
      <c r="GY187" s="22"/>
      <c r="GZ187" s="22"/>
      <c r="HA187" s="22"/>
      <c r="HB187" s="22"/>
      <c r="HC187" s="22"/>
    </row>
    <row r="188" spans="1:211" ht="15" customHeight="1" x14ac:dyDescent="0.2">
      <c r="A188" s="22"/>
      <c r="B188" s="14"/>
      <c r="C188" s="73"/>
      <c r="D188" s="46"/>
      <c r="E188" s="46"/>
      <c r="F188" s="120"/>
      <c r="G188" s="120"/>
      <c r="H188" s="47"/>
      <c r="I188" s="116"/>
      <c r="J188" s="45"/>
      <c r="K188" s="73"/>
      <c r="L188" s="73"/>
      <c r="M188" s="118"/>
      <c r="N188" s="119"/>
      <c r="O188" s="113"/>
      <c r="P188" s="115"/>
      <c r="Q188"/>
      <c r="R188"/>
      <c r="S188" s="114"/>
      <c r="T188" s="110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22"/>
      <c r="BA188" s="22"/>
      <c r="BB188" s="22"/>
      <c r="BC188" s="22"/>
      <c r="BD188" s="22"/>
      <c r="BE188" s="22"/>
      <c r="BF188" s="22"/>
      <c r="BG188" s="22"/>
      <c r="BH188" s="22"/>
      <c r="BI188" s="22"/>
      <c r="BJ188" s="22"/>
      <c r="BK188" s="22"/>
      <c r="BL188" s="22"/>
      <c r="BM188" s="22"/>
      <c r="BN188" s="22"/>
      <c r="BO188" s="22"/>
      <c r="BP188" s="22"/>
      <c r="BQ188" s="22"/>
      <c r="BR188" s="22"/>
      <c r="BS188" s="22"/>
      <c r="BT188" s="22"/>
      <c r="BU188" s="22"/>
      <c r="BV188" s="22"/>
      <c r="BW188" s="22"/>
      <c r="BX188" s="22"/>
      <c r="BY188" s="22"/>
      <c r="BZ188" s="22"/>
      <c r="CA188" s="22"/>
      <c r="CB188" s="22"/>
      <c r="CC188" s="22"/>
      <c r="CD188" s="22"/>
      <c r="CE188" s="22"/>
      <c r="CF188" s="22"/>
      <c r="CG188" s="22"/>
      <c r="CH188" s="22"/>
      <c r="CI188" s="22"/>
      <c r="CJ188" s="22"/>
      <c r="CK188" s="22"/>
      <c r="CL188" s="22"/>
      <c r="CM188" s="22"/>
      <c r="CN188" s="22"/>
      <c r="CO188" s="22"/>
      <c r="CP188" s="22"/>
      <c r="CQ188" s="22"/>
      <c r="CR188" s="22"/>
      <c r="CS188" s="22"/>
      <c r="CT188" s="22"/>
      <c r="CU188" s="22"/>
      <c r="CV188" s="22"/>
      <c r="CW188" s="22"/>
      <c r="CX188" s="22"/>
      <c r="CY188" s="22"/>
      <c r="CZ188" s="22"/>
      <c r="DA188" s="22"/>
      <c r="DB188" s="22"/>
      <c r="DC188" s="22"/>
      <c r="DD188" s="22"/>
      <c r="DE188" s="22"/>
      <c r="DF188" s="22"/>
      <c r="DG188" s="22"/>
      <c r="DH188" s="22"/>
      <c r="DI188" s="22"/>
      <c r="DJ188" s="22"/>
      <c r="DK188" s="22"/>
      <c r="DL188" s="22"/>
      <c r="DM188" s="22"/>
      <c r="DN188" s="22"/>
      <c r="DO188" s="22"/>
      <c r="DP188" s="22"/>
      <c r="DQ188" s="22"/>
      <c r="DR188" s="22"/>
      <c r="DS188" s="22"/>
      <c r="DT188" s="22"/>
      <c r="DU188" s="22"/>
      <c r="DV188" s="22"/>
      <c r="DW188" s="22"/>
      <c r="DX188" s="22"/>
      <c r="DY188" s="22"/>
      <c r="DZ188" s="22"/>
      <c r="EA188" s="22"/>
      <c r="EB188" s="22"/>
      <c r="EC188" s="22"/>
      <c r="ED188" s="22"/>
      <c r="EE188" s="22"/>
      <c r="EF188" s="22"/>
      <c r="EG188" s="22"/>
      <c r="EH188" s="22"/>
      <c r="EI188" s="22"/>
      <c r="EJ188" s="22"/>
      <c r="EK188" s="22"/>
      <c r="EL188" s="22"/>
      <c r="EM188" s="22"/>
      <c r="EN188" s="22"/>
      <c r="EO188" s="22"/>
      <c r="EP188" s="22"/>
      <c r="EQ188" s="22"/>
      <c r="ER188" s="22"/>
      <c r="ES188" s="22"/>
      <c r="ET188" s="22"/>
      <c r="EU188" s="22"/>
      <c r="EV188" s="22"/>
      <c r="EW188" s="22"/>
      <c r="EX188" s="22"/>
      <c r="EY188" s="22"/>
      <c r="EZ188" s="22"/>
      <c r="FA188" s="22"/>
      <c r="FB188" s="22"/>
      <c r="FC188" s="22"/>
      <c r="FD188" s="22"/>
      <c r="FE188" s="22"/>
      <c r="FF188" s="22"/>
      <c r="FG188" s="22"/>
      <c r="FH188" s="22"/>
      <c r="FI188" s="22"/>
      <c r="FJ188" s="22"/>
      <c r="FK188" s="22"/>
      <c r="FL188" s="22"/>
      <c r="FM188" s="22"/>
      <c r="FN188" s="22"/>
      <c r="FO188" s="22"/>
      <c r="FP188" s="22"/>
      <c r="FQ188" s="22"/>
      <c r="FR188" s="22"/>
      <c r="FS188" s="22"/>
      <c r="FT188" s="22"/>
      <c r="FU188" s="22"/>
      <c r="FV188" s="22"/>
      <c r="FW188" s="22"/>
      <c r="FX188" s="22"/>
      <c r="FY188" s="22"/>
      <c r="FZ188" s="22"/>
      <c r="GA188" s="22"/>
      <c r="GB188" s="22"/>
      <c r="GC188" s="22"/>
      <c r="GD188" s="22"/>
      <c r="GE188" s="22"/>
      <c r="GF188" s="22"/>
      <c r="GG188" s="22"/>
      <c r="GH188" s="22"/>
      <c r="GI188" s="22"/>
      <c r="GJ188" s="22"/>
      <c r="GK188" s="22"/>
      <c r="GL188" s="22"/>
      <c r="GM188" s="22"/>
      <c r="GN188" s="22"/>
      <c r="GO188" s="22"/>
      <c r="GP188" s="22"/>
      <c r="GQ188" s="22"/>
      <c r="GR188" s="22"/>
      <c r="GS188" s="22"/>
      <c r="GT188" s="22"/>
      <c r="GU188" s="22"/>
      <c r="GV188" s="22"/>
      <c r="GW188" s="22"/>
      <c r="GX188" s="22"/>
      <c r="GY188" s="22"/>
      <c r="GZ188" s="22"/>
      <c r="HA188" s="22"/>
      <c r="HB188" s="22"/>
      <c r="HC188" s="22"/>
    </row>
    <row r="189" spans="1:211" ht="15" customHeight="1" x14ac:dyDescent="0.2">
      <c r="A189" s="22"/>
      <c r="B189" s="14"/>
      <c r="C189" s="73"/>
      <c r="D189" s="46"/>
      <c r="E189" s="46"/>
      <c r="F189" s="120"/>
      <c r="G189" s="120"/>
      <c r="H189" s="47"/>
      <c r="I189" s="116"/>
      <c r="J189" s="45"/>
      <c r="K189" s="45"/>
      <c r="L189" s="73"/>
      <c r="M189" s="118"/>
      <c r="N189" s="119"/>
      <c r="O189" s="113"/>
      <c r="P189" s="115"/>
      <c r="Q189"/>
      <c r="R189"/>
      <c r="S189" s="114"/>
      <c r="T189" s="110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2"/>
      <c r="BH189" s="22"/>
      <c r="BI189" s="22"/>
      <c r="BJ189" s="22"/>
      <c r="BK189" s="22"/>
      <c r="BL189" s="22"/>
      <c r="BM189" s="22"/>
      <c r="BN189" s="22"/>
      <c r="BO189" s="22"/>
      <c r="BP189" s="22"/>
      <c r="BQ189" s="22"/>
      <c r="BR189" s="22"/>
      <c r="BS189" s="22"/>
      <c r="BT189" s="22"/>
      <c r="BU189" s="22"/>
      <c r="BV189" s="22"/>
      <c r="BW189" s="22"/>
      <c r="BX189" s="22"/>
      <c r="BY189" s="22"/>
      <c r="BZ189" s="22"/>
      <c r="CA189" s="22"/>
      <c r="CB189" s="22"/>
      <c r="CC189" s="22"/>
      <c r="CD189" s="22"/>
      <c r="CE189" s="22"/>
      <c r="CF189" s="22"/>
      <c r="CG189" s="22"/>
      <c r="CH189" s="22"/>
      <c r="CI189" s="22"/>
      <c r="CJ189" s="22"/>
      <c r="CK189" s="22"/>
      <c r="CL189" s="22"/>
      <c r="CM189" s="22"/>
      <c r="CN189" s="22"/>
      <c r="CO189" s="22"/>
      <c r="CP189" s="22"/>
      <c r="CQ189" s="22"/>
      <c r="CR189" s="22"/>
      <c r="CS189" s="22"/>
      <c r="CT189" s="22"/>
      <c r="CU189" s="22"/>
      <c r="CV189" s="22"/>
      <c r="CW189" s="22"/>
      <c r="CX189" s="22"/>
      <c r="CY189" s="22"/>
      <c r="CZ189" s="22"/>
      <c r="DA189" s="22"/>
      <c r="DB189" s="22"/>
      <c r="DC189" s="22"/>
      <c r="DD189" s="22"/>
      <c r="DE189" s="22"/>
      <c r="DF189" s="22"/>
      <c r="DG189" s="22"/>
      <c r="DH189" s="22"/>
      <c r="DI189" s="22"/>
      <c r="DJ189" s="22"/>
      <c r="DK189" s="22"/>
      <c r="DL189" s="22"/>
      <c r="DM189" s="22"/>
      <c r="DN189" s="22"/>
      <c r="DO189" s="22"/>
      <c r="DP189" s="22"/>
      <c r="DQ189" s="22"/>
      <c r="DR189" s="22"/>
      <c r="DS189" s="22"/>
      <c r="DT189" s="22"/>
      <c r="DU189" s="22"/>
      <c r="DV189" s="22"/>
      <c r="DW189" s="22"/>
      <c r="DX189" s="22"/>
      <c r="DY189" s="22"/>
      <c r="DZ189" s="22"/>
      <c r="EA189" s="22"/>
      <c r="EB189" s="22"/>
      <c r="EC189" s="22"/>
      <c r="ED189" s="22"/>
      <c r="EE189" s="22"/>
      <c r="EF189" s="22"/>
      <c r="EG189" s="22"/>
      <c r="EH189" s="22"/>
      <c r="EI189" s="22"/>
      <c r="EJ189" s="22"/>
      <c r="EK189" s="22"/>
      <c r="EL189" s="22"/>
      <c r="EM189" s="22"/>
      <c r="EN189" s="22"/>
      <c r="EO189" s="22"/>
      <c r="EP189" s="22"/>
      <c r="EQ189" s="22"/>
      <c r="ER189" s="22"/>
      <c r="ES189" s="22"/>
      <c r="ET189" s="22"/>
      <c r="EU189" s="22"/>
      <c r="EV189" s="22"/>
      <c r="EW189" s="22"/>
      <c r="EX189" s="22"/>
      <c r="EY189" s="22"/>
      <c r="EZ189" s="22"/>
      <c r="FA189" s="22"/>
      <c r="FB189" s="22"/>
      <c r="FC189" s="22"/>
      <c r="FD189" s="22"/>
      <c r="FE189" s="22"/>
      <c r="FF189" s="22"/>
      <c r="FG189" s="22"/>
      <c r="FH189" s="22"/>
      <c r="FI189" s="22"/>
      <c r="FJ189" s="22"/>
      <c r="FK189" s="22"/>
      <c r="FL189" s="22"/>
      <c r="FM189" s="22"/>
      <c r="FN189" s="22"/>
      <c r="FO189" s="22"/>
      <c r="FP189" s="22"/>
      <c r="FQ189" s="22"/>
      <c r="FR189" s="22"/>
      <c r="FS189" s="22"/>
      <c r="FT189" s="22"/>
      <c r="FU189" s="22"/>
      <c r="FV189" s="22"/>
      <c r="FW189" s="22"/>
      <c r="FX189" s="22"/>
      <c r="FY189" s="22"/>
      <c r="FZ189" s="22"/>
      <c r="GA189" s="22"/>
      <c r="GB189" s="22"/>
      <c r="GC189" s="22"/>
      <c r="GD189" s="22"/>
      <c r="GE189" s="22"/>
      <c r="GF189" s="22"/>
      <c r="GG189" s="22"/>
      <c r="GH189" s="22"/>
      <c r="GI189" s="22"/>
      <c r="GJ189" s="22"/>
      <c r="GK189" s="22"/>
      <c r="GL189" s="22"/>
      <c r="GM189" s="22"/>
      <c r="GN189" s="22"/>
      <c r="GO189" s="22"/>
      <c r="GP189" s="22"/>
      <c r="GQ189" s="22"/>
      <c r="GR189" s="22"/>
      <c r="GS189" s="22"/>
      <c r="GT189" s="22"/>
      <c r="GU189" s="22"/>
      <c r="GV189" s="22"/>
      <c r="GW189" s="22"/>
      <c r="GX189" s="22"/>
      <c r="GY189" s="22"/>
      <c r="GZ189" s="22"/>
      <c r="HA189" s="22"/>
      <c r="HB189" s="22"/>
      <c r="HC189" s="22"/>
    </row>
    <row r="190" spans="1:211" ht="15" customHeight="1" x14ac:dyDescent="0.2">
      <c r="A190" s="22"/>
      <c r="B190" s="14"/>
      <c r="C190" s="73"/>
      <c r="D190" s="46"/>
      <c r="E190" s="46"/>
      <c r="F190" s="120"/>
      <c r="G190" s="120"/>
      <c r="H190" s="47"/>
      <c r="I190" s="116"/>
      <c r="J190" s="45"/>
      <c r="K190" s="73"/>
      <c r="L190" s="73"/>
      <c r="M190" s="118"/>
      <c r="N190" s="119"/>
      <c r="O190" s="113"/>
      <c r="P190" s="115"/>
      <c r="Q190"/>
      <c r="R190"/>
      <c r="S190" s="114"/>
      <c r="T190" s="110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  <c r="BN190" s="22"/>
      <c r="BO190" s="22"/>
      <c r="BP190" s="22"/>
      <c r="BQ190" s="22"/>
      <c r="BR190" s="22"/>
      <c r="BS190" s="22"/>
      <c r="BT190" s="22"/>
      <c r="BU190" s="22"/>
      <c r="BV190" s="22"/>
      <c r="BW190" s="22"/>
      <c r="BX190" s="22"/>
      <c r="BY190" s="22"/>
      <c r="BZ190" s="22"/>
      <c r="CA190" s="22"/>
      <c r="CB190" s="22"/>
      <c r="CC190" s="22"/>
      <c r="CD190" s="22"/>
      <c r="CE190" s="22"/>
      <c r="CF190" s="22"/>
      <c r="CG190" s="22"/>
      <c r="CH190" s="22"/>
      <c r="CI190" s="22"/>
      <c r="CJ190" s="22"/>
      <c r="CK190" s="22"/>
      <c r="CL190" s="22"/>
      <c r="CM190" s="22"/>
      <c r="CN190" s="22"/>
      <c r="CO190" s="22"/>
      <c r="CP190" s="22"/>
      <c r="CQ190" s="22"/>
      <c r="CR190" s="22"/>
      <c r="CS190" s="22"/>
      <c r="CT190" s="22"/>
      <c r="CU190" s="22"/>
      <c r="CV190" s="22"/>
      <c r="CW190" s="22"/>
      <c r="CX190" s="22"/>
      <c r="CY190" s="22"/>
      <c r="CZ190" s="22"/>
      <c r="DA190" s="22"/>
      <c r="DB190" s="22"/>
      <c r="DC190" s="22"/>
      <c r="DD190" s="22"/>
      <c r="DE190" s="22"/>
      <c r="DF190" s="22"/>
      <c r="DG190" s="22"/>
      <c r="DH190" s="22"/>
      <c r="DI190" s="22"/>
      <c r="DJ190" s="22"/>
      <c r="DK190" s="22"/>
      <c r="DL190" s="22"/>
      <c r="DM190" s="22"/>
      <c r="DN190" s="22"/>
      <c r="DO190" s="22"/>
      <c r="DP190" s="22"/>
      <c r="DQ190" s="22"/>
      <c r="DR190" s="22"/>
      <c r="DS190" s="22"/>
      <c r="DT190" s="22"/>
      <c r="DU190" s="22"/>
      <c r="DV190" s="22"/>
      <c r="DW190" s="22"/>
      <c r="DX190" s="22"/>
      <c r="DY190" s="22"/>
      <c r="DZ190" s="22"/>
      <c r="EA190" s="22"/>
      <c r="EB190" s="22"/>
      <c r="EC190" s="22"/>
      <c r="ED190" s="22"/>
      <c r="EE190" s="22"/>
      <c r="EF190" s="22"/>
      <c r="EG190" s="22"/>
      <c r="EH190" s="22"/>
      <c r="EI190" s="22"/>
      <c r="EJ190" s="22"/>
      <c r="EK190" s="22"/>
      <c r="EL190" s="22"/>
      <c r="EM190" s="22"/>
      <c r="EN190" s="22"/>
      <c r="EO190" s="22"/>
      <c r="EP190" s="22"/>
      <c r="EQ190" s="22"/>
      <c r="ER190" s="22"/>
      <c r="ES190" s="22"/>
      <c r="ET190" s="22"/>
      <c r="EU190" s="22"/>
      <c r="EV190" s="22"/>
      <c r="EW190" s="22"/>
      <c r="EX190" s="22"/>
      <c r="EY190" s="22"/>
      <c r="EZ190" s="22"/>
      <c r="FA190" s="22"/>
      <c r="FB190" s="22"/>
      <c r="FC190" s="22"/>
      <c r="FD190" s="22"/>
      <c r="FE190" s="22"/>
      <c r="FF190" s="22"/>
      <c r="FG190" s="22"/>
      <c r="FH190" s="22"/>
      <c r="FI190" s="22"/>
      <c r="FJ190" s="22"/>
      <c r="FK190" s="22"/>
      <c r="FL190" s="22"/>
      <c r="FM190" s="22"/>
      <c r="FN190" s="22"/>
      <c r="FO190" s="22"/>
      <c r="FP190" s="22"/>
      <c r="FQ190" s="22"/>
      <c r="FR190" s="22"/>
      <c r="FS190" s="22"/>
      <c r="FT190" s="22"/>
      <c r="FU190" s="22"/>
      <c r="FV190" s="22"/>
      <c r="FW190" s="22"/>
      <c r="FX190" s="22"/>
      <c r="FY190" s="22"/>
      <c r="FZ190" s="22"/>
      <c r="GA190" s="22"/>
      <c r="GB190" s="22"/>
      <c r="GC190" s="22"/>
      <c r="GD190" s="22"/>
      <c r="GE190" s="22"/>
      <c r="GF190" s="22"/>
      <c r="GG190" s="22"/>
      <c r="GH190" s="22"/>
      <c r="GI190" s="22"/>
      <c r="GJ190" s="22"/>
      <c r="GK190" s="22"/>
      <c r="GL190" s="22"/>
      <c r="GM190" s="22"/>
      <c r="GN190" s="22"/>
      <c r="GO190" s="22"/>
      <c r="GP190" s="22"/>
      <c r="GQ190" s="22"/>
      <c r="GR190" s="22"/>
      <c r="GS190" s="22"/>
      <c r="GT190" s="22"/>
      <c r="GU190" s="22"/>
      <c r="GV190" s="22"/>
      <c r="GW190" s="22"/>
      <c r="GX190" s="22"/>
      <c r="GY190" s="22"/>
      <c r="GZ190" s="22"/>
      <c r="HA190" s="22"/>
      <c r="HB190" s="22"/>
      <c r="HC190" s="22"/>
    </row>
    <row r="191" spans="1:211" ht="15" customHeight="1" x14ac:dyDescent="0.2">
      <c r="A191" s="22"/>
      <c r="B191" s="14"/>
      <c r="C191" s="73"/>
      <c r="D191" s="46"/>
      <c r="E191" s="46"/>
      <c r="F191" s="120"/>
      <c r="G191" s="120"/>
      <c r="H191" s="47"/>
      <c r="I191" s="116"/>
      <c r="J191" s="45"/>
      <c r="K191" s="73"/>
      <c r="L191" s="73"/>
      <c r="M191" s="118"/>
      <c r="N191" s="119"/>
      <c r="O191" s="113"/>
      <c r="P191" s="115"/>
      <c r="Q191"/>
      <c r="R191"/>
      <c r="S191" s="114"/>
      <c r="T191" s="110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2"/>
      <c r="BH191" s="22"/>
      <c r="BI191" s="22"/>
      <c r="BJ191" s="22"/>
      <c r="BK191" s="22"/>
      <c r="BL191" s="22"/>
      <c r="BM191" s="22"/>
      <c r="BN191" s="22"/>
      <c r="BO191" s="22"/>
      <c r="BP191" s="22"/>
      <c r="BQ191" s="22"/>
      <c r="BR191" s="22"/>
      <c r="BS191" s="22"/>
      <c r="BT191" s="22"/>
      <c r="BU191" s="22"/>
      <c r="BV191" s="22"/>
      <c r="BW191" s="22"/>
      <c r="BX191" s="22"/>
      <c r="BY191" s="22"/>
      <c r="BZ191" s="22"/>
      <c r="CA191" s="22"/>
      <c r="CB191" s="22"/>
      <c r="CC191" s="22"/>
      <c r="CD191" s="22"/>
      <c r="CE191" s="22"/>
      <c r="CF191" s="22"/>
      <c r="CG191" s="22"/>
      <c r="CH191" s="22"/>
      <c r="CI191" s="22"/>
      <c r="CJ191" s="22"/>
      <c r="CK191" s="22"/>
      <c r="CL191" s="22"/>
      <c r="CM191" s="22"/>
      <c r="CN191" s="22"/>
      <c r="CO191" s="22"/>
      <c r="CP191" s="22"/>
      <c r="CQ191" s="22"/>
      <c r="CR191" s="22"/>
      <c r="CS191" s="22"/>
      <c r="CT191" s="22"/>
      <c r="CU191" s="22"/>
      <c r="CV191" s="22"/>
      <c r="CW191" s="22"/>
      <c r="CX191" s="22"/>
      <c r="CY191" s="22"/>
      <c r="CZ191" s="22"/>
      <c r="DA191" s="22"/>
      <c r="DB191" s="22"/>
      <c r="DC191" s="22"/>
      <c r="DD191" s="22"/>
      <c r="DE191" s="22"/>
      <c r="DF191" s="22"/>
      <c r="DG191" s="22"/>
      <c r="DH191" s="22"/>
      <c r="DI191" s="22"/>
      <c r="DJ191" s="22"/>
      <c r="DK191" s="22"/>
      <c r="DL191" s="22"/>
      <c r="DM191" s="22"/>
      <c r="DN191" s="22"/>
      <c r="DO191" s="22"/>
      <c r="DP191" s="22"/>
      <c r="DQ191" s="22"/>
      <c r="DR191" s="22"/>
      <c r="DS191" s="22"/>
      <c r="DT191" s="22"/>
      <c r="DU191" s="22"/>
      <c r="DV191" s="22"/>
      <c r="DW191" s="22"/>
      <c r="DX191" s="22"/>
      <c r="DY191" s="22"/>
      <c r="DZ191" s="22"/>
      <c r="EA191" s="22"/>
      <c r="EB191" s="22"/>
      <c r="EC191" s="22"/>
      <c r="ED191" s="22"/>
      <c r="EE191" s="22"/>
      <c r="EF191" s="22"/>
      <c r="EG191" s="22"/>
      <c r="EH191" s="22"/>
      <c r="EI191" s="22"/>
      <c r="EJ191" s="22"/>
      <c r="EK191" s="22"/>
      <c r="EL191" s="22"/>
      <c r="EM191" s="22"/>
      <c r="EN191" s="22"/>
      <c r="EO191" s="22"/>
      <c r="EP191" s="22"/>
      <c r="EQ191" s="22"/>
      <c r="ER191" s="22"/>
      <c r="ES191" s="22"/>
      <c r="ET191" s="22"/>
      <c r="EU191" s="22"/>
      <c r="EV191" s="22"/>
      <c r="EW191" s="22"/>
      <c r="EX191" s="22"/>
      <c r="EY191" s="22"/>
      <c r="EZ191" s="22"/>
      <c r="FA191" s="22"/>
      <c r="FB191" s="22"/>
      <c r="FC191" s="22"/>
      <c r="FD191" s="22"/>
      <c r="FE191" s="22"/>
      <c r="FF191" s="22"/>
      <c r="FG191" s="22"/>
      <c r="FH191" s="22"/>
      <c r="FI191" s="22"/>
      <c r="FJ191" s="22"/>
      <c r="FK191" s="22"/>
      <c r="FL191" s="22"/>
      <c r="FM191" s="22"/>
      <c r="FN191" s="22"/>
      <c r="FO191" s="22"/>
      <c r="FP191" s="22"/>
      <c r="FQ191" s="22"/>
      <c r="FR191" s="22"/>
      <c r="FS191" s="22"/>
      <c r="FT191" s="22"/>
      <c r="FU191" s="22"/>
      <c r="FV191" s="22"/>
      <c r="FW191" s="22"/>
      <c r="FX191" s="22"/>
      <c r="FY191" s="22"/>
      <c r="FZ191" s="22"/>
      <c r="GA191" s="22"/>
      <c r="GB191" s="22"/>
      <c r="GC191" s="22"/>
      <c r="GD191" s="22"/>
      <c r="GE191" s="22"/>
      <c r="GF191" s="22"/>
      <c r="GG191" s="22"/>
      <c r="GH191" s="22"/>
      <c r="GI191" s="22"/>
      <c r="GJ191" s="22"/>
      <c r="GK191" s="22"/>
      <c r="GL191" s="22"/>
      <c r="GM191" s="22"/>
      <c r="GN191" s="22"/>
      <c r="GO191" s="22"/>
      <c r="GP191" s="22"/>
      <c r="GQ191" s="22"/>
      <c r="GR191" s="22"/>
      <c r="GS191" s="22"/>
      <c r="GT191" s="22"/>
      <c r="GU191" s="22"/>
      <c r="GV191" s="22"/>
      <c r="GW191" s="22"/>
      <c r="GX191" s="22"/>
      <c r="GY191" s="22"/>
      <c r="GZ191" s="22"/>
      <c r="HA191" s="22"/>
      <c r="HB191" s="22"/>
      <c r="HC191" s="22"/>
    </row>
    <row r="192" spans="1:211" ht="15" customHeight="1" x14ac:dyDescent="0.2">
      <c r="A192" s="22"/>
      <c r="B192" s="14"/>
      <c r="C192" s="73"/>
      <c r="D192" s="46"/>
      <c r="E192" s="46"/>
      <c r="F192" s="120"/>
      <c r="G192" s="120"/>
      <c r="H192" s="47"/>
      <c r="I192" s="116"/>
      <c r="J192" s="45"/>
      <c r="K192" s="45"/>
      <c r="L192" s="73"/>
      <c r="M192" s="118"/>
      <c r="N192" s="119"/>
      <c r="O192" s="113"/>
      <c r="P192" s="115"/>
      <c r="Q192"/>
      <c r="R192"/>
      <c r="S192" s="114"/>
      <c r="T192" s="110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22"/>
      <c r="BA192" s="22"/>
      <c r="BB192" s="22"/>
      <c r="BC192" s="22"/>
      <c r="BD192" s="22"/>
      <c r="BE192" s="22"/>
      <c r="BF192" s="22"/>
      <c r="BG192" s="22"/>
      <c r="BH192" s="22"/>
      <c r="BI192" s="22"/>
      <c r="BJ192" s="22"/>
      <c r="BK192" s="22"/>
      <c r="BL192" s="22"/>
      <c r="BM192" s="22"/>
      <c r="BN192" s="22"/>
      <c r="BO192" s="22"/>
      <c r="BP192" s="22"/>
      <c r="BQ192" s="22"/>
      <c r="BR192" s="22"/>
      <c r="BS192" s="22"/>
      <c r="BT192" s="22"/>
      <c r="BU192" s="22"/>
      <c r="BV192" s="22"/>
      <c r="BW192" s="22"/>
      <c r="BX192" s="22"/>
      <c r="BY192" s="22"/>
      <c r="BZ192" s="22"/>
      <c r="CA192" s="22"/>
      <c r="CB192" s="22"/>
      <c r="CC192" s="22"/>
      <c r="CD192" s="22"/>
      <c r="CE192" s="22"/>
      <c r="CF192" s="22"/>
      <c r="CG192" s="22"/>
      <c r="CH192" s="22"/>
      <c r="CI192" s="22"/>
      <c r="CJ192" s="22"/>
      <c r="CK192" s="22"/>
      <c r="CL192" s="22"/>
      <c r="CM192" s="22"/>
      <c r="CN192" s="22"/>
      <c r="CO192" s="22"/>
      <c r="CP192" s="22"/>
      <c r="CQ192" s="22"/>
      <c r="CR192" s="22"/>
      <c r="CS192" s="22"/>
      <c r="CT192" s="22"/>
      <c r="CU192" s="22"/>
      <c r="CV192" s="22"/>
      <c r="CW192" s="22"/>
      <c r="CX192" s="22"/>
      <c r="CY192" s="22"/>
      <c r="CZ192" s="22"/>
      <c r="DA192" s="22"/>
      <c r="DB192" s="22"/>
      <c r="DC192" s="22"/>
      <c r="DD192" s="22"/>
      <c r="DE192" s="22"/>
      <c r="DF192" s="22"/>
      <c r="DG192" s="22"/>
      <c r="DH192" s="22"/>
      <c r="DI192" s="22"/>
      <c r="DJ192" s="22"/>
      <c r="DK192" s="22"/>
      <c r="DL192" s="22"/>
      <c r="DM192" s="22"/>
      <c r="DN192" s="22"/>
      <c r="DO192" s="22"/>
      <c r="DP192" s="22"/>
      <c r="DQ192" s="22"/>
      <c r="DR192" s="22"/>
      <c r="DS192" s="22"/>
      <c r="DT192" s="22"/>
      <c r="DU192" s="22"/>
      <c r="DV192" s="22"/>
      <c r="DW192" s="22"/>
      <c r="DX192" s="22"/>
      <c r="DY192" s="22"/>
      <c r="DZ192" s="22"/>
      <c r="EA192" s="22"/>
      <c r="EB192" s="22"/>
      <c r="EC192" s="22"/>
      <c r="ED192" s="22"/>
      <c r="EE192" s="22"/>
      <c r="EF192" s="22"/>
      <c r="EG192" s="22"/>
      <c r="EH192" s="22"/>
      <c r="EI192" s="22"/>
      <c r="EJ192" s="22"/>
      <c r="EK192" s="22"/>
      <c r="EL192" s="22"/>
      <c r="EM192" s="22"/>
      <c r="EN192" s="22"/>
      <c r="EO192" s="22"/>
      <c r="EP192" s="22"/>
      <c r="EQ192" s="22"/>
      <c r="ER192" s="22"/>
      <c r="ES192" s="22"/>
      <c r="ET192" s="22"/>
      <c r="EU192" s="22"/>
      <c r="EV192" s="22"/>
      <c r="EW192" s="22"/>
      <c r="EX192" s="22"/>
      <c r="EY192" s="22"/>
      <c r="EZ192" s="22"/>
      <c r="FA192" s="22"/>
      <c r="FB192" s="22"/>
      <c r="FC192" s="22"/>
      <c r="FD192" s="22"/>
      <c r="FE192" s="22"/>
      <c r="FF192" s="22"/>
      <c r="FG192" s="22"/>
      <c r="FH192" s="22"/>
      <c r="FI192" s="22"/>
      <c r="FJ192" s="22"/>
      <c r="FK192" s="22"/>
      <c r="FL192" s="22"/>
      <c r="FM192" s="22"/>
      <c r="FN192" s="22"/>
      <c r="FO192" s="22"/>
      <c r="FP192" s="22"/>
      <c r="FQ192" s="22"/>
      <c r="FR192" s="22"/>
      <c r="FS192" s="22"/>
      <c r="FT192" s="22"/>
      <c r="FU192" s="22"/>
      <c r="FV192" s="22"/>
      <c r="FW192" s="22"/>
      <c r="FX192" s="22"/>
      <c r="FY192" s="22"/>
      <c r="FZ192" s="22"/>
      <c r="GA192" s="22"/>
      <c r="GB192" s="22"/>
      <c r="GC192" s="22"/>
      <c r="GD192" s="22"/>
      <c r="GE192" s="22"/>
      <c r="GF192" s="22"/>
      <c r="GG192" s="22"/>
      <c r="GH192" s="22"/>
      <c r="GI192" s="22"/>
      <c r="GJ192" s="22"/>
      <c r="GK192" s="22"/>
      <c r="GL192" s="22"/>
      <c r="GM192" s="22"/>
      <c r="GN192" s="22"/>
      <c r="GO192" s="22"/>
      <c r="GP192" s="22"/>
      <c r="GQ192" s="22"/>
      <c r="GR192" s="22"/>
      <c r="GS192" s="22"/>
      <c r="GT192" s="22"/>
      <c r="GU192" s="22"/>
      <c r="GV192" s="22"/>
      <c r="GW192" s="22"/>
      <c r="GX192" s="22"/>
      <c r="GY192" s="22"/>
      <c r="GZ192" s="22"/>
      <c r="HA192" s="22"/>
      <c r="HB192" s="22"/>
      <c r="HC192" s="22"/>
    </row>
    <row r="193" spans="1:211" ht="15" customHeight="1" x14ac:dyDescent="0.2">
      <c r="A193" s="22"/>
      <c r="B193" s="14"/>
      <c r="C193" s="73"/>
      <c r="D193" s="46"/>
      <c r="E193" s="46"/>
      <c r="F193" s="120"/>
      <c r="G193" s="120"/>
      <c r="H193" s="47"/>
      <c r="I193" s="116"/>
      <c r="J193" s="45"/>
      <c r="K193" s="45"/>
      <c r="L193" s="73"/>
      <c r="M193" s="118"/>
      <c r="N193" s="119"/>
      <c r="O193" s="113"/>
      <c r="P193" s="115"/>
      <c r="Q193"/>
      <c r="R193"/>
      <c r="S193" s="114"/>
      <c r="T193" s="110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2"/>
      <c r="BH193" s="22"/>
      <c r="BI193" s="22"/>
      <c r="BJ193" s="22"/>
      <c r="BK193" s="22"/>
      <c r="BL193" s="22"/>
      <c r="BM193" s="22"/>
      <c r="BN193" s="22"/>
      <c r="BO193" s="22"/>
      <c r="BP193" s="22"/>
      <c r="BQ193" s="22"/>
      <c r="BR193" s="22"/>
      <c r="BS193" s="22"/>
      <c r="BT193" s="22"/>
      <c r="BU193" s="22"/>
      <c r="BV193" s="22"/>
      <c r="BW193" s="22"/>
      <c r="BX193" s="22"/>
      <c r="BY193" s="22"/>
      <c r="BZ193" s="22"/>
      <c r="CA193" s="22"/>
      <c r="CB193" s="22"/>
      <c r="CC193" s="22"/>
      <c r="CD193" s="22"/>
      <c r="CE193" s="22"/>
      <c r="CF193" s="22"/>
      <c r="CG193" s="22"/>
      <c r="CH193" s="22"/>
      <c r="CI193" s="22"/>
      <c r="CJ193" s="22"/>
      <c r="CK193" s="22"/>
      <c r="CL193" s="22"/>
      <c r="CM193" s="22"/>
      <c r="CN193" s="22"/>
      <c r="CO193" s="22"/>
      <c r="CP193" s="22"/>
      <c r="CQ193" s="22"/>
      <c r="CR193" s="22"/>
      <c r="CS193" s="22"/>
      <c r="CT193" s="22"/>
      <c r="CU193" s="22"/>
      <c r="CV193" s="22"/>
      <c r="CW193" s="22"/>
      <c r="CX193" s="22"/>
      <c r="CY193" s="22"/>
      <c r="CZ193" s="22"/>
      <c r="DA193" s="22"/>
      <c r="DB193" s="22"/>
      <c r="DC193" s="22"/>
      <c r="DD193" s="22"/>
      <c r="DE193" s="22"/>
      <c r="DF193" s="22"/>
      <c r="DG193" s="22"/>
      <c r="DH193" s="22"/>
      <c r="DI193" s="22"/>
      <c r="DJ193" s="22"/>
      <c r="DK193" s="22"/>
      <c r="DL193" s="22"/>
      <c r="DM193" s="22"/>
      <c r="DN193" s="22"/>
      <c r="DO193" s="22"/>
      <c r="DP193" s="22"/>
      <c r="DQ193" s="22"/>
      <c r="DR193" s="22"/>
      <c r="DS193" s="22"/>
      <c r="DT193" s="22"/>
      <c r="DU193" s="22"/>
      <c r="DV193" s="22"/>
      <c r="DW193" s="22"/>
      <c r="DX193" s="22"/>
      <c r="DY193" s="22"/>
      <c r="DZ193" s="22"/>
      <c r="EA193" s="22"/>
      <c r="EB193" s="22"/>
      <c r="EC193" s="22"/>
      <c r="ED193" s="22"/>
      <c r="EE193" s="22"/>
      <c r="EF193" s="22"/>
      <c r="EG193" s="22"/>
      <c r="EH193" s="22"/>
      <c r="EI193" s="22"/>
      <c r="EJ193" s="22"/>
      <c r="EK193" s="22"/>
      <c r="EL193" s="22"/>
      <c r="EM193" s="22"/>
      <c r="EN193" s="22"/>
      <c r="EO193" s="22"/>
      <c r="EP193" s="22"/>
      <c r="EQ193" s="22"/>
      <c r="ER193" s="22"/>
      <c r="ES193" s="22"/>
      <c r="ET193" s="22"/>
      <c r="EU193" s="22"/>
      <c r="EV193" s="22"/>
      <c r="EW193" s="22"/>
      <c r="EX193" s="22"/>
      <c r="EY193" s="22"/>
      <c r="EZ193" s="22"/>
      <c r="FA193" s="22"/>
      <c r="FB193" s="22"/>
      <c r="FC193" s="22"/>
      <c r="FD193" s="22"/>
      <c r="FE193" s="22"/>
      <c r="FF193" s="22"/>
      <c r="FG193" s="22"/>
      <c r="FH193" s="22"/>
      <c r="FI193" s="22"/>
      <c r="FJ193" s="22"/>
      <c r="FK193" s="22"/>
      <c r="FL193" s="22"/>
      <c r="FM193" s="22"/>
      <c r="FN193" s="22"/>
      <c r="FO193" s="22"/>
      <c r="FP193" s="22"/>
      <c r="FQ193" s="22"/>
      <c r="FR193" s="22"/>
      <c r="FS193" s="22"/>
      <c r="FT193" s="22"/>
      <c r="FU193" s="22"/>
      <c r="FV193" s="22"/>
      <c r="FW193" s="22"/>
      <c r="FX193" s="22"/>
      <c r="FY193" s="22"/>
      <c r="FZ193" s="22"/>
      <c r="GA193" s="22"/>
      <c r="GB193" s="22"/>
      <c r="GC193" s="22"/>
      <c r="GD193" s="22"/>
      <c r="GE193" s="22"/>
      <c r="GF193" s="22"/>
      <c r="GG193" s="22"/>
      <c r="GH193" s="22"/>
      <c r="GI193" s="22"/>
      <c r="GJ193" s="22"/>
      <c r="GK193" s="22"/>
      <c r="GL193" s="22"/>
      <c r="GM193" s="22"/>
      <c r="GN193" s="22"/>
      <c r="GO193" s="22"/>
      <c r="GP193" s="22"/>
      <c r="GQ193" s="22"/>
      <c r="GR193" s="22"/>
      <c r="GS193" s="22"/>
      <c r="GT193" s="22"/>
      <c r="GU193" s="22"/>
      <c r="GV193" s="22"/>
      <c r="GW193" s="22"/>
      <c r="GX193" s="22"/>
      <c r="GY193" s="22"/>
      <c r="GZ193" s="22"/>
      <c r="HA193" s="22"/>
      <c r="HB193" s="22"/>
      <c r="HC193" s="22"/>
    </row>
    <row r="194" spans="1:211" ht="15" customHeight="1" x14ac:dyDescent="0.2">
      <c r="A194" s="22"/>
      <c r="B194" s="14"/>
      <c r="C194" s="73"/>
      <c r="D194" s="46"/>
      <c r="E194" s="46"/>
      <c r="F194" s="120"/>
      <c r="G194" s="120"/>
      <c r="H194" s="47"/>
      <c r="I194" s="116"/>
      <c r="J194" s="45"/>
      <c r="K194" s="73"/>
      <c r="L194" s="73"/>
      <c r="M194" s="118"/>
      <c r="N194" s="119"/>
      <c r="O194" s="113"/>
      <c r="P194" s="115"/>
      <c r="Q194"/>
      <c r="R194"/>
      <c r="S194" s="114"/>
      <c r="T194" s="110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22"/>
      <c r="BA194" s="22"/>
      <c r="BB194" s="22"/>
      <c r="BC194" s="22"/>
      <c r="BD194" s="22"/>
      <c r="BE194" s="22"/>
      <c r="BF194" s="22"/>
      <c r="BG194" s="22"/>
      <c r="BH194" s="22"/>
      <c r="BI194" s="22"/>
      <c r="BJ194" s="22"/>
      <c r="BK194" s="22"/>
      <c r="BL194" s="22"/>
      <c r="BM194" s="22"/>
      <c r="BN194" s="22"/>
      <c r="BO194" s="22"/>
      <c r="BP194" s="22"/>
      <c r="BQ194" s="22"/>
      <c r="BR194" s="22"/>
      <c r="BS194" s="22"/>
      <c r="BT194" s="22"/>
      <c r="BU194" s="22"/>
      <c r="BV194" s="22"/>
      <c r="BW194" s="22"/>
      <c r="BX194" s="22"/>
      <c r="BY194" s="22"/>
      <c r="BZ194" s="22"/>
      <c r="CA194" s="22"/>
      <c r="CB194" s="22"/>
      <c r="CC194" s="22"/>
      <c r="CD194" s="22"/>
      <c r="CE194" s="22"/>
      <c r="CF194" s="22"/>
      <c r="CG194" s="22"/>
      <c r="CH194" s="22"/>
      <c r="CI194" s="22"/>
      <c r="CJ194" s="22"/>
      <c r="CK194" s="22"/>
      <c r="CL194" s="22"/>
      <c r="CM194" s="22"/>
      <c r="CN194" s="22"/>
      <c r="CO194" s="22"/>
      <c r="CP194" s="22"/>
      <c r="CQ194" s="22"/>
      <c r="CR194" s="22"/>
      <c r="CS194" s="22"/>
      <c r="CT194" s="22"/>
      <c r="CU194" s="22"/>
      <c r="CV194" s="22"/>
      <c r="CW194" s="22"/>
      <c r="CX194" s="22"/>
      <c r="CY194" s="22"/>
      <c r="CZ194" s="22"/>
      <c r="DA194" s="22"/>
      <c r="DB194" s="22"/>
      <c r="DC194" s="22"/>
      <c r="DD194" s="22"/>
      <c r="DE194" s="22"/>
      <c r="DF194" s="22"/>
      <c r="DG194" s="22"/>
      <c r="DH194" s="22"/>
      <c r="DI194" s="22"/>
      <c r="DJ194" s="22"/>
      <c r="DK194" s="22"/>
      <c r="DL194" s="22"/>
      <c r="DM194" s="22"/>
      <c r="DN194" s="22"/>
      <c r="DO194" s="22"/>
      <c r="DP194" s="22"/>
      <c r="DQ194" s="22"/>
      <c r="DR194" s="22"/>
      <c r="DS194" s="22"/>
      <c r="DT194" s="22"/>
      <c r="DU194" s="22"/>
      <c r="DV194" s="22"/>
      <c r="DW194" s="22"/>
      <c r="DX194" s="22"/>
      <c r="DY194" s="22"/>
      <c r="DZ194" s="22"/>
      <c r="EA194" s="22"/>
      <c r="EB194" s="22"/>
      <c r="EC194" s="22"/>
      <c r="ED194" s="22"/>
      <c r="EE194" s="22"/>
      <c r="EF194" s="22"/>
      <c r="EG194" s="22"/>
      <c r="EH194" s="22"/>
      <c r="EI194" s="22"/>
      <c r="EJ194" s="22"/>
      <c r="EK194" s="22"/>
      <c r="EL194" s="22"/>
      <c r="EM194" s="22"/>
      <c r="EN194" s="22"/>
      <c r="EO194" s="22"/>
      <c r="EP194" s="22"/>
      <c r="EQ194" s="22"/>
      <c r="ER194" s="22"/>
      <c r="ES194" s="22"/>
      <c r="ET194" s="22"/>
      <c r="EU194" s="22"/>
      <c r="EV194" s="22"/>
      <c r="EW194" s="22"/>
      <c r="EX194" s="22"/>
      <c r="EY194" s="22"/>
      <c r="EZ194" s="22"/>
      <c r="FA194" s="22"/>
      <c r="FB194" s="22"/>
      <c r="FC194" s="22"/>
      <c r="FD194" s="22"/>
      <c r="FE194" s="22"/>
      <c r="FF194" s="22"/>
      <c r="FG194" s="22"/>
      <c r="FH194" s="22"/>
      <c r="FI194" s="22"/>
      <c r="FJ194" s="22"/>
      <c r="FK194" s="22"/>
      <c r="FL194" s="22"/>
      <c r="FM194" s="22"/>
      <c r="FN194" s="22"/>
      <c r="FO194" s="22"/>
      <c r="FP194" s="22"/>
      <c r="FQ194" s="22"/>
      <c r="FR194" s="22"/>
      <c r="FS194" s="22"/>
      <c r="FT194" s="22"/>
      <c r="FU194" s="22"/>
      <c r="FV194" s="22"/>
      <c r="FW194" s="22"/>
      <c r="FX194" s="22"/>
      <c r="FY194" s="22"/>
      <c r="FZ194" s="22"/>
      <c r="GA194" s="22"/>
      <c r="GB194" s="22"/>
      <c r="GC194" s="22"/>
      <c r="GD194" s="22"/>
      <c r="GE194" s="22"/>
      <c r="GF194" s="22"/>
      <c r="GG194" s="22"/>
      <c r="GH194" s="22"/>
      <c r="GI194" s="22"/>
      <c r="GJ194" s="22"/>
      <c r="GK194" s="22"/>
      <c r="GL194" s="22"/>
      <c r="GM194" s="22"/>
      <c r="GN194" s="22"/>
      <c r="GO194" s="22"/>
      <c r="GP194" s="22"/>
      <c r="GQ194" s="22"/>
      <c r="GR194" s="22"/>
      <c r="GS194" s="22"/>
      <c r="GT194" s="22"/>
      <c r="GU194" s="22"/>
      <c r="GV194" s="22"/>
      <c r="GW194" s="22"/>
      <c r="GX194" s="22"/>
      <c r="GY194" s="22"/>
      <c r="GZ194" s="22"/>
      <c r="HA194" s="22"/>
      <c r="HB194" s="22"/>
      <c r="HC194" s="22"/>
    </row>
    <row r="195" spans="1:211" ht="15" customHeight="1" x14ac:dyDescent="0.2">
      <c r="A195" s="22"/>
      <c r="B195" s="14"/>
      <c r="C195" s="73"/>
      <c r="D195" s="46"/>
      <c r="E195" s="46"/>
      <c r="F195" s="120"/>
      <c r="G195" s="120"/>
      <c r="H195" s="47"/>
      <c r="I195" s="116"/>
      <c r="J195" s="45"/>
      <c r="K195" s="45"/>
      <c r="L195" s="73"/>
      <c r="M195" s="118"/>
      <c r="N195" s="119"/>
      <c r="O195" s="113"/>
      <c r="P195" s="115"/>
      <c r="Q195"/>
      <c r="R195"/>
      <c r="S195" s="114"/>
      <c r="T195" s="110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2"/>
      <c r="BH195" s="22"/>
      <c r="BI195" s="22"/>
      <c r="BJ195" s="22"/>
      <c r="BK195" s="22"/>
      <c r="BL195" s="22"/>
      <c r="BM195" s="22"/>
      <c r="BN195" s="22"/>
      <c r="BO195" s="22"/>
      <c r="BP195" s="22"/>
      <c r="BQ195" s="22"/>
      <c r="BR195" s="22"/>
      <c r="BS195" s="22"/>
      <c r="BT195" s="22"/>
      <c r="BU195" s="22"/>
      <c r="BV195" s="22"/>
      <c r="BW195" s="22"/>
      <c r="BX195" s="22"/>
      <c r="BY195" s="22"/>
      <c r="BZ195" s="22"/>
      <c r="CA195" s="22"/>
      <c r="CB195" s="22"/>
      <c r="CC195" s="22"/>
      <c r="CD195" s="22"/>
      <c r="CE195" s="22"/>
      <c r="CF195" s="22"/>
      <c r="CG195" s="22"/>
      <c r="CH195" s="22"/>
      <c r="CI195" s="22"/>
      <c r="CJ195" s="22"/>
      <c r="CK195" s="22"/>
      <c r="CL195" s="22"/>
      <c r="CM195" s="22"/>
      <c r="CN195" s="22"/>
      <c r="CO195" s="22"/>
      <c r="CP195" s="22"/>
      <c r="CQ195" s="22"/>
      <c r="CR195" s="22"/>
      <c r="CS195" s="22"/>
      <c r="CT195" s="22"/>
      <c r="CU195" s="22"/>
      <c r="CV195" s="22"/>
      <c r="CW195" s="22"/>
      <c r="CX195" s="22"/>
      <c r="CY195" s="22"/>
      <c r="CZ195" s="22"/>
      <c r="DA195" s="22"/>
      <c r="DB195" s="22"/>
      <c r="DC195" s="22"/>
      <c r="DD195" s="22"/>
      <c r="DE195" s="22"/>
      <c r="DF195" s="22"/>
      <c r="DG195" s="22"/>
      <c r="DH195" s="22"/>
      <c r="DI195" s="22"/>
      <c r="DJ195" s="22"/>
      <c r="DK195" s="22"/>
      <c r="DL195" s="22"/>
      <c r="DM195" s="22"/>
      <c r="DN195" s="22"/>
      <c r="DO195" s="22"/>
      <c r="DP195" s="22"/>
      <c r="DQ195" s="22"/>
      <c r="DR195" s="22"/>
      <c r="DS195" s="22"/>
      <c r="DT195" s="22"/>
      <c r="DU195" s="22"/>
      <c r="DV195" s="22"/>
      <c r="DW195" s="22"/>
      <c r="DX195" s="22"/>
      <c r="DY195" s="22"/>
      <c r="DZ195" s="22"/>
      <c r="EA195" s="22"/>
      <c r="EB195" s="22"/>
      <c r="EC195" s="22"/>
      <c r="ED195" s="22"/>
      <c r="EE195" s="22"/>
      <c r="EF195" s="22"/>
      <c r="EG195" s="22"/>
      <c r="EH195" s="22"/>
      <c r="EI195" s="22"/>
      <c r="EJ195" s="22"/>
      <c r="EK195" s="22"/>
      <c r="EL195" s="22"/>
      <c r="EM195" s="22"/>
      <c r="EN195" s="22"/>
      <c r="EO195" s="22"/>
      <c r="EP195" s="22"/>
      <c r="EQ195" s="22"/>
      <c r="ER195" s="22"/>
      <c r="ES195" s="22"/>
      <c r="ET195" s="22"/>
      <c r="EU195" s="22"/>
      <c r="EV195" s="22"/>
      <c r="EW195" s="22"/>
      <c r="EX195" s="22"/>
      <c r="EY195" s="22"/>
      <c r="EZ195" s="22"/>
      <c r="FA195" s="22"/>
      <c r="FB195" s="22"/>
      <c r="FC195" s="22"/>
      <c r="FD195" s="22"/>
      <c r="FE195" s="22"/>
      <c r="FF195" s="22"/>
      <c r="FG195" s="22"/>
      <c r="FH195" s="22"/>
      <c r="FI195" s="22"/>
      <c r="FJ195" s="22"/>
      <c r="FK195" s="22"/>
      <c r="FL195" s="22"/>
      <c r="FM195" s="22"/>
      <c r="FN195" s="22"/>
      <c r="FO195" s="22"/>
      <c r="FP195" s="22"/>
      <c r="FQ195" s="22"/>
      <c r="FR195" s="22"/>
      <c r="FS195" s="22"/>
      <c r="FT195" s="22"/>
      <c r="FU195" s="22"/>
      <c r="FV195" s="22"/>
      <c r="FW195" s="22"/>
      <c r="FX195" s="22"/>
      <c r="FY195" s="22"/>
      <c r="FZ195" s="22"/>
      <c r="GA195" s="22"/>
      <c r="GB195" s="22"/>
      <c r="GC195" s="22"/>
      <c r="GD195" s="22"/>
      <c r="GE195" s="22"/>
      <c r="GF195" s="22"/>
      <c r="GG195" s="22"/>
      <c r="GH195" s="22"/>
      <c r="GI195" s="22"/>
      <c r="GJ195" s="22"/>
      <c r="GK195" s="22"/>
      <c r="GL195" s="22"/>
      <c r="GM195" s="22"/>
      <c r="GN195" s="22"/>
      <c r="GO195" s="22"/>
      <c r="GP195" s="22"/>
      <c r="GQ195" s="22"/>
      <c r="GR195" s="22"/>
      <c r="GS195" s="22"/>
      <c r="GT195" s="22"/>
      <c r="GU195" s="22"/>
      <c r="GV195" s="22"/>
      <c r="GW195" s="22"/>
      <c r="GX195" s="22"/>
      <c r="GY195" s="22"/>
      <c r="GZ195" s="22"/>
      <c r="HA195" s="22"/>
      <c r="HB195" s="22"/>
      <c r="HC195" s="22"/>
    </row>
    <row r="196" spans="1:211" ht="15" customHeight="1" x14ac:dyDescent="0.2">
      <c r="A196" s="22"/>
      <c r="B196" s="14"/>
      <c r="C196" s="73"/>
      <c r="D196" s="46"/>
      <c r="E196" s="46"/>
      <c r="F196" s="120"/>
      <c r="G196" s="120"/>
      <c r="H196" s="47"/>
      <c r="I196" s="116"/>
      <c r="J196" s="45"/>
      <c r="K196" s="45"/>
      <c r="L196" s="73"/>
      <c r="M196" s="118"/>
      <c r="N196" s="119"/>
      <c r="O196" s="113"/>
      <c r="P196" s="115"/>
      <c r="Q196"/>
      <c r="R196"/>
      <c r="S196" s="114"/>
      <c r="T196" s="110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22"/>
      <c r="BA196" s="22"/>
      <c r="BB196" s="22"/>
      <c r="BC196" s="22"/>
      <c r="BD196" s="22"/>
      <c r="BE196" s="22"/>
      <c r="BF196" s="22"/>
      <c r="BG196" s="22"/>
      <c r="BH196" s="22"/>
      <c r="BI196" s="22"/>
      <c r="BJ196" s="22"/>
      <c r="BK196" s="22"/>
      <c r="BL196" s="22"/>
      <c r="BM196" s="22"/>
      <c r="BN196" s="22"/>
      <c r="BO196" s="22"/>
      <c r="BP196" s="22"/>
      <c r="BQ196" s="22"/>
      <c r="BR196" s="22"/>
      <c r="BS196" s="22"/>
      <c r="BT196" s="22"/>
      <c r="BU196" s="22"/>
      <c r="BV196" s="22"/>
      <c r="BW196" s="22"/>
      <c r="BX196" s="22"/>
      <c r="BY196" s="22"/>
      <c r="BZ196" s="22"/>
      <c r="CA196" s="22"/>
      <c r="CB196" s="22"/>
      <c r="CC196" s="22"/>
      <c r="CD196" s="22"/>
      <c r="CE196" s="22"/>
      <c r="CF196" s="22"/>
      <c r="CG196" s="22"/>
      <c r="CH196" s="22"/>
      <c r="CI196" s="22"/>
      <c r="CJ196" s="22"/>
      <c r="CK196" s="22"/>
      <c r="CL196" s="22"/>
      <c r="CM196" s="22"/>
      <c r="CN196" s="22"/>
      <c r="CO196" s="22"/>
      <c r="CP196" s="22"/>
      <c r="CQ196" s="22"/>
      <c r="CR196" s="22"/>
      <c r="CS196" s="22"/>
      <c r="CT196" s="22"/>
      <c r="CU196" s="22"/>
      <c r="CV196" s="22"/>
      <c r="CW196" s="22"/>
      <c r="CX196" s="22"/>
      <c r="CY196" s="22"/>
      <c r="CZ196" s="22"/>
      <c r="DA196" s="22"/>
      <c r="DB196" s="22"/>
      <c r="DC196" s="22"/>
      <c r="DD196" s="22"/>
      <c r="DE196" s="22"/>
      <c r="DF196" s="22"/>
      <c r="DG196" s="22"/>
      <c r="DH196" s="22"/>
      <c r="DI196" s="22"/>
      <c r="DJ196" s="22"/>
      <c r="DK196" s="22"/>
      <c r="DL196" s="22"/>
      <c r="DM196" s="22"/>
      <c r="DN196" s="22"/>
      <c r="DO196" s="22"/>
      <c r="DP196" s="22"/>
      <c r="DQ196" s="22"/>
      <c r="DR196" s="22"/>
      <c r="DS196" s="22"/>
      <c r="DT196" s="22"/>
      <c r="DU196" s="22"/>
      <c r="DV196" s="22"/>
      <c r="DW196" s="22"/>
      <c r="DX196" s="22"/>
      <c r="DY196" s="22"/>
      <c r="DZ196" s="22"/>
      <c r="EA196" s="22"/>
      <c r="EB196" s="22"/>
      <c r="EC196" s="22"/>
      <c r="ED196" s="22"/>
      <c r="EE196" s="22"/>
      <c r="EF196" s="22"/>
      <c r="EG196" s="22"/>
      <c r="EH196" s="22"/>
      <c r="EI196" s="22"/>
      <c r="EJ196" s="22"/>
      <c r="EK196" s="22"/>
      <c r="EL196" s="22"/>
      <c r="EM196" s="22"/>
      <c r="EN196" s="22"/>
      <c r="EO196" s="22"/>
      <c r="EP196" s="22"/>
      <c r="EQ196" s="22"/>
      <c r="ER196" s="22"/>
      <c r="ES196" s="22"/>
      <c r="ET196" s="22"/>
      <c r="EU196" s="22"/>
      <c r="EV196" s="22"/>
      <c r="EW196" s="22"/>
      <c r="EX196" s="22"/>
      <c r="EY196" s="22"/>
      <c r="EZ196" s="22"/>
      <c r="FA196" s="22"/>
      <c r="FB196" s="22"/>
      <c r="FC196" s="22"/>
      <c r="FD196" s="22"/>
      <c r="FE196" s="22"/>
      <c r="FF196" s="22"/>
      <c r="FG196" s="22"/>
      <c r="FH196" s="22"/>
      <c r="FI196" s="22"/>
      <c r="FJ196" s="22"/>
      <c r="FK196" s="22"/>
      <c r="FL196" s="22"/>
      <c r="FM196" s="22"/>
      <c r="FN196" s="22"/>
      <c r="FO196" s="22"/>
      <c r="FP196" s="22"/>
      <c r="FQ196" s="22"/>
      <c r="FR196" s="22"/>
      <c r="FS196" s="22"/>
      <c r="FT196" s="22"/>
      <c r="FU196" s="22"/>
      <c r="FV196" s="22"/>
      <c r="FW196" s="22"/>
      <c r="FX196" s="22"/>
      <c r="FY196" s="22"/>
      <c r="FZ196" s="22"/>
      <c r="GA196" s="22"/>
      <c r="GB196" s="22"/>
      <c r="GC196" s="22"/>
      <c r="GD196" s="22"/>
      <c r="GE196" s="22"/>
      <c r="GF196" s="22"/>
      <c r="GG196" s="22"/>
      <c r="GH196" s="22"/>
      <c r="GI196" s="22"/>
      <c r="GJ196" s="22"/>
      <c r="GK196" s="22"/>
      <c r="GL196" s="22"/>
      <c r="GM196" s="22"/>
      <c r="GN196" s="22"/>
      <c r="GO196" s="22"/>
      <c r="GP196" s="22"/>
      <c r="GQ196" s="22"/>
      <c r="GR196" s="22"/>
      <c r="GS196" s="22"/>
      <c r="GT196" s="22"/>
      <c r="GU196" s="22"/>
      <c r="GV196" s="22"/>
      <c r="GW196" s="22"/>
      <c r="GX196" s="22"/>
      <c r="GY196" s="22"/>
      <c r="GZ196" s="22"/>
      <c r="HA196" s="22"/>
      <c r="HB196" s="22"/>
      <c r="HC196" s="22"/>
    </row>
    <row r="197" spans="1:211" ht="15" customHeight="1" x14ac:dyDescent="0.2">
      <c r="A197" s="22"/>
      <c r="B197" s="14"/>
      <c r="C197" s="73"/>
      <c r="D197" s="46"/>
      <c r="E197" s="46"/>
      <c r="F197" s="120"/>
      <c r="G197" s="120"/>
      <c r="H197" s="47"/>
      <c r="I197" s="116"/>
      <c r="J197" s="45"/>
      <c r="K197" s="45"/>
      <c r="L197" s="73"/>
      <c r="M197" s="118"/>
      <c r="N197" s="119"/>
      <c r="O197" s="113"/>
      <c r="P197" s="115"/>
      <c r="Q197"/>
      <c r="R197"/>
      <c r="S197" s="114"/>
      <c r="T197" s="110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2"/>
      <c r="BH197" s="22"/>
      <c r="BI197" s="22"/>
      <c r="BJ197" s="22"/>
      <c r="BK197" s="22"/>
      <c r="BL197" s="22"/>
      <c r="BM197" s="22"/>
      <c r="BN197" s="22"/>
      <c r="BO197" s="22"/>
      <c r="BP197" s="22"/>
      <c r="BQ197" s="22"/>
      <c r="BR197" s="22"/>
      <c r="BS197" s="22"/>
      <c r="BT197" s="22"/>
      <c r="BU197" s="22"/>
      <c r="BV197" s="22"/>
      <c r="BW197" s="22"/>
      <c r="BX197" s="22"/>
      <c r="BY197" s="22"/>
      <c r="BZ197" s="22"/>
      <c r="CA197" s="22"/>
      <c r="CB197" s="22"/>
      <c r="CC197" s="22"/>
      <c r="CD197" s="22"/>
      <c r="CE197" s="22"/>
      <c r="CF197" s="22"/>
      <c r="CG197" s="22"/>
      <c r="CH197" s="22"/>
      <c r="CI197" s="22"/>
      <c r="CJ197" s="22"/>
      <c r="CK197" s="22"/>
      <c r="CL197" s="22"/>
      <c r="CM197" s="22"/>
      <c r="CN197" s="22"/>
      <c r="CO197" s="22"/>
      <c r="CP197" s="22"/>
      <c r="CQ197" s="22"/>
      <c r="CR197" s="22"/>
      <c r="CS197" s="22"/>
      <c r="CT197" s="22"/>
      <c r="CU197" s="22"/>
      <c r="CV197" s="22"/>
      <c r="CW197" s="22"/>
      <c r="CX197" s="22"/>
      <c r="CY197" s="22"/>
      <c r="CZ197" s="22"/>
      <c r="DA197" s="22"/>
      <c r="DB197" s="22"/>
      <c r="DC197" s="22"/>
      <c r="DD197" s="22"/>
      <c r="DE197" s="22"/>
      <c r="DF197" s="22"/>
      <c r="DG197" s="22"/>
      <c r="DH197" s="22"/>
      <c r="DI197" s="22"/>
      <c r="DJ197" s="22"/>
      <c r="DK197" s="22"/>
      <c r="DL197" s="22"/>
      <c r="DM197" s="22"/>
      <c r="DN197" s="22"/>
      <c r="DO197" s="22"/>
      <c r="DP197" s="22"/>
      <c r="DQ197" s="22"/>
      <c r="DR197" s="22"/>
      <c r="DS197" s="22"/>
      <c r="DT197" s="22"/>
      <c r="DU197" s="22"/>
      <c r="DV197" s="22"/>
      <c r="DW197" s="22"/>
      <c r="DX197" s="22"/>
      <c r="DY197" s="22"/>
      <c r="DZ197" s="22"/>
      <c r="EA197" s="22"/>
      <c r="EB197" s="22"/>
      <c r="EC197" s="22"/>
      <c r="ED197" s="22"/>
      <c r="EE197" s="22"/>
      <c r="EF197" s="22"/>
      <c r="EG197" s="22"/>
      <c r="EH197" s="22"/>
      <c r="EI197" s="22"/>
      <c r="EJ197" s="22"/>
      <c r="EK197" s="22"/>
      <c r="EL197" s="22"/>
      <c r="EM197" s="22"/>
      <c r="EN197" s="22"/>
      <c r="EO197" s="22"/>
      <c r="EP197" s="22"/>
      <c r="EQ197" s="22"/>
      <c r="ER197" s="22"/>
      <c r="ES197" s="22"/>
      <c r="ET197" s="22"/>
      <c r="EU197" s="22"/>
      <c r="EV197" s="22"/>
      <c r="EW197" s="22"/>
      <c r="EX197" s="22"/>
      <c r="EY197" s="22"/>
      <c r="EZ197" s="22"/>
      <c r="FA197" s="22"/>
      <c r="FB197" s="22"/>
      <c r="FC197" s="22"/>
      <c r="FD197" s="22"/>
      <c r="FE197" s="22"/>
      <c r="FF197" s="22"/>
      <c r="FG197" s="22"/>
      <c r="FH197" s="22"/>
      <c r="FI197" s="22"/>
      <c r="FJ197" s="22"/>
      <c r="FK197" s="22"/>
      <c r="FL197" s="22"/>
      <c r="FM197" s="22"/>
      <c r="FN197" s="22"/>
      <c r="FO197" s="22"/>
      <c r="FP197" s="22"/>
      <c r="FQ197" s="22"/>
      <c r="FR197" s="22"/>
      <c r="FS197" s="22"/>
      <c r="FT197" s="22"/>
      <c r="FU197" s="22"/>
      <c r="FV197" s="22"/>
      <c r="FW197" s="22"/>
      <c r="FX197" s="22"/>
      <c r="FY197" s="22"/>
      <c r="FZ197" s="22"/>
      <c r="GA197" s="22"/>
      <c r="GB197" s="22"/>
      <c r="GC197" s="22"/>
      <c r="GD197" s="22"/>
      <c r="GE197" s="22"/>
      <c r="GF197" s="22"/>
      <c r="GG197" s="22"/>
      <c r="GH197" s="22"/>
      <c r="GI197" s="22"/>
      <c r="GJ197" s="22"/>
      <c r="GK197" s="22"/>
      <c r="GL197" s="22"/>
      <c r="GM197" s="22"/>
      <c r="GN197" s="22"/>
      <c r="GO197" s="22"/>
      <c r="GP197" s="22"/>
      <c r="GQ197" s="22"/>
      <c r="GR197" s="22"/>
      <c r="GS197" s="22"/>
      <c r="GT197" s="22"/>
      <c r="GU197" s="22"/>
      <c r="GV197" s="22"/>
      <c r="GW197" s="22"/>
      <c r="GX197" s="22"/>
      <c r="GY197" s="22"/>
      <c r="GZ197" s="22"/>
      <c r="HA197" s="22"/>
      <c r="HB197" s="22"/>
      <c r="HC197" s="22"/>
    </row>
    <row r="198" spans="1:211" ht="15" customHeight="1" x14ac:dyDescent="0.2">
      <c r="A198" s="22"/>
      <c r="B198" s="14"/>
      <c r="C198" s="73"/>
      <c r="D198" s="46"/>
      <c r="E198" s="46"/>
      <c r="F198" s="120"/>
      <c r="G198" s="120"/>
      <c r="H198" s="47"/>
      <c r="I198" s="116"/>
      <c r="J198" s="45"/>
      <c r="K198" s="73"/>
      <c r="L198" s="73"/>
      <c r="M198" s="118"/>
      <c r="N198" s="119"/>
      <c r="O198" s="113"/>
      <c r="P198" s="115"/>
      <c r="Q198"/>
      <c r="R198"/>
      <c r="S198" s="114"/>
      <c r="T198" s="110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  <c r="BN198" s="22"/>
      <c r="BO198" s="22"/>
      <c r="BP198" s="22"/>
      <c r="BQ198" s="22"/>
      <c r="BR198" s="22"/>
      <c r="BS198" s="22"/>
      <c r="BT198" s="22"/>
      <c r="BU198" s="22"/>
      <c r="BV198" s="22"/>
      <c r="BW198" s="22"/>
      <c r="BX198" s="22"/>
      <c r="BY198" s="22"/>
      <c r="BZ198" s="22"/>
      <c r="CA198" s="22"/>
      <c r="CB198" s="22"/>
      <c r="CC198" s="22"/>
      <c r="CD198" s="22"/>
      <c r="CE198" s="22"/>
      <c r="CF198" s="22"/>
      <c r="CG198" s="22"/>
      <c r="CH198" s="22"/>
      <c r="CI198" s="22"/>
      <c r="CJ198" s="22"/>
      <c r="CK198" s="22"/>
      <c r="CL198" s="22"/>
      <c r="CM198" s="22"/>
      <c r="CN198" s="22"/>
      <c r="CO198" s="22"/>
      <c r="CP198" s="22"/>
      <c r="CQ198" s="22"/>
      <c r="CR198" s="22"/>
      <c r="CS198" s="22"/>
      <c r="CT198" s="22"/>
      <c r="CU198" s="22"/>
      <c r="CV198" s="22"/>
      <c r="CW198" s="22"/>
      <c r="CX198" s="22"/>
      <c r="CY198" s="22"/>
      <c r="CZ198" s="22"/>
      <c r="DA198" s="22"/>
      <c r="DB198" s="22"/>
      <c r="DC198" s="22"/>
      <c r="DD198" s="22"/>
      <c r="DE198" s="22"/>
      <c r="DF198" s="22"/>
      <c r="DG198" s="22"/>
      <c r="DH198" s="22"/>
      <c r="DI198" s="22"/>
      <c r="DJ198" s="22"/>
      <c r="DK198" s="22"/>
      <c r="DL198" s="22"/>
      <c r="DM198" s="22"/>
      <c r="DN198" s="22"/>
      <c r="DO198" s="22"/>
      <c r="DP198" s="22"/>
      <c r="DQ198" s="22"/>
      <c r="DR198" s="22"/>
      <c r="DS198" s="22"/>
      <c r="DT198" s="22"/>
      <c r="DU198" s="22"/>
      <c r="DV198" s="22"/>
      <c r="DW198" s="22"/>
      <c r="DX198" s="22"/>
      <c r="DY198" s="22"/>
      <c r="DZ198" s="22"/>
      <c r="EA198" s="22"/>
      <c r="EB198" s="22"/>
      <c r="EC198" s="22"/>
      <c r="ED198" s="22"/>
      <c r="EE198" s="22"/>
      <c r="EF198" s="22"/>
      <c r="EG198" s="22"/>
      <c r="EH198" s="22"/>
      <c r="EI198" s="22"/>
      <c r="EJ198" s="22"/>
      <c r="EK198" s="22"/>
      <c r="EL198" s="22"/>
      <c r="EM198" s="22"/>
      <c r="EN198" s="22"/>
      <c r="EO198" s="22"/>
      <c r="EP198" s="22"/>
      <c r="EQ198" s="22"/>
      <c r="ER198" s="22"/>
      <c r="ES198" s="22"/>
      <c r="ET198" s="22"/>
      <c r="EU198" s="22"/>
      <c r="EV198" s="22"/>
      <c r="EW198" s="22"/>
      <c r="EX198" s="22"/>
      <c r="EY198" s="22"/>
      <c r="EZ198" s="22"/>
      <c r="FA198" s="22"/>
      <c r="FB198" s="22"/>
      <c r="FC198" s="22"/>
      <c r="FD198" s="22"/>
      <c r="FE198" s="22"/>
      <c r="FF198" s="22"/>
      <c r="FG198" s="22"/>
      <c r="FH198" s="22"/>
      <c r="FI198" s="22"/>
      <c r="FJ198" s="22"/>
      <c r="FK198" s="22"/>
      <c r="FL198" s="22"/>
      <c r="FM198" s="22"/>
      <c r="FN198" s="22"/>
      <c r="FO198" s="22"/>
      <c r="FP198" s="22"/>
      <c r="FQ198" s="22"/>
      <c r="FR198" s="22"/>
      <c r="FS198" s="22"/>
      <c r="FT198" s="22"/>
      <c r="FU198" s="22"/>
      <c r="FV198" s="22"/>
      <c r="FW198" s="22"/>
      <c r="FX198" s="22"/>
      <c r="FY198" s="22"/>
      <c r="FZ198" s="22"/>
      <c r="GA198" s="22"/>
      <c r="GB198" s="22"/>
      <c r="GC198" s="22"/>
      <c r="GD198" s="22"/>
      <c r="GE198" s="22"/>
      <c r="GF198" s="22"/>
      <c r="GG198" s="22"/>
      <c r="GH198" s="22"/>
      <c r="GI198" s="22"/>
      <c r="GJ198" s="22"/>
      <c r="GK198" s="22"/>
      <c r="GL198" s="22"/>
      <c r="GM198" s="22"/>
      <c r="GN198" s="22"/>
      <c r="GO198" s="22"/>
      <c r="GP198" s="22"/>
      <c r="GQ198" s="22"/>
      <c r="GR198" s="22"/>
      <c r="GS198" s="22"/>
      <c r="GT198" s="22"/>
      <c r="GU198" s="22"/>
      <c r="GV198" s="22"/>
      <c r="GW198" s="22"/>
      <c r="GX198" s="22"/>
      <c r="GY198" s="22"/>
      <c r="GZ198" s="22"/>
      <c r="HA198" s="22"/>
      <c r="HB198" s="22"/>
      <c r="HC198" s="22"/>
    </row>
    <row r="199" spans="1:211" ht="15" customHeight="1" x14ac:dyDescent="0.2">
      <c r="A199" s="22"/>
      <c r="B199" s="14"/>
      <c r="C199" s="73"/>
      <c r="D199" s="46"/>
      <c r="E199" s="46"/>
      <c r="F199" s="120"/>
      <c r="G199" s="120"/>
      <c r="H199" s="47"/>
      <c r="I199" s="116"/>
      <c r="J199" s="45"/>
      <c r="K199" s="73"/>
      <c r="L199" s="73"/>
      <c r="M199" s="118"/>
      <c r="N199" s="119"/>
      <c r="O199" s="113"/>
      <c r="P199" s="115"/>
      <c r="Q199"/>
      <c r="R199"/>
      <c r="S199" s="114"/>
      <c r="T199" s="110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2"/>
      <c r="BH199" s="22"/>
      <c r="BI199" s="22"/>
      <c r="BJ199" s="22"/>
      <c r="BK199" s="22"/>
      <c r="BL199" s="22"/>
      <c r="BM199" s="22"/>
      <c r="BN199" s="22"/>
      <c r="BO199" s="22"/>
      <c r="BP199" s="22"/>
      <c r="BQ199" s="22"/>
      <c r="BR199" s="22"/>
      <c r="BS199" s="22"/>
      <c r="BT199" s="22"/>
      <c r="BU199" s="22"/>
      <c r="BV199" s="22"/>
      <c r="BW199" s="22"/>
      <c r="BX199" s="22"/>
      <c r="BY199" s="22"/>
      <c r="BZ199" s="22"/>
      <c r="CA199" s="22"/>
      <c r="CB199" s="22"/>
      <c r="CC199" s="22"/>
      <c r="CD199" s="22"/>
      <c r="CE199" s="22"/>
      <c r="CF199" s="22"/>
      <c r="CG199" s="22"/>
      <c r="CH199" s="22"/>
      <c r="CI199" s="22"/>
      <c r="CJ199" s="22"/>
      <c r="CK199" s="22"/>
      <c r="CL199" s="22"/>
      <c r="CM199" s="22"/>
      <c r="CN199" s="22"/>
      <c r="CO199" s="22"/>
      <c r="CP199" s="22"/>
      <c r="CQ199" s="22"/>
      <c r="CR199" s="22"/>
      <c r="CS199" s="22"/>
      <c r="CT199" s="22"/>
      <c r="CU199" s="22"/>
      <c r="CV199" s="22"/>
      <c r="CW199" s="22"/>
      <c r="CX199" s="22"/>
      <c r="CY199" s="22"/>
      <c r="CZ199" s="22"/>
      <c r="DA199" s="22"/>
      <c r="DB199" s="22"/>
      <c r="DC199" s="22"/>
      <c r="DD199" s="22"/>
      <c r="DE199" s="22"/>
      <c r="DF199" s="22"/>
      <c r="DG199" s="22"/>
      <c r="DH199" s="22"/>
      <c r="DI199" s="22"/>
      <c r="DJ199" s="22"/>
      <c r="DK199" s="22"/>
      <c r="DL199" s="22"/>
      <c r="DM199" s="22"/>
      <c r="DN199" s="22"/>
      <c r="DO199" s="22"/>
      <c r="DP199" s="22"/>
      <c r="DQ199" s="22"/>
      <c r="DR199" s="22"/>
      <c r="DS199" s="22"/>
      <c r="DT199" s="22"/>
      <c r="DU199" s="22"/>
      <c r="DV199" s="22"/>
      <c r="DW199" s="22"/>
      <c r="DX199" s="22"/>
      <c r="DY199" s="22"/>
      <c r="DZ199" s="22"/>
      <c r="EA199" s="22"/>
      <c r="EB199" s="22"/>
      <c r="EC199" s="22"/>
      <c r="ED199" s="22"/>
      <c r="EE199" s="22"/>
      <c r="EF199" s="22"/>
      <c r="EG199" s="22"/>
      <c r="EH199" s="22"/>
      <c r="EI199" s="22"/>
      <c r="EJ199" s="22"/>
      <c r="EK199" s="22"/>
      <c r="EL199" s="22"/>
      <c r="EM199" s="22"/>
      <c r="EN199" s="22"/>
      <c r="EO199" s="22"/>
      <c r="EP199" s="22"/>
      <c r="EQ199" s="22"/>
      <c r="ER199" s="22"/>
      <c r="ES199" s="22"/>
      <c r="ET199" s="22"/>
      <c r="EU199" s="22"/>
      <c r="EV199" s="22"/>
      <c r="EW199" s="22"/>
      <c r="EX199" s="22"/>
      <c r="EY199" s="22"/>
      <c r="EZ199" s="22"/>
      <c r="FA199" s="22"/>
      <c r="FB199" s="22"/>
      <c r="FC199" s="22"/>
      <c r="FD199" s="22"/>
      <c r="FE199" s="22"/>
      <c r="FF199" s="22"/>
      <c r="FG199" s="22"/>
      <c r="FH199" s="22"/>
      <c r="FI199" s="22"/>
      <c r="FJ199" s="22"/>
      <c r="FK199" s="22"/>
      <c r="FL199" s="22"/>
      <c r="FM199" s="22"/>
      <c r="FN199" s="22"/>
      <c r="FO199" s="22"/>
      <c r="FP199" s="22"/>
      <c r="FQ199" s="22"/>
      <c r="FR199" s="22"/>
      <c r="FS199" s="22"/>
      <c r="FT199" s="22"/>
      <c r="FU199" s="22"/>
      <c r="FV199" s="22"/>
      <c r="FW199" s="22"/>
      <c r="FX199" s="22"/>
      <c r="FY199" s="22"/>
      <c r="FZ199" s="22"/>
      <c r="GA199" s="22"/>
      <c r="GB199" s="22"/>
      <c r="GC199" s="22"/>
      <c r="GD199" s="22"/>
      <c r="GE199" s="22"/>
      <c r="GF199" s="22"/>
      <c r="GG199" s="22"/>
      <c r="GH199" s="22"/>
      <c r="GI199" s="22"/>
      <c r="GJ199" s="22"/>
      <c r="GK199" s="22"/>
      <c r="GL199" s="22"/>
      <c r="GM199" s="22"/>
      <c r="GN199" s="22"/>
      <c r="GO199" s="22"/>
      <c r="GP199" s="22"/>
      <c r="GQ199" s="22"/>
      <c r="GR199" s="22"/>
      <c r="GS199" s="22"/>
      <c r="GT199" s="22"/>
      <c r="GU199" s="22"/>
      <c r="GV199" s="22"/>
      <c r="GW199" s="22"/>
      <c r="GX199" s="22"/>
      <c r="GY199" s="22"/>
      <c r="GZ199" s="22"/>
      <c r="HA199" s="22"/>
      <c r="HB199" s="22"/>
      <c r="HC199" s="22"/>
    </row>
    <row r="200" spans="1:211" ht="15" customHeight="1" x14ac:dyDescent="0.2">
      <c r="A200" s="22"/>
      <c r="B200" s="14"/>
      <c r="C200" s="73"/>
      <c r="D200" s="46"/>
      <c r="E200" s="46"/>
      <c r="F200" s="120"/>
      <c r="G200" s="120"/>
      <c r="H200" s="47"/>
      <c r="I200" s="116"/>
      <c r="J200" s="45"/>
      <c r="K200" s="73"/>
      <c r="L200" s="73"/>
      <c r="M200" s="118"/>
      <c r="N200" s="119"/>
      <c r="O200" s="113"/>
      <c r="P200" s="115"/>
      <c r="Q200"/>
      <c r="R200"/>
      <c r="S200" s="114"/>
      <c r="T200" s="110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22"/>
      <c r="BA200" s="22"/>
      <c r="BB200" s="22"/>
      <c r="BC200" s="22"/>
      <c r="BD200" s="22"/>
      <c r="BE200" s="22"/>
      <c r="BF200" s="22"/>
      <c r="BG200" s="22"/>
      <c r="BH200" s="22"/>
      <c r="BI200" s="22"/>
      <c r="BJ200" s="22"/>
      <c r="BK200" s="22"/>
      <c r="BL200" s="22"/>
      <c r="BM200" s="22"/>
      <c r="BN200" s="22"/>
      <c r="BO200" s="22"/>
      <c r="BP200" s="22"/>
      <c r="BQ200" s="22"/>
      <c r="BR200" s="22"/>
      <c r="BS200" s="22"/>
      <c r="BT200" s="22"/>
      <c r="BU200" s="22"/>
      <c r="BV200" s="22"/>
      <c r="BW200" s="22"/>
      <c r="BX200" s="22"/>
      <c r="BY200" s="22"/>
      <c r="BZ200" s="22"/>
      <c r="CA200" s="22"/>
      <c r="CB200" s="22"/>
      <c r="CC200" s="22"/>
      <c r="CD200" s="22"/>
      <c r="CE200" s="22"/>
      <c r="CF200" s="22"/>
      <c r="CG200" s="22"/>
      <c r="CH200" s="22"/>
      <c r="CI200" s="22"/>
      <c r="CJ200" s="22"/>
      <c r="CK200" s="22"/>
      <c r="CL200" s="22"/>
      <c r="CM200" s="22"/>
      <c r="CN200" s="22"/>
      <c r="CO200" s="22"/>
      <c r="CP200" s="22"/>
      <c r="CQ200" s="22"/>
      <c r="CR200" s="22"/>
      <c r="CS200" s="22"/>
      <c r="CT200" s="22"/>
      <c r="CU200" s="22"/>
      <c r="CV200" s="22"/>
      <c r="CW200" s="22"/>
      <c r="CX200" s="22"/>
      <c r="CY200" s="22"/>
      <c r="CZ200" s="22"/>
      <c r="DA200" s="22"/>
      <c r="DB200" s="22"/>
      <c r="DC200" s="22"/>
      <c r="DD200" s="22"/>
      <c r="DE200" s="22"/>
      <c r="DF200" s="22"/>
      <c r="DG200" s="22"/>
      <c r="DH200" s="22"/>
      <c r="DI200" s="22"/>
      <c r="DJ200" s="22"/>
      <c r="DK200" s="22"/>
      <c r="DL200" s="22"/>
      <c r="DM200" s="22"/>
      <c r="DN200" s="22"/>
      <c r="DO200" s="22"/>
      <c r="DP200" s="22"/>
      <c r="DQ200" s="22"/>
      <c r="DR200" s="22"/>
      <c r="DS200" s="22"/>
      <c r="DT200" s="22"/>
      <c r="DU200" s="22"/>
      <c r="DV200" s="22"/>
      <c r="DW200" s="22"/>
      <c r="DX200" s="22"/>
      <c r="DY200" s="22"/>
      <c r="DZ200" s="22"/>
      <c r="EA200" s="22"/>
      <c r="EB200" s="22"/>
      <c r="EC200" s="22"/>
      <c r="ED200" s="22"/>
      <c r="EE200" s="22"/>
      <c r="EF200" s="22"/>
      <c r="EG200" s="22"/>
      <c r="EH200" s="22"/>
      <c r="EI200" s="22"/>
      <c r="EJ200" s="22"/>
      <c r="EK200" s="22"/>
      <c r="EL200" s="22"/>
      <c r="EM200" s="22"/>
      <c r="EN200" s="22"/>
      <c r="EO200" s="22"/>
      <c r="EP200" s="22"/>
      <c r="EQ200" s="22"/>
      <c r="ER200" s="22"/>
      <c r="ES200" s="22"/>
      <c r="ET200" s="22"/>
      <c r="EU200" s="22"/>
      <c r="EV200" s="22"/>
      <c r="EW200" s="22"/>
      <c r="EX200" s="22"/>
      <c r="EY200" s="22"/>
      <c r="EZ200" s="22"/>
      <c r="FA200" s="22"/>
      <c r="FB200" s="22"/>
      <c r="FC200" s="22"/>
      <c r="FD200" s="22"/>
      <c r="FE200" s="22"/>
      <c r="FF200" s="22"/>
      <c r="FG200" s="22"/>
      <c r="FH200" s="22"/>
      <c r="FI200" s="22"/>
      <c r="FJ200" s="22"/>
      <c r="FK200" s="22"/>
      <c r="FL200" s="22"/>
      <c r="FM200" s="22"/>
      <c r="FN200" s="22"/>
      <c r="FO200" s="22"/>
      <c r="FP200" s="22"/>
      <c r="FQ200" s="22"/>
      <c r="FR200" s="22"/>
      <c r="FS200" s="22"/>
      <c r="FT200" s="22"/>
      <c r="FU200" s="22"/>
      <c r="FV200" s="22"/>
      <c r="FW200" s="22"/>
      <c r="FX200" s="22"/>
      <c r="FY200" s="22"/>
      <c r="FZ200" s="22"/>
      <c r="GA200" s="22"/>
      <c r="GB200" s="22"/>
      <c r="GC200" s="22"/>
      <c r="GD200" s="22"/>
      <c r="GE200" s="22"/>
      <c r="GF200" s="22"/>
      <c r="GG200" s="22"/>
      <c r="GH200" s="22"/>
      <c r="GI200" s="22"/>
      <c r="GJ200" s="22"/>
      <c r="GK200" s="22"/>
      <c r="GL200" s="22"/>
      <c r="GM200" s="22"/>
      <c r="GN200" s="22"/>
      <c r="GO200" s="22"/>
      <c r="GP200" s="22"/>
      <c r="GQ200" s="22"/>
      <c r="GR200" s="22"/>
      <c r="GS200" s="22"/>
      <c r="GT200" s="22"/>
      <c r="GU200" s="22"/>
      <c r="GV200" s="22"/>
      <c r="GW200" s="22"/>
      <c r="GX200" s="22"/>
      <c r="GY200" s="22"/>
      <c r="GZ200" s="22"/>
      <c r="HA200" s="22"/>
      <c r="HB200" s="22"/>
      <c r="HC200" s="22"/>
    </row>
    <row r="201" spans="1:211" ht="15" customHeight="1" x14ac:dyDescent="0.2">
      <c r="A201" s="22"/>
      <c r="B201" s="14"/>
      <c r="C201" s="45"/>
      <c r="D201" s="46"/>
      <c r="E201" s="46"/>
      <c r="F201" s="120"/>
      <c r="G201" s="120"/>
      <c r="H201" s="47"/>
      <c r="I201" s="116"/>
      <c r="J201" s="45"/>
      <c r="K201" s="45"/>
      <c r="L201" s="73"/>
      <c r="M201" s="118"/>
      <c r="N201" s="119"/>
      <c r="O201" s="113"/>
      <c r="P201" s="115"/>
      <c r="Q201"/>
      <c r="R201"/>
      <c r="S201" s="114"/>
      <c r="T201" s="110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2"/>
      <c r="BH201" s="22"/>
      <c r="BI201" s="22"/>
      <c r="BJ201" s="22"/>
      <c r="BK201" s="22"/>
      <c r="BL201" s="22"/>
      <c r="BM201" s="22"/>
      <c r="BN201" s="22"/>
      <c r="BO201" s="22"/>
      <c r="BP201" s="22"/>
      <c r="BQ201" s="22"/>
      <c r="BR201" s="22"/>
      <c r="BS201" s="22"/>
      <c r="BT201" s="22"/>
      <c r="BU201" s="22"/>
      <c r="BV201" s="22"/>
      <c r="BW201" s="22"/>
      <c r="BX201" s="22"/>
      <c r="BY201" s="22"/>
      <c r="BZ201" s="22"/>
      <c r="CA201" s="22"/>
      <c r="CB201" s="22"/>
      <c r="CC201" s="22"/>
      <c r="CD201" s="22"/>
      <c r="CE201" s="22"/>
      <c r="CF201" s="22"/>
      <c r="CG201" s="22"/>
      <c r="CH201" s="22"/>
      <c r="CI201" s="22"/>
      <c r="CJ201" s="22"/>
      <c r="CK201" s="22"/>
      <c r="CL201" s="22"/>
      <c r="CM201" s="22"/>
      <c r="CN201" s="22"/>
      <c r="CO201" s="22"/>
      <c r="CP201" s="22"/>
      <c r="CQ201" s="22"/>
      <c r="CR201" s="22"/>
      <c r="CS201" s="22"/>
      <c r="CT201" s="22"/>
      <c r="CU201" s="22"/>
      <c r="CV201" s="22"/>
      <c r="CW201" s="22"/>
      <c r="CX201" s="22"/>
      <c r="CY201" s="22"/>
      <c r="CZ201" s="22"/>
      <c r="DA201" s="22"/>
      <c r="DB201" s="22"/>
      <c r="DC201" s="22"/>
      <c r="DD201" s="22"/>
      <c r="DE201" s="22"/>
      <c r="DF201" s="22"/>
      <c r="DG201" s="22"/>
      <c r="DH201" s="22"/>
      <c r="DI201" s="22"/>
      <c r="DJ201" s="22"/>
      <c r="DK201" s="22"/>
      <c r="DL201" s="22"/>
      <c r="DM201" s="22"/>
      <c r="DN201" s="22"/>
      <c r="DO201" s="22"/>
      <c r="DP201" s="22"/>
      <c r="DQ201" s="22"/>
      <c r="DR201" s="22"/>
      <c r="DS201" s="22"/>
      <c r="DT201" s="22"/>
      <c r="DU201" s="22"/>
      <c r="DV201" s="22"/>
      <c r="DW201" s="22"/>
      <c r="DX201" s="22"/>
      <c r="DY201" s="22"/>
      <c r="DZ201" s="22"/>
      <c r="EA201" s="22"/>
      <c r="EB201" s="22"/>
      <c r="EC201" s="22"/>
      <c r="ED201" s="22"/>
      <c r="EE201" s="22"/>
      <c r="EF201" s="22"/>
      <c r="EG201" s="22"/>
      <c r="EH201" s="22"/>
      <c r="EI201" s="22"/>
      <c r="EJ201" s="22"/>
      <c r="EK201" s="22"/>
      <c r="EL201" s="22"/>
      <c r="EM201" s="22"/>
      <c r="EN201" s="22"/>
      <c r="EO201" s="22"/>
      <c r="EP201" s="22"/>
      <c r="EQ201" s="22"/>
      <c r="ER201" s="22"/>
      <c r="ES201" s="22"/>
      <c r="ET201" s="22"/>
      <c r="EU201" s="22"/>
      <c r="EV201" s="22"/>
      <c r="EW201" s="22"/>
      <c r="EX201" s="22"/>
      <c r="EY201" s="22"/>
      <c r="EZ201" s="22"/>
      <c r="FA201" s="22"/>
      <c r="FB201" s="22"/>
      <c r="FC201" s="22"/>
      <c r="FD201" s="22"/>
      <c r="FE201" s="22"/>
      <c r="FF201" s="22"/>
      <c r="FG201" s="22"/>
      <c r="FH201" s="22"/>
      <c r="FI201" s="22"/>
      <c r="FJ201" s="22"/>
      <c r="FK201" s="22"/>
      <c r="FL201" s="22"/>
      <c r="FM201" s="22"/>
      <c r="FN201" s="22"/>
      <c r="FO201" s="22"/>
      <c r="FP201" s="22"/>
      <c r="FQ201" s="22"/>
      <c r="FR201" s="22"/>
      <c r="FS201" s="22"/>
      <c r="FT201" s="22"/>
      <c r="FU201" s="22"/>
      <c r="FV201" s="22"/>
      <c r="FW201" s="22"/>
      <c r="FX201" s="22"/>
      <c r="FY201" s="22"/>
      <c r="FZ201" s="22"/>
      <c r="GA201" s="22"/>
      <c r="GB201" s="22"/>
      <c r="GC201" s="22"/>
      <c r="GD201" s="22"/>
      <c r="GE201" s="22"/>
      <c r="GF201" s="22"/>
      <c r="GG201" s="22"/>
      <c r="GH201" s="22"/>
      <c r="GI201" s="22"/>
      <c r="GJ201" s="22"/>
      <c r="GK201" s="22"/>
      <c r="GL201" s="22"/>
      <c r="GM201" s="22"/>
      <c r="GN201" s="22"/>
      <c r="GO201" s="22"/>
      <c r="GP201" s="22"/>
      <c r="GQ201" s="22"/>
      <c r="GR201" s="22"/>
      <c r="GS201" s="22"/>
      <c r="GT201" s="22"/>
      <c r="GU201" s="22"/>
      <c r="GV201" s="22"/>
      <c r="GW201" s="22"/>
      <c r="GX201" s="22"/>
      <c r="GY201" s="22"/>
      <c r="GZ201" s="22"/>
      <c r="HA201" s="22"/>
      <c r="HB201" s="22"/>
      <c r="HC201" s="22"/>
    </row>
    <row r="202" spans="1:211" ht="15" customHeight="1" x14ac:dyDescent="0.2">
      <c r="A202" s="22"/>
      <c r="B202" s="14"/>
      <c r="C202" s="45"/>
      <c r="D202" s="46"/>
      <c r="E202" s="46"/>
      <c r="F202" s="120"/>
      <c r="G202" s="120"/>
      <c r="H202" s="47"/>
      <c r="I202" s="116"/>
      <c r="J202" s="45"/>
      <c r="K202" s="45"/>
      <c r="L202" s="73"/>
      <c r="M202" s="118"/>
      <c r="N202" s="119"/>
      <c r="O202" s="113"/>
      <c r="P202" s="115"/>
      <c r="Q202"/>
      <c r="R202"/>
      <c r="S202" s="114"/>
      <c r="T202" s="110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22"/>
      <c r="BA202" s="22"/>
      <c r="BB202" s="22"/>
      <c r="BC202" s="22"/>
      <c r="BD202" s="22"/>
      <c r="BE202" s="22"/>
      <c r="BF202" s="22"/>
      <c r="BG202" s="22"/>
      <c r="BH202" s="22"/>
      <c r="BI202" s="22"/>
      <c r="BJ202" s="22"/>
      <c r="BK202" s="22"/>
      <c r="BL202" s="22"/>
      <c r="BM202" s="22"/>
      <c r="BN202" s="22"/>
      <c r="BO202" s="22"/>
      <c r="BP202" s="22"/>
      <c r="BQ202" s="22"/>
      <c r="BR202" s="22"/>
      <c r="BS202" s="22"/>
      <c r="BT202" s="22"/>
      <c r="BU202" s="22"/>
      <c r="BV202" s="22"/>
      <c r="BW202" s="22"/>
      <c r="BX202" s="22"/>
      <c r="BY202" s="22"/>
      <c r="BZ202" s="22"/>
      <c r="CA202" s="22"/>
      <c r="CB202" s="22"/>
      <c r="CC202" s="22"/>
      <c r="CD202" s="22"/>
      <c r="CE202" s="22"/>
      <c r="CF202" s="22"/>
      <c r="CG202" s="22"/>
      <c r="CH202" s="22"/>
      <c r="CI202" s="22"/>
      <c r="CJ202" s="22"/>
      <c r="CK202" s="22"/>
      <c r="CL202" s="22"/>
      <c r="CM202" s="22"/>
      <c r="CN202" s="22"/>
      <c r="CO202" s="22"/>
      <c r="CP202" s="22"/>
      <c r="CQ202" s="22"/>
      <c r="CR202" s="22"/>
      <c r="CS202" s="22"/>
      <c r="CT202" s="22"/>
      <c r="CU202" s="22"/>
      <c r="CV202" s="22"/>
      <c r="CW202" s="22"/>
      <c r="CX202" s="22"/>
      <c r="CY202" s="22"/>
      <c r="CZ202" s="22"/>
      <c r="DA202" s="22"/>
      <c r="DB202" s="22"/>
      <c r="DC202" s="22"/>
      <c r="DD202" s="22"/>
      <c r="DE202" s="22"/>
      <c r="DF202" s="22"/>
      <c r="DG202" s="22"/>
      <c r="DH202" s="22"/>
      <c r="DI202" s="22"/>
      <c r="DJ202" s="22"/>
      <c r="DK202" s="22"/>
      <c r="DL202" s="22"/>
      <c r="DM202" s="22"/>
      <c r="DN202" s="22"/>
      <c r="DO202" s="22"/>
      <c r="DP202" s="22"/>
      <c r="DQ202" s="22"/>
      <c r="DR202" s="22"/>
      <c r="DS202" s="22"/>
      <c r="DT202" s="22"/>
      <c r="DU202" s="22"/>
      <c r="DV202" s="22"/>
      <c r="DW202" s="22"/>
      <c r="DX202" s="22"/>
      <c r="DY202" s="22"/>
      <c r="DZ202" s="22"/>
      <c r="EA202" s="22"/>
      <c r="EB202" s="22"/>
      <c r="EC202" s="22"/>
      <c r="ED202" s="22"/>
      <c r="EE202" s="22"/>
      <c r="EF202" s="22"/>
      <c r="EG202" s="22"/>
      <c r="EH202" s="22"/>
      <c r="EI202" s="22"/>
      <c r="EJ202" s="22"/>
      <c r="EK202" s="22"/>
      <c r="EL202" s="22"/>
      <c r="EM202" s="22"/>
      <c r="EN202" s="22"/>
      <c r="EO202" s="22"/>
      <c r="EP202" s="22"/>
      <c r="EQ202" s="22"/>
      <c r="ER202" s="22"/>
      <c r="ES202" s="22"/>
      <c r="ET202" s="22"/>
      <c r="EU202" s="22"/>
      <c r="EV202" s="22"/>
      <c r="EW202" s="22"/>
      <c r="EX202" s="22"/>
      <c r="EY202" s="22"/>
      <c r="EZ202" s="22"/>
      <c r="FA202" s="22"/>
      <c r="FB202" s="22"/>
      <c r="FC202" s="22"/>
      <c r="FD202" s="22"/>
      <c r="FE202" s="22"/>
      <c r="FF202" s="22"/>
      <c r="FG202" s="22"/>
      <c r="FH202" s="22"/>
      <c r="FI202" s="22"/>
      <c r="FJ202" s="22"/>
      <c r="FK202" s="22"/>
      <c r="FL202" s="22"/>
      <c r="FM202" s="22"/>
      <c r="FN202" s="22"/>
      <c r="FO202" s="22"/>
      <c r="FP202" s="22"/>
      <c r="FQ202" s="22"/>
      <c r="FR202" s="22"/>
      <c r="FS202" s="22"/>
      <c r="FT202" s="22"/>
      <c r="FU202" s="22"/>
      <c r="FV202" s="22"/>
      <c r="FW202" s="22"/>
      <c r="FX202" s="22"/>
      <c r="FY202" s="22"/>
      <c r="FZ202" s="22"/>
      <c r="GA202" s="22"/>
      <c r="GB202" s="22"/>
      <c r="GC202" s="22"/>
      <c r="GD202" s="22"/>
      <c r="GE202" s="22"/>
      <c r="GF202" s="22"/>
      <c r="GG202" s="22"/>
      <c r="GH202" s="22"/>
      <c r="GI202" s="22"/>
      <c r="GJ202" s="22"/>
      <c r="GK202" s="22"/>
      <c r="GL202" s="22"/>
      <c r="GM202" s="22"/>
      <c r="GN202" s="22"/>
      <c r="GO202" s="22"/>
      <c r="GP202" s="22"/>
      <c r="GQ202" s="22"/>
      <c r="GR202" s="22"/>
      <c r="GS202" s="22"/>
      <c r="GT202" s="22"/>
      <c r="GU202" s="22"/>
      <c r="GV202" s="22"/>
      <c r="GW202" s="22"/>
      <c r="GX202" s="22"/>
      <c r="GY202" s="22"/>
      <c r="GZ202" s="22"/>
      <c r="HA202" s="22"/>
      <c r="HB202" s="22"/>
      <c r="HC202" s="22"/>
    </row>
    <row r="203" spans="1:211" ht="15" customHeight="1" x14ac:dyDescent="0.2">
      <c r="A203" s="22"/>
      <c r="B203" s="14"/>
      <c r="C203" s="45"/>
      <c r="D203" s="46"/>
      <c r="E203" s="46"/>
      <c r="F203" s="120"/>
      <c r="G203" s="120"/>
      <c r="H203" s="47"/>
      <c r="I203" s="116"/>
      <c r="J203" s="45"/>
      <c r="K203" s="45"/>
      <c r="L203" s="73"/>
      <c r="M203" s="118"/>
      <c r="N203" s="119"/>
      <c r="O203" s="113"/>
      <c r="P203" s="115"/>
      <c r="Q203"/>
      <c r="R203"/>
      <c r="S203" s="114"/>
      <c r="T203" s="110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2"/>
      <c r="BH203" s="22"/>
      <c r="BI203" s="22"/>
      <c r="BJ203" s="22"/>
      <c r="BK203" s="22"/>
      <c r="BL203" s="22"/>
      <c r="BM203" s="22"/>
      <c r="BN203" s="22"/>
      <c r="BO203" s="22"/>
      <c r="BP203" s="22"/>
      <c r="BQ203" s="22"/>
      <c r="BR203" s="22"/>
      <c r="BS203" s="22"/>
      <c r="BT203" s="22"/>
      <c r="BU203" s="22"/>
      <c r="BV203" s="22"/>
      <c r="BW203" s="22"/>
      <c r="BX203" s="22"/>
      <c r="BY203" s="22"/>
      <c r="BZ203" s="22"/>
      <c r="CA203" s="22"/>
      <c r="CB203" s="22"/>
      <c r="CC203" s="22"/>
      <c r="CD203" s="22"/>
      <c r="CE203" s="22"/>
      <c r="CF203" s="22"/>
      <c r="CG203" s="22"/>
      <c r="CH203" s="22"/>
      <c r="CI203" s="22"/>
      <c r="CJ203" s="22"/>
      <c r="CK203" s="22"/>
      <c r="CL203" s="22"/>
      <c r="CM203" s="22"/>
      <c r="CN203" s="22"/>
      <c r="CO203" s="22"/>
      <c r="CP203" s="22"/>
      <c r="CQ203" s="22"/>
      <c r="CR203" s="22"/>
      <c r="CS203" s="22"/>
      <c r="CT203" s="22"/>
      <c r="CU203" s="22"/>
      <c r="CV203" s="22"/>
      <c r="CW203" s="22"/>
      <c r="CX203" s="22"/>
      <c r="CY203" s="22"/>
      <c r="CZ203" s="22"/>
      <c r="DA203" s="22"/>
      <c r="DB203" s="22"/>
      <c r="DC203" s="22"/>
      <c r="DD203" s="22"/>
      <c r="DE203" s="22"/>
      <c r="DF203" s="22"/>
      <c r="DG203" s="22"/>
      <c r="DH203" s="22"/>
      <c r="DI203" s="22"/>
      <c r="DJ203" s="22"/>
      <c r="DK203" s="22"/>
      <c r="DL203" s="22"/>
      <c r="DM203" s="22"/>
      <c r="DN203" s="22"/>
      <c r="DO203" s="22"/>
      <c r="DP203" s="22"/>
      <c r="DQ203" s="22"/>
      <c r="DR203" s="22"/>
      <c r="DS203" s="22"/>
      <c r="DT203" s="22"/>
      <c r="DU203" s="22"/>
      <c r="DV203" s="22"/>
      <c r="DW203" s="22"/>
      <c r="DX203" s="22"/>
      <c r="DY203" s="22"/>
      <c r="DZ203" s="22"/>
      <c r="EA203" s="22"/>
      <c r="EB203" s="22"/>
      <c r="EC203" s="22"/>
      <c r="ED203" s="22"/>
      <c r="EE203" s="22"/>
      <c r="EF203" s="22"/>
      <c r="EG203" s="22"/>
      <c r="EH203" s="22"/>
      <c r="EI203" s="22"/>
      <c r="EJ203" s="22"/>
      <c r="EK203" s="22"/>
      <c r="EL203" s="22"/>
      <c r="EM203" s="22"/>
      <c r="EN203" s="22"/>
      <c r="EO203" s="22"/>
      <c r="EP203" s="22"/>
      <c r="EQ203" s="22"/>
      <c r="ER203" s="22"/>
      <c r="ES203" s="22"/>
      <c r="ET203" s="22"/>
      <c r="EU203" s="22"/>
      <c r="EV203" s="22"/>
      <c r="EW203" s="22"/>
      <c r="EX203" s="22"/>
      <c r="EY203" s="22"/>
      <c r="EZ203" s="22"/>
      <c r="FA203" s="22"/>
      <c r="FB203" s="22"/>
      <c r="FC203" s="22"/>
      <c r="FD203" s="22"/>
      <c r="FE203" s="22"/>
      <c r="FF203" s="22"/>
      <c r="FG203" s="22"/>
      <c r="FH203" s="22"/>
      <c r="FI203" s="22"/>
      <c r="FJ203" s="22"/>
      <c r="FK203" s="22"/>
      <c r="FL203" s="22"/>
      <c r="FM203" s="22"/>
      <c r="FN203" s="22"/>
      <c r="FO203" s="22"/>
      <c r="FP203" s="22"/>
      <c r="FQ203" s="22"/>
      <c r="FR203" s="22"/>
      <c r="FS203" s="22"/>
      <c r="FT203" s="22"/>
      <c r="FU203" s="22"/>
      <c r="FV203" s="22"/>
      <c r="FW203" s="22"/>
      <c r="FX203" s="22"/>
      <c r="FY203" s="22"/>
      <c r="FZ203" s="22"/>
      <c r="GA203" s="22"/>
      <c r="GB203" s="22"/>
      <c r="GC203" s="22"/>
      <c r="GD203" s="22"/>
      <c r="GE203" s="22"/>
      <c r="GF203" s="22"/>
      <c r="GG203" s="22"/>
      <c r="GH203" s="22"/>
      <c r="GI203" s="22"/>
      <c r="GJ203" s="22"/>
      <c r="GK203" s="22"/>
      <c r="GL203" s="22"/>
      <c r="GM203" s="22"/>
      <c r="GN203" s="22"/>
      <c r="GO203" s="22"/>
      <c r="GP203" s="22"/>
      <c r="GQ203" s="22"/>
      <c r="GR203" s="22"/>
      <c r="GS203" s="22"/>
      <c r="GT203" s="22"/>
      <c r="GU203" s="22"/>
      <c r="GV203" s="22"/>
      <c r="GW203" s="22"/>
      <c r="GX203" s="22"/>
      <c r="GY203" s="22"/>
      <c r="GZ203" s="22"/>
      <c r="HA203" s="22"/>
      <c r="HB203" s="22"/>
      <c r="HC203" s="22"/>
    </row>
    <row r="204" spans="1:211" ht="15" customHeight="1" x14ac:dyDescent="0.2">
      <c r="A204" s="22"/>
      <c r="B204" s="14"/>
      <c r="C204" s="45"/>
      <c r="D204" s="46"/>
      <c r="E204" s="46"/>
      <c r="F204" s="120"/>
      <c r="G204" s="120"/>
      <c r="H204" s="47"/>
      <c r="I204" s="116"/>
      <c r="J204" s="45"/>
      <c r="K204" s="45"/>
      <c r="L204" s="73"/>
      <c r="M204" s="118"/>
      <c r="N204" s="119"/>
      <c r="O204" s="113"/>
      <c r="P204" s="115"/>
      <c r="Q204"/>
      <c r="R204"/>
      <c r="S204" s="114"/>
      <c r="T204" s="110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22"/>
      <c r="BA204" s="22"/>
      <c r="BB204" s="22"/>
      <c r="BC204" s="22"/>
      <c r="BD204" s="22"/>
      <c r="BE204" s="22"/>
      <c r="BF204" s="22"/>
      <c r="BG204" s="22"/>
      <c r="BH204" s="22"/>
      <c r="BI204" s="22"/>
      <c r="BJ204" s="22"/>
      <c r="BK204" s="22"/>
      <c r="BL204" s="22"/>
      <c r="BM204" s="22"/>
      <c r="BN204" s="22"/>
      <c r="BO204" s="22"/>
      <c r="BP204" s="22"/>
      <c r="BQ204" s="22"/>
      <c r="BR204" s="22"/>
      <c r="BS204" s="22"/>
      <c r="BT204" s="22"/>
      <c r="BU204" s="22"/>
      <c r="BV204" s="22"/>
      <c r="BW204" s="22"/>
      <c r="BX204" s="22"/>
      <c r="BY204" s="22"/>
      <c r="BZ204" s="22"/>
      <c r="CA204" s="22"/>
      <c r="CB204" s="22"/>
      <c r="CC204" s="22"/>
      <c r="CD204" s="22"/>
      <c r="CE204" s="22"/>
      <c r="CF204" s="22"/>
      <c r="CG204" s="22"/>
      <c r="CH204" s="22"/>
      <c r="CI204" s="22"/>
      <c r="CJ204" s="22"/>
      <c r="CK204" s="22"/>
      <c r="CL204" s="22"/>
      <c r="CM204" s="22"/>
      <c r="CN204" s="22"/>
      <c r="CO204" s="22"/>
      <c r="CP204" s="22"/>
      <c r="CQ204" s="22"/>
      <c r="CR204" s="22"/>
      <c r="CS204" s="22"/>
      <c r="CT204" s="22"/>
      <c r="CU204" s="22"/>
      <c r="CV204" s="22"/>
      <c r="CW204" s="22"/>
      <c r="CX204" s="22"/>
      <c r="CY204" s="22"/>
      <c r="CZ204" s="22"/>
      <c r="DA204" s="22"/>
      <c r="DB204" s="22"/>
      <c r="DC204" s="22"/>
      <c r="DD204" s="22"/>
      <c r="DE204" s="22"/>
      <c r="DF204" s="22"/>
      <c r="DG204" s="22"/>
      <c r="DH204" s="22"/>
      <c r="DI204" s="22"/>
      <c r="DJ204" s="22"/>
      <c r="DK204" s="22"/>
      <c r="DL204" s="22"/>
      <c r="DM204" s="22"/>
      <c r="DN204" s="22"/>
      <c r="DO204" s="22"/>
      <c r="DP204" s="22"/>
      <c r="DQ204" s="22"/>
      <c r="DR204" s="22"/>
      <c r="DS204" s="22"/>
      <c r="DT204" s="22"/>
      <c r="DU204" s="22"/>
      <c r="DV204" s="22"/>
      <c r="DW204" s="22"/>
      <c r="DX204" s="22"/>
      <c r="DY204" s="22"/>
      <c r="DZ204" s="22"/>
      <c r="EA204" s="22"/>
      <c r="EB204" s="22"/>
      <c r="EC204" s="22"/>
      <c r="ED204" s="22"/>
      <c r="EE204" s="22"/>
      <c r="EF204" s="22"/>
      <c r="EG204" s="22"/>
      <c r="EH204" s="22"/>
      <c r="EI204" s="22"/>
      <c r="EJ204" s="22"/>
      <c r="EK204" s="22"/>
      <c r="EL204" s="22"/>
      <c r="EM204" s="22"/>
      <c r="EN204" s="22"/>
      <c r="EO204" s="22"/>
      <c r="EP204" s="22"/>
      <c r="EQ204" s="22"/>
      <c r="ER204" s="22"/>
      <c r="ES204" s="22"/>
      <c r="ET204" s="22"/>
      <c r="EU204" s="22"/>
      <c r="EV204" s="22"/>
      <c r="EW204" s="22"/>
      <c r="EX204" s="22"/>
      <c r="EY204" s="22"/>
      <c r="EZ204" s="22"/>
      <c r="FA204" s="22"/>
      <c r="FB204" s="22"/>
      <c r="FC204" s="22"/>
      <c r="FD204" s="22"/>
      <c r="FE204" s="22"/>
      <c r="FF204" s="22"/>
      <c r="FG204" s="22"/>
      <c r="FH204" s="22"/>
      <c r="FI204" s="22"/>
      <c r="FJ204" s="22"/>
      <c r="FK204" s="22"/>
      <c r="FL204" s="22"/>
      <c r="FM204" s="22"/>
      <c r="FN204" s="22"/>
      <c r="FO204" s="22"/>
      <c r="FP204" s="22"/>
      <c r="FQ204" s="22"/>
      <c r="FR204" s="22"/>
      <c r="FS204" s="22"/>
      <c r="FT204" s="22"/>
      <c r="FU204" s="22"/>
      <c r="FV204" s="22"/>
      <c r="FW204" s="22"/>
      <c r="FX204" s="22"/>
      <c r="FY204" s="22"/>
      <c r="FZ204" s="22"/>
      <c r="GA204" s="22"/>
      <c r="GB204" s="22"/>
      <c r="GC204" s="22"/>
      <c r="GD204" s="22"/>
      <c r="GE204" s="22"/>
      <c r="GF204" s="22"/>
      <c r="GG204" s="22"/>
      <c r="GH204" s="22"/>
      <c r="GI204" s="22"/>
      <c r="GJ204" s="22"/>
      <c r="GK204" s="22"/>
      <c r="GL204" s="22"/>
      <c r="GM204" s="22"/>
      <c r="GN204" s="22"/>
      <c r="GO204" s="22"/>
      <c r="GP204" s="22"/>
      <c r="GQ204" s="22"/>
      <c r="GR204" s="22"/>
      <c r="GS204" s="22"/>
      <c r="GT204" s="22"/>
      <c r="GU204" s="22"/>
      <c r="GV204" s="22"/>
      <c r="GW204" s="22"/>
      <c r="GX204" s="22"/>
      <c r="GY204" s="22"/>
      <c r="GZ204" s="22"/>
      <c r="HA204" s="22"/>
      <c r="HB204" s="22"/>
      <c r="HC204" s="22"/>
    </row>
    <row r="205" spans="1:211" ht="15" customHeight="1" x14ac:dyDescent="0.2">
      <c r="A205" s="22"/>
      <c r="B205" s="14"/>
      <c r="C205" s="45"/>
      <c r="D205" s="46"/>
      <c r="E205" s="46"/>
      <c r="F205" s="120"/>
      <c r="G205" s="120"/>
      <c r="H205" s="47"/>
      <c r="I205" s="116"/>
      <c r="J205" s="45"/>
      <c r="K205" s="73"/>
      <c r="L205" s="73"/>
      <c r="M205" s="118"/>
      <c r="N205" s="119"/>
      <c r="O205" s="113"/>
      <c r="P205" s="115"/>
      <c r="Q205"/>
      <c r="R205"/>
      <c r="S205" s="114"/>
      <c r="T205" s="110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2"/>
      <c r="BH205" s="22"/>
      <c r="BI205" s="22"/>
      <c r="BJ205" s="22"/>
      <c r="BK205" s="22"/>
      <c r="BL205" s="22"/>
      <c r="BM205" s="22"/>
      <c r="BN205" s="22"/>
      <c r="BO205" s="22"/>
      <c r="BP205" s="22"/>
      <c r="BQ205" s="22"/>
      <c r="BR205" s="22"/>
      <c r="BS205" s="22"/>
      <c r="BT205" s="22"/>
      <c r="BU205" s="22"/>
      <c r="BV205" s="22"/>
      <c r="BW205" s="22"/>
      <c r="BX205" s="22"/>
      <c r="BY205" s="22"/>
      <c r="BZ205" s="22"/>
      <c r="CA205" s="22"/>
      <c r="CB205" s="22"/>
      <c r="CC205" s="22"/>
      <c r="CD205" s="22"/>
      <c r="CE205" s="22"/>
      <c r="CF205" s="22"/>
      <c r="CG205" s="22"/>
      <c r="CH205" s="22"/>
      <c r="CI205" s="22"/>
      <c r="CJ205" s="22"/>
      <c r="CK205" s="22"/>
      <c r="CL205" s="22"/>
      <c r="CM205" s="22"/>
      <c r="CN205" s="22"/>
      <c r="CO205" s="22"/>
      <c r="CP205" s="22"/>
      <c r="CQ205" s="22"/>
      <c r="CR205" s="22"/>
      <c r="CS205" s="22"/>
      <c r="CT205" s="22"/>
      <c r="CU205" s="22"/>
      <c r="CV205" s="22"/>
      <c r="CW205" s="22"/>
      <c r="CX205" s="22"/>
      <c r="CY205" s="22"/>
      <c r="CZ205" s="22"/>
      <c r="DA205" s="22"/>
      <c r="DB205" s="22"/>
      <c r="DC205" s="22"/>
      <c r="DD205" s="22"/>
      <c r="DE205" s="22"/>
      <c r="DF205" s="22"/>
      <c r="DG205" s="22"/>
      <c r="DH205" s="22"/>
      <c r="DI205" s="22"/>
      <c r="DJ205" s="22"/>
      <c r="DK205" s="22"/>
      <c r="DL205" s="22"/>
      <c r="DM205" s="22"/>
      <c r="DN205" s="22"/>
      <c r="DO205" s="22"/>
      <c r="DP205" s="22"/>
      <c r="DQ205" s="22"/>
      <c r="DR205" s="22"/>
      <c r="DS205" s="22"/>
      <c r="DT205" s="22"/>
      <c r="DU205" s="22"/>
      <c r="DV205" s="22"/>
      <c r="DW205" s="22"/>
      <c r="DX205" s="22"/>
      <c r="DY205" s="22"/>
      <c r="DZ205" s="22"/>
      <c r="EA205" s="22"/>
      <c r="EB205" s="22"/>
      <c r="EC205" s="22"/>
      <c r="ED205" s="22"/>
      <c r="EE205" s="22"/>
      <c r="EF205" s="22"/>
      <c r="EG205" s="22"/>
      <c r="EH205" s="22"/>
      <c r="EI205" s="22"/>
      <c r="EJ205" s="22"/>
      <c r="EK205" s="22"/>
      <c r="EL205" s="22"/>
      <c r="EM205" s="22"/>
      <c r="EN205" s="22"/>
      <c r="EO205" s="22"/>
      <c r="EP205" s="22"/>
      <c r="EQ205" s="22"/>
      <c r="ER205" s="22"/>
      <c r="ES205" s="22"/>
      <c r="ET205" s="22"/>
      <c r="EU205" s="22"/>
      <c r="EV205" s="22"/>
      <c r="EW205" s="22"/>
      <c r="EX205" s="22"/>
      <c r="EY205" s="22"/>
      <c r="EZ205" s="22"/>
      <c r="FA205" s="22"/>
      <c r="FB205" s="22"/>
      <c r="FC205" s="22"/>
      <c r="FD205" s="22"/>
      <c r="FE205" s="22"/>
      <c r="FF205" s="22"/>
      <c r="FG205" s="22"/>
      <c r="FH205" s="22"/>
      <c r="FI205" s="22"/>
      <c r="FJ205" s="22"/>
      <c r="FK205" s="22"/>
      <c r="FL205" s="22"/>
      <c r="FM205" s="22"/>
      <c r="FN205" s="22"/>
      <c r="FO205" s="22"/>
      <c r="FP205" s="22"/>
      <c r="FQ205" s="22"/>
      <c r="FR205" s="22"/>
      <c r="FS205" s="22"/>
      <c r="FT205" s="22"/>
      <c r="FU205" s="22"/>
      <c r="FV205" s="22"/>
      <c r="FW205" s="22"/>
      <c r="FX205" s="22"/>
      <c r="FY205" s="22"/>
      <c r="FZ205" s="22"/>
      <c r="GA205" s="22"/>
      <c r="GB205" s="22"/>
      <c r="GC205" s="22"/>
      <c r="GD205" s="22"/>
      <c r="GE205" s="22"/>
      <c r="GF205" s="22"/>
      <c r="GG205" s="22"/>
      <c r="GH205" s="22"/>
      <c r="GI205" s="22"/>
      <c r="GJ205" s="22"/>
      <c r="GK205" s="22"/>
      <c r="GL205" s="22"/>
      <c r="GM205" s="22"/>
      <c r="GN205" s="22"/>
      <c r="GO205" s="22"/>
      <c r="GP205" s="22"/>
      <c r="GQ205" s="22"/>
      <c r="GR205" s="22"/>
      <c r="GS205" s="22"/>
      <c r="GT205" s="22"/>
      <c r="GU205" s="22"/>
      <c r="GV205" s="22"/>
      <c r="GW205" s="22"/>
      <c r="GX205" s="22"/>
      <c r="GY205" s="22"/>
      <c r="GZ205" s="22"/>
      <c r="HA205" s="22"/>
      <c r="HB205" s="22"/>
      <c r="HC205" s="22"/>
    </row>
    <row r="206" spans="1:211" ht="15" customHeight="1" x14ac:dyDescent="0.2">
      <c r="A206" s="22"/>
      <c r="B206" s="14"/>
      <c r="C206" s="45"/>
      <c r="D206" s="46"/>
      <c r="E206" s="46"/>
      <c r="F206" s="120"/>
      <c r="G206" s="120"/>
      <c r="H206" s="47"/>
      <c r="I206" s="116"/>
      <c r="J206" s="45"/>
      <c r="K206" s="45"/>
      <c r="L206" s="73"/>
      <c r="M206" s="118"/>
      <c r="N206" s="119"/>
      <c r="O206" s="113"/>
      <c r="P206" s="115"/>
      <c r="Q206"/>
      <c r="R206"/>
      <c r="S206" s="114"/>
      <c r="T206" s="110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  <c r="BN206" s="22"/>
      <c r="BO206" s="22"/>
      <c r="BP206" s="22"/>
      <c r="BQ206" s="22"/>
      <c r="BR206" s="22"/>
      <c r="BS206" s="22"/>
      <c r="BT206" s="22"/>
      <c r="BU206" s="22"/>
      <c r="BV206" s="22"/>
      <c r="BW206" s="22"/>
      <c r="BX206" s="22"/>
      <c r="BY206" s="22"/>
      <c r="BZ206" s="22"/>
      <c r="CA206" s="22"/>
      <c r="CB206" s="22"/>
      <c r="CC206" s="22"/>
      <c r="CD206" s="22"/>
      <c r="CE206" s="22"/>
      <c r="CF206" s="22"/>
      <c r="CG206" s="22"/>
      <c r="CH206" s="22"/>
      <c r="CI206" s="22"/>
      <c r="CJ206" s="22"/>
      <c r="CK206" s="22"/>
      <c r="CL206" s="22"/>
      <c r="CM206" s="22"/>
      <c r="CN206" s="22"/>
      <c r="CO206" s="22"/>
      <c r="CP206" s="22"/>
      <c r="CQ206" s="22"/>
      <c r="CR206" s="22"/>
      <c r="CS206" s="22"/>
      <c r="CT206" s="22"/>
      <c r="CU206" s="22"/>
      <c r="CV206" s="22"/>
      <c r="CW206" s="22"/>
      <c r="CX206" s="22"/>
      <c r="CY206" s="22"/>
      <c r="CZ206" s="22"/>
      <c r="DA206" s="22"/>
      <c r="DB206" s="22"/>
      <c r="DC206" s="22"/>
      <c r="DD206" s="22"/>
      <c r="DE206" s="22"/>
      <c r="DF206" s="22"/>
      <c r="DG206" s="22"/>
      <c r="DH206" s="22"/>
      <c r="DI206" s="22"/>
      <c r="DJ206" s="22"/>
      <c r="DK206" s="22"/>
      <c r="DL206" s="22"/>
      <c r="DM206" s="22"/>
      <c r="DN206" s="22"/>
      <c r="DO206" s="22"/>
      <c r="DP206" s="22"/>
      <c r="DQ206" s="22"/>
      <c r="DR206" s="22"/>
      <c r="DS206" s="22"/>
      <c r="DT206" s="22"/>
      <c r="DU206" s="22"/>
      <c r="DV206" s="22"/>
      <c r="DW206" s="22"/>
      <c r="DX206" s="22"/>
      <c r="DY206" s="22"/>
      <c r="DZ206" s="22"/>
      <c r="EA206" s="22"/>
      <c r="EB206" s="22"/>
      <c r="EC206" s="22"/>
      <c r="ED206" s="22"/>
      <c r="EE206" s="22"/>
      <c r="EF206" s="22"/>
      <c r="EG206" s="22"/>
      <c r="EH206" s="22"/>
      <c r="EI206" s="22"/>
      <c r="EJ206" s="22"/>
      <c r="EK206" s="22"/>
      <c r="EL206" s="22"/>
      <c r="EM206" s="22"/>
      <c r="EN206" s="22"/>
      <c r="EO206" s="22"/>
      <c r="EP206" s="22"/>
      <c r="EQ206" s="22"/>
      <c r="ER206" s="22"/>
      <c r="ES206" s="22"/>
      <c r="ET206" s="22"/>
      <c r="EU206" s="22"/>
      <c r="EV206" s="22"/>
      <c r="EW206" s="22"/>
      <c r="EX206" s="22"/>
      <c r="EY206" s="22"/>
      <c r="EZ206" s="22"/>
      <c r="FA206" s="22"/>
      <c r="FB206" s="22"/>
      <c r="FC206" s="22"/>
      <c r="FD206" s="22"/>
      <c r="FE206" s="22"/>
      <c r="FF206" s="22"/>
      <c r="FG206" s="22"/>
      <c r="FH206" s="22"/>
      <c r="FI206" s="22"/>
      <c r="FJ206" s="22"/>
      <c r="FK206" s="22"/>
      <c r="FL206" s="22"/>
      <c r="FM206" s="22"/>
      <c r="FN206" s="22"/>
      <c r="FO206" s="22"/>
      <c r="FP206" s="22"/>
      <c r="FQ206" s="22"/>
      <c r="FR206" s="22"/>
      <c r="FS206" s="22"/>
      <c r="FT206" s="22"/>
      <c r="FU206" s="22"/>
      <c r="FV206" s="22"/>
      <c r="FW206" s="22"/>
      <c r="FX206" s="22"/>
      <c r="FY206" s="22"/>
      <c r="FZ206" s="22"/>
      <c r="GA206" s="22"/>
      <c r="GB206" s="22"/>
      <c r="GC206" s="22"/>
      <c r="GD206" s="22"/>
      <c r="GE206" s="22"/>
      <c r="GF206" s="22"/>
      <c r="GG206" s="22"/>
      <c r="GH206" s="22"/>
      <c r="GI206" s="22"/>
      <c r="GJ206" s="22"/>
      <c r="GK206" s="22"/>
      <c r="GL206" s="22"/>
      <c r="GM206" s="22"/>
      <c r="GN206" s="22"/>
      <c r="GO206" s="22"/>
      <c r="GP206" s="22"/>
      <c r="GQ206" s="22"/>
      <c r="GR206" s="22"/>
      <c r="GS206" s="22"/>
      <c r="GT206" s="22"/>
      <c r="GU206" s="22"/>
      <c r="GV206" s="22"/>
      <c r="GW206" s="22"/>
      <c r="GX206" s="22"/>
      <c r="GY206" s="22"/>
      <c r="GZ206" s="22"/>
      <c r="HA206" s="22"/>
      <c r="HB206" s="22"/>
      <c r="HC206" s="22"/>
    </row>
    <row r="207" spans="1:211" ht="15" customHeight="1" x14ac:dyDescent="0.2">
      <c r="A207" s="22"/>
      <c r="B207" s="14"/>
      <c r="C207" s="45"/>
      <c r="D207" s="46"/>
      <c r="E207" s="46"/>
      <c r="F207" s="120"/>
      <c r="G207" s="120"/>
      <c r="H207" s="47"/>
      <c r="I207" s="116"/>
      <c r="J207" s="45"/>
      <c r="K207" s="45"/>
      <c r="L207" s="73"/>
      <c r="M207" s="118"/>
      <c r="N207" s="119"/>
      <c r="O207" s="113"/>
      <c r="P207" s="115"/>
      <c r="Q207"/>
      <c r="R207"/>
      <c r="S207" s="114"/>
      <c r="T207" s="110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2"/>
      <c r="BH207" s="22"/>
      <c r="BI207" s="22"/>
      <c r="BJ207" s="22"/>
      <c r="BK207" s="22"/>
      <c r="BL207" s="22"/>
      <c r="BM207" s="22"/>
      <c r="BN207" s="22"/>
      <c r="BO207" s="22"/>
      <c r="BP207" s="22"/>
      <c r="BQ207" s="22"/>
      <c r="BR207" s="22"/>
      <c r="BS207" s="22"/>
      <c r="BT207" s="22"/>
      <c r="BU207" s="22"/>
      <c r="BV207" s="22"/>
      <c r="BW207" s="22"/>
      <c r="BX207" s="22"/>
      <c r="BY207" s="22"/>
      <c r="BZ207" s="22"/>
      <c r="CA207" s="22"/>
      <c r="CB207" s="22"/>
      <c r="CC207" s="22"/>
      <c r="CD207" s="22"/>
      <c r="CE207" s="22"/>
      <c r="CF207" s="22"/>
      <c r="CG207" s="22"/>
      <c r="CH207" s="22"/>
      <c r="CI207" s="22"/>
      <c r="CJ207" s="22"/>
      <c r="CK207" s="22"/>
      <c r="CL207" s="22"/>
      <c r="CM207" s="22"/>
      <c r="CN207" s="22"/>
      <c r="CO207" s="22"/>
      <c r="CP207" s="22"/>
      <c r="CQ207" s="22"/>
      <c r="CR207" s="22"/>
      <c r="CS207" s="22"/>
      <c r="CT207" s="22"/>
      <c r="CU207" s="22"/>
      <c r="CV207" s="22"/>
      <c r="CW207" s="22"/>
      <c r="CX207" s="22"/>
      <c r="CY207" s="22"/>
      <c r="CZ207" s="22"/>
      <c r="DA207" s="22"/>
      <c r="DB207" s="22"/>
      <c r="DC207" s="22"/>
      <c r="DD207" s="22"/>
      <c r="DE207" s="22"/>
      <c r="DF207" s="22"/>
      <c r="DG207" s="22"/>
      <c r="DH207" s="22"/>
      <c r="DI207" s="22"/>
      <c r="DJ207" s="22"/>
      <c r="DK207" s="22"/>
      <c r="DL207" s="22"/>
      <c r="DM207" s="22"/>
      <c r="DN207" s="22"/>
      <c r="DO207" s="22"/>
      <c r="DP207" s="22"/>
      <c r="DQ207" s="22"/>
      <c r="DR207" s="22"/>
      <c r="DS207" s="22"/>
      <c r="DT207" s="22"/>
      <c r="DU207" s="22"/>
      <c r="DV207" s="22"/>
      <c r="DW207" s="22"/>
      <c r="DX207" s="22"/>
      <c r="DY207" s="22"/>
      <c r="DZ207" s="22"/>
      <c r="EA207" s="22"/>
      <c r="EB207" s="22"/>
      <c r="EC207" s="22"/>
      <c r="ED207" s="22"/>
      <c r="EE207" s="22"/>
      <c r="EF207" s="22"/>
      <c r="EG207" s="22"/>
      <c r="EH207" s="22"/>
      <c r="EI207" s="22"/>
      <c r="EJ207" s="22"/>
      <c r="EK207" s="22"/>
      <c r="EL207" s="22"/>
      <c r="EM207" s="22"/>
      <c r="EN207" s="22"/>
      <c r="EO207" s="22"/>
      <c r="EP207" s="22"/>
      <c r="EQ207" s="22"/>
      <c r="ER207" s="22"/>
      <c r="ES207" s="22"/>
      <c r="ET207" s="22"/>
      <c r="EU207" s="22"/>
      <c r="EV207" s="22"/>
      <c r="EW207" s="22"/>
      <c r="EX207" s="22"/>
      <c r="EY207" s="22"/>
      <c r="EZ207" s="22"/>
      <c r="FA207" s="22"/>
      <c r="FB207" s="22"/>
      <c r="FC207" s="22"/>
      <c r="FD207" s="22"/>
      <c r="FE207" s="22"/>
      <c r="FF207" s="22"/>
      <c r="FG207" s="22"/>
      <c r="FH207" s="22"/>
      <c r="FI207" s="22"/>
      <c r="FJ207" s="22"/>
      <c r="FK207" s="22"/>
      <c r="FL207" s="22"/>
      <c r="FM207" s="22"/>
      <c r="FN207" s="22"/>
      <c r="FO207" s="22"/>
      <c r="FP207" s="22"/>
      <c r="FQ207" s="22"/>
      <c r="FR207" s="22"/>
      <c r="FS207" s="22"/>
      <c r="FT207" s="22"/>
      <c r="FU207" s="22"/>
      <c r="FV207" s="22"/>
      <c r="FW207" s="22"/>
      <c r="FX207" s="22"/>
      <c r="FY207" s="22"/>
      <c r="FZ207" s="22"/>
      <c r="GA207" s="22"/>
      <c r="GB207" s="22"/>
      <c r="GC207" s="22"/>
      <c r="GD207" s="22"/>
      <c r="GE207" s="22"/>
      <c r="GF207" s="22"/>
      <c r="GG207" s="22"/>
      <c r="GH207" s="22"/>
      <c r="GI207" s="22"/>
      <c r="GJ207" s="22"/>
      <c r="GK207" s="22"/>
      <c r="GL207" s="22"/>
      <c r="GM207" s="22"/>
      <c r="GN207" s="22"/>
      <c r="GO207" s="22"/>
      <c r="GP207" s="22"/>
      <c r="GQ207" s="22"/>
      <c r="GR207" s="22"/>
      <c r="GS207" s="22"/>
      <c r="GT207" s="22"/>
      <c r="GU207" s="22"/>
      <c r="GV207" s="22"/>
      <c r="GW207" s="22"/>
      <c r="GX207" s="22"/>
      <c r="GY207" s="22"/>
      <c r="GZ207" s="22"/>
      <c r="HA207" s="22"/>
      <c r="HB207" s="22"/>
      <c r="HC207" s="22"/>
    </row>
    <row r="208" spans="1:211" ht="15" customHeight="1" x14ac:dyDescent="0.2">
      <c r="A208" s="22"/>
      <c r="B208" s="14"/>
      <c r="C208" s="45"/>
      <c r="D208" s="46"/>
      <c r="E208" s="46"/>
      <c r="F208" s="120"/>
      <c r="G208" s="120"/>
      <c r="H208" s="47"/>
      <c r="I208" s="116"/>
      <c r="J208" s="45"/>
      <c r="K208" s="73"/>
      <c r="L208" s="73"/>
      <c r="M208" s="118"/>
      <c r="N208" s="119"/>
      <c r="O208" s="113"/>
      <c r="P208" s="115"/>
      <c r="Q208"/>
      <c r="R208"/>
      <c r="S208" s="114"/>
      <c r="T208" s="110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22"/>
      <c r="BA208" s="22"/>
      <c r="BB208" s="22"/>
      <c r="BC208" s="22"/>
      <c r="BD208" s="22"/>
      <c r="BE208" s="22"/>
      <c r="BF208" s="22"/>
      <c r="BG208" s="22"/>
      <c r="BH208" s="22"/>
      <c r="BI208" s="22"/>
      <c r="BJ208" s="22"/>
      <c r="BK208" s="22"/>
      <c r="BL208" s="22"/>
      <c r="BM208" s="22"/>
      <c r="BN208" s="22"/>
      <c r="BO208" s="22"/>
      <c r="BP208" s="22"/>
      <c r="BQ208" s="22"/>
      <c r="BR208" s="22"/>
      <c r="BS208" s="22"/>
      <c r="BT208" s="22"/>
      <c r="BU208" s="22"/>
      <c r="BV208" s="22"/>
      <c r="BW208" s="22"/>
      <c r="BX208" s="22"/>
      <c r="BY208" s="22"/>
      <c r="BZ208" s="22"/>
      <c r="CA208" s="22"/>
      <c r="CB208" s="22"/>
      <c r="CC208" s="22"/>
      <c r="CD208" s="22"/>
      <c r="CE208" s="22"/>
      <c r="CF208" s="22"/>
      <c r="CG208" s="22"/>
      <c r="CH208" s="22"/>
      <c r="CI208" s="22"/>
      <c r="CJ208" s="22"/>
      <c r="CK208" s="22"/>
      <c r="CL208" s="22"/>
      <c r="CM208" s="22"/>
      <c r="CN208" s="22"/>
      <c r="CO208" s="22"/>
      <c r="CP208" s="22"/>
      <c r="CQ208" s="22"/>
      <c r="CR208" s="22"/>
      <c r="CS208" s="22"/>
      <c r="CT208" s="22"/>
      <c r="CU208" s="22"/>
      <c r="CV208" s="22"/>
      <c r="CW208" s="22"/>
      <c r="CX208" s="22"/>
      <c r="CY208" s="22"/>
      <c r="CZ208" s="22"/>
      <c r="DA208" s="22"/>
      <c r="DB208" s="22"/>
      <c r="DC208" s="22"/>
      <c r="DD208" s="22"/>
      <c r="DE208" s="22"/>
      <c r="DF208" s="22"/>
      <c r="DG208" s="22"/>
      <c r="DH208" s="22"/>
      <c r="DI208" s="22"/>
      <c r="DJ208" s="22"/>
      <c r="DK208" s="22"/>
      <c r="DL208" s="22"/>
      <c r="DM208" s="22"/>
      <c r="DN208" s="22"/>
      <c r="DO208" s="22"/>
      <c r="DP208" s="22"/>
      <c r="DQ208" s="22"/>
      <c r="DR208" s="22"/>
      <c r="DS208" s="22"/>
      <c r="DT208" s="22"/>
      <c r="DU208" s="22"/>
      <c r="DV208" s="22"/>
      <c r="DW208" s="22"/>
      <c r="DX208" s="22"/>
      <c r="DY208" s="22"/>
      <c r="DZ208" s="22"/>
      <c r="EA208" s="22"/>
      <c r="EB208" s="22"/>
      <c r="EC208" s="22"/>
      <c r="ED208" s="22"/>
      <c r="EE208" s="22"/>
      <c r="EF208" s="22"/>
      <c r="EG208" s="22"/>
      <c r="EH208" s="22"/>
      <c r="EI208" s="22"/>
      <c r="EJ208" s="22"/>
      <c r="EK208" s="22"/>
      <c r="EL208" s="22"/>
      <c r="EM208" s="22"/>
      <c r="EN208" s="22"/>
      <c r="EO208" s="22"/>
      <c r="EP208" s="22"/>
      <c r="EQ208" s="22"/>
      <c r="ER208" s="22"/>
      <c r="ES208" s="22"/>
      <c r="ET208" s="22"/>
      <c r="EU208" s="22"/>
      <c r="EV208" s="22"/>
      <c r="EW208" s="22"/>
      <c r="EX208" s="22"/>
      <c r="EY208" s="22"/>
      <c r="EZ208" s="22"/>
      <c r="FA208" s="22"/>
      <c r="FB208" s="22"/>
      <c r="FC208" s="22"/>
      <c r="FD208" s="22"/>
      <c r="FE208" s="22"/>
      <c r="FF208" s="22"/>
      <c r="FG208" s="22"/>
      <c r="FH208" s="22"/>
      <c r="FI208" s="22"/>
      <c r="FJ208" s="22"/>
      <c r="FK208" s="22"/>
      <c r="FL208" s="22"/>
      <c r="FM208" s="22"/>
      <c r="FN208" s="22"/>
      <c r="FO208" s="22"/>
      <c r="FP208" s="22"/>
      <c r="FQ208" s="22"/>
      <c r="FR208" s="22"/>
      <c r="FS208" s="22"/>
      <c r="FT208" s="22"/>
      <c r="FU208" s="22"/>
      <c r="FV208" s="22"/>
      <c r="FW208" s="22"/>
      <c r="FX208" s="22"/>
      <c r="FY208" s="22"/>
      <c r="FZ208" s="22"/>
      <c r="GA208" s="22"/>
      <c r="GB208" s="22"/>
      <c r="GC208" s="22"/>
      <c r="GD208" s="22"/>
      <c r="GE208" s="22"/>
      <c r="GF208" s="22"/>
      <c r="GG208" s="22"/>
      <c r="GH208" s="22"/>
      <c r="GI208" s="22"/>
      <c r="GJ208" s="22"/>
      <c r="GK208" s="22"/>
      <c r="GL208" s="22"/>
      <c r="GM208" s="22"/>
      <c r="GN208" s="22"/>
      <c r="GO208" s="22"/>
      <c r="GP208" s="22"/>
      <c r="GQ208" s="22"/>
      <c r="GR208" s="22"/>
      <c r="GS208" s="22"/>
      <c r="GT208" s="22"/>
      <c r="GU208" s="22"/>
      <c r="GV208" s="22"/>
      <c r="GW208" s="22"/>
      <c r="GX208" s="22"/>
      <c r="GY208" s="22"/>
      <c r="GZ208" s="22"/>
      <c r="HA208" s="22"/>
      <c r="HB208" s="22"/>
      <c r="HC208" s="22"/>
    </row>
    <row r="209" spans="1:211" ht="15" customHeight="1" x14ac:dyDescent="0.2">
      <c r="A209" s="22"/>
      <c r="B209" s="14"/>
      <c r="C209" s="45"/>
      <c r="D209" s="46"/>
      <c r="E209" s="46"/>
      <c r="F209" s="120"/>
      <c r="G209" s="120"/>
      <c r="H209" s="47"/>
      <c r="I209" s="116"/>
      <c r="J209" s="45"/>
      <c r="K209" s="73"/>
      <c r="L209" s="73"/>
      <c r="M209" s="118"/>
      <c r="N209" s="119"/>
      <c r="O209" s="113"/>
      <c r="P209" s="115"/>
      <c r="Q209"/>
      <c r="R209"/>
      <c r="S209" s="114"/>
      <c r="T209" s="110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2"/>
      <c r="BH209" s="22"/>
      <c r="BI209" s="22"/>
      <c r="BJ209" s="22"/>
      <c r="BK209" s="22"/>
      <c r="BL209" s="22"/>
      <c r="BM209" s="22"/>
      <c r="BN209" s="22"/>
      <c r="BO209" s="22"/>
      <c r="BP209" s="22"/>
      <c r="BQ209" s="22"/>
      <c r="BR209" s="22"/>
      <c r="BS209" s="22"/>
      <c r="BT209" s="22"/>
      <c r="BU209" s="22"/>
      <c r="BV209" s="22"/>
      <c r="BW209" s="22"/>
      <c r="BX209" s="22"/>
      <c r="BY209" s="22"/>
      <c r="BZ209" s="22"/>
      <c r="CA209" s="22"/>
      <c r="CB209" s="22"/>
      <c r="CC209" s="22"/>
      <c r="CD209" s="22"/>
      <c r="CE209" s="22"/>
      <c r="CF209" s="22"/>
      <c r="CG209" s="22"/>
      <c r="CH209" s="22"/>
      <c r="CI209" s="22"/>
      <c r="CJ209" s="22"/>
      <c r="CK209" s="22"/>
      <c r="CL209" s="22"/>
      <c r="CM209" s="22"/>
      <c r="CN209" s="22"/>
      <c r="CO209" s="22"/>
      <c r="CP209" s="22"/>
      <c r="CQ209" s="22"/>
      <c r="CR209" s="22"/>
      <c r="CS209" s="22"/>
      <c r="CT209" s="22"/>
      <c r="CU209" s="22"/>
      <c r="CV209" s="22"/>
      <c r="CW209" s="22"/>
      <c r="CX209" s="22"/>
      <c r="CY209" s="22"/>
      <c r="CZ209" s="22"/>
      <c r="DA209" s="22"/>
      <c r="DB209" s="22"/>
      <c r="DC209" s="22"/>
      <c r="DD209" s="22"/>
      <c r="DE209" s="22"/>
      <c r="DF209" s="22"/>
      <c r="DG209" s="22"/>
      <c r="DH209" s="22"/>
      <c r="DI209" s="22"/>
      <c r="DJ209" s="22"/>
      <c r="DK209" s="22"/>
      <c r="DL209" s="22"/>
      <c r="DM209" s="22"/>
      <c r="DN209" s="22"/>
      <c r="DO209" s="22"/>
      <c r="DP209" s="22"/>
      <c r="DQ209" s="22"/>
      <c r="DR209" s="22"/>
      <c r="DS209" s="22"/>
      <c r="DT209" s="22"/>
      <c r="DU209" s="22"/>
      <c r="DV209" s="22"/>
      <c r="DW209" s="22"/>
      <c r="DX209" s="22"/>
      <c r="DY209" s="22"/>
      <c r="DZ209" s="22"/>
      <c r="EA209" s="22"/>
      <c r="EB209" s="22"/>
      <c r="EC209" s="22"/>
      <c r="ED209" s="22"/>
      <c r="EE209" s="22"/>
      <c r="EF209" s="22"/>
      <c r="EG209" s="22"/>
      <c r="EH209" s="22"/>
      <c r="EI209" s="22"/>
      <c r="EJ209" s="22"/>
      <c r="EK209" s="22"/>
      <c r="EL209" s="22"/>
      <c r="EM209" s="22"/>
      <c r="EN209" s="22"/>
      <c r="EO209" s="22"/>
      <c r="EP209" s="22"/>
      <c r="EQ209" s="22"/>
      <c r="ER209" s="22"/>
      <c r="ES209" s="22"/>
      <c r="ET209" s="22"/>
      <c r="EU209" s="22"/>
      <c r="EV209" s="22"/>
      <c r="EW209" s="22"/>
      <c r="EX209" s="22"/>
      <c r="EY209" s="22"/>
      <c r="EZ209" s="22"/>
      <c r="FA209" s="22"/>
      <c r="FB209" s="22"/>
      <c r="FC209" s="22"/>
      <c r="FD209" s="22"/>
      <c r="FE209" s="22"/>
      <c r="FF209" s="22"/>
      <c r="FG209" s="22"/>
      <c r="FH209" s="22"/>
      <c r="FI209" s="22"/>
      <c r="FJ209" s="22"/>
      <c r="FK209" s="22"/>
      <c r="FL209" s="22"/>
      <c r="FM209" s="22"/>
      <c r="FN209" s="22"/>
      <c r="FO209" s="22"/>
      <c r="FP209" s="22"/>
      <c r="FQ209" s="22"/>
      <c r="FR209" s="22"/>
      <c r="FS209" s="22"/>
      <c r="FT209" s="22"/>
      <c r="FU209" s="22"/>
      <c r="FV209" s="22"/>
      <c r="FW209" s="22"/>
      <c r="FX209" s="22"/>
      <c r="FY209" s="22"/>
      <c r="FZ209" s="22"/>
      <c r="GA209" s="22"/>
      <c r="GB209" s="22"/>
      <c r="GC209" s="22"/>
      <c r="GD209" s="22"/>
      <c r="GE209" s="22"/>
      <c r="GF209" s="22"/>
      <c r="GG209" s="22"/>
      <c r="GH209" s="22"/>
      <c r="GI209" s="22"/>
      <c r="GJ209" s="22"/>
      <c r="GK209" s="22"/>
      <c r="GL209" s="22"/>
      <c r="GM209" s="22"/>
      <c r="GN209" s="22"/>
      <c r="GO209" s="22"/>
      <c r="GP209" s="22"/>
      <c r="GQ209" s="22"/>
      <c r="GR209" s="22"/>
      <c r="GS209" s="22"/>
      <c r="GT209" s="22"/>
      <c r="GU209" s="22"/>
      <c r="GV209" s="22"/>
      <c r="GW209" s="22"/>
      <c r="GX209" s="22"/>
      <c r="GY209" s="22"/>
      <c r="GZ209" s="22"/>
      <c r="HA209" s="22"/>
      <c r="HB209" s="22"/>
      <c r="HC209" s="22"/>
    </row>
    <row r="210" spans="1:211" ht="15" customHeight="1" x14ac:dyDescent="0.2">
      <c r="A210" s="22"/>
      <c r="B210" s="14"/>
      <c r="C210" s="45"/>
      <c r="D210" s="46"/>
      <c r="E210" s="46"/>
      <c r="F210" s="120"/>
      <c r="G210" s="120"/>
      <c r="H210" s="47"/>
      <c r="I210" s="116"/>
      <c r="J210" s="45"/>
      <c r="K210" s="45"/>
      <c r="L210" s="73"/>
      <c r="M210" s="118"/>
      <c r="N210" s="119"/>
      <c r="O210" s="113"/>
      <c r="P210" s="115"/>
      <c r="Q210"/>
      <c r="R210"/>
      <c r="S210" s="114"/>
      <c r="T210" s="110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22"/>
      <c r="BA210" s="22"/>
      <c r="BB210" s="22"/>
      <c r="BC210" s="22"/>
      <c r="BD210" s="22"/>
      <c r="BE210" s="22"/>
      <c r="BF210" s="22"/>
      <c r="BG210" s="22"/>
      <c r="BH210" s="22"/>
      <c r="BI210" s="22"/>
      <c r="BJ210" s="22"/>
      <c r="BK210" s="22"/>
      <c r="BL210" s="22"/>
      <c r="BM210" s="22"/>
      <c r="BN210" s="22"/>
      <c r="BO210" s="22"/>
      <c r="BP210" s="22"/>
      <c r="BQ210" s="22"/>
      <c r="BR210" s="22"/>
      <c r="BS210" s="22"/>
      <c r="BT210" s="22"/>
      <c r="BU210" s="22"/>
      <c r="BV210" s="22"/>
      <c r="BW210" s="22"/>
      <c r="BX210" s="22"/>
      <c r="BY210" s="22"/>
      <c r="BZ210" s="22"/>
      <c r="CA210" s="22"/>
      <c r="CB210" s="22"/>
      <c r="CC210" s="22"/>
      <c r="CD210" s="22"/>
      <c r="CE210" s="22"/>
      <c r="CF210" s="22"/>
      <c r="CG210" s="22"/>
      <c r="CH210" s="22"/>
      <c r="CI210" s="22"/>
      <c r="CJ210" s="22"/>
      <c r="CK210" s="22"/>
      <c r="CL210" s="22"/>
      <c r="CM210" s="22"/>
      <c r="CN210" s="22"/>
      <c r="CO210" s="22"/>
      <c r="CP210" s="22"/>
      <c r="CQ210" s="22"/>
      <c r="CR210" s="22"/>
      <c r="CS210" s="22"/>
      <c r="CT210" s="22"/>
      <c r="CU210" s="22"/>
      <c r="CV210" s="22"/>
      <c r="CW210" s="22"/>
      <c r="CX210" s="22"/>
      <c r="CY210" s="22"/>
      <c r="CZ210" s="22"/>
      <c r="DA210" s="22"/>
      <c r="DB210" s="22"/>
      <c r="DC210" s="22"/>
      <c r="DD210" s="22"/>
      <c r="DE210" s="22"/>
      <c r="DF210" s="22"/>
      <c r="DG210" s="22"/>
      <c r="DH210" s="22"/>
      <c r="DI210" s="22"/>
      <c r="DJ210" s="22"/>
      <c r="DK210" s="22"/>
      <c r="DL210" s="22"/>
      <c r="DM210" s="22"/>
      <c r="DN210" s="22"/>
      <c r="DO210" s="22"/>
      <c r="DP210" s="22"/>
      <c r="DQ210" s="22"/>
      <c r="DR210" s="22"/>
      <c r="DS210" s="22"/>
      <c r="DT210" s="22"/>
      <c r="DU210" s="22"/>
      <c r="DV210" s="22"/>
      <c r="DW210" s="22"/>
      <c r="DX210" s="22"/>
      <c r="DY210" s="22"/>
      <c r="DZ210" s="22"/>
      <c r="EA210" s="22"/>
      <c r="EB210" s="22"/>
      <c r="EC210" s="22"/>
      <c r="ED210" s="22"/>
      <c r="EE210" s="22"/>
      <c r="EF210" s="22"/>
      <c r="EG210" s="22"/>
      <c r="EH210" s="22"/>
      <c r="EI210" s="22"/>
      <c r="EJ210" s="22"/>
      <c r="EK210" s="22"/>
      <c r="EL210" s="22"/>
      <c r="EM210" s="22"/>
      <c r="EN210" s="22"/>
      <c r="EO210" s="22"/>
      <c r="EP210" s="22"/>
      <c r="EQ210" s="22"/>
      <c r="ER210" s="22"/>
      <c r="ES210" s="22"/>
      <c r="ET210" s="22"/>
      <c r="EU210" s="22"/>
      <c r="EV210" s="22"/>
      <c r="EW210" s="22"/>
      <c r="EX210" s="22"/>
      <c r="EY210" s="22"/>
      <c r="EZ210" s="22"/>
      <c r="FA210" s="22"/>
      <c r="FB210" s="22"/>
      <c r="FC210" s="22"/>
      <c r="FD210" s="22"/>
      <c r="FE210" s="22"/>
      <c r="FF210" s="22"/>
      <c r="FG210" s="22"/>
      <c r="FH210" s="22"/>
      <c r="FI210" s="22"/>
      <c r="FJ210" s="22"/>
      <c r="FK210" s="22"/>
      <c r="FL210" s="22"/>
      <c r="FM210" s="22"/>
      <c r="FN210" s="22"/>
      <c r="FO210" s="22"/>
      <c r="FP210" s="22"/>
      <c r="FQ210" s="22"/>
      <c r="FR210" s="22"/>
      <c r="FS210" s="22"/>
      <c r="FT210" s="22"/>
      <c r="FU210" s="22"/>
      <c r="FV210" s="22"/>
      <c r="FW210" s="22"/>
      <c r="FX210" s="22"/>
      <c r="FY210" s="22"/>
      <c r="FZ210" s="22"/>
      <c r="GA210" s="22"/>
      <c r="GB210" s="22"/>
      <c r="GC210" s="22"/>
      <c r="GD210" s="22"/>
      <c r="GE210" s="22"/>
      <c r="GF210" s="22"/>
      <c r="GG210" s="22"/>
      <c r="GH210" s="22"/>
      <c r="GI210" s="22"/>
      <c r="GJ210" s="22"/>
      <c r="GK210" s="22"/>
      <c r="GL210" s="22"/>
      <c r="GM210" s="22"/>
      <c r="GN210" s="22"/>
      <c r="GO210" s="22"/>
      <c r="GP210" s="22"/>
      <c r="GQ210" s="22"/>
      <c r="GR210" s="22"/>
      <c r="GS210" s="22"/>
      <c r="GT210" s="22"/>
      <c r="GU210" s="22"/>
      <c r="GV210" s="22"/>
      <c r="GW210" s="22"/>
      <c r="GX210" s="22"/>
      <c r="GY210" s="22"/>
      <c r="GZ210" s="22"/>
      <c r="HA210" s="22"/>
      <c r="HB210" s="22"/>
      <c r="HC210" s="22"/>
    </row>
    <row r="211" spans="1:211" ht="15" customHeight="1" x14ac:dyDescent="0.2">
      <c r="A211" s="22"/>
      <c r="B211" s="14"/>
      <c r="C211" s="45"/>
      <c r="D211" s="46"/>
      <c r="E211" s="46"/>
      <c r="F211" s="120"/>
      <c r="G211" s="120"/>
      <c r="H211" s="47"/>
      <c r="I211" s="116"/>
      <c r="J211" s="45"/>
      <c r="K211" s="73"/>
      <c r="L211" s="73"/>
      <c r="M211" s="118"/>
      <c r="N211" s="119"/>
      <c r="O211" s="113"/>
      <c r="P211" s="115"/>
      <c r="Q211"/>
      <c r="R211"/>
      <c r="S211" s="114"/>
      <c r="T211" s="110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2"/>
      <c r="BH211" s="22"/>
      <c r="BI211" s="22"/>
      <c r="BJ211" s="22"/>
      <c r="BK211" s="22"/>
      <c r="BL211" s="22"/>
      <c r="BM211" s="22"/>
      <c r="BN211" s="22"/>
      <c r="BO211" s="22"/>
      <c r="BP211" s="22"/>
      <c r="BQ211" s="22"/>
      <c r="BR211" s="22"/>
      <c r="BS211" s="22"/>
      <c r="BT211" s="22"/>
      <c r="BU211" s="22"/>
      <c r="BV211" s="22"/>
      <c r="BW211" s="22"/>
      <c r="BX211" s="22"/>
      <c r="BY211" s="22"/>
      <c r="BZ211" s="22"/>
      <c r="CA211" s="22"/>
      <c r="CB211" s="22"/>
      <c r="CC211" s="22"/>
      <c r="CD211" s="22"/>
      <c r="CE211" s="22"/>
      <c r="CF211" s="22"/>
      <c r="CG211" s="22"/>
      <c r="CH211" s="22"/>
      <c r="CI211" s="22"/>
      <c r="CJ211" s="22"/>
      <c r="CK211" s="22"/>
      <c r="CL211" s="22"/>
      <c r="CM211" s="22"/>
      <c r="CN211" s="22"/>
      <c r="CO211" s="22"/>
      <c r="CP211" s="22"/>
      <c r="CQ211" s="22"/>
      <c r="CR211" s="22"/>
      <c r="CS211" s="22"/>
      <c r="CT211" s="22"/>
      <c r="CU211" s="22"/>
      <c r="CV211" s="22"/>
      <c r="CW211" s="22"/>
      <c r="CX211" s="22"/>
      <c r="CY211" s="22"/>
      <c r="CZ211" s="22"/>
      <c r="DA211" s="22"/>
      <c r="DB211" s="22"/>
      <c r="DC211" s="22"/>
      <c r="DD211" s="22"/>
      <c r="DE211" s="22"/>
      <c r="DF211" s="22"/>
      <c r="DG211" s="22"/>
      <c r="DH211" s="22"/>
      <c r="DI211" s="22"/>
      <c r="DJ211" s="22"/>
      <c r="DK211" s="22"/>
      <c r="DL211" s="22"/>
      <c r="DM211" s="22"/>
      <c r="DN211" s="22"/>
      <c r="DO211" s="22"/>
      <c r="DP211" s="22"/>
      <c r="DQ211" s="22"/>
      <c r="DR211" s="22"/>
      <c r="DS211" s="22"/>
      <c r="DT211" s="22"/>
      <c r="DU211" s="22"/>
      <c r="DV211" s="22"/>
      <c r="DW211" s="22"/>
      <c r="DX211" s="22"/>
      <c r="DY211" s="22"/>
      <c r="DZ211" s="22"/>
      <c r="EA211" s="22"/>
      <c r="EB211" s="22"/>
      <c r="EC211" s="22"/>
      <c r="ED211" s="22"/>
      <c r="EE211" s="22"/>
      <c r="EF211" s="22"/>
      <c r="EG211" s="22"/>
      <c r="EH211" s="22"/>
      <c r="EI211" s="22"/>
      <c r="EJ211" s="22"/>
      <c r="EK211" s="22"/>
      <c r="EL211" s="22"/>
      <c r="EM211" s="22"/>
      <c r="EN211" s="22"/>
      <c r="EO211" s="22"/>
      <c r="EP211" s="22"/>
      <c r="EQ211" s="22"/>
      <c r="ER211" s="22"/>
      <c r="ES211" s="22"/>
      <c r="ET211" s="22"/>
      <c r="EU211" s="22"/>
      <c r="EV211" s="22"/>
      <c r="EW211" s="22"/>
      <c r="EX211" s="22"/>
      <c r="EY211" s="22"/>
      <c r="EZ211" s="22"/>
      <c r="FA211" s="22"/>
      <c r="FB211" s="22"/>
      <c r="FC211" s="22"/>
      <c r="FD211" s="22"/>
      <c r="FE211" s="22"/>
      <c r="FF211" s="22"/>
      <c r="FG211" s="22"/>
      <c r="FH211" s="22"/>
      <c r="FI211" s="22"/>
      <c r="FJ211" s="22"/>
      <c r="FK211" s="22"/>
      <c r="FL211" s="22"/>
      <c r="FM211" s="22"/>
      <c r="FN211" s="22"/>
      <c r="FO211" s="22"/>
      <c r="FP211" s="22"/>
      <c r="FQ211" s="22"/>
      <c r="FR211" s="22"/>
      <c r="FS211" s="22"/>
      <c r="FT211" s="22"/>
      <c r="FU211" s="22"/>
      <c r="FV211" s="22"/>
      <c r="FW211" s="22"/>
      <c r="FX211" s="22"/>
      <c r="FY211" s="22"/>
      <c r="FZ211" s="22"/>
      <c r="GA211" s="22"/>
      <c r="GB211" s="22"/>
      <c r="GC211" s="22"/>
      <c r="GD211" s="22"/>
      <c r="GE211" s="22"/>
      <c r="GF211" s="22"/>
      <c r="GG211" s="22"/>
      <c r="GH211" s="22"/>
      <c r="GI211" s="22"/>
      <c r="GJ211" s="22"/>
      <c r="GK211" s="22"/>
      <c r="GL211" s="22"/>
      <c r="GM211" s="22"/>
      <c r="GN211" s="22"/>
      <c r="GO211" s="22"/>
      <c r="GP211" s="22"/>
      <c r="GQ211" s="22"/>
      <c r="GR211" s="22"/>
      <c r="GS211" s="22"/>
      <c r="GT211" s="22"/>
      <c r="GU211" s="22"/>
      <c r="GV211" s="22"/>
      <c r="GW211" s="22"/>
      <c r="GX211" s="22"/>
      <c r="GY211" s="22"/>
      <c r="GZ211" s="22"/>
      <c r="HA211" s="22"/>
      <c r="HB211" s="22"/>
      <c r="HC211" s="22"/>
    </row>
    <row r="212" spans="1:211" ht="15" customHeight="1" x14ac:dyDescent="0.2">
      <c r="A212" s="22"/>
      <c r="B212" s="14"/>
      <c r="C212" s="45"/>
      <c r="D212" s="46"/>
      <c r="E212" s="46"/>
      <c r="F212" s="120"/>
      <c r="G212" s="120"/>
      <c r="H212" s="47"/>
      <c r="I212" s="116"/>
      <c r="J212" s="45"/>
      <c r="K212" s="45"/>
      <c r="L212" s="73"/>
      <c r="M212" s="118"/>
      <c r="N212" s="119"/>
      <c r="O212" s="113"/>
      <c r="P212" s="115"/>
      <c r="Q212"/>
      <c r="R212"/>
      <c r="S212" s="114"/>
      <c r="T212" s="110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22"/>
      <c r="BA212" s="22"/>
      <c r="BB212" s="22"/>
      <c r="BC212" s="22"/>
      <c r="BD212" s="22"/>
      <c r="BE212" s="22"/>
      <c r="BF212" s="22"/>
      <c r="BG212" s="22"/>
      <c r="BH212" s="22"/>
      <c r="BI212" s="22"/>
      <c r="BJ212" s="22"/>
      <c r="BK212" s="22"/>
      <c r="BL212" s="22"/>
      <c r="BM212" s="22"/>
      <c r="BN212" s="22"/>
      <c r="BO212" s="22"/>
      <c r="BP212" s="22"/>
      <c r="BQ212" s="22"/>
      <c r="BR212" s="22"/>
      <c r="BS212" s="22"/>
      <c r="BT212" s="22"/>
      <c r="BU212" s="22"/>
      <c r="BV212" s="22"/>
      <c r="BW212" s="22"/>
      <c r="BX212" s="22"/>
      <c r="BY212" s="22"/>
      <c r="BZ212" s="22"/>
      <c r="CA212" s="22"/>
      <c r="CB212" s="22"/>
      <c r="CC212" s="22"/>
      <c r="CD212" s="22"/>
      <c r="CE212" s="22"/>
      <c r="CF212" s="22"/>
      <c r="CG212" s="22"/>
      <c r="CH212" s="22"/>
      <c r="CI212" s="22"/>
      <c r="CJ212" s="22"/>
      <c r="CK212" s="22"/>
      <c r="CL212" s="22"/>
      <c r="CM212" s="22"/>
      <c r="CN212" s="22"/>
      <c r="CO212" s="22"/>
      <c r="CP212" s="22"/>
      <c r="CQ212" s="22"/>
      <c r="CR212" s="22"/>
      <c r="CS212" s="22"/>
      <c r="CT212" s="22"/>
      <c r="CU212" s="22"/>
      <c r="CV212" s="22"/>
      <c r="CW212" s="22"/>
      <c r="CX212" s="22"/>
      <c r="CY212" s="22"/>
      <c r="CZ212" s="22"/>
      <c r="DA212" s="22"/>
      <c r="DB212" s="22"/>
      <c r="DC212" s="22"/>
      <c r="DD212" s="22"/>
      <c r="DE212" s="22"/>
      <c r="DF212" s="22"/>
      <c r="DG212" s="22"/>
      <c r="DH212" s="22"/>
      <c r="DI212" s="22"/>
      <c r="DJ212" s="22"/>
      <c r="DK212" s="22"/>
      <c r="DL212" s="22"/>
      <c r="DM212" s="22"/>
      <c r="DN212" s="22"/>
      <c r="DO212" s="22"/>
      <c r="DP212" s="22"/>
      <c r="DQ212" s="22"/>
      <c r="DR212" s="22"/>
      <c r="DS212" s="22"/>
      <c r="DT212" s="22"/>
      <c r="DU212" s="22"/>
      <c r="DV212" s="22"/>
      <c r="DW212" s="22"/>
      <c r="DX212" s="22"/>
      <c r="DY212" s="22"/>
      <c r="DZ212" s="22"/>
      <c r="EA212" s="22"/>
      <c r="EB212" s="22"/>
      <c r="EC212" s="22"/>
      <c r="ED212" s="22"/>
      <c r="EE212" s="22"/>
      <c r="EF212" s="22"/>
      <c r="EG212" s="22"/>
      <c r="EH212" s="22"/>
      <c r="EI212" s="22"/>
      <c r="EJ212" s="22"/>
      <c r="EK212" s="22"/>
      <c r="EL212" s="22"/>
      <c r="EM212" s="22"/>
      <c r="EN212" s="22"/>
      <c r="EO212" s="22"/>
      <c r="EP212" s="22"/>
      <c r="EQ212" s="22"/>
      <c r="ER212" s="22"/>
      <c r="ES212" s="22"/>
      <c r="ET212" s="22"/>
      <c r="EU212" s="22"/>
      <c r="EV212" s="22"/>
      <c r="EW212" s="22"/>
      <c r="EX212" s="22"/>
      <c r="EY212" s="22"/>
      <c r="EZ212" s="22"/>
      <c r="FA212" s="22"/>
      <c r="FB212" s="22"/>
      <c r="FC212" s="22"/>
      <c r="FD212" s="22"/>
      <c r="FE212" s="22"/>
      <c r="FF212" s="22"/>
      <c r="FG212" s="22"/>
      <c r="FH212" s="22"/>
      <c r="FI212" s="22"/>
      <c r="FJ212" s="22"/>
      <c r="FK212" s="22"/>
      <c r="FL212" s="22"/>
      <c r="FM212" s="22"/>
      <c r="FN212" s="22"/>
      <c r="FO212" s="22"/>
      <c r="FP212" s="22"/>
      <c r="FQ212" s="22"/>
      <c r="FR212" s="22"/>
      <c r="FS212" s="22"/>
      <c r="FT212" s="22"/>
      <c r="FU212" s="22"/>
      <c r="FV212" s="22"/>
      <c r="FW212" s="22"/>
      <c r="FX212" s="22"/>
      <c r="FY212" s="22"/>
      <c r="FZ212" s="22"/>
      <c r="GA212" s="22"/>
      <c r="GB212" s="22"/>
      <c r="GC212" s="22"/>
      <c r="GD212" s="22"/>
      <c r="GE212" s="22"/>
      <c r="GF212" s="22"/>
      <c r="GG212" s="22"/>
      <c r="GH212" s="22"/>
      <c r="GI212" s="22"/>
      <c r="GJ212" s="22"/>
      <c r="GK212" s="22"/>
      <c r="GL212" s="22"/>
      <c r="GM212" s="22"/>
      <c r="GN212" s="22"/>
      <c r="GO212" s="22"/>
      <c r="GP212" s="22"/>
      <c r="GQ212" s="22"/>
      <c r="GR212" s="22"/>
      <c r="GS212" s="22"/>
      <c r="GT212" s="22"/>
      <c r="GU212" s="22"/>
      <c r="GV212" s="22"/>
      <c r="GW212" s="22"/>
      <c r="GX212" s="22"/>
      <c r="GY212" s="22"/>
      <c r="GZ212" s="22"/>
      <c r="HA212" s="22"/>
      <c r="HB212" s="22"/>
      <c r="HC212" s="22"/>
    </row>
    <row r="213" spans="1:211" ht="15" customHeight="1" x14ac:dyDescent="0.2">
      <c r="A213" s="22"/>
      <c r="B213" s="14"/>
      <c r="C213" s="45"/>
      <c r="D213" s="46"/>
      <c r="E213" s="46"/>
      <c r="F213" s="120"/>
      <c r="G213" s="120"/>
      <c r="H213" s="47"/>
      <c r="I213" s="116"/>
      <c r="J213" s="45"/>
      <c r="K213" s="73"/>
      <c r="L213" s="73"/>
      <c r="M213" s="118"/>
      <c r="N213" s="119"/>
      <c r="O213" s="113"/>
      <c r="P213" s="115"/>
      <c r="Q213"/>
      <c r="R213"/>
      <c r="S213" s="114"/>
      <c r="T213" s="110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2"/>
      <c r="BH213" s="22"/>
      <c r="BI213" s="22"/>
      <c r="BJ213" s="22"/>
      <c r="BK213" s="22"/>
      <c r="BL213" s="22"/>
      <c r="BM213" s="22"/>
      <c r="BN213" s="22"/>
      <c r="BO213" s="22"/>
      <c r="BP213" s="22"/>
      <c r="BQ213" s="22"/>
      <c r="BR213" s="22"/>
      <c r="BS213" s="22"/>
      <c r="BT213" s="22"/>
      <c r="BU213" s="22"/>
      <c r="BV213" s="22"/>
      <c r="BW213" s="22"/>
      <c r="BX213" s="22"/>
      <c r="BY213" s="22"/>
      <c r="BZ213" s="22"/>
      <c r="CA213" s="22"/>
      <c r="CB213" s="22"/>
      <c r="CC213" s="22"/>
      <c r="CD213" s="22"/>
      <c r="CE213" s="22"/>
      <c r="CF213" s="22"/>
      <c r="CG213" s="22"/>
      <c r="CH213" s="22"/>
      <c r="CI213" s="22"/>
      <c r="CJ213" s="22"/>
      <c r="CK213" s="22"/>
      <c r="CL213" s="22"/>
      <c r="CM213" s="22"/>
      <c r="CN213" s="22"/>
      <c r="CO213" s="22"/>
      <c r="CP213" s="22"/>
      <c r="CQ213" s="22"/>
      <c r="CR213" s="22"/>
      <c r="CS213" s="22"/>
      <c r="CT213" s="22"/>
      <c r="CU213" s="22"/>
      <c r="CV213" s="22"/>
      <c r="CW213" s="22"/>
      <c r="CX213" s="22"/>
      <c r="CY213" s="22"/>
      <c r="CZ213" s="22"/>
      <c r="DA213" s="22"/>
      <c r="DB213" s="22"/>
      <c r="DC213" s="22"/>
      <c r="DD213" s="22"/>
      <c r="DE213" s="22"/>
      <c r="DF213" s="22"/>
      <c r="DG213" s="22"/>
      <c r="DH213" s="22"/>
      <c r="DI213" s="22"/>
      <c r="DJ213" s="22"/>
      <c r="DK213" s="22"/>
      <c r="DL213" s="22"/>
      <c r="DM213" s="22"/>
      <c r="DN213" s="22"/>
      <c r="DO213" s="22"/>
      <c r="DP213" s="22"/>
      <c r="DQ213" s="22"/>
      <c r="DR213" s="22"/>
      <c r="DS213" s="22"/>
      <c r="DT213" s="22"/>
      <c r="DU213" s="22"/>
      <c r="DV213" s="22"/>
      <c r="DW213" s="22"/>
      <c r="DX213" s="22"/>
      <c r="DY213" s="22"/>
      <c r="DZ213" s="22"/>
      <c r="EA213" s="22"/>
      <c r="EB213" s="22"/>
      <c r="EC213" s="22"/>
      <c r="ED213" s="22"/>
      <c r="EE213" s="22"/>
      <c r="EF213" s="22"/>
      <c r="EG213" s="22"/>
      <c r="EH213" s="22"/>
      <c r="EI213" s="22"/>
      <c r="EJ213" s="22"/>
      <c r="EK213" s="22"/>
      <c r="EL213" s="22"/>
      <c r="EM213" s="22"/>
      <c r="EN213" s="22"/>
      <c r="EO213" s="22"/>
      <c r="EP213" s="22"/>
      <c r="EQ213" s="22"/>
      <c r="ER213" s="22"/>
      <c r="ES213" s="22"/>
      <c r="ET213" s="22"/>
      <c r="EU213" s="22"/>
      <c r="EV213" s="22"/>
      <c r="EW213" s="22"/>
      <c r="EX213" s="22"/>
      <c r="EY213" s="22"/>
      <c r="EZ213" s="22"/>
      <c r="FA213" s="22"/>
      <c r="FB213" s="22"/>
      <c r="FC213" s="22"/>
      <c r="FD213" s="22"/>
      <c r="FE213" s="22"/>
      <c r="FF213" s="22"/>
      <c r="FG213" s="22"/>
      <c r="FH213" s="22"/>
      <c r="FI213" s="22"/>
      <c r="FJ213" s="22"/>
      <c r="FK213" s="22"/>
      <c r="FL213" s="22"/>
      <c r="FM213" s="22"/>
      <c r="FN213" s="22"/>
      <c r="FO213" s="22"/>
      <c r="FP213" s="22"/>
      <c r="FQ213" s="22"/>
      <c r="FR213" s="22"/>
      <c r="FS213" s="22"/>
      <c r="FT213" s="22"/>
      <c r="FU213" s="22"/>
      <c r="FV213" s="22"/>
      <c r="FW213" s="22"/>
      <c r="FX213" s="22"/>
      <c r="FY213" s="22"/>
      <c r="FZ213" s="22"/>
      <c r="GA213" s="22"/>
      <c r="GB213" s="22"/>
      <c r="GC213" s="22"/>
      <c r="GD213" s="22"/>
      <c r="GE213" s="22"/>
      <c r="GF213" s="22"/>
      <c r="GG213" s="22"/>
      <c r="GH213" s="22"/>
      <c r="GI213" s="22"/>
      <c r="GJ213" s="22"/>
      <c r="GK213" s="22"/>
      <c r="GL213" s="22"/>
      <c r="GM213" s="22"/>
      <c r="GN213" s="22"/>
      <c r="GO213" s="22"/>
      <c r="GP213" s="22"/>
      <c r="GQ213" s="22"/>
      <c r="GR213" s="22"/>
      <c r="GS213" s="22"/>
      <c r="GT213" s="22"/>
      <c r="GU213" s="22"/>
      <c r="GV213" s="22"/>
      <c r="GW213" s="22"/>
      <c r="GX213" s="22"/>
      <c r="GY213" s="22"/>
      <c r="GZ213" s="22"/>
      <c r="HA213" s="22"/>
      <c r="HB213" s="22"/>
      <c r="HC213" s="22"/>
    </row>
    <row r="214" spans="1:211" ht="15" customHeight="1" x14ac:dyDescent="0.2">
      <c r="A214" s="22"/>
      <c r="B214" s="14"/>
      <c r="C214" s="45"/>
      <c r="D214" s="46"/>
      <c r="E214" s="46"/>
      <c r="F214" s="120"/>
      <c r="G214" s="120"/>
      <c r="H214" s="47"/>
      <c r="I214" s="116"/>
      <c r="J214" s="45"/>
      <c r="K214" s="73"/>
      <c r="L214" s="73"/>
      <c r="M214" s="118"/>
      <c r="N214" s="119"/>
      <c r="O214" s="113"/>
      <c r="P214" s="115"/>
      <c r="Q214"/>
      <c r="R214"/>
      <c r="S214" s="114"/>
      <c r="T214" s="110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  <c r="BN214" s="22"/>
      <c r="BO214" s="22"/>
      <c r="BP214" s="22"/>
      <c r="BQ214" s="22"/>
      <c r="BR214" s="22"/>
      <c r="BS214" s="22"/>
      <c r="BT214" s="22"/>
      <c r="BU214" s="22"/>
      <c r="BV214" s="22"/>
      <c r="BW214" s="22"/>
      <c r="BX214" s="22"/>
      <c r="BY214" s="22"/>
      <c r="BZ214" s="22"/>
      <c r="CA214" s="22"/>
      <c r="CB214" s="22"/>
      <c r="CC214" s="22"/>
      <c r="CD214" s="22"/>
      <c r="CE214" s="22"/>
      <c r="CF214" s="22"/>
      <c r="CG214" s="22"/>
      <c r="CH214" s="22"/>
      <c r="CI214" s="22"/>
      <c r="CJ214" s="22"/>
      <c r="CK214" s="22"/>
      <c r="CL214" s="22"/>
      <c r="CM214" s="22"/>
      <c r="CN214" s="22"/>
      <c r="CO214" s="22"/>
      <c r="CP214" s="22"/>
      <c r="CQ214" s="22"/>
      <c r="CR214" s="22"/>
      <c r="CS214" s="22"/>
      <c r="CT214" s="22"/>
      <c r="CU214" s="22"/>
      <c r="CV214" s="22"/>
      <c r="CW214" s="22"/>
      <c r="CX214" s="22"/>
      <c r="CY214" s="22"/>
      <c r="CZ214" s="22"/>
      <c r="DA214" s="22"/>
      <c r="DB214" s="22"/>
      <c r="DC214" s="22"/>
      <c r="DD214" s="22"/>
      <c r="DE214" s="22"/>
      <c r="DF214" s="22"/>
      <c r="DG214" s="22"/>
      <c r="DH214" s="22"/>
      <c r="DI214" s="22"/>
      <c r="DJ214" s="22"/>
      <c r="DK214" s="22"/>
      <c r="DL214" s="22"/>
      <c r="DM214" s="22"/>
      <c r="DN214" s="22"/>
      <c r="DO214" s="22"/>
      <c r="DP214" s="22"/>
      <c r="DQ214" s="22"/>
      <c r="DR214" s="22"/>
      <c r="DS214" s="22"/>
      <c r="DT214" s="22"/>
      <c r="DU214" s="22"/>
      <c r="DV214" s="22"/>
      <c r="DW214" s="22"/>
      <c r="DX214" s="22"/>
      <c r="DY214" s="22"/>
      <c r="DZ214" s="22"/>
      <c r="EA214" s="22"/>
      <c r="EB214" s="22"/>
      <c r="EC214" s="22"/>
      <c r="ED214" s="22"/>
      <c r="EE214" s="22"/>
      <c r="EF214" s="22"/>
      <c r="EG214" s="22"/>
      <c r="EH214" s="22"/>
      <c r="EI214" s="22"/>
      <c r="EJ214" s="22"/>
      <c r="EK214" s="22"/>
      <c r="EL214" s="22"/>
      <c r="EM214" s="22"/>
      <c r="EN214" s="22"/>
      <c r="EO214" s="22"/>
      <c r="EP214" s="22"/>
      <c r="EQ214" s="22"/>
      <c r="ER214" s="22"/>
      <c r="ES214" s="22"/>
      <c r="ET214" s="22"/>
      <c r="EU214" s="22"/>
      <c r="EV214" s="22"/>
      <c r="EW214" s="22"/>
      <c r="EX214" s="22"/>
      <c r="EY214" s="22"/>
      <c r="EZ214" s="22"/>
      <c r="FA214" s="22"/>
      <c r="FB214" s="22"/>
      <c r="FC214" s="22"/>
      <c r="FD214" s="22"/>
      <c r="FE214" s="22"/>
      <c r="FF214" s="22"/>
      <c r="FG214" s="22"/>
      <c r="FH214" s="22"/>
      <c r="FI214" s="22"/>
      <c r="FJ214" s="22"/>
      <c r="FK214" s="22"/>
      <c r="FL214" s="22"/>
      <c r="FM214" s="22"/>
      <c r="FN214" s="22"/>
      <c r="FO214" s="22"/>
      <c r="FP214" s="22"/>
      <c r="FQ214" s="22"/>
      <c r="FR214" s="22"/>
      <c r="FS214" s="22"/>
      <c r="FT214" s="22"/>
      <c r="FU214" s="22"/>
      <c r="FV214" s="22"/>
      <c r="FW214" s="22"/>
      <c r="FX214" s="22"/>
      <c r="FY214" s="22"/>
      <c r="FZ214" s="22"/>
      <c r="GA214" s="22"/>
      <c r="GB214" s="22"/>
      <c r="GC214" s="22"/>
      <c r="GD214" s="22"/>
      <c r="GE214" s="22"/>
      <c r="GF214" s="22"/>
      <c r="GG214" s="22"/>
      <c r="GH214" s="22"/>
      <c r="GI214" s="22"/>
      <c r="GJ214" s="22"/>
      <c r="GK214" s="22"/>
      <c r="GL214" s="22"/>
      <c r="GM214" s="22"/>
      <c r="GN214" s="22"/>
      <c r="GO214" s="22"/>
      <c r="GP214" s="22"/>
      <c r="GQ214" s="22"/>
      <c r="GR214" s="22"/>
      <c r="GS214" s="22"/>
      <c r="GT214" s="22"/>
      <c r="GU214" s="22"/>
      <c r="GV214" s="22"/>
      <c r="GW214" s="22"/>
      <c r="GX214" s="22"/>
      <c r="GY214" s="22"/>
      <c r="GZ214" s="22"/>
      <c r="HA214" s="22"/>
      <c r="HB214" s="22"/>
      <c r="HC214" s="22"/>
    </row>
    <row r="215" spans="1:211" ht="15" customHeight="1" x14ac:dyDescent="0.2">
      <c r="A215" s="22"/>
      <c r="B215" s="14"/>
      <c r="C215" s="45"/>
      <c r="D215" s="46"/>
      <c r="E215" s="46"/>
      <c r="F215" s="120"/>
      <c r="G215" s="120"/>
      <c r="H215" s="47"/>
      <c r="I215" s="116"/>
      <c r="J215" s="45"/>
      <c r="K215" s="45"/>
      <c r="L215" s="73"/>
      <c r="M215" s="118"/>
      <c r="N215" s="119"/>
      <c r="O215" s="113"/>
      <c r="P215" s="115"/>
      <c r="Q215"/>
      <c r="R215"/>
      <c r="S215" s="114"/>
      <c r="T215" s="110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2"/>
      <c r="BH215" s="22"/>
      <c r="BI215" s="22"/>
      <c r="BJ215" s="22"/>
      <c r="BK215" s="22"/>
      <c r="BL215" s="22"/>
      <c r="BM215" s="22"/>
      <c r="BN215" s="22"/>
      <c r="BO215" s="22"/>
      <c r="BP215" s="22"/>
      <c r="BQ215" s="22"/>
      <c r="BR215" s="22"/>
      <c r="BS215" s="22"/>
      <c r="BT215" s="22"/>
      <c r="BU215" s="22"/>
      <c r="BV215" s="22"/>
      <c r="BW215" s="22"/>
      <c r="BX215" s="22"/>
      <c r="BY215" s="22"/>
      <c r="BZ215" s="22"/>
      <c r="CA215" s="22"/>
      <c r="CB215" s="22"/>
      <c r="CC215" s="22"/>
      <c r="CD215" s="22"/>
      <c r="CE215" s="22"/>
      <c r="CF215" s="22"/>
      <c r="CG215" s="22"/>
      <c r="CH215" s="22"/>
      <c r="CI215" s="22"/>
      <c r="CJ215" s="22"/>
      <c r="CK215" s="22"/>
      <c r="CL215" s="22"/>
      <c r="CM215" s="22"/>
      <c r="CN215" s="22"/>
      <c r="CO215" s="22"/>
      <c r="CP215" s="22"/>
      <c r="CQ215" s="22"/>
      <c r="CR215" s="22"/>
      <c r="CS215" s="22"/>
      <c r="CT215" s="22"/>
      <c r="CU215" s="22"/>
      <c r="CV215" s="22"/>
      <c r="CW215" s="22"/>
      <c r="CX215" s="22"/>
      <c r="CY215" s="22"/>
      <c r="CZ215" s="22"/>
      <c r="DA215" s="22"/>
      <c r="DB215" s="22"/>
      <c r="DC215" s="22"/>
      <c r="DD215" s="22"/>
      <c r="DE215" s="22"/>
      <c r="DF215" s="22"/>
      <c r="DG215" s="22"/>
      <c r="DH215" s="22"/>
      <c r="DI215" s="22"/>
      <c r="DJ215" s="22"/>
      <c r="DK215" s="22"/>
      <c r="DL215" s="22"/>
      <c r="DM215" s="22"/>
      <c r="DN215" s="22"/>
      <c r="DO215" s="22"/>
      <c r="DP215" s="22"/>
      <c r="DQ215" s="22"/>
      <c r="DR215" s="22"/>
      <c r="DS215" s="22"/>
      <c r="DT215" s="22"/>
      <c r="DU215" s="22"/>
      <c r="DV215" s="22"/>
      <c r="DW215" s="22"/>
      <c r="DX215" s="22"/>
      <c r="DY215" s="22"/>
      <c r="DZ215" s="22"/>
      <c r="EA215" s="22"/>
      <c r="EB215" s="22"/>
      <c r="EC215" s="22"/>
      <c r="ED215" s="22"/>
      <c r="EE215" s="22"/>
      <c r="EF215" s="22"/>
      <c r="EG215" s="22"/>
      <c r="EH215" s="22"/>
      <c r="EI215" s="22"/>
      <c r="EJ215" s="22"/>
      <c r="EK215" s="22"/>
      <c r="EL215" s="22"/>
      <c r="EM215" s="22"/>
      <c r="EN215" s="22"/>
      <c r="EO215" s="22"/>
      <c r="EP215" s="22"/>
      <c r="EQ215" s="22"/>
      <c r="ER215" s="22"/>
      <c r="ES215" s="22"/>
      <c r="ET215" s="22"/>
      <c r="EU215" s="22"/>
      <c r="EV215" s="22"/>
      <c r="EW215" s="22"/>
      <c r="EX215" s="22"/>
      <c r="EY215" s="22"/>
      <c r="EZ215" s="22"/>
      <c r="FA215" s="22"/>
      <c r="FB215" s="22"/>
      <c r="FC215" s="22"/>
      <c r="FD215" s="22"/>
      <c r="FE215" s="22"/>
      <c r="FF215" s="22"/>
      <c r="FG215" s="22"/>
      <c r="FH215" s="22"/>
      <c r="FI215" s="22"/>
      <c r="FJ215" s="22"/>
      <c r="FK215" s="22"/>
      <c r="FL215" s="22"/>
      <c r="FM215" s="22"/>
      <c r="FN215" s="22"/>
      <c r="FO215" s="22"/>
      <c r="FP215" s="22"/>
      <c r="FQ215" s="22"/>
      <c r="FR215" s="22"/>
      <c r="FS215" s="22"/>
      <c r="FT215" s="22"/>
      <c r="FU215" s="22"/>
      <c r="FV215" s="22"/>
      <c r="FW215" s="22"/>
      <c r="FX215" s="22"/>
      <c r="FY215" s="22"/>
      <c r="FZ215" s="22"/>
      <c r="GA215" s="22"/>
      <c r="GB215" s="22"/>
      <c r="GC215" s="22"/>
      <c r="GD215" s="22"/>
      <c r="GE215" s="22"/>
      <c r="GF215" s="22"/>
      <c r="GG215" s="22"/>
      <c r="GH215" s="22"/>
      <c r="GI215" s="22"/>
      <c r="GJ215" s="22"/>
      <c r="GK215" s="22"/>
      <c r="GL215" s="22"/>
      <c r="GM215" s="22"/>
      <c r="GN215" s="22"/>
      <c r="GO215" s="22"/>
      <c r="GP215" s="22"/>
      <c r="GQ215" s="22"/>
      <c r="GR215" s="22"/>
      <c r="GS215" s="22"/>
      <c r="GT215" s="22"/>
      <c r="GU215" s="22"/>
      <c r="GV215" s="22"/>
      <c r="GW215" s="22"/>
      <c r="GX215" s="22"/>
      <c r="GY215" s="22"/>
      <c r="GZ215" s="22"/>
      <c r="HA215" s="22"/>
      <c r="HB215" s="22"/>
      <c r="HC215" s="22"/>
    </row>
    <row r="216" spans="1:211" ht="15" customHeight="1" x14ac:dyDescent="0.2">
      <c r="A216" s="22"/>
      <c r="B216" s="14"/>
      <c r="C216" s="45"/>
      <c r="D216" s="46"/>
      <c r="E216" s="46"/>
      <c r="F216" s="120"/>
      <c r="G216" s="120"/>
      <c r="H216" s="47"/>
      <c r="I216" s="116"/>
      <c r="J216" s="45"/>
      <c r="K216" s="73"/>
      <c r="L216" s="73"/>
      <c r="M216" s="118"/>
      <c r="N216" s="119"/>
      <c r="O216" s="113"/>
      <c r="P216" s="115"/>
      <c r="Q216"/>
      <c r="R216"/>
      <c r="S216" s="114"/>
      <c r="T216" s="110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22"/>
      <c r="BA216" s="22"/>
      <c r="BB216" s="22"/>
      <c r="BC216" s="22"/>
      <c r="BD216" s="22"/>
      <c r="BE216" s="22"/>
      <c r="BF216" s="22"/>
      <c r="BG216" s="22"/>
      <c r="BH216" s="22"/>
      <c r="BI216" s="22"/>
      <c r="BJ216" s="22"/>
      <c r="BK216" s="22"/>
      <c r="BL216" s="22"/>
      <c r="BM216" s="22"/>
      <c r="BN216" s="22"/>
      <c r="BO216" s="22"/>
      <c r="BP216" s="22"/>
      <c r="BQ216" s="22"/>
      <c r="BR216" s="22"/>
      <c r="BS216" s="22"/>
      <c r="BT216" s="22"/>
      <c r="BU216" s="22"/>
      <c r="BV216" s="22"/>
      <c r="BW216" s="22"/>
      <c r="BX216" s="22"/>
      <c r="BY216" s="22"/>
      <c r="BZ216" s="22"/>
      <c r="CA216" s="22"/>
      <c r="CB216" s="22"/>
      <c r="CC216" s="22"/>
      <c r="CD216" s="22"/>
      <c r="CE216" s="22"/>
      <c r="CF216" s="22"/>
      <c r="CG216" s="22"/>
      <c r="CH216" s="22"/>
      <c r="CI216" s="22"/>
      <c r="CJ216" s="22"/>
      <c r="CK216" s="22"/>
      <c r="CL216" s="22"/>
      <c r="CM216" s="22"/>
      <c r="CN216" s="22"/>
      <c r="CO216" s="22"/>
      <c r="CP216" s="22"/>
      <c r="CQ216" s="22"/>
      <c r="CR216" s="22"/>
      <c r="CS216" s="22"/>
      <c r="CT216" s="22"/>
      <c r="CU216" s="22"/>
      <c r="CV216" s="22"/>
      <c r="CW216" s="22"/>
      <c r="CX216" s="22"/>
      <c r="CY216" s="22"/>
      <c r="CZ216" s="22"/>
      <c r="DA216" s="22"/>
      <c r="DB216" s="22"/>
      <c r="DC216" s="22"/>
      <c r="DD216" s="22"/>
      <c r="DE216" s="22"/>
      <c r="DF216" s="22"/>
      <c r="DG216" s="22"/>
      <c r="DH216" s="22"/>
      <c r="DI216" s="22"/>
      <c r="DJ216" s="22"/>
      <c r="DK216" s="22"/>
      <c r="DL216" s="22"/>
      <c r="DM216" s="22"/>
      <c r="DN216" s="22"/>
      <c r="DO216" s="22"/>
      <c r="DP216" s="22"/>
      <c r="DQ216" s="22"/>
      <c r="DR216" s="22"/>
      <c r="DS216" s="22"/>
      <c r="DT216" s="22"/>
      <c r="DU216" s="22"/>
      <c r="DV216" s="22"/>
      <c r="DW216" s="22"/>
      <c r="DX216" s="22"/>
      <c r="DY216" s="22"/>
      <c r="DZ216" s="22"/>
      <c r="EA216" s="22"/>
      <c r="EB216" s="22"/>
      <c r="EC216" s="22"/>
      <c r="ED216" s="22"/>
      <c r="EE216" s="22"/>
      <c r="EF216" s="22"/>
      <c r="EG216" s="22"/>
      <c r="EH216" s="22"/>
      <c r="EI216" s="22"/>
      <c r="EJ216" s="22"/>
      <c r="EK216" s="22"/>
      <c r="EL216" s="22"/>
      <c r="EM216" s="22"/>
      <c r="EN216" s="22"/>
      <c r="EO216" s="22"/>
      <c r="EP216" s="22"/>
      <c r="EQ216" s="22"/>
      <c r="ER216" s="22"/>
      <c r="ES216" s="22"/>
      <c r="ET216" s="22"/>
      <c r="EU216" s="22"/>
      <c r="EV216" s="22"/>
      <c r="EW216" s="22"/>
      <c r="EX216" s="22"/>
      <c r="EY216" s="22"/>
      <c r="EZ216" s="22"/>
      <c r="FA216" s="22"/>
      <c r="FB216" s="22"/>
      <c r="FC216" s="22"/>
      <c r="FD216" s="22"/>
      <c r="FE216" s="22"/>
      <c r="FF216" s="22"/>
      <c r="FG216" s="22"/>
      <c r="FH216" s="22"/>
      <c r="FI216" s="22"/>
      <c r="FJ216" s="22"/>
      <c r="FK216" s="22"/>
      <c r="FL216" s="22"/>
      <c r="FM216" s="22"/>
      <c r="FN216" s="22"/>
      <c r="FO216" s="22"/>
      <c r="FP216" s="22"/>
      <c r="FQ216" s="22"/>
      <c r="FR216" s="22"/>
      <c r="FS216" s="22"/>
      <c r="FT216" s="22"/>
      <c r="FU216" s="22"/>
      <c r="FV216" s="22"/>
      <c r="FW216" s="22"/>
      <c r="FX216" s="22"/>
      <c r="FY216" s="22"/>
      <c r="FZ216" s="22"/>
      <c r="GA216" s="22"/>
      <c r="GB216" s="22"/>
      <c r="GC216" s="22"/>
      <c r="GD216" s="22"/>
      <c r="GE216" s="22"/>
      <c r="GF216" s="22"/>
      <c r="GG216" s="22"/>
      <c r="GH216" s="22"/>
      <c r="GI216" s="22"/>
      <c r="GJ216" s="22"/>
      <c r="GK216" s="22"/>
      <c r="GL216" s="22"/>
      <c r="GM216" s="22"/>
      <c r="GN216" s="22"/>
      <c r="GO216" s="22"/>
      <c r="GP216" s="22"/>
      <c r="GQ216" s="22"/>
      <c r="GR216" s="22"/>
      <c r="GS216" s="22"/>
      <c r="GT216" s="22"/>
      <c r="GU216" s="22"/>
      <c r="GV216" s="22"/>
      <c r="GW216" s="22"/>
      <c r="GX216" s="22"/>
      <c r="GY216" s="22"/>
      <c r="GZ216" s="22"/>
      <c r="HA216" s="22"/>
      <c r="HB216" s="22"/>
      <c r="HC216" s="22"/>
    </row>
    <row r="217" spans="1:211" ht="15" customHeight="1" x14ac:dyDescent="0.2">
      <c r="A217" s="22"/>
      <c r="B217" s="14"/>
      <c r="C217" s="45"/>
      <c r="D217" s="46"/>
      <c r="E217" s="46"/>
      <c r="F217" s="120"/>
      <c r="G217" s="120"/>
      <c r="H217" s="47"/>
      <c r="I217" s="116"/>
      <c r="J217" s="45"/>
      <c r="K217" s="45"/>
      <c r="L217" s="73"/>
      <c r="M217" s="118"/>
      <c r="N217" s="119"/>
      <c r="O217" s="113"/>
      <c r="P217" s="115"/>
      <c r="Q217"/>
      <c r="R217"/>
      <c r="S217" s="114"/>
      <c r="T217" s="110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2"/>
      <c r="BH217" s="22"/>
      <c r="BI217" s="22"/>
      <c r="BJ217" s="22"/>
      <c r="BK217" s="22"/>
      <c r="BL217" s="22"/>
      <c r="BM217" s="22"/>
      <c r="BN217" s="22"/>
      <c r="BO217" s="22"/>
      <c r="BP217" s="22"/>
      <c r="BQ217" s="22"/>
      <c r="BR217" s="22"/>
      <c r="BS217" s="22"/>
      <c r="BT217" s="22"/>
      <c r="BU217" s="22"/>
      <c r="BV217" s="22"/>
      <c r="BW217" s="22"/>
      <c r="BX217" s="22"/>
      <c r="BY217" s="22"/>
      <c r="BZ217" s="22"/>
      <c r="CA217" s="22"/>
      <c r="CB217" s="22"/>
      <c r="CC217" s="22"/>
      <c r="CD217" s="22"/>
      <c r="CE217" s="22"/>
      <c r="CF217" s="22"/>
      <c r="CG217" s="22"/>
      <c r="CH217" s="22"/>
      <c r="CI217" s="22"/>
      <c r="CJ217" s="22"/>
      <c r="CK217" s="22"/>
      <c r="CL217" s="22"/>
      <c r="CM217" s="22"/>
      <c r="CN217" s="22"/>
      <c r="CO217" s="22"/>
      <c r="CP217" s="22"/>
      <c r="CQ217" s="22"/>
      <c r="CR217" s="22"/>
      <c r="CS217" s="22"/>
      <c r="CT217" s="22"/>
      <c r="CU217" s="22"/>
      <c r="CV217" s="22"/>
      <c r="CW217" s="22"/>
      <c r="CX217" s="22"/>
      <c r="CY217" s="22"/>
      <c r="CZ217" s="22"/>
      <c r="DA217" s="22"/>
      <c r="DB217" s="22"/>
      <c r="DC217" s="22"/>
      <c r="DD217" s="22"/>
      <c r="DE217" s="22"/>
      <c r="DF217" s="22"/>
      <c r="DG217" s="22"/>
      <c r="DH217" s="22"/>
      <c r="DI217" s="22"/>
      <c r="DJ217" s="22"/>
      <c r="DK217" s="22"/>
      <c r="DL217" s="22"/>
      <c r="DM217" s="22"/>
      <c r="DN217" s="22"/>
      <c r="DO217" s="22"/>
      <c r="DP217" s="22"/>
      <c r="DQ217" s="22"/>
      <c r="DR217" s="22"/>
      <c r="DS217" s="22"/>
      <c r="DT217" s="22"/>
      <c r="DU217" s="22"/>
      <c r="DV217" s="22"/>
      <c r="DW217" s="22"/>
      <c r="DX217" s="22"/>
      <c r="DY217" s="22"/>
      <c r="DZ217" s="22"/>
      <c r="EA217" s="22"/>
      <c r="EB217" s="22"/>
      <c r="EC217" s="22"/>
      <c r="ED217" s="22"/>
      <c r="EE217" s="22"/>
      <c r="EF217" s="22"/>
      <c r="EG217" s="22"/>
      <c r="EH217" s="22"/>
      <c r="EI217" s="22"/>
      <c r="EJ217" s="22"/>
      <c r="EK217" s="22"/>
      <c r="EL217" s="22"/>
      <c r="EM217" s="22"/>
      <c r="EN217" s="22"/>
      <c r="EO217" s="22"/>
      <c r="EP217" s="22"/>
      <c r="EQ217" s="22"/>
      <c r="ER217" s="22"/>
      <c r="ES217" s="22"/>
      <c r="ET217" s="22"/>
      <c r="EU217" s="22"/>
      <c r="EV217" s="22"/>
      <c r="EW217" s="22"/>
      <c r="EX217" s="22"/>
      <c r="EY217" s="22"/>
      <c r="EZ217" s="22"/>
      <c r="FA217" s="22"/>
      <c r="FB217" s="22"/>
      <c r="FC217" s="22"/>
      <c r="FD217" s="22"/>
      <c r="FE217" s="22"/>
      <c r="FF217" s="22"/>
      <c r="FG217" s="22"/>
      <c r="FH217" s="22"/>
      <c r="FI217" s="22"/>
      <c r="FJ217" s="22"/>
      <c r="FK217" s="22"/>
      <c r="FL217" s="22"/>
      <c r="FM217" s="22"/>
      <c r="FN217" s="22"/>
      <c r="FO217" s="22"/>
      <c r="FP217" s="22"/>
      <c r="FQ217" s="22"/>
      <c r="FR217" s="22"/>
      <c r="FS217" s="22"/>
      <c r="FT217" s="22"/>
      <c r="FU217" s="22"/>
      <c r="FV217" s="22"/>
      <c r="FW217" s="22"/>
      <c r="FX217" s="22"/>
      <c r="FY217" s="22"/>
      <c r="FZ217" s="22"/>
      <c r="GA217" s="22"/>
      <c r="GB217" s="22"/>
      <c r="GC217" s="22"/>
      <c r="GD217" s="22"/>
      <c r="GE217" s="22"/>
      <c r="GF217" s="22"/>
      <c r="GG217" s="22"/>
      <c r="GH217" s="22"/>
      <c r="GI217" s="22"/>
      <c r="GJ217" s="22"/>
      <c r="GK217" s="22"/>
      <c r="GL217" s="22"/>
      <c r="GM217" s="22"/>
      <c r="GN217" s="22"/>
      <c r="GO217" s="22"/>
      <c r="GP217" s="22"/>
      <c r="GQ217" s="22"/>
      <c r="GR217" s="22"/>
      <c r="GS217" s="22"/>
      <c r="GT217" s="22"/>
      <c r="GU217" s="22"/>
      <c r="GV217" s="22"/>
      <c r="GW217" s="22"/>
      <c r="GX217" s="22"/>
      <c r="GY217" s="22"/>
      <c r="GZ217" s="22"/>
      <c r="HA217" s="22"/>
      <c r="HB217" s="22"/>
      <c r="HC217" s="22"/>
    </row>
    <row r="218" spans="1:211" ht="15" customHeight="1" x14ac:dyDescent="0.2">
      <c r="A218" s="22"/>
      <c r="B218" s="14"/>
      <c r="C218" s="45"/>
      <c r="D218" s="46"/>
      <c r="E218" s="46"/>
      <c r="F218" s="120"/>
      <c r="G218" s="120"/>
      <c r="H218" s="47"/>
      <c r="I218" s="116"/>
      <c r="J218" s="45"/>
      <c r="K218" s="73"/>
      <c r="L218" s="73"/>
      <c r="M218" s="118"/>
      <c r="N218" s="119"/>
      <c r="O218" s="113"/>
      <c r="P218" s="115"/>
      <c r="Q218"/>
      <c r="R218"/>
      <c r="S218" s="114"/>
      <c r="T218" s="110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22"/>
      <c r="BA218" s="22"/>
      <c r="BB218" s="22"/>
      <c r="BC218" s="22"/>
      <c r="BD218" s="22"/>
      <c r="BE218" s="22"/>
      <c r="BF218" s="22"/>
      <c r="BG218" s="22"/>
      <c r="BH218" s="22"/>
      <c r="BI218" s="22"/>
      <c r="BJ218" s="22"/>
      <c r="BK218" s="22"/>
      <c r="BL218" s="22"/>
      <c r="BM218" s="22"/>
      <c r="BN218" s="22"/>
      <c r="BO218" s="22"/>
      <c r="BP218" s="22"/>
      <c r="BQ218" s="22"/>
      <c r="BR218" s="22"/>
      <c r="BS218" s="22"/>
      <c r="BT218" s="22"/>
      <c r="BU218" s="22"/>
      <c r="BV218" s="22"/>
      <c r="BW218" s="22"/>
      <c r="BX218" s="22"/>
      <c r="BY218" s="22"/>
      <c r="BZ218" s="22"/>
      <c r="CA218" s="22"/>
      <c r="CB218" s="22"/>
      <c r="CC218" s="22"/>
      <c r="CD218" s="22"/>
      <c r="CE218" s="22"/>
      <c r="CF218" s="22"/>
      <c r="CG218" s="22"/>
      <c r="CH218" s="22"/>
      <c r="CI218" s="22"/>
      <c r="CJ218" s="22"/>
      <c r="CK218" s="22"/>
      <c r="CL218" s="22"/>
      <c r="CM218" s="22"/>
      <c r="CN218" s="22"/>
      <c r="CO218" s="22"/>
      <c r="CP218" s="22"/>
      <c r="CQ218" s="22"/>
      <c r="CR218" s="22"/>
      <c r="CS218" s="22"/>
      <c r="CT218" s="22"/>
      <c r="CU218" s="22"/>
      <c r="CV218" s="22"/>
      <c r="CW218" s="22"/>
      <c r="CX218" s="22"/>
      <c r="CY218" s="22"/>
      <c r="CZ218" s="22"/>
      <c r="DA218" s="22"/>
      <c r="DB218" s="22"/>
      <c r="DC218" s="22"/>
      <c r="DD218" s="22"/>
      <c r="DE218" s="22"/>
      <c r="DF218" s="22"/>
      <c r="DG218" s="22"/>
      <c r="DH218" s="22"/>
      <c r="DI218" s="22"/>
      <c r="DJ218" s="22"/>
      <c r="DK218" s="22"/>
      <c r="DL218" s="22"/>
      <c r="DM218" s="22"/>
      <c r="DN218" s="22"/>
      <c r="DO218" s="22"/>
      <c r="DP218" s="22"/>
      <c r="DQ218" s="22"/>
      <c r="DR218" s="22"/>
      <c r="DS218" s="22"/>
      <c r="DT218" s="22"/>
      <c r="DU218" s="22"/>
      <c r="DV218" s="22"/>
      <c r="DW218" s="22"/>
      <c r="DX218" s="22"/>
      <c r="DY218" s="22"/>
      <c r="DZ218" s="22"/>
      <c r="EA218" s="22"/>
      <c r="EB218" s="22"/>
      <c r="EC218" s="22"/>
      <c r="ED218" s="22"/>
      <c r="EE218" s="22"/>
      <c r="EF218" s="22"/>
      <c r="EG218" s="22"/>
      <c r="EH218" s="22"/>
      <c r="EI218" s="22"/>
      <c r="EJ218" s="22"/>
      <c r="EK218" s="22"/>
      <c r="EL218" s="22"/>
      <c r="EM218" s="22"/>
      <c r="EN218" s="22"/>
      <c r="EO218" s="22"/>
      <c r="EP218" s="22"/>
      <c r="EQ218" s="22"/>
      <c r="ER218" s="22"/>
      <c r="ES218" s="22"/>
      <c r="ET218" s="22"/>
      <c r="EU218" s="22"/>
      <c r="EV218" s="22"/>
      <c r="EW218" s="22"/>
      <c r="EX218" s="22"/>
      <c r="EY218" s="22"/>
      <c r="EZ218" s="22"/>
      <c r="FA218" s="22"/>
      <c r="FB218" s="22"/>
      <c r="FC218" s="22"/>
      <c r="FD218" s="22"/>
      <c r="FE218" s="22"/>
      <c r="FF218" s="22"/>
      <c r="FG218" s="22"/>
      <c r="FH218" s="22"/>
      <c r="FI218" s="22"/>
      <c r="FJ218" s="22"/>
      <c r="FK218" s="22"/>
      <c r="FL218" s="22"/>
      <c r="FM218" s="22"/>
      <c r="FN218" s="22"/>
      <c r="FO218" s="22"/>
      <c r="FP218" s="22"/>
      <c r="FQ218" s="22"/>
      <c r="FR218" s="22"/>
      <c r="FS218" s="22"/>
      <c r="FT218" s="22"/>
      <c r="FU218" s="22"/>
      <c r="FV218" s="22"/>
      <c r="FW218" s="22"/>
      <c r="FX218" s="22"/>
      <c r="FY218" s="22"/>
      <c r="FZ218" s="22"/>
      <c r="GA218" s="22"/>
      <c r="GB218" s="22"/>
      <c r="GC218" s="22"/>
      <c r="GD218" s="22"/>
      <c r="GE218" s="22"/>
      <c r="GF218" s="22"/>
      <c r="GG218" s="22"/>
      <c r="GH218" s="22"/>
      <c r="GI218" s="22"/>
      <c r="GJ218" s="22"/>
      <c r="GK218" s="22"/>
      <c r="GL218" s="22"/>
      <c r="GM218" s="22"/>
      <c r="GN218" s="22"/>
      <c r="GO218" s="22"/>
      <c r="GP218" s="22"/>
      <c r="GQ218" s="22"/>
      <c r="GR218" s="22"/>
      <c r="GS218" s="22"/>
      <c r="GT218" s="22"/>
      <c r="GU218" s="22"/>
      <c r="GV218" s="22"/>
      <c r="GW218" s="22"/>
      <c r="GX218" s="22"/>
      <c r="GY218" s="22"/>
      <c r="GZ218" s="22"/>
      <c r="HA218" s="22"/>
      <c r="HB218" s="22"/>
      <c r="HC218" s="22"/>
    </row>
    <row r="219" spans="1:211" ht="15" customHeight="1" x14ac:dyDescent="0.2">
      <c r="A219" s="22"/>
      <c r="B219" s="14"/>
      <c r="C219" s="45"/>
      <c r="D219" s="46"/>
      <c r="E219" s="46"/>
      <c r="F219" s="120"/>
      <c r="G219" s="120"/>
      <c r="H219" s="47"/>
      <c r="I219" s="116"/>
      <c r="J219" s="45"/>
      <c r="K219" s="45"/>
      <c r="L219" s="73"/>
      <c r="M219" s="118"/>
      <c r="N219" s="119"/>
      <c r="O219" s="113"/>
      <c r="P219" s="115"/>
      <c r="Q219"/>
      <c r="R219"/>
      <c r="S219" s="114"/>
      <c r="T219" s="110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2"/>
      <c r="BH219" s="22"/>
      <c r="BI219" s="22"/>
      <c r="BJ219" s="22"/>
      <c r="BK219" s="22"/>
      <c r="BL219" s="22"/>
      <c r="BM219" s="22"/>
      <c r="BN219" s="22"/>
      <c r="BO219" s="22"/>
      <c r="BP219" s="22"/>
      <c r="BQ219" s="22"/>
      <c r="BR219" s="22"/>
      <c r="BS219" s="22"/>
      <c r="BT219" s="22"/>
      <c r="BU219" s="22"/>
      <c r="BV219" s="22"/>
      <c r="BW219" s="22"/>
      <c r="BX219" s="22"/>
      <c r="BY219" s="22"/>
      <c r="BZ219" s="22"/>
      <c r="CA219" s="22"/>
      <c r="CB219" s="22"/>
      <c r="CC219" s="22"/>
      <c r="CD219" s="22"/>
      <c r="CE219" s="22"/>
      <c r="CF219" s="22"/>
      <c r="CG219" s="22"/>
      <c r="CH219" s="22"/>
      <c r="CI219" s="22"/>
      <c r="CJ219" s="22"/>
      <c r="CK219" s="22"/>
      <c r="CL219" s="22"/>
      <c r="CM219" s="22"/>
      <c r="CN219" s="22"/>
      <c r="CO219" s="22"/>
      <c r="CP219" s="22"/>
      <c r="CQ219" s="22"/>
      <c r="CR219" s="22"/>
      <c r="CS219" s="22"/>
      <c r="CT219" s="22"/>
      <c r="CU219" s="22"/>
      <c r="CV219" s="22"/>
      <c r="CW219" s="22"/>
      <c r="CX219" s="22"/>
      <c r="CY219" s="22"/>
      <c r="CZ219" s="22"/>
      <c r="DA219" s="22"/>
      <c r="DB219" s="22"/>
      <c r="DC219" s="22"/>
      <c r="DD219" s="22"/>
      <c r="DE219" s="22"/>
      <c r="DF219" s="22"/>
      <c r="DG219" s="22"/>
      <c r="DH219" s="22"/>
      <c r="DI219" s="22"/>
      <c r="DJ219" s="22"/>
      <c r="DK219" s="22"/>
      <c r="DL219" s="22"/>
      <c r="DM219" s="22"/>
      <c r="DN219" s="22"/>
      <c r="DO219" s="22"/>
      <c r="DP219" s="22"/>
      <c r="DQ219" s="22"/>
      <c r="DR219" s="22"/>
      <c r="DS219" s="22"/>
      <c r="DT219" s="22"/>
      <c r="DU219" s="22"/>
      <c r="DV219" s="22"/>
      <c r="DW219" s="22"/>
      <c r="DX219" s="22"/>
      <c r="DY219" s="22"/>
      <c r="DZ219" s="22"/>
      <c r="EA219" s="22"/>
      <c r="EB219" s="22"/>
      <c r="EC219" s="22"/>
      <c r="ED219" s="22"/>
      <c r="EE219" s="22"/>
      <c r="EF219" s="22"/>
      <c r="EG219" s="22"/>
      <c r="EH219" s="22"/>
      <c r="EI219" s="22"/>
      <c r="EJ219" s="22"/>
      <c r="EK219" s="22"/>
      <c r="EL219" s="22"/>
      <c r="EM219" s="22"/>
      <c r="EN219" s="22"/>
      <c r="EO219" s="22"/>
      <c r="EP219" s="22"/>
      <c r="EQ219" s="22"/>
      <c r="ER219" s="22"/>
      <c r="ES219" s="22"/>
      <c r="ET219" s="22"/>
      <c r="EU219" s="22"/>
      <c r="EV219" s="22"/>
      <c r="EW219" s="22"/>
      <c r="EX219" s="22"/>
      <c r="EY219" s="22"/>
      <c r="EZ219" s="22"/>
      <c r="FA219" s="22"/>
      <c r="FB219" s="22"/>
      <c r="FC219" s="22"/>
      <c r="FD219" s="22"/>
      <c r="FE219" s="22"/>
      <c r="FF219" s="22"/>
      <c r="FG219" s="22"/>
      <c r="FH219" s="22"/>
      <c r="FI219" s="22"/>
      <c r="FJ219" s="22"/>
      <c r="FK219" s="22"/>
      <c r="FL219" s="22"/>
      <c r="FM219" s="22"/>
      <c r="FN219" s="22"/>
      <c r="FO219" s="22"/>
      <c r="FP219" s="22"/>
      <c r="FQ219" s="22"/>
      <c r="FR219" s="22"/>
      <c r="FS219" s="22"/>
      <c r="FT219" s="22"/>
      <c r="FU219" s="22"/>
      <c r="FV219" s="22"/>
      <c r="FW219" s="22"/>
      <c r="FX219" s="22"/>
      <c r="FY219" s="22"/>
      <c r="FZ219" s="22"/>
      <c r="GA219" s="22"/>
      <c r="GB219" s="22"/>
      <c r="GC219" s="22"/>
      <c r="GD219" s="22"/>
      <c r="GE219" s="22"/>
      <c r="GF219" s="22"/>
      <c r="GG219" s="22"/>
      <c r="GH219" s="22"/>
      <c r="GI219" s="22"/>
      <c r="GJ219" s="22"/>
      <c r="GK219" s="22"/>
      <c r="GL219" s="22"/>
      <c r="GM219" s="22"/>
      <c r="GN219" s="22"/>
      <c r="GO219" s="22"/>
      <c r="GP219" s="22"/>
      <c r="GQ219" s="22"/>
      <c r="GR219" s="22"/>
      <c r="GS219" s="22"/>
      <c r="GT219" s="22"/>
      <c r="GU219" s="22"/>
      <c r="GV219" s="22"/>
      <c r="GW219" s="22"/>
      <c r="GX219" s="22"/>
      <c r="GY219" s="22"/>
      <c r="GZ219" s="22"/>
      <c r="HA219" s="22"/>
      <c r="HB219" s="22"/>
      <c r="HC219" s="22"/>
    </row>
    <row r="220" spans="1:211" ht="15" customHeight="1" x14ac:dyDescent="0.2">
      <c r="A220" s="22"/>
      <c r="B220" s="14"/>
      <c r="C220" s="45"/>
      <c r="D220" s="46"/>
      <c r="E220" s="46"/>
      <c r="F220" s="120"/>
      <c r="G220" s="120"/>
      <c r="H220" s="47"/>
      <c r="I220" s="116"/>
      <c r="J220" s="45"/>
      <c r="K220" s="73"/>
      <c r="L220" s="73"/>
      <c r="M220" s="118"/>
      <c r="N220" s="119"/>
      <c r="O220" s="113"/>
      <c r="P220" s="115"/>
      <c r="Q220"/>
      <c r="R220"/>
      <c r="S220" s="114"/>
      <c r="T220" s="110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22"/>
      <c r="BA220" s="22"/>
      <c r="BB220" s="22"/>
      <c r="BC220" s="22"/>
      <c r="BD220" s="22"/>
      <c r="BE220" s="22"/>
      <c r="BF220" s="22"/>
      <c r="BG220" s="22"/>
      <c r="BH220" s="22"/>
      <c r="BI220" s="22"/>
      <c r="BJ220" s="22"/>
      <c r="BK220" s="22"/>
      <c r="BL220" s="22"/>
      <c r="BM220" s="22"/>
      <c r="BN220" s="22"/>
      <c r="BO220" s="22"/>
      <c r="BP220" s="22"/>
      <c r="BQ220" s="22"/>
      <c r="BR220" s="22"/>
      <c r="BS220" s="22"/>
      <c r="BT220" s="22"/>
      <c r="BU220" s="22"/>
      <c r="BV220" s="22"/>
      <c r="BW220" s="22"/>
      <c r="BX220" s="22"/>
      <c r="BY220" s="22"/>
      <c r="BZ220" s="22"/>
      <c r="CA220" s="22"/>
      <c r="CB220" s="22"/>
      <c r="CC220" s="22"/>
      <c r="CD220" s="22"/>
      <c r="CE220" s="22"/>
      <c r="CF220" s="22"/>
      <c r="CG220" s="22"/>
      <c r="CH220" s="22"/>
      <c r="CI220" s="22"/>
      <c r="CJ220" s="22"/>
      <c r="CK220" s="22"/>
      <c r="CL220" s="22"/>
      <c r="CM220" s="22"/>
      <c r="CN220" s="22"/>
      <c r="CO220" s="22"/>
      <c r="CP220" s="22"/>
      <c r="CQ220" s="22"/>
      <c r="CR220" s="22"/>
      <c r="CS220" s="22"/>
      <c r="CT220" s="22"/>
      <c r="CU220" s="22"/>
      <c r="CV220" s="22"/>
      <c r="CW220" s="22"/>
      <c r="CX220" s="22"/>
      <c r="CY220" s="22"/>
      <c r="CZ220" s="22"/>
      <c r="DA220" s="22"/>
      <c r="DB220" s="22"/>
      <c r="DC220" s="22"/>
      <c r="DD220" s="22"/>
      <c r="DE220" s="22"/>
      <c r="DF220" s="22"/>
      <c r="DG220" s="22"/>
      <c r="DH220" s="22"/>
      <c r="DI220" s="22"/>
      <c r="DJ220" s="22"/>
      <c r="DK220" s="22"/>
      <c r="DL220" s="22"/>
      <c r="DM220" s="22"/>
      <c r="DN220" s="22"/>
      <c r="DO220" s="22"/>
      <c r="DP220" s="22"/>
      <c r="DQ220" s="22"/>
      <c r="DR220" s="22"/>
      <c r="DS220" s="22"/>
      <c r="DT220" s="22"/>
      <c r="DU220" s="22"/>
      <c r="DV220" s="22"/>
      <c r="DW220" s="22"/>
      <c r="DX220" s="22"/>
      <c r="DY220" s="22"/>
      <c r="DZ220" s="22"/>
      <c r="EA220" s="22"/>
      <c r="EB220" s="22"/>
      <c r="EC220" s="22"/>
      <c r="ED220" s="22"/>
      <c r="EE220" s="22"/>
      <c r="EF220" s="22"/>
      <c r="EG220" s="22"/>
      <c r="EH220" s="22"/>
      <c r="EI220" s="22"/>
      <c r="EJ220" s="22"/>
      <c r="EK220" s="22"/>
      <c r="EL220" s="22"/>
      <c r="EM220" s="22"/>
      <c r="EN220" s="22"/>
      <c r="EO220" s="22"/>
      <c r="EP220" s="22"/>
      <c r="EQ220" s="22"/>
      <c r="ER220" s="22"/>
      <c r="ES220" s="22"/>
      <c r="ET220" s="22"/>
      <c r="EU220" s="22"/>
      <c r="EV220" s="22"/>
      <c r="EW220" s="22"/>
      <c r="EX220" s="22"/>
      <c r="EY220" s="22"/>
      <c r="EZ220" s="22"/>
      <c r="FA220" s="22"/>
      <c r="FB220" s="22"/>
      <c r="FC220" s="22"/>
      <c r="FD220" s="22"/>
      <c r="FE220" s="22"/>
      <c r="FF220" s="22"/>
      <c r="FG220" s="22"/>
      <c r="FH220" s="22"/>
      <c r="FI220" s="22"/>
      <c r="FJ220" s="22"/>
      <c r="FK220" s="22"/>
      <c r="FL220" s="22"/>
      <c r="FM220" s="22"/>
      <c r="FN220" s="22"/>
      <c r="FO220" s="22"/>
      <c r="FP220" s="22"/>
      <c r="FQ220" s="22"/>
      <c r="FR220" s="22"/>
      <c r="FS220" s="22"/>
      <c r="FT220" s="22"/>
      <c r="FU220" s="22"/>
      <c r="FV220" s="22"/>
      <c r="FW220" s="22"/>
      <c r="FX220" s="22"/>
      <c r="FY220" s="22"/>
      <c r="FZ220" s="22"/>
      <c r="GA220" s="22"/>
      <c r="GB220" s="22"/>
      <c r="GC220" s="22"/>
      <c r="GD220" s="22"/>
      <c r="GE220" s="22"/>
      <c r="GF220" s="22"/>
      <c r="GG220" s="22"/>
      <c r="GH220" s="22"/>
      <c r="GI220" s="22"/>
      <c r="GJ220" s="22"/>
      <c r="GK220" s="22"/>
      <c r="GL220" s="22"/>
      <c r="GM220" s="22"/>
      <c r="GN220" s="22"/>
      <c r="GO220" s="22"/>
      <c r="GP220" s="22"/>
      <c r="GQ220" s="22"/>
      <c r="GR220" s="22"/>
      <c r="GS220" s="22"/>
      <c r="GT220" s="22"/>
      <c r="GU220" s="22"/>
      <c r="GV220" s="22"/>
      <c r="GW220" s="22"/>
      <c r="GX220" s="22"/>
      <c r="GY220" s="22"/>
      <c r="GZ220" s="22"/>
      <c r="HA220" s="22"/>
      <c r="HB220" s="22"/>
      <c r="HC220" s="22"/>
    </row>
    <row r="221" spans="1:211" ht="15" customHeight="1" x14ac:dyDescent="0.2">
      <c r="A221" s="22"/>
      <c r="B221" s="14"/>
      <c r="C221" s="45"/>
      <c r="D221" s="46"/>
      <c r="E221" s="46"/>
      <c r="F221" s="120"/>
      <c r="G221" s="120"/>
      <c r="H221" s="47"/>
      <c r="I221" s="116"/>
      <c r="J221" s="45"/>
      <c r="K221" s="73"/>
      <c r="L221" s="73"/>
      <c r="M221" s="118"/>
      <c r="N221" s="119"/>
      <c r="O221" s="113"/>
      <c r="P221" s="115"/>
      <c r="Q221"/>
      <c r="R221"/>
      <c r="S221" s="114"/>
      <c r="T221" s="110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2"/>
      <c r="BH221" s="22"/>
      <c r="BI221" s="22"/>
      <c r="BJ221" s="22"/>
      <c r="BK221" s="22"/>
      <c r="BL221" s="22"/>
      <c r="BM221" s="22"/>
      <c r="BN221" s="22"/>
      <c r="BO221" s="22"/>
      <c r="BP221" s="22"/>
      <c r="BQ221" s="22"/>
      <c r="BR221" s="22"/>
      <c r="BS221" s="22"/>
      <c r="BT221" s="22"/>
      <c r="BU221" s="22"/>
      <c r="BV221" s="22"/>
      <c r="BW221" s="22"/>
      <c r="BX221" s="22"/>
      <c r="BY221" s="22"/>
      <c r="BZ221" s="22"/>
      <c r="CA221" s="22"/>
      <c r="CB221" s="22"/>
      <c r="CC221" s="22"/>
      <c r="CD221" s="22"/>
      <c r="CE221" s="22"/>
      <c r="CF221" s="22"/>
      <c r="CG221" s="22"/>
      <c r="CH221" s="22"/>
      <c r="CI221" s="22"/>
      <c r="CJ221" s="22"/>
      <c r="CK221" s="22"/>
      <c r="CL221" s="22"/>
      <c r="CM221" s="22"/>
      <c r="CN221" s="22"/>
      <c r="CO221" s="22"/>
      <c r="CP221" s="22"/>
      <c r="CQ221" s="22"/>
      <c r="CR221" s="22"/>
      <c r="CS221" s="22"/>
      <c r="CT221" s="22"/>
      <c r="CU221" s="22"/>
      <c r="CV221" s="22"/>
      <c r="CW221" s="22"/>
      <c r="CX221" s="22"/>
      <c r="CY221" s="22"/>
      <c r="CZ221" s="22"/>
      <c r="DA221" s="22"/>
      <c r="DB221" s="22"/>
      <c r="DC221" s="22"/>
      <c r="DD221" s="22"/>
      <c r="DE221" s="22"/>
      <c r="DF221" s="22"/>
      <c r="DG221" s="22"/>
      <c r="DH221" s="22"/>
      <c r="DI221" s="22"/>
      <c r="DJ221" s="22"/>
      <c r="DK221" s="22"/>
      <c r="DL221" s="22"/>
      <c r="DM221" s="22"/>
      <c r="DN221" s="22"/>
      <c r="DO221" s="22"/>
      <c r="DP221" s="22"/>
      <c r="DQ221" s="22"/>
      <c r="DR221" s="22"/>
      <c r="DS221" s="22"/>
      <c r="DT221" s="22"/>
      <c r="DU221" s="22"/>
      <c r="DV221" s="22"/>
      <c r="DW221" s="22"/>
      <c r="DX221" s="22"/>
      <c r="DY221" s="22"/>
      <c r="DZ221" s="22"/>
      <c r="EA221" s="22"/>
      <c r="EB221" s="22"/>
      <c r="EC221" s="22"/>
      <c r="ED221" s="22"/>
      <c r="EE221" s="22"/>
      <c r="EF221" s="22"/>
      <c r="EG221" s="22"/>
      <c r="EH221" s="22"/>
      <c r="EI221" s="22"/>
      <c r="EJ221" s="22"/>
      <c r="EK221" s="22"/>
      <c r="EL221" s="22"/>
      <c r="EM221" s="22"/>
      <c r="EN221" s="22"/>
      <c r="EO221" s="22"/>
      <c r="EP221" s="22"/>
      <c r="EQ221" s="22"/>
      <c r="ER221" s="22"/>
      <c r="ES221" s="22"/>
      <c r="ET221" s="22"/>
      <c r="EU221" s="22"/>
      <c r="EV221" s="22"/>
      <c r="EW221" s="22"/>
      <c r="EX221" s="22"/>
      <c r="EY221" s="22"/>
      <c r="EZ221" s="22"/>
      <c r="FA221" s="22"/>
      <c r="FB221" s="22"/>
      <c r="FC221" s="22"/>
      <c r="FD221" s="22"/>
      <c r="FE221" s="22"/>
      <c r="FF221" s="22"/>
      <c r="FG221" s="22"/>
      <c r="FH221" s="22"/>
      <c r="FI221" s="22"/>
      <c r="FJ221" s="22"/>
      <c r="FK221" s="22"/>
      <c r="FL221" s="22"/>
      <c r="FM221" s="22"/>
      <c r="FN221" s="22"/>
      <c r="FO221" s="22"/>
      <c r="FP221" s="22"/>
      <c r="FQ221" s="22"/>
      <c r="FR221" s="22"/>
      <c r="FS221" s="22"/>
      <c r="FT221" s="22"/>
      <c r="FU221" s="22"/>
      <c r="FV221" s="22"/>
      <c r="FW221" s="22"/>
      <c r="FX221" s="22"/>
      <c r="FY221" s="22"/>
      <c r="FZ221" s="22"/>
      <c r="GA221" s="22"/>
      <c r="GB221" s="22"/>
      <c r="GC221" s="22"/>
      <c r="GD221" s="22"/>
      <c r="GE221" s="22"/>
      <c r="GF221" s="22"/>
      <c r="GG221" s="22"/>
      <c r="GH221" s="22"/>
      <c r="GI221" s="22"/>
      <c r="GJ221" s="22"/>
      <c r="GK221" s="22"/>
      <c r="GL221" s="22"/>
      <c r="GM221" s="22"/>
      <c r="GN221" s="22"/>
      <c r="GO221" s="22"/>
      <c r="GP221" s="22"/>
      <c r="GQ221" s="22"/>
      <c r="GR221" s="22"/>
      <c r="GS221" s="22"/>
      <c r="GT221" s="22"/>
      <c r="GU221" s="22"/>
      <c r="GV221" s="22"/>
      <c r="GW221" s="22"/>
      <c r="GX221" s="22"/>
      <c r="GY221" s="22"/>
      <c r="GZ221" s="22"/>
      <c r="HA221" s="22"/>
      <c r="HB221" s="22"/>
      <c r="HC221" s="22"/>
    </row>
    <row r="222" spans="1:211" ht="15" customHeight="1" x14ac:dyDescent="0.2">
      <c r="A222" s="22"/>
      <c r="B222" s="14"/>
      <c r="C222" s="45"/>
      <c r="D222" s="46"/>
      <c r="E222" s="46"/>
      <c r="F222" s="120"/>
      <c r="G222" s="120"/>
      <c r="H222" s="47"/>
      <c r="I222" s="116"/>
      <c r="J222" s="45"/>
      <c r="K222" s="45"/>
      <c r="L222" s="73"/>
      <c r="M222" s="118"/>
      <c r="N222" s="119"/>
      <c r="O222" s="113"/>
      <c r="P222" s="115"/>
      <c r="Q222"/>
      <c r="R222"/>
      <c r="S222" s="114"/>
      <c r="T222" s="110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  <c r="BN222" s="22"/>
      <c r="BO222" s="22"/>
      <c r="BP222" s="22"/>
      <c r="BQ222" s="22"/>
      <c r="BR222" s="22"/>
      <c r="BS222" s="22"/>
      <c r="BT222" s="22"/>
      <c r="BU222" s="22"/>
      <c r="BV222" s="22"/>
      <c r="BW222" s="22"/>
      <c r="BX222" s="22"/>
      <c r="BY222" s="22"/>
      <c r="BZ222" s="22"/>
      <c r="CA222" s="22"/>
      <c r="CB222" s="22"/>
      <c r="CC222" s="22"/>
      <c r="CD222" s="22"/>
      <c r="CE222" s="22"/>
      <c r="CF222" s="22"/>
      <c r="CG222" s="22"/>
      <c r="CH222" s="22"/>
      <c r="CI222" s="22"/>
      <c r="CJ222" s="22"/>
      <c r="CK222" s="22"/>
      <c r="CL222" s="22"/>
      <c r="CM222" s="22"/>
      <c r="CN222" s="22"/>
      <c r="CO222" s="22"/>
      <c r="CP222" s="22"/>
      <c r="CQ222" s="22"/>
      <c r="CR222" s="22"/>
      <c r="CS222" s="22"/>
      <c r="CT222" s="22"/>
      <c r="CU222" s="22"/>
      <c r="CV222" s="22"/>
      <c r="CW222" s="22"/>
      <c r="CX222" s="22"/>
      <c r="CY222" s="22"/>
      <c r="CZ222" s="22"/>
      <c r="DA222" s="22"/>
      <c r="DB222" s="22"/>
      <c r="DC222" s="22"/>
      <c r="DD222" s="22"/>
      <c r="DE222" s="22"/>
      <c r="DF222" s="22"/>
      <c r="DG222" s="22"/>
      <c r="DH222" s="22"/>
      <c r="DI222" s="22"/>
      <c r="DJ222" s="22"/>
      <c r="DK222" s="22"/>
      <c r="DL222" s="22"/>
      <c r="DM222" s="22"/>
      <c r="DN222" s="22"/>
      <c r="DO222" s="22"/>
      <c r="DP222" s="22"/>
      <c r="DQ222" s="22"/>
      <c r="DR222" s="22"/>
      <c r="DS222" s="22"/>
      <c r="DT222" s="22"/>
      <c r="DU222" s="22"/>
      <c r="DV222" s="22"/>
      <c r="DW222" s="22"/>
      <c r="DX222" s="22"/>
      <c r="DY222" s="22"/>
      <c r="DZ222" s="22"/>
      <c r="EA222" s="22"/>
      <c r="EB222" s="22"/>
      <c r="EC222" s="22"/>
      <c r="ED222" s="22"/>
      <c r="EE222" s="22"/>
      <c r="EF222" s="22"/>
      <c r="EG222" s="22"/>
      <c r="EH222" s="22"/>
      <c r="EI222" s="22"/>
      <c r="EJ222" s="22"/>
      <c r="EK222" s="22"/>
      <c r="EL222" s="22"/>
      <c r="EM222" s="22"/>
      <c r="EN222" s="22"/>
      <c r="EO222" s="22"/>
      <c r="EP222" s="22"/>
      <c r="EQ222" s="22"/>
      <c r="ER222" s="22"/>
      <c r="ES222" s="22"/>
      <c r="ET222" s="22"/>
      <c r="EU222" s="22"/>
      <c r="EV222" s="22"/>
      <c r="EW222" s="22"/>
      <c r="EX222" s="22"/>
      <c r="EY222" s="22"/>
      <c r="EZ222" s="22"/>
      <c r="FA222" s="22"/>
      <c r="FB222" s="22"/>
      <c r="FC222" s="22"/>
      <c r="FD222" s="22"/>
      <c r="FE222" s="22"/>
      <c r="FF222" s="22"/>
      <c r="FG222" s="22"/>
      <c r="FH222" s="22"/>
      <c r="FI222" s="22"/>
      <c r="FJ222" s="22"/>
      <c r="FK222" s="22"/>
      <c r="FL222" s="22"/>
      <c r="FM222" s="22"/>
      <c r="FN222" s="22"/>
      <c r="FO222" s="22"/>
      <c r="FP222" s="22"/>
      <c r="FQ222" s="22"/>
      <c r="FR222" s="22"/>
      <c r="FS222" s="22"/>
      <c r="FT222" s="22"/>
      <c r="FU222" s="22"/>
      <c r="FV222" s="22"/>
      <c r="FW222" s="22"/>
      <c r="FX222" s="22"/>
      <c r="FY222" s="22"/>
      <c r="FZ222" s="22"/>
      <c r="GA222" s="22"/>
      <c r="GB222" s="22"/>
      <c r="GC222" s="22"/>
      <c r="GD222" s="22"/>
      <c r="GE222" s="22"/>
      <c r="GF222" s="22"/>
      <c r="GG222" s="22"/>
      <c r="GH222" s="22"/>
      <c r="GI222" s="22"/>
      <c r="GJ222" s="22"/>
      <c r="GK222" s="22"/>
      <c r="GL222" s="22"/>
      <c r="GM222" s="22"/>
      <c r="GN222" s="22"/>
      <c r="GO222" s="22"/>
      <c r="GP222" s="22"/>
      <c r="GQ222" s="22"/>
      <c r="GR222" s="22"/>
      <c r="GS222" s="22"/>
      <c r="GT222" s="22"/>
      <c r="GU222" s="22"/>
      <c r="GV222" s="22"/>
      <c r="GW222" s="22"/>
      <c r="GX222" s="22"/>
      <c r="GY222" s="22"/>
      <c r="GZ222" s="22"/>
      <c r="HA222" s="22"/>
      <c r="HB222" s="22"/>
      <c r="HC222" s="22"/>
    </row>
    <row r="223" spans="1:211" ht="15" customHeight="1" x14ac:dyDescent="0.2">
      <c r="A223" s="22"/>
      <c r="B223" s="14"/>
      <c r="C223" s="45"/>
      <c r="D223" s="46"/>
      <c r="E223" s="46"/>
      <c r="F223" s="120"/>
      <c r="G223" s="120"/>
      <c r="H223" s="47"/>
      <c r="I223" s="116"/>
      <c r="J223" s="45"/>
      <c r="K223" s="45"/>
      <c r="L223" s="73"/>
      <c r="M223" s="118"/>
      <c r="N223" s="119"/>
      <c r="O223" s="113"/>
      <c r="P223" s="115"/>
      <c r="Q223"/>
      <c r="R223"/>
      <c r="S223" s="114"/>
      <c r="T223" s="110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2"/>
      <c r="BH223" s="22"/>
      <c r="BI223" s="22"/>
      <c r="BJ223" s="22"/>
      <c r="BK223" s="22"/>
      <c r="BL223" s="22"/>
      <c r="BM223" s="22"/>
      <c r="BN223" s="22"/>
      <c r="BO223" s="22"/>
      <c r="BP223" s="22"/>
      <c r="BQ223" s="22"/>
      <c r="BR223" s="22"/>
      <c r="BS223" s="22"/>
      <c r="BT223" s="22"/>
      <c r="BU223" s="22"/>
      <c r="BV223" s="22"/>
      <c r="BW223" s="22"/>
      <c r="BX223" s="22"/>
      <c r="BY223" s="22"/>
      <c r="BZ223" s="22"/>
      <c r="CA223" s="22"/>
      <c r="CB223" s="22"/>
      <c r="CC223" s="22"/>
      <c r="CD223" s="22"/>
      <c r="CE223" s="22"/>
      <c r="CF223" s="22"/>
      <c r="CG223" s="22"/>
      <c r="CH223" s="22"/>
      <c r="CI223" s="22"/>
      <c r="CJ223" s="22"/>
      <c r="CK223" s="22"/>
      <c r="CL223" s="22"/>
      <c r="CM223" s="22"/>
      <c r="CN223" s="22"/>
      <c r="CO223" s="22"/>
      <c r="CP223" s="22"/>
      <c r="CQ223" s="22"/>
      <c r="CR223" s="22"/>
      <c r="CS223" s="22"/>
      <c r="CT223" s="22"/>
      <c r="CU223" s="22"/>
      <c r="CV223" s="22"/>
      <c r="CW223" s="22"/>
      <c r="CX223" s="22"/>
      <c r="CY223" s="22"/>
      <c r="CZ223" s="22"/>
      <c r="DA223" s="22"/>
      <c r="DB223" s="22"/>
      <c r="DC223" s="22"/>
      <c r="DD223" s="22"/>
      <c r="DE223" s="22"/>
      <c r="DF223" s="22"/>
      <c r="DG223" s="22"/>
      <c r="DH223" s="22"/>
      <c r="DI223" s="22"/>
      <c r="DJ223" s="22"/>
      <c r="DK223" s="22"/>
      <c r="DL223" s="22"/>
      <c r="DM223" s="22"/>
      <c r="DN223" s="22"/>
      <c r="DO223" s="22"/>
      <c r="DP223" s="22"/>
      <c r="DQ223" s="22"/>
      <c r="DR223" s="22"/>
      <c r="DS223" s="22"/>
      <c r="DT223" s="22"/>
      <c r="DU223" s="22"/>
      <c r="DV223" s="22"/>
      <c r="DW223" s="22"/>
      <c r="DX223" s="22"/>
      <c r="DY223" s="22"/>
      <c r="DZ223" s="22"/>
      <c r="EA223" s="22"/>
      <c r="EB223" s="22"/>
      <c r="EC223" s="22"/>
      <c r="ED223" s="22"/>
      <c r="EE223" s="22"/>
      <c r="EF223" s="22"/>
      <c r="EG223" s="22"/>
      <c r="EH223" s="22"/>
      <c r="EI223" s="22"/>
      <c r="EJ223" s="22"/>
      <c r="EK223" s="22"/>
      <c r="EL223" s="22"/>
      <c r="EM223" s="22"/>
      <c r="EN223" s="22"/>
      <c r="EO223" s="22"/>
      <c r="EP223" s="22"/>
      <c r="EQ223" s="22"/>
      <c r="ER223" s="22"/>
      <c r="ES223" s="22"/>
      <c r="ET223" s="22"/>
      <c r="EU223" s="22"/>
      <c r="EV223" s="22"/>
      <c r="EW223" s="22"/>
      <c r="EX223" s="22"/>
      <c r="EY223" s="22"/>
      <c r="EZ223" s="22"/>
      <c r="FA223" s="22"/>
      <c r="FB223" s="22"/>
      <c r="FC223" s="22"/>
      <c r="FD223" s="22"/>
      <c r="FE223" s="22"/>
      <c r="FF223" s="22"/>
      <c r="FG223" s="22"/>
      <c r="FH223" s="22"/>
      <c r="FI223" s="22"/>
      <c r="FJ223" s="22"/>
      <c r="FK223" s="22"/>
      <c r="FL223" s="22"/>
      <c r="FM223" s="22"/>
      <c r="FN223" s="22"/>
      <c r="FO223" s="22"/>
      <c r="FP223" s="22"/>
      <c r="FQ223" s="22"/>
      <c r="FR223" s="22"/>
      <c r="FS223" s="22"/>
      <c r="FT223" s="22"/>
      <c r="FU223" s="22"/>
      <c r="FV223" s="22"/>
      <c r="FW223" s="22"/>
      <c r="FX223" s="22"/>
      <c r="FY223" s="22"/>
      <c r="FZ223" s="22"/>
      <c r="GA223" s="22"/>
      <c r="GB223" s="22"/>
      <c r="GC223" s="22"/>
      <c r="GD223" s="22"/>
      <c r="GE223" s="22"/>
      <c r="GF223" s="22"/>
      <c r="GG223" s="22"/>
      <c r="GH223" s="22"/>
      <c r="GI223" s="22"/>
      <c r="GJ223" s="22"/>
      <c r="GK223" s="22"/>
      <c r="GL223" s="22"/>
      <c r="GM223" s="22"/>
      <c r="GN223" s="22"/>
      <c r="GO223" s="22"/>
      <c r="GP223" s="22"/>
      <c r="GQ223" s="22"/>
      <c r="GR223" s="22"/>
      <c r="GS223" s="22"/>
      <c r="GT223" s="22"/>
      <c r="GU223" s="22"/>
      <c r="GV223" s="22"/>
      <c r="GW223" s="22"/>
      <c r="GX223" s="22"/>
      <c r="GY223" s="22"/>
      <c r="GZ223" s="22"/>
      <c r="HA223" s="22"/>
      <c r="HB223" s="22"/>
      <c r="HC223" s="22"/>
    </row>
    <row r="224" spans="1:211" ht="15" customHeight="1" x14ac:dyDescent="0.2">
      <c r="A224" s="22"/>
      <c r="B224" s="14"/>
      <c r="C224" s="45"/>
      <c r="D224" s="46"/>
      <c r="E224" s="46"/>
      <c r="F224" s="120"/>
      <c r="G224" s="120"/>
      <c r="H224" s="47"/>
      <c r="I224" s="116"/>
      <c r="J224" s="45"/>
      <c r="K224" s="45"/>
      <c r="L224" s="73"/>
      <c r="M224" s="118"/>
      <c r="N224" s="119"/>
      <c r="O224" s="113"/>
      <c r="P224" s="115"/>
      <c r="Q224"/>
      <c r="R224"/>
      <c r="S224" s="114"/>
      <c r="T224" s="110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22"/>
      <c r="BA224" s="22"/>
      <c r="BB224" s="22"/>
      <c r="BC224" s="22"/>
      <c r="BD224" s="22"/>
      <c r="BE224" s="22"/>
      <c r="BF224" s="22"/>
      <c r="BG224" s="22"/>
      <c r="BH224" s="22"/>
      <c r="BI224" s="22"/>
      <c r="BJ224" s="22"/>
      <c r="BK224" s="22"/>
      <c r="BL224" s="22"/>
      <c r="BM224" s="22"/>
      <c r="BN224" s="22"/>
      <c r="BO224" s="22"/>
      <c r="BP224" s="22"/>
      <c r="BQ224" s="22"/>
      <c r="BR224" s="22"/>
      <c r="BS224" s="22"/>
      <c r="BT224" s="22"/>
      <c r="BU224" s="22"/>
      <c r="BV224" s="22"/>
      <c r="BW224" s="22"/>
      <c r="BX224" s="22"/>
      <c r="BY224" s="22"/>
      <c r="BZ224" s="22"/>
      <c r="CA224" s="22"/>
      <c r="CB224" s="22"/>
      <c r="CC224" s="22"/>
      <c r="CD224" s="22"/>
      <c r="CE224" s="22"/>
      <c r="CF224" s="22"/>
      <c r="CG224" s="22"/>
      <c r="CH224" s="22"/>
      <c r="CI224" s="22"/>
      <c r="CJ224" s="22"/>
      <c r="CK224" s="22"/>
      <c r="CL224" s="22"/>
      <c r="CM224" s="22"/>
      <c r="CN224" s="22"/>
      <c r="CO224" s="22"/>
      <c r="CP224" s="22"/>
      <c r="CQ224" s="22"/>
      <c r="CR224" s="22"/>
      <c r="CS224" s="22"/>
      <c r="CT224" s="22"/>
      <c r="CU224" s="22"/>
      <c r="CV224" s="22"/>
      <c r="CW224" s="22"/>
      <c r="CX224" s="22"/>
      <c r="CY224" s="22"/>
      <c r="CZ224" s="22"/>
      <c r="DA224" s="22"/>
      <c r="DB224" s="22"/>
      <c r="DC224" s="22"/>
      <c r="DD224" s="22"/>
      <c r="DE224" s="22"/>
      <c r="DF224" s="22"/>
      <c r="DG224" s="22"/>
      <c r="DH224" s="22"/>
      <c r="DI224" s="22"/>
      <c r="DJ224" s="22"/>
      <c r="DK224" s="22"/>
      <c r="DL224" s="22"/>
      <c r="DM224" s="22"/>
      <c r="DN224" s="22"/>
      <c r="DO224" s="22"/>
      <c r="DP224" s="22"/>
      <c r="DQ224" s="22"/>
      <c r="DR224" s="22"/>
      <c r="DS224" s="22"/>
      <c r="DT224" s="22"/>
      <c r="DU224" s="22"/>
      <c r="DV224" s="22"/>
      <c r="DW224" s="22"/>
      <c r="DX224" s="22"/>
      <c r="DY224" s="22"/>
      <c r="DZ224" s="22"/>
      <c r="EA224" s="22"/>
      <c r="EB224" s="22"/>
      <c r="EC224" s="22"/>
      <c r="ED224" s="22"/>
      <c r="EE224" s="22"/>
      <c r="EF224" s="22"/>
      <c r="EG224" s="22"/>
      <c r="EH224" s="22"/>
      <c r="EI224" s="22"/>
      <c r="EJ224" s="22"/>
      <c r="EK224" s="22"/>
      <c r="EL224" s="22"/>
      <c r="EM224" s="22"/>
      <c r="EN224" s="22"/>
      <c r="EO224" s="22"/>
      <c r="EP224" s="22"/>
      <c r="EQ224" s="22"/>
      <c r="ER224" s="22"/>
      <c r="ES224" s="22"/>
      <c r="ET224" s="22"/>
      <c r="EU224" s="22"/>
      <c r="EV224" s="22"/>
      <c r="EW224" s="22"/>
      <c r="EX224" s="22"/>
      <c r="EY224" s="22"/>
      <c r="EZ224" s="22"/>
      <c r="FA224" s="22"/>
      <c r="FB224" s="22"/>
      <c r="FC224" s="22"/>
      <c r="FD224" s="22"/>
      <c r="FE224" s="22"/>
      <c r="FF224" s="22"/>
      <c r="FG224" s="22"/>
      <c r="FH224" s="22"/>
      <c r="FI224" s="22"/>
      <c r="FJ224" s="22"/>
      <c r="FK224" s="22"/>
      <c r="FL224" s="22"/>
      <c r="FM224" s="22"/>
      <c r="FN224" s="22"/>
      <c r="FO224" s="22"/>
      <c r="FP224" s="22"/>
      <c r="FQ224" s="22"/>
      <c r="FR224" s="22"/>
      <c r="FS224" s="22"/>
      <c r="FT224" s="22"/>
      <c r="FU224" s="22"/>
      <c r="FV224" s="22"/>
      <c r="FW224" s="22"/>
      <c r="FX224" s="22"/>
      <c r="FY224" s="22"/>
      <c r="FZ224" s="22"/>
      <c r="GA224" s="22"/>
      <c r="GB224" s="22"/>
      <c r="GC224" s="22"/>
      <c r="GD224" s="22"/>
      <c r="GE224" s="22"/>
      <c r="GF224" s="22"/>
      <c r="GG224" s="22"/>
      <c r="GH224" s="22"/>
      <c r="GI224" s="22"/>
      <c r="GJ224" s="22"/>
      <c r="GK224" s="22"/>
      <c r="GL224" s="22"/>
      <c r="GM224" s="22"/>
      <c r="GN224" s="22"/>
      <c r="GO224" s="22"/>
      <c r="GP224" s="22"/>
      <c r="GQ224" s="22"/>
      <c r="GR224" s="22"/>
      <c r="GS224" s="22"/>
      <c r="GT224" s="22"/>
      <c r="GU224" s="22"/>
      <c r="GV224" s="22"/>
      <c r="GW224" s="22"/>
      <c r="GX224" s="22"/>
      <c r="GY224" s="22"/>
      <c r="GZ224" s="22"/>
      <c r="HA224" s="22"/>
      <c r="HB224" s="22"/>
      <c r="HC224" s="22"/>
    </row>
    <row r="225" spans="1:211" ht="15" customHeight="1" x14ac:dyDescent="0.2">
      <c r="A225" s="22"/>
      <c r="B225" s="14"/>
      <c r="C225" s="45"/>
      <c r="D225" s="46"/>
      <c r="E225" s="46"/>
      <c r="F225" s="120"/>
      <c r="G225" s="120"/>
      <c r="H225" s="47"/>
      <c r="I225" s="116"/>
      <c r="J225" s="45"/>
      <c r="K225" s="73"/>
      <c r="L225" s="73"/>
      <c r="M225" s="118"/>
      <c r="N225" s="119"/>
      <c r="O225" s="113"/>
      <c r="P225" s="115"/>
      <c r="Q225"/>
      <c r="R225"/>
      <c r="S225" s="114"/>
      <c r="T225" s="110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2"/>
      <c r="BH225" s="22"/>
      <c r="BI225" s="22"/>
      <c r="BJ225" s="22"/>
      <c r="BK225" s="22"/>
      <c r="BL225" s="22"/>
      <c r="BM225" s="22"/>
      <c r="BN225" s="22"/>
      <c r="BO225" s="22"/>
      <c r="BP225" s="22"/>
      <c r="BQ225" s="22"/>
      <c r="BR225" s="22"/>
      <c r="BS225" s="22"/>
      <c r="BT225" s="22"/>
      <c r="BU225" s="22"/>
      <c r="BV225" s="22"/>
      <c r="BW225" s="22"/>
      <c r="BX225" s="22"/>
      <c r="BY225" s="22"/>
      <c r="BZ225" s="22"/>
      <c r="CA225" s="22"/>
      <c r="CB225" s="22"/>
      <c r="CC225" s="22"/>
      <c r="CD225" s="22"/>
      <c r="CE225" s="22"/>
      <c r="CF225" s="22"/>
      <c r="CG225" s="22"/>
      <c r="CH225" s="22"/>
      <c r="CI225" s="22"/>
      <c r="CJ225" s="22"/>
      <c r="CK225" s="22"/>
      <c r="CL225" s="22"/>
      <c r="CM225" s="22"/>
      <c r="CN225" s="22"/>
      <c r="CO225" s="22"/>
      <c r="CP225" s="22"/>
      <c r="CQ225" s="22"/>
      <c r="CR225" s="22"/>
      <c r="CS225" s="22"/>
      <c r="CT225" s="22"/>
      <c r="CU225" s="22"/>
      <c r="CV225" s="22"/>
      <c r="CW225" s="22"/>
      <c r="CX225" s="22"/>
      <c r="CY225" s="22"/>
      <c r="CZ225" s="22"/>
      <c r="DA225" s="22"/>
      <c r="DB225" s="22"/>
      <c r="DC225" s="22"/>
      <c r="DD225" s="22"/>
      <c r="DE225" s="22"/>
      <c r="DF225" s="22"/>
      <c r="DG225" s="22"/>
      <c r="DH225" s="22"/>
      <c r="DI225" s="22"/>
      <c r="DJ225" s="22"/>
      <c r="DK225" s="22"/>
      <c r="DL225" s="22"/>
      <c r="DM225" s="22"/>
      <c r="DN225" s="22"/>
      <c r="DO225" s="22"/>
      <c r="DP225" s="22"/>
      <c r="DQ225" s="22"/>
      <c r="DR225" s="22"/>
      <c r="DS225" s="22"/>
      <c r="DT225" s="22"/>
      <c r="DU225" s="22"/>
      <c r="DV225" s="22"/>
      <c r="DW225" s="22"/>
      <c r="DX225" s="22"/>
      <c r="DY225" s="22"/>
      <c r="DZ225" s="22"/>
      <c r="EA225" s="22"/>
      <c r="EB225" s="22"/>
      <c r="EC225" s="22"/>
      <c r="ED225" s="22"/>
      <c r="EE225" s="22"/>
      <c r="EF225" s="22"/>
      <c r="EG225" s="22"/>
      <c r="EH225" s="22"/>
      <c r="EI225" s="22"/>
      <c r="EJ225" s="22"/>
      <c r="EK225" s="22"/>
      <c r="EL225" s="22"/>
      <c r="EM225" s="22"/>
      <c r="EN225" s="22"/>
      <c r="EO225" s="22"/>
      <c r="EP225" s="22"/>
      <c r="EQ225" s="22"/>
      <c r="ER225" s="22"/>
      <c r="ES225" s="22"/>
      <c r="ET225" s="22"/>
      <c r="EU225" s="22"/>
      <c r="EV225" s="22"/>
      <c r="EW225" s="22"/>
      <c r="EX225" s="22"/>
      <c r="EY225" s="22"/>
      <c r="EZ225" s="22"/>
      <c r="FA225" s="22"/>
      <c r="FB225" s="22"/>
      <c r="FC225" s="22"/>
      <c r="FD225" s="22"/>
      <c r="FE225" s="22"/>
      <c r="FF225" s="22"/>
      <c r="FG225" s="22"/>
      <c r="FH225" s="22"/>
      <c r="FI225" s="22"/>
      <c r="FJ225" s="22"/>
      <c r="FK225" s="22"/>
      <c r="FL225" s="22"/>
      <c r="FM225" s="22"/>
      <c r="FN225" s="22"/>
      <c r="FO225" s="22"/>
      <c r="FP225" s="22"/>
      <c r="FQ225" s="22"/>
      <c r="FR225" s="22"/>
      <c r="FS225" s="22"/>
      <c r="FT225" s="22"/>
      <c r="FU225" s="22"/>
      <c r="FV225" s="22"/>
      <c r="FW225" s="22"/>
      <c r="FX225" s="22"/>
      <c r="FY225" s="22"/>
      <c r="FZ225" s="22"/>
      <c r="GA225" s="22"/>
      <c r="GB225" s="22"/>
      <c r="GC225" s="22"/>
      <c r="GD225" s="22"/>
      <c r="GE225" s="22"/>
      <c r="GF225" s="22"/>
      <c r="GG225" s="22"/>
      <c r="GH225" s="22"/>
      <c r="GI225" s="22"/>
      <c r="GJ225" s="22"/>
      <c r="GK225" s="22"/>
      <c r="GL225" s="22"/>
      <c r="GM225" s="22"/>
      <c r="GN225" s="22"/>
      <c r="GO225" s="22"/>
      <c r="GP225" s="22"/>
      <c r="GQ225" s="22"/>
      <c r="GR225" s="22"/>
      <c r="GS225" s="22"/>
      <c r="GT225" s="22"/>
      <c r="GU225" s="22"/>
      <c r="GV225" s="22"/>
      <c r="GW225" s="22"/>
      <c r="GX225" s="22"/>
      <c r="GY225" s="22"/>
      <c r="GZ225" s="22"/>
      <c r="HA225" s="22"/>
      <c r="HB225" s="22"/>
      <c r="HC225" s="22"/>
    </row>
    <row r="226" spans="1:211" ht="15" customHeight="1" x14ac:dyDescent="0.2">
      <c r="A226" s="22"/>
      <c r="B226" s="14"/>
      <c r="C226" s="45"/>
      <c r="D226" s="46"/>
      <c r="E226" s="46"/>
      <c r="F226" s="120"/>
      <c r="G226" s="120"/>
      <c r="H226" s="47"/>
      <c r="I226" s="116"/>
      <c r="J226" s="45"/>
      <c r="K226" s="45"/>
      <c r="L226" s="73"/>
      <c r="M226" s="118"/>
      <c r="N226" s="119"/>
      <c r="O226" s="113"/>
      <c r="P226" s="115"/>
      <c r="Q226"/>
      <c r="R226"/>
      <c r="S226" s="114"/>
      <c r="T226" s="110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22"/>
      <c r="BA226" s="22"/>
      <c r="BB226" s="22"/>
      <c r="BC226" s="22"/>
      <c r="BD226" s="22"/>
      <c r="BE226" s="22"/>
      <c r="BF226" s="22"/>
      <c r="BG226" s="22"/>
      <c r="BH226" s="22"/>
      <c r="BI226" s="22"/>
      <c r="BJ226" s="22"/>
      <c r="BK226" s="22"/>
      <c r="BL226" s="22"/>
      <c r="BM226" s="22"/>
      <c r="BN226" s="22"/>
      <c r="BO226" s="22"/>
      <c r="BP226" s="22"/>
      <c r="BQ226" s="22"/>
      <c r="BR226" s="22"/>
      <c r="BS226" s="22"/>
      <c r="BT226" s="22"/>
      <c r="BU226" s="22"/>
      <c r="BV226" s="22"/>
      <c r="BW226" s="22"/>
      <c r="BX226" s="22"/>
      <c r="BY226" s="22"/>
      <c r="BZ226" s="22"/>
      <c r="CA226" s="22"/>
      <c r="CB226" s="22"/>
      <c r="CC226" s="22"/>
      <c r="CD226" s="22"/>
      <c r="CE226" s="22"/>
      <c r="CF226" s="22"/>
      <c r="CG226" s="22"/>
      <c r="CH226" s="22"/>
      <c r="CI226" s="22"/>
      <c r="CJ226" s="22"/>
      <c r="CK226" s="22"/>
      <c r="CL226" s="22"/>
      <c r="CM226" s="22"/>
      <c r="CN226" s="22"/>
      <c r="CO226" s="22"/>
      <c r="CP226" s="22"/>
      <c r="CQ226" s="22"/>
      <c r="CR226" s="22"/>
      <c r="CS226" s="22"/>
      <c r="CT226" s="22"/>
      <c r="CU226" s="22"/>
      <c r="CV226" s="22"/>
      <c r="CW226" s="22"/>
      <c r="CX226" s="22"/>
      <c r="CY226" s="22"/>
      <c r="CZ226" s="22"/>
      <c r="DA226" s="22"/>
      <c r="DB226" s="22"/>
      <c r="DC226" s="22"/>
      <c r="DD226" s="22"/>
      <c r="DE226" s="22"/>
      <c r="DF226" s="22"/>
      <c r="DG226" s="22"/>
      <c r="DH226" s="22"/>
      <c r="DI226" s="22"/>
      <c r="DJ226" s="22"/>
      <c r="DK226" s="22"/>
      <c r="DL226" s="22"/>
      <c r="DM226" s="22"/>
      <c r="DN226" s="22"/>
      <c r="DO226" s="22"/>
      <c r="DP226" s="22"/>
      <c r="DQ226" s="22"/>
      <c r="DR226" s="22"/>
      <c r="DS226" s="22"/>
      <c r="DT226" s="22"/>
      <c r="DU226" s="22"/>
      <c r="DV226" s="22"/>
      <c r="DW226" s="22"/>
      <c r="DX226" s="22"/>
      <c r="DY226" s="22"/>
      <c r="DZ226" s="22"/>
      <c r="EA226" s="22"/>
      <c r="EB226" s="22"/>
      <c r="EC226" s="22"/>
      <c r="ED226" s="22"/>
      <c r="EE226" s="22"/>
      <c r="EF226" s="22"/>
      <c r="EG226" s="22"/>
      <c r="EH226" s="22"/>
      <c r="EI226" s="22"/>
      <c r="EJ226" s="22"/>
      <c r="EK226" s="22"/>
      <c r="EL226" s="22"/>
      <c r="EM226" s="22"/>
      <c r="EN226" s="22"/>
      <c r="EO226" s="22"/>
      <c r="EP226" s="22"/>
      <c r="EQ226" s="22"/>
      <c r="ER226" s="22"/>
      <c r="ES226" s="22"/>
      <c r="ET226" s="22"/>
      <c r="EU226" s="22"/>
      <c r="EV226" s="22"/>
      <c r="EW226" s="22"/>
      <c r="EX226" s="22"/>
      <c r="EY226" s="22"/>
      <c r="EZ226" s="22"/>
      <c r="FA226" s="22"/>
      <c r="FB226" s="22"/>
      <c r="FC226" s="22"/>
      <c r="FD226" s="22"/>
      <c r="FE226" s="22"/>
      <c r="FF226" s="22"/>
      <c r="FG226" s="22"/>
      <c r="FH226" s="22"/>
      <c r="FI226" s="22"/>
      <c r="FJ226" s="22"/>
      <c r="FK226" s="22"/>
      <c r="FL226" s="22"/>
      <c r="FM226" s="22"/>
      <c r="FN226" s="22"/>
      <c r="FO226" s="22"/>
      <c r="FP226" s="22"/>
      <c r="FQ226" s="22"/>
      <c r="FR226" s="22"/>
      <c r="FS226" s="22"/>
      <c r="FT226" s="22"/>
      <c r="FU226" s="22"/>
      <c r="FV226" s="22"/>
      <c r="FW226" s="22"/>
      <c r="FX226" s="22"/>
      <c r="FY226" s="22"/>
      <c r="FZ226" s="22"/>
      <c r="GA226" s="22"/>
      <c r="GB226" s="22"/>
      <c r="GC226" s="22"/>
      <c r="GD226" s="22"/>
      <c r="GE226" s="22"/>
      <c r="GF226" s="22"/>
      <c r="GG226" s="22"/>
      <c r="GH226" s="22"/>
      <c r="GI226" s="22"/>
      <c r="GJ226" s="22"/>
      <c r="GK226" s="22"/>
      <c r="GL226" s="22"/>
      <c r="GM226" s="22"/>
      <c r="GN226" s="22"/>
      <c r="GO226" s="22"/>
      <c r="GP226" s="22"/>
      <c r="GQ226" s="22"/>
      <c r="GR226" s="22"/>
      <c r="GS226" s="22"/>
      <c r="GT226" s="22"/>
      <c r="GU226" s="22"/>
      <c r="GV226" s="22"/>
      <c r="GW226" s="22"/>
      <c r="GX226" s="22"/>
      <c r="GY226" s="22"/>
      <c r="GZ226" s="22"/>
      <c r="HA226" s="22"/>
      <c r="HB226" s="22"/>
      <c r="HC226" s="22"/>
    </row>
    <row r="227" spans="1:211" ht="15" customHeight="1" x14ac:dyDescent="0.2">
      <c r="A227" s="22"/>
      <c r="B227" s="14"/>
      <c r="C227" s="45"/>
      <c r="D227" s="46"/>
      <c r="E227" s="46"/>
      <c r="F227" s="120"/>
      <c r="G227" s="120"/>
      <c r="H227" s="47"/>
      <c r="I227" s="116"/>
      <c r="J227" s="45"/>
      <c r="K227" s="73"/>
      <c r="L227" s="73"/>
      <c r="M227" s="118"/>
      <c r="N227" s="119"/>
      <c r="O227" s="113"/>
      <c r="P227" s="115"/>
      <c r="Q227"/>
      <c r="R227"/>
      <c r="S227" s="114"/>
      <c r="T227" s="110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2"/>
      <c r="BH227" s="22"/>
      <c r="BI227" s="22"/>
      <c r="BJ227" s="22"/>
      <c r="BK227" s="22"/>
      <c r="BL227" s="22"/>
      <c r="BM227" s="22"/>
      <c r="BN227" s="22"/>
      <c r="BO227" s="22"/>
      <c r="BP227" s="22"/>
      <c r="BQ227" s="22"/>
      <c r="BR227" s="22"/>
      <c r="BS227" s="22"/>
      <c r="BT227" s="22"/>
      <c r="BU227" s="22"/>
      <c r="BV227" s="22"/>
      <c r="BW227" s="22"/>
      <c r="BX227" s="22"/>
      <c r="BY227" s="22"/>
      <c r="BZ227" s="22"/>
      <c r="CA227" s="22"/>
      <c r="CB227" s="22"/>
      <c r="CC227" s="22"/>
      <c r="CD227" s="22"/>
      <c r="CE227" s="22"/>
      <c r="CF227" s="22"/>
      <c r="CG227" s="22"/>
      <c r="CH227" s="22"/>
      <c r="CI227" s="22"/>
      <c r="CJ227" s="22"/>
      <c r="CK227" s="22"/>
      <c r="CL227" s="22"/>
      <c r="CM227" s="22"/>
      <c r="CN227" s="22"/>
      <c r="CO227" s="22"/>
      <c r="CP227" s="22"/>
      <c r="CQ227" s="22"/>
      <c r="CR227" s="22"/>
      <c r="CS227" s="22"/>
      <c r="CT227" s="22"/>
      <c r="CU227" s="22"/>
      <c r="CV227" s="22"/>
      <c r="CW227" s="22"/>
      <c r="CX227" s="22"/>
      <c r="CY227" s="22"/>
      <c r="CZ227" s="22"/>
      <c r="DA227" s="22"/>
      <c r="DB227" s="22"/>
      <c r="DC227" s="22"/>
      <c r="DD227" s="22"/>
      <c r="DE227" s="22"/>
      <c r="DF227" s="22"/>
      <c r="DG227" s="22"/>
      <c r="DH227" s="22"/>
      <c r="DI227" s="22"/>
      <c r="DJ227" s="22"/>
      <c r="DK227" s="22"/>
      <c r="DL227" s="22"/>
      <c r="DM227" s="22"/>
      <c r="DN227" s="22"/>
      <c r="DO227" s="22"/>
      <c r="DP227" s="22"/>
      <c r="DQ227" s="22"/>
      <c r="DR227" s="22"/>
      <c r="DS227" s="22"/>
      <c r="DT227" s="22"/>
      <c r="DU227" s="22"/>
      <c r="DV227" s="22"/>
      <c r="DW227" s="22"/>
      <c r="DX227" s="22"/>
      <c r="DY227" s="22"/>
      <c r="DZ227" s="22"/>
      <c r="EA227" s="22"/>
      <c r="EB227" s="22"/>
      <c r="EC227" s="22"/>
      <c r="ED227" s="22"/>
      <c r="EE227" s="22"/>
      <c r="EF227" s="22"/>
      <c r="EG227" s="22"/>
      <c r="EH227" s="22"/>
      <c r="EI227" s="22"/>
      <c r="EJ227" s="22"/>
      <c r="EK227" s="22"/>
      <c r="EL227" s="22"/>
      <c r="EM227" s="22"/>
      <c r="EN227" s="22"/>
      <c r="EO227" s="22"/>
      <c r="EP227" s="22"/>
      <c r="EQ227" s="22"/>
      <c r="ER227" s="22"/>
      <c r="ES227" s="22"/>
      <c r="ET227" s="22"/>
      <c r="EU227" s="22"/>
      <c r="EV227" s="22"/>
      <c r="EW227" s="22"/>
      <c r="EX227" s="22"/>
      <c r="EY227" s="22"/>
      <c r="EZ227" s="22"/>
      <c r="FA227" s="22"/>
      <c r="FB227" s="22"/>
      <c r="FC227" s="22"/>
      <c r="FD227" s="22"/>
      <c r="FE227" s="22"/>
      <c r="FF227" s="22"/>
      <c r="FG227" s="22"/>
      <c r="FH227" s="22"/>
      <c r="FI227" s="22"/>
      <c r="FJ227" s="22"/>
      <c r="FK227" s="22"/>
      <c r="FL227" s="22"/>
      <c r="FM227" s="22"/>
      <c r="FN227" s="22"/>
      <c r="FO227" s="22"/>
      <c r="FP227" s="22"/>
      <c r="FQ227" s="22"/>
      <c r="FR227" s="22"/>
      <c r="FS227" s="22"/>
      <c r="FT227" s="22"/>
      <c r="FU227" s="22"/>
      <c r="FV227" s="22"/>
      <c r="FW227" s="22"/>
      <c r="FX227" s="22"/>
      <c r="FY227" s="22"/>
      <c r="FZ227" s="22"/>
      <c r="GA227" s="22"/>
      <c r="GB227" s="22"/>
      <c r="GC227" s="22"/>
      <c r="GD227" s="22"/>
      <c r="GE227" s="22"/>
      <c r="GF227" s="22"/>
      <c r="GG227" s="22"/>
      <c r="GH227" s="22"/>
      <c r="GI227" s="22"/>
      <c r="GJ227" s="22"/>
      <c r="GK227" s="22"/>
      <c r="GL227" s="22"/>
      <c r="GM227" s="22"/>
      <c r="GN227" s="22"/>
      <c r="GO227" s="22"/>
      <c r="GP227" s="22"/>
      <c r="GQ227" s="22"/>
      <c r="GR227" s="22"/>
      <c r="GS227" s="22"/>
      <c r="GT227" s="22"/>
      <c r="GU227" s="22"/>
      <c r="GV227" s="22"/>
      <c r="GW227" s="22"/>
      <c r="GX227" s="22"/>
      <c r="GY227" s="22"/>
      <c r="GZ227" s="22"/>
      <c r="HA227" s="22"/>
      <c r="HB227" s="22"/>
      <c r="HC227" s="22"/>
    </row>
    <row r="228" spans="1:211" ht="15" customHeight="1" x14ac:dyDescent="0.2">
      <c r="A228" s="22"/>
      <c r="B228" s="14"/>
      <c r="C228" s="45"/>
      <c r="D228" s="46"/>
      <c r="E228" s="46"/>
      <c r="F228" s="120"/>
      <c r="G228" s="120"/>
      <c r="H228" s="47"/>
      <c r="I228" s="116"/>
      <c r="J228" s="45"/>
      <c r="K228" s="45"/>
      <c r="L228" s="73"/>
      <c r="M228" s="118"/>
      <c r="N228" s="119"/>
      <c r="O228" s="113"/>
      <c r="P228" s="115"/>
      <c r="Q228"/>
      <c r="R228"/>
      <c r="S228" s="114"/>
      <c r="T228" s="110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22"/>
      <c r="BA228" s="22"/>
      <c r="BB228" s="22"/>
      <c r="BC228" s="22"/>
      <c r="BD228" s="22"/>
      <c r="BE228" s="22"/>
      <c r="BF228" s="22"/>
      <c r="BG228" s="22"/>
      <c r="BH228" s="22"/>
      <c r="BI228" s="22"/>
      <c r="BJ228" s="22"/>
      <c r="BK228" s="22"/>
      <c r="BL228" s="22"/>
      <c r="BM228" s="22"/>
      <c r="BN228" s="22"/>
      <c r="BO228" s="22"/>
      <c r="BP228" s="22"/>
      <c r="BQ228" s="22"/>
      <c r="BR228" s="22"/>
      <c r="BS228" s="22"/>
      <c r="BT228" s="22"/>
      <c r="BU228" s="22"/>
      <c r="BV228" s="22"/>
      <c r="BW228" s="22"/>
      <c r="BX228" s="22"/>
      <c r="BY228" s="22"/>
      <c r="BZ228" s="22"/>
      <c r="CA228" s="22"/>
      <c r="CB228" s="22"/>
      <c r="CC228" s="22"/>
      <c r="CD228" s="22"/>
      <c r="CE228" s="22"/>
      <c r="CF228" s="22"/>
      <c r="CG228" s="22"/>
      <c r="CH228" s="22"/>
      <c r="CI228" s="22"/>
      <c r="CJ228" s="22"/>
      <c r="CK228" s="22"/>
      <c r="CL228" s="22"/>
      <c r="CM228" s="22"/>
      <c r="CN228" s="22"/>
      <c r="CO228" s="22"/>
      <c r="CP228" s="22"/>
      <c r="CQ228" s="22"/>
      <c r="CR228" s="22"/>
      <c r="CS228" s="22"/>
      <c r="CT228" s="22"/>
      <c r="CU228" s="22"/>
      <c r="CV228" s="22"/>
      <c r="CW228" s="22"/>
      <c r="CX228" s="22"/>
      <c r="CY228" s="22"/>
      <c r="CZ228" s="22"/>
      <c r="DA228" s="22"/>
      <c r="DB228" s="22"/>
      <c r="DC228" s="22"/>
      <c r="DD228" s="22"/>
      <c r="DE228" s="22"/>
      <c r="DF228" s="22"/>
      <c r="DG228" s="22"/>
      <c r="DH228" s="22"/>
      <c r="DI228" s="22"/>
      <c r="DJ228" s="22"/>
      <c r="DK228" s="22"/>
      <c r="DL228" s="22"/>
      <c r="DM228" s="22"/>
      <c r="DN228" s="22"/>
      <c r="DO228" s="22"/>
      <c r="DP228" s="22"/>
      <c r="DQ228" s="22"/>
      <c r="DR228" s="22"/>
      <c r="DS228" s="22"/>
      <c r="DT228" s="22"/>
      <c r="DU228" s="22"/>
      <c r="DV228" s="22"/>
      <c r="DW228" s="22"/>
      <c r="DX228" s="22"/>
      <c r="DY228" s="22"/>
      <c r="DZ228" s="22"/>
      <c r="EA228" s="22"/>
      <c r="EB228" s="22"/>
      <c r="EC228" s="22"/>
      <c r="ED228" s="22"/>
      <c r="EE228" s="22"/>
      <c r="EF228" s="22"/>
      <c r="EG228" s="22"/>
      <c r="EH228" s="22"/>
      <c r="EI228" s="22"/>
      <c r="EJ228" s="22"/>
      <c r="EK228" s="22"/>
      <c r="EL228" s="22"/>
      <c r="EM228" s="22"/>
      <c r="EN228" s="22"/>
      <c r="EO228" s="22"/>
      <c r="EP228" s="22"/>
      <c r="EQ228" s="22"/>
      <c r="ER228" s="22"/>
      <c r="ES228" s="22"/>
      <c r="ET228" s="22"/>
      <c r="EU228" s="22"/>
      <c r="EV228" s="22"/>
      <c r="EW228" s="22"/>
      <c r="EX228" s="22"/>
      <c r="EY228" s="22"/>
      <c r="EZ228" s="22"/>
      <c r="FA228" s="22"/>
      <c r="FB228" s="22"/>
      <c r="FC228" s="22"/>
      <c r="FD228" s="22"/>
      <c r="FE228" s="22"/>
      <c r="FF228" s="22"/>
      <c r="FG228" s="22"/>
      <c r="FH228" s="22"/>
      <c r="FI228" s="22"/>
      <c r="FJ228" s="22"/>
      <c r="FK228" s="22"/>
      <c r="FL228" s="22"/>
      <c r="FM228" s="22"/>
      <c r="FN228" s="22"/>
      <c r="FO228" s="22"/>
      <c r="FP228" s="22"/>
      <c r="FQ228" s="22"/>
      <c r="FR228" s="22"/>
      <c r="FS228" s="22"/>
      <c r="FT228" s="22"/>
      <c r="FU228" s="22"/>
      <c r="FV228" s="22"/>
      <c r="FW228" s="22"/>
      <c r="FX228" s="22"/>
      <c r="FY228" s="22"/>
      <c r="FZ228" s="22"/>
      <c r="GA228" s="22"/>
      <c r="GB228" s="22"/>
      <c r="GC228" s="22"/>
      <c r="GD228" s="22"/>
      <c r="GE228" s="22"/>
      <c r="GF228" s="22"/>
      <c r="GG228" s="22"/>
      <c r="GH228" s="22"/>
      <c r="GI228" s="22"/>
      <c r="GJ228" s="22"/>
      <c r="GK228" s="22"/>
      <c r="GL228" s="22"/>
      <c r="GM228" s="22"/>
      <c r="GN228" s="22"/>
      <c r="GO228" s="22"/>
      <c r="GP228" s="22"/>
      <c r="GQ228" s="22"/>
      <c r="GR228" s="22"/>
      <c r="GS228" s="22"/>
      <c r="GT228" s="22"/>
      <c r="GU228" s="22"/>
      <c r="GV228" s="22"/>
      <c r="GW228" s="22"/>
      <c r="GX228" s="22"/>
      <c r="GY228" s="22"/>
      <c r="GZ228" s="22"/>
      <c r="HA228" s="22"/>
      <c r="HB228" s="22"/>
      <c r="HC228" s="22"/>
    </row>
    <row r="229" spans="1:211" ht="15" customHeight="1" x14ac:dyDescent="0.2">
      <c r="A229" s="22"/>
      <c r="B229" s="14"/>
      <c r="C229" s="45"/>
      <c r="D229" s="46"/>
      <c r="E229" s="46"/>
      <c r="F229" s="120"/>
      <c r="G229" s="120"/>
      <c r="H229" s="47"/>
      <c r="I229" s="116"/>
      <c r="J229" s="45"/>
      <c r="K229" s="45"/>
      <c r="L229" s="73"/>
      <c r="M229" s="118"/>
      <c r="N229" s="119"/>
      <c r="O229" s="113"/>
      <c r="P229" s="115"/>
      <c r="Q229"/>
      <c r="R229"/>
      <c r="S229" s="114"/>
      <c r="T229" s="110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2"/>
      <c r="BH229" s="22"/>
      <c r="BI229" s="22"/>
      <c r="BJ229" s="22"/>
      <c r="BK229" s="22"/>
      <c r="BL229" s="22"/>
      <c r="BM229" s="22"/>
      <c r="BN229" s="22"/>
      <c r="BO229" s="22"/>
      <c r="BP229" s="22"/>
      <c r="BQ229" s="22"/>
      <c r="BR229" s="22"/>
      <c r="BS229" s="22"/>
      <c r="BT229" s="22"/>
      <c r="BU229" s="22"/>
      <c r="BV229" s="22"/>
      <c r="BW229" s="22"/>
      <c r="BX229" s="22"/>
      <c r="BY229" s="22"/>
      <c r="BZ229" s="22"/>
      <c r="CA229" s="22"/>
      <c r="CB229" s="22"/>
      <c r="CC229" s="22"/>
      <c r="CD229" s="22"/>
      <c r="CE229" s="22"/>
      <c r="CF229" s="22"/>
      <c r="CG229" s="22"/>
      <c r="CH229" s="22"/>
      <c r="CI229" s="22"/>
      <c r="CJ229" s="22"/>
      <c r="CK229" s="22"/>
      <c r="CL229" s="22"/>
      <c r="CM229" s="22"/>
      <c r="CN229" s="22"/>
      <c r="CO229" s="22"/>
      <c r="CP229" s="22"/>
      <c r="CQ229" s="22"/>
      <c r="CR229" s="22"/>
      <c r="CS229" s="22"/>
      <c r="CT229" s="22"/>
      <c r="CU229" s="22"/>
      <c r="CV229" s="22"/>
      <c r="CW229" s="22"/>
      <c r="CX229" s="22"/>
      <c r="CY229" s="22"/>
      <c r="CZ229" s="22"/>
      <c r="DA229" s="22"/>
      <c r="DB229" s="22"/>
      <c r="DC229" s="22"/>
      <c r="DD229" s="22"/>
      <c r="DE229" s="22"/>
      <c r="DF229" s="22"/>
      <c r="DG229" s="22"/>
      <c r="DH229" s="22"/>
      <c r="DI229" s="22"/>
      <c r="DJ229" s="22"/>
      <c r="DK229" s="22"/>
      <c r="DL229" s="22"/>
      <c r="DM229" s="22"/>
      <c r="DN229" s="22"/>
      <c r="DO229" s="22"/>
      <c r="DP229" s="22"/>
      <c r="DQ229" s="22"/>
      <c r="DR229" s="22"/>
      <c r="DS229" s="22"/>
      <c r="DT229" s="22"/>
      <c r="DU229" s="22"/>
      <c r="DV229" s="22"/>
      <c r="DW229" s="22"/>
      <c r="DX229" s="22"/>
      <c r="DY229" s="22"/>
      <c r="DZ229" s="22"/>
      <c r="EA229" s="22"/>
      <c r="EB229" s="22"/>
      <c r="EC229" s="22"/>
      <c r="ED229" s="22"/>
      <c r="EE229" s="22"/>
      <c r="EF229" s="22"/>
      <c r="EG229" s="22"/>
      <c r="EH229" s="22"/>
      <c r="EI229" s="22"/>
      <c r="EJ229" s="22"/>
      <c r="EK229" s="22"/>
      <c r="EL229" s="22"/>
      <c r="EM229" s="22"/>
      <c r="EN229" s="22"/>
      <c r="EO229" s="22"/>
      <c r="EP229" s="22"/>
      <c r="EQ229" s="22"/>
      <c r="ER229" s="22"/>
      <c r="ES229" s="22"/>
      <c r="ET229" s="22"/>
      <c r="EU229" s="22"/>
      <c r="EV229" s="22"/>
      <c r="EW229" s="22"/>
      <c r="EX229" s="22"/>
      <c r="EY229" s="22"/>
      <c r="EZ229" s="22"/>
      <c r="FA229" s="22"/>
      <c r="FB229" s="22"/>
      <c r="FC229" s="22"/>
      <c r="FD229" s="22"/>
      <c r="FE229" s="22"/>
      <c r="FF229" s="22"/>
      <c r="FG229" s="22"/>
      <c r="FH229" s="22"/>
      <c r="FI229" s="22"/>
      <c r="FJ229" s="22"/>
      <c r="FK229" s="22"/>
      <c r="FL229" s="22"/>
      <c r="FM229" s="22"/>
      <c r="FN229" s="22"/>
      <c r="FO229" s="22"/>
      <c r="FP229" s="22"/>
      <c r="FQ229" s="22"/>
      <c r="FR229" s="22"/>
      <c r="FS229" s="22"/>
      <c r="FT229" s="22"/>
      <c r="FU229" s="22"/>
      <c r="FV229" s="22"/>
      <c r="FW229" s="22"/>
      <c r="FX229" s="22"/>
      <c r="FY229" s="22"/>
      <c r="FZ229" s="22"/>
      <c r="GA229" s="22"/>
      <c r="GB229" s="22"/>
      <c r="GC229" s="22"/>
      <c r="GD229" s="22"/>
      <c r="GE229" s="22"/>
      <c r="GF229" s="22"/>
      <c r="GG229" s="22"/>
      <c r="GH229" s="22"/>
      <c r="GI229" s="22"/>
      <c r="GJ229" s="22"/>
      <c r="GK229" s="22"/>
      <c r="GL229" s="22"/>
      <c r="GM229" s="22"/>
      <c r="GN229" s="22"/>
      <c r="GO229" s="22"/>
      <c r="GP229" s="22"/>
      <c r="GQ229" s="22"/>
      <c r="GR229" s="22"/>
      <c r="GS229" s="22"/>
      <c r="GT229" s="22"/>
      <c r="GU229" s="22"/>
      <c r="GV229" s="22"/>
      <c r="GW229" s="22"/>
      <c r="GX229" s="22"/>
      <c r="GY229" s="22"/>
      <c r="GZ229" s="22"/>
      <c r="HA229" s="22"/>
      <c r="HB229" s="22"/>
      <c r="HC229" s="22"/>
    </row>
    <row r="230" spans="1:211" ht="15" customHeight="1" x14ac:dyDescent="0.2">
      <c r="A230" s="22"/>
      <c r="B230" s="14"/>
      <c r="C230" s="45"/>
      <c r="D230" s="46"/>
      <c r="E230" s="46"/>
      <c r="F230" s="120"/>
      <c r="G230" s="120"/>
      <c r="H230" s="47"/>
      <c r="I230" s="116"/>
      <c r="J230" s="45"/>
      <c r="K230" s="45"/>
      <c r="L230" s="73"/>
      <c r="M230" s="118"/>
      <c r="N230" s="119"/>
      <c r="O230" s="113"/>
      <c r="P230" s="115"/>
      <c r="Q230"/>
      <c r="R230"/>
      <c r="S230" s="114"/>
      <c r="T230" s="110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  <c r="BN230" s="22"/>
      <c r="BO230" s="22"/>
      <c r="BP230" s="22"/>
      <c r="BQ230" s="22"/>
      <c r="BR230" s="22"/>
      <c r="BS230" s="22"/>
      <c r="BT230" s="22"/>
      <c r="BU230" s="22"/>
      <c r="BV230" s="22"/>
      <c r="BW230" s="22"/>
      <c r="BX230" s="22"/>
      <c r="BY230" s="22"/>
      <c r="BZ230" s="22"/>
      <c r="CA230" s="22"/>
      <c r="CB230" s="22"/>
      <c r="CC230" s="22"/>
      <c r="CD230" s="22"/>
      <c r="CE230" s="22"/>
      <c r="CF230" s="22"/>
      <c r="CG230" s="22"/>
      <c r="CH230" s="22"/>
      <c r="CI230" s="22"/>
      <c r="CJ230" s="22"/>
      <c r="CK230" s="22"/>
      <c r="CL230" s="22"/>
      <c r="CM230" s="22"/>
      <c r="CN230" s="22"/>
      <c r="CO230" s="22"/>
      <c r="CP230" s="22"/>
      <c r="CQ230" s="22"/>
      <c r="CR230" s="22"/>
      <c r="CS230" s="22"/>
      <c r="CT230" s="22"/>
      <c r="CU230" s="22"/>
      <c r="CV230" s="22"/>
      <c r="CW230" s="22"/>
      <c r="CX230" s="22"/>
      <c r="CY230" s="22"/>
      <c r="CZ230" s="22"/>
      <c r="DA230" s="22"/>
      <c r="DB230" s="22"/>
      <c r="DC230" s="22"/>
      <c r="DD230" s="22"/>
      <c r="DE230" s="22"/>
      <c r="DF230" s="22"/>
      <c r="DG230" s="22"/>
      <c r="DH230" s="22"/>
      <c r="DI230" s="22"/>
      <c r="DJ230" s="22"/>
      <c r="DK230" s="22"/>
      <c r="DL230" s="22"/>
      <c r="DM230" s="22"/>
      <c r="DN230" s="22"/>
      <c r="DO230" s="22"/>
      <c r="DP230" s="22"/>
      <c r="DQ230" s="22"/>
      <c r="DR230" s="22"/>
      <c r="DS230" s="22"/>
      <c r="DT230" s="22"/>
      <c r="DU230" s="22"/>
      <c r="DV230" s="22"/>
      <c r="DW230" s="22"/>
      <c r="DX230" s="22"/>
      <c r="DY230" s="22"/>
      <c r="DZ230" s="22"/>
      <c r="EA230" s="22"/>
      <c r="EB230" s="22"/>
      <c r="EC230" s="22"/>
      <c r="ED230" s="22"/>
      <c r="EE230" s="22"/>
      <c r="EF230" s="22"/>
      <c r="EG230" s="22"/>
      <c r="EH230" s="22"/>
      <c r="EI230" s="22"/>
      <c r="EJ230" s="22"/>
      <c r="EK230" s="22"/>
      <c r="EL230" s="22"/>
      <c r="EM230" s="22"/>
      <c r="EN230" s="22"/>
      <c r="EO230" s="22"/>
      <c r="EP230" s="22"/>
      <c r="EQ230" s="22"/>
      <c r="ER230" s="22"/>
      <c r="ES230" s="22"/>
      <c r="ET230" s="22"/>
      <c r="EU230" s="22"/>
      <c r="EV230" s="22"/>
      <c r="EW230" s="22"/>
      <c r="EX230" s="22"/>
      <c r="EY230" s="22"/>
      <c r="EZ230" s="22"/>
      <c r="FA230" s="22"/>
      <c r="FB230" s="22"/>
      <c r="FC230" s="22"/>
      <c r="FD230" s="22"/>
      <c r="FE230" s="22"/>
      <c r="FF230" s="22"/>
      <c r="FG230" s="22"/>
      <c r="FH230" s="22"/>
      <c r="FI230" s="22"/>
      <c r="FJ230" s="22"/>
      <c r="FK230" s="22"/>
      <c r="FL230" s="22"/>
      <c r="FM230" s="22"/>
      <c r="FN230" s="22"/>
      <c r="FO230" s="22"/>
      <c r="FP230" s="22"/>
      <c r="FQ230" s="22"/>
      <c r="FR230" s="22"/>
      <c r="FS230" s="22"/>
      <c r="FT230" s="22"/>
      <c r="FU230" s="22"/>
      <c r="FV230" s="22"/>
      <c r="FW230" s="22"/>
      <c r="FX230" s="22"/>
      <c r="FY230" s="22"/>
      <c r="FZ230" s="22"/>
      <c r="GA230" s="22"/>
      <c r="GB230" s="22"/>
      <c r="GC230" s="22"/>
      <c r="GD230" s="22"/>
      <c r="GE230" s="22"/>
      <c r="GF230" s="22"/>
      <c r="GG230" s="22"/>
      <c r="GH230" s="22"/>
      <c r="GI230" s="22"/>
      <c r="GJ230" s="22"/>
      <c r="GK230" s="22"/>
      <c r="GL230" s="22"/>
      <c r="GM230" s="22"/>
      <c r="GN230" s="22"/>
      <c r="GO230" s="22"/>
      <c r="GP230" s="22"/>
      <c r="GQ230" s="22"/>
      <c r="GR230" s="22"/>
      <c r="GS230" s="22"/>
      <c r="GT230" s="22"/>
      <c r="GU230" s="22"/>
      <c r="GV230" s="22"/>
      <c r="GW230" s="22"/>
      <c r="GX230" s="22"/>
      <c r="GY230" s="22"/>
      <c r="GZ230" s="22"/>
      <c r="HA230" s="22"/>
      <c r="HB230" s="22"/>
      <c r="HC230" s="22"/>
    </row>
    <row r="231" spans="1:211" ht="15" customHeight="1" x14ac:dyDescent="0.2">
      <c r="A231" s="22"/>
      <c r="B231" s="14"/>
      <c r="C231" s="45"/>
      <c r="D231" s="46"/>
      <c r="E231" s="46"/>
      <c r="F231" s="120"/>
      <c r="G231" s="120"/>
      <c r="H231" s="47"/>
      <c r="I231" s="116"/>
      <c r="J231" s="45"/>
      <c r="K231" s="73"/>
      <c r="L231" s="73"/>
      <c r="M231" s="118"/>
      <c r="N231" s="119"/>
      <c r="O231" s="113"/>
      <c r="P231" s="115"/>
      <c r="Q231"/>
      <c r="R231"/>
      <c r="S231" s="114"/>
      <c r="T231" s="110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2"/>
      <c r="BH231" s="22"/>
      <c r="BI231" s="22"/>
      <c r="BJ231" s="22"/>
      <c r="BK231" s="22"/>
      <c r="BL231" s="22"/>
      <c r="BM231" s="22"/>
      <c r="BN231" s="22"/>
      <c r="BO231" s="22"/>
      <c r="BP231" s="22"/>
      <c r="BQ231" s="22"/>
      <c r="BR231" s="22"/>
      <c r="BS231" s="22"/>
      <c r="BT231" s="22"/>
      <c r="BU231" s="22"/>
      <c r="BV231" s="22"/>
      <c r="BW231" s="22"/>
      <c r="BX231" s="22"/>
      <c r="BY231" s="22"/>
      <c r="BZ231" s="22"/>
      <c r="CA231" s="22"/>
      <c r="CB231" s="22"/>
      <c r="CC231" s="22"/>
      <c r="CD231" s="22"/>
      <c r="CE231" s="22"/>
      <c r="CF231" s="22"/>
      <c r="CG231" s="22"/>
      <c r="CH231" s="22"/>
      <c r="CI231" s="22"/>
      <c r="CJ231" s="22"/>
      <c r="CK231" s="22"/>
      <c r="CL231" s="22"/>
      <c r="CM231" s="22"/>
      <c r="CN231" s="22"/>
      <c r="CO231" s="22"/>
      <c r="CP231" s="22"/>
      <c r="CQ231" s="22"/>
      <c r="CR231" s="22"/>
      <c r="CS231" s="22"/>
      <c r="CT231" s="22"/>
      <c r="CU231" s="22"/>
      <c r="CV231" s="22"/>
      <c r="CW231" s="22"/>
      <c r="CX231" s="22"/>
      <c r="CY231" s="22"/>
      <c r="CZ231" s="22"/>
      <c r="DA231" s="22"/>
      <c r="DB231" s="22"/>
      <c r="DC231" s="22"/>
      <c r="DD231" s="22"/>
      <c r="DE231" s="22"/>
      <c r="DF231" s="22"/>
      <c r="DG231" s="22"/>
      <c r="DH231" s="22"/>
      <c r="DI231" s="22"/>
      <c r="DJ231" s="22"/>
      <c r="DK231" s="22"/>
      <c r="DL231" s="22"/>
      <c r="DM231" s="22"/>
      <c r="DN231" s="22"/>
      <c r="DO231" s="22"/>
      <c r="DP231" s="22"/>
      <c r="DQ231" s="22"/>
      <c r="DR231" s="22"/>
      <c r="DS231" s="22"/>
      <c r="DT231" s="22"/>
      <c r="DU231" s="22"/>
      <c r="DV231" s="22"/>
      <c r="DW231" s="22"/>
      <c r="DX231" s="22"/>
      <c r="DY231" s="22"/>
      <c r="DZ231" s="22"/>
      <c r="EA231" s="22"/>
      <c r="EB231" s="22"/>
      <c r="EC231" s="22"/>
      <c r="ED231" s="22"/>
      <c r="EE231" s="22"/>
      <c r="EF231" s="22"/>
      <c r="EG231" s="22"/>
      <c r="EH231" s="22"/>
      <c r="EI231" s="22"/>
      <c r="EJ231" s="22"/>
      <c r="EK231" s="22"/>
      <c r="EL231" s="22"/>
      <c r="EM231" s="22"/>
      <c r="EN231" s="22"/>
      <c r="EO231" s="22"/>
      <c r="EP231" s="22"/>
      <c r="EQ231" s="22"/>
      <c r="ER231" s="22"/>
      <c r="ES231" s="22"/>
      <c r="ET231" s="22"/>
      <c r="EU231" s="22"/>
      <c r="EV231" s="22"/>
      <c r="EW231" s="22"/>
      <c r="EX231" s="22"/>
      <c r="EY231" s="22"/>
      <c r="EZ231" s="22"/>
      <c r="FA231" s="22"/>
      <c r="FB231" s="22"/>
      <c r="FC231" s="22"/>
      <c r="FD231" s="22"/>
      <c r="FE231" s="22"/>
      <c r="FF231" s="22"/>
      <c r="FG231" s="22"/>
      <c r="FH231" s="22"/>
      <c r="FI231" s="22"/>
      <c r="FJ231" s="22"/>
      <c r="FK231" s="22"/>
      <c r="FL231" s="22"/>
      <c r="FM231" s="22"/>
      <c r="FN231" s="22"/>
      <c r="FO231" s="22"/>
      <c r="FP231" s="22"/>
      <c r="FQ231" s="22"/>
      <c r="FR231" s="22"/>
      <c r="FS231" s="22"/>
      <c r="FT231" s="22"/>
      <c r="FU231" s="22"/>
      <c r="FV231" s="22"/>
      <c r="FW231" s="22"/>
      <c r="FX231" s="22"/>
      <c r="FY231" s="22"/>
      <c r="FZ231" s="22"/>
      <c r="GA231" s="22"/>
      <c r="GB231" s="22"/>
      <c r="GC231" s="22"/>
      <c r="GD231" s="22"/>
      <c r="GE231" s="22"/>
      <c r="GF231" s="22"/>
      <c r="GG231" s="22"/>
      <c r="GH231" s="22"/>
      <c r="GI231" s="22"/>
      <c r="GJ231" s="22"/>
      <c r="GK231" s="22"/>
      <c r="GL231" s="22"/>
      <c r="GM231" s="22"/>
      <c r="GN231" s="22"/>
      <c r="GO231" s="22"/>
      <c r="GP231" s="22"/>
      <c r="GQ231" s="22"/>
      <c r="GR231" s="22"/>
      <c r="GS231" s="22"/>
      <c r="GT231" s="22"/>
      <c r="GU231" s="22"/>
      <c r="GV231" s="22"/>
      <c r="GW231" s="22"/>
      <c r="GX231" s="22"/>
      <c r="GY231" s="22"/>
      <c r="GZ231" s="22"/>
      <c r="HA231" s="22"/>
      <c r="HB231" s="22"/>
      <c r="HC231" s="22"/>
    </row>
    <row r="232" spans="1:211" ht="15" customHeight="1" x14ac:dyDescent="0.2">
      <c r="A232" s="22"/>
      <c r="B232" s="14"/>
      <c r="C232" s="45"/>
      <c r="D232" s="46"/>
      <c r="E232" s="46"/>
      <c r="F232" s="120"/>
      <c r="G232" s="120"/>
      <c r="H232" s="47"/>
      <c r="I232" s="116"/>
      <c r="J232" s="45"/>
      <c r="K232" s="73"/>
      <c r="L232" s="73"/>
      <c r="M232" s="118"/>
      <c r="N232" s="119"/>
      <c r="O232" s="113"/>
      <c r="P232" s="115"/>
      <c r="Q232"/>
      <c r="R232"/>
      <c r="S232" s="114"/>
      <c r="T232" s="110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22"/>
      <c r="BA232" s="22"/>
      <c r="BB232" s="22"/>
      <c r="BC232" s="22"/>
      <c r="BD232" s="22"/>
      <c r="BE232" s="22"/>
      <c r="BF232" s="22"/>
      <c r="BG232" s="22"/>
      <c r="BH232" s="22"/>
      <c r="BI232" s="22"/>
      <c r="BJ232" s="22"/>
      <c r="BK232" s="22"/>
      <c r="BL232" s="22"/>
      <c r="BM232" s="22"/>
      <c r="BN232" s="22"/>
      <c r="BO232" s="22"/>
      <c r="BP232" s="22"/>
      <c r="BQ232" s="22"/>
      <c r="BR232" s="22"/>
      <c r="BS232" s="22"/>
      <c r="BT232" s="22"/>
      <c r="BU232" s="22"/>
      <c r="BV232" s="22"/>
      <c r="BW232" s="22"/>
      <c r="BX232" s="22"/>
      <c r="BY232" s="22"/>
      <c r="BZ232" s="22"/>
      <c r="CA232" s="22"/>
      <c r="CB232" s="22"/>
      <c r="CC232" s="22"/>
      <c r="CD232" s="22"/>
      <c r="CE232" s="22"/>
      <c r="CF232" s="22"/>
      <c r="CG232" s="22"/>
      <c r="CH232" s="22"/>
      <c r="CI232" s="22"/>
      <c r="CJ232" s="22"/>
      <c r="CK232" s="22"/>
      <c r="CL232" s="22"/>
      <c r="CM232" s="22"/>
      <c r="CN232" s="22"/>
      <c r="CO232" s="22"/>
      <c r="CP232" s="22"/>
      <c r="CQ232" s="22"/>
      <c r="CR232" s="22"/>
      <c r="CS232" s="22"/>
      <c r="CT232" s="22"/>
      <c r="CU232" s="22"/>
      <c r="CV232" s="22"/>
      <c r="CW232" s="22"/>
      <c r="CX232" s="22"/>
      <c r="CY232" s="22"/>
      <c r="CZ232" s="22"/>
      <c r="DA232" s="22"/>
      <c r="DB232" s="22"/>
      <c r="DC232" s="22"/>
      <c r="DD232" s="22"/>
      <c r="DE232" s="22"/>
      <c r="DF232" s="22"/>
      <c r="DG232" s="22"/>
      <c r="DH232" s="22"/>
      <c r="DI232" s="22"/>
      <c r="DJ232" s="22"/>
      <c r="DK232" s="22"/>
      <c r="DL232" s="22"/>
      <c r="DM232" s="22"/>
      <c r="DN232" s="22"/>
      <c r="DO232" s="22"/>
      <c r="DP232" s="22"/>
      <c r="DQ232" s="22"/>
      <c r="DR232" s="22"/>
      <c r="DS232" s="22"/>
      <c r="DT232" s="22"/>
      <c r="DU232" s="22"/>
      <c r="DV232" s="22"/>
      <c r="DW232" s="22"/>
      <c r="DX232" s="22"/>
      <c r="DY232" s="22"/>
      <c r="DZ232" s="22"/>
      <c r="EA232" s="22"/>
      <c r="EB232" s="22"/>
      <c r="EC232" s="22"/>
      <c r="ED232" s="22"/>
      <c r="EE232" s="22"/>
      <c r="EF232" s="22"/>
      <c r="EG232" s="22"/>
      <c r="EH232" s="22"/>
      <c r="EI232" s="22"/>
      <c r="EJ232" s="22"/>
      <c r="EK232" s="22"/>
      <c r="EL232" s="22"/>
      <c r="EM232" s="22"/>
      <c r="EN232" s="22"/>
      <c r="EO232" s="22"/>
      <c r="EP232" s="22"/>
      <c r="EQ232" s="22"/>
      <c r="ER232" s="22"/>
      <c r="ES232" s="22"/>
      <c r="ET232" s="22"/>
      <c r="EU232" s="22"/>
      <c r="EV232" s="22"/>
      <c r="EW232" s="22"/>
      <c r="EX232" s="22"/>
      <c r="EY232" s="22"/>
      <c r="EZ232" s="22"/>
      <c r="FA232" s="22"/>
      <c r="FB232" s="22"/>
      <c r="FC232" s="22"/>
      <c r="FD232" s="22"/>
      <c r="FE232" s="22"/>
      <c r="FF232" s="22"/>
      <c r="FG232" s="22"/>
      <c r="FH232" s="22"/>
      <c r="FI232" s="22"/>
      <c r="FJ232" s="22"/>
      <c r="FK232" s="22"/>
      <c r="FL232" s="22"/>
      <c r="FM232" s="22"/>
      <c r="FN232" s="22"/>
      <c r="FO232" s="22"/>
      <c r="FP232" s="22"/>
      <c r="FQ232" s="22"/>
      <c r="FR232" s="22"/>
      <c r="FS232" s="22"/>
      <c r="FT232" s="22"/>
      <c r="FU232" s="22"/>
      <c r="FV232" s="22"/>
      <c r="FW232" s="22"/>
      <c r="FX232" s="22"/>
      <c r="FY232" s="22"/>
      <c r="FZ232" s="22"/>
      <c r="GA232" s="22"/>
      <c r="GB232" s="22"/>
      <c r="GC232" s="22"/>
      <c r="GD232" s="22"/>
      <c r="GE232" s="22"/>
      <c r="GF232" s="22"/>
      <c r="GG232" s="22"/>
      <c r="GH232" s="22"/>
      <c r="GI232" s="22"/>
      <c r="GJ232" s="22"/>
      <c r="GK232" s="22"/>
      <c r="GL232" s="22"/>
      <c r="GM232" s="22"/>
      <c r="GN232" s="22"/>
      <c r="GO232" s="22"/>
      <c r="GP232" s="22"/>
      <c r="GQ232" s="22"/>
      <c r="GR232" s="22"/>
      <c r="GS232" s="22"/>
      <c r="GT232" s="22"/>
      <c r="GU232" s="22"/>
      <c r="GV232" s="22"/>
      <c r="GW232" s="22"/>
      <c r="GX232" s="22"/>
      <c r="GY232" s="22"/>
      <c r="GZ232" s="22"/>
      <c r="HA232" s="22"/>
      <c r="HB232" s="22"/>
      <c r="HC232" s="22"/>
    </row>
    <row r="233" spans="1:211" ht="15" customHeight="1" x14ac:dyDescent="0.2">
      <c r="A233" s="22"/>
      <c r="B233" s="14"/>
      <c r="C233" s="45"/>
      <c r="D233" s="46"/>
      <c r="E233" s="46"/>
      <c r="F233" s="120"/>
      <c r="G233" s="120"/>
      <c r="H233" s="47"/>
      <c r="I233" s="116"/>
      <c r="J233" s="45"/>
      <c r="K233" s="73"/>
      <c r="L233" s="73"/>
      <c r="M233" s="118"/>
      <c r="N233" s="119"/>
      <c r="O233" s="113"/>
      <c r="P233" s="115"/>
      <c r="Q233"/>
      <c r="R233"/>
      <c r="S233" s="114"/>
      <c r="T233" s="110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2"/>
      <c r="BH233" s="22"/>
      <c r="BI233" s="22"/>
      <c r="BJ233" s="22"/>
      <c r="BK233" s="22"/>
      <c r="BL233" s="22"/>
      <c r="BM233" s="22"/>
      <c r="BN233" s="22"/>
      <c r="BO233" s="22"/>
      <c r="BP233" s="22"/>
      <c r="BQ233" s="22"/>
      <c r="BR233" s="22"/>
      <c r="BS233" s="22"/>
      <c r="BT233" s="22"/>
      <c r="BU233" s="22"/>
      <c r="BV233" s="22"/>
      <c r="BW233" s="22"/>
      <c r="BX233" s="22"/>
      <c r="BY233" s="22"/>
      <c r="BZ233" s="22"/>
      <c r="CA233" s="22"/>
      <c r="CB233" s="22"/>
      <c r="CC233" s="22"/>
      <c r="CD233" s="22"/>
      <c r="CE233" s="22"/>
      <c r="CF233" s="22"/>
      <c r="CG233" s="22"/>
      <c r="CH233" s="22"/>
      <c r="CI233" s="22"/>
      <c r="CJ233" s="22"/>
      <c r="CK233" s="22"/>
      <c r="CL233" s="22"/>
      <c r="CM233" s="22"/>
      <c r="CN233" s="22"/>
      <c r="CO233" s="22"/>
      <c r="CP233" s="22"/>
      <c r="CQ233" s="22"/>
      <c r="CR233" s="22"/>
      <c r="CS233" s="22"/>
      <c r="CT233" s="22"/>
      <c r="CU233" s="22"/>
      <c r="CV233" s="22"/>
      <c r="CW233" s="22"/>
      <c r="CX233" s="22"/>
      <c r="CY233" s="22"/>
      <c r="CZ233" s="22"/>
      <c r="DA233" s="22"/>
      <c r="DB233" s="22"/>
      <c r="DC233" s="22"/>
      <c r="DD233" s="22"/>
      <c r="DE233" s="22"/>
      <c r="DF233" s="22"/>
      <c r="DG233" s="22"/>
      <c r="DH233" s="22"/>
      <c r="DI233" s="22"/>
      <c r="DJ233" s="22"/>
      <c r="DK233" s="22"/>
      <c r="DL233" s="22"/>
      <c r="DM233" s="22"/>
      <c r="DN233" s="22"/>
      <c r="DO233" s="22"/>
      <c r="DP233" s="22"/>
      <c r="DQ233" s="22"/>
      <c r="DR233" s="22"/>
      <c r="DS233" s="22"/>
      <c r="DT233" s="22"/>
      <c r="DU233" s="22"/>
      <c r="DV233" s="22"/>
      <c r="DW233" s="22"/>
      <c r="DX233" s="22"/>
      <c r="DY233" s="22"/>
      <c r="DZ233" s="22"/>
      <c r="EA233" s="22"/>
      <c r="EB233" s="22"/>
      <c r="EC233" s="22"/>
      <c r="ED233" s="22"/>
      <c r="EE233" s="22"/>
      <c r="EF233" s="22"/>
      <c r="EG233" s="22"/>
      <c r="EH233" s="22"/>
      <c r="EI233" s="22"/>
      <c r="EJ233" s="22"/>
      <c r="EK233" s="22"/>
      <c r="EL233" s="22"/>
      <c r="EM233" s="22"/>
      <c r="EN233" s="22"/>
      <c r="EO233" s="22"/>
      <c r="EP233" s="22"/>
      <c r="EQ233" s="22"/>
      <c r="ER233" s="22"/>
      <c r="ES233" s="22"/>
      <c r="ET233" s="22"/>
      <c r="EU233" s="22"/>
      <c r="EV233" s="22"/>
      <c r="EW233" s="22"/>
      <c r="EX233" s="22"/>
      <c r="EY233" s="22"/>
      <c r="EZ233" s="22"/>
      <c r="FA233" s="22"/>
      <c r="FB233" s="22"/>
      <c r="FC233" s="22"/>
      <c r="FD233" s="22"/>
      <c r="FE233" s="22"/>
      <c r="FF233" s="22"/>
      <c r="FG233" s="22"/>
      <c r="FH233" s="22"/>
      <c r="FI233" s="22"/>
      <c r="FJ233" s="22"/>
      <c r="FK233" s="22"/>
      <c r="FL233" s="22"/>
      <c r="FM233" s="22"/>
      <c r="FN233" s="22"/>
      <c r="FO233" s="22"/>
      <c r="FP233" s="22"/>
      <c r="FQ233" s="22"/>
      <c r="FR233" s="22"/>
      <c r="FS233" s="22"/>
      <c r="FT233" s="22"/>
      <c r="FU233" s="22"/>
      <c r="FV233" s="22"/>
      <c r="FW233" s="22"/>
      <c r="FX233" s="22"/>
      <c r="FY233" s="22"/>
      <c r="FZ233" s="22"/>
      <c r="GA233" s="22"/>
      <c r="GB233" s="22"/>
      <c r="GC233" s="22"/>
      <c r="GD233" s="22"/>
      <c r="GE233" s="22"/>
      <c r="GF233" s="22"/>
      <c r="GG233" s="22"/>
      <c r="GH233" s="22"/>
      <c r="GI233" s="22"/>
      <c r="GJ233" s="22"/>
      <c r="GK233" s="22"/>
      <c r="GL233" s="22"/>
      <c r="GM233" s="22"/>
      <c r="GN233" s="22"/>
      <c r="GO233" s="22"/>
      <c r="GP233" s="22"/>
      <c r="GQ233" s="22"/>
      <c r="GR233" s="22"/>
      <c r="GS233" s="22"/>
      <c r="GT233" s="22"/>
      <c r="GU233" s="22"/>
      <c r="GV233" s="22"/>
      <c r="GW233" s="22"/>
      <c r="GX233" s="22"/>
      <c r="GY233" s="22"/>
      <c r="GZ233" s="22"/>
      <c r="HA233" s="22"/>
      <c r="HB233" s="22"/>
      <c r="HC233" s="22"/>
    </row>
    <row r="234" spans="1:211" ht="15" customHeight="1" x14ac:dyDescent="0.2">
      <c r="A234" s="22"/>
      <c r="B234" s="14"/>
      <c r="C234" s="45"/>
      <c r="D234" s="46"/>
      <c r="E234" s="46"/>
      <c r="F234" s="120"/>
      <c r="G234" s="120"/>
      <c r="H234" s="47"/>
      <c r="I234" s="116"/>
      <c r="J234" s="45"/>
      <c r="K234" s="73"/>
      <c r="L234" s="73"/>
      <c r="M234" s="118"/>
      <c r="N234" s="119"/>
      <c r="O234" s="113"/>
      <c r="P234" s="115"/>
      <c r="Q234"/>
      <c r="R234"/>
      <c r="S234" s="114"/>
      <c r="T234" s="110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22"/>
      <c r="BA234" s="22"/>
      <c r="BB234" s="22"/>
      <c r="BC234" s="22"/>
      <c r="BD234" s="22"/>
      <c r="BE234" s="22"/>
      <c r="BF234" s="22"/>
      <c r="BG234" s="22"/>
      <c r="BH234" s="22"/>
      <c r="BI234" s="22"/>
      <c r="BJ234" s="22"/>
      <c r="BK234" s="22"/>
      <c r="BL234" s="22"/>
      <c r="BM234" s="22"/>
      <c r="BN234" s="22"/>
      <c r="BO234" s="22"/>
      <c r="BP234" s="22"/>
      <c r="BQ234" s="22"/>
      <c r="BR234" s="22"/>
      <c r="BS234" s="22"/>
      <c r="BT234" s="22"/>
      <c r="BU234" s="22"/>
      <c r="BV234" s="22"/>
      <c r="BW234" s="22"/>
      <c r="BX234" s="22"/>
      <c r="BY234" s="22"/>
      <c r="BZ234" s="22"/>
      <c r="CA234" s="22"/>
      <c r="CB234" s="22"/>
      <c r="CC234" s="22"/>
      <c r="CD234" s="22"/>
      <c r="CE234" s="22"/>
      <c r="CF234" s="22"/>
      <c r="CG234" s="22"/>
      <c r="CH234" s="22"/>
      <c r="CI234" s="22"/>
      <c r="CJ234" s="22"/>
      <c r="CK234" s="22"/>
      <c r="CL234" s="22"/>
      <c r="CM234" s="22"/>
      <c r="CN234" s="22"/>
      <c r="CO234" s="22"/>
      <c r="CP234" s="22"/>
      <c r="CQ234" s="22"/>
      <c r="CR234" s="22"/>
      <c r="CS234" s="22"/>
      <c r="CT234" s="22"/>
      <c r="CU234" s="22"/>
      <c r="CV234" s="22"/>
      <c r="CW234" s="22"/>
      <c r="CX234" s="22"/>
      <c r="CY234" s="22"/>
      <c r="CZ234" s="22"/>
      <c r="DA234" s="22"/>
      <c r="DB234" s="22"/>
      <c r="DC234" s="22"/>
      <c r="DD234" s="22"/>
      <c r="DE234" s="22"/>
      <c r="DF234" s="22"/>
      <c r="DG234" s="22"/>
      <c r="DH234" s="22"/>
      <c r="DI234" s="22"/>
      <c r="DJ234" s="22"/>
      <c r="DK234" s="22"/>
      <c r="DL234" s="22"/>
      <c r="DM234" s="22"/>
      <c r="DN234" s="22"/>
      <c r="DO234" s="22"/>
      <c r="DP234" s="22"/>
      <c r="DQ234" s="22"/>
      <c r="DR234" s="22"/>
      <c r="DS234" s="22"/>
      <c r="DT234" s="22"/>
      <c r="DU234" s="22"/>
      <c r="DV234" s="22"/>
      <c r="DW234" s="22"/>
      <c r="DX234" s="22"/>
      <c r="DY234" s="22"/>
      <c r="DZ234" s="22"/>
      <c r="EA234" s="22"/>
      <c r="EB234" s="22"/>
      <c r="EC234" s="22"/>
      <c r="ED234" s="22"/>
      <c r="EE234" s="22"/>
      <c r="EF234" s="22"/>
      <c r="EG234" s="22"/>
      <c r="EH234" s="22"/>
      <c r="EI234" s="22"/>
      <c r="EJ234" s="22"/>
      <c r="EK234" s="22"/>
      <c r="EL234" s="22"/>
      <c r="EM234" s="22"/>
      <c r="EN234" s="22"/>
      <c r="EO234" s="22"/>
      <c r="EP234" s="22"/>
      <c r="EQ234" s="22"/>
      <c r="ER234" s="22"/>
      <c r="ES234" s="22"/>
      <c r="ET234" s="22"/>
      <c r="EU234" s="22"/>
      <c r="EV234" s="22"/>
      <c r="EW234" s="22"/>
      <c r="EX234" s="22"/>
      <c r="EY234" s="22"/>
      <c r="EZ234" s="22"/>
      <c r="FA234" s="22"/>
      <c r="FB234" s="22"/>
      <c r="FC234" s="22"/>
      <c r="FD234" s="22"/>
      <c r="FE234" s="22"/>
      <c r="FF234" s="22"/>
      <c r="FG234" s="22"/>
      <c r="FH234" s="22"/>
      <c r="FI234" s="22"/>
      <c r="FJ234" s="22"/>
      <c r="FK234" s="22"/>
      <c r="FL234" s="22"/>
      <c r="FM234" s="22"/>
      <c r="FN234" s="22"/>
      <c r="FO234" s="22"/>
      <c r="FP234" s="22"/>
      <c r="FQ234" s="22"/>
      <c r="FR234" s="22"/>
      <c r="FS234" s="22"/>
      <c r="FT234" s="22"/>
      <c r="FU234" s="22"/>
      <c r="FV234" s="22"/>
      <c r="FW234" s="22"/>
      <c r="FX234" s="22"/>
      <c r="FY234" s="22"/>
      <c r="FZ234" s="22"/>
      <c r="GA234" s="22"/>
      <c r="GB234" s="22"/>
      <c r="GC234" s="22"/>
      <c r="GD234" s="22"/>
      <c r="GE234" s="22"/>
      <c r="GF234" s="22"/>
      <c r="GG234" s="22"/>
      <c r="GH234" s="22"/>
      <c r="GI234" s="22"/>
      <c r="GJ234" s="22"/>
      <c r="GK234" s="22"/>
      <c r="GL234" s="22"/>
      <c r="GM234" s="22"/>
      <c r="GN234" s="22"/>
      <c r="GO234" s="22"/>
      <c r="GP234" s="22"/>
      <c r="GQ234" s="22"/>
      <c r="GR234" s="22"/>
      <c r="GS234" s="22"/>
      <c r="GT234" s="22"/>
      <c r="GU234" s="22"/>
      <c r="GV234" s="22"/>
      <c r="GW234" s="22"/>
      <c r="GX234" s="22"/>
      <c r="GY234" s="22"/>
      <c r="GZ234" s="22"/>
      <c r="HA234" s="22"/>
      <c r="HB234" s="22"/>
      <c r="HC234" s="22"/>
    </row>
    <row r="235" spans="1:211" ht="15" customHeight="1" x14ac:dyDescent="0.2">
      <c r="A235" s="22"/>
      <c r="B235" s="14"/>
      <c r="C235" s="45"/>
      <c r="D235" s="46"/>
      <c r="E235" s="46"/>
      <c r="F235" s="120"/>
      <c r="G235" s="120"/>
      <c r="H235" s="47"/>
      <c r="I235" s="116"/>
      <c r="J235" s="45"/>
      <c r="K235" s="73"/>
      <c r="L235" s="73"/>
      <c r="M235" s="118"/>
      <c r="N235" s="119"/>
      <c r="O235" s="113"/>
      <c r="P235" s="115"/>
      <c r="Q235"/>
      <c r="R235"/>
      <c r="S235" s="114"/>
      <c r="T235" s="110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2"/>
      <c r="BH235" s="22"/>
      <c r="BI235" s="22"/>
      <c r="BJ235" s="22"/>
      <c r="BK235" s="22"/>
      <c r="BL235" s="22"/>
      <c r="BM235" s="22"/>
      <c r="BN235" s="22"/>
      <c r="BO235" s="22"/>
      <c r="BP235" s="22"/>
      <c r="BQ235" s="22"/>
      <c r="BR235" s="22"/>
      <c r="BS235" s="22"/>
      <c r="BT235" s="22"/>
      <c r="BU235" s="22"/>
      <c r="BV235" s="22"/>
      <c r="BW235" s="22"/>
      <c r="BX235" s="22"/>
      <c r="BY235" s="22"/>
      <c r="BZ235" s="22"/>
      <c r="CA235" s="22"/>
      <c r="CB235" s="22"/>
      <c r="CC235" s="22"/>
      <c r="CD235" s="22"/>
      <c r="CE235" s="22"/>
      <c r="CF235" s="22"/>
      <c r="CG235" s="22"/>
      <c r="CH235" s="22"/>
      <c r="CI235" s="22"/>
      <c r="CJ235" s="22"/>
      <c r="CK235" s="22"/>
      <c r="CL235" s="22"/>
      <c r="CM235" s="22"/>
      <c r="CN235" s="22"/>
      <c r="CO235" s="22"/>
      <c r="CP235" s="22"/>
      <c r="CQ235" s="22"/>
      <c r="CR235" s="22"/>
      <c r="CS235" s="22"/>
      <c r="CT235" s="22"/>
      <c r="CU235" s="22"/>
      <c r="CV235" s="22"/>
      <c r="CW235" s="22"/>
      <c r="CX235" s="22"/>
      <c r="CY235" s="22"/>
      <c r="CZ235" s="22"/>
      <c r="DA235" s="22"/>
      <c r="DB235" s="22"/>
      <c r="DC235" s="22"/>
      <c r="DD235" s="22"/>
      <c r="DE235" s="22"/>
      <c r="DF235" s="22"/>
      <c r="DG235" s="22"/>
      <c r="DH235" s="22"/>
      <c r="DI235" s="22"/>
      <c r="DJ235" s="22"/>
      <c r="DK235" s="22"/>
      <c r="DL235" s="22"/>
      <c r="DM235" s="22"/>
      <c r="DN235" s="22"/>
      <c r="DO235" s="22"/>
      <c r="DP235" s="22"/>
      <c r="DQ235" s="22"/>
      <c r="DR235" s="22"/>
      <c r="DS235" s="22"/>
      <c r="DT235" s="22"/>
      <c r="DU235" s="22"/>
      <c r="DV235" s="22"/>
      <c r="DW235" s="22"/>
      <c r="DX235" s="22"/>
      <c r="DY235" s="22"/>
      <c r="DZ235" s="22"/>
      <c r="EA235" s="22"/>
      <c r="EB235" s="22"/>
      <c r="EC235" s="22"/>
      <c r="ED235" s="22"/>
      <c r="EE235" s="22"/>
      <c r="EF235" s="22"/>
      <c r="EG235" s="22"/>
      <c r="EH235" s="22"/>
      <c r="EI235" s="22"/>
      <c r="EJ235" s="22"/>
      <c r="EK235" s="22"/>
      <c r="EL235" s="22"/>
      <c r="EM235" s="22"/>
      <c r="EN235" s="22"/>
      <c r="EO235" s="22"/>
      <c r="EP235" s="22"/>
      <c r="EQ235" s="22"/>
      <c r="ER235" s="22"/>
      <c r="ES235" s="22"/>
      <c r="ET235" s="22"/>
      <c r="EU235" s="22"/>
      <c r="EV235" s="22"/>
      <c r="EW235" s="22"/>
      <c r="EX235" s="22"/>
      <c r="EY235" s="22"/>
      <c r="EZ235" s="22"/>
      <c r="FA235" s="22"/>
      <c r="FB235" s="22"/>
      <c r="FC235" s="22"/>
      <c r="FD235" s="22"/>
      <c r="FE235" s="22"/>
      <c r="FF235" s="22"/>
      <c r="FG235" s="22"/>
      <c r="FH235" s="22"/>
      <c r="FI235" s="22"/>
      <c r="FJ235" s="22"/>
      <c r="FK235" s="22"/>
      <c r="FL235" s="22"/>
      <c r="FM235" s="22"/>
      <c r="FN235" s="22"/>
      <c r="FO235" s="22"/>
      <c r="FP235" s="22"/>
      <c r="FQ235" s="22"/>
      <c r="FR235" s="22"/>
      <c r="FS235" s="22"/>
      <c r="FT235" s="22"/>
      <c r="FU235" s="22"/>
      <c r="FV235" s="22"/>
      <c r="FW235" s="22"/>
      <c r="FX235" s="22"/>
      <c r="FY235" s="22"/>
      <c r="FZ235" s="22"/>
      <c r="GA235" s="22"/>
      <c r="GB235" s="22"/>
      <c r="GC235" s="22"/>
      <c r="GD235" s="22"/>
      <c r="GE235" s="22"/>
      <c r="GF235" s="22"/>
      <c r="GG235" s="22"/>
      <c r="GH235" s="22"/>
      <c r="GI235" s="22"/>
      <c r="GJ235" s="22"/>
      <c r="GK235" s="22"/>
      <c r="GL235" s="22"/>
      <c r="GM235" s="22"/>
      <c r="GN235" s="22"/>
      <c r="GO235" s="22"/>
      <c r="GP235" s="22"/>
      <c r="GQ235" s="22"/>
      <c r="GR235" s="22"/>
      <c r="GS235" s="22"/>
      <c r="GT235" s="22"/>
      <c r="GU235" s="22"/>
      <c r="GV235" s="22"/>
      <c r="GW235" s="22"/>
      <c r="GX235" s="22"/>
      <c r="GY235" s="22"/>
      <c r="GZ235" s="22"/>
      <c r="HA235" s="22"/>
      <c r="HB235" s="22"/>
      <c r="HC235" s="22"/>
    </row>
    <row r="236" spans="1:211" ht="15" customHeight="1" x14ac:dyDescent="0.2">
      <c r="A236" s="22"/>
      <c r="B236" s="14"/>
      <c r="C236" s="45"/>
      <c r="D236" s="46"/>
      <c r="E236" s="46"/>
      <c r="F236" s="120"/>
      <c r="G236" s="120"/>
      <c r="H236" s="47"/>
      <c r="I236" s="116"/>
      <c r="J236" s="45"/>
      <c r="K236" s="45"/>
      <c r="L236" s="73"/>
      <c r="M236" s="118"/>
      <c r="N236" s="119"/>
      <c r="O236" s="113"/>
      <c r="P236" s="115"/>
      <c r="Q236"/>
      <c r="R236"/>
      <c r="S236" s="114"/>
      <c r="T236" s="110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22"/>
      <c r="BA236" s="22"/>
      <c r="BB236" s="22"/>
      <c r="BC236" s="22"/>
      <c r="BD236" s="22"/>
      <c r="BE236" s="22"/>
      <c r="BF236" s="22"/>
      <c r="BG236" s="22"/>
      <c r="BH236" s="22"/>
      <c r="BI236" s="22"/>
      <c r="BJ236" s="22"/>
      <c r="BK236" s="22"/>
      <c r="BL236" s="22"/>
      <c r="BM236" s="22"/>
      <c r="BN236" s="22"/>
      <c r="BO236" s="22"/>
      <c r="BP236" s="22"/>
      <c r="BQ236" s="22"/>
      <c r="BR236" s="22"/>
      <c r="BS236" s="22"/>
      <c r="BT236" s="22"/>
      <c r="BU236" s="22"/>
      <c r="BV236" s="22"/>
      <c r="BW236" s="22"/>
      <c r="BX236" s="22"/>
      <c r="BY236" s="22"/>
      <c r="BZ236" s="22"/>
      <c r="CA236" s="22"/>
      <c r="CB236" s="22"/>
      <c r="CC236" s="22"/>
      <c r="CD236" s="22"/>
      <c r="CE236" s="22"/>
      <c r="CF236" s="22"/>
      <c r="CG236" s="22"/>
      <c r="CH236" s="22"/>
      <c r="CI236" s="22"/>
      <c r="CJ236" s="22"/>
      <c r="CK236" s="22"/>
      <c r="CL236" s="22"/>
      <c r="CM236" s="22"/>
      <c r="CN236" s="22"/>
      <c r="CO236" s="22"/>
      <c r="CP236" s="22"/>
      <c r="CQ236" s="22"/>
      <c r="CR236" s="22"/>
      <c r="CS236" s="22"/>
      <c r="CT236" s="22"/>
      <c r="CU236" s="22"/>
      <c r="CV236" s="22"/>
      <c r="CW236" s="22"/>
      <c r="CX236" s="22"/>
      <c r="CY236" s="22"/>
      <c r="CZ236" s="22"/>
      <c r="DA236" s="22"/>
      <c r="DB236" s="22"/>
      <c r="DC236" s="22"/>
      <c r="DD236" s="22"/>
      <c r="DE236" s="22"/>
      <c r="DF236" s="22"/>
      <c r="DG236" s="22"/>
      <c r="DH236" s="22"/>
      <c r="DI236" s="22"/>
      <c r="DJ236" s="22"/>
      <c r="DK236" s="22"/>
      <c r="DL236" s="22"/>
      <c r="DM236" s="22"/>
      <c r="DN236" s="22"/>
      <c r="DO236" s="22"/>
      <c r="DP236" s="22"/>
      <c r="DQ236" s="22"/>
      <c r="DR236" s="22"/>
      <c r="DS236" s="22"/>
      <c r="DT236" s="22"/>
      <c r="DU236" s="22"/>
      <c r="DV236" s="22"/>
      <c r="DW236" s="22"/>
      <c r="DX236" s="22"/>
      <c r="DY236" s="22"/>
      <c r="DZ236" s="22"/>
      <c r="EA236" s="22"/>
      <c r="EB236" s="22"/>
      <c r="EC236" s="22"/>
      <c r="ED236" s="22"/>
      <c r="EE236" s="22"/>
      <c r="EF236" s="22"/>
      <c r="EG236" s="22"/>
      <c r="EH236" s="22"/>
      <c r="EI236" s="22"/>
      <c r="EJ236" s="22"/>
      <c r="EK236" s="22"/>
      <c r="EL236" s="22"/>
      <c r="EM236" s="22"/>
      <c r="EN236" s="22"/>
      <c r="EO236" s="22"/>
      <c r="EP236" s="22"/>
      <c r="EQ236" s="22"/>
      <c r="ER236" s="22"/>
      <c r="ES236" s="22"/>
      <c r="ET236" s="22"/>
      <c r="EU236" s="22"/>
      <c r="EV236" s="22"/>
      <c r="EW236" s="22"/>
      <c r="EX236" s="22"/>
      <c r="EY236" s="22"/>
      <c r="EZ236" s="22"/>
      <c r="FA236" s="22"/>
      <c r="FB236" s="22"/>
      <c r="FC236" s="22"/>
      <c r="FD236" s="22"/>
      <c r="FE236" s="22"/>
      <c r="FF236" s="22"/>
      <c r="FG236" s="22"/>
      <c r="FH236" s="22"/>
      <c r="FI236" s="22"/>
      <c r="FJ236" s="22"/>
      <c r="FK236" s="22"/>
      <c r="FL236" s="22"/>
      <c r="FM236" s="22"/>
      <c r="FN236" s="22"/>
      <c r="FO236" s="22"/>
      <c r="FP236" s="22"/>
      <c r="FQ236" s="22"/>
      <c r="FR236" s="22"/>
      <c r="FS236" s="22"/>
      <c r="FT236" s="22"/>
      <c r="FU236" s="22"/>
      <c r="FV236" s="22"/>
      <c r="FW236" s="22"/>
      <c r="FX236" s="22"/>
      <c r="FY236" s="22"/>
      <c r="FZ236" s="22"/>
      <c r="GA236" s="22"/>
      <c r="GB236" s="22"/>
      <c r="GC236" s="22"/>
      <c r="GD236" s="22"/>
      <c r="GE236" s="22"/>
      <c r="GF236" s="22"/>
      <c r="GG236" s="22"/>
      <c r="GH236" s="22"/>
      <c r="GI236" s="22"/>
      <c r="GJ236" s="22"/>
      <c r="GK236" s="22"/>
      <c r="GL236" s="22"/>
      <c r="GM236" s="22"/>
      <c r="GN236" s="22"/>
      <c r="GO236" s="22"/>
      <c r="GP236" s="22"/>
      <c r="GQ236" s="22"/>
      <c r="GR236" s="22"/>
      <c r="GS236" s="22"/>
      <c r="GT236" s="22"/>
      <c r="GU236" s="22"/>
      <c r="GV236" s="22"/>
      <c r="GW236" s="22"/>
      <c r="GX236" s="22"/>
      <c r="GY236" s="22"/>
      <c r="GZ236" s="22"/>
      <c r="HA236" s="22"/>
      <c r="HB236" s="22"/>
      <c r="HC236" s="22"/>
    </row>
    <row r="237" spans="1:211" ht="15" customHeight="1" x14ac:dyDescent="0.2">
      <c r="A237" s="22"/>
      <c r="B237" s="14"/>
      <c r="C237" s="45"/>
      <c r="D237" s="46"/>
      <c r="E237" s="46"/>
      <c r="F237" s="120"/>
      <c r="G237" s="120"/>
      <c r="H237" s="47"/>
      <c r="I237" s="116"/>
      <c r="J237" s="45"/>
      <c r="K237" s="45"/>
      <c r="L237" s="73"/>
      <c r="M237" s="118"/>
      <c r="N237" s="119"/>
      <c r="O237" s="113"/>
      <c r="P237" s="115"/>
      <c r="Q237"/>
      <c r="R237"/>
      <c r="S237" s="114"/>
      <c r="T237" s="110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2"/>
      <c r="BH237" s="22"/>
      <c r="BI237" s="22"/>
      <c r="BJ237" s="22"/>
      <c r="BK237" s="22"/>
      <c r="BL237" s="22"/>
      <c r="BM237" s="22"/>
      <c r="BN237" s="22"/>
      <c r="BO237" s="22"/>
      <c r="BP237" s="22"/>
      <c r="BQ237" s="22"/>
      <c r="BR237" s="22"/>
      <c r="BS237" s="22"/>
      <c r="BT237" s="22"/>
      <c r="BU237" s="22"/>
      <c r="BV237" s="22"/>
      <c r="BW237" s="22"/>
      <c r="BX237" s="22"/>
      <c r="BY237" s="22"/>
      <c r="BZ237" s="22"/>
      <c r="CA237" s="22"/>
      <c r="CB237" s="22"/>
      <c r="CC237" s="22"/>
      <c r="CD237" s="22"/>
      <c r="CE237" s="22"/>
      <c r="CF237" s="22"/>
      <c r="CG237" s="22"/>
      <c r="CH237" s="22"/>
      <c r="CI237" s="22"/>
      <c r="CJ237" s="22"/>
      <c r="CK237" s="22"/>
      <c r="CL237" s="22"/>
      <c r="CM237" s="22"/>
      <c r="CN237" s="22"/>
      <c r="CO237" s="22"/>
      <c r="CP237" s="22"/>
      <c r="CQ237" s="22"/>
      <c r="CR237" s="22"/>
      <c r="CS237" s="22"/>
      <c r="CT237" s="22"/>
      <c r="CU237" s="22"/>
      <c r="CV237" s="22"/>
      <c r="CW237" s="22"/>
      <c r="CX237" s="22"/>
      <c r="CY237" s="22"/>
      <c r="CZ237" s="22"/>
      <c r="DA237" s="22"/>
      <c r="DB237" s="22"/>
      <c r="DC237" s="22"/>
      <c r="DD237" s="22"/>
      <c r="DE237" s="22"/>
      <c r="DF237" s="22"/>
      <c r="DG237" s="22"/>
      <c r="DH237" s="22"/>
      <c r="DI237" s="22"/>
      <c r="DJ237" s="22"/>
      <c r="DK237" s="22"/>
      <c r="DL237" s="22"/>
      <c r="DM237" s="22"/>
      <c r="DN237" s="22"/>
      <c r="DO237" s="22"/>
      <c r="DP237" s="22"/>
      <c r="DQ237" s="22"/>
      <c r="DR237" s="22"/>
      <c r="DS237" s="22"/>
      <c r="DT237" s="22"/>
      <c r="DU237" s="22"/>
      <c r="DV237" s="22"/>
      <c r="DW237" s="22"/>
      <c r="DX237" s="22"/>
      <c r="DY237" s="22"/>
      <c r="DZ237" s="22"/>
      <c r="EA237" s="22"/>
      <c r="EB237" s="22"/>
      <c r="EC237" s="22"/>
      <c r="ED237" s="22"/>
      <c r="EE237" s="22"/>
      <c r="EF237" s="22"/>
      <c r="EG237" s="22"/>
      <c r="EH237" s="22"/>
      <c r="EI237" s="22"/>
      <c r="EJ237" s="22"/>
      <c r="EK237" s="22"/>
      <c r="EL237" s="22"/>
      <c r="EM237" s="22"/>
      <c r="EN237" s="22"/>
      <c r="EO237" s="22"/>
      <c r="EP237" s="22"/>
      <c r="EQ237" s="22"/>
      <c r="ER237" s="22"/>
      <c r="ES237" s="22"/>
      <c r="ET237" s="22"/>
      <c r="EU237" s="22"/>
      <c r="EV237" s="22"/>
      <c r="EW237" s="22"/>
      <c r="EX237" s="22"/>
      <c r="EY237" s="22"/>
      <c r="EZ237" s="22"/>
      <c r="FA237" s="22"/>
      <c r="FB237" s="22"/>
      <c r="FC237" s="22"/>
      <c r="FD237" s="22"/>
      <c r="FE237" s="22"/>
      <c r="FF237" s="22"/>
      <c r="FG237" s="22"/>
      <c r="FH237" s="22"/>
      <c r="FI237" s="22"/>
      <c r="FJ237" s="22"/>
      <c r="FK237" s="22"/>
      <c r="FL237" s="22"/>
      <c r="FM237" s="22"/>
      <c r="FN237" s="22"/>
      <c r="FO237" s="22"/>
      <c r="FP237" s="22"/>
      <c r="FQ237" s="22"/>
      <c r="FR237" s="22"/>
      <c r="FS237" s="22"/>
      <c r="FT237" s="22"/>
      <c r="FU237" s="22"/>
      <c r="FV237" s="22"/>
      <c r="FW237" s="22"/>
      <c r="FX237" s="22"/>
      <c r="FY237" s="22"/>
      <c r="FZ237" s="22"/>
      <c r="GA237" s="22"/>
      <c r="GB237" s="22"/>
      <c r="GC237" s="22"/>
      <c r="GD237" s="22"/>
      <c r="GE237" s="22"/>
      <c r="GF237" s="22"/>
      <c r="GG237" s="22"/>
      <c r="GH237" s="22"/>
      <c r="GI237" s="22"/>
      <c r="GJ237" s="22"/>
      <c r="GK237" s="22"/>
      <c r="GL237" s="22"/>
      <c r="GM237" s="22"/>
      <c r="GN237" s="22"/>
      <c r="GO237" s="22"/>
      <c r="GP237" s="22"/>
      <c r="GQ237" s="22"/>
      <c r="GR237" s="22"/>
      <c r="GS237" s="22"/>
      <c r="GT237" s="22"/>
      <c r="GU237" s="22"/>
      <c r="GV237" s="22"/>
      <c r="GW237" s="22"/>
      <c r="GX237" s="22"/>
      <c r="GY237" s="22"/>
      <c r="GZ237" s="22"/>
      <c r="HA237" s="22"/>
      <c r="HB237" s="22"/>
      <c r="HC237" s="22"/>
    </row>
    <row r="238" spans="1:211" ht="15" customHeight="1" x14ac:dyDescent="0.2">
      <c r="A238" s="22"/>
      <c r="B238" s="14"/>
      <c r="C238" s="45"/>
      <c r="D238" s="46"/>
      <c r="E238" s="46"/>
      <c r="F238" s="120"/>
      <c r="G238" s="120"/>
      <c r="H238" s="47"/>
      <c r="I238" s="116"/>
      <c r="J238" s="45"/>
      <c r="K238" s="73"/>
      <c r="L238" s="73"/>
      <c r="M238" s="118"/>
      <c r="N238" s="119"/>
      <c r="O238" s="113"/>
      <c r="P238" s="115"/>
      <c r="Q238"/>
      <c r="R238"/>
      <c r="S238" s="114"/>
      <c r="T238" s="110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  <c r="BN238" s="22"/>
      <c r="BO238" s="22"/>
      <c r="BP238" s="22"/>
      <c r="BQ238" s="22"/>
      <c r="BR238" s="22"/>
      <c r="BS238" s="22"/>
      <c r="BT238" s="22"/>
      <c r="BU238" s="22"/>
      <c r="BV238" s="22"/>
      <c r="BW238" s="22"/>
      <c r="BX238" s="22"/>
      <c r="BY238" s="22"/>
      <c r="BZ238" s="22"/>
      <c r="CA238" s="22"/>
      <c r="CB238" s="22"/>
      <c r="CC238" s="22"/>
      <c r="CD238" s="22"/>
      <c r="CE238" s="22"/>
      <c r="CF238" s="22"/>
      <c r="CG238" s="22"/>
      <c r="CH238" s="22"/>
      <c r="CI238" s="22"/>
      <c r="CJ238" s="22"/>
      <c r="CK238" s="22"/>
      <c r="CL238" s="22"/>
      <c r="CM238" s="22"/>
      <c r="CN238" s="22"/>
      <c r="CO238" s="22"/>
      <c r="CP238" s="22"/>
      <c r="CQ238" s="22"/>
      <c r="CR238" s="22"/>
      <c r="CS238" s="22"/>
      <c r="CT238" s="22"/>
      <c r="CU238" s="22"/>
      <c r="CV238" s="22"/>
      <c r="CW238" s="22"/>
      <c r="CX238" s="22"/>
      <c r="CY238" s="22"/>
      <c r="CZ238" s="22"/>
      <c r="DA238" s="22"/>
      <c r="DB238" s="22"/>
      <c r="DC238" s="22"/>
      <c r="DD238" s="22"/>
      <c r="DE238" s="22"/>
      <c r="DF238" s="22"/>
      <c r="DG238" s="22"/>
      <c r="DH238" s="22"/>
      <c r="DI238" s="22"/>
      <c r="DJ238" s="22"/>
      <c r="DK238" s="22"/>
      <c r="DL238" s="22"/>
      <c r="DM238" s="22"/>
      <c r="DN238" s="22"/>
      <c r="DO238" s="22"/>
      <c r="DP238" s="22"/>
      <c r="DQ238" s="22"/>
      <c r="DR238" s="22"/>
      <c r="DS238" s="22"/>
      <c r="DT238" s="22"/>
      <c r="DU238" s="22"/>
      <c r="DV238" s="22"/>
      <c r="DW238" s="22"/>
      <c r="DX238" s="22"/>
      <c r="DY238" s="22"/>
      <c r="DZ238" s="22"/>
      <c r="EA238" s="22"/>
      <c r="EB238" s="22"/>
      <c r="EC238" s="22"/>
      <c r="ED238" s="22"/>
      <c r="EE238" s="22"/>
      <c r="EF238" s="22"/>
      <c r="EG238" s="22"/>
      <c r="EH238" s="22"/>
      <c r="EI238" s="22"/>
      <c r="EJ238" s="22"/>
      <c r="EK238" s="22"/>
      <c r="EL238" s="22"/>
      <c r="EM238" s="22"/>
      <c r="EN238" s="22"/>
      <c r="EO238" s="22"/>
      <c r="EP238" s="22"/>
      <c r="EQ238" s="22"/>
      <c r="ER238" s="22"/>
      <c r="ES238" s="22"/>
      <c r="ET238" s="22"/>
      <c r="EU238" s="22"/>
      <c r="EV238" s="22"/>
      <c r="EW238" s="22"/>
      <c r="EX238" s="22"/>
      <c r="EY238" s="22"/>
      <c r="EZ238" s="22"/>
      <c r="FA238" s="22"/>
      <c r="FB238" s="22"/>
      <c r="FC238" s="22"/>
      <c r="FD238" s="22"/>
      <c r="FE238" s="22"/>
      <c r="FF238" s="22"/>
      <c r="FG238" s="22"/>
      <c r="FH238" s="22"/>
      <c r="FI238" s="22"/>
      <c r="FJ238" s="22"/>
      <c r="FK238" s="22"/>
      <c r="FL238" s="22"/>
      <c r="FM238" s="22"/>
      <c r="FN238" s="22"/>
      <c r="FO238" s="22"/>
      <c r="FP238" s="22"/>
      <c r="FQ238" s="22"/>
      <c r="FR238" s="22"/>
      <c r="FS238" s="22"/>
      <c r="FT238" s="22"/>
      <c r="FU238" s="22"/>
      <c r="FV238" s="22"/>
      <c r="FW238" s="22"/>
      <c r="FX238" s="22"/>
      <c r="FY238" s="22"/>
      <c r="FZ238" s="22"/>
      <c r="GA238" s="22"/>
      <c r="GB238" s="22"/>
      <c r="GC238" s="22"/>
      <c r="GD238" s="22"/>
      <c r="GE238" s="22"/>
      <c r="GF238" s="22"/>
      <c r="GG238" s="22"/>
      <c r="GH238" s="22"/>
      <c r="GI238" s="22"/>
      <c r="GJ238" s="22"/>
      <c r="GK238" s="22"/>
      <c r="GL238" s="22"/>
      <c r="GM238" s="22"/>
      <c r="GN238" s="22"/>
      <c r="GO238" s="22"/>
      <c r="GP238" s="22"/>
      <c r="GQ238" s="22"/>
      <c r="GR238" s="22"/>
      <c r="GS238" s="22"/>
      <c r="GT238" s="22"/>
      <c r="GU238" s="22"/>
      <c r="GV238" s="22"/>
      <c r="GW238" s="22"/>
      <c r="GX238" s="22"/>
      <c r="GY238" s="22"/>
      <c r="GZ238" s="22"/>
      <c r="HA238" s="22"/>
      <c r="HB238" s="22"/>
      <c r="HC238" s="22"/>
    </row>
    <row r="239" spans="1:211" ht="15" customHeight="1" x14ac:dyDescent="0.2">
      <c r="A239" s="22"/>
      <c r="B239" s="14"/>
      <c r="C239" s="45"/>
      <c r="D239" s="46"/>
      <c r="E239" s="46"/>
      <c r="F239" s="120"/>
      <c r="G239" s="120"/>
      <c r="H239" s="47"/>
      <c r="I239" s="116"/>
      <c r="J239" s="45"/>
      <c r="K239" s="45"/>
      <c r="L239" s="73"/>
      <c r="M239" s="118"/>
      <c r="N239" s="119"/>
      <c r="O239" s="113"/>
      <c r="P239" s="115"/>
      <c r="Q239"/>
      <c r="R239"/>
      <c r="S239" s="114"/>
      <c r="T239" s="110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2"/>
      <c r="BH239" s="22"/>
      <c r="BI239" s="22"/>
      <c r="BJ239" s="22"/>
      <c r="BK239" s="22"/>
      <c r="BL239" s="22"/>
      <c r="BM239" s="22"/>
      <c r="BN239" s="22"/>
      <c r="BO239" s="22"/>
      <c r="BP239" s="22"/>
      <c r="BQ239" s="22"/>
      <c r="BR239" s="22"/>
      <c r="BS239" s="22"/>
      <c r="BT239" s="22"/>
      <c r="BU239" s="22"/>
      <c r="BV239" s="22"/>
      <c r="BW239" s="22"/>
      <c r="BX239" s="22"/>
      <c r="BY239" s="22"/>
      <c r="BZ239" s="22"/>
      <c r="CA239" s="22"/>
      <c r="CB239" s="22"/>
      <c r="CC239" s="22"/>
      <c r="CD239" s="22"/>
      <c r="CE239" s="22"/>
      <c r="CF239" s="22"/>
      <c r="CG239" s="22"/>
      <c r="CH239" s="22"/>
      <c r="CI239" s="22"/>
      <c r="CJ239" s="22"/>
      <c r="CK239" s="22"/>
      <c r="CL239" s="22"/>
      <c r="CM239" s="22"/>
      <c r="CN239" s="22"/>
      <c r="CO239" s="22"/>
      <c r="CP239" s="22"/>
      <c r="CQ239" s="22"/>
      <c r="CR239" s="22"/>
      <c r="CS239" s="22"/>
      <c r="CT239" s="22"/>
      <c r="CU239" s="22"/>
      <c r="CV239" s="22"/>
      <c r="CW239" s="22"/>
      <c r="CX239" s="22"/>
      <c r="CY239" s="22"/>
      <c r="CZ239" s="22"/>
      <c r="DA239" s="22"/>
      <c r="DB239" s="22"/>
      <c r="DC239" s="22"/>
      <c r="DD239" s="22"/>
      <c r="DE239" s="22"/>
      <c r="DF239" s="22"/>
      <c r="DG239" s="22"/>
      <c r="DH239" s="22"/>
      <c r="DI239" s="22"/>
      <c r="DJ239" s="22"/>
      <c r="DK239" s="22"/>
      <c r="DL239" s="22"/>
      <c r="DM239" s="22"/>
      <c r="DN239" s="22"/>
      <c r="DO239" s="22"/>
      <c r="DP239" s="22"/>
      <c r="DQ239" s="22"/>
      <c r="DR239" s="22"/>
      <c r="DS239" s="22"/>
      <c r="DT239" s="22"/>
      <c r="DU239" s="22"/>
      <c r="DV239" s="22"/>
      <c r="DW239" s="22"/>
      <c r="DX239" s="22"/>
      <c r="DY239" s="22"/>
      <c r="DZ239" s="22"/>
      <c r="EA239" s="22"/>
      <c r="EB239" s="22"/>
      <c r="EC239" s="22"/>
      <c r="ED239" s="22"/>
      <c r="EE239" s="22"/>
      <c r="EF239" s="22"/>
      <c r="EG239" s="22"/>
      <c r="EH239" s="22"/>
      <c r="EI239" s="22"/>
      <c r="EJ239" s="22"/>
      <c r="EK239" s="22"/>
      <c r="EL239" s="22"/>
      <c r="EM239" s="22"/>
      <c r="EN239" s="22"/>
      <c r="EO239" s="22"/>
      <c r="EP239" s="22"/>
      <c r="EQ239" s="22"/>
      <c r="ER239" s="22"/>
      <c r="ES239" s="22"/>
      <c r="ET239" s="22"/>
      <c r="EU239" s="22"/>
      <c r="EV239" s="22"/>
      <c r="EW239" s="22"/>
      <c r="EX239" s="22"/>
      <c r="EY239" s="22"/>
      <c r="EZ239" s="22"/>
      <c r="FA239" s="22"/>
      <c r="FB239" s="22"/>
      <c r="FC239" s="22"/>
      <c r="FD239" s="22"/>
      <c r="FE239" s="22"/>
      <c r="FF239" s="22"/>
      <c r="FG239" s="22"/>
      <c r="FH239" s="22"/>
      <c r="FI239" s="22"/>
      <c r="FJ239" s="22"/>
      <c r="FK239" s="22"/>
      <c r="FL239" s="22"/>
      <c r="FM239" s="22"/>
      <c r="FN239" s="22"/>
      <c r="FO239" s="22"/>
      <c r="FP239" s="22"/>
      <c r="FQ239" s="22"/>
      <c r="FR239" s="22"/>
      <c r="FS239" s="22"/>
      <c r="FT239" s="22"/>
      <c r="FU239" s="22"/>
      <c r="FV239" s="22"/>
      <c r="FW239" s="22"/>
      <c r="FX239" s="22"/>
      <c r="FY239" s="22"/>
      <c r="FZ239" s="22"/>
      <c r="GA239" s="22"/>
      <c r="GB239" s="22"/>
      <c r="GC239" s="22"/>
      <c r="GD239" s="22"/>
      <c r="GE239" s="22"/>
      <c r="GF239" s="22"/>
      <c r="GG239" s="22"/>
      <c r="GH239" s="22"/>
      <c r="GI239" s="22"/>
      <c r="GJ239" s="22"/>
      <c r="GK239" s="22"/>
      <c r="GL239" s="22"/>
      <c r="GM239" s="22"/>
      <c r="GN239" s="22"/>
      <c r="GO239" s="22"/>
      <c r="GP239" s="22"/>
      <c r="GQ239" s="22"/>
      <c r="GR239" s="22"/>
      <c r="GS239" s="22"/>
      <c r="GT239" s="22"/>
      <c r="GU239" s="22"/>
      <c r="GV239" s="22"/>
      <c r="GW239" s="22"/>
      <c r="GX239" s="22"/>
      <c r="GY239" s="22"/>
      <c r="GZ239" s="22"/>
      <c r="HA239" s="22"/>
      <c r="HB239" s="22"/>
      <c r="HC239" s="22"/>
    </row>
    <row r="240" spans="1:211" ht="15" customHeight="1" x14ac:dyDescent="0.2">
      <c r="A240" s="22"/>
      <c r="B240" s="14"/>
      <c r="C240" s="45"/>
      <c r="D240" s="46"/>
      <c r="E240" s="46"/>
      <c r="F240" s="120"/>
      <c r="G240" s="120"/>
      <c r="H240" s="47"/>
      <c r="I240" s="116"/>
      <c r="J240" s="45"/>
      <c r="K240" s="73"/>
      <c r="L240" s="73"/>
      <c r="M240" s="118"/>
      <c r="N240" s="119"/>
      <c r="O240" s="113"/>
      <c r="P240" s="115"/>
      <c r="Q240"/>
      <c r="R240"/>
      <c r="S240" s="114"/>
      <c r="T240" s="110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22"/>
      <c r="BA240" s="22"/>
      <c r="BB240" s="22"/>
      <c r="BC240" s="22"/>
      <c r="BD240" s="22"/>
      <c r="BE240" s="22"/>
      <c r="BF240" s="22"/>
      <c r="BG240" s="22"/>
      <c r="BH240" s="22"/>
      <c r="BI240" s="22"/>
      <c r="BJ240" s="22"/>
      <c r="BK240" s="22"/>
      <c r="BL240" s="22"/>
      <c r="BM240" s="22"/>
      <c r="BN240" s="22"/>
      <c r="BO240" s="22"/>
      <c r="BP240" s="22"/>
      <c r="BQ240" s="22"/>
      <c r="BR240" s="22"/>
      <c r="BS240" s="22"/>
      <c r="BT240" s="22"/>
      <c r="BU240" s="22"/>
      <c r="BV240" s="22"/>
      <c r="BW240" s="22"/>
      <c r="BX240" s="22"/>
      <c r="BY240" s="22"/>
      <c r="BZ240" s="22"/>
      <c r="CA240" s="22"/>
      <c r="CB240" s="22"/>
      <c r="CC240" s="22"/>
      <c r="CD240" s="22"/>
      <c r="CE240" s="22"/>
      <c r="CF240" s="22"/>
      <c r="CG240" s="22"/>
      <c r="CH240" s="22"/>
      <c r="CI240" s="22"/>
      <c r="CJ240" s="22"/>
      <c r="CK240" s="22"/>
      <c r="CL240" s="22"/>
      <c r="CM240" s="22"/>
      <c r="CN240" s="22"/>
      <c r="CO240" s="22"/>
      <c r="CP240" s="22"/>
      <c r="CQ240" s="22"/>
      <c r="CR240" s="22"/>
      <c r="CS240" s="22"/>
      <c r="CT240" s="22"/>
      <c r="CU240" s="22"/>
      <c r="CV240" s="22"/>
      <c r="CW240" s="22"/>
      <c r="CX240" s="22"/>
      <c r="CY240" s="22"/>
      <c r="CZ240" s="22"/>
      <c r="DA240" s="22"/>
      <c r="DB240" s="22"/>
      <c r="DC240" s="22"/>
      <c r="DD240" s="22"/>
      <c r="DE240" s="22"/>
      <c r="DF240" s="22"/>
      <c r="DG240" s="22"/>
      <c r="DH240" s="22"/>
      <c r="DI240" s="22"/>
      <c r="DJ240" s="22"/>
      <c r="DK240" s="22"/>
      <c r="DL240" s="22"/>
      <c r="DM240" s="22"/>
      <c r="DN240" s="22"/>
      <c r="DO240" s="22"/>
      <c r="DP240" s="22"/>
      <c r="DQ240" s="22"/>
      <c r="DR240" s="22"/>
      <c r="DS240" s="22"/>
      <c r="DT240" s="22"/>
      <c r="DU240" s="22"/>
      <c r="DV240" s="22"/>
      <c r="DW240" s="22"/>
      <c r="DX240" s="22"/>
      <c r="DY240" s="22"/>
      <c r="DZ240" s="22"/>
      <c r="EA240" s="22"/>
      <c r="EB240" s="22"/>
      <c r="EC240" s="22"/>
      <c r="ED240" s="22"/>
      <c r="EE240" s="22"/>
      <c r="EF240" s="22"/>
      <c r="EG240" s="22"/>
      <c r="EH240" s="22"/>
      <c r="EI240" s="22"/>
      <c r="EJ240" s="22"/>
      <c r="EK240" s="22"/>
      <c r="EL240" s="22"/>
      <c r="EM240" s="22"/>
      <c r="EN240" s="22"/>
      <c r="EO240" s="22"/>
      <c r="EP240" s="22"/>
      <c r="EQ240" s="22"/>
      <c r="ER240" s="22"/>
      <c r="ES240" s="22"/>
      <c r="ET240" s="22"/>
      <c r="EU240" s="22"/>
      <c r="EV240" s="22"/>
      <c r="EW240" s="22"/>
      <c r="EX240" s="22"/>
      <c r="EY240" s="22"/>
      <c r="EZ240" s="22"/>
      <c r="FA240" s="22"/>
      <c r="FB240" s="22"/>
      <c r="FC240" s="22"/>
      <c r="FD240" s="22"/>
      <c r="FE240" s="22"/>
      <c r="FF240" s="22"/>
      <c r="FG240" s="22"/>
      <c r="FH240" s="22"/>
      <c r="FI240" s="22"/>
      <c r="FJ240" s="22"/>
      <c r="FK240" s="22"/>
      <c r="FL240" s="22"/>
      <c r="FM240" s="22"/>
      <c r="FN240" s="22"/>
      <c r="FO240" s="22"/>
      <c r="FP240" s="22"/>
      <c r="FQ240" s="22"/>
      <c r="FR240" s="22"/>
      <c r="FS240" s="22"/>
      <c r="FT240" s="22"/>
      <c r="FU240" s="22"/>
      <c r="FV240" s="22"/>
      <c r="FW240" s="22"/>
      <c r="FX240" s="22"/>
      <c r="FY240" s="22"/>
      <c r="FZ240" s="22"/>
      <c r="GA240" s="22"/>
      <c r="GB240" s="22"/>
      <c r="GC240" s="22"/>
      <c r="GD240" s="22"/>
      <c r="GE240" s="22"/>
      <c r="GF240" s="22"/>
      <c r="GG240" s="22"/>
      <c r="GH240" s="22"/>
      <c r="GI240" s="22"/>
      <c r="GJ240" s="22"/>
      <c r="GK240" s="22"/>
      <c r="GL240" s="22"/>
      <c r="GM240" s="22"/>
      <c r="GN240" s="22"/>
      <c r="GO240" s="22"/>
      <c r="GP240" s="22"/>
      <c r="GQ240" s="22"/>
      <c r="GR240" s="22"/>
      <c r="GS240" s="22"/>
      <c r="GT240" s="22"/>
      <c r="GU240" s="22"/>
      <c r="GV240" s="22"/>
      <c r="GW240" s="22"/>
      <c r="GX240" s="22"/>
      <c r="GY240" s="22"/>
      <c r="GZ240" s="22"/>
      <c r="HA240" s="22"/>
      <c r="HB240" s="22"/>
      <c r="HC240" s="22"/>
    </row>
    <row r="241" spans="1:211" ht="15" customHeight="1" x14ac:dyDescent="0.2">
      <c r="A241" s="22"/>
      <c r="B241" s="14"/>
      <c r="C241" s="45"/>
      <c r="D241" s="46"/>
      <c r="E241" s="46"/>
      <c r="F241" s="120"/>
      <c r="G241" s="120"/>
      <c r="H241" s="47"/>
      <c r="I241" s="116"/>
      <c r="J241" s="45"/>
      <c r="K241" s="73"/>
      <c r="L241" s="73"/>
      <c r="M241" s="118"/>
      <c r="N241" s="119"/>
      <c r="O241" s="113"/>
      <c r="P241" s="115"/>
      <c r="Q241"/>
      <c r="R241"/>
      <c r="S241" s="114"/>
      <c r="T241" s="110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2"/>
      <c r="BH241" s="22"/>
      <c r="BI241" s="22"/>
      <c r="BJ241" s="22"/>
      <c r="BK241" s="22"/>
      <c r="BL241" s="22"/>
      <c r="BM241" s="22"/>
      <c r="BN241" s="22"/>
      <c r="BO241" s="22"/>
      <c r="BP241" s="22"/>
      <c r="BQ241" s="22"/>
      <c r="BR241" s="22"/>
      <c r="BS241" s="22"/>
      <c r="BT241" s="22"/>
      <c r="BU241" s="22"/>
      <c r="BV241" s="22"/>
      <c r="BW241" s="22"/>
      <c r="BX241" s="22"/>
      <c r="BY241" s="22"/>
      <c r="BZ241" s="22"/>
      <c r="CA241" s="22"/>
      <c r="CB241" s="22"/>
      <c r="CC241" s="22"/>
      <c r="CD241" s="22"/>
      <c r="CE241" s="22"/>
      <c r="CF241" s="22"/>
      <c r="CG241" s="22"/>
      <c r="CH241" s="22"/>
      <c r="CI241" s="22"/>
      <c r="CJ241" s="22"/>
      <c r="CK241" s="22"/>
      <c r="CL241" s="22"/>
      <c r="CM241" s="22"/>
      <c r="CN241" s="22"/>
      <c r="CO241" s="22"/>
      <c r="CP241" s="22"/>
      <c r="CQ241" s="22"/>
      <c r="CR241" s="22"/>
      <c r="CS241" s="22"/>
      <c r="CT241" s="22"/>
      <c r="CU241" s="22"/>
      <c r="CV241" s="22"/>
      <c r="CW241" s="22"/>
      <c r="CX241" s="22"/>
      <c r="CY241" s="22"/>
      <c r="CZ241" s="22"/>
      <c r="DA241" s="22"/>
      <c r="DB241" s="22"/>
      <c r="DC241" s="22"/>
      <c r="DD241" s="22"/>
      <c r="DE241" s="22"/>
      <c r="DF241" s="22"/>
      <c r="DG241" s="22"/>
      <c r="DH241" s="22"/>
      <c r="DI241" s="22"/>
      <c r="DJ241" s="22"/>
      <c r="DK241" s="22"/>
      <c r="DL241" s="22"/>
      <c r="DM241" s="22"/>
      <c r="DN241" s="22"/>
      <c r="DO241" s="22"/>
      <c r="DP241" s="22"/>
      <c r="DQ241" s="22"/>
      <c r="DR241" s="22"/>
      <c r="DS241" s="22"/>
      <c r="DT241" s="22"/>
      <c r="DU241" s="22"/>
      <c r="DV241" s="22"/>
      <c r="DW241" s="22"/>
      <c r="DX241" s="22"/>
      <c r="DY241" s="22"/>
      <c r="DZ241" s="22"/>
      <c r="EA241" s="22"/>
      <c r="EB241" s="22"/>
      <c r="EC241" s="22"/>
      <c r="ED241" s="22"/>
      <c r="EE241" s="22"/>
      <c r="EF241" s="22"/>
      <c r="EG241" s="22"/>
      <c r="EH241" s="22"/>
      <c r="EI241" s="22"/>
      <c r="EJ241" s="22"/>
      <c r="EK241" s="22"/>
      <c r="EL241" s="22"/>
      <c r="EM241" s="22"/>
      <c r="EN241" s="22"/>
      <c r="EO241" s="22"/>
      <c r="EP241" s="22"/>
      <c r="EQ241" s="22"/>
      <c r="ER241" s="22"/>
      <c r="ES241" s="22"/>
      <c r="ET241" s="22"/>
      <c r="EU241" s="22"/>
      <c r="EV241" s="22"/>
      <c r="EW241" s="22"/>
      <c r="EX241" s="22"/>
      <c r="EY241" s="22"/>
      <c r="EZ241" s="22"/>
      <c r="FA241" s="22"/>
      <c r="FB241" s="22"/>
      <c r="FC241" s="22"/>
      <c r="FD241" s="22"/>
      <c r="FE241" s="22"/>
      <c r="FF241" s="22"/>
      <c r="FG241" s="22"/>
      <c r="FH241" s="22"/>
      <c r="FI241" s="22"/>
      <c r="FJ241" s="22"/>
      <c r="FK241" s="22"/>
      <c r="FL241" s="22"/>
      <c r="FM241" s="22"/>
      <c r="FN241" s="22"/>
      <c r="FO241" s="22"/>
      <c r="FP241" s="22"/>
      <c r="FQ241" s="22"/>
      <c r="FR241" s="22"/>
      <c r="FS241" s="22"/>
      <c r="FT241" s="22"/>
      <c r="FU241" s="22"/>
      <c r="FV241" s="22"/>
      <c r="FW241" s="22"/>
      <c r="FX241" s="22"/>
      <c r="FY241" s="22"/>
      <c r="FZ241" s="22"/>
      <c r="GA241" s="22"/>
      <c r="GB241" s="22"/>
      <c r="GC241" s="22"/>
      <c r="GD241" s="22"/>
      <c r="GE241" s="22"/>
      <c r="GF241" s="22"/>
      <c r="GG241" s="22"/>
      <c r="GH241" s="22"/>
      <c r="GI241" s="22"/>
      <c r="GJ241" s="22"/>
      <c r="GK241" s="22"/>
      <c r="GL241" s="22"/>
      <c r="GM241" s="22"/>
      <c r="GN241" s="22"/>
      <c r="GO241" s="22"/>
      <c r="GP241" s="22"/>
      <c r="GQ241" s="22"/>
      <c r="GR241" s="22"/>
      <c r="GS241" s="22"/>
      <c r="GT241" s="22"/>
      <c r="GU241" s="22"/>
      <c r="GV241" s="22"/>
      <c r="GW241" s="22"/>
      <c r="GX241" s="22"/>
      <c r="GY241" s="22"/>
      <c r="GZ241" s="22"/>
      <c r="HA241" s="22"/>
      <c r="HB241" s="22"/>
      <c r="HC241" s="22"/>
    </row>
    <row r="242" spans="1:211" ht="15" customHeight="1" x14ac:dyDescent="0.2">
      <c r="A242" s="22"/>
      <c r="B242" s="14"/>
      <c r="C242" s="45"/>
      <c r="D242" s="46"/>
      <c r="E242" s="46"/>
      <c r="F242" s="120"/>
      <c r="G242" s="120"/>
      <c r="H242" s="47"/>
      <c r="I242" s="116"/>
      <c r="J242" s="45"/>
      <c r="K242" s="45"/>
      <c r="L242" s="73"/>
      <c r="M242" s="118"/>
      <c r="N242" s="119"/>
      <c r="O242" s="113"/>
      <c r="P242" s="115"/>
      <c r="Q242"/>
      <c r="R242"/>
      <c r="S242" s="114"/>
      <c r="T242" s="110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22"/>
      <c r="BA242" s="22"/>
      <c r="BB242" s="22"/>
      <c r="BC242" s="22"/>
      <c r="BD242" s="22"/>
      <c r="BE242" s="22"/>
      <c r="BF242" s="22"/>
      <c r="BG242" s="22"/>
      <c r="BH242" s="22"/>
      <c r="BI242" s="22"/>
      <c r="BJ242" s="22"/>
      <c r="BK242" s="22"/>
      <c r="BL242" s="22"/>
      <c r="BM242" s="22"/>
      <c r="BN242" s="22"/>
      <c r="BO242" s="22"/>
      <c r="BP242" s="22"/>
      <c r="BQ242" s="22"/>
      <c r="BR242" s="22"/>
      <c r="BS242" s="22"/>
      <c r="BT242" s="22"/>
      <c r="BU242" s="22"/>
      <c r="BV242" s="22"/>
      <c r="BW242" s="22"/>
      <c r="BX242" s="22"/>
      <c r="BY242" s="22"/>
      <c r="BZ242" s="22"/>
      <c r="CA242" s="22"/>
      <c r="CB242" s="22"/>
      <c r="CC242" s="22"/>
      <c r="CD242" s="22"/>
      <c r="CE242" s="22"/>
      <c r="CF242" s="22"/>
      <c r="CG242" s="22"/>
      <c r="CH242" s="22"/>
      <c r="CI242" s="22"/>
      <c r="CJ242" s="22"/>
      <c r="CK242" s="22"/>
      <c r="CL242" s="22"/>
      <c r="CM242" s="22"/>
      <c r="CN242" s="22"/>
      <c r="CO242" s="22"/>
      <c r="CP242" s="22"/>
      <c r="CQ242" s="22"/>
      <c r="CR242" s="22"/>
      <c r="CS242" s="22"/>
      <c r="CT242" s="22"/>
      <c r="CU242" s="22"/>
      <c r="CV242" s="22"/>
      <c r="CW242" s="22"/>
      <c r="CX242" s="22"/>
      <c r="CY242" s="22"/>
      <c r="CZ242" s="22"/>
      <c r="DA242" s="22"/>
      <c r="DB242" s="22"/>
      <c r="DC242" s="22"/>
      <c r="DD242" s="22"/>
      <c r="DE242" s="22"/>
      <c r="DF242" s="22"/>
      <c r="DG242" s="22"/>
      <c r="DH242" s="22"/>
      <c r="DI242" s="22"/>
      <c r="DJ242" s="22"/>
      <c r="DK242" s="22"/>
      <c r="DL242" s="22"/>
      <c r="DM242" s="22"/>
      <c r="DN242" s="22"/>
      <c r="DO242" s="22"/>
      <c r="DP242" s="22"/>
      <c r="DQ242" s="22"/>
      <c r="DR242" s="22"/>
      <c r="DS242" s="22"/>
      <c r="DT242" s="22"/>
      <c r="DU242" s="22"/>
      <c r="DV242" s="22"/>
      <c r="DW242" s="22"/>
      <c r="DX242" s="22"/>
      <c r="DY242" s="22"/>
      <c r="DZ242" s="22"/>
      <c r="EA242" s="22"/>
      <c r="EB242" s="22"/>
      <c r="EC242" s="22"/>
      <c r="ED242" s="22"/>
      <c r="EE242" s="22"/>
      <c r="EF242" s="22"/>
      <c r="EG242" s="22"/>
      <c r="EH242" s="22"/>
      <c r="EI242" s="22"/>
      <c r="EJ242" s="22"/>
      <c r="EK242" s="22"/>
      <c r="EL242" s="22"/>
      <c r="EM242" s="22"/>
      <c r="EN242" s="22"/>
      <c r="EO242" s="22"/>
      <c r="EP242" s="22"/>
      <c r="EQ242" s="22"/>
      <c r="ER242" s="22"/>
      <c r="ES242" s="22"/>
      <c r="ET242" s="22"/>
      <c r="EU242" s="22"/>
      <c r="EV242" s="22"/>
      <c r="EW242" s="22"/>
      <c r="EX242" s="22"/>
      <c r="EY242" s="22"/>
      <c r="EZ242" s="22"/>
      <c r="FA242" s="22"/>
      <c r="FB242" s="22"/>
      <c r="FC242" s="22"/>
      <c r="FD242" s="22"/>
      <c r="FE242" s="22"/>
      <c r="FF242" s="22"/>
      <c r="FG242" s="22"/>
      <c r="FH242" s="22"/>
      <c r="FI242" s="22"/>
      <c r="FJ242" s="22"/>
      <c r="FK242" s="22"/>
      <c r="FL242" s="22"/>
      <c r="FM242" s="22"/>
      <c r="FN242" s="22"/>
      <c r="FO242" s="22"/>
      <c r="FP242" s="22"/>
      <c r="FQ242" s="22"/>
      <c r="FR242" s="22"/>
      <c r="FS242" s="22"/>
      <c r="FT242" s="22"/>
      <c r="FU242" s="22"/>
      <c r="FV242" s="22"/>
      <c r="FW242" s="22"/>
      <c r="FX242" s="22"/>
      <c r="FY242" s="22"/>
      <c r="FZ242" s="22"/>
      <c r="GA242" s="22"/>
      <c r="GB242" s="22"/>
      <c r="GC242" s="22"/>
      <c r="GD242" s="22"/>
      <c r="GE242" s="22"/>
      <c r="GF242" s="22"/>
      <c r="GG242" s="22"/>
      <c r="GH242" s="22"/>
      <c r="GI242" s="22"/>
      <c r="GJ242" s="22"/>
      <c r="GK242" s="22"/>
      <c r="GL242" s="22"/>
      <c r="GM242" s="22"/>
      <c r="GN242" s="22"/>
      <c r="GO242" s="22"/>
      <c r="GP242" s="22"/>
      <c r="GQ242" s="22"/>
      <c r="GR242" s="22"/>
      <c r="GS242" s="22"/>
      <c r="GT242" s="22"/>
      <c r="GU242" s="22"/>
      <c r="GV242" s="22"/>
      <c r="GW242" s="22"/>
      <c r="GX242" s="22"/>
      <c r="GY242" s="22"/>
      <c r="GZ242" s="22"/>
      <c r="HA242" s="22"/>
      <c r="HB242" s="22"/>
      <c r="HC242" s="22"/>
    </row>
    <row r="243" spans="1:211" ht="15" customHeight="1" x14ac:dyDescent="0.2">
      <c r="A243" s="22"/>
      <c r="B243" s="14"/>
      <c r="C243" s="45"/>
      <c r="D243" s="46"/>
      <c r="E243" s="46"/>
      <c r="F243" s="120"/>
      <c r="G243" s="120"/>
      <c r="H243" s="47"/>
      <c r="I243" s="116"/>
      <c r="J243" s="45"/>
      <c r="K243" s="73"/>
      <c r="L243" s="73"/>
      <c r="M243" s="118"/>
      <c r="N243" s="119"/>
      <c r="O243" s="113"/>
      <c r="P243" s="115"/>
      <c r="Q243"/>
      <c r="R243"/>
      <c r="S243" s="114"/>
      <c r="T243" s="110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2"/>
      <c r="BH243" s="22"/>
      <c r="BI243" s="22"/>
      <c r="BJ243" s="22"/>
      <c r="BK243" s="22"/>
      <c r="BL243" s="22"/>
      <c r="BM243" s="22"/>
      <c r="BN243" s="22"/>
      <c r="BO243" s="22"/>
      <c r="BP243" s="22"/>
      <c r="BQ243" s="22"/>
      <c r="BR243" s="22"/>
      <c r="BS243" s="22"/>
      <c r="BT243" s="22"/>
      <c r="BU243" s="22"/>
      <c r="BV243" s="22"/>
      <c r="BW243" s="22"/>
      <c r="BX243" s="22"/>
      <c r="BY243" s="22"/>
      <c r="BZ243" s="22"/>
      <c r="CA243" s="22"/>
      <c r="CB243" s="22"/>
      <c r="CC243" s="22"/>
      <c r="CD243" s="22"/>
      <c r="CE243" s="22"/>
      <c r="CF243" s="22"/>
      <c r="CG243" s="22"/>
      <c r="CH243" s="22"/>
      <c r="CI243" s="22"/>
      <c r="CJ243" s="22"/>
      <c r="CK243" s="22"/>
      <c r="CL243" s="22"/>
      <c r="CM243" s="22"/>
      <c r="CN243" s="22"/>
      <c r="CO243" s="22"/>
      <c r="CP243" s="22"/>
      <c r="CQ243" s="22"/>
      <c r="CR243" s="22"/>
      <c r="CS243" s="22"/>
      <c r="CT243" s="22"/>
      <c r="CU243" s="22"/>
      <c r="CV243" s="22"/>
      <c r="CW243" s="22"/>
      <c r="CX243" s="22"/>
      <c r="CY243" s="22"/>
      <c r="CZ243" s="22"/>
      <c r="DA243" s="22"/>
      <c r="DB243" s="22"/>
      <c r="DC243" s="22"/>
      <c r="DD243" s="22"/>
      <c r="DE243" s="22"/>
      <c r="DF243" s="22"/>
      <c r="DG243" s="22"/>
      <c r="DH243" s="22"/>
      <c r="DI243" s="22"/>
      <c r="DJ243" s="22"/>
      <c r="DK243" s="22"/>
      <c r="DL243" s="22"/>
      <c r="DM243" s="22"/>
      <c r="DN243" s="22"/>
      <c r="DO243" s="22"/>
      <c r="DP243" s="22"/>
      <c r="DQ243" s="22"/>
      <c r="DR243" s="22"/>
      <c r="DS243" s="22"/>
      <c r="DT243" s="22"/>
      <c r="DU243" s="22"/>
      <c r="DV243" s="22"/>
      <c r="DW243" s="22"/>
      <c r="DX243" s="22"/>
      <c r="DY243" s="22"/>
      <c r="DZ243" s="22"/>
      <c r="EA243" s="22"/>
      <c r="EB243" s="22"/>
      <c r="EC243" s="22"/>
      <c r="ED243" s="22"/>
      <c r="EE243" s="22"/>
      <c r="EF243" s="22"/>
      <c r="EG243" s="22"/>
      <c r="EH243" s="22"/>
      <c r="EI243" s="22"/>
      <c r="EJ243" s="22"/>
      <c r="EK243" s="22"/>
      <c r="EL243" s="22"/>
      <c r="EM243" s="22"/>
      <c r="EN243" s="22"/>
      <c r="EO243" s="22"/>
      <c r="EP243" s="22"/>
      <c r="EQ243" s="22"/>
      <c r="ER243" s="22"/>
      <c r="ES243" s="22"/>
      <c r="ET243" s="22"/>
      <c r="EU243" s="22"/>
      <c r="EV243" s="22"/>
      <c r="EW243" s="22"/>
      <c r="EX243" s="22"/>
      <c r="EY243" s="22"/>
      <c r="EZ243" s="22"/>
      <c r="FA243" s="22"/>
      <c r="FB243" s="22"/>
      <c r="FC243" s="22"/>
      <c r="FD243" s="22"/>
      <c r="FE243" s="22"/>
      <c r="FF243" s="22"/>
      <c r="FG243" s="22"/>
      <c r="FH243" s="22"/>
      <c r="FI243" s="22"/>
      <c r="FJ243" s="22"/>
      <c r="FK243" s="22"/>
      <c r="FL243" s="22"/>
      <c r="FM243" s="22"/>
      <c r="FN243" s="22"/>
      <c r="FO243" s="22"/>
      <c r="FP243" s="22"/>
      <c r="FQ243" s="22"/>
      <c r="FR243" s="22"/>
      <c r="FS243" s="22"/>
      <c r="FT243" s="22"/>
      <c r="FU243" s="22"/>
      <c r="FV243" s="22"/>
      <c r="FW243" s="22"/>
      <c r="FX243" s="22"/>
      <c r="FY243" s="22"/>
      <c r="FZ243" s="22"/>
      <c r="GA243" s="22"/>
      <c r="GB243" s="22"/>
      <c r="GC243" s="22"/>
      <c r="GD243" s="22"/>
      <c r="GE243" s="22"/>
      <c r="GF243" s="22"/>
      <c r="GG243" s="22"/>
      <c r="GH243" s="22"/>
      <c r="GI243" s="22"/>
      <c r="GJ243" s="22"/>
      <c r="GK243" s="22"/>
      <c r="GL243" s="22"/>
      <c r="GM243" s="22"/>
      <c r="GN243" s="22"/>
      <c r="GO243" s="22"/>
      <c r="GP243" s="22"/>
      <c r="GQ243" s="22"/>
      <c r="GR243" s="22"/>
      <c r="GS243" s="22"/>
      <c r="GT243" s="22"/>
      <c r="GU243" s="22"/>
      <c r="GV243" s="22"/>
      <c r="GW243" s="22"/>
      <c r="GX243" s="22"/>
      <c r="GY243" s="22"/>
      <c r="GZ243" s="22"/>
      <c r="HA243" s="22"/>
      <c r="HB243" s="22"/>
      <c r="HC243" s="22"/>
    </row>
    <row r="244" spans="1:211" ht="15" customHeight="1" x14ac:dyDescent="0.2">
      <c r="A244" s="22"/>
      <c r="B244" s="14"/>
      <c r="C244" s="45"/>
      <c r="D244" s="46"/>
      <c r="E244" s="46"/>
      <c r="F244" s="120"/>
      <c r="G244" s="120"/>
      <c r="H244" s="47"/>
      <c r="I244" s="116"/>
      <c r="J244" s="45"/>
      <c r="K244" s="45"/>
      <c r="L244" s="73"/>
      <c r="M244" s="118"/>
      <c r="N244" s="119"/>
      <c r="O244" s="113"/>
      <c r="P244" s="115"/>
      <c r="Q244"/>
      <c r="R244"/>
      <c r="S244" s="114"/>
      <c r="T244" s="110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22"/>
      <c r="BA244" s="22"/>
      <c r="BB244" s="22"/>
      <c r="BC244" s="22"/>
      <c r="BD244" s="22"/>
      <c r="BE244" s="22"/>
      <c r="BF244" s="22"/>
      <c r="BG244" s="22"/>
      <c r="BH244" s="22"/>
      <c r="BI244" s="22"/>
      <c r="BJ244" s="22"/>
      <c r="BK244" s="22"/>
      <c r="BL244" s="22"/>
      <c r="BM244" s="22"/>
      <c r="BN244" s="22"/>
      <c r="BO244" s="22"/>
      <c r="BP244" s="22"/>
      <c r="BQ244" s="22"/>
      <c r="BR244" s="22"/>
      <c r="BS244" s="22"/>
      <c r="BT244" s="22"/>
      <c r="BU244" s="22"/>
      <c r="BV244" s="22"/>
      <c r="BW244" s="22"/>
      <c r="BX244" s="22"/>
      <c r="BY244" s="22"/>
      <c r="BZ244" s="22"/>
      <c r="CA244" s="22"/>
      <c r="CB244" s="22"/>
      <c r="CC244" s="22"/>
      <c r="CD244" s="22"/>
      <c r="CE244" s="22"/>
      <c r="CF244" s="22"/>
      <c r="CG244" s="22"/>
      <c r="CH244" s="22"/>
      <c r="CI244" s="22"/>
      <c r="CJ244" s="22"/>
      <c r="CK244" s="22"/>
      <c r="CL244" s="22"/>
      <c r="CM244" s="22"/>
      <c r="CN244" s="22"/>
      <c r="CO244" s="22"/>
      <c r="CP244" s="22"/>
      <c r="CQ244" s="22"/>
      <c r="CR244" s="22"/>
      <c r="CS244" s="22"/>
      <c r="CT244" s="22"/>
      <c r="CU244" s="22"/>
      <c r="CV244" s="22"/>
      <c r="CW244" s="22"/>
      <c r="CX244" s="22"/>
      <c r="CY244" s="22"/>
      <c r="CZ244" s="22"/>
      <c r="DA244" s="22"/>
      <c r="DB244" s="22"/>
      <c r="DC244" s="22"/>
      <c r="DD244" s="22"/>
      <c r="DE244" s="22"/>
      <c r="DF244" s="22"/>
      <c r="DG244" s="22"/>
      <c r="DH244" s="22"/>
      <c r="DI244" s="22"/>
      <c r="DJ244" s="22"/>
      <c r="DK244" s="22"/>
      <c r="DL244" s="22"/>
      <c r="DM244" s="22"/>
      <c r="DN244" s="22"/>
      <c r="DO244" s="22"/>
      <c r="DP244" s="22"/>
      <c r="DQ244" s="22"/>
      <c r="DR244" s="22"/>
      <c r="DS244" s="22"/>
      <c r="DT244" s="22"/>
      <c r="DU244" s="22"/>
      <c r="DV244" s="22"/>
      <c r="DW244" s="22"/>
      <c r="DX244" s="22"/>
      <c r="DY244" s="22"/>
      <c r="DZ244" s="22"/>
      <c r="EA244" s="22"/>
      <c r="EB244" s="22"/>
      <c r="EC244" s="22"/>
      <c r="ED244" s="22"/>
      <c r="EE244" s="22"/>
      <c r="EF244" s="22"/>
      <c r="EG244" s="22"/>
      <c r="EH244" s="22"/>
      <c r="EI244" s="22"/>
      <c r="EJ244" s="22"/>
      <c r="EK244" s="22"/>
      <c r="EL244" s="22"/>
      <c r="EM244" s="22"/>
      <c r="EN244" s="22"/>
      <c r="EO244" s="22"/>
      <c r="EP244" s="22"/>
      <c r="EQ244" s="22"/>
      <c r="ER244" s="22"/>
      <c r="ES244" s="22"/>
      <c r="ET244" s="22"/>
      <c r="EU244" s="22"/>
      <c r="EV244" s="22"/>
      <c r="EW244" s="22"/>
      <c r="EX244" s="22"/>
      <c r="EY244" s="22"/>
      <c r="EZ244" s="22"/>
      <c r="FA244" s="22"/>
      <c r="FB244" s="22"/>
      <c r="FC244" s="22"/>
      <c r="FD244" s="22"/>
      <c r="FE244" s="22"/>
      <c r="FF244" s="22"/>
      <c r="FG244" s="22"/>
      <c r="FH244" s="22"/>
      <c r="FI244" s="22"/>
      <c r="FJ244" s="22"/>
      <c r="FK244" s="22"/>
      <c r="FL244" s="22"/>
      <c r="FM244" s="22"/>
      <c r="FN244" s="22"/>
      <c r="FO244" s="22"/>
      <c r="FP244" s="22"/>
      <c r="FQ244" s="22"/>
      <c r="FR244" s="22"/>
      <c r="FS244" s="22"/>
      <c r="FT244" s="22"/>
      <c r="FU244" s="22"/>
      <c r="FV244" s="22"/>
      <c r="FW244" s="22"/>
      <c r="FX244" s="22"/>
      <c r="FY244" s="22"/>
      <c r="FZ244" s="22"/>
      <c r="GA244" s="22"/>
      <c r="GB244" s="22"/>
      <c r="GC244" s="22"/>
      <c r="GD244" s="22"/>
      <c r="GE244" s="22"/>
      <c r="GF244" s="22"/>
      <c r="GG244" s="22"/>
      <c r="GH244" s="22"/>
      <c r="GI244" s="22"/>
      <c r="GJ244" s="22"/>
      <c r="GK244" s="22"/>
      <c r="GL244" s="22"/>
      <c r="GM244" s="22"/>
      <c r="GN244" s="22"/>
      <c r="GO244" s="22"/>
      <c r="GP244" s="22"/>
      <c r="GQ244" s="22"/>
      <c r="GR244" s="22"/>
      <c r="GS244" s="22"/>
      <c r="GT244" s="22"/>
      <c r="GU244" s="22"/>
      <c r="GV244" s="22"/>
      <c r="GW244" s="22"/>
      <c r="GX244" s="22"/>
      <c r="GY244" s="22"/>
      <c r="GZ244" s="22"/>
      <c r="HA244" s="22"/>
      <c r="HB244" s="22"/>
      <c r="HC244" s="22"/>
    </row>
    <row r="245" spans="1:211" ht="15" customHeight="1" x14ac:dyDescent="0.2">
      <c r="A245" s="22"/>
      <c r="B245" s="14"/>
      <c r="C245" s="45"/>
      <c r="D245" s="46"/>
      <c r="E245" s="46"/>
      <c r="F245" s="120"/>
      <c r="G245" s="120"/>
      <c r="H245" s="47"/>
      <c r="I245" s="116"/>
      <c r="J245" s="45"/>
      <c r="K245" s="45"/>
      <c r="L245" s="73"/>
      <c r="M245" s="118"/>
      <c r="N245" s="119"/>
      <c r="O245" s="113"/>
      <c r="P245" s="115"/>
      <c r="Q245"/>
      <c r="R245"/>
      <c r="S245" s="114"/>
      <c r="T245" s="110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2"/>
      <c r="BH245" s="22"/>
      <c r="BI245" s="22"/>
      <c r="BJ245" s="22"/>
      <c r="BK245" s="22"/>
      <c r="BL245" s="22"/>
      <c r="BM245" s="22"/>
      <c r="BN245" s="22"/>
      <c r="BO245" s="22"/>
      <c r="BP245" s="22"/>
      <c r="BQ245" s="22"/>
      <c r="BR245" s="22"/>
      <c r="BS245" s="22"/>
      <c r="BT245" s="22"/>
      <c r="BU245" s="22"/>
      <c r="BV245" s="22"/>
      <c r="BW245" s="22"/>
      <c r="BX245" s="22"/>
      <c r="BY245" s="22"/>
      <c r="BZ245" s="22"/>
      <c r="CA245" s="22"/>
      <c r="CB245" s="22"/>
      <c r="CC245" s="22"/>
      <c r="CD245" s="22"/>
      <c r="CE245" s="22"/>
      <c r="CF245" s="22"/>
      <c r="CG245" s="22"/>
      <c r="CH245" s="22"/>
      <c r="CI245" s="22"/>
      <c r="CJ245" s="22"/>
      <c r="CK245" s="22"/>
      <c r="CL245" s="22"/>
      <c r="CM245" s="22"/>
      <c r="CN245" s="22"/>
      <c r="CO245" s="22"/>
      <c r="CP245" s="22"/>
      <c r="CQ245" s="22"/>
      <c r="CR245" s="22"/>
      <c r="CS245" s="22"/>
      <c r="CT245" s="22"/>
      <c r="CU245" s="22"/>
      <c r="CV245" s="22"/>
      <c r="CW245" s="22"/>
      <c r="CX245" s="22"/>
      <c r="CY245" s="22"/>
      <c r="CZ245" s="22"/>
      <c r="DA245" s="22"/>
      <c r="DB245" s="22"/>
      <c r="DC245" s="22"/>
      <c r="DD245" s="22"/>
      <c r="DE245" s="22"/>
      <c r="DF245" s="22"/>
      <c r="DG245" s="22"/>
      <c r="DH245" s="22"/>
      <c r="DI245" s="22"/>
      <c r="DJ245" s="22"/>
      <c r="DK245" s="22"/>
      <c r="DL245" s="22"/>
      <c r="DM245" s="22"/>
      <c r="DN245" s="22"/>
      <c r="DO245" s="22"/>
      <c r="DP245" s="22"/>
      <c r="DQ245" s="22"/>
      <c r="DR245" s="22"/>
      <c r="DS245" s="22"/>
      <c r="DT245" s="22"/>
      <c r="DU245" s="22"/>
      <c r="DV245" s="22"/>
      <c r="DW245" s="22"/>
      <c r="DX245" s="22"/>
      <c r="DY245" s="22"/>
      <c r="DZ245" s="22"/>
      <c r="EA245" s="22"/>
      <c r="EB245" s="22"/>
      <c r="EC245" s="22"/>
      <c r="ED245" s="22"/>
      <c r="EE245" s="22"/>
      <c r="EF245" s="22"/>
      <c r="EG245" s="22"/>
      <c r="EH245" s="22"/>
      <c r="EI245" s="22"/>
      <c r="EJ245" s="22"/>
      <c r="EK245" s="22"/>
      <c r="EL245" s="22"/>
      <c r="EM245" s="22"/>
      <c r="EN245" s="22"/>
      <c r="EO245" s="22"/>
      <c r="EP245" s="22"/>
      <c r="EQ245" s="22"/>
      <c r="ER245" s="22"/>
      <c r="ES245" s="22"/>
      <c r="ET245" s="22"/>
      <c r="EU245" s="22"/>
      <c r="EV245" s="22"/>
      <c r="EW245" s="22"/>
      <c r="EX245" s="22"/>
      <c r="EY245" s="22"/>
      <c r="EZ245" s="22"/>
      <c r="FA245" s="22"/>
      <c r="FB245" s="22"/>
      <c r="FC245" s="22"/>
      <c r="FD245" s="22"/>
      <c r="FE245" s="22"/>
      <c r="FF245" s="22"/>
      <c r="FG245" s="22"/>
      <c r="FH245" s="22"/>
      <c r="FI245" s="22"/>
      <c r="FJ245" s="22"/>
      <c r="FK245" s="22"/>
      <c r="FL245" s="22"/>
      <c r="FM245" s="22"/>
      <c r="FN245" s="22"/>
      <c r="FO245" s="22"/>
      <c r="FP245" s="22"/>
      <c r="FQ245" s="22"/>
      <c r="FR245" s="22"/>
      <c r="FS245" s="22"/>
      <c r="FT245" s="22"/>
      <c r="FU245" s="22"/>
      <c r="FV245" s="22"/>
      <c r="FW245" s="22"/>
      <c r="FX245" s="22"/>
      <c r="FY245" s="22"/>
      <c r="FZ245" s="22"/>
      <c r="GA245" s="22"/>
      <c r="GB245" s="22"/>
      <c r="GC245" s="22"/>
      <c r="GD245" s="22"/>
      <c r="GE245" s="22"/>
      <c r="GF245" s="22"/>
      <c r="GG245" s="22"/>
      <c r="GH245" s="22"/>
      <c r="GI245" s="22"/>
      <c r="GJ245" s="22"/>
      <c r="GK245" s="22"/>
      <c r="GL245" s="22"/>
      <c r="GM245" s="22"/>
      <c r="GN245" s="22"/>
      <c r="GO245" s="22"/>
      <c r="GP245" s="22"/>
      <c r="GQ245" s="22"/>
      <c r="GR245" s="22"/>
      <c r="GS245" s="22"/>
      <c r="GT245" s="22"/>
      <c r="GU245" s="22"/>
      <c r="GV245" s="22"/>
      <c r="GW245" s="22"/>
      <c r="GX245" s="22"/>
      <c r="GY245" s="22"/>
      <c r="GZ245" s="22"/>
      <c r="HA245" s="22"/>
      <c r="HB245" s="22"/>
      <c r="HC245" s="22"/>
    </row>
    <row r="246" spans="1:211" ht="15" customHeight="1" x14ac:dyDescent="0.2">
      <c r="A246" s="22"/>
      <c r="B246" s="14"/>
      <c r="C246" s="45"/>
      <c r="D246" s="46"/>
      <c r="E246" s="46"/>
      <c r="F246" s="120"/>
      <c r="G246" s="120"/>
      <c r="H246" s="47"/>
      <c r="I246" s="116"/>
      <c r="J246" s="45"/>
      <c r="K246" s="45"/>
      <c r="L246" s="73"/>
      <c r="M246" s="118"/>
      <c r="N246" s="119"/>
      <c r="O246" s="113"/>
      <c r="P246" s="115"/>
      <c r="Q246"/>
      <c r="R246"/>
      <c r="S246" s="114"/>
      <c r="T246" s="110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  <c r="BN246" s="22"/>
      <c r="BO246" s="22"/>
      <c r="BP246" s="22"/>
      <c r="BQ246" s="22"/>
      <c r="BR246" s="22"/>
      <c r="BS246" s="22"/>
      <c r="BT246" s="22"/>
      <c r="BU246" s="22"/>
      <c r="BV246" s="22"/>
      <c r="BW246" s="22"/>
      <c r="BX246" s="22"/>
      <c r="BY246" s="22"/>
      <c r="BZ246" s="22"/>
      <c r="CA246" s="22"/>
      <c r="CB246" s="22"/>
      <c r="CC246" s="22"/>
      <c r="CD246" s="22"/>
      <c r="CE246" s="22"/>
      <c r="CF246" s="22"/>
      <c r="CG246" s="22"/>
      <c r="CH246" s="22"/>
      <c r="CI246" s="22"/>
      <c r="CJ246" s="22"/>
      <c r="CK246" s="22"/>
      <c r="CL246" s="22"/>
      <c r="CM246" s="22"/>
      <c r="CN246" s="22"/>
      <c r="CO246" s="22"/>
      <c r="CP246" s="22"/>
      <c r="CQ246" s="22"/>
      <c r="CR246" s="22"/>
      <c r="CS246" s="22"/>
      <c r="CT246" s="22"/>
      <c r="CU246" s="22"/>
      <c r="CV246" s="22"/>
      <c r="CW246" s="22"/>
      <c r="CX246" s="22"/>
      <c r="CY246" s="22"/>
      <c r="CZ246" s="22"/>
      <c r="DA246" s="22"/>
      <c r="DB246" s="22"/>
      <c r="DC246" s="22"/>
      <c r="DD246" s="22"/>
      <c r="DE246" s="22"/>
      <c r="DF246" s="22"/>
      <c r="DG246" s="22"/>
      <c r="DH246" s="22"/>
      <c r="DI246" s="22"/>
      <c r="DJ246" s="22"/>
      <c r="DK246" s="22"/>
      <c r="DL246" s="22"/>
      <c r="DM246" s="22"/>
      <c r="DN246" s="22"/>
      <c r="DO246" s="22"/>
      <c r="DP246" s="22"/>
      <c r="DQ246" s="22"/>
      <c r="DR246" s="22"/>
      <c r="DS246" s="22"/>
      <c r="DT246" s="22"/>
      <c r="DU246" s="22"/>
      <c r="DV246" s="22"/>
      <c r="DW246" s="22"/>
      <c r="DX246" s="22"/>
      <c r="DY246" s="22"/>
      <c r="DZ246" s="22"/>
      <c r="EA246" s="22"/>
      <c r="EB246" s="22"/>
      <c r="EC246" s="22"/>
      <c r="ED246" s="22"/>
      <c r="EE246" s="22"/>
      <c r="EF246" s="22"/>
      <c r="EG246" s="22"/>
      <c r="EH246" s="22"/>
      <c r="EI246" s="22"/>
      <c r="EJ246" s="22"/>
      <c r="EK246" s="22"/>
      <c r="EL246" s="22"/>
      <c r="EM246" s="22"/>
      <c r="EN246" s="22"/>
      <c r="EO246" s="22"/>
      <c r="EP246" s="22"/>
      <c r="EQ246" s="22"/>
      <c r="ER246" s="22"/>
      <c r="ES246" s="22"/>
      <c r="ET246" s="22"/>
      <c r="EU246" s="22"/>
      <c r="EV246" s="22"/>
      <c r="EW246" s="22"/>
      <c r="EX246" s="22"/>
      <c r="EY246" s="22"/>
      <c r="EZ246" s="22"/>
      <c r="FA246" s="22"/>
      <c r="FB246" s="22"/>
      <c r="FC246" s="22"/>
      <c r="FD246" s="22"/>
      <c r="FE246" s="22"/>
      <c r="FF246" s="22"/>
      <c r="FG246" s="22"/>
      <c r="FH246" s="22"/>
      <c r="FI246" s="22"/>
      <c r="FJ246" s="22"/>
      <c r="FK246" s="22"/>
      <c r="FL246" s="22"/>
      <c r="FM246" s="22"/>
      <c r="FN246" s="22"/>
      <c r="FO246" s="22"/>
      <c r="FP246" s="22"/>
      <c r="FQ246" s="22"/>
      <c r="FR246" s="22"/>
      <c r="FS246" s="22"/>
      <c r="FT246" s="22"/>
      <c r="FU246" s="22"/>
      <c r="FV246" s="22"/>
      <c r="FW246" s="22"/>
      <c r="FX246" s="22"/>
      <c r="FY246" s="22"/>
      <c r="FZ246" s="22"/>
      <c r="GA246" s="22"/>
      <c r="GB246" s="22"/>
      <c r="GC246" s="22"/>
      <c r="GD246" s="22"/>
      <c r="GE246" s="22"/>
      <c r="GF246" s="22"/>
      <c r="GG246" s="22"/>
      <c r="GH246" s="22"/>
      <c r="GI246" s="22"/>
      <c r="GJ246" s="22"/>
      <c r="GK246" s="22"/>
      <c r="GL246" s="22"/>
      <c r="GM246" s="22"/>
      <c r="GN246" s="22"/>
      <c r="GO246" s="22"/>
      <c r="GP246" s="22"/>
      <c r="GQ246" s="22"/>
      <c r="GR246" s="22"/>
      <c r="GS246" s="22"/>
      <c r="GT246" s="22"/>
      <c r="GU246" s="22"/>
      <c r="GV246" s="22"/>
      <c r="GW246" s="22"/>
      <c r="GX246" s="22"/>
      <c r="GY246" s="22"/>
      <c r="GZ246" s="22"/>
      <c r="HA246" s="22"/>
      <c r="HB246" s="22"/>
      <c r="HC246" s="22"/>
    </row>
    <row r="247" spans="1:211" ht="15" customHeight="1" x14ac:dyDescent="0.2">
      <c r="A247" s="22"/>
      <c r="B247" s="14"/>
      <c r="C247" s="45"/>
      <c r="D247" s="46"/>
      <c r="E247" s="46"/>
      <c r="F247" s="120"/>
      <c r="G247" s="120"/>
      <c r="H247" s="47"/>
      <c r="I247" s="116"/>
      <c r="J247" s="45"/>
      <c r="K247" s="45"/>
      <c r="L247" s="73"/>
      <c r="M247" s="118"/>
      <c r="N247" s="119"/>
      <c r="O247" s="113"/>
      <c r="P247" s="115"/>
      <c r="Q247"/>
      <c r="R247"/>
      <c r="S247" s="114"/>
      <c r="T247" s="110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2"/>
      <c r="BH247" s="22"/>
      <c r="BI247" s="22"/>
      <c r="BJ247" s="22"/>
      <c r="BK247" s="22"/>
      <c r="BL247" s="22"/>
      <c r="BM247" s="22"/>
      <c r="BN247" s="22"/>
      <c r="BO247" s="22"/>
      <c r="BP247" s="22"/>
      <c r="BQ247" s="22"/>
      <c r="BR247" s="22"/>
      <c r="BS247" s="22"/>
      <c r="BT247" s="22"/>
      <c r="BU247" s="22"/>
      <c r="BV247" s="22"/>
      <c r="BW247" s="22"/>
      <c r="BX247" s="22"/>
      <c r="BY247" s="22"/>
      <c r="BZ247" s="22"/>
      <c r="CA247" s="22"/>
      <c r="CB247" s="22"/>
      <c r="CC247" s="22"/>
      <c r="CD247" s="22"/>
      <c r="CE247" s="22"/>
      <c r="CF247" s="22"/>
      <c r="CG247" s="22"/>
      <c r="CH247" s="22"/>
      <c r="CI247" s="22"/>
      <c r="CJ247" s="22"/>
      <c r="CK247" s="22"/>
      <c r="CL247" s="22"/>
      <c r="CM247" s="22"/>
      <c r="CN247" s="22"/>
      <c r="CO247" s="22"/>
      <c r="CP247" s="22"/>
      <c r="CQ247" s="22"/>
      <c r="CR247" s="22"/>
      <c r="CS247" s="22"/>
      <c r="CT247" s="22"/>
      <c r="CU247" s="22"/>
      <c r="CV247" s="22"/>
      <c r="CW247" s="22"/>
      <c r="CX247" s="22"/>
      <c r="CY247" s="22"/>
      <c r="CZ247" s="22"/>
      <c r="DA247" s="22"/>
      <c r="DB247" s="22"/>
      <c r="DC247" s="22"/>
      <c r="DD247" s="22"/>
      <c r="DE247" s="22"/>
      <c r="DF247" s="22"/>
      <c r="DG247" s="22"/>
      <c r="DH247" s="22"/>
      <c r="DI247" s="22"/>
      <c r="DJ247" s="22"/>
      <c r="DK247" s="22"/>
      <c r="DL247" s="22"/>
      <c r="DM247" s="22"/>
      <c r="DN247" s="22"/>
      <c r="DO247" s="22"/>
      <c r="DP247" s="22"/>
      <c r="DQ247" s="22"/>
      <c r="DR247" s="22"/>
      <c r="DS247" s="22"/>
      <c r="DT247" s="22"/>
      <c r="DU247" s="22"/>
      <c r="DV247" s="22"/>
      <c r="DW247" s="22"/>
      <c r="DX247" s="22"/>
      <c r="DY247" s="22"/>
      <c r="DZ247" s="22"/>
      <c r="EA247" s="22"/>
      <c r="EB247" s="22"/>
      <c r="EC247" s="22"/>
      <c r="ED247" s="22"/>
      <c r="EE247" s="22"/>
      <c r="EF247" s="22"/>
      <c r="EG247" s="22"/>
      <c r="EH247" s="22"/>
      <c r="EI247" s="22"/>
      <c r="EJ247" s="22"/>
      <c r="EK247" s="22"/>
      <c r="EL247" s="22"/>
      <c r="EM247" s="22"/>
      <c r="EN247" s="22"/>
      <c r="EO247" s="22"/>
      <c r="EP247" s="22"/>
      <c r="EQ247" s="22"/>
      <c r="ER247" s="22"/>
      <c r="ES247" s="22"/>
      <c r="ET247" s="22"/>
      <c r="EU247" s="22"/>
      <c r="EV247" s="22"/>
      <c r="EW247" s="22"/>
      <c r="EX247" s="22"/>
      <c r="EY247" s="22"/>
      <c r="EZ247" s="22"/>
      <c r="FA247" s="22"/>
      <c r="FB247" s="22"/>
      <c r="FC247" s="22"/>
      <c r="FD247" s="22"/>
      <c r="FE247" s="22"/>
      <c r="FF247" s="22"/>
      <c r="FG247" s="22"/>
      <c r="FH247" s="22"/>
      <c r="FI247" s="22"/>
      <c r="FJ247" s="22"/>
      <c r="FK247" s="22"/>
      <c r="FL247" s="22"/>
      <c r="FM247" s="22"/>
      <c r="FN247" s="22"/>
      <c r="FO247" s="22"/>
      <c r="FP247" s="22"/>
      <c r="FQ247" s="22"/>
      <c r="FR247" s="22"/>
      <c r="FS247" s="22"/>
      <c r="FT247" s="22"/>
      <c r="FU247" s="22"/>
      <c r="FV247" s="22"/>
      <c r="FW247" s="22"/>
      <c r="FX247" s="22"/>
      <c r="FY247" s="22"/>
      <c r="FZ247" s="22"/>
      <c r="GA247" s="22"/>
      <c r="GB247" s="22"/>
      <c r="GC247" s="22"/>
      <c r="GD247" s="22"/>
      <c r="GE247" s="22"/>
      <c r="GF247" s="22"/>
      <c r="GG247" s="22"/>
      <c r="GH247" s="22"/>
      <c r="GI247" s="22"/>
      <c r="GJ247" s="22"/>
      <c r="GK247" s="22"/>
      <c r="GL247" s="22"/>
      <c r="GM247" s="22"/>
      <c r="GN247" s="22"/>
      <c r="GO247" s="22"/>
      <c r="GP247" s="22"/>
      <c r="GQ247" s="22"/>
      <c r="GR247" s="22"/>
      <c r="GS247" s="22"/>
      <c r="GT247" s="22"/>
      <c r="GU247" s="22"/>
      <c r="GV247" s="22"/>
      <c r="GW247" s="22"/>
      <c r="GX247" s="22"/>
      <c r="GY247" s="22"/>
      <c r="GZ247" s="22"/>
      <c r="HA247" s="22"/>
      <c r="HB247" s="22"/>
      <c r="HC247" s="22"/>
    </row>
    <row r="248" spans="1:211" ht="15" customHeight="1" x14ac:dyDescent="0.2">
      <c r="A248" s="22"/>
      <c r="B248" s="14"/>
      <c r="C248" s="45"/>
      <c r="D248" s="46"/>
      <c r="E248" s="46"/>
      <c r="F248" s="120"/>
      <c r="G248" s="120"/>
      <c r="H248" s="47"/>
      <c r="I248" s="116"/>
      <c r="J248" s="45"/>
      <c r="K248" s="45"/>
      <c r="L248" s="73"/>
      <c r="M248" s="118"/>
      <c r="N248" s="119"/>
      <c r="O248" s="113"/>
      <c r="P248" s="115"/>
      <c r="Q248"/>
      <c r="R248"/>
      <c r="S248" s="114"/>
      <c r="T248" s="110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22"/>
      <c r="BA248" s="22"/>
      <c r="BB248" s="22"/>
      <c r="BC248" s="22"/>
      <c r="BD248" s="22"/>
      <c r="BE248" s="22"/>
      <c r="BF248" s="22"/>
      <c r="BG248" s="22"/>
      <c r="BH248" s="22"/>
      <c r="BI248" s="22"/>
      <c r="BJ248" s="22"/>
      <c r="BK248" s="22"/>
      <c r="BL248" s="22"/>
      <c r="BM248" s="22"/>
      <c r="BN248" s="22"/>
      <c r="BO248" s="22"/>
      <c r="BP248" s="22"/>
      <c r="BQ248" s="22"/>
      <c r="BR248" s="22"/>
      <c r="BS248" s="22"/>
      <c r="BT248" s="22"/>
      <c r="BU248" s="22"/>
      <c r="BV248" s="22"/>
      <c r="BW248" s="22"/>
      <c r="BX248" s="22"/>
      <c r="BY248" s="22"/>
      <c r="BZ248" s="22"/>
      <c r="CA248" s="22"/>
      <c r="CB248" s="22"/>
      <c r="CC248" s="22"/>
      <c r="CD248" s="22"/>
      <c r="CE248" s="22"/>
      <c r="CF248" s="22"/>
      <c r="CG248" s="22"/>
      <c r="CH248" s="22"/>
      <c r="CI248" s="22"/>
      <c r="CJ248" s="22"/>
      <c r="CK248" s="22"/>
      <c r="CL248" s="22"/>
      <c r="CM248" s="22"/>
      <c r="CN248" s="22"/>
      <c r="CO248" s="22"/>
      <c r="CP248" s="22"/>
      <c r="CQ248" s="22"/>
      <c r="CR248" s="22"/>
      <c r="CS248" s="22"/>
      <c r="CT248" s="22"/>
      <c r="CU248" s="22"/>
      <c r="CV248" s="22"/>
      <c r="CW248" s="22"/>
      <c r="CX248" s="22"/>
      <c r="CY248" s="22"/>
      <c r="CZ248" s="22"/>
      <c r="DA248" s="22"/>
      <c r="DB248" s="22"/>
      <c r="DC248" s="22"/>
      <c r="DD248" s="22"/>
      <c r="DE248" s="22"/>
      <c r="DF248" s="22"/>
      <c r="DG248" s="22"/>
      <c r="DH248" s="22"/>
      <c r="DI248" s="22"/>
      <c r="DJ248" s="22"/>
      <c r="DK248" s="22"/>
      <c r="DL248" s="22"/>
      <c r="DM248" s="22"/>
      <c r="DN248" s="22"/>
      <c r="DO248" s="22"/>
      <c r="DP248" s="22"/>
      <c r="DQ248" s="22"/>
      <c r="DR248" s="22"/>
      <c r="DS248" s="22"/>
      <c r="DT248" s="22"/>
      <c r="DU248" s="22"/>
      <c r="DV248" s="22"/>
      <c r="DW248" s="22"/>
      <c r="DX248" s="22"/>
      <c r="DY248" s="22"/>
      <c r="DZ248" s="22"/>
      <c r="EA248" s="22"/>
      <c r="EB248" s="22"/>
      <c r="EC248" s="22"/>
      <c r="ED248" s="22"/>
      <c r="EE248" s="22"/>
      <c r="EF248" s="22"/>
      <c r="EG248" s="22"/>
      <c r="EH248" s="22"/>
      <c r="EI248" s="22"/>
      <c r="EJ248" s="22"/>
      <c r="EK248" s="22"/>
      <c r="EL248" s="22"/>
      <c r="EM248" s="22"/>
      <c r="EN248" s="22"/>
      <c r="EO248" s="22"/>
      <c r="EP248" s="22"/>
      <c r="EQ248" s="22"/>
      <c r="ER248" s="22"/>
      <c r="ES248" s="22"/>
      <c r="ET248" s="22"/>
      <c r="EU248" s="22"/>
      <c r="EV248" s="22"/>
      <c r="EW248" s="22"/>
      <c r="EX248" s="22"/>
      <c r="EY248" s="22"/>
      <c r="EZ248" s="22"/>
      <c r="FA248" s="22"/>
      <c r="FB248" s="22"/>
      <c r="FC248" s="22"/>
      <c r="FD248" s="22"/>
      <c r="FE248" s="22"/>
      <c r="FF248" s="22"/>
      <c r="FG248" s="22"/>
      <c r="FH248" s="22"/>
      <c r="FI248" s="22"/>
      <c r="FJ248" s="22"/>
      <c r="FK248" s="22"/>
      <c r="FL248" s="22"/>
      <c r="FM248" s="22"/>
      <c r="FN248" s="22"/>
      <c r="FO248" s="22"/>
      <c r="FP248" s="22"/>
      <c r="FQ248" s="22"/>
      <c r="FR248" s="22"/>
      <c r="FS248" s="22"/>
      <c r="FT248" s="22"/>
      <c r="FU248" s="22"/>
      <c r="FV248" s="22"/>
      <c r="FW248" s="22"/>
      <c r="FX248" s="22"/>
      <c r="FY248" s="22"/>
      <c r="FZ248" s="22"/>
      <c r="GA248" s="22"/>
      <c r="GB248" s="22"/>
      <c r="GC248" s="22"/>
      <c r="GD248" s="22"/>
      <c r="GE248" s="22"/>
      <c r="GF248" s="22"/>
      <c r="GG248" s="22"/>
      <c r="GH248" s="22"/>
      <c r="GI248" s="22"/>
      <c r="GJ248" s="22"/>
      <c r="GK248" s="22"/>
      <c r="GL248" s="22"/>
      <c r="GM248" s="22"/>
      <c r="GN248" s="22"/>
      <c r="GO248" s="22"/>
      <c r="GP248" s="22"/>
      <c r="GQ248" s="22"/>
      <c r="GR248" s="22"/>
      <c r="GS248" s="22"/>
      <c r="GT248" s="22"/>
      <c r="GU248" s="22"/>
      <c r="GV248" s="22"/>
      <c r="GW248" s="22"/>
      <c r="GX248" s="22"/>
      <c r="GY248" s="22"/>
      <c r="GZ248" s="22"/>
      <c r="HA248" s="22"/>
      <c r="HB248" s="22"/>
      <c r="HC248" s="22"/>
    </row>
    <row r="249" spans="1:211" ht="15" customHeight="1" x14ac:dyDescent="0.2">
      <c r="A249" s="22"/>
      <c r="B249" s="14"/>
      <c r="C249" s="45"/>
      <c r="D249" s="46"/>
      <c r="E249" s="46"/>
      <c r="F249" s="120"/>
      <c r="G249" s="120"/>
      <c r="H249" s="47"/>
      <c r="I249" s="116"/>
      <c r="J249" s="45"/>
      <c r="K249" s="73"/>
      <c r="L249" s="73"/>
      <c r="M249" s="118"/>
      <c r="N249" s="119"/>
      <c r="O249" s="113"/>
      <c r="P249" s="115"/>
      <c r="Q249"/>
      <c r="R249"/>
      <c r="S249" s="114"/>
      <c r="T249" s="110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2"/>
      <c r="BH249" s="22"/>
      <c r="BI249" s="22"/>
      <c r="BJ249" s="22"/>
      <c r="BK249" s="22"/>
      <c r="BL249" s="22"/>
      <c r="BM249" s="22"/>
      <c r="BN249" s="22"/>
      <c r="BO249" s="22"/>
      <c r="BP249" s="22"/>
      <c r="BQ249" s="22"/>
      <c r="BR249" s="22"/>
      <c r="BS249" s="22"/>
      <c r="BT249" s="22"/>
      <c r="BU249" s="22"/>
      <c r="BV249" s="22"/>
      <c r="BW249" s="22"/>
      <c r="BX249" s="22"/>
      <c r="BY249" s="22"/>
      <c r="BZ249" s="22"/>
      <c r="CA249" s="22"/>
      <c r="CB249" s="22"/>
      <c r="CC249" s="22"/>
      <c r="CD249" s="22"/>
      <c r="CE249" s="22"/>
      <c r="CF249" s="22"/>
      <c r="CG249" s="22"/>
      <c r="CH249" s="22"/>
      <c r="CI249" s="22"/>
      <c r="CJ249" s="22"/>
      <c r="CK249" s="22"/>
      <c r="CL249" s="22"/>
      <c r="CM249" s="22"/>
      <c r="CN249" s="22"/>
      <c r="CO249" s="22"/>
      <c r="CP249" s="22"/>
      <c r="CQ249" s="22"/>
      <c r="CR249" s="22"/>
      <c r="CS249" s="22"/>
      <c r="CT249" s="22"/>
      <c r="CU249" s="22"/>
      <c r="CV249" s="22"/>
      <c r="CW249" s="22"/>
      <c r="CX249" s="22"/>
      <c r="CY249" s="22"/>
      <c r="CZ249" s="22"/>
      <c r="DA249" s="22"/>
      <c r="DB249" s="22"/>
      <c r="DC249" s="22"/>
      <c r="DD249" s="22"/>
      <c r="DE249" s="22"/>
      <c r="DF249" s="22"/>
      <c r="DG249" s="22"/>
      <c r="DH249" s="22"/>
      <c r="DI249" s="22"/>
      <c r="DJ249" s="22"/>
      <c r="DK249" s="22"/>
      <c r="DL249" s="22"/>
      <c r="DM249" s="22"/>
      <c r="DN249" s="22"/>
      <c r="DO249" s="22"/>
      <c r="DP249" s="22"/>
      <c r="DQ249" s="22"/>
      <c r="DR249" s="22"/>
      <c r="DS249" s="22"/>
      <c r="DT249" s="22"/>
      <c r="DU249" s="22"/>
      <c r="DV249" s="22"/>
      <c r="DW249" s="22"/>
      <c r="DX249" s="22"/>
      <c r="DY249" s="22"/>
      <c r="DZ249" s="22"/>
      <c r="EA249" s="22"/>
      <c r="EB249" s="22"/>
      <c r="EC249" s="22"/>
      <c r="ED249" s="22"/>
      <c r="EE249" s="22"/>
      <c r="EF249" s="22"/>
      <c r="EG249" s="22"/>
      <c r="EH249" s="22"/>
      <c r="EI249" s="22"/>
      <c r="EJ249" s="22"/>
      <c r="EK249" s="22"/>
      <c r="EL249" s="22"/>
      <c r="EM249" s="22"/>
      <c r="EN249" s="22"/>
      <c r="EO249" s="22"/>
      <c r="EP249" s="22"/>
      <c r="EQ249" s="22"/>
      <c r="ER249" s="22"/>
      <c r="ES249" s="22"/>
      <c r="ET249" s="22"/>
      <c r="EU249" s="22"/>
      <c r="EV249" s="22"/>
      <c r="EW249" s="22"/>
      <c r="EX249" s="22"/>
      <c r="EY249" s="22"/>
      <c r="EZ249" s="22"/>
      <c r="FA249" s="22"/>
      <c r="FB249" s="22"/>
      <c r="FC249" s="22"/>
      <c r="FD249" s="22"/>
      <c r="FE249" s="22"/>
      <c r="FF249" s="22"/>
      <c r="FG249" s="22"/>
      <c r="FH249" s="22"/>
      <c r="FI249" s="22"/>
      <c r="FJ249" s="22"/>
      <c r="FK249" s="22"/>
      <c r="FL249" s="22"/>
      <c r="FM249" s="22"/>
      <c r="FN249" s="22"/>
      <c r="FO249" s="22"/>
      <c r="FP249" s="22"/>
      <c r="FQ249" s="22"/>
      <c r="FR249" s="22"/>
      <c r="FS249" s="22"/>
      <c r="FT249" s="22"/>
      <c r="FU249" s="22"/>
      <c r="FV249" s="22"/>
      <c r="FW249" s="22"/>
      <c r="FX249" s="22"/>
      <c r="FY249" s="22"/>
      <c r="FZ249" s="22"/>
      <c r="GA249" s="22"/>
      <c r="GB249" s="22"/>
      <c r="GC249" s="22"/>
      <c r="GD249" s="22"/>
      <c r="GE249" s="22"/>
      <c r="GF249" s="22"/>
      <c r="GG249" s="22"/>
      <c r="GH249" s="22"/>
      <c r="GI249" s="22"/>
      <c r="GJ249" s="22"/>
      <c r="GK249" s="22"/>
      <c r="GL249" s="22"/>
      <c r="GM249" s="22"/>
      <c r="GN249" s="22"/>
      <c r="GO249" s="22"/>
      <c r="GP249" s="22"/>
      <c r="GQ249" s="22"/>
      <c r="GR249" s="22"/>
      <c r="GS249" s="22"/>
      <c r="GT249" s="22"/>
      <c r="GU249" s="22"/>
      <c r="GV249" s="22"/>
      <c r="GW249" s="22"/>
      <c r="GX249" s="22"/>
      <c r="GY249" s="22"/>
      <c r="GZ249" s="22"/>
      <c r="HA249" s="22"/>
      <c r="HB249" s="22"/>
      <c r="HC249" s="22"/>
    </row>
    <row r="250" spans="1:211" ht="15" customHeight="1" x14ac:dyDescent="0.2">
      <c r="A250" s="22"/>
      <c r="B250" s="14"/>
      <c r="C250" s="45"/>
      <c r="D250" s="46"/>
      <c r="E250" s="46"/>
      <c r="F250" s="120"/>
      <c r="G250" s="120"/>
      <c r="H250" s="47"/>
      <c r="I250" s="116"/>
      <c r="J250" s="45"/>
      <c r="K250" s="73"/>
      <c r="L250" s="73"/>
      <c r="M250" s="118"/>
      <c r="N250" s="119"/>
      <c r="O250" s="113"/>
      <c r="P250" s="115"/>
      <c r="Q250"/>
      <c r="R250"/>
      <c r="S250" s="114"/>
      <c r="T250" s="110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22"/>
      <c r="BA250" s="22"/>
      <c r="BB250" s="22"/>
      <c r="BC250" s="22"/>
      <c r="BD250" s="22"/>
      <c r="BE250" s="22"/>
      <c r="BF250" s="22"/>
      <c r="BG250" s="22"/>
      <c r="BH250" s="22"/>
      <c r="BI250" s="22"/>
      <c r="BJ250" s="22"/>
      <c r="BK250" s="22"/>
      <c r="BL250" s="22"/>
      <c r="BM250" s="22"/>
      <c r="BN250" s="22"/>
      <c r="BO250" s="22"/>
      <c r="BP250" s="22"/>
      <c r="BQ250" s="22"/>
      <c r="BR250" s="22"/>
      <c r="BS250" s="22"/>
      <c r="BT250" s="22"/>
      <c r="BU250" s="22"/>
      <c r="BV250" s="22"/>
      <c r="BW250" s="22"/>
      <c r="BX250" s="22"/>
      <c r="BY250" s="22"/>
      <c r="BZ250" s="22"/>
      <c r="CA250" s="22"/>
      <c r="CB250" s="22"/>
      <c r="CC250" s="22"/>
      <c r="CD250" s="22"/>
      <c r="CE250" s="22"/>
      <c r="CF250" s="22"/>
      <c r="CG250" s="22"/>
      <c r="CH250" s="22"/>
      <c r="CI250" s="22"/>
      <c r="CJ250" s="22"/>
      <c r="CK250" s="22"/>
      <c r="CL250" s="22"/>
      <c r="CM250" s="22"/>
      <c r="CN250" s="22"/>
      <c r="CO250" s="22"/>
      <c r="CP250" s="22"/>
      <c r="CQ250" s="22"/>
      <c r="CR250" s="22"/>
      <c r="CS250" s="22"/>
      <c r="CT250" s="22"/>
      <c r="CU250" s="22"/>
      <c r="CV250" s="22"/>
      <c r="CW250" s="22"/>
      <c r="CX250" s="22"/>
      <c r="CY250" s="22"/>
      <c r="CZ250" s="22"/>
      <c r="DA250" s="22"/>
      <c r="DB250" s="22"/>
      <c r="DC250" s="22"/>
      <c r="DD250" s="22"/>
      <c r="DE250" s="22"/>
      <c r="DF250" s="22"/>
      <c r="DG250" s="22"/>
      <c r="DH250" s="22"/>
      <c r="DI250" s="22"/>
      <c r="DJ250" s="22"/>
      <c r="DK250" s="22"/>
      <c r="DL250" s="22"/>
      <c r="DM250" s="22"/>
      <c r="DN250" s="22"/>
      <c r="DO250" s="22"/>
      <c r="DP250" s="22"/>
      <c r="DQ250" s="22"/>
      <c r="DR250" s="22"/>
      <c r="DS250" s="22"/>
      <c r="DT250" s="22"/>
      <c r="DU250" s="22"/>
      <c r="DV250" s="22"/>
      <c r="DW250" s="22"/>
      <c r="DX250" s="22"/>
      <c r="DY250" s="22"/>
      <c r="DZ250" s="22"/>
      <c r="EA250" s="22"/>
      <c r="EB250" s="22"/>
      <c r="EC250" s="22"/>
      <c r="ED250" s="22"/>
      <c r="EE250" s="22"/>
      <c r="EF250" s="22"/>
      <c r="EG250" s="22"/>
      <c r="EH250" s="22"/>
      <c r="EI250" s="22"/>
      <c r="EJ250" s="22"/>
      <c r="EK250" s="22"/>
      <c r="EL250" s="22"/>
      <c r="EM250" s="22"/>
      <c r="EN250" s="22"/>
      <c r="EO250" s="22"/>
      <c r="EP250" s="22"/>
      <c r="EQ250" s="22"/>
      <c r="ER250" s="22"/>
      <c r="ES250" s="22"/>
      <c r="ET250" s="22"/>
      <c r="EU250" s="22"/>
      <c r="EV250" s="22"/>
      <c r="EW250" s="22"/>
      <c r="EX250" s="22"/>
      <c r="EY250" s="22"/>
      <c r="EZ250" s="22"/>
      <c r="FA250" s="22"/>
      <c r="FB250" s="22"/>
      <c r="FC250" s="22"/>
      <c r="FD250" s="22"/>
      <c r="FE250" s="22"/>
      <c r="FF250" s="22"/>
      <c r="FG250" s="22"/>
      <c r="FH250" s="22"/>
      <c r="FI250" s="22"/>
      <c r="FJ250" s="22"/>
      <c r="FK250" s="22"/>
      <c r="FL250" s="22"/>
      <c r="FM250" s="22"/>
      <c r="FN250" s="22"/>
      <c r="FO250" s="22"/>
      <c r="FP250" s="22"/>
      <c r="FQ250" s="22"/>
      <c r="FR250" s="22"/>
      <c r="FS250" s="22"/>
      <c r="FT250" s="22"/>
      <c r="FU250" s="22"/>
      <c r="FV250" s="22"/>
      <c r="FW250" s="22"/>
      <c r="FX250" s="22"/>
      <c r="FY250" s="22"/>
      <c r="FZ250" s="22"/>
      <c r="GA250" s="22"/>
      <c r="GB250" s="22"/>
      <c r="GC250" s="22"/>
      <c r="GD250" s="22"/>
      <c r="GE250" s="22"/>
      <c r="GF250" s="22"/>
      <c r="GG250" s="22"/>
      <c r="GH250" s="22"/>
      <c r="GI250" s="22"/>
      <c r="GJ250" s="22"/>
      <c r="GK250" s="22"/>
      <c r="GL250" s="22"/>
      <c r="GM250" s="22"/>
      <c r="GN250" s="22"/>
      <c r="GO250" s="22"/>
      <c r="GP250" s="22"/>
      <c r="GQ250" s="22"/>
      <c r="GR250" s="22"/>
      <c r="GS250" s="22"/>
      <c r="GT250" s="22"/>
      <c r="GU250" s="22"/>
      <c r="GV250" s="22"/>
      <c r="GW250" s="22"/>
      <c r="GX250" s="22"/>
      <c r="GY250" s="22"/>
      <c r="GZ250" s="22"/>
      <c r="HA250" s="22"/>
      <c r="HB250" s="22"/>
      <c r="HC250" s="22"/>
    </row>
    <row r="251" spans="1:211" ht="15" customHeight="1" x14ac:dyDescent="0.2">
      <c r="A251" s="22"/>
      <c r="B251" s="14"/>
      <c r="C251" s="45"/>
      <c r="D251" s="46"/>
      <c r="E251" s="46"/>
      <c r="F251" s="120"/>
      <c r="G251" s="120"/>
      <c r="H251" s="47"/>
      <c r="I251" s="116"/>
      <c r="J251" s="45"/>
      <c r="K251" s="45"/>
      <c r="L251" s="73"/>
      <c r="M251" s="118"/>
      <c r="N251" s="119"/>
      <c r="O251" s="113"/>
      <c r="P251" s="115"/>
      <c r="Q251"/>
      <c r="R251"/>
      <c r="S251" s="114"/>
      <c r="T251" s="110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2"/>
      <c r="BH251" s="22"/>
      <c r="BI251" s="22"/>
      <c r="BJ251" s="22"/>
      <c r="BK251" s="22"/>
      <c r="BL251" s="22"/>
      <c r="BM251" s="22"/>
      <c r="BN251" s="22"/>
      <c r="BO251" s="22"/>
      <c r="BP251" s="22"/>
      <c r="BQ251" s="22"/>
      <c r="BR251" s="22"/>
      <c r="BS251" s="22"/>
      <c r="BT251" s="22"/>
      <c r="BU251" s="22"/>
      <c r="BV251" s="22"/>
      <c r="BW251" s="22"/>
      <c r="BX251" s="22"/>
      <c r="BY251" s="22"/>
      <c r="BZ251" s="22"/>
      <c r="CA251" s="22"/>
      <c r="CB251" s="22"/>
      <c r="CC251" s="22"/>
      <c r="CD251" s="22"/>
      <c r="CE251" s="22"/>
      <c r="CF251" s="22"/>
      <c r="CG251" s="22"/>
      <c r="CH251" s="22"/>
      <c r="CI251" s="22"/>
      <c r="CJ251" s="22"/>
      <c r="CK251" s="22"/>
      <c r="CL251" s="22"/>
      <c r="CM251" s="22"/>
      <c r="CN251" s="22"/>
      <c r="CO251" s="22"/>
      <c r="CP251" s="22"/>
      <c r="CQ251" s="22"/>
      <c r="CR251" s="22"/>
      <c r="CS251" s="22"/>
      <c r="CT251" s="22"/>
      <c r="CU251" s="22"/>
      <c r="CV251" s="22"/>
      <c r="CW251" s="22"/>
      <c r="CX251" s="22"/>
      <c r="CY251" s="22"/>
      <c r="CZ251" s="22"/>
      <c r="DA251" s="22"/>
      <c r="DB251" s="22"/>
      <c r="DC251" s="22"/>
      <c r="DD251" s="22"/>
      <c r="DE251" s="22"/>
      <c r="DF251" s="22"/>
      <c r="DG251" s="22"/>
      <c r="DH251" s="22"/>
      <c r="DI251" s="22"/>
      <c r="DJ251" s="22"/>
      <c r="DK251" s="22"/>
      <c r="DL251" s="22"/>
      <c r="DM251" s="22"/>
      <c r="DN251" s="22"/>
      <c r="DO251" s="22"/>
      <c r="DP251" s="22"/>
      <c r="DQ251" s="22"/>
      <c r="DR251" s="22"/>
      <c r="DS251" s="22"/>
      <c r="DT251" s="22"/>
      <c r="DU251" s="22"/>
      <c r="DV251" s="22"/>
      <c r="DW251" s="22"/>
      <c r="DX251" s="22"/>
      <c r="DY251" s="22"/>
      <c r="DZ251" s="22"/>
      <c r="EA251" s="22"/>
      <c r="EB251" s="22"/>
      <c r="EC251" s="22"/>
      <c r="ED251" s="22"/>
      <c r="EE251" s="22"/>
      <c r="EF251" s="22"/>
      <c r="EG251" s="22"/>
      <c r="EH251" s="22"/>
      <c r="EI251" s="22"/>
      <c r="EJ251" s="22"/>
      <c r="EK251" s="22"/>
      <c r="EL251" s="22"/>
      <c r="EM251" s="22"/>
      <c r="EN251" s="22"/>
      <c r="EO251" s="22"/>
      <c r="EP251" s="22"/>
      <c r="EQ251" s="22"/>
      <c r="ER251" s="22"/>
      <c r="ES251" s="22"/>
      <c r="ET251" s="22"/>
      <c r="EU251" s="22"/>
      <c r="EV251" s="22"/>
      <c r="EW251" s="22"/>
      <c r="EX251" s="22"/>
      <c r="EY251" s="22"/>
      <c r="EZ251" s="22"/>
      <c r="FA251" s="22"/>
      <c r="FB251" s="22"/>
      <c r="FC251" s="22"/>
      <c r="FD251" s="22"/>
      <c r="FE251" s="22"/>
      <c r="FF251" s="22"/>
      <c r="FG251" s="22"/>
      <c r="FH251" s="22"/>
      <c r="FI251" s="22"/>
      <c r="FJ251" s="22"/>
      <c r="FK251" s="22"/>
      <c r="FL251" s="22"/>
      <c r="FM251" s="22"/>
      <c r="FN251" s="22"/>
      <c r="FO251" s="22"/>
      <c r="FP251" s="22"/>
      <c r="FQ251" s="22"/>
      <c r="FR251" s="22"/>
      <c r="FS251" s="22"/>
      <c r="FT251" s="22"/>
      <c r="FU251" s="22"/>
      <c r="FV251" s="22"/>
      <c r="FW251" s="22"/>
      <c r="FX251" s="22"/>
      <c r="FY251" s="22"/>
      <c r="FZ251" s="22"/>
      <c r="GA251" s="22"/>
      <c r="GB251" s="22"/>
      <c r="GC251" s="22"/>
      <c r="GD251" s="22"/>
      <c r="GE251" s="22"/>
      <c r="GF251" s="22"/>
      <c r="GG251" s="22"/>
      <c r="GH251" s="22"/>
      <c r="GI251" s="22"/>
      <c r="GJ251" s="22"/>
      <c r="GK251" s="22"/>
      <c r="GL251" s="22"/>
      <c r="GM251" s="22"/>
      <c r="GN251" s="22"/>
      <c r="GO251" s="22"/>
      <c r="GP251" s="22"/>
      <c r="GQ251" s="22"/>
      <c r="GR251" s="22"/>
      <c r="GS251" s="22"/>
      <c r="GT251" s="22"/>
      <c r="GU251" s="22"/>
      <c r="GV251" s="22"/>
      <c r="GW251" s="22"/>
      <c r="GX251" s="22"/>
      <c r="GY251" s="22"/>
      <c r="GZ251" s="22"/>
      <c r="HA251" s="22"/>
      <c r="HB251" s="22"/>
      <c r="HC251" s="22"/>
    </row>
    <row r="252" spans="1:211" ht="15" customHeight="1" x14ac:dyDescent="0.2">
      <c r="A252" s="22"/>
      <c r="B252" s="14"/>
      <c r="C252" s="45"/>
      <c r="D252" s="46"/>
      <c r="E252" s="46"/>
      <c r="F252" s="120"/>
      <c r="G252" s="120"/>
      <c r="H252" s="47"/>
      <c r="I252" s="116"/>
      <c r="J252" s="45"/>
      <c r="K252" s="45"/>
      <c r="L252" s="73"/>
      <c r="M252" s="118"/>
      <c r="N252" s="119"/>
      <c r="O252" s="113"/>
      <c r="P252" s="115"/>
      <c r="Q252"/>
      <c r="R252"/>
      <c r="S252" s="114"/>
      <c r="T252" s="110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22"/>
      <c r="BA252" s="22"/>
      <c r="BB252" s="22"/>
      <c r="BC252" s="22"/>
      <c r="BD252" s="22"/>
      <c r="BE252" s="22"/>
      <c r="BF252" s="22"/>
      <c r="BG252" s="22"/>
      <c r="BH252" s="22"/>
      <c r="BI252" s="22"/>
      <c r="BJ252" s="22"/>
      <c r="BK252" s="22"/>
      <c r="BL252" s="22"/>
      <c r="BM252" s="22"/>
      <c r="BN252" s="22"/>
      <c r="BO252" s="22"/>
      <c r="BP252" s="22"/>
      <c r="BQ252" s="22"/>
      <c r="BR252" s="22"/>
      <c r="BS252" s="22"/>
      <c r="BT252" s="22"/>
      <c r="BU252" s="22"/>
      <c r="BV252" s="22"/>
      <c r="BW252" s="22"/>
      <c r="BX252" s="22"/>
      <c r="BY252" s="22"/>
      <c r="BZ252" s="22"/>
      <c r="CA252" s="22"/>
      <c r="CB252" s="22"/>
      <c r="CC252" s="22"/>
      <c r="CD252" s="22"/>
      <c r="CE252" s="22"/>
      <c r="CF252" s="22"/>
      <c r="CG252" s="22"/>
      <c r="CH252" s="22"/>
      <c r="CI252" s="22"/>
      <c r="CJ252" s="22"/>
      <c r="CK252" s="22"/>
      <c r="CL252" s="22"/>
      <c r="CM252" s="22"/>
      <c r="CN252" s="22"/>
      <c r="CO252" s="22"/>
      <c r="CP252" s="22"/>
      <c r="CQ252" s="22"/>
      <c r="CR252" s="22"/>
      <c r="CS252" s="22"/>
      <c r="CT252" s="22"/>
      <c r="CU252" s="22"/>
      <c r="CV252" s="22"/>
      <c r="CW252" s="22"/>
      <c r="CX252" s="22"/>
      <c r="CY252" s="22"/>
      <c r="CZ252" s="22"/>
      <c r="DA252" s="22"/>
      <c r="DB252" s="22"/>
      <c r="DC252" s="22"/>
      <c r="DD252" s="22"/>
      <c r="DE252" s="22"/>
      <c r="DF252" s="22"/>
      <c r="DG252" s="22"/>
      <c r="DH252" s="22"/>
      <c r="DI252" s="22"/>
      <c r="DJ252" s="22"/>
      <c r="DK252" s="22"/>
      <c r="DL252" s="22"/>
      <c r="DM252" s="22"/>
      <c r="DN252" s="22"/>
      <c r="DO252" s="22"/>
      <c r="DP252" s="22"/>
      <c r="DQ252" s="22"/>
      <c r="DR252" s="22"/>
      <c r="DS252" s="22"/>
      <c r="DT252" s="22"/>
      <c r="DU252" s="22"/>
      <c r="DV252" s="22"/>
      <c r="DW252" s="22"/>
      <c r="DX252" s="22"/>
      <c r="DY252" s="22"/>
      <c r="DZ252" s="22"/>
      <c r="EA252" s="22"/>
      <c r="EB252" s="22"/>
      <c r="EC252" s="22"/>
      <c r="ED252" s="22"/>
      <c r="EE252" s="22"/>
      <c r="EF252" s="22"/>
      <c r="EG252" s="22"/>
      <c r="EH252" s="22"/>
      <c r="EI252" s="22"/>
      <c r="EJ252" s="22"/>
      <c r="EK252" s="22"/>
      <c r="EL252" s="22"/>
      <c r="EM252" s="22"/>
      <c r="EN252" s="22"/>
      <c r="EO252" s="22"/>
      <c r="EP252" s="22"/>
      <c r="EQ252" s="22"/>
      <c r="ER252" s="22"/>
      <c r="ES252" s="22"/>
      <c r="ET252" s="22"/>
      <c r="EU252" s="22"/>
      <c r="EV252" s="22"/>
      <c r="EW252" s="22"/>
      <c r="EX252" s="22"/>
      <c r="EY252" s="22"/>
      <c r="EZ252" s="22"/>
      <c r="FA252" s="22"/>
      <c r="FB252" s="22"/>
      <c r="FC252" s="22"/>
      <c r="FD252" s="22"/>
      <c r="FE252" s="22"/>
      <c r="FF252" s="22"/>
      <c r="FG252" s="22"/>
      <c r="FH252" s="22"/>
      <c r="FI252" s="22"/>
      <c r="FJ252" s="22"/>
      <c r="FK252" s="22"/>
      <c r="FL252" s="22"/>
      <c r="FM252" s="22"/>
      <c r="FN252" s="22"/>
      <c r="FO252" s="22"/>
      <c r="FP252" s="22"/>
      <c r="FQ252" s="22"/>
      <c r="FR252" s="22"/>
      <c r="FS252" s="22"/>
      <c r="FT252" s="22"/>
      <c r="FU252" s="22"/>
      <c r="FV252" s="22"/>
      <c r="FW252" s="22"/>
      <c r="FX252" s="22"/>
      <c r="FY252" s="22"/>
      <c r="FZ252" s="22"/>
      <c r="GA252" s="22"/>
      <c r="GB252" s="22"/>
      <c r="GC252" s="22"/>
      <c r="GD252" s="22"/>
      <c r="GE252" s="22"/>
      <c r="GF252" s="22"/>
      <c r="GG252" s="22"/>
      <c r="GH252" s="22"/>
      <c r="GI252" s="22"/>
      <c r="GJ252" s="22"/>
      <c r="GK252" s="22"/>
      <c r="GL252" s="22"/>
      <c r="GM252" s="22"/>
      <c r="GN252" s="22"/>
      <c r="GO252" s="22"/>
      <c r="GP252" s="22"/>
      <c r="GQ252" s="22"/>
      <c r="GR252" s="22"/>
      <c r="GS252" s="22"/>
      <c r="GT252" s="22"/>
      <c r="GU252" s="22"/>
      <c r="GV252" s="22"/>
      <c r="GW252" s="22"/>
      <c r="GX252" s="22"/>
      <c r="GY252" s="22"/>
      <c r="GZ252" s="22"/>
      <c r="HA252" s="22"/>
      <c r="HB252" s="22"/>
      <c r="HC252" s="22"/>
    </row>
    <row r="253" spans="1:211" ht="15" customHeight="1" x14ac:dyDescent="0.2">
      <c r="A253" s="22"/>
      <c r="B253" s="14"/>
      <c r="C253" s="45"/>
      <c r="D253" s="46"/>
      <c r="E253" s="46"/>
      <c r="F253" s="120"/>
      <c r="G253" s="120"/>
      <c r="H253" s="47"/>
      <c r="I253" s="116"/>
      <c r="J253" s="45"/>
      <c r="K253" s="45"/>
      <c r="L253" s="73"/>
      <c r="M253" s="118"/>
      <c r="N253" s="119"/>
      <c r="O253" s="113"/>
      <c r="P253" s="115"/>
      <c r="Q253"/>
      <c r="R253"/>
      <c r="S253" s="114"/>
      <c r="T253" s="110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2"/>
      <c r="BH253" s="22"/>
      <c r="BI253" s="22"/>
      <c r="BJ253" s="22"/>
      <c r="BK253" s="22"/>
      <c r="BL253" s="22"/>
      <c r="BM253" s="22"/>
      <c r="BN253" s="22"/>
      <c r="BO253" s="22"/>
      <c r="BP253" s="22"/>
      <c r="BQ253" s="22"/>
      <c r="BR253" s="22"/>
      <c r="BS253" s="22"/>
      <c r="BT253" s="22"/>
      <c r="BU253" s="22"/>
      <c r="BV253" s="22"/>
      <c r="BW253" s="22"/>
      <c r="BX253" s="22"/>
      <c r="BY253" s="22"/>
      <c r="BZ253" s="22"/>
      <c r="CA253" s="22"/>
      <c r="CB253" s="22"/>
      <c r="CC253" s="22"/>
      <c r="CD253" s="22"/>
      <c r="CE253" s="22"/>
      <c r="CF253" s="22"/>
      <c r="CG253" s="22"/>
      <c r="CH253" s="22"/>
      <c r="CI253" s="22"/>
      <c r="CJ253" s="22"/>
      <c r="CK253" s="22"/>
      <c r="CL253" s="22"/>
      <c r="CM253" s="22"/>
      <c r="CN253" s="22"/>
      <c r="CO253" s="22"/>
      <c r="CP253" s="22"/>
      <c r="CQ253" s="22"/>
      <c r="CR253" s="22"/>
      <c r="CS253" s="22"/>
      <c r="CT253" s="22"/>
      <c r="CU253" s="22"/>
      <c r="CV253" s="22"/>
      <c r="CW253" s="22"/>
      <c r="CX253" s="22"/>
      <c r="CY253" s="22"/>
      <c r="CZ253" s="22"/>
      <c r="DA253" s="22"/>
      <c r="DB253" s="22"/>
      <c r="DC253" s="22"/>
      <c r="DD253" s="22"/>
      <c r="DE253" s="22"/>
      <c r="DF253" s="22"/>
      <c r="DG253" s="22"/>
      <c r="DH253" s="22"/>
      <c r="DI253" s="22"/>
      <c r="DJ253" s="22"/>
      <c r="DK253" s="22"/>
      <c r="DL253" s="22"/>
      <c r="DM253" s="22"/>
      <c r="DN253" s="22"/>
      <c r="DO253" s="22"/>
      <c r="DP253" s="22"/>
      <c r="DQ253" s="22"/>
      <c r="DR253" s="22"/>
      <c r="DS253" s="22"/>
      <c r="DT253" s="22"/>
      <c r="DU253" s="22"/>
      <c r="DV253" s="22"/>
      <c r="DW253" s="22"/>
      <c r="DX253" s="22"/>
      <c r="DY253" s="22"/>
      <c r="DZ253" s="22"/>
      <c r="EA253" s="22"/>
      <c r="EB253" s="22"/>
      <c r="EC253" s="22"/>
      <c r="ED253" s="22"/>
      <c r="EE253" s="22"/>
      <c r="EF253" s="22"/>
      <c r="EG253" s="22"/>
      <c r="EH253" s="22"/>
      <c r="EI253" s="22"/>
      <c r="EJ253" s="22"/>
      <c r="EK253" s="22"/>
      <c r="EL253" s="22"/>
      <c r="EM253" s="22"/>
      <c r="EN253" s="22"/>
      <c r="EO253" s="22"/>
      <c r="EP253" s="22"/>
      <c r="EQ253" s="22"/>
      <c r="ER253" s="22"/>
      <c r="ES253" s="22"/>
      <c r="ET253" s="22"/>
      <c r="EU253" s="22"/>
      <c r="EV253" s="22"/>
      <c r="EW253" s="22"/>
      <c r="EX253" s="22"/>
      <c r="EY253" s="22"/>
      <c r="EZ253" s="22"/>
      <c r="FA253" s="22"/>
      <c r="FB253" s="22"/>
      <c r="FC253" s="22"/>
      <c r="FD253" s="22"/>
      <c r="FE253" s="22"/>
      <c r="FF253" s="22"/>
      <c r="FG253" s="22"/>
      <c r="FH253" s="22"/>
      <c r="FI253" s="22"/>
      <c r="FJ253" s="22"/>
      <c r="FK253" s="22"/>
      <c r="FL253" s="22"/>
      <c r="FM253" s="22"/>
      <c r="FN253" s="22"/>
      <c r="FO253" s="22"/>
      <c r="FP253" s="22"/>
      <c r="FQ253" s="22"/>
      <c r="FR253" s="22"/>
      <c r="FS253" s="22"/>
      <c r="FT253" s="22"/>
      <c r="FU253" s="22"/>
      <c r="FV253" s="22"/>
      <c r="FW253" s="22"/>
      <c r="FX253" s="22"/>
      <c r="FY253" s="22"/>
      <c r="FZ253" s="22"/>
      <c r="GA253" s="22"/>
      <c r="GB253" s="22"/>
      <c r="GC253" s="22"/>
      <c r="GD253" s="22"/>
      <c r="GE253" s="22"/>
      <c r="GF253" s="22"/>
      <c r="GG253" s="22"/>
      <c r="GH253" s="22"/>
      <c r="GI253" s="22"/>
      <c r="GJ253" s="22"/>
      <c r="GK253" s="22"/>
      <c r="GL253" s="22"/>
      <c r="GM253" s="22"/>
      <c r="GN253" s="22"/>
      <c r="GO253" s="22"/>
      <c r="GP253" s="22"/>
      <c r="GQ253" s="22"/>
      <c r="GR253" s="22"/>
      <c r="GS253" s="22"/>
      <c r="GT253" s="22"/>
      <c r="GU253" s="22"/>
      <c r="GV253" s="22"/>
      <c r="GW253" s="22"/>
      <c r="GX253" s="22"/>
      <c r="GY253" s="22"/>
      <c r="GZ253" s="22"/>
      <c r="HA253" s="22"/>
      <c r="HB253" s="22"/>
      <c r="HC253" s="22"/>
    </row>
    <row r="254" spans="1:211" ht="15" customHeight="1" x14ac:dyDescent="0.2">
      <c r="A254" s="22"/>
      <c r="B254" s="14"/>
      <c r="C254" s="45"/>
      <c r="D254" s="46"/>
      <c r="E254" s="46"/>
      <c r="F254" s="120"/>
      <c r="G254" s="120"/>
      <c r="H254" s="47"/>
      <c r="I254" s="116"/>
      <c r="J254" s="45"/>
      <c r="K254" s="45"/>
      <c r="L254" s="73"/>
      <c r="M254" s="118"/>
      <c r="N254" s="119"/>
      <c r="O254" s="113"/>
      <c r="P254" s="115"/>
      <c r="Q254"/>
      <c r="R254"/>
      <c r="S254" s="114"/>
      <c r="T254" s="110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  <c r="BN254" s="22"/>
      <c r="BO254" s="22"/>
      <c r="BP254" s="22"/>
      <c r="BQ254" s="22"/>
      <c r="BR254" s="22"/>
      <c r="BS254" s="22"/>
      <c r="BT254" s="22"/>
      <c r="BU254" s="22"/>
      <c r="BV254" s="22"/>
      <c r="BW254" s="22"/>
      <c r="BX254" s="22"/>
      <c r="BY254" s="22"/>
      <c r="BZ254" s="22"/>
      <c r="CA254" s="22"/>
      <c r="CB254" s="22"/>
      <c r="CC254" s="22"/>
      <c r="CD254" s="22"/>
      <c r="CE254" s="22"/>
      <c r="CF254" s="22"/>
      <c r="CG254" s="22"/>
      <c r="CH254" s="22"/>
      <c r="CI254" s="22"/>
      <c r="CJ254" s="22"/>
      <c r="CK254" s="22"/>
      <c r="CL254" s="22"/>
      <c r="CM254" s="22"/>
      <c r="CN254" s="22"/>
      <c r="CO254" s="22"/>
      <c r="CP254" s="22"/>
      <c r="CQ254" s="22"/>
      <c r="CR254" s="22"/>
      <c r="CS254" s="22"/>
      <c r="CT254" s="22"/>
      <c r="CU254" s="22"/>
      <c r="CV254" s="22"/>
      <c r="CW254" s="22"/>
      <c r="CX254" s="22"/>
      <c r="CY254" s="22"/>
      <c r="CZ254" s="22"/>
      <c r="DA254" s="22"/>
      <c r="DB254" s="22"/>
      <c r="DC254" s="22"/>
      <c r="DD254" s="22"/>
      <c r="DE254" s="22"/>
      <c r="DF254" s="22"/>
      <c r="DG254" s="22"/>
      <c r="DH254" s="22"/>
      <c r="DI254" s="22"/>
      <c r="DJ254" s="22"/>
      <c r="DK254" s="22"/>
      <c r="DL254" s="22"/>
      <c r="DM254" s="22"/>
      <c r="DN254" s="22"/>
      <c r="DO254" s="22"/>
      <c r="DP254" s="22"/>
      <c r="DQ254" s="22"/>
      <c r="DR254" s="22"/>
      <c r="DS254" s="22"/>
      <c r="DT254" s="22"/>
      <c r="DU254" s="22"/>
      <c r="DV254" s="22"/>
      <c r="DW254" s="22"/>
      <c r="DX254" s="22"/>
      <c r="DY254" s="22"/>
      <c r="DZ254" s="22"/>
      <c r="EA254" s="22"/>
      <c r="EB254" s="22"/>
      <c r="EC254" s="22"/>
      <c r="ED254" s="22"/>
      <c r="EE254" s="22"/>
      <c r="EF254" s="22"/>
      <c r="EG254" s="22"/>
      <c r="EH254" s="22"/>
      <c r="EI254" s="22"/>
      <c r="EJ254" s="22"/>
      <c r="EK254" s="22"/>
      <c r="EL254" s="22"/>
      <c r="EM254" s="22"/>
      <c r="EN254" s="22"/>
      <c r="EO254" s="22"/>
      <c r="EP254" s="22"/>
      <c r="EQ254" s="22"/>
      <c r="ER254" s="22"/>
      <c r="ES254" s="22"/>
      <c r="ET254" s="22"/>
      <c r="EU254" s="22"/>
      <c r="EV254" s="22"/>
      <c r="EW254" s="22"/>
      <c r="EX254" s="22"/>
      <c r="EY254" s="22"/>
      <c r="EZ254" s="22"/>
      <c r="FA254" s="22"/>
      <c r="FB254" s="22"/>
      <c r="FC254" s="22"/>
      <c r="FD254" s="22"/>
      <c r="FE254" s="22"/>
      <c r="FF254" s="22"/>
      <c r="FG254" s="22"/>
      <c r="FH254" s="22"/>
      <c r="FI254" s="22"/>
      <c r="FJ254" s="22"/>
      <c r="FK254" s="22"/>
      <c r="FL254" s="22"/>
      <c r="FM254" s="22"/>
      <c r="FN254" s="22"/>
      <c r="FO254" s="22"/>
      <c r="FP254" s="22"/>
      <c r="FQ254" s="22"/>
      <c r="FR254" s="22"/>
      <c r="FS254" s="22"/>
      <c r="FT254" s="22"/>
      <c r="FU254" s="22"/>
      <c r="FV254" s="22"/>
      <c r="FW254" s="22"/>
      <c r="FX254" s="22"/>
      <c r="FY254" s="22"/>
      <c r="FZ254" s="22"/>
      <c r="GA254" s="22"/>
      <c r="GB254" s="22"/>
      <c r="GC254" s="22"/>
      <c r="GD254" s="22"/>
      <c r="GE254" s="22"/>
      <c r="GF254" s="22"/>
      <c r="GG254" s="22"/>
      <c r="GH254" s="22"/>
      <c r="GI254" s="22"/>
      <c r="GJ254" s="22"/>
      <c r="GK254" s="22"/>
      <c r="GL254" s="22"/>
      <c r="GM254" s="22"/>
      <c r="GN254" s="22"/>
      <c r="GO254" s="22"/>
      <c r="GP254" s="22"/>
      <c r="GQ254" s="22"/>
      <c r="GR254" s="22"/>
      <c r="GS254" s="22"/>
      <c r="GT254" s="22"/>
      <c r="GU254" s="22"/>
      <c r="GV254" s="22"/>
      <c r="GW254" s="22"/>
      <c r="GX254" s="22"/>
      <c r="GY254" s="22"/>
      <c r="GZ254" s="22"/>
      <c r="HA254" s="22"/>
      <c r="HB254" s="22"/>
      <c r="HC254" s="22"/>
    </row>
    <row r="255" spans="1:211" ht="15" customHeight="1" x14ac:dyDescent="0.2">
      <c r="A255" s="22"/>
      <c r="B255" s="14"/>
      <c r="C255" s="45"/>
      <c r="D255" s="46"/>
      <c r="E255" s="46"/>
      <c r="F255" s="120"/>
      <c r="G255" s="120"/>
      <c r="H255" s="47"/>
      <c r="I255" s="116"/>
      <c r="J255" s="45"/>
      <c r="K255" s="45"/>
      <c r="L255" s="73"/>
      <c r="M255" s="118"/>
      <c r="N255" s="119"/>
      <c r="O255" s="113"/>
      <c r="P255" s="115"/>
      <c r="Q255"/>
      <c r="R255"/>
      <c r="S255" s="114"/>
      <c r="T255" s="110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2"/>
      <c r="BH255" s="22"/>
      <c r="BI255" s="22"/>
      <c r="BJ255" s="22"/>
      <c r="BK255" s="22"/>
      <c r="BL255" s="22"/>
      <c r="BM255" s="22"/>
      <c r="BN255" s="22"/>
      <c r="BO255" s="22"/>
      <c r="BP255" s="22"/>
      <c r="BQ255" s="22"/>
      <c r="BR255" s="22"/>
      <c r="BS255" s="22"/>
      <c r="BT255" s="22"/>
      <c r="BU255" s="22"/>
      <c r="BV255" s="22"/>
      <c r="BW255" s="22"/>
      <c r="BX255" s="22"/>
      <c r="BY255" s="22"/>
      <c r="BZ255" s="22"/>
      <c r="CA255" s="22"/>
      <c r="CB255" s="22"/>
      <c r="CC255" s="22"/>
      <c r="CD255" s="22"/>
      <c r="CE255" s="22"/>
      <c r="CF255" s="22"/>
      <c r="CG255" s="22"/>
      <c r="CH255" s="22"/>
      <c r="CI255" s="22"/>
      <c r="CJ255" s="22"/>
      <c r="CK255" s="22"/>
      <c r="CL255" s="22"/>
      <c r="CM255" s="22"/>
      <c r="CN255" s="22"/>
      <c r="CO255" s="22"/>
      <c r="CP255" s="22"/>
      <c r="CQ255" s="22"/>
      <c r="CR255" s="22"/>
      <c r="CS255" s="22"/>
      <c r="CT255" s="22"/>
      <c r="CU255" s="22"/>
      <c r="CV255" s="22"/>
      <c r="CW255" s="22"/>
      <c r="CX255" s="22"/>
      <c r="CY255" s="22"/>
      <c r="CZ255" s="22"/>
      <c r="DA255" s="22"/>
      <c r="DB255" s="22"/>
      <c r="DC255" s="22"/>
      <c r="DD255" s="22"/>
      <c r="DE255" s="22"/>
      <c r="DF255" s="22"/>
      <c r="DG255" s="22"/>
      <c r="DH255" s="22"/>
      <c r="DI255" s="22"/>
      <c r="DJ255" s="22"/>
      <c r="DK255" s="22"/>
      <c r="DL255" s="22"/>
      <c r="DM255" s="22"/>
      <c r="DN255" s="22"/>
      <c r="DO255" s="22"/>
      <c r="DP255" s="22"/>
      <c r="DQ255" s="22"/>
      <c r="DR255" s="22"/>
      <c r="DS255" s="22"/>
      <c r="DT255" s="22"/>
      <c r="DU255" s="22"/>
      <c r="DV255" s="22"/>
      <c r="DW255" s="22"/>
      <c r="DX255" s="22"/>
      <c r="DY255" s="22"/>
      <c r="DZ255" s="22"/>
      <c r="EA255" s="22"/>
      <c r="EB255" s="22"/>
      <c r="EC255" s="22"/>
      <c r="ED255" s="22"/>
      <c r="EE255" s="22"/>
      <c r="EF255" s="22"/>
      <c r="EG255" s="22"/>
      <c r="EH255" s="22"/>
      <c r="EI255" s="22"/>
      <c r="EJ255" s="22"/>
      <c r="EK255" s="22"/>
      <c r="EL255" s="22"/>
      <c r="EM255" s="22"/>
      <c r="EN255" s="22"/>
      <c r="EO255" s="22"/>
      <c r="EP255" s="22"/>
      <c r="EQ255" s="22"/>
      <c r="ER255" s="22"/>
      <c r="ES255" s="22"/>
      <c r="ET255" s="22"/>
      <c r="EU255" s="22"/>
      <c r="EV255" s="22"/>
      <c r="EW255" s="22"/>
      <c r="EX255" s="22"/>
      <c r="EY255" s="22"/>
      <c r="EZ255" s="22"/>
      <c r="FA255" s="22"/>
      <c r="FB255" s="22"/>
      <c r="FC255" s="22"/>
      <c r="FD255" s="22"/>
      <c r="FE255" s="22"/>
      <c r="FF255" s="22"/>
      <c r="FG255" s="22"/>
      <c r="FH255" s="22"/>
      <c r="FI255" s="22"/>
      <c r="FJ255" s="22"/>
      <c r="FK255" s="22"/>
      <c r="FL255" s="22"/>
      <c r="FM255" s="22"/>
      <c r="FN255" s="22"/>
      <c r="FO255" s="22"/>
      <c r="FP255" s="22"/>
      <c r="FQ255" s="22"/>
      <c r="FR255" s="22"/>
      <c r="FS255" s="22"/>
      <c r="FT255" s="22"/>
      <c r="FU255" s="22"/>
      <c r="FV255" s="22"/>
      <c r="FW255" s="22"/>
      <c r="FX255" s="22"/>
      <c r="FY255" s="22"/>
      <c r="FZ255" s="22"/>
      <c r="GA255" s="22"/>
      <c r="GB255" s="22"/>
      <c r="GC255" s="22"/>
      <c r="GD255" s="22"/>
      <c r="GE255" s="22"/>
      <c r="GF255" s="22"/>
      <c r="GG255" s="22"/>
      <c r="GH255" s="22"/>
      <c r="GI255" s="22"/>
      <c r="GJ255" s="22"/>
      <c r="GK255" s="22"/>
      <c r="GL255" s="22"/>
      <c r="GM255" s="22"/>
      <c r="GN255" s="22"/>
      <c r="GO255" s="22"/>
      <c r="GP255" s="22"/>
      <c r="GQ255" s="22"/>
      <c r="GR255" s="22"/>
      <c r="GS255" s="22"/>
      <c r="GT255" s="22"/>
      <c r="GU255" s="22"/>
      <c r="GV255" s="22"/>
      <c r="GW255" s="22"/>
      <c r="GX255" s="22"/>
      <c r="GY255" s="22"/>
      <c r="GZ255" s="22"/>
      <c r="HA255" s="22"/>
      <c r="HB255" s="22"/>
      <c r="HC255" s="22"/>
    </row>
    <row r="256" spans="1:211" ht="15" customHeight="1" x14ac:dyDescent="0.2">
      <c r="A256" s="22"/>
      <c r="B256" s="14"/>
      <c r="C256" s="45"/>
      <c r="D256" s="46"/>
      <c r="E256" s="46"/>
      <c r="F256" s="120"/>
      <c r="G256" s="120"/>
      <c r="H256" s="47"/>
      <c r="I256" s="116"/>
      <c r="J256" s="45"/>
      <c r="K256" s="73"/>
      <c r="L256" s="73"/>
      <c r="M256" s="118"/>
      <c r="N256" s="119"/>
      <c r="O256" s="113"/>
      <c r="P256" s="115"/>
      <c r="Q256"/>
      <c r="R256"/>
      <c r="S256" s="114"/>
      <c r="T256" s="110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22"/>
      <c r="BA256" s="22"/>
      <c r="BB256" s="22"/>
      <c r="BC256" s="22"/>
      <c r="BD256" s="22"/>
      <c r="BE256" s="22"/>
      <c r="BF256" s="22"/>
      <c r="BG256" s="22"/>
      <c r="BH256" s="22"/>
      <c r="BI256" s="22"/>
      <c r="BJ256" s="22"/>
      <c r="BK256" s="22"/>
      <c r="BL256" s="22"/>
      <c r="BM256" s="22"/>
      <c r="BN256" s="22"/>
      <c r="BO256" s="22"/>
      <c r="BP256" s="22"/>
      <c r="BQ256" s="22"/>
      <c r="BR256" s="22"/>
      <c r="BS256" s="22"/>
      <c r="BT256" s="22"/>
      <c r="BU256" s="22"/>
      <c r="BV256" s="22"/>
      <c r="BW256" s="22"/>
      <c r="BX256" s="22"/>
      <c r="BY256" s="22"/>
      <c r="BZ256" s="22"/>
      <c r="CA256" s="22"/>
      <c r="CB256" s="22"/>
      <c r="CC256" s="22"/>
      <c r="CD256" s="22"/>
      <c r="CE256" s="22"/>
      <c r="CF256" s="22"/>
      <c r="CG256" s="22"/>
      <c r="CH256" s="22"/>
      <c r="CI256" s="22"/>
      <c r="CJ256" s="22"/>
      <c r="CK256" s="22"/>
      <c r="CL256" s="22"/>
      <c r="CM256" s="22"/>
      <c r="CN256" s="22"/>
      <c r="CO256" s="22"/>
      <c r="CP256" s="22"/>
      <c r="CQ256" s="22"/>
      <c r="CR256" s="22"/>
      <c r="CS256" s="22"/>
      <c r="CT256" s="22"/>
      <c r="CU256" s="22"/>
      <c r="CV256" s="22"/>
      <c r="CW256" s="22"/>
      <c r="CX256" s="22"/>
      <c r="CY256" s="22"/>
      <c r="CZ256" s="22"/>
      <c r="DA256" s="22"/>
      <c r="DB256" s="22"/>
      <c r="DC256" s="22"/>
      <c r="DD256" s="22"/>
      <c r="DE256" s="22"/>
      <c r="DF256" s="22"/>
      <c r="DG256" s="22"/>
      <c r="DH256" s="22"/>
      <c r="DI256" s="22"/>
      <c r="DJ256" s="22"/>
      <c r="DK256" s="22"/>
      <c r="DL256" s="22"/>
      <c r="DM256" s="22"/>
      <c r="DN256" s="22"/>
      <c r="DO256" s="22"/>
      <c r="DP256" s="22"/>
      <c r="DQ256" s="22"/>
      <c r="DR256" s="22"/>
      <c r="DS256" s="22"/>
      <c r="DT256" s="22"/>
      <c r="DU256" s="22"/>
      <c r="DV256" s="22"/>
      <c r="DW256" s="22"/>
      <c r="DX256" s="22"/>
      <c r="DY256" s="22"/>
      <c r="DZ256" s="22"/>
      <c r="EA256" s="22"/>
      <c r="EB256" s="22"/>
      <c r="EC256" s="22"/>
      <c r="ED256" s="22"/>
      <c r="EE256" s="22"/>
      <c r="EF256" s="22"/>
      <c r="EG256" s="22"/>
      <c r="EH256" s="22"/>
      <c r="EI256" s="22"/>
      <c r="EJ256" s="22"/>
      <c r="EK256" s="22"/>
      <c r="EL256" s="22"/>
      <c r="EM256" s="22"/>
      <c r="EN256" s="22"/>
      <c r="EO256" s="22"/>
      <c r="EP256" s="22"/>
      <c r="EQ256" s="22"/>
      <c r="ER256" s="22"/>
      <c r="ES256" s="22"/>
      <c r="ET256" s="22"/>
      <c r="EU256" s="22"/>
      <c r="EV256" s="22"/>
      <c r="EW256" s="22"/>
      <c r="EX256" s="22"/>
      <c r="EY256" s="22"/>
      <c r="EZ256" s="22"/>
      <c r="FA256" s="22"/>
      <c r="FB256" s="22"/>
      <c r="FC256" s="22"/>
      <c r="FD256" s="22"/>
      <c r="FE256" s="22"/>
      <c r="FF256" s="22"/>
      <c r="FG256" s="22"/>
      <c r="FH256" s="22"/>
      <c r="FI256" s="22"/>
      <c r="FJ256" s="22"/>
      <c r="FK256" s="22"/>
      <c r="FL256" s="22"/>
      <c r="FM256" s="22"/>
      <c r="FN256" s="22"/>
      <c r="FO256" s="22"/>
      <c r="FP256" s="22"/>
      <c r="FQ256" s="22"/>
      <c r="FR256" s="22"/>
      <c r="FS256" s="22"/>
      <c r="FT256" s="22"/>
      <c r="FU256" s="22"/>
      <c r="FV256" s="22"/>
      <c r="FW256" s="22"/>
      <c r="FX256" s="22"/>
      <c r="FY256" s="22"/>
      <c r="FZ256" s="22"/>
      <c r="GA256" s="22"/>
      <c r="GB256" s="22"/>
      <c r="GC256" s="22"/>
      <c r="GD256" s="22"/>
      <c r="GE256" s="22"/>
      <c r="GF256" s="22"/>
      <c r="GG256" s="22"/>
      <c r="GH256" s="22"/>
      <c r="GI256" s="22"/>
      <c r="GJ256" s="22"/>
      <c r="GK256" s="22"/>
      <c r="GL256" s="22"/>
      <c r="GM256" s="22"/>
      <c r="GN256" s="22"/>
      <c r="GO256" s="22"/>
      <c r="GP256" s="22"/>
      <c r="GQ256" s="22"/>
      <c r="GR256" s="22"/>
      <c r="GS256" s="22"/>
      <c r="GT256" s="22"/>
      <c r="GU256" s="22"/>
      <c r="GV256" s="22"/>
      <c r="GW256" s="22"/>
      <c r="GX256" s="22"/>
      <c r="GY256" s="22"/>
      <c r="GZ256" s="22"/>
      <c r="HA256" s="22"/>
      <c r="HB256" s="22"/>
      <c r="HC256" s="22"/>
    </row>
    <row r="257" spans="1:211" ht="15" customHeight="1" x14ac:dyDescent="0.2">
      <c r="A257" s="22"/>
      <c r="B257" s="14"/>
      <c r="C257" s="45"/>
      <c r="D257" s="46"/>
      <c r="E257" s="46"/>
      <c r="F257" s="120"/>
      <c r="G257" s="120"/>
      <c r="H257" s="47"/>
      <c r="I257" s="116"/>
      <c r="J257" s="45"/>
      <c r="K257" s="73"/>
      <c r="L257" s="73"/>
      <c r="M257" s="118"/>
      <c r="N257" s="119"/>
      <c r="O257" s="113"/>
      <c r="P257" s="115"/>
      <c r="Q257"/>
      <c r="R257"/>
      <c r="S257" s="114"/>
      <c r="T257" s="110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2"/>
      <c r="BH257" s="22"/>
      <c r="BI257" s="22"/>
      <c r="BJ257" s="22"/>
      <c r="BK257" s="22"/>
      <c r="BL257" s="22"/>
      <c r="BM257" s="22"/>
      <c r="BN257" s="22"/>
      <c r="BO257" s="22"/>
      <c r="BP257" s="22"/>
      <c r="BQ257" s="22"/>
      <c r="BR257" s="22"/>
      <c r="BS257" s="22"/>
      <c r="BT257" s="22"/>
      <c r="BU257" s="22"/>
      <c r="BV257" s="22"/>
      <c r="BW257" s="22"/>
      <c r="BX257" s="22"/>
      <c r="BY257" s="22"/>
      <c r="BZ257" s="22"/>
      <c r="CA257" s="22"/>
      <c r="CB257" s="22"/>
      <c r="CC257" s="22"/>
      <c r="CD257" s="22"/>
      <c r="CE257" s="22"/>
      <c r="CF257" s="22"/>
      <c r="CG257" s="22"/>
      <c r="CH257" s="22"/>
      <c r="CI257" s="22"/>
      <c r="CJ257" s="22"/>
      <c r="CK257" s="22"/>
      <c r="CL257" s="22"/>
      <c r="CM257" s="22"/>
      <c r="CN257" s="22"/>
      <c r="CO257" s="22"/>
      <c r="CP257" s="22"/>
      <c r="CQ257" s="22"/>
      <c r="CR257" s="22"/>
      <c r="CS257" s="22"/>
      <c r="CT257" s="22"/>
      <c r="CU257" s="22"/>
      <c r="CV257" s="22"/>
      <c r="CW257" s="22"/>
      <c r="CX257" s="22"/>
      <c r="CY257" s="22"/>
      <c r="CZ257" s="22"/>
      <c r="DA257" s="22"/>
      <c r="DB257" s="22"/>
      <c r="DC257" s="22"/>
      <c r="DD257" s="22"/>
      <c r="DE257" s="22"/>
      <c r="DF257" s="22"/>
      <c r="DG257" s="22"/>
      <c r="DH257" s="22"/>
      <c r="DI257" s="22"/>
      <c r="DJ257" s="22"/>
      <c r="DK257" s="22"/>
      <c r="DL257" s="22"/>
      <c r="DM257" s="22"/>
      <c r="DN257" s="22"/>
      <c r="DO257" s="22"/>
      <c r="DP257" s="22"/>
      <c r="DQ257" s="22"/>
      <c r="DR257" s="22"/>
      <c r="DS257" s="22"/>
      <c r="DT257" s="22"/>
      <c r="DU257" s="22"/>
      <c r="DV257" s="22"/>
      <c r="DW257" s="22"/>
      <c r="DX257" s="22"/>
      <c r="DY257" s="22"/>
      <c r="DZ257" s="22"/>
      <c r="EA257" s="22"/>
      <c r="EB257" s="22"/>
      <c r="EC257" s="22"/>
      <c r="ED257" s="22"/>
      <c r="EE257" s="22"/>
      <c r="EF257" s="22"/>
      <c r="EG257" s="22"/>
      <c r="EH257" s="22"/>
      <c r="EI257" s="22"/>
      <c r="EJ257" s="22"/>
      <c r="EK257" s="22"/>
      <c r="EL257" s="22"/>
      <c r="EM257" s="22"/>
      <c r="EN257" s="22"/>
      <c r="EO257" s="22"/>
      <c r="EP257" s="22"/>
      <c r="EQ257" s="22"/>
      <c r="ER257" s="22"/>
      <c r="ES257" s="22"/>
      <c r="ET257" s="22"/>
      <c r="EU257" s="22"/>
      <c r="EV257" s="22"/>
      <c r="EW257" s="22"/>
      <c r="EX257" s="22"/>
      <c r="EY257" s="22"/>
      <c r="EZ257" s="22"/>
      <c r="FA257" s="22"/>
      <c r="FB257" s="22"/>
      <c r="FC257" s="22"/>
      <c r="FD257" s="22"/>
      <c r="FE257" s="22"/>
      <c r="FF257" s="22"/>
      <c r="FG257" s="22"/>
      <c r="FH257" s="22"/>
      <c r="FI257" s="22"/>
      <c r="FJ257" s="22"/>
      <c r="FK257" s="22"/>
      <c r="FL257" s="22"/>
      <c r="FM257" s="22"/>
      <c r="FN257" s="22"/>
      <c r="FO257" s="22"/>
      <c r="FP257" s="22"/>
      <c r="FQ257" s="22"/>
      <c r="FR257" s="22"/>
      <c r="FS257" s="22"/>
      <c r="FT257" s="22"/>
      <c r="FU257" s="22"/>
      <c r="FV257" s="22"/>
      <c r="FW257" s="22"/>
      <c r="FX257" s="22"/>
      <c r="FY257" s="22"/>
      <c r="FZ257" s="22"/>
      <c r="GA257" s="22"/>
      <c r="GB257" s="22"/>
      <c r="GC257" s="22"/>
      <c r="GD257" s="22"/>
      <c r="GE257" s="22"/>
      <c r="GF257" s="22"/>
      <c r="GG257" s="22"/>
      <c r="GH257" s="22"/>
      <c r="GI257" s="22"/>
      <c r="GJ257" s="22"/>
      <c r="GK257" s="22"/>
      <c r="GL257" s="22"/>
      <c r="GM257" s="22"/>
      <c r="GN257" s="22"/>
      <c r="GO257" s="22"/>
      <c r="GP257" s="22"/>
      <c r="GQ257" s="22"/>
      <c r="GR257" s="22"/>
      <c r="GS257" s="22"/>
      <c r="GT257" s="22"/>
      <c r="GU257" s="22"/>
      <c r="GV257" s="22"/>
      <c r="GW257" s="22"/>
      <c r="GX257" s="22"/>
      <c r="GY257" s="22"/>
      <c r="GZ257" s="22"/>
      <c r="HA257" s="22"/>
      <c r="HB257" s="22"/>
      <c r="HC257" s="22"/>
    </row>
    <row r="258" spans="1:211" ht="15" customHeight="1" x14ac:dyDescent="0.2">
      <c r="A258" s="22"/>
      <c r="B258" s="14"/>
      <c r="C258" s="45"/>
      <c r="D258" s="46"/>
      <c r="E258" s="46"/>
      <c r="F258" s="120"/>
      <c r="G258" s="120"/>
      <c r="H258" s="47"/>
      <c r="I258" s="116"/>
      <c r="J258" s="45"/>
      <c r="K258" s="73"/>
      <c r="L258" s="73"/>
      <c r="M258" s="118"/>
      <c r="N258" s="119"/>
      <c r="O258" s="113"/>
      <c r="P258" s="115"/>
      <c r="Q258"/>
      <c r="R258"/>
      <c r="S258" s="114"/>
      <c r="T258" s="110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22"/>
      <c r="BA258" s="22"/>
      <c r="BB258" s="22"/>
      <c r="BC258" s="22"/>
      <c r="BD258" s="22"/>
      <c r="BE258" s="22"/>
      <c r="BF258" s="22"/>
      <c r="BG258" s="22"/>
      <c r="BH258" s="22"/>
      <c r="BI258" s="22"/>
      <c r="BJ258" s="22"/>
      <c r="BK258" s="22"/>
      <c r="BL258" s="22"/>
      <c r="BM258" s="22"/>
      <c r="BN258" s="22"/>
      <c r="BO258" s="22"/>
      <c r="BP258" s="22"/>
      <c r="BQ258" s="22"/>
      <c r="BR258" s="22"/>
      <c r="BS258" s="22"/>
      <c r="BT258" s="22"/>
      <c r="BU258" s="22"/>
      <c r="BV258" s="22"/>
      <c r="BW258" s="22"/>
      <c r="BX258" s="22"/>
      <c r="BY258" s="22"/>
      <c r="BZ258" s="22"/>
      <c r="CA258" s="22"/>
      <c r="CB258" s="22"/>
      <c r="CC258" s="22"/>
      <c r="CD258" s="22"/>
      <c r="CE258" s="22"/>
      <c r="CF258" s="22"/>
      <c r="CG258" s="22"/>
      <c r="CH258" s="22"/>
      <c r="CI258" s="22"/>
      <c r="CJ258" s="22"/>
      <c r="CK258" s="22"/>
      <c r="CL258" s="22"/>
      <c r="CM258" s="22"/>
      <c r="CN258" s="22"/>
      <c r="CO258" s="22"/>
      <c r="CP258" s="22"/>
      <c r="CQ258" s="22"/>
      <c r="CR258" s="22"/>
      <c r="CS258" s="22"/>
      <c r="CT258" s="22"/>
      <c r="CU258" s="22"/>
      <c r="CV258" s="22"/>
      <c r="CW258" s="22"/>
      <c r="CX258" s="22"/>
      <c r="CY258" s="22"/>
      <c r="CZ258" s="22"/>
      <c r="DA258" s="22"/>
      <c r="DB258" s="22"/>
      <c r="DC258" s="22"/>
      <c r="DD258" s="22"/>
      <c r="DE258" s="22"/>
      <c r="DF258" s="22"/>
      <c r="DG258" s="22"/>
      <c r="DH258" s="22"/>
      <c r="DI258" s="22"/>
      <c r="DJ258" s="22"/>
      <c r="DK258" s="22"/>
      <c r="DL258" s="22"/>
      <c r="DM258" s="22"/>
      <c r="DN258" s="22"/>
      <c r="DO258" s="22"/>
      <c r="DP258" s="22"/>
      <c r="DQ258" s="22"/>
      <c r="DR258" s="22"/>
      <c r="DS258" s="22"/>
      <c r="DT258" s="22"/>
      <c r="DU258" s="22"/>
      <c r="DV258" s="22"/>
      <c r="DW258" s="22"/>
      <c r="DX258" s="22"/>
      <c r="DY258" s="22"/>
      <c r="DZ258" s="22"/>
      <c r="EA258" s="22"/>
      <c r="EB258" s="22"/>
      <c r="EC258" s="22"/>
      <c r="ED258" s="22"/>
      <c r="EE258" s="22"/>
      <c r="EF258" s="22"/>
      <c r="EG258" s="22"/>
      <c r="EH258" s="22"/>
      <c r="EI258" s="22"/>
      <c r="EJ258" s="22"/>
      <c r="EK258" s="22"/>
      <c r="EL258" s="22"/>
      <c r="EM258" s="22"/>
      <c r="EN258" s="22"/>
      <c r="EO258" s="22"/>
      <c r="EP258" s="22"/>
      <c r="EQ258" s="22"/>
      <c r="ER258" s="22"/>
      <c r="ES258" s="22"/>
      <c r="ET258" s="22"/>
      <c r="EU258" s="22"/>
      <c r="EV258" s="22"/>
      <c r="EW258" s="22"/>
      <c r="EX258" s="22"/>
      <c r="EY258" s="22"/>
      <c r="EZ258" s="22"/>
      <c r="FA258" s="22"/>
      <c r="FB258" s="22"/>
      <c r="FC258" s="22"/>
      <c r="FD258" s="22"/>
      <c r="FE258" s="22"/>
      <c r="FF258" s="22"/>
      <c r="FG258" s="22"/>
      <c r="FH258" s="22"/>
      <c r="FI258" s="22"/>
      <c r="FJ258" s="22"/>
      <c r="FK258" s="22"/>
      <c r="FL258" s="22"/>
      <c r="FM258" s="22"/>
      <c r="FN258" s="22"/>
      <c r="FO258" s="22"/>
      <c r="FP258" s="22"/>
      <c r="FQ258" s="22"/>
      <c r="FR258" s="22"/>
      <c r="FS258" s="22"/>
      <c r="FT258" s="22"/>
      <c r="FU258" s="22"/>
      <c r="FV258" s="22"/>
      <c r="FW258" s="22"/>
      <c r="FX258" s="22"/>
      <c r="FY258" s="22"/>
      <c r="FZ258" s="22"/>
      <c r="GA258" s="22"/>
      <c r="GB258" s="22"/>
      <c r="GC258" s="22"/>
      <c r="GD258" s="22"/>
      <c r="GE258" s="22"/>
      <c r="GF258" s="22"/>
      <c r="GG258" s="22"/>
      <c r="GH258" s="22"/>
      <c r="GI258" s="22"/>
      <c r="GJ258" s="22"/>
      <c r="GK258" s="22"/>
      <c r="GL258" s="22"/>
      <c r="GM258" s="22"/>
      <c r="GN258" s="22"/>
      <c r="GO258" s="22"/>
      <c r="GP258" s="22"/>
      <c r="GQ258" s="22"/>
      <c r="GR258" s="22"/>
      <c r="GS258" s="22"/>
      <c r="GT258" s="22"/>
      <c r="GU258" s="22"/>
      <c r="GV258" s="22"/>
      <c r="GW258" s="22"/>
      <c r="GX258" s="22"/>
      <c r="GY258" s="22"/>
      <c r="GZ258" s="22"/>
      <c r="HA258" s="22"/>
      <c r="HB258" s="22"/>
      <c r="HC258" s="22"/>
    </row>
    <row r="259" spans="1:211" ht="15" customHeight="1" x14ac:dyDescent="0.2">
      <c r="A259" s="22"/>
      <c r="B259" s="14"/>
      <c r="C259" s="45"/>
      <c r="D259" s="46"/>
      <c r="E259" s="46"/>
      <c r="F259" s="120"/>
      <c r="G259" s="120"/>
      <c r="H259" s="47"/>
      <c r="I259" s="116"/>
      <c r="J259" s="45"/>
      <c r="K259" s="45"/>
      <c r="L259" s="73"/>
      <c r="M259" s="118"/>
      <c r="N259" s="119"/>
      <c r="O259" s="113"/>
      <c r="P259" s="115"/>
      <c r="Q259"/>
      <c r="R259"/>
      <c r="S259" s="114"/>
      <c r="T259" s="110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2"/>
      <c r="BH259" s="22"/>
      <c r="BI259" s="22"/>
      <c r="BJ259" s="22"/>
      <c r="BK259" s="22"/>
      <c r="BL259" s="22"/>
      <c r="BM259" s="22"/>
      <c r="BN259" s="22"/>
      <c r="BO259" s="22"/>
      <c r="BP259" s="22"/>
      <c r="BQ259" s="22"/>
      <c r="BR259" s="22"/>
      <c r="BS259" s="22"/>
      <c r="BT259" s="22"/>
      <c r="BU259" s="22"/>
      <c r="BV259" s="22"/>
      <c r="BW259" s="22"/>
      <c r="BX259" s="22"/>
      <c r="BY259" s="22"/>
      <c r="BZ259" s="22"/>
      <c r="CA259" s="22"/>
      <c r="CB259" s="22"/>
      <c r="CC259" s="22"/>
      <c r="CD259" s="22"/>
      <c r="CE259" s="22"/>
      <c r="CF259" s="22"/>
      <c r="CG259" s="22"/>
      <c r="CH259" s="22"/>
      <c r="CI259" s="22"/>
      <c r="CJ259" s="22"/>
      <c r="CK259" s="22"/>
      <c r="CL259" s="22"/>
      <c r="CM259" s="22"/>
      <c r="CN259" s="22"/>
      <c r="CO259" s="22"/>
      <c r="CP259" s="22"/>
      <c r="CQ259" s="22"/>
      <c r="CR259" s="22"/>
      <c r="CS259" s="22"/>
      <c r="CT259" s="22"/>
      <c r="CU259" s="22"/>
      <c r="CV259" s="22"/>
      <c r="CW259" s="22"/>
      <c r="CX259" s="22"/>
      <c r="CY259" s="22"/>
      <c r="CZ259" s="22"/>
      <c r="DA259" s="22"/>
      <c r="DB259" s="22"/>
      <c r="DC259" s="22"/>
      <c r="DD259" s="22"/>
      <c r="DE259" s="22"/>
      <c r="DF259" s="22"/>
      <c r="DG259" s="22"/>
      <c r="DH259" s="22"/>
      <c r="DI259" s="22"/>
      <c r="DJ259" s="22"/>
      <c r="DK259" s="22"/>
      <c r="DL259" s="22"/>
      <c r="DM259" s="22"/>
      <c r="DN259" s="22"/>
      <c r="DO259" s="22"/>
      <c r="DP259" s="22"/>
      <c r="DQ259" s="22"/>
      <c r="DR259" s="22"/>
      <c r="DS259" s="22"/>
      <c r="DT259" s="22"/>
      <c r="DU259" s="22"/>
      <c r="DV259" s="22"/>
      <c r="DW259" s="22"/>
      <c r="DX259" s="22"/>
      <c r="DY259" s="22"/>
      <c r="DZ259" s="22"/>
      <c r="EA259" s="22"/>
      <c r="EB259" s="22"/>
      <c r="EC259" s="22"/>
      <c r="ED259" s="22"/>
      <c r="EE259" s="22"/>
      <c r="EF259" s="22"/>
      <c r="EG259" s="22"/>
      <c r="EH259" s="22"/>
      <c r="EI259" s="22"/>
      <c r="EJ259" s="22"/>
      <c r="EK259" s="22"/>
      <c r="EL259" s="22"/>
      <c r="EM259" s="22"/>
      <c r="EN259" s="22"/>
      <c r="EO259" s="22"/>
      <c r="EP259" s="22"/>
      <c r="EQ259" s="22"/>
      <c r="ER259" s="22"/>
      <c r="ES259" s="22"/>
      <c r="ET259" s="22"/>
      <c r="EU259" s="22"/>
      <c r="EV259" s="22"/>
      <c r="EW259" s="22"/>
      <c r="EX259" s="22"/>
      <c r="EY259" s="22"/>
      <c r="EZ259" s="22"/>
      <c r="FA259" s="22"/>
      <c r="FB259" s="22"/>
      <c r="FC259" s="22"/>
      <c r="FD259" s="22"/>
      <c r="FE259" s="22"/>
      <c r="FF259" s="22"/>
      <c r="FG259" s="22"/>
      <c r="FH259" s="22"/>
      <c r="FI259" s="22"/>
      <c r="FJ259" s="22"/>
      <c r="FK259" s="22"/>
      <c r="FL259" s="22"/>
      <c r="FM259" s="22"/>
      <c r="FN259" s="22"/>
      <c r="FO259" s="22"/>
      <c r="FP259" s="22"/>
      <c r="FQ259" s="22"/>
      <c r="FR259" s="22"/>
      <c r="FS259" s="22"/>
      <c r="FT259" s="22"/>
      <c r="FU259" s="22"/>
      <c r="FV259" s="22"/>
      <c r="FW259" s="22"/>
      <c r="FX259" s="22"/>
      <c r="FY259" s="22"/>
      <c r="FZ259" s="22"/>
      <c r="GA259" s="22"/>
      <c r="GB259" s="22"/>
      <c r="GC259" s="22"/>
      <c r="GD259" s="22"/>
      <c r="GE259" s="22"/>
      <c r="GF259" s="22"/>
      <c r="GG259" s="22"/>
      <c r="GH259" s="22"/>
      <c r="GI259" s="22"/>
      <c r="GJ259" s="22"/>
      <c r="GK259" s="22"/>
      <c r="GL259" s="22"/>
      <c r="GM259" s="22"/>
      <c r="GN259" s="22"/>
      <c r="GO259" s="22"/>
      <c r="GP259" s="22"/>
      <c r="GQ259" s="22"/>
      <c r="GR259" s="22"/>
      <c r="GS259" s="22"/>
      <c r="GT259" s="22"/>
      <c r="GU259" s="22"/>
      <c r="GV259" s="22"/>
      <c r="GW259" s="22"/>
      <c r="GX259" s="22"/>
      <c r="GY259" s="22"/>
      <c r="GZ259" s="22"/>
      <c r="HA259" s="22"/>
      <c r="HB259" s="22"/>
      <c r="HC259" s="22"/>
    </row>
    <row r="260" spans="1:211" ht="15" customHeight="1" x14ac:dyDescent="0.2">
      <c r="A260" s="22"/>
      <c r="B260" s="14"/>
      <c r="C260" s="45"/>
      <c r="D260" s="46"/>
      <c r="E260" s="46"/>
      <c r="F260" s="120"/>
      <c r="G260" s="120"/>
      <c r="H260" s="47"/>
      <c r="I260" s="116"/>
      <c r="J260" s="45"/>
      <c r="K260" s="45"/>
      <c r="L260" s="73"/>
      <c r="M260" s="118"/>
      <c r="N260" s="119"/>
      <c r="O260" s="113"/>
      <c r="P260" s="115"/>
      <c r="Q260"/>
      <c r="R260"/>
      <c r="S260" s="114"/>
      <c r="T260" s="110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22"/>
      <c r="BA260" s="22"/>
      <c r="BB260" s="22"/>
      <c r="BC260" s="22"/>
      <c r="BD260" s="22"/>
      <c r="BE260" s="22"/>
      <c r="BF260" s="22"/>
      <c r="BG260" s="22"/>
      <c r="BH260" s="22"/>
      <c r="BI260" s="22"/>
      <c r="BJ260" s="22"/>
      <c r="BK260" s="22"/>
      <c r="BL260" s="22"/>
      <c r="BM260" s="22"/>
      <c r="BN260" s="22"/>
      <c r="BO260" s="22"/>
      <c r="BP260" s="22"/>
      <c r="BQ260" s="22"/>
      <c r="BR260" s="22"/>
      <c r="BS260" s="22"/>
      <c r="BT260" s="22"/>
      <c r="BU260" s="22"/>
      <c r="BV260" s="22"/>
      <c r="BW260" s="22"/>
      <c r="BX260" s="22"/>
      <c r="BY260" s="22"/>
      <c r="BZ260" s="22"/>
      <c r="CA260" s="22"/>
      <c r="CB260" s="22"/>
      <c r="CC260" s="22"/>
      <c r="CD260" s="22"/>
      <c r="CE260" s="22"/>
      <c r="CF260" s="22"/>
      <c r="CG260" s="22"/>
      <c r="CH260" s="22"/>
      <c r="CI260" s="22"/>
      <c r="CJ260" s="22"/>
      <c r="CK260" s="22"/>
      <c r="CL260" s="22"/>
      <c r="CM260" s="22"/>
      <c r="CN260" s="22"/>
      <c r="CO260" s="22"/>
      <c r="CP260" s="22"/>
      <c r="CQ260" s="22"/>
      <c r="CR260" s="22"/>
      <c r="CS260" s="22"/>
      <c r="CT260" s="22"/>
      <c r="CU260" s="22"/>
      <c r="CV260" s="22"/>
      <c r="CW260" s="22"/>
      <c r="CX260" s="22"/>
      <c r="CY260" s="22"/>
      <c r="CZ260" s="22"/>
      <c r="DA260" s="22"/>
      <c r="DB260" s="22"/>
      <c r="DC260" s="22"/>
      <c r="DD260" s="22"/>
      <c r="DE260" s="22"/>
      <c r="DF260" s="22"/>
      <c r="DG260" s="22"/>
      <c r="DH260" s="22"/>
      <c r="DI260" s="22"/>
      <c r="DJ260" s="22"/>
      <c r="DK260" s="22"/>
      <c r="DL260" s="22"/>
      <c r="DM260" s="22"/>
      <c r="DN260" s="22"/>
      <c r="DO260" s="22"/>
      <c r="DP260" s="22"/>
      <c r="DQ260" s="22"/>
      <c r="DR260" s="22"/>
      <c r="DS260" s="22"/>
      <c r="DT260" s="22"/>
      <c r="DU260" s="22"/>
      <c r="DV260" s="22"/>
      <c r="DW260" s="22"/>
      <c r="DX260" s="22"/>
      <c r="DY260" s="22"/>
      <c r="DZ260" s="22"/>
      <c r="EA260" s="22"/>
      <c r="EB260" s="22"/>
      <c r="EC260" s="22"/>
      <c r="ED260" s="22"/>
      <c r="EE260" s="22"/>
      <c r="EF260" s="22"/>
      <c r="EG260" s="22"/>
      <c r="EH260" s="22"/>
      <c r="EI260" s="22"/>
      <c r="EJ260" s="22"/>
      <c r="EK260" s="22"/>
      <c r="EL260" s="22"/>
      <c r="EM260" s="22"/>
      <c r="EN260" s="22"/>
      <c r="EO260" s="22"/>
      <c r="EP260" s="22"/>
      <c r="EQ260" s="22"/>
      <c r="ER260" s="22"/>
      <c r="ES260" s="22"/>
      <c r="ET260" s="22"/>
      <c r="EU260" s="22"/>
      <c r="EV260" s="22"/>
      <c r="EW260" s="22"/>
      <c r="EX260" s="22"/>
      <c r="EY260" s="22"/>
      <c r="EZ260" s="22"/>
      <c r="FA260" s="22"/>
      <c r="FB260" s="22"/>
      <c r="FC260" s="22"/>
      <c r="FD260" s="22"/>
      <c r="FE260" s="22"/>
      <c r="FF260" s="22"/>
      <c r="FG260" s="22"/>
      <c r="FH260" s="22"/>
      <c r="FI260" s="22"/>
      <c r="FJ260" s="22"/>
      <c r="FK260" s="22"/>
      <c r="FL260" s="22"/>
      <c r="FM260" s="22"/>
      <c r="FN260" s="22"/>
      <c r="FO260" s="22"/>
      <c r="FP260" s="22"/>
      <c r="FQ260" s="22"/>
      <c r="FR260" s="22"/>
      <c r="FS260" s="22"/>
      <c r="FT260" s="22"/>
      <c r="FU260" s="22"/>
      <c r="FV260" s="22"/>
      <c r="FW260" s="22"/>
      <c r="FX260" s="22"/>
      <c r="FY260" s="22"/>
      <c r="FZ260" s="22"/>
      <c r="GA260" s="22"/>
      <c r="GB260" s="22"/>
      <c r="GC260" s="22"/>
      <c r="GD260" s="22"/>
      <c r="GE260" s="22"/>
      <c r="GF260" s="22"/>
      <c r="GG260" s="22"/>
      <c r="GH260" s="22"/>
      <c r="GI260" s="22"/>
      <c r="GJ260" s="22"/>
      <c r="GK260" s="22"/>
      <c r="GL260" s="22"/>
      <c r="GM260" s="22"/>
      <c r="GN260" s="22"/>
      <c r="GO260" s="22"/>
      <c r="GP260" s="22"/>
      <c r="GQ260" s="22"/>
      <c r="GR260" s="22"/>
      <c r="GS260" s="22"/>
      <c r="GT260" s="22"/>
      <c r="GU260" s="22"/>
      <c r="GV260" s="22"/>
      <c r="GW260" s="22"/>
      <c r="GX260" s="22"/>
      <c r="GY260" s="22"/>
      <c r="GZ260" s="22"/>
      <c r="HA260" s="22"/>
      <c r="HB260" s="22"/>
      <c r="HC260" s="22"/>
    </row>
    <row r="261" spans="1:211" ht="15" customHeight="1" x14ac:dyDescent="0.2">
      <c r="A261" s="22"/>
      <c r="B261" s="14"/>
      <c r="C261" s="45"/>
      <c r="D261" s="46"/>
      <c r="E261" s="46"/>
      <c r="F261" s="120"/>
      <c r="G261" s="120"/>
      <c r="H261" s="47"/>
      <c r="I261" s="116"/>
      <c r="J261" s="45"/>
      <c r="K261" s="45"/>
      <c r="L261" s="73"/>
      <c r="M261" s="118"/>
      <c r="N261" s="119"/>
      <c r="O261" s="113"/>
      <c r="P261" s="115"/>
      <c r="Q261"/>
      <c r="R261"/>
      <c r="S261" s="114"/>
      <c r="T261" s="110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2"/>
      <c r="BH261" s="22"/>
      <c r="BI261" s="22"/>
      <c r="BJ261" s="22"/>
      <c r="BK261" s="22"/>
      <c r="BL261" s="22"/>
      <c r="BM261" s="22"/>
      <c r="BN261" s="22"/>
      <c r="BO261" s="22"/>
      <c r="BP261" s="22"/>
      <c r="BQ261" s="22"/>
      <c r="BR261" s="22"/>
      <c r="BS261" s="22"/>
      <c r="BT261" s="22"/>
      <c r="BU261" s="22"/>
      <c r="BV261" s="22"/>
      <c r="BW261" s="22"/>
      <c r="BX261" s="22"/>
      <c r="BY261" s="22"/>
      <c r="BZ261" s="22"/>
      <c r="CA261" s="22"/>
      <c r="CB261" s="22"/>
      <c r="CC261" s="22"/>
      <c r="CD261" s="22"/>
      <c r="CE261" s="22"/>
      <c r="CF261" s="22"/>
      <c r="CG261" s="22"/>
      <c r="CH261" s="22"/>
      <c r="CI261" s="22"/>
      <c r="CJ261" s="22"/>
      <c r="CK261" s="22"/>
      <c r="CL261" s="22"/>
      <c r="CM261" s="22"/>
      <c r="CN261" s="22"/>
      <c r="CO261" s="22"/>
      <c r="CP261" s="22"/>
      <c r="CQ261" s="22"/>
      <c r="CR261" s="22"/>
      <c r="CS261" s="22"/>
      <c r="CT261" s="22"/>
      <c r="CU261" s="22"/>
      <c r="CV261" s="22"/>
      <c r="CW261" s="22"/>
      <c r="CX261" s="22"/>
      <c r="CY261" s="22"/>
      <c r="CZ261" s="22"/>
      <c r="DA261" s="22"/>
      <c r="DB261" s="22"/>
      <c r="DC261" s="22"/>
      <c r="DD261" s="22"/>
      <c r="DE261" s="22"/>
      <c r="DF261" s="22"/>
      <c r="DG261" s="22"/>
      <c r="DH261" s="22"/>
      <c r="DI261" s="22"/>
      <c r="DJ261" s="22"/>
      <c r="DK261" s="22"/>
      <c r="DL261" s="22"/>
      <c r="DM261" s="22"/>
      <c r="DN261" s="22"/>
      <c r="DO261" s="22"/>
      <c r="DP261" s="22"/>
      <c r="DQ261" s="22"/>
      <c r="DR261" s="22"/>
      <c r="DS261" s="22"/>
      <c r="DT261" s="22"/>
      <c r="DU261" s="22"/>
      <c r="DV261" s="22"/>
      <c r="DW261" s="22"/>
      <c r="DX261" s="22"/>
      <c r="DY261" s="22"/>
      <c r="DZ261" s="22"/>
      <c r="EA261" s="22"/>
      <c r="EB261" s="22"/>
      <c r="EC261" s="22"/>
      <c r="ED261" s="22"/>
      <c r="EE261" s="22"/>
      <c r="EF261" s="22"/>
      <c r="EG261" s="22"/>
      <c r="EH261" s="22"/>
      <c r="EI261" s="22"/>
      <c r="EJ261" s="22"/>
      <c r="EK261" s="22"/>
      <c r="EL261" s="22"/>
      <c r="EM261" s="22"/>
      <c r="EN261" s="22"/>
      <c r="EO261" s="22"/>
      <c r="EP261" s="22"/>
      <c r="EQ261" s="22"/>
      <c r="ER261" s="22"/>
      <c r="ES261" s="22"/>
      <c r="ET261" s="22"/>
      <c r="EU261" s="22"/>
      <c r="EV261" s="22"/>
      <c r="EW261" s="22"/>
      <c r="EX261" s="22"/>
      <c r="EY261" s="22"/>
      <c r="EZ261" s="22"/>
      <c r="FA261" s="22"/>
      <c r="FB261" s="22"/>
      <c r="FC261" s="22"/>
      <c r="FD261" s="22"/>
      <c r="FE261" s="22"/>
      <c r="FF261" s="22"/>
      <c r="FG261" s="22"/>
      <c r="FH261" s="22"/>
      <c r="FI261" s="22"/>
      <c r="FJ261" s="22"/>
      <c r="FK261" s="22"/>
      <c r="FL261" s="22"/>
      <c r="FM261" s="22"/>
      <c r="FN261" s="22"/>
      <c r="FO261" s="22"/>
      <c r="FP261" s="22"/>
      <c r="FQ261" s="22"/>
      <c r="FR261" s="22"/>
      <c r="FS261" s="22"/>
      <c r="FT261" s="22"/>
      <c r="FU261" s="22"/>
      <c r="FV261" s="22"/>
      <c r="FW261" s="22"/>
      <c r="FX261" s="22"/>
      <c r="FY261" s="22"/>
      <c r="FZ261" s="22"/>
      <c r="GA261" s="22"/>
      <c r="GB261" s="22"/>
      <c r="GC261" s="22"/>
      <c r="GD261" s="22"/>
      <c r="GE261" s="22"/>
      <c r="GF261" s="22"/>
      <c r="GG261" s="22"/>
      <c r="GH261" s="22"/>
      <c r="GI261" s="22"/>
      <c r="GJ261" s="22"/>
      <c r="GK261" s="22"/>
      <c r="GL261" s="22"/>
      <c r="GM261" s="22"/>
      <c r="GN261" s="22"/>
      <c r="GO261" s="22"/>
      <c r="GP261" s="22"/>
      <c r="GQ261" s="22"/>
      <c r="GR261" s="22"/>
      <c r="GS261" s="22"/>
      <c r="GT261" s="22"/>
      <c r="GU261" s="22"/>
      <c r="GV261" s="22"/>
      <c r="GW261" s="22"/>
      <c r="GX261" s="22"/>
      <c r="GY261" s="22"/>
      <c r="GZ261" s="22"/>
      <c r="HA261" s="22"/>
      <c r="HB261" s="22"/>
      <c r="HC261" s="22"/>
    </row>
    <row r="262" spans="1:211" ht="15" customHeight="1" x14ac:dyDescent="0.2">
      <c r="A262" s="22"/>
      <c r="B262" s="14"/>
      <c r="C262" s="45"/>
      <c r="D262" s="46"/>
      <c r="E262" s="46"/>
      <c r="F262" s="120"/>
      <c r="G262" s="120"/>
      <c r="H262" s="47"/>
      <c r="I262" s="116"/>
      <c r="J262" s="45"/>
      <c r="K262" s="45"/>
      <c r="L262" s="73"/>
      <c r="M262" s="118"/>
      <c r="N262" s="119"/>
      <c r="O262" s="113"/>
      <c r="P262" s="115"/>
      <c r="Q262"/>
      <c r="R262"/>
      <c r="S262" s="114"/>
      <c r="T262" s="110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  <c r="BN262" s="22"/>
      <c r="BO262" s="22"/>
      <c r="BP262" s="22"/>
      <c r="BQ262" s="22"/>
      <c r="BR262" s="22"/>
      <c r="BS262" s="22"/>
      <c r="BT262" s="22"/>
      <c r="BU262" s="22"/>
      <c r="BV262" s="22"/>
      <c r="BW262" s="22"/>
      <c r="BX262" s="22"/>
      <c r="BY262" s="22"/>
      <c r="BZ262" s="22"/>
      <c r="CA262" s="22"/>
      <c r="CB262" s="22"/>
      <c r="CC262" s="22"/>
      <c r="CD262" s="22"/>
      <c r="CE262" s="22"/>
      <c r="CF262" s="22"/>
      <c r="CG262" s="22"/>
      <c r="CH262" s="22"/>
      <c r="CI262" s="22"/>
      <c r="CJ262" s="22"/>
      <c r="CK262" s="22"/>
      <c r="CL262" s="22"/>
      <c r="CM262" s="22"/>
      <c r="CN262" s="22"/>
      <c r="CO262" s="22"/>
      <c r="CP262" s="22"/>
      <c r="CQ262" s="22"/>
      <c r="CR262" s="22"/>
      <c r="CS262" s="22"/>
      <c r="CT262" s="22"/>
      <c r="CU262" s="22"/>
      <c r="CV262" s="22"/>
      <c r="CW262" s="22"/>
      <c r="CX262" s="22"/>
      <c r="CY262" s="22"/>
      <c r="CZ262" s="22"/>
      <c r="DA262" s="22"/>
      <c r="DB262" s="22"/>
      <c r="DC262" s="22"/>
      <c r="DD262" s="22"/>
      <c r="DE262" s="22"/>
      <c r="DF262" s="22"/>
      <c r="DG262" s="22"/>
      <c r="DH262" s="22"/>
      <c r="DI262" s="22"/>
      <c r="DJ262" s="22"/>
      <c r="DK262" s="22"/>
      <c r="DL262" s="22"/>
      <c r="DM262" s="22"/>
      <c r="DN262" s="22"/>
      <c r="DO262" s="22"/>
      <c r="DP262" s="22"/>
      <c r="DQ262" s="22"/>
      <c r="DR262" s="22"/>
      <c r="DS262" s="22"/>
      <c r="DT262" s="22"/>
      <c r="DU262" s="22"/>
      <c r="DV262" s="22"/>
      <c r="DW262" s="22"/>
      <c r="DX262" s="22"/>
      <c r="DY262" s="22"/>
      <c r="DZ262" s="22"/>
      <c r="EA262" s="22"/>
      <c r="EB262" s="22"/>
      <c r="EC262" s="22"/>
      <c r="ED262" s="22"/>
      <c r="EE262" s="22"/>
      <c r="EF262" s="22"/>
      <c r="EG262" s="22"/>
      <c r="EH262" s="22"/>
      <c r="EI262" s="22"/>
      <c r="EJ262" s="22"/>
      <c r="EK262" s="22"/>
      <c r="EL262" s="22"/>
      <c r="EM262" s="22"/>
      <c r="EN262" s="22"/>
      <c r="EO262" s="22"/>
      <c r="EP262" s="22"/>
      <c r="EQ262" s="22"/>
      <c r="ER262" s="22"/>
      <c r="ES262" s="22"/>
      <c r="ET262" s="22"/>
      <c r="EU262" s="22"/>
      <c r="EV262" s="22"/>
      <c r="EW262" s="22"/>
      <c r="EX262" s="22"/>
      <c r="EY262" s="22"/>
      <c r="EZ262" s="22"/>
      <c r="FA262" s="22"/>
      <c r="FB262" s="22"/>
      <c r="FC262" s="22"/>
      <c r="FD262" s="22"/>
      <c r="FE262" s="22"/>
      <c r="FF262" s="22"/>
      <c r="FG262" s="22"/>
      <c r="FH262" s="22"/>
      <c r="FI262" s="22"/>
      <c r="FJ262" s="22"/>
      <c r="FK262" s="22"/>
      <c r="FL262" s="22"/>
      <c r="FM262" s="22"/>
      <c r="FN262" s="22"/>
      <c r="FO262" s="22"/>
      <c r="FP262" s="22"/>
      <c r="FQ262" s="22"/>
      <c r="FR262" s="22"/>
      <c r="FS262" s="22"/>
      <c r="FT262" s="22"/>
      <c r="FU262" s="22"/>
      <c r="FV262" s="22"/>
      <c r="FW262" s="22"/>
      <c r="FX262" s="22"/>
      <c r="FY262" s="22"/>
      <c r="FZ262" s="22"/>
      <c r="GA262" s="22"/>
      <c r="GB262" s="22"/>
      <c r="GC262" s="22"/>
      <c r="GD262" s="22"/>
      <c r="GE262" s="22"/>
      <c r="GF262" s="22"/>
      <c r="GG262" s="22"/>
      <c r="GH262" s="22"/>
      <c r="GI262" s="22"/>
      <c r="GJ262" s="22"/>
      <c r="GK262" s="22"/>
      <c r="GL262" s="22"/>
      <c r="GM262" s="22"/>
      <c r="GN262" s="22"/>
      <c r="GO262" s="22"/>
      <c r="GP262" s="22"/>
      <c r="GQ262" s="22"/>
      <c r="GR262" s="22"/>
      <c r="GS262" s="22"/>
      <c r="GT262" s="22"/>
      <c r="GU262" s="22"/>
      <c r="GV262" s="22"/>
      <c r="GW262" s="22"/>
      <c r="GX262" s="22"/>
      <c r="GY262" s="22"/>
      <c r="GZ262" s="22"/>
      <c r="HA262" s="22"/>
      <c r="HB262" s="22"/>
      <c r="HC262" s="22"/>
    </row>
    <row r="263" spans="1:211" ht="15" customHeight="1" x14ac:dyDescent="0.2">
      <c r="A263" s="22"/>
      <c r="B263" s="14"/>
      <c r="C263" s="45"/>
      <c r="D263" s="46"/>
      <c r="E263" s="46"/>
      <c r="F263" s="120"/>
      <c r="G263" s="120"/>
      <c r="H263" s="47"/>
      <c r="I263" s="116"/>
      <c r="J263" s="45"/>
      <c r="K263" s="45"/>
      <c r="L263" s="73"/>
      <c r="M263" s="118"/>
      <c r="N263" s="119"/>
      <c r="O263" s="113"/>
      <c r="P263" s="115"/>
      <c r="Q263"/>
      <c r="R263"/>
      <c r="S263" s="114"/>
      <c r="T263" s="110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2"/>
      <c r="BH263" s="22"/>
      <c r="BI263" s="22"/>
      <c r="BJ263" s="22"/>
      <c r="BK263" s="22"/>
      <c r="BL263" s="22"/>
      <c r="BM263" s="22"/>
      <c r="BN263" s="22"/>
      <c r="BO263" s="22"/>
      <c r="BP263" s="22"/>
      <c r="BQ263" s="22"/>
      <c r="BR263" s="22"/>
      <c r="BS263" s="22"/>
      <c r="BT263" s="22"/>
      <c r="BU263" s="22"/>
      <c r="BV263" s="22"/>
      <c r="BW263" s="22"/>
      <c r="BX263" s="22"/>
      <c r="BY263" s="22"/>
      <c r="BZ263" s="22"/>
      <c r="CA263" s="22"/>
      <c r="CB263" s="22"/>
      <c r="CC263" s="22"/>
      <c r="CD263" s="22"/>
      <c r="CE263" s="22"/>
      <c r="CF263" s="22"/>
      <c r="CG263" s="22"/>
      <c r="CH263" s="22"/>
      <c r="CI263" s="22"/>
      <c r="CJ263" s="22"/>
      <c r="CK263" s="22"/>
      <c r="CL263" s="22"/>
      <c r="CM263" s="22"/>
      <c r="CN263" s="22"/>
      <c r="CO263" s="22"/>
      <c r="CP263" s="22"/>
      <c r="CQ263" s="22"/>
      <c r="CR263" s="22"/>
      <c r="CS263" s="22"/>
      <c r="CT263" s="22"/>
      <c r="CU263" s="22"/>
      <c r="CV263" s="22"/>
      <c r="CW263" s="22"/>
      <c r="CX263" s="22"/>
      <c r="CY263" s="22"/>
      <c r="CZ263" s="22"/>
      <c r="DA263" s="22"/>
      <c r="DB263" s="22"/>
      <c r="DC263" s="22"/>
      <c r="DD263" s="22"/>
      <c r="DE263" s="22"/>
      <c r="DF263" s="22"/>
      <c r="DG263" s="22"/>
      <c r="DH263" s="22"/>
      <c r="DI263" s="22"/>
      <c r="DJ263" s="22"/>
      <c r="DK263" s="22"/>
      <c r="DL263" s="22"/>
      <c r="DM263" s="22"/>
      <c r="DN263" s="22"/>
      <c r="DO263" s="22"/>
      <c r="DP263" s="22"/>
      <c r="DQ263" s="22"/>
      <c r="DR263" s="22"/>
      <c r="DS263" s="22"/>
      <c r="DT263" s="22"/>
      <c r="DU263" s="22"/>
      <c r="DV263" s="22"/>
      <c r="DW263" s="22"/>
      <c r="DX263" s="22"/>
      <c r="DY263" s="22"/>
      <c r="DZ263" s="22"/>
      <c r="EA263" s="22"/>
      <c r="EB263" s="22"/>
      <c r="EC263" s="22"/>
      <c r="ED263" s="22"/>
      <c r="EE263" s="22"/>
      <c r="EF263" s="22"/>
      <c r="EG263" s="22"/>
      <c r="EH263" s="22"/>
      <c r="EI263" s="22"/>
      <c r="EJ263" s="22"/>
      <c r="EK263" s="22"/>
      <c r="EL263" s="22"/>
      <c r="EM263" s="22"/>
      <c r="EN263" s="22"/>
      <c r="EO263" s="22"/>
      <c r="EP263" s="22"/>
      <c r="EQ263" s="22"/>
      <c r="ER263" s="22"/>
      <c r="ES263" s="22"/>
      <c r="ET263" s="22"/>
      <c r="EU263" s="22"/>
      <c r="EV263" s="22"/>
      <c r="EW263" s="22"/>
      <c r="EX263" s="22"/>
      <c r="EY263" s="22"/>
      <c r="EZ263" s="22"/>
      <c r="FA263" s="22"/>
      <c r="FB263" s="22"/>
      <c r="FC263" s="22"/>
      <c r="FD263" s="22"/>
      <c r="FE263" s="22"/>
      <c r="FF263" s="22"/>
      <c r="FG263" s="22"/>
      <c r="FH263" s="22"/>
      <c r="FI263" s="22"/>
      <c r="FJ263" s="22"/>
      <c r="FK263" s="22"/>
      <c r="FL263" s="22"/>
      <c r="FM263" s="22"/>
      <c r="FN263" s="22"/>
      <c r="FO263" s="22"/>
      <c r="FP263" s="22"/>
      <c r="FQ263" s="22"/>
      <c r="FR263" s="22"/>
      <c r="FS263" s="22"/>
      <c r="FT263" s="22"/>
      <c r="FU263" s="22"/>
      <c r="FV263" s="22"/>
      <c r="FW263" s="22"/>
      <c r="FX263" s="22"/>
      <c r="FY263" s="22"/>
      <c r="FZ263" s="22"/>
      <c r="GA263" s="22"/>
      <c r="GB263" s="22"/>
      <c r="GC263" s="22"/>
      <c r="GD263" s="22"/>
      <c r="GE263" s="22"/>
      <c r="GF263" s="22"/>
      <c r="GG263" s="22"/>
      <c r="GH263" s="22"/>
      <c r="GI263" s="22"/>
      <c r="GJ263" s="22"/>
      <c r="GK263" s="22"/>
      <c r="GL263" s="22"/>
      <c r="GM263" s="22"/>
      <c r="GN263" s="22"/>
      <c r="GO263" s="22"/>
      <c r="GP263" s="22"/>
      <c r="GQ263" s="22"/>
      <c r="GR263" s="22"/>
      <c r="GS263" s="22"/>
      <c r="GT263" s="22"/>
      <c r="GU263" s="22"/>
      <c r="GV263" s="22"/>
      <c r="GW263" s="22"/>
      <c r="GX263" s="22"/>
      <c r="GY263" s="22"/>
      <c r="GZ263" s="22"/>
      <c r="HA263" s="22"/>
      <c r="HB263" s="22"/>
      <c r="HC263" s="22"/>
    </row>
    <row r="264" spans="1:211" ht="15" customHeight="1" x14ac:dyDescent="0.2">
      <c r="A264" s="22"/>
      <c r="B264" s="14"/>
      <c r="C264" s="45"/>
      <c r="D264" s="46"/>
      <c r="E264" s="46"/>
      <c r="F264" s="120"/>
      <c r="G264" s="120"/>
      <c r="H264" s="47"/>
      <c r="I264" s="116"/>
      <c r="J264" s="45"/>
      <c r="K264" s="73"/>
      <c r="L264" s="73"/>
      <c r="M264" s="118"/>
      <c r="N264" s="119"/>
      <c r="O264" s="113"/>
      <c r="P264" s="115"/>
      <c r="Q264"/>
      <c r="R264"/>
      <c r="S264" s="114"/>
      <c r="T264" s="110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22"/>
      <c r="BA264" s="22"/>
      <c r="BB264" s="22"/>
      <c r="BC264" s="22"/>
      <c r="BD264" s="22"/>
      <c r="BE264" s="22"/>
      <c r="BF264" s="22"/>
      <c r="BG264" s="22"/>
      <c r="BH264" s="22"/>
      <c r="BI264" s="22"/>
      <c r="BJ264" s="22"/>
      <c r="BK264" s="22"/>
      <c r="BL264" s="22"/>
      <c r="BM264" s="22"/>
      <c r="BN264" s="22"/>
      <c r="BO264" s="22"/>
      <c r="BP264" s="22"/>
      <c r="BQ264" s="22"/>
      <c r="BR264" s="22"/>
      <c r="BS264" s="22"/>
      <c r="BT264" s="22"/>
      <c r="BU264" s="22"/>
      <c r="BV264" s="22"/>
      <c r="BW264" s="22"/>
      <c r="BX264" s="22"/>
      <c r="BY264" s="22"/>
      <c r="BZ264" s="22"/>
      <c r="CA264" s="22"/>
      <c r="CB264" s="22"/>
      <c r="CC264" s="22"/>
      <c r="CD264" s="22"/>
      <c r="CE264" s="22"/>
      <c r="CF264" s="22"/>
      <c r="CG264" s="22"/>
      <c r="CH264" s="22"/>
      <c r="CI264" s="22"/>
      <c r="CJ264" s="22"/>
      <c r="CK264" s="22"/>
      <c r="CL264" s="22"/>
      <c r="CM264" s="22"/>
      <c r="CN264" s="22"/>
      <c r="CO264" s="22"/>
      <c r="CP264" s="22"/>
      <c r="CQ264" s="22"/>
      <c r="CR264" s="22"/>
      <c r="CS264" s="22"/>
      <c r="CT264" s="22"/>
      <c r="CU264" s="22"/>
      <c r="CV264" s="22"/>
      <c r="CW264" s="22"/>
      <c r="CX264" s="22"/>
      <c r="CY264" s="22"/>
      <c r="CZ264" s="22"/>
      <c r="DA264" s="22"/>
      <c r="DB264" s="22"/>
      <c r="DC264" s="22"/>
      <c r="DD264" s="22"/>
      <c r="DE264" s="22"/>
      <c r="DF264" s="22"/>
      <c r="DG264" s="22"/>
      <c r="DH264" s="22"/>
      <c r="DI264" s="22"/>
      <c r="DJ264" s="22"/>
      <c r="DK264" s="22"/>
      <c r="DL264" s="22"/>
      <c r="DM264" s="22"/>
      <c r="DN264" s="22"/>
      <c r="DO264" s="22"/>
      <c r="DP264" s="22"/>
      <c r="DQ264" s="22"/>
      <c r="DR264" s="22"/>
      <c r="DS264" s="22"/>
      <c r="DT264" s="22"/>
      <c r="DU264" s="22"/>
      <c r="DV264" s="22"/>
      <c r="DW264" s="22"/>
      <c r="DX264" s="22"/>
      <c r="DY264" s="22"/>
      <c r="DZ264" s="22"/>
      <c r="EA264" s="22"/>
      <c r="EB264" s="22"/>
      <c r="EC264" s="22"/>
      <c r="ED264" s="22"/>
      <c r="EE264" s="22"/>
      <c r="EF264" s="22"/>
      <c r="EG264" s="22"/>
      <c r="EH264" s="22"/>
      <c r="EI264" s="22"/>
      <c r="EJ264" s="22"/>
      <c r="EK264" s="22"/>
      <c r="EL264" s="22"/>
      <c r="EM264" s="22"/>
      <c r="EN264" s="22"/>
      <c r="EO264" s="22"/>
      <c r="EP264" s="22"/>
      <c r="EQ264" s="22"/>
      <c r="ER264" s="22"/>
      <c r="ES264" s="22"/>
      <c r="ET264" s="22"/>
      <c r="EU264" s="22"/>
      <c r="EV264" s="22"/>
      <c r="EW264" s="22"/>
      <c r="EX264" s="22"/>
      <c r="EY264" s="22"/>
      <c r="EZ264" s="22"/>
      <c r="FA264" s="22"/>
      <c r="FB264" s="22"/>
      <c r="FC264" s="22"/>
      <c r="FD264" s="22"/>
      <c r="FE264" s="22"/>
      <c r="FF264" s="22"/>
      <c r="FG264" s="22"/>
      <c r="FH264" s="22"/>
      <c r="FI264" s="22"/>
      <c r="FJ264" s="22"/>
      <c r="FK264" s="22"/>
      <c r="FL264" s="22"/>
      <c r="FM264" s="22"/>
      <c r="FN264" s="22"/>
      <c r="FO264" s="22"/>
      <c r="FP264" s="22"/>
      <c r="FQ264" s="22"/>
      <c r="FR264" s="22"/>
      <c r="FS264" s="22"/>
      <c r="FT264" s="22"/>
      <c r="FU264" s="22"/>
      <c r="FV264" s="22"/>
      <c r="FW264" s="22"/>
      <c r="FX264" s="22"/>
      <c r="FY264" s="22"/>
      <c r="FZ264" s="22"/>
      <c r="GA264" s="22"/>
      <c r="GB264" s="22"/>
      <c r="GC264" s="22"/>
      <c r="GD264" s="22"/>
      <c r="GE264" s="22"/>
      <c r="GF264" s="22"/>
      <c r="GG264" s="22"/>
      <c r="GH264" s="22"/>
      <c r="GI264" s="22"/>
      <c r="GJ264" s="22"/>
      <c r="GK264" s="22"/>
      <c r="GL264" s="22"/>
      <c r="GM264" s="22"/>
      <c r="GN264" s="22"/>
      <c r="GO264" s="22"/>
      <c r="GP264" s="22"/>
      <c r="GQ264" s="22"/>
      <c r="GR264" s="22"/>
      <c r="GS264" s="22"/>
      <c r="GT264" s="22"/>
      <c r="GU264" s="22"/>
      <c r="GV264" s="22"/>
      <c r="GW264" s="22"/>
      <c r="GX264" s="22"/>
      <c r="GY264" s="22"/>
      <c r="GZ264" s="22"/>
      <c r="HA264" s="22"/>
      <c r="HB264" s="22"/>
      <c r="HC264" s="22"/>
    </row>
    <row r="265" spans="1:211" ht="15" customHeight="1" x14ac:dyDescent="0.2">
      <c r="A265" s="22"/>
      <c r="B265" s="14"/>
      <c r="C265" s="45"/>
      <c r="D265" s="46"/>
      <c r="E265" s="46"/>
      <c r="F265" s="120"/>
      <c r="G265" s="120"/>
      <c r="H265" s="47"/>
      <c r="I265" s="116"/>
      <c r="J265" s="45"/>
      <c r="K265" s="73"/>
      <c r="L265" s="73"/>
      <c r="M265" s="118"/>
      <c r="N265" s="119"/>
      <c r="O265" s="113"/>
      <c r="P265" s="115"/>
      <c r="Q265"/>
      <c r="R265"/>
      <c r="S265" s="114"/>
      <c r="T265" s="110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2"/>
      <c r="BH265" s="22"/>
      <c r="BI265" s="22"/>
      <c r="BJ265" s="22"/>
      <c r="BK265" s="22"/>
      <c r="BL265" s="22"/>
      <c r="BM265" s="22"/>
      <c r="BN265" s="22"/>
      <c r="BO265" s="22"/>
      <c r="BP265" s="22"/>
      <c r="BQ265" s="22"/>
      <c r="BR265" s="22"/>
      <c r="BS265" s="22"/>
      <c r="BT265" s="22"/>
      <c r="BU265" s="22"/>
      <c r="BV265" s="22"/>
      <c r="BW265" s="22"/>
      <c r="BX265" s="22"/>
      <c r="BY265" s="22"/>
      <c r="BZ265" s="22"/>
      <c r="CA265" s="22"/>
      <c r="CB265" s="22"/>
      <c r="CC265" s="22"/>
      <c r="CD265" s="22"/>
      <c r="CE265" s="22"/>
      <c r="CF265" s="22"/>
      <c r="CG265" s="22"/>
      <c r="CH265" s="22"/>
      <c r="CI265" s="22"/>
      <c r="CJ265" s="22"/>
      <c r="CK265" s="22"/>
      <c r="CL265" s="22"/>
      <c r="CM265" s="22"/>
      <c r="CN265" s="22"/>
      <c r="CO265" s="22"/>
      <c r="CP265" s="22"/>
      <c r="CQ265" s="22"/>
      <c r="CR265" s="22"/>
      <c r="CS265" s="22"/>
      <c r="CT265" s="22"/>
      <c r="CU265" s="22"/>
      <c r="CV265" s="22"/>
      <c r="CW265" s="22"/>
      <c r="CX265" s="22"/>
      <c r="CY265" s="22"/>
      <c r="CZ265" s="22"/>
      <c r="DA265" s="22"/>
      <c r="DB265" s="22"/>
      <c r="DC265" s="22"/>
      <c r="DD265" s="22"/>
      <c r="DE265" s="22"/>
      <c r="DF265" s="22"/>
      <c r="DG265" s="22"/>
      <c r="DH265" s="22"/>
      <c r="DI265" s="22"/>
      <c r="DJ265" s="22"/>
      <c r="DK265" s="22"/>
      <c r="DL265" s="22"/>
      <c r="DM265" s="22"/>
      <c r="DN265" s="22"/>
      <c r="DO265" s="22"/>
      <c r="DP265" s="22"/>
      <c r="DQ265" s="22"/>
      <c r="DR265" s="22"/>
      <c r="DS265" s="22"/>
      <c r="DT265" s="22"/>
      <c r="DU265" s="22"/>
      <c r="DV265" s="22"/>
      <c r="DW265" s="22"/>
      <c r="DX265" s="22"/>
      <c r="DY265" s="22"/>
      <c r="DZ265" s="22"/>
      <c r="EA265" s="22"/>
      <c r="EB265" s="22"/>
      <c r="EC265" s="22"/>
      <c r="ED265" s="22"/>
      <c r="EE265" s="22"/>
      <c r="EF265" s="22"/>
      <c r="EG265" s="22"/>
      <c r="EH265" s="22"/>
      <c r="EI265" s="22"/>
      <c r="EJ265" s="22"/>
      <c r="EK265" s="22"/>
      <c r="EL265" s="22"/>
      <c r="EM265" s="22"/>
      <c r="EN265" s="22"/>
      <c r="EO265" s="22"/>
      <c r="EP265" s="22"/>
      <c r="EQ265" s="22"/>
      <c r="ER265" s="22"/>
      <c r="ES265" s="22"/>
      <c r="ET265" s="22"/>
      <c r="EU265" s="22"/>
      <c r="EV265" s="22"/>
      <c r="EW265" s="22"/>
      <c r="EX265" s="22"/>
      <c r="EY265" s="22"/>
      <c r="EZ265" s="22"/>
      <c r="FA265" s="22"/>
      <c r="FB265" s="22"/>
      <c r="FC265" s="22"/>
      <c r="FD265" s="22"/>
      <c r="FE265" s="22"/>
      <c r="FF265" s="22"/>
      <c r="FG265" s="22"/>
      <c r="FH265" s="22"/>
      <c r="FI265" s="22"/>
      <c r="FJ265" s="22"/>
      <c r="FK265" s="22"/>
      <c r="FL265" s="22"/>
      <c r="FM265" s="22"/>
      <c r="FN265" s="22"/>
      <c r="FO265" s="22"/>
      <c r="FP265" s="22"/>
      <c r="FQ265" s="22"/>
      <c r="FR265" s="22"/>
      <c r="FS265" s="22"/>
      <c r="FT265" s="22"/>
      <c r="FU265" s="22"/>
      <c r="FV265" s="22"/>
      <c r="FW265" s="22"/>
      <c r="FX265" s="22"/>
      <c r="FY265" s="22"/>
      <c r="FZ265" s="22"/>
      <c r="GA265" s="22"/>
      <c r="GB265" s="22"/>
      <c r="GC265" s="22"/>
      <c r="GD265" s="22"/>
      <c r="GE265" s="22"/>
      <c r="GF265" s="22"/>
      <c r="GG265" s="22"/>
      <c r="GH265" s="22"/>
      <c r="GI265" s="22"/>
      <c r="GJ265" s="22"/>
      <c r="GK265" s="22"/>
      <c r="GL265" s="22"/>
      <c r="GM265" s="22"/>
      <c r="GN265" s="22"/>
      <c r="GO265" s="22"/>
      <c r="GP265" s="22"/>
      <c r="GQ265" s="22"/>
      <c r="GR265" s="22"/>
      <c r="GS265" s="22"/>
      <c r="GT265" s="22"/>
      <c r="GU265" s="22"/>
      <c r="GV265" s="22"/>
      <c r="GW265" s="22"/>
      <c r="GX265" s="22"/>
      <c r="GY265" s="22"/>
      <c r="GZ265" s="22"/>
      <c r="HA265" s="22"/>
      <c r="HB265" s="22"/>
      <c r="HC265" s="22"/>
    </row>
    <row r="266" spans="1:211" ht="15" customHeight="1" x14ac:dyDescent="0.2">
      <c r="A266" s="22"/>
      <c r="B266" s="14"/>
      <c r="C266" s="45"/>
      <c r="D266" s="46"/>
      <c r="E266" s="46"/>
      <c r="F266" s="120"/>
      <c r="G266" s="120"/>
      <c r="H266" s="47"/>
      <c r="I266" s="116"/>
      <c r="J266" s="45"/>
      <c r="K266" s="45"/>
      <c r="L266" s="73"/>
      <c r="M266" s="118"/>
      <c r="N266" s="119"/>
      <c r="O266" s="113"/>
      <c r="P266" s="115"/>
      <c r="Q266"/>
      <c r="R266"/>
      <c r="S266" s="114"/>
      <c r="T266" s="110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22"/>
      <c r="BA266" s="22"/>
      <c r="BB266" s="22"/>
      <c r="BC266" s="22"/>
      <c r="BD266" s="22"/>
      <c r="BE266" s="22"/>
      <c r="BF266" s="22"/>
      <c r="BG266" s="22"/>
      <c r="BH266" s="22"/>
      <c r="BI266" s="22"/>
      <c r="BJ266" s="22"/>
      <c r="BK266" s="22"/>
      <c r="BL266" s="22"/>
      <c r="BM266" s="22"/>
      <c r="BN266" s="22"/>
      <c r="BO266" s="22"/>
      <c r="BP266" s="22"/>
      <c r="BQ266" s="22"/>
      <c r="BR266" s="22"/>
      <c r="BS266" s="22"/>
      <c r="BT266" s="22"/>
      <c r="BU266" s="22"/>
      <c r="BV266" s="22"/>
      <c r="BW266" s="22"/>
      <c r="BX266" s="22"/>
      <c r="BY266" s="22"/>
      <c r="BZ266" s="22"/>
      <c r="CA266" s="22"/>
      <c r="CB266" s="22"/>
      <c r="CC266" s="22"/>
      <c r="CD266" s="22"/>
      <c r="CE266" s="22"/>
      <c r="CF266" s="22"/>
      <c r="CG266" s="22"/>
      <c r="CH266" s="22"/>
      <c r="CI266" s="22"/>
      <c r="CJ266" s="22"/>
      <c r="CK266" s="22"/>
      <c r="CL266" s="22"/>
      <c r="CM266" s="22"/>
      <c r="CN266" s="22"/>
      <c r="CO266" s="22"/>
      <c r="CP266" s="22"/>
      <c r="CQ266" s="22"/>
      <c r="CR266" s="22"/>
      <c r="CS266" s="22"/>
      <c r="CT266" s="22"/>
      <c r="CU266" s="22"/>
      <c r="CV266" s="22"/>
      <c r="CW266" s="22"/>
      <c r="CX266" s="22"/>
      <c r="CY266" s="22"/>
      <c r="CZ266" s="22"/>
      <c r="DA266" s="22"/>
      <c r="DB266" s="22"/>
      <c r="DC266" s="22"/>
      <c r="DD266" s="22"/>
      <c r="DE266" s="22"/>
      <c r="DF266" s="22"/>
      <c r="DG266" s="22"/>
      <c r="DH266" s="22"/>
      <c r="DI266" s="22"/>
      <c r="DJ266" s="22"/>
      <c r="DK266" s="22"/>
      <c r="DL266" s="22"/>
      <c r="DM266" s="22"/>
      <c r="DN266" s="22"/>
      <c r="DO266" s="22"/>
      <c r="DP266" s="22"/>
      <c r="DQ266" s="22"/>
      <c r="DR266" s="22"/>
      <c r="DS266" s="22"/>
      <c r="DT266" s="22"/>
      <c r="DU266" s="22"/>
      <c r="DV266" s="22"/>
      <c r="DW266" s="22"/>
      <c r="DX266" s="22"/>
      <c r="DY266" s="22"/>
      <c r="DZ266" s="22"/>
      <c r="EA266" s="22"/>
      <c r="EB266" s="22"/>
      <c r="EC266" s="22"/>
      <c r="ED266" s="22"/>
      <c r="EE266" s="22"/>
      <c r="EF266" s="22"/>
      <c r="EG266" s="22"/>
      <c r="EH266" s="22"/>
      <c r="EI266" s="22"/>
      <c r="EJ266" s="22"/>
      <c r="EK266" s="22"/>
      <c r="EL266" s="22"/>
      <c r="EM266" s="22"/>
      <c r="EN266" s="22"/>
      <c r="EO266" s="22"/>
      <c r="EP266" s="22"/>
      <c r="EQ266" s="22"/>
      <c r="ER266" s="22"/>
      <c r="ES266" s="22"/>
      <c r="ET266" s="22"/>
      <c r="EU266" s="22"/>
      <c r="EV266" s="22"/>
      <c r="EW266" s="22"/>
      <c r="EX266" s="22"/>
      <c r="EY266" s="22"/>
      <c r="EZ266" s="22"/>
      <c r="FA266" s="22"/>
      <c r="FB266" s="22"/>
      <c r="FC266" s="22"/>
      <c r="FD266" s="22"/>
      <c r="FE266" s="22"/>
      <c r="FF266" s="22"/>
      <c r="FG266" s="22"/>
      <c r="FH266" s="22"/>
      <c r="FI266" s="22"/>
      <c r="FJ266" s="22"/>
      <c r="FK266" s="22"/>
      <c r="FL266" s="22"/>
      <c r="FM266" s="22"/>
      <c r="FN266" s="22"/>
      <c r="FO266" s="22"/>
      <c r="FP266" s="22"/>
      <c r="FQ266" s="22"/>
      <c r="FR266" s="22"/>
      <c r="FS266" s="22"/>
      <c r="FT266" s="22"/>
      <c r="FU266" s="22"/>
      <c r="FV266" s="22"/>
      <c r="FW266" s="22"/>
      <c r="FX266" s="22"/>
      <c r="FY266" s="22"/>
      <c r="FZ266" s="22"/>
      <c r="GA266" s="22"/>
      <c r="GB266" s="22"/>
      <c r="GC266" s="22"/>
      <c r="GD266" s="22"/>
      <c r="GE266" s="22"/>
      <c r="GF266" s="22"/>
      <c r="GG266" s="22"/>
      <c r="GH266" s="22"/>
      <c r="GI266" s="22"/>
      <c r="GJ266" s="22"/>
      <c r="GK266" s="22"/>
      <c r="GL266" s="22"/>
      <c r="GM266" s="22"/>
      <c r="GN266" s="22"/>
      <c r="GO266" s="22"/>
      <c r="GP266" s="22"/>
      <c r="GQ266" s="22"/>
      <c r="GR266" s="22"/>
      <c r="GS266" s="22"/>
      <c r="GT266" s="22"/>
      <c r="GU266" s="22"/>
      <c r="GV266" s="22"/>
      <c r="GW266" s="22"/>
      <c r="GX266" s="22"/>
      <c r="GY266" s="22"/>
      <c r="GZ266" s="22"/>
      <c r="HA266" s="22"/>
      <c r="HB266" s="22"/>
      <c r="HC266" s="22"/>
    </row>
    <row r="267" spans="1:211" ht="15" customHeight="1" x14ac:dyDescent="0.2">
      <c r="A267" s="22"/>
      <c r="B267" s="14"/>
      <c r="C267" s="45"/>
      <c r="D267" s="46"/>
      <c r="E267" s="46"/>
      <c r="F267" s="120"/>
      <c r="G267" s="120"/>
      <c r="H267" s="47"/>
      <c r="I267" s="116"/>
      <c r="J267" s="45"/>
      <c r="K267" s="73"/>
      <c r="L267" s="73"/>
      <c r="M267" s="118"/>
      <c r="N267" s="119"/>
      <c r="O267" s="113"/>
      <c r="P267" s="115"/>
      <c r="Q267"/>
      <c r="R267"/>
      <c r="S267" s="114"/>
      <c r="T267" s="110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2"/>
      <c r="BH267" s="22"/>
      <c r="BI267" s="22"/>
      <c r="BJ267" s="22"/>
      <c r="BK267" s="22"/>
      <c r="BL267" s="22"/>
      <c r="BM267" s="22"/>
      <c r="BN267" s="22"/>
      <c r="BO267" s="22"/>
      <c r="BP267" s="22"/>
      <c r="BQ267" s="22"/>
      <c r="BR267" s="22"/>
      <c r="BS267" s="22"/>
      <c r="BT267" s="22"/>
      <c r="BU267" s="22"/>
      <c r="BV267" s="22"/>
      <c r="BW267" s="22"/>
      <c r="BX267" s="22"/>
      <c r="BY267" s="22"/>
      <c r="BZ267" s="22"/>
      <c r="CA267" s="22"/>
      <c r="CB267" s="22"/>
      <c r="CC267" s="22"/>
      <c r="CD267" s="22"/>
      <c r="CE267" s="22"/>
      <c r="CF267" s="22"/>
      <c r="CG267" s="22"/>
      <c r="CH267" s="22"/>
      <c r="CI267" s="22"/>
      <c r="CJ267" s="22"/>
      <c r="CK267" s="22"/>
      <c r="CL267" s="22"/>
      <c r="CM267" s="22"/>
      <c r="CN267" s="22"/>
      <c r="CO267" s="22"/>
      <c r="CP267" s="22"/>
      <c r="CQ267" s="22"/>
      <c r="CR267" s="22"/>
      <c r="CS267" s="22"/>
      <c r="CT267" s="22"/>
      <c r="CU267" s="22"/>
      <c r="CV267" s="22"/>
      <c r="CW267" s="22"/>
      <c r="CX267" s="22"/>
      <c r="CY267" s="22"/>
      <c r="CZ267" s="22"/>
      <c r="DA267" s="22"/>
      <c r="DB267" s="22"/>
      <c r="DC267" s="22"/>
      <c r="DD267" s="22"/>
      <c r="DE267" s="22"/>
      <c r="DF267" s="22"/>
      <c r="DG267" s="22"/>
      <c r="DH267" s="22"/>
      <c r="DI267" s="22"/>
      <c r="DJ267" s="22"/>
      <c r="DK267" s="22"/>
      <c r="DL267" s="22"/>
      <c r="DM267" s="22"/>
      <c r="DN267" s="22"/>
      <c r="DO267" s="22"/>
      <c r="DP267" s="22"/>
      <c r="DQ267" s="22"/>
      <c r="DR267" s="22"/>
      <c r="DS267" s="22"/>
      <c r="DT267" s="22"/>
      <c r="DU267" s="22"/>
      <c r="DV267" s="22"/>
      <c r="DW267" s="22"/>
      <c r="DX267" s="22"/>
      <c r="DY267" s="22"/>
      <c r="DZ267" s="22"/>
      <c r="EA267" s="22"/>
      <c r="EB267" s="22"/>
      <c r="EC267" s="22"/>
      <c r="ED267" s="22"/>
      <c r="EE267" s="22"/>
      <c r="EF267" s="22"/>
      <c r="EG267" s="22"/>
      <c r="EH267" s="22"/>
      <c r="EI267" s="22"/>
      <c r="EJ267" s="22"/>
      <c r="EK267" s="22"/>
      <c r="EL267" s="22"/>
      <c r="EM267" s="22"/>
      <c r="EN267" s="22"/>
      <c r="EO267" s="22"/>
      <c r="EP267" s="22"/>
      <c r="EQ267" s="22"/>
      <c r="ER267" s="22"/>
      <c r="ES267" s="22"/>
      <c r="ET267" s="22"/>
      <c r="EU267" s="22"/>
      <c r="EV267" s="22"/>
      <c r="EW267" s="22"/>
      <c r="EX267" s="22"/>
      <c r="EY267" s="22"/>
      <c r="EZ267" s="22"/>
      <c r="FA267" s="22"/>
      <c r="FB267" s="22"/>
      <c r="FC267" s="22"/>
      <c r="FD267" s="22"/>
      <c r="FE267" s="22"/>
      <c r="FF267" s="22"/>
      <c r="FG267" s="22"/>
      <c r="FH267" s="22"/>
      <c r="FI267" s="22"/>
      <c r="FJ267" s="22"/>
      <c r="FK267" s="22"/>
      <c r="FL267" s="22"/>
      <c r="FM267" s="22"/>
      <c r="FN267" s="22"/>
      <c r="FO267" s="22"/>
      <c r="FP267" s="22"/>
      <c r="FQ267" s="22"/>
      <c r="FR267" s="22"/>
      <c r="FS267" s="22"/>
      <c r="FT267" s="22"/>
      <c r="FU267" s="22"/>
      <c r="FV267" s="22"/>
      <c r="FW267" s="22"/>
      <c r="FX267" s="22"/>
      <c r="FY267" s="22"/>
      <c r="FZ267" s="22"/>
      <c r="GA267" s="22"/>
      <c r="GB267" s="22"/>
      <c r="GC267" s="22"/>
      <c r="GD267" s="22"/>
      <c r="GE267" s="22"/>
      <c r="GF267" s="22"/>
      <c r="GG267" s="22"/>
      <c r="GH267" s="22"/>
      <c r="GI267" s="22"/>
      <c r="GJ267" s="22"/>
      <c r="GK267" s="22"/>
      <c r="GL267" s="22"/>
      <c r="GM267" s="22"/>
      <c r="GN267" s="22"/>
      <c r="GO267" s="22"/>
      <c r="GP267" s="22"/>
      <c r="GQ267" s="22"/>
      <c r="GR267" s="22"/>
      <c r="GS267" s="22"/>
      <c r="GT267" s="22"/>
      <c r="GU267" s="22"/>
      <c r="GV267" s="22"/>
      <c r="GW267" s="22"/>
      <c r="GX267" s="22"/>
      <c r="GY267" s="22"/>
      <c r="GZ267" s="22"/>
      <c r="HA267" s="22"/>
      <c r="HB267" s="22"/>
      <c r="HC267" s="22"/>
    </row>
    <row r="268" spans="1:211" ht="15" customHeight="1" x14ac:dyDescent="0.2">
      <c r="A268" s="22"/>
      <c r="B268" s="14"/>
      <c r="C268" s="45"/>
      <c r="D268" s="46"/>
      <c r="E268" s="46"/>
      <c r="F268" s="120"/>
      <c r="G268" s="120"/>
      <c r="H268" s="47"/>
      <c r="I268" s="116"/>
      <c r="J268" s="45"/>
      <c r="K268" s="45"/>
      <c r="L268" s="73"/>
      <c r="M268" s="118"/>
      <c r="N268" s="119"/>
      <c r="O268" s="113"/>
      <c r="P268" s="115"/>
      <c r="Q268"/>
      <c r="R268"/>
      <c r="S268" s="114"/>
      <c r="T268" s="110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22"/>
      <c r="BA268" s="22"/>
      <c r="BB268" s="22"/>
      <c r="BC268" s="22"/>
      <c r="BD268" s="22"/>
      <c r="BE268" s="22"/>
      <c r="BF268" s="22"/>
      <c r="BG268" s="22"/>
      <c r="BH268" s="22"/>
      <c r="BI268" s="22"/>
      <c r="BJ268" s="22"/>
      <c r="BK268" s="22"/>
      <c r="BL268" s="22"/>
      <c r="BM268" s="22"/>
      <c r="BN268" s="22"/>
      <c r="BO268" s="22"/>
      <c r="BP268" s="22"/>
      <c r="BQ268" s="22"/>
      <c r="BR268" s="22"/>
      <c r="BS268" s="22"/>
      <c r="BT268" s="22"/>
      <c r="BU268" s="22"/>
      <c r="BV268" s="22"/>
      <c r="BW268" s="22"/>
      <c r="BX268" s="22"/>
      <c r="BY268" s="22"/>
      <c r="BZ268" s="22"/>
      <c r="CA268" s="22"/>
      <c r="CB268" s="22"/>
      <c r="CC268" s="22"/>
      <c r="CD268" s="22"/>
      <c r="CE268" s="22"/>
      <c r="CF268" s="22"/>
      <c r="CG268" s="22"/>
      <c r="CH268" s="22"/>
      <c r="CI268" s="22"/>
      <c r="CJ268" s="22"/>
      <c r="CK268" s="22"/>
      <c r="CL268" s="22"/>
      <c r="CM268" s="22"/>
      <c r="CN268" s="22"/>
      <c r="CO268" s="22"/>
      <c r="CP268" s="22"/>
      <c r="CQ268" s="22"/>
      <c r="CR268" s="22"/>
      <c r="CS268" s="22"/>
      <c r="CT268" s="22"/>
      <c r="CU268" s="22"/>
      <c r="CV268" s="22"/>
      <c r="CW268" s="22"/>
      <c r="CX268" s="22"/>
      <c r="CY268" s="22"/>
      <c r="CZ268" s="22"/>
      <c r="DA268" s="22"/>
      <c r="DB268" s="22"/>
      <c r="DC268" s="22"/>
      <c r="DD268" s="22"/>
      <c r="DE268" s="22"/>
      <c r="DF268" s="22"/>
      <c r="DG268" s="22"/>
      <c r="DH268" s="22"/>
      <c r="DI268" s="22"/>
      <c r="DJ268" s="22"/>
      <c r="DK268" s="22"/>
      <c r="DL268" s="22"/>
      <c r="DM268" s="22"/>
      <c r="DN268" s="22"/>
      <c r="DO268" s="22"/>
      <c r="DP268" s="22"/>
      <c r="DQ268" s="22"/>
      <c r="DR268" s="22"/>
      <c r="DS268" s="22"/>
      <c r="DT268" s="22"/>
      <c r="DU268" s="22"/>
      <c r="DV268" s="22"/>
      <c r="DW268" s="22"/>
      <c r="DX268" s="22"/>
      <c r="DY268" s="22"/>
      <c r="DZ268" s="22"/>
      <c r="EA268" s="22"/>
      <c r="EB268" s="22"/>
      <c r="EC268" s="22"/>
      <c r="ED268" s="22"/>
      <c r="EE268" s="22"/>
      <c r="EF268" s="22"/>
      <c r="EG268" s="22"/>
      <c r="EH268" s="22"/>
      <c r="EI268" s="22"/>
      <c r="EJ268" s="22"/>
      <c r="EK268" s="22"/>
      <c r="EL268" s="22"/>
      <c r="EM268" s="22"/>
      <c r="EN268" s="22"/>
      <c r="EO268" s="22"/>
      <c r="EP268" s="22"/>
      <c r="EQ268" s="22"/>
      <c r="ER268" s="22"/>
      <c r="ES268" s="22"/>
      <c r="ET268" s="22"/>
      <c r="EU268" s="22"/>
      <c r="EV268" s="22"/>
      <c r="EW268" s="22"/>
      <c r="EX268" s="22"/>
      <c r="EY268" s="22"/>
      <c r="EZ268" s="22"/>
      <c r="FA268" s="22"/>
      <c r="FB268" s="22"/>
      <c r="FC268" s="22"/>
      <c r="FD268" s="22"/>
      <c r="FE268" s="22"/>
      <c r="FF268" s="22"/>
      <c r="FG268" s="22"/>
      <c r="FH268" s="22"/>
      <c r="FI268" s="22"/>
      <c r="FJ268" s="22"/>
      <c r="FK268" s="22"/>
      <c r="FL268" s="22"/>
      <c r="FM268" s="22"/>
      <c r="FN268" s="22"/>
      <c r="FO268" s="22"/>
      <c r="FP268" s="22"/>
      <c r="FQ268" s="22"/>
      <c r="FR268" s="22"/>
      <c r="FS268" s="22"/>
      <c r="FT268" s="22"/>
      <c r="FU268" s="22"/>
      <c r="FV268" s="22"/>
      <c r="FW268" s="22"/>
      <c r="FX268" s="22"/>
      <c r="FY268" s="22"/>
      <c r="FZ268" s="22"/>
      <c r="GA268" s="22"/>
      <c r="GB268" s="22"/>
      <c r="GC268" s="22"/>
      <c r="GD268" s="22"/>
      <c r="GE268" s="22"/>
      <c r="GF268" s="22"/>
      <c r="GG268" s="22"/>
      <c r="GH268" s="22"/>
      <c r="GI268" s="22"/>
      <c r="GJ268" s="22"/>
      <c r="GK268" s="22"/>
      <c r="GL268" s="22"/>
      <c r="GM268" s="22"/>
      <c r="GN268" s="22"/>
      <c r="GO268" s="22"/>
      <c r="GP268" s="22"/>
      <c r="GQ268" s="22"/>
      <c r="GR268" s="22"/>
      <c r="GS268" s="22"/>
      <c r="GT268" s="22"/>
      <c r="GU268" s="22"/>
      <c r="GV268" s="22"/>
      <c r="GW268" s="22"/>
      <c r="GX268" s="22"/>
      <c r="GY268" s="22"/>
      <c r="GZ268" s="22"/>
      <c r="HA268" s="22"/>
      <c r="HB268" s="22"/>
      <c r="HC268" s="22"/>
    </row>
    <row r="269" spans="1:211" ht="15" customHeight="1" x14ac:dyDescent="0.2">
      <c r="A269" s="22"/>
      <c r="B269" s="14"/>
      <c r="C269" s="45"/>
      <c r="D269" s="46"/>
      <c r="E269" s="46"/>
      <c r="F269" s="120"/>
      <c r="G269" s="120"/>
      <c r="H269" s="47"/>
      <c r="I269" s="116"/>
      <c r="J269" s="45"/>
      <c r="K269" s="45"/>
      <c r="L269" s="73"/>
      <c r="M269" s="118"/>
      <c r="N269" s="119"/>
      <c r="O269" s="113"/>
      <c r="P269" s="115"/>
      <c r="Q269"/>
      <c r="R269"/>
      <c r="S269" s="114"/>
      <c r="T269" s="110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2"/>
      <c r="BH269" s="22"/>
      <c r="BI269" s="22"/>
      <c r="BJ269" s="22"/>
      <c r="BK269" s="22"/>
      <c r="BL269" s="22"/>
      <c r="BM269" s="22"/>
      <c r="BN269" s="22"/>
      <c r="BO269" s="22"/>
      <c r="BP269" s="22"/>
      <c r="BQ269" s="22"/>
      <c r="BR269" s="22"/>
      <c r="BS269" s="22"/>
      <c r="BT269" s="22"/>
      <c r="BU269" s="22"/>
      <c r="BV269" s="22"/>
      <c r="BW269" s="22"/>
      <c r="BX269" s="22"/>
      <c r="BY269" s="22"/>
      <c r="BZ269" s="22"/>
      <c r="CA269" s="22"/>
      <c r="CB269" s="22"/>
      <c r="CC269" s="22"/>
      <c r="CD269" s="22"/>
      <c r="CE269" s="22"/>
      <c r="CF269" s="22"/>
      <c r="CG269" s="22"/>
      <c r="CH269" s="22"/>
      <c r="CI269" s="22"/>
      <c r="CJ269" s="22"/>
      <c r="CK269" s="22"/>
      <c r="CL269" s="22"/>
      <c r="CM269" s="22"/>
      <c r="CN269" s="22"/>
      <c r="CO269" s="22"/>
      <c r="CP269" s="22"/>
      <c r="CQ269" s="22"/>
      <c r="CR269" s="22"/>
      <c r="CS269" s="22"/>
      <c r="CT269" s="22"/>
      <c r="CU269" s="22"/>
      <c r="CV269" s="22"/>
      <c r="CW269" s="22"/>
      <c r="CX269" s="22"/>
      <c r="CY269" s="22"/>
      <c r="CZ269" s="22"/>
      <c r="DA269" s="22"/>
      <c r="DB269" s="22"/>
      <c r="DC269" s="22"/>
      <c r="DD269" s="22"/>
      <c r="DE269" s="22"/>
      <c r="DF269" s="22"/>
      <c r="DG269" s="22"/>
      <c r="DH269" s="22"/>
      <c r="DI269" s="22"/>
      <c r="DJ269" s="22"/>
      <c r="DK269" s="22"/>
      <c r="DL269" s="22"/>
      <c r="DM269" s="22"/>
      <c r="DN269" s="22"/>
      <c r="DO269" s="22"/>
      <c r="DP269" s="22"/>
      <c r="DQ269" s="22"/>
      <c r="DR269" s="22"/>
      <c r="DS269" s="22"/>
      <c r="DT269" s="22"/>
      <c r="DU269" s="22"/>
      <c r="DV269" s="22"/>
      <c r="DW269" s="22"/>
      <c r="DX269" s="22"/>
      <c r="DY269" s="22"/>
      <c r="DZ269" s="22"/>
      <c r="EA269" s="22"/>
      <c r="EB269" s="22"/>
      <c r="EC269" s="22"/>
      <c r="ED269" s="22"/>
      <c r="EE269" s="22"/>
      <c r="EF269" s="22"/>
      <c r="EG269" s="22"/>
      <c r="EH269" s="22"/>
      <c r="EI269" s="22"/>
      <c r="EJ269" s="22"/>
      <c r="EK269" s="22"/>
      <c r="EL269" s="22"/>
      <c r="EM269" s="22"/>
      <c r="EN269" s="22"/>
      <c r="EO269" s="22"/>
      <c r="EP269" s="22"/>
      <c r="EQ269" s="22"/>
      <c r="ER269" s="22"/>
      <c r="ES269" s="22"/>
      <c r="ET269" s="22"/>
      <c r="EU269" s="22"/>
      <c r="EV269" s="22"/>
      <c r="EW269" s="22"/>
      <c r="EX269" s="22"/>
      <c r="EY269" s="22"/>
      <c r="EZ269" s="22"/>
      <c r="FA269" s="22"/>
      <c r="FB269" s="22"/>
      <c r="FC269" s="22"/>
      <c r="FD269" s="22"/>
      <c r="FE269" s="22"/>
      <c r="FF269" s="22"/>
      <c r="FG269" s="22"/>
      <c r="FH269" s="22"/>
      <c r="FI269" s="22"/>
      <c r="FJ269" s="22"/>
      <c r="FK269" s="22"/>
      <c r="FL269" s="22"/>
      <c r="FM269" s="22"/>
      <c r="FN269" s="22"/>
      <c r="FO269" s="22"/>
      <c r="FP269" s="22"/>
      <c r="FQ269" s="22"/>
      <c r="FR269" s="22"/>
      <c r="FS269" s="22"/>
      <c r="FT269" s="22"/>
      <c r="FU269" s="22"/>
      <c r="FV269" s="22"/>
      <c r="FW269" s="22"/>
      <c r="FX269" s="22"/>
      <c r="FY269" s="22"/>
      <c r="FZ269" s="22"/>
      <c r="GA269" s="22"/>
      <c r="GB269" s="22"/>
      <c r="GC269" s="22"/>
      <c r="GD269" s="22"/>
      <c r="GE269" s="22"/>
      <c r="GF269" s="22"/>
      <c r="GG269" s="22"/>
      <c r="GH269" s="22"/>
      <c r="GI269" s="22"/>
      <c r="GJ269" s="22"/>
      <c r="GK269" s="22"/>
      <c r="GL269" s="22"/>
      <c r="GM269" s="22"/>
      <c r="GN269" s="22"/>
      <c r="GO269" s="22"/>
      <c r="GP269" s="22"/>
      <c r="GQ269" s="22"/>
      <c r="GR269" s="22"/>
      <c r="GS269" s="22"/>
      <c r="GT269" s="22"/>
      <c r="GU269" s="22"/>
      <c r="GV269" s="22"/>
      <c r="GW269" s="22"/>
      <c r="GX269" s="22"/>
      <c r="GY269" s="22"/>
      <c r="GZ269" s="22"/>
      <c r="HA269" s="22"/>
      <c r="HB269" s="22"/>
      <c r="HC269" s="22"/>
    </row>
    <row r="270" spans="1:211" ht="15" customHeight="1" x14ac:dyDescent="0.2">
      <c r="A270" s="22"/>
      <c r="B270" s="14"/>
      <c r="C270" s="45"/>
      <c r="D270" s="46"/>
      <c r="E270" s="46"/>
      <c r="F270" s="120"/>
      <c r="G270" s="120"/>
      <c r="H270" s="47"/>
      <c r="I270" s="116"/>
      <c r="J270" s="45"/>
      <c r="K270" s="45"/>
      <c r="L270" s="73"/>
      <c r="M270" s="118"/>
      <c r="N270" s="119"/>
      <c r="O270" s="113"/>
      <c r="P270" s="115"/>
      <c r="Q270"/>
      <c r="R270"/>
      <c r="S270" s="114"/>
      <c r="T270" s="110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  <c r="BN270" s="22"/>
      <c r="BO270" s="22"/>
      <c r="BP270" s="22"/>
      <c r="BQ270" s="22"/>
      <c r="BR270" s="22"/>
      <c r="BS270" s="22"/>
      <c r="BT270" s="22"/>
      <c r="BU270" s="22"/>
      <c r="BV270" s="22"/>
      <c r="BW270" s="22"/>
      <c r="BX270" s="22"/>
      <c r="BY270" s="22"/>
      <c r="BZ270" s="22"/>
      <c r="CA270" s="22"/>
      <c r="CB270" s="22"/>
      <c r="CC270" s="22"/>
      <c r="CD270" s="22"/>
      <c r="CE270" s="22"/>
      <c r="CF270" s="22"/>
      <c r="CG270" s="22"/>
      <c r="CH270" s="22"/>
      <c r="CI270" s="22"/>
      <c r="CJ270" s="22"/>
      <c r="CK270" s="22"/>
      <c r="CL270" s="22"/>
      <c r="CM270" s="22"/>
      <c r="CN270" s="22"/>
      <c r="CO270" s="22"/>
      <c r="CP270" s="22"/>
      <c r="CQ270" s="22"/>
      <c r="CR270" s="22"/>
      <c r="CS270" s="22"/>
      <c r="CT270" s="22"/>
      <c r="CU270" s="22"/>
      <c r="CV270" s="22"/>
      <c r="CW270" s="22"/>
      <c r="CX270" s="22"/>
      <c r="CY270" s="22"/>
      <c r="CZ270" s="22"/>
      <c r="DA270" s="22"/>
      <c r="DB270" s="22"/>
      <c r="DC270" s="22"/>
      <c r="DD270" s="22"/>
      <c r="DE270" s="22"/>
      <c r="DF270" s="22"/>
      <c r="DG270" s="22"/>
      <c r="DH270" s="22"/>
      <c r="DI270" s="22"/>
      <c r="DJ270" s="22"/>
      <c r="DK270" s="22"/>
      <c r="DL270" s="22"/>
      <c r="DM270" s="22"/>
      <c r="DN270" s="22"/>
      <c r="DO270" s="22"/>
      <c r="DP270" s="22"/>
      <c r="DQ270" s="22"/>
      <c r="DR270" s="22"/>
      <c r="DS270" s="22"/>
      <c r="DT270" s="22"/>
      <c r="DU270" s="22"/>
      <c r="DV270" s="22"/>
      <c r="DW270" s="22"/>
      <c r="DX270" s="22"/>
      <c r="DY270" s="22"/>
      <c r="DZ270" s="22"/>
      <c r="EA270" s="22"/>
      <c r="EB270" s="22"/>
      <c r="EC270" s="22"/>
      <c r="ED270" s="22"/>
      <c r="EE270" s="22"/>
      <c r="EF270" s="22"/>
      <c r="EG270" s="22"/>
      <c r="EH270" s="22"/>
      <c r="EI270" s="22"/>
      <c r="EJ270" s="22"/>
      <c r="EK270" s="22"/>
      <c r="EL270" s="22"/>
      <c r="EM270" s="22"/>
      <c r="EN270" s="22"/>
      <c r="EO270" s="22"/>
      <c r="EP270" s="22"/>
      <c r="EQ270" s="22"/>
      <c r="ER270" s="22"/>
      <c r="ES270" s="22"/>
      <c r="ET270" s="22"/>
      <c r="EU270" s="22"/>
      <c r="EV270" s="22"/>
      <c r="EW270" s="22"/>
      <c r="EX270" s="22"/>
      <c r="EY270" s="22"/>
      <c r="EZ270" s="22"/>
      <c r="FA270" s="22"/>
      <c r="FB270" s="22"/>
      <c r="FC270" s="22"/>
      <c r="FD270" s="22"/>
      <c r="FE270" s="22"/>
      <c r="FF270" s="22"/>
      <c r="FG270" s="22"/>
      <c r="FH270" s="22"/>
      <c r="FI270" s="22"/>
      <c r="FJ270" s="22"/>
      <c r="FK270" s="22"/>
      <c r="FL270" s="22"/>
      <c r="FM270" s="22"/>
      <c r="FN270" s="22"/>
      <c r="FO270" s="22"/>
      <c r="FP270" s="22"/>
      <c r="FQ270" s="22"/>
      <c r="FR270" s="22"/>
      <c r="FS270" s="22"/>
      <c r="FT270" s="22"/>
      <c r="FU270" s="22"/>
      <c r="FV270" s="22"/>
      <c r="FW270" s="22"/>
      <c r="FX270" s="22"/>
      <c r="FY270" s="22"/>
      <c r="FZ270" s="22"/>
      <c r="GA270" s="22"/>
      <c r="GB270" s="22"/>
      <c r="GC270" s="22"/>
      <c r="GD270" s="22"/>
      <c r="GE270" s="22"/>
      <c r="GF270" s="22"/>
      <c r="GG270" s="22"/>
      <c r="GH270" s="22"/>
      <c r="GI270" s="22"/>
      <c r="GJ270" s="22"/>
      <c r="GK270" s="22"/>
      <c r="GL270" s="22"/>
      <c r="GM270" s="22"/>
      <c r="GN270" s="22"/>
      <c r="GO270" s="22"/>
      <c r="GP270" s="22"/>
      <c r="GQ270" s="22"/>
      <c r="GR270" s="22"/>
      <c r="GS270" s="22"/>
      <c r="GT270" s="22"/>
      <c r="GU270" s="22"/>
      <c r="GV270" s="22"/>
      <c r="GW270" s="22"/>
      <c r="GX270" s="22"/>
      <c r="GY270" s="22"/>
      <c r="GZ270" s="22"/>
      <c r="HA270" s="22"/>
      <c r="HB270" s="22"/>
      <c r="HC270" s="22"/>
    </row>
    <row r="271" spans="1:211" ht="15" customHeight="1" x14ac:dyDescent="0.2">
      <c r="A271" s="22"/>
      <c r="B271" s="14"/>
      <c r="C271" s="45"/>
      <c r="D271" s="46"/>
      <c r="E271" s="46"/>
      <c r="F271" s="120"/>
      <c r="G271" s="120"/>
      <c r="H271" s="47"/>
      <c r="I271" s="116"/>
      <c r="J271" s="45"/>
      <c r="K271" s="45"/>
      <c r="L271" s="73"/>
      <c r="M271" s="118"/>
      <c r="N271" s="119"/>
      <c r="O271" s="113"/>
      <c r="P271" s="115"/>
      <c r="Q271"/>
      <c r="R271"/>
      <c r="S271" s="114"/>
      <c r="T271" s="110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2"/>
      <c r="BH271" s="22"/>
      <c r="BI271" s="22"/>
      <c r="BJ271" s="22"/>
      <c r="BK271" s="22"/>
      <c r="BL271" s="22"/>
      <c r="BM271" s="22"/>
      <c r="BN271" s="22"/>
      <c r="BO271" s="22"/>
      <c r="BP271" s="22"/>
      <c r="BQ271" s="22"/>
      <c r="BR271" s="22"/>
      <c r="BS271" s="22"/>
      <c r="BT271" s="22"/>
      <c r="BU271" s="22"/>
      <c r="BV271" s="22"/>
      <c r="BW271" s="22"/>
      <c r="BX271" s="22"/>
      <c r="BY271" s="22"/>
      <c r="BZ271" s="22"/>
      <c r="CA271" s="22"/>
      <c r="CB271" s="22"/>
      <c r="CC271" s="22"/>
      <c r="CD271" s="22"/>
      <c r="CE271" s="22"/>
      <c r="CF271" s="22"/>
      <c r="CG271" s="22"/>
      <c r="CH271" s="22"/>
      <c r="CI271" s="22"/>
      <c r="CJ271" s="22"/>
      <c r="CK271" s="22"/>
      <c r="CL271" s="22"/>
      <c r="CM271" s="22"/>
      <c r="CN271" s="22"/>
      <c r="CO271" s="22"/>
      <c r="CP271" s="22"/>
      <c r="CQ271" s="22"/>
      <c r="CR271" s="22"/>
      <c r="CS271" s="22"/>
      <c r="CT271" s="22"/>
      <c r="CU271" s="22"/>
      <c r="CV271" s="22"/>
      <c r="CW271" s="22"/>
      <c r="CX271" s="22"/>
      <c r="CY271" s="22"/>
      <c r="CZ271" s="22"/>
      <c r="DA271" s="22"/>
      <c r="DB271" s="22"/>
      <c r="DC271" s="22"/>
      <c r="DD271" s="22"/>
      <c r="DE271" s="22"/>
      <c r="DF271" s="22"/>
      <c r="DG271" s="22"/>
      <c r="DH271" s="22"/>
      <c r="DI271" s="22"/>
      <c r="DJ271" s="22"/>
      <c r="DK271" s="22"/>
      <c r="DL271" s="22"/>
      <c r="DM271" s="22"/>
      <c r="DN271" s="22"/>
      <c r="DO271" s="22"/>
      <c r="DP271" s="22"/>
      <c r="DQ271" s="22"/>
      <c r="DR271" s="22"/>
      <c r="DS271" s="22"/>
      <c r="DT271" s="22"/>
      <c r="DU271" s="22"/>
      <c r="DV271" s="22"/>
      <c r="DW271" s="22"/>
      <c r="DX271" s="22"/>
      <c r="DY271" s="22"/>
      <c r="DZ271" s="22"/>
      <c r="EA271" s="22"/>
      <c r="EB271" s="22"/>
      <c r="EC271" s="22"/>
      <c r="ED271" s="22"/>
      <c r="EE271" s="22"/>
      <c r="EF271" s="22"/>
      <c r="EG271" s="22"/>
      <c r="EH271" s="22"/>
      <c r="EI271" s="22"/>
      <c r="EJ271" s="22"/>
      <c r="EK271" s="22"/>
      <c r="EL271" s="22"/>
      <c r="EM271" s="22"/>
      <c r="EN271" s="22"/>
      <c r="EO271" s="22"/>
      <c r="EP271" s="22"/>
      <c r="EQ271" s="22"/>
      <c r="ER271" s="22"/>
      <c r="ES271" s="22"/>
      <c r="ET271" s="22"/>
      <c r="EU271" s="22"/>
      <c r="EV271" s="22"/>
      <c r="EW271" s="22"/>
      <c r="EX271" s="22"/>
      <c r="EY271" s="22"/>
      <c r="EZ271" s="22"/>
      <c r="FA271" s="22"/>
      <c r="FB271" s="22"/>
      <c r="FC271" s="22"/>
      <c r="FD271" s="22"/>
      <c r="FE271" s="22"/>
      <c r="FF271" s="22"/>
      <c r="FG271" s="22"/>
      <c r="FH271" s="22"/>
      <c r="FI271" s="22"/>
      <c r="FJ271" s="22"/>
      <c r="FK271" s="22"/>
      <c r="FL271" s="22"/>
      <c r="FM271" s="22"/>
      <c r="FN271" s="22"/>
      <c r="FO271" s="22"/>
      <c r="FP271" s="22"/>
      <c r="FQ271" s="22"/>
      <c r="FR271" s="22"/>
      <c r="FS271" s="22"/>
      <c r="FT271" s="22"/>
      <c r="FU271" s="22"/>
      <c r="FV271" s="22"/>
      <c r="FW271" s="22"/>
      <c r="FX271" s="22"/>
      <c r="FY271" s="22"/>
      <c r="FZ271" s="22"/>
      <c r="GA271" s="22"/>
      <c r="GB271" s="22"/>
      <c r="GC271" s="22"/>
      <c r="GD271" s="22"/>
      <c r="GE271" s="22"/>
      <c r="GF271" s="22"/>
      <c r="GG271" s="22"/>
      <c r="GH271" s="22"/>
      <c r="GI271" s="22"/>
      <c r="GJ271" s="22"/>
      <c r="GK271" s="22"/>
      <c r="GL271" s="22"/>
      <c r="GM271" s="22"/>
      <c r="GN271" s="22"/>
      <c r="GO271" s="22"/>
      <c r="GP271" s="22"/>
      <c r="GQ271" s="22"/>
      <c r="GR271" s="22"/>
      <c r="GS271" s="22"/>
      <c r="GT271" s="22"/>
      <c r="GU271" s="22"/>
      <c r="GV271" s="22"/>
      <c r="GW271" s="22"/>
      <c r="GX271" s="22"/>
      <c r="GY271" s="22"/>
      <c r="GZ271" s="22"/>
      <c r="HA271" s="22"/>
      <c r="HB271" s="22"/>
      <c r="HC271" s="22"/>
    </row>
    <row r="272" spans="1:211" ht="15" customHeight="1" x14ac:dyDescent="0.2">
      <c r="A272" s="22"/>
      <c r="B272" s="14"/>
      <c r="C272" s="45"/>
      <c r="D272" s="46"/>
      <c r="E272" s="46"/>
      <c r="F272" s="120"/>
      <c r="G272" s="120"/>
      <c r="H272" s="47"/>
      <c r="I272" s="116"/>
      <c r="J272" s="45"/>
      <c r="K272" s="73"/>
      <c r="L272" s="73"/>
      <c r="M272" s="118"/>
      <c r="N272" s="119"/>
      <c r="O272" s="113"/>
      <c r="P272" s="115"/>
      <c r="Q272"/>
      <c r="R272"/>
      <c r="S272" s="114"/>
      <c r="T272" s="110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22"/>
      <c r="BA272" s="22"/>
      <c r="BB272" s="22"/>
      <c r="BC272" s="22"/>
      <c r="BD272" s="22"/>
      <c r="BE272" s="22"/>
      <c r="BF272" s="22"/>
      <c r="BG272" s="22"/>
      <c r="BH272" s="22"/>
      <c r="BI272" s="22"/>
      <c r="BJ272" s="22"/>
      <c r="BK272" s="22"/>
      <c r="BL272" s="22"/>
      <c r="BM272" s="22"/>
      <c r="BN272" s="22"/>
      <c r="BO272" s="22"/>
      <c r="BP272" s="22"/>
      <c r="BQ272" s="22"/>
      <c r="BR272" s="22"/>
      <c r="BS272" s="22"/>
      <c r="BT272" s="22"/>
      <c r="BU272" s="22"/>
      <c r="BV272" s="22"/>
      <c r="BW272" s="22"/>
      <c r="BX272" s="22"/>
      <c r="BY272" s="22"/>
      <c r="BZ272" s="22"/>
      <c r="CA272" s="22"/>
      <c r="CB272" s="22"/>
      <c r="CC272" s="22"/>
      <c r="CD272" s="22"/>
      <c r="CE272" s="22"/>
      <c r="CF272" s="22"/>
      <c r="CG272" s="22"/>
      <c r="CH272" s="22"/>
      <c r="CI272" s="22"/>
      <c r="CJ272" s="22"/>
      <c r="CK272" s="22"/>
      <c r="CL272" s="22"/>
      <c r="CM272" s="22"/>
      <c r="CN272" s="22"/>
      <c r="CO272" s="22"/>
      <c r="CP272" s="22"/>
      <c r="CQ272" s="22"/>
      <c r="CR272" s="22"/>
      <c r="CS272" s="22"/>
      <c r="CT272" s="22"/>
      <c r="CU272" s="22"/>
      <c r="CV272" s="22"/>
      <c r="CW272" s="22"/>
      <c r="CX272" s="22"/>
      <c r="CY272" s="22"/>
      <c r="CZ272" s="22"/>
      <c r="DA272" s="22"/>
      <c r="DB272" s="22"/>
      <c r="DC272" s="22"/>
      <c r="DD272" s="22"/>
      <c r="DE272" s="22"/>
      <c r="DF272" s="22"/>
      <c r="DG272" s="22"/>
      <c r="DH272" s="22"/>
      <c r="DI272" s="22"/>
      <c r="DJ272" s="22"/>
      <c r="DK272" s="22"/>
      <c r="DL272" s="22"/>
      <c r="DM272" s="22"/>
      <c r="DN272" s="22"/>
      <c r="DO272" s="22"/>
      <c r="DP272" s="22"/>
      <c r="DQ272" s="22"/>
      <c r="DR272" s="22"/>
      <c r="DS272" s="22"/>
      <c r="DT272" s="22"/>
      <c r="DU272" s="22"/>
      <c r="DV272" s="22"/>
      <c r="DW272" s="22"/>
      <c r="DX272" s="22"/>
      <c r="DY272" s="22"/>
      <c r="DZ272" s="22"/>
      <c r="EA272" s="22"/>
      <c r="EB272" s="22"/>
      <c r="EC272" s="22"/>
      <c r="ED272" s="22"/>
      <c r="EE272" s="22"/>
      <c r="EF272" s="22"/>
      <c r="EG272" s="22"/>
      <c r="EH272" s="22"/>
      <c r="EI272" s="22"/>
      <c r="EJ272" s="22"/>
      <c r="EK272" s="22"/>
      <c r="EL272" s="22"/>
      <c r="EM272" s="22"/>
      <c r="EN272" s="22"/>
      <c r="EO272" s="22"/>
      <c r="EP272" s="22"/>
      <c r="EQ272" s="22"/>
      <c r="ER272" s="22"/>
      <c r="ES272" s="22"/>
      <c r="ET272" s="22"/>
      <c r="EU272" s="22"/>
      <c r="EV272" s="22"/>
      <c r="EW272" s="22"/>
      <c r="EX272" s="22"/>
      <c r="EY272" s="22"/>
      <c r="EZ272" s="22"/>
      <c r="FA272" s="22"/>
      <c r="FB272" s="22"/>
      <c r="FC272" s="22"/>
      <c r="FD272" s="22"/>
      <c r="FE272" s="22"/>
      <c r="FF272" s="22"/>
      <c r="FG272" s="22"/>
      <c r="FH272" s="22"/>
      <c r="FI272" s="22"/>
      <c r="FJ272" s="22"/>
      <c r="FK272" s="22"/>
      <c r="FL272" s="22"/>
      <c r="FM272" s="22"/>
      <c r="FN272" s="22"/>
      <c r="FO272" s="22"/>
      <c r="FP272" s="22"/>
      <c r="FQ272" s="22"/>
      <c r="FR272" s="22"/>
      <c r="FS272" s="22"/>
      <c r="FT272" s="22"/>
      <c r="FU272" s="22"/>
      <c r="FV272" s="22"/>
      <c r="FW272" s="22"/>
      <c r="FX272" s="22"/>
      <c r="FY272" s="22"/>
      <c r="FZ272" s="22"/>
      <c r="GA272" s="22"/>
      <c r="GB272" s="22"/>
      <c r="GC272" s="22"/>
      <c r="GD272" s="22"/>
      <c r="GE272" s="22"/>
      <c r="GF272" s="22"/>
      <c r="GG272" s="22"/>
      <c r="GH272" s="22"/>
      <c r="GI272" s="22"/>
      <c r="GJ272" s="22"/>
      <c r="GK272" s="22"/>
      <c r="GL272" s="22"/>
      <c r="GM272" s="22"/>
      <c r="GN272" s="22"/>
      <c r="GO272" s="22"/>
      <c r="GP272" s="22"/>
      <c r="GQ272" s="22"/>
      <c r="GR272" s="22"/>
      <c r="GS272" s="22"/>
      <c r="GT272" s="22"/>
      <c r="GU272" s="22"/>
      <c r="GV272" s="22"/>
      <c r="GW272" s="22"/>
      <c r="GX272" s="22"/>
      <c r="GY272" s="22"/>
      <c r="GZ272" s="22"/>
      <c r="HA272" s="22"/>
      <c r="HB272" s="22"/>
      <c r="HC272" s="22"/>
    </row>
    <row r="273" spans="1:211" ht="15" customHeight="1" x14ac:dyDescent="0.2">
      <c r="A273" s="22"/>
      <c r="B273" s="14"/>
      <c r="C273" s="45"/>
      <c r="D273" s="46"/>
      <c r="E273" s="46"/>
      <c r="F273" s="120"/>
      <c r="G273" s="120"/>
      <c r="H273" s="47"/>
      <c r="I273" s="116"/>
      <c r="J273" s="45"/>
      <c r="K273" s="73"/>
      <c r="L273" s="73"/>
      <c r="M273" s="118"/>
      <c r="N273" s="119"/>
      <c r="O273" s="113"/>
      <c r="P273" s="115"/>
      <c r="Q273"/>
      <c r="R273"/>
      <c r="S273" s="114"/>
      <c r="T273" s="110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2"/>
      <c r="BH273" s="22"/>
      <c r="BI273" s="22"/>
      <c r="BJ273" s="22"/>
      <c r="BK273" s="22"/>
      <c r="BL273" s="22"/>
      <c r="BM273" s="22"/>
      <c r="BN273" s="22"/>
      <c r="BO273" s="22"/>
      <c r="BP273" s="22"/>
      <c r="BQ273" s="22"/>
      <c r="BR273" s="22"/>
      <c r="BS273" s="22"/>
      <c r="BT273" s="22"/>
      <c r="BU273" s="22"/>
      <c r="BV273" s="22"/>
      <c r="BW273" s="22"/>
      <c r="BX273" s="22"/>
      <c r="BY273" s="22"/>
      <c r="BZ273" s="22"/>
      <c r="CA273" s="22"/>
      <c r="CB273" s="22"/>
      <c r="CC273" s="22"/>
      <c r="CD273" s="22"/>
      <c r="CE273" s="22"/>
      <c r="CF273" s="22"/>
      <c r="CG273" s="22"/>
      <c r="CH273" s="22"/>
      <c r="CI273" s="22"/>
      <c r="CJ273" s="22"/>
      <c r="CK273" s="22"/>
      <c r="CL273" s="22"/>
      <c r="CM273" s="22"/>
      <c r="CN273" s="22"/>
      <c r="CO273" s="22"/>
      <c r="CP273" s="22"/>
      <c r="CQ273" s="22"/>
      <c r="CR273" s="22"/>
      <c r="CS273" s="22"/>
      <c r="CT273" s="22"/>
      <c r="CU273" s="22"/>
      <c r="CV273" s="22"/>
      <c r="CW273" s="22"/>
      <c r="CX273" s="22"/>
      <c r="CY273" s="22"/>
      <c r="CZ273" s="22"/>
      <c r="DA273" s="22"/>
      <c r="DB273" s="22"/>
      <c r="DC273" s="22"/>
      <c r="DD273" s="22"/>
      <c r="DE273" s="22"/>
      <c r="DF273" s="22"/>
      <c r="DG273" s="22"/>
      <c r="DH273" s="22"/>
      <c r="DI273" s="22"/>
      <c r="DJ273" s="22"/>
      <c r="DK273" s="22"/>
      <c r="DL273" s="22"/>
      <c r="DM273" s="22"/>
      <c r="DN273" s="22"/>
      <c r="DO273" s="22"/>
      <c r="DP273" s="22"/>
      <c r="DQ273" s="22"/>
      <c r="DR273" s="22"/>
      <c r="DS273" s="22"/>
      <c r="DT273" s="22"/>
      <c r="DU273" s="22"/>
      <c r="DV273" s="22"/>
      <c r="DW273" s="22"/>
      <c r="DX273" s="22"/>
      <c r="DY273" s="22"/>
      <c r="DZ273" s="22"/>
      <c r="EA273" s="22"/>
      <c r="EB273" s="22"/>
      <c r="EC273" s="22"/>
      <c r="ED273" s="22"/>
      <c r="EE273" s="22"/>
      <c r="EF273" s="22"/>
      <c r="EG273" s="22"/>
      <c r="EH273" s="22"/>
      <c r="EI273" s="22"/>
      <c r="EJ273" s="22"/>
      <c r="EK273" s="22"/>
      <c r="EL273" s="22"/>
      <c r="EM273" s="22"/>
      <c r="EN273" s="22"/>
      <c r="EO273" s="22"/>
      <c r="EP273" s="22"/>
      <c r="EQ273" s="22"/>
      <c r="ER273" s="22"/>
      <c r="ES273" s="22"/>
      <c r="ET273" s="22"/>
      <c r="EU273" s="22"/>
      <c r="EV273" s="22"/>
      <c r="EW273" s="22"/>
      <c r="EX273" s="22"/>
      <c r="EY273" s="22"/>
      <c r="EZ273" s="22"/>
      <c r="FA273" s="22"/>
      <c r="FB273" s="22"/>
      <c r="FC273" s="22"/>
      <c r="FD273" s="22"/>
      <c r="FE273" s="22"/>
      <c r="FF273" s="22"/>
      <c r="FG273" s="22"/>
      <c r="FH273" s="22"/>
      <c r="FI273" s="22"/>
      <c r="FJ273" s="22"/>
      <c r="FK273" s="22"/>
      <c r="FL273" s="22"/>
      <c r="FM273" s="22"/>
      <c r="FN273" s="22"/>
      <c r="FO273" s="22"/>
      <c r="FP273" s="22"/>
      <c r="FQ273" s="22"/>
      <c r="FR273" s="22"/>
      <c r="FS273" s="22"/>
      <c r="FT273" s="22"/>
      <c r="FU273" s="22"/>
      <c r="FV273" s="22"/>
      <c r="FW273" s="22"/>
      <c r="FX273" s="22"/>
      <c r="FY273" s="22"/>
      <c r="FZ273" s="22"/>
      <c r="GA273" s="22"/>
      <c r="GB273" s="22"/>
      <c r="GC273" s="22"/>
      <c r="GD273" s="22"/>
      <c r="GE273" s="22"/>
      <c r="GF273" s="22"/>
      <c r="GG273" s="22"/>
      <c r="GH273" s="22"/>
      <c r="GI273" s="22"/>
      <c r="GJ273" s="22"/>
      <c r="GK273" s="22"/>
      <c r="GL273" s="22"/>
      <c r="GM273" s="22"/>
      <c r="GN273" s="22"/>
      <c r="GO273" s="22"/>
      <c r="GP273" s="22"/>
      <c r="GQ273" s="22"/>
      <c r="GR273" s="22"/>
      <c r="GS273" s="22"/>
      <c r="GT273" s="22"/>
      <c r="GU273" s="22"/>
      <c r="GV273" s="22"/>
      <c r="GW273" s="22"/>
      <c r="GX273" s="22"/>
      <c r="GY273" s="22"/>
      <c r="GZ273" s="22"/>
      <c r="HA273" s="22"/>
      <c r="HB273" s="22"/>
      <c r="HC273" s="22"/>
    </row>
    <row r="274" spans="1:211" ht="15" customHeight="1" x14ac:dyDescent="0.2">
      <c r="A274" s="22"/>
      <c r="B274" s="14"/>
      <c r="C274" s="45"/>
      <c r="D274" s="46"/>
      <c r="E274" s="46"/>
      <c r="F274" s="120"/>
      <c r="G274" s="120"/>
      <c r="H274" s="47"/>
      <c r="I274" s="116"/>
      <c r="J274" s="45"/>
      <c r="K274" s="45"/>
      <c r="L274" s="73"/>
      <c r="M274" s="118"/>
      <c r="N274" s="119"/>
      <c r="O274" s="113"/>
      <c r="P274" s="115"/>
      <c r="Q274"/>
      <c r="R274"/>
      <c r="S274" s="114"/>
      <c r="T274" s="110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22"/>
      <c r="BA274" s="22"/>
      <c r="BB274" s="22"/>
      <c r="BC274" s="22"/>
      <c r="BD274" s="22"/>
      <c r="BE274" s="22"/>
      <c r="BF274" s="22"/>
      <c r="BG274" s="22"/>
      <c r="BH274" s="22"/>
      <c r="BI274" s="22"/>
      <c r="BJ274" s="22"/>
      <c r="BK274" s="22"/>
      <c r="BL274" s="22"/>
      <c r="BM274" s="22"/>
      <c r="BN274" s="22"/>
      <c r="BO274" s="22"/>
      <c r="BP274" s="22"/>
      <c r="BQ274" s="22"/>
      <c r="BR274" s="22"/>
      <c r="BS274" s="22"/>
      <c r="BT274" s="22"/>
      <c r="BU274" s="22"/>
      <c r="BV274" s="22"/>
      <c r="BW274" s="22"/>
      <c r="BX274" s="22"/>
      <c r="BY274" s="22"/>
      <c r="BZ274" s="22"/>
      <c r="CA274" s="22"/>
      <c r="CB274" s="22"/>
      <c r="CC274" s="22"/>
      <c r="CD274" s="22"/>
      <c r="CE274" s="22"/>
      <c r="CF274" s="22"/>
      <c r="CG274" s="22"/>
      <c r="CH274" s="22"/>
      <c r="CI274" s="22"/>
      <c r="CJ274" s="22"/>
      <c r="CK274" s="22"/>
      <c r="CL274" s="22"/>
      <c r="CM274" s="22"/>
      <c r="CN274" s="22"/>
      <c r="CO274" s="22"/>
      <c r="CP274" s="22"/>
      <c r="CQ274" s="22"/>
      <c r="CR274" s="22"/>
      <c r="CS274" s="22"/>
      <c r="CT274" s="22"/>
      <c r="CU274" s="22"/>
      <c r="CV274" s="22"/>
      <c r="CW274" s="22"/>
      <c r="CX274" s="22"/>
      <c r="CY274" s="22"/>
      <c r="CZ274" s="22"/>
      <c r="DA274" s="22"/>
      <c r="DB274" s="22"/>
      <c r="DC274" s="22"/>
      <c r="DD274" s="22"/>
      <c r="DE274" s="22"/>
      <c r="DF274" s="22"/>
      <c r="DG274" s="22"/>
      <c r="DH274" s="22"/>
      <c r="DI274" s="22"/>
      <c r="DJ274" s="22"/>
      <c r="DK274" s="22"/>
      <c r="DL274" s="22"/>
      <c r="DM274" s="22"/>
      <c r="DN274" s="22"/>
      <c r="DO274" s="22"/>
      <c r="DP274" s="22"/>
      <c r="DQ274" s="22"/>
      <c r="DR274" s="22"/>
      <c r="DS274" s="22"/>
      <c r="DT274" s="22"/>
      <c r="DU274" s="22"/>
      <c r="DV274" s="22"/>
      <c r="DW274" s="22"/>
      <c r="DX274" s="22"/>
      <c r="DY274" s="22"/>
      <c r="DZ274" s="22"/>
      <c r="EA274" s="22"/>
      <c r="EB274" s="22"/>
      <c r="EC274" s="22"/>
      <c r="ED274" s="22"/>
      <c r="EE274" s="22"/>
      <c r="EF274" s="22"/>
      <c r="EG274" s="22"/>
      <c r="EH274" s="22"/>
      <c r="EI274" s="22"/>
      <c r="EJ274" s="22"/>
      <c r="EK274" s="22"/>
      <c r="EL274" s="22"/>
      <c r="EM274" s="22"/>
      <c r="EN274" s="22"/>
      <c r="EO274" s="22"/>
      <c r="EP274" s="22"/>
      <c r="EQ274" s="22"/>
      <c r="ER274" s="22"/>
      <c r="ES274" s="22"/>
      <c r="ET274" s="22"/>
      <c r="EU274" s="22"/>
      <c r="EV274" s="22"/>
      <c r="EW274" s="22"/>
      <c r="EX274" s="22"/>
      <c r="EY274" s="22"/>
      <c r="EZ274" s="22"/>
      <c r="FA274" s="22"/>
      <c r="FB274" s="22"/>
      <c r="FC274" s="22"/>
      <c r="FD274" s="22"/>
      <c r="FE274" s="22"/>
      <c r="FF274" s="22"/>
      <c r="FG274" s="22"/>
      <c r="FH274" s="22"/>
      <c r="FI274" s="22"/>
      <c r="FJ274" s="22"/>
      <c r="FK274" s="22"/>
      <c r="FL274" s="22"/>
      <c r="FM274" s="22"/>
      <c r="FN274" s="22"/>
      <c r="FO274" s="22"/>
      <c r="FP274" s="22"/>
      <c r="FQ274" s="22"/>
      <c r="FR274" s="22"/>
      <c r="FS274" s="22"/>
      <c r="FT274" s="22"/>
      <c r="FU274" s="22"/>
      <c r="FV274" s="22"/>
      <c r="FW274" s="22"/>
      <c r="FX274" s="22"/>
      <c r="FY274" s="22"/>
      <c r="FZ274" s="22"/>
      <c r="GA274" s="22"/>
      <c r="GB274" s="22"/>
      <c r="GC274" s="22"/>
      <c r="GD274" s="22"/>
      <c r="GE274" s="22"/>
      <c r="GF274" s="22"/>
      <c r="GG274" s="22"/>
      <c r="GH274" s="22"/>
      <c r="GI274" s="22"/>
      <c r="GJ274" s="22"/>
      <c r="GK274" s="22"/>
      <c r="GL274" s="22"/>
      <c r="GM274" s="22"/>
      <c r="GN274" s="22"/>
      <c r="GO274" s="22"/>
      <c r="GP274" s="22"/>
      <c r="GQ274" s="22"/>
      <c r="GR274" s="22"/>
      <c r="GS274" s="22"/>
      <c r="GT274" s="22"/>
      <c r="GU274" s="22"/>
      <c r="GV274" s="22"/>
      <c r="GW274" s="22"/>
      <c r="GX274" s="22"/>
      <c r="GY274" s="22"/>
      <c r="GZ274" s="22"/>
      <c r="HA274" s="22"/>
      <c r="HB274" s="22"/>
      <c r="HC274" s="22"/>
    </row>
    <row r="275" spans="1:211" ht="15" customHeight="1" x14ac:dyDescent="0.2">
      <c r="A275" s="22"/>
      <c r="B275" s="14"/>
      <c r="C275" s="45"/>
      <c r="D275" s="46"/>
      <c r="E275" s="46"/>
      <c r="F275" s="120"/>
      <c r="G275" s="120"/>
      <c r="H275" s="47"/>
      <c r="I275" s="116"/>
      <c r="J275" s="45"/>
      <c r="K275" s="45"/>
      <c r="L275" s="73"/>
      <c r="M275" s="118"/>
      <c r="N275" s="119"/>
      <c r="O275" s="113"/>
      <c r="P275" s="115"/>
      <c r="Q275"/>
      <c r="R275"/>
      <c r="S275" s="114"/>
      <c r="T275" s="110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2"/>
      <c r="BH275" s="22"/>
      <c r="BI275" s="22"/>
      <c r="BJ275" s="22"/>
      <c r="BK275" s="22"/>
      <c r="BL275" s="22"/>
      <c r="BM275" s="22"/>
      <c r="BN275" s="22"/>
      <c r="BO275" s="22"/>
      <c r="BP275" s="22"/>
      <c r="BQ275" s="22"/>
      <c r="BR275" s="22"/>
      <c r="BS275" s="22"/>
      <c r="BT275" s="22"/>
      <c r="BU275" s="22"/>
      <c r="BV275" s="22"/>
      <c r="BW275" s="22"/>
      <c r="BX275" s="22"/>
      <c r="BY275" s="22"/>
      <c r="BZ275" s="22"/>
      <c r="CA275" s="22"/>
      <c r="CB275" s="22"/>
      <c r="CC275" s="22"/>
      <c r="CD275" s="22"/>
      <c r="CE275" s="22"/>
      <c r="CF275" s="22"/>
      <c r="CG275" s="22"/>
      <c r="CH275" s="22"/>
      <c r="CI275" s="22"/>
      <c r="CJ275" s="22"/>
      <c r="CK275" s="22"/>
      <c r="CL275" s="22"/>
      <c r="CM275" s="22"/>
      <c r="CN275" s="22"/>
      <c r="CO275" s="22"/>
      <c r="CP275" s="22"/>
      <c r="CQ275" s="22"/>
      <c r="CR275" s="22"/>
      <c r="CS275" s="22"/>
      <c r="CT275" s="22"/>
      <c r="CU275" s="22"/>
      <c r="CV275" s="22"/>
      <c r="CW275" s="22"/>
      <c r="CX275" s="22"/>
      <c r="CY275" s="22"/>
      <c r="CZ275" s="22"/>
      <c r="DA275" s="22"/>
      <c r="DB275" s="22"/>
      <c r="DC275" s="22"/>
      <c r="DD275" s="22"/>
      <c r="DE275" s="22"/>
      <c r="DF275" s="22"/>
      <c r="DG275" s="22"/>
      <c r="DH275" s="22"/>
      <c r="DI275" s="22"/>
      <c r="DJ275" s="22"/>
      <c r="DK275" s="22"/>
      <c r="DL275" s="22"/>
      <c r="DM275" s="22"/>
      <c r="DN275" s="22"/>
      <c r="DO275" s="22"/>
      <c r="DP275" s="22"/>
      <c r="DQ275" s="22"/>
      <c r="DR275" s="22"/>
      <c r="DS275" s="22"/>
      <c r="DT275" s="22"/>
      <c r="DU275" s="22"/>
      <c r="DV275" s="22"/>
      <c r="DW275" s="22"/>
      <c r="DX275" s="22"/>
      <c r="DY275" s="22"/>
      <c r="DZ275" s="22"/>
      <c r="EA275" s="22"/>
      <c r="EB275" s="22"/>
      <c r="EC275" s="22"/>
      <c r="ED275" s="22"/>
      <c r="EE275" s="22"/>
      <c r="EF275" s="22"/>
      <c r="EG275" s="22"/>
      <c r="EH275" s="22"/>
      <c r="EI275" s="22"/>
      <c r="EJ275" s="22"/>
      <c r="EK275" s="22"/>
      <c r="EL275" s="22"/>
      <c r="EM275" s="22"/>
      <c r="EN275" s="22"/>
      <c r="EO275" s="22"/>
      <c r="EP275" s="22"/>
      <c r="EQ275" s="22"/>
      <c r="ER275" s="22"/>
      <c r="ES275" s="22"/>
      <c r="ET275" s="22"/>
      <c r="EU275" s="22"/>
      <c r="EV275" s="22"/>
      <c r="EW275" s="22"/>
      <c r="EX275" s="22"/>
      <c r="EY275" s="22"/>
      <c r="EZ275" s="22"/>
      <c r="FA275" s="22"/>
      <c r="FB275" s="22"/>
      <c r="FC275" s="22"/>
      <c r="FD275" s="22"/>
      <c r="FE275" s="22"/>
      <c r="FF275" s="22"/>
      <c r="FG275" s="22"/>
      <c r="FH275" s="22"/>
      <c r="FI275" s="22"/>
      <c r="FJ275" s="22"/>
      <c r="FK275" s="22"/>
      <c r="FL275" s="22"/>
      <c r="FM275" s="22"/>
      <c r="FN275" s="22"/>
      <c r="FO275" s="22"/>
      <c r="FP275" s="22"/>
      <c r="FQ275" s="22"/>
      <c r="FR275" s="22"/>
      <c r="FS275" s="22"/>
      <c r="FT275" s="22"/>
      <c r="FU275" s="22"/>
      <c r="FV275" s="22"/>
      <c r="FW275" s="22"/>
      <c r="FX275" s="22"/>
      <c r="FY275" s="22"/>
      <c r="FZ275" s="22"/>
      <c r="GA275" s="22"/>
      <c r="GB275" s="22"/>
      <c r="GC275" s="22"/>
      <c r="GD275" s="22"/>
      <c r="GE275" s="22"/>
      <c r="GF275" s="22"/>
      <c r="GG275" s="22"/>
      <c r="GH275" s="22"/>
      <c r="GI275" s="22"/>
      <c r="GJ275" s="22"/>
      <c r="GK275" s="22"/>
      <c r="GL275" s="22"/>
      <c r="GM275" s="22"/>
      <c r="GN275" s="22"/>
      <c r="GO275" s="22"/>
      <c r="GP275" s="22"/>
      <c r="GQ275" s="22"/>
      <c r="GR275" s="22"/>
      <c r="GS275" s="22"/>
      <c r="GT275" s="22"/>
      <c r="GU275" s="22"/>
      <c r="GV275" s="22"/>
      <c r="GW275" s="22"/>
      <c r="GX275" s="22"/>
      <c r="GY275" s="22"/>
      <c r="GZ275" s="22"/>
      <c r="HA275" s="22"/>
      <c r="HB275" s="22"/>
      <c r="HC275" s="22"/>
    </row>
    <row r="276" spans="1:211" ht="15" customHeight="1" x14ac:dyDescent="0.2">
      <c r="A276" s="22"/>
      <c r="B276" s="14"/>
      <c r="C276" s="45"/>
      <c r="D276" s="46"/>
      <c r="E276" s="46"/>
      <c r="F276" s="120"/>
      <c r="G276" s="120"/>
      <c r="H276" s="47"/>
      <c r="I276" s="116"/>
      <c r="J276" s="45"/>
      <c r="K276" s="45"/>
      <c r="L276" s="73"/>
      <c r="M276" s="118"/>
      <c r="N276" s="119"/>
      <c r="O276" s="113"/>
      <c r="P276" s="115"/>
      <c r="Q276"/>
      <c r="R276"/>
      <c r="S276" s="114"/>
      <c r="T276" s="110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22"/>
      <c r="BA276" s="22"/>
      <c r="BB276" s="22"/>
      <c r="BC276" s="22"/>
      <c r="BD276" s="22"/>
      <c r="BE276" s="22"/>
      <c r="BF276" s="22"/>
      <c r="BG276" s="22"/>
      <c r="BH276" s="22"/>
      <c r="BI276" s="22"/>
      <c r="BJ276" s="22"/>
      <c r="BK276" s="22"/>
      <c r="BL276" s="22"/>
      <c r="BM276" s="22"/>
      <c r="BN276" s="22"/>
      <c r="BO276" s="22"/>
      <c r="BP276" s="22"/>
      <c r="BQ276" s="22"/>
      <c r="BR276" s="22"/>
      <c r="BS276" s="22"/>
      <c r="BT276" s="22"/>
      <c r="BU276" s="22"/>
      <c r="BV276" s="22"/>
      <c r="BW276" s="22"/>
      <c r="BX276" s="22"/>
      <c r="BY276" s="22"/>
      <c r="BZ276" s="22"/>
      <c r="CA276" s="22"/>
      <c r="CB276" s="22"/>
      <c r="CC276" s="22"/>
      <c r="CD276" s="22"/>
      <c r="CE276" s="22"/>
      <c r="CF276" s="22"/>
      <c r="CG276" s="22"/>
      <c r="CH276" s="22"/>
      <c r="CI276" s="22"/>
      <c r="CJ276" s="22"/>
      <c r="CK276" s="22"/>
      <c r="CL276" s="22"/>
      <c r="CM276" s="22"/>
      <c r="CN276" s="22"/>
      <c r="CO276" s="22"/>
      <c r="CP276" s="22"/>
      <c r="CQ276" s="22"/>
      <c r="CR276" s="22"/>
      <c r="CS276" s="22"/>
      <c r="CT276" s="22"/>
      <c r="CU276" s="22"/>
      <c r="CV276" s="22"/>
      <c r="CW276" s="22"/>
      <c r="CX276" s="22"/>
      <c r="CY276" s="22"/>
      <c r="CZ276" s="22"/>
      <c r="DA276" s="22"/>
      <c r="DB276" s="22"/>
      <c r="DC276" s="22"/>
      <c r="DD276" s="22"/>
      <c r="DE276" s="22"/>
      <c r="DF276" s="22"/>
      <c r="DG276" s="22"/>
      <c r="DH276" s="22"/>
      <c r="DI276" s="22"/>
      <c r="DJ276" s="22"/>
      <c r="DK276" s="22"/>
      <c r="DL276" s="22"/>
      <c r="DM276" s="22"/>
      <c r="DN276" s="22"/>
      <c r="DO276" s="22"/>
      <c r="DP276" s="22"/>
      <c r="DQ276" s="22"/>
      <c r="DR276" s="22"/>
      <c r="DS276" s="22"/>
      <c r="DT276" s="22"/>
      <c r="DU276" s="22"/>
      <c r="DV276" s="22"/>
      <c r="DW276" s="22"/>
      <c r="DX276" s="22"/>
      <c r="DY276" s="22"/>
      <c r="DZ276" s="22"/>
      <c r="EA276" s="22"/>
      <c r="EB276" s="22"/>
      <c r="EC276" s="22"/>
      <c r="ED276" s="22"/>
      <c r="EE276" s="22"/>
      <c r="EF276" s="22"/>
      <c r="EG276" s="22"/>
      <c r="EH276" s="22"/>
      <c r="EI276" s="22"/>
      <c r="EJ276" s="22"/>
      <c r="EK276" s="22"/>
      <c r="EL276" s="22"/>
      <c r="EM276" s="22"/>
      <c r="EN276" s="22"/>
      <c r="EO276" s="22"/>
      <c r="EP276" s="22"/>
      <c r="EQ276" s="22"/>
      <c r="ER276" s="22"/>
      <c r="ES276" s="22"/>
      <c r="ET276" s="22"/>
      <c r="EU276" s="22"/>
      <c r="EV276" s="22"/>
      <c r="EW276" s="22"/>
      <c r="EX276" s="22"/>
      <c r="EY276" s="22"/>
      <c r="EZ276" s="22"/>
      <c r="FA276" s="22"/>
      <c r="FB276" s="22"/>
      <c r="FC276" s="22"/>
      <c r="FD276" s="22"/>
      <c r="FE276" s="22"/>
      <c r="FF276" s="22"/>
      <c r="FG276" s="22"/>
      <c r="FH276" s="22"/>
      <c r="FI276" s="22"/>
      <c r="FJ276" s="22"/>
      <c r="FK276" s="22"/>
      <c r="FL276" s="22"/>
      <c r="FM276" s="22"/>
      <c r="FN276" s="22"/>
      <c r="FO276" s="22"/>
      <c r="FP276" s="22"/>
      <c r="FQ276" s="22"/>
      <c r="FR276" s="22"/>
      <c r="FS276" s="22"/>
      <c r="FT276" s="22"/>
      <c r="FU276" s="22"/>
      <c r="FV276" s="22"/>
      <c r="FW276" s="22"/>
      <c r="FX276" s="22"/>
      <c r="FY276" s="22"/>
      <c r="FZ276" s="22"/>
      <c r="GA276" s="22"/>
      <c r="GB276" s="22"/>
      <c r="GC276" s="22"/>
      <c r="GD276" s="22"/>
      <c r="GE276" s="22"/>
      <c r="GF276" s="22"/>
      <c r="GG276" s="22"/>
      <c r="GH276" s="22"/>
      <c r="GI276" s="22"/>
      <c r="GJ276" s="22"/>
      <c r="GK276" s="22"/>
      <c r="GL276" s="22"/>
      <c r="GM276" s="22"/>
      <c r="GN276" s="22"/>
      <c r="GO276" s="22"/>
      <c r="GP276" s="22"/>
      <c r="GQ276" s="22"/>
      <c r="GR276" s="22"/>
      <c r="GS276" s="22"/>
      <c r="GT276" s="22"/>
      <c r="GU276" s="22"/>
      <c r="GV276" s="22"/>
      <c r="GW276" s="22"/>
      <c r="GX276" s="22"/>
      <c r="GY276" s="22"/>
      <c r="GZ276" s="22"/>
      <c r="HA276" s="22"/>
      <c r="HB276" s="22"/>
      <c r="HC276" s="22"/>
    </row>
    <row r="277" spans="1:211" ht="15" customHeight="1" x14ac:dyDescent="0.2">
      <c r="A277" s="22"/>
      <c r="B277" s="14"/>
      <c r="C277" s="45"/>
      <c r="D277" s="46"/>
      <c r="E277" s="46"/>
      <c r="F277" s="120"/>
      <c r="G277" s="120"/>
      <c r="H277" s="47"/>
      <c r="I277" s="116"/>
      <c r="J277" s="45"/>
      <c r="K277" s="45"/>
      <c r="L277" s="73"/>
      <c r="M277" s="118"/>
      <c r="N277" s="119"/>
      <c r="O277" s="113"/>
      <c r="P277" s="115"/>
      <c r="Q277"/>
      <c r="R277"/>
      <c r="S277" s="114"/>
      <c r="T277" s="110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2"/>
      <c r="BH277" s="22"/>
      <c r="BI277" s="22"/>
      <c r="BJ277" s="22"/>
      <c r="BK277" s="22"/>
      <c r="BL277" s="22"/>
      <c r="BM277" s="22"/>
      <c r="BN277" s="22"/>
      <c r="BO277" s="22"/>
      <c r="BP277" s="22"/>
      <c r="BQ277" s="22"/>
      <c r="BR277" s="22"/>
      <c r="BS277" s="22"/>
      <c r="BT277" s="22"/>
      <c r="BU277" s="22"/>
      <c r="BV277" s="22"/>
      <c r="BW277" s="22"/>
      <c r="BX277" s="22"/>
      <c r="BY277" s="22"/>
      <c r="BZ277" s="22"/>
      <c r="CA277" s="22"/>
      <c r="CB277" s="22"/>
      <c r="CC277" s="22"/>
      <c r="CD277" s="22"/>
      <c r="CE277" s="22"/>
      <c r="CF277" s="22"/>
      <c r="CG277" s="22"/>
      <c r="CH277" s="22"/>
      <c r="CI277" s="22"/>
      <c r="CJ277" s="22"/>
      <c r="CK277" s="22"/>
      <c r="CL277" s="22"/>
      <c r="CM277" s="22"/>
      <c r="CN277" s="22"/>
      <c r="CO277" s="22"/>
      <c r="CP277" s="22"/>
      <c r="CQ277" s="22"/>
      <c r="CR277" s="22"/>
      <c r="CS277" s="22"/>
      <c r="CT277" s="22"/>
      <c r="CU277" s="22"/>
      <c r="CV277" s="22"/>
      <c r="CW277" s="22"/>
      <c r="CX277" s="22"/>
      <c r="CY277" s="22"/>
      <c r="CZ277" s="22"/>
      <c r="DA277" s="22"/>
      <c r="DB277" s="22"/>
      <c r="DC277" s="22"/>
      <c r="DD277" s="22"/>
      <c r="DE277" s="22"/>
      <c r="DF277" s="22"/>
      <c r="DG277" s="22"/>
      <c r="DH277" s="22"/>
      <c r="DI277" s="22"/>
      <c r="DJ277" s="22"/>
      <c r="DK277" s="22"/>
      <c r="DL277" s="22"/>
      <c r="DM277" s="22"/>
      <c r="DN277" s="22"/>
      <c r="DO277" s="22"/>
      <c r="DP277" s="22"/>
      <c r="DQ277" s="22"/>
      <c r="DR277" s="22"/>
      <c r="DS277" s="22"/>
      <c r="DT277" s="22"/>
      <c r="DU277" s="22"/>
      <c r="DV277" s="22"/>
      <c r="DW277" s="22"/>
      <c r="DX277" s="22"/>
      <c r="DY277" s="22"/>
      <c r="DZ277" s="22"/>
      <c r="EA277" s="22"/>
      <c r="EB277" s="22"/>
      <c r="EC277" s="22"/>
      <c r="ED277" s="22"/>
      <c r="EE277" s="22"/>
      <c r="EF277" s="22"/>
      <c r="EG277" s="22"/>
      <c r="EH277" s="22"/>
      <c r="EI277" s="22"/>
      <c r="EJ277" s="22"/>
      <c r="EK277" s="22"/>
      <c r="EL277" s="22"/>
      <c r="EM277" s="22"/>
      <c r="EN277" s="22"/>
      <c r="EO277" s="22"/>
      <c r="EP277" s="22"/>
      <c r="EQ277" s="22"/>
      <c r="ER277" s="22"/>
      <c r="ES277" s="22"/>
      <c r="ET277" s="22"/>
      <c r="EU277" s="22"/>
      <c r="EV277" s="22"/>
      <c r="EW277" s="22"/>
      <c r="EX277" s="22"/>
      <c r="EY277" s="22"/>
      <c r="EZ277" s="22"/>
      <c r="FA277" s="22"/>
      <c r="FB277" s="22"/>
      <c r="FC277" s="22"/>
      <c r="FD277" s="22"/>
      <c r="FE277" s="22"/>
      <c r="FF277" s="22"/>
      <c r="FG277" s="22"/>
      <c r="FH277" s="22"/>
      <c r="FI277" s="22"/>
      <c r="FJ277" s="22"/>
      <c r="FK277" s="22"/>
      <c r="FL277" s="22"/>
      <c r="FM277" s="22"/>
      <c r="FN277" s="22"/>
      <c r="FO277" s="22"/>
      <c r="FP277" s="22"/>
      <c r="FQ277" s="22"/>
      <c r="FR277" s="22"/>
      <c r="FS277" s="22"/>
      <c r="FT277" s="22"/>
      <c r="FU277" s="22"/>
      <c r="FV277" s="22"/>
      <c r="FW277" s="22"/>
      <c r="FX277" s="22"/>
      <c r="FY277" s="22"/>
      <c r="FZ277" s="22"/>
      <c r="GA277" s="22"/>
      <c r="GB277" s="22"/>
      <c r="GC277" s="22"/>
      <c r="GD277" s="22"/>
      <c r="GE277" s="22"/>
      <c r="GF277" s="22"/>
      <c r="GG277" s="22"/>
      <c r="GH277" s="22"/>
      <c r="GI277" s="22"/>
      <c r="GJ277" s="22"/>
      <c r="GK277" s="22"/>
      <c r="GL277" s="22"/>
      <c r="GM277" s="22"/>
      <c r="GN277" s="22"/>
      <c r="GO277" s="22"/>
      <c r="GP277" s="22"/>
      <c r="GQ277" s="22"/>
      <c r="GR277" s="22"/>
      <c r="GS277" s="22"/>
      <c r="GT277" s="22"/>
      <c r="GU277" s="22"/>
      <c r="GV277" s="22"/>
      <c r="GW277" s="22"/>
      <c r="GX277" s="22"/>
      <c r="GY277" s="22"/>
      <c r="GZ277" s="22"/>
      <c r="HA277" s="22"/>
      <c r="HB277" s="22"/>
      <c r="HC277" s="22"/>
    </row>
    <row r="278" spans="1:211" ht="15" customHeight="1" x14ac:dyDescent="0.2">
      <c r="A278" s="22"/>
      <c r="B278" s="14"/>
      <c r="C278" s="45"/>
      <c r="D278" s="46"/>
      <c r="E278" s="46"/>
      <c r="F278" s="120"/>
      <c r="G278" s="120"/>
      <c r="H278" s="47"/>
      <c r="I278" s="116"/>
      <c r="J278" s="45"/>
      <c r="K278" s="45"/>
      <c r="L278" s="73"/>
      <c r="M278" s="118"/>
      <c r="N278" s="119"/>
      <c r="O278" s="113"/>
      <c r="P278" s="115"/>
      <c r="Q278"/>
      <c r="R278"/>
      <c r="S278" s="114"/>
      <c r="T278" s="110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22"/>
      <c r="BA278" s="22"/>
      <c r="BB278" s="22"/>
      <c r="BC278" s="22"/>
      <c r="BD278" s="22"/>
      <c r="BE278" s="22"/>
      <c r="BF278" s="22"/>
      <c r="BG278" s="22"/>
      <c r="BH278" s="22"/>
      <c r="BI278" s="22"/>
      <c r="BJ278" s="22"/>
      <c r="BK278" s="22"/>
      <c r="BL278" s="22"/>
      <c r="BM278" s="22"/>
      <c r="BN278" s="22"/>
      <c r="BO278" s="22"/>
      <c r="BP278" s="22"/>
      <c r="BQ278" s="22"/>
      <c r="BR278" s="22"/>
      <c r="BS278" s="22"/>
      <c r="BT278" s="22"/>
      <c r="BU278" s="22"/>
      <c r="BV278" s="22"/>
      <c r="BW278" s="22"/>
      <c r="BX278" s="22"/>
      <c r="BY278" s="22"/>
      <c r="BZ278" s="22"/>
      <c r="CA278" s="22"/>
      <c r="CB278" s="22"/>
      <c r="CC278" s="22"/>
      <c r="CD278" s="22"/>
      <c r="CE278" s="22"/>
      <c r="CF278" s="22"/>
      <c r="CG278" s="22"/>
      <c r="CH278" s="22"/>
      <c r="CI278" s="22"/>
      <c r="CJ278" s="22"/>
      <c r="CK278" s="22"/>
      <c r="CL278" s="22"/>
      <c r="CM278" s="22"/>
      <c r="CN278" s="22"/>
      <c r="CO278" s="22"/>
      <c r="CP278" s="22"/>
      <c r="CQ278" s="22"/>
      <c r="CR278" s="22"/>
      <c r="CS278" s="22"/>
      <c r="CT278" s="22"/>
      <c r="CU278" s="22"/>
      <c r="CV278" s="22"/>
      <c r="CW278" s="22"/>
      <c r="CX278" s="22"/>
      <c r="CY278" s="22"/>
      <c r="CZ278" s="22"/>
      <c r="DA278" s="22"/>
      <c r="DB278" s="22"/>
      <c r="DC278" s="22"/>
      <c r="DD278" s="22"/>
      <c r="DE278" s="22"/>
      <c r="DF278" s="22"/>
      <c r="DG278" s="22"/>
      <c r="DH278" s="22"/>
      <c r="DI278" s="22"/>
      <c r="DJ278" s="22"/>
      <c r="DK278" s="22"/>
      <c r="DL278" s="22"/>
      <c r="DM278" s="22"/>
      <c r="DN278" s="22"/>
      <c r="DO278" s="22"/>
      <c r="DP278" s="22"/>
      <c r="DQ278" s="22"/>
      <c r="DR278" s="22"/>
      <c r="DS278" s="22"/>
      <c r="DT278" s="22"/>
      <c r="DU278" s="22"/>
      <c r="DV278" s="22"/>
      <c r="DW278" s="22"/>
      <c r="DX278" s="22"/>
      <c r="DY278" s="22"/>
      <c r="DZ278" s="22"/>
      <c r="EA278" s="22"/>
      <c r="EB278" s="22"/>
      <c r="EC278" s="22"/>
      <c r="ED278" s="22"/>
      <c r="EE278" s="22"/>
      <c r="EF278" s="22"/>
      <c r="EG278" s="22"/>
      <c r="EH278" s="22"/>
      <c r="EI278" s="22"/>
      <c r="EJ278" s="22"/>
      <c r="EK278" s="22"/>
      <c r="EL278" s="22"/>
      <c r="EM278" s="22"/>
      <c r="EN278" s="22"/>
      <c r="EO278" s="22"/>
      <c r="EP278" s="22"/>
      <c r="EQ278" s="22"/>
      <c r="ER278" s="22"/>
      <c r="ES278" s="22"/>
      <c r="ET278" s="22"/>
      <c r="EU278" s="22"/>
      <c r="EV278" s="22"/>
      <c r="EW278" s="22"/>
      <c r="EX278" s="22"/>
      <c r="EY278" s="22"/>
      <c r="EZ278" s="22"/>
      <c r="FA278" s="22"/>
      <c r="FB278" s="22"/>
      <c r="FC278" s="22"/>
      <c r="FD278" s="22"/>
      <c r="FE278" s="22"/>
      <c r="FF278" s="22"/>
      <c r="FG278" s="22"/>
      <c r="FH278" s="22"/>
      <c r="FI278" s="22"/>
      <c r="FJ278" s="22"/>
      <c r="FK278" s="22"/>
      <c r="FL278" s="22"/>
      <c r="FM278" s="22"/>
      <c r="FN278" s="22"/>
      <c r="FO278" s="22"/>
      <c r="FP278" s="22"/>
      <c r="FQ278" s="22"/>
      <c r="FR278" s="22"/>
      <c r="FS278" s="22"/>
      <c r="FT278" s="22"/>
      <c r="FU278" s="22"/>
      <c r="FV278" s="22"/>
      <c r="FW278" s="22"/>
      <c r="FX278" s="22"/>
      <c r="FY278" s="22"/>
      <c r="FZ278" s="22"/>
      <c r="GA278" s="22"/>
      <c r="GB278" s="22"/>
      <c r="GC278" s="22"/>
      <c r="GD278" s="22"/>
      <c r="GE278" s="22"/>
      <c r="GF278" s="22"/>
      <c r="GG278" s="22"/>
      <c r="GH278" s="22"/>
      <c r="GI278" s="22"/>
      <c r="GJ278" s="22"/>
      <c r="GK278" s="22"/>
      <c r="GL278" s="22"/>
      <c r="GM278" s="22"/>
      <c r="GN278" s="22"/>
      <c r="GO278" s="22"/>
      <c r="GP278" s="22"/>
      <c r="GQ278" s="22"/>
      <c r="GR278" s="22"/>
      <c r="GS278" s="22"/>
      <c r="GT278" s="22"/>
      <c r="GU278" s="22"/>
      <c r="GV278" s="22"/>
      <c r="GW278" s="22"/>
      <c r="GX278" s="22"/>
      <c r="GY278" s="22"/>
      <c r="GZ278" s="22"/>
      <c r="HA278" s="22"/>
      <c r="HB278" s="22"/>
      <c r="HC278" s="22"/>
    </row>
    <row r="279" spans="1:211" ht="15" customHeight="1" x14ac:dyDescent="0.2">
      <c r="A279" s="22"/>
      <c r="B279" s="14"/>
      <c r="C279" s="45"/>
      <c r="D279" s="46"/>
      <c r="E279" s="46"/>
      <c r="F279" s="120"/>
      <c r="G279" s="120"/>
      <c r="H279" s="47"/>
      <c r="I279" s="116"/>
      <c r="J279" s="45"/>
      <c r="K279" s="45"/>
      <c r="L279" s="73"/>
      <c r="M279" s="118"/>
      <c r="N279" s="119"/>
      <c r="O279" s="113"/>
      <c r="P279" s="115"/>
      <c r="Q279"/>
      <c r="R279"/>
      <c r="S279" s="114"/>
      <c r="T279" s="110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2"/>
      <c r="BH279" s="22"/>
      <c r="BI279" s="22"/>
      <c r="BJ279" s="22"/>
      <c r="BK279" s="22"/>
      <c r="BL279" s="22"/>
      <c r="BM279" s="22"/>
      <c r="BN279" s="22"/>
      <c r="BO279" s="22"/>
      <c r="BP279" s="22"/>
      <c r="BQ279" s="22"/>
      <c r="BR279" s="22"/>
      <c r="BS279" s="22"/>
      <c r="BT279" s="22"/>
      <c r="BU279" s="22"/>
      <c r="BV279" s="22"/>
      <c r="BW279" s="22"/>
      <c r="BX279" s="22"/>
      <c r="BY279" s="22"/>
      <c r="BZ279" s="22"/>
      <c r="CA279" s="22"/>
      <c r="CB279" s="22"/>
      <c r="CC279" s="22"/>
      <c r="CD279" s="22"/>
      <c r="CE279" s="22"/>
      <c r="CF279" s="22"/>
      <c r="CG279" s="22"/>
      <c r="CH279" s="22"/>
      <c r="CI279" s="22"/>
      <c r="CJ279" s="22"/>
      <c r="CK279" s="22"/>
      <c r="CL279" s="22"/>
      <c r="CM279" s="22"/>
      <c r="CN279" s="22"/>
      <c r="CO279" s="22"/>
      <c r="CP279" s="22"/>
      <c r="CQ279" s="22"/>
      <c r="CR279" s="22"/>
      <c r="CS279" s="22"/>
      <c r="CT279" s="22"/>
      <c r="CU279" s="22"/>
      <c r="CV279" s="22"/>
      <c r="CW279" s="22"/>
      <c r="CX279" s="22"/>
      <c r="CY279" s="22"/>
      <c r="CZ279" s="22"/>
      <c r="DA279" s="22"/>
      <c r="DB279" s="22"/>
      <c r="DC279" s="22"/>
      <c r="DD279" s="22"/>
      <c r="DE279" s="22"/>
      <c r="DF279" s="22"/>
      <c r="DG279" s="22"/>
      <c r="DH279" s="22"/>
      <c r="DI279" s="22"/>
      <c r="DJ279" s="22"/>
      <c r="DK279" s="22"/>
      <c r="DL279" s="22"/>
      <c r="DM279" s="22"/>
      <c r="DN279" s="22"/>
      <c r="DO279" s="22"/>
      <c r="DP279" s="22"/>
      <c r="DQ279" s="22"/>
      <c r="DR279" s="22"/>
      <c r="DS279" s="22"/>
      <c r="DT279" s="22"/>
      <c r="DU279" s="22"/>
      <c r="DV279" s="22"/>
      <c r="DW279" s="22"/>
      <c r="DX279" s="22"/>
      <c r="DY279" s="22"/>
      <c r="DZ279" s="22"/>
      <c r="EA279" s="22"/>
      <c r="EB279" s="22"/>
      <c r="EC279" s="22"/>
      <c r="ED279" s="22"/>
      <c r="EE279" s="22"/>
      <c r="EF279" s="22"/>
      <c r="EG279" s="22"/>
      <c r="EH279" s="22"/>
      <c r="EI279" s="22"/>
      <c r="EJ279" s="22"/>
      <c r="EK279" s="22"/>
      <c r="EL279" s="22"/>
      <c r="EM279" s="22"/>
      <c r="EN279" s="22"/>
      <c r="EO279" s="22"/>
      <c r="EP279" s="22"/>
      <c r="EQ279" s="22"/>
      <c r="ER279" s="22"/>
      <c r="ES279" s="22"/>
      <c r="ET279" s="22"/>
      <c r="EU279" s="22"/>
      <c r="EV279" s="22"/>
      <c r="EW279" s="22"/>
      <c r="EX279" s="22"/>
      <c r="EY279" s="22"/>
      <c r="EZ279" s="22"/>
      <c r="FA279" s="22"/>
      <c r="FB279" s="22"/>
      <c r="FC279" s="22"/>
      <c r="FD279" s="22"/>
      <c r="FE279" s="22"/>
      <c r="FF279" s="22"/>
      <c r="FG279" s="22"/>
      <c r="FH279" s="22"/>
      <c r="FI279" s="22"/>
      <c r="FJ279" s="22"/>
      <c r="FK279" s="22"/>
      <c r="FL279" s="22"/>
      <c r="FM279" s="22"/>
      <c r="FN279" s="22"/>
      <c r="FO279" s="22"/>
      <c r="FP279" s="22"/>
      <c r="FQ279" s="22"/>
      <c r="FR279" s="22"/>
      <c r="FS279" s="22"/>
      <c r="FT279" s="22"/>
      <c r="FU279" s="22"/>
      <c r="FV279" s="22"/>
      <c r="FW279" s="22"/>
      <c r="FX279" s="22"/>
      <c r="FY279" s="22"/>
      <c r="FZ279" s="22"/>
      <c r="GA279" s="22"/>
      <c r="GB279" s="22"/>
      <c r="GC279" s="22"/>
      <c r="GD279" s="22"/>
      <c r="GE279" s="22"/>
      <c r="GF279" s="22"/>
      <c r="GG279" s="22"/>
      <c r="GH279" s="22"/>
      <c r="GI279" s="22"/>
      <c r="GJ279" s="22"/>
      <c r="GK279" s="22"/>
      <c r="GL279" s="22"/>
      <c r="GM279" s="22"/>
      <c r="GN279" s="22"/>
      <c r="GO279" s="22"/>
      <c r="GP279" s="22"/>
      <c r="GQ279" s="22"/>
      <c r="GR279" s="22"/>
      <c r="GS279" s="22"/>
      <c r="GT279" s="22"/>
      <c r="GU279" s="22"/>
      <c r="GV279" s="22"/>
      <c r="GW279" s="22"/>
      <c r="GX279" s="22"/>
      <c r="GY279" s="22"/>
      <c r="GZ279" s="22"/>
      <c r="HA279" s="22"/>
      <c r="HB279" s="22"/>
      <c r="HC279" s="22"/>
    </row>
    <row r="280" spans="1:211" ht="15" customHeight="1" x14ac:dyDescent="0.2">
      <c r="A280" s="22"/>
      <c r="B280" s="14"/>
      <c r="C280" s="45"/>
      <c r="D280" s="46"/>
      <c r="E280" s="46"/>
      <c r="F280" s="120"/>
      <c r="G280" s="120"/>
      <c r="H280" s="47"/>
      <c r="I280" s="116"/>
      <c r="J280" s="45"/>
      <c r="K280" s="45"/>
      <c r="L280" s="73"/>
      <c r="M280" s="118"/>
      <c r="N280" s="119"/>
      <c r="O280" s="113"/>
      <c r="P280" s="115"/>
      <c r="Q280"/>
      <c r="R280"/>
      <c r="S280" s="114"/>
      <c r="T280" s="110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22"/>
      <c r="BA280" s="22"/>
      <c r="BB280" s="22"/>
      <c r="BC280" s="22"/>
      <c r="BD280" s="22"/>
      <c r="BE280" s="22"/>
      <c r="BF280" s="22"/>
      <c r="BG280" s="22"/>
      <c r="BH280" s="22"/>
      <c r="BI280" s="22"/>
      <c r="BJ280" s="22"/>
      <c r="BK280" s="22"/>
      <c r="BL280" s="22"/>
      <c r="BM280" s="22"/>
      <c r="BN280" s="22"/>
      <c r="BO280" s="22"/>
      <c r="BP280" s="22"/>
      <c r="BQ280" s="22"/>
      <c r="BR280" s="22"/>
      <c r="BS280" s="22"/>
      <c r="BT280" s="22"/>
      <c r="BU280" s="22"/>
      <c r="BV280" s="22"/>
      <c r="BW280" s="22"/>
      <c r="BX280" s="22"/>
      <c r="BY280" s="22"/>
      <c r="BZ280" s="22"/>
      <c r="CA280" s="22"/>
      <c r="CB280" s="22"/>
      <c r="CC280" s="22"/>
      <c r="CD280" s="22"/>
      <c r="CE280" s="22"/>
      <c r="CF280" s="22"/>
      <c r="CG280" s="22"/>
      <c r="CH280" s="22"/>
      <c r="CI280" s="22"/>
      <c r="CJ280" s="22"/>
      <c r="CK280" s="22"/>
      <c r="CL280" s="22"/>
      <c r="CM280" s="22"/>
      <c r="CN280" s="22"/>
      <c r="CO280" s="22"/>
      <c r="CP280" s="22"/>
      <c r="CQ280" s="22"/>
      <c r="CR280" s="22"/>
      <c r="CS280" s="22"/>
      <c r="CT280" s="22"/>
      <c r="CU280" s="22"/>
      <c r="CV280" s="22"/>
      <c r="CW280" s="22"/>
      <c r="CX280" s="22"/>
      <c r="CY280" s="22"/>
      <c r="CZ280" s="22"/>
      <c r="DA280" s="22"/>
      <c r="DB280" s="22"/>
      <c r="DC280" s="22"/>
      <c r="DD280" s="22"/>
      <c r="DE280" s="22"/>
      <c r="DF280" s="22"/>
      <c r="DG280" s="22"/>
      <c r="DH280" s="22"/>
      <c r="DI280" s="22"/>
      <c r="DJ280" s="22"/>
      <c r="DK280" s="22"/>
      <c r="DL280" s="22"/>
      <c r="DM280" s="22"/>
      <c r="DN280" s="22"/>
      <c r="DO280" s="22"/>
      <c r="DP280" s="22"/>
      <c r="DQ280" s="22"/>
      <c r="DR280" s="22"/>
      <c r="DS280" s="22"/>
      <c r="DT280" s="22"/>
      <c r="DU280" s="22"/>
      <c r="DV280" s="22"/>
      <c r="DW280" s="22"/>
      <c r="DX280" s="22"/>
      <c r="DY280" s="22"/>
      <c r="DZ280" s="22"/>
      <c r="EA280" s="22"/>
      <c r="EB280" s="22"/>
      <c r="EC280" s="22"/>
      <c r="ED280" s="22"/>
      <c r="EE280" s="22"/>
      <c r="EF280" s="22"/>
      <c r="EG280" s="22"/>
      <c r="EH280" s="22"/>
      <c r="EI280" s="22"/>
      <c r="EJ280" s="22"/>
      <c r="EK280" s="22"/>
      <c r="EL280" s="22"/>
      <c r="EM280" s="22"/>
      <c r="EN280" s="22"/>
      <c r="EO280" s="22"/>
      <c r="EP280" s="22"/>
      <c r="EQ280" s="22"/>
      <c r="ER280" s="22"/>
      <c r="ES280" s="22"/>
      <c r="ET280" s="22"/>
      <c r="EU280" s="22"/>
      <c r="EV280" s="22"/>
      <c r="EW280" s="22"/>
      <c r="EX280" s="22"/>
      <c r="EY280" s="22"/>
      <c r="EZ280" s="22"/>
      <c r="FA280" s="22"/>
      <c r="FB280" s="22"/>
      <c r="FC280" s="22"/>
      <c r="FD280" s="22"/>
      <c r="FE280" s="22"/>
      <c r="FF280" s="22"/>
      <c r="FG280" s="22"/>
      <c r="FH280" s="22"/>
      <c r="FI280" s="22"/>
      <c r="FJ280" s="22"/>
      <c r="FK280" s="22"/>
      <c r="FL280" s="22"/>
      <c r="FM280" s="22"/>
      <c r="FN280" s="22"/>
      <c r="FO280" s="22"/>
      <c r="FP280" s="22"/>
      <c r="FQ280" s="22"/>
      <c r="FR280" s="22"/>
      <c r="FS280" s="22"/>
      <c r="FT280" s="22"/>
      <c r="FU280" s="22"/>
      <c r="FV280" s="22"/>
      <c r="FW280" s="22"/>
      <c r="FX280" s="22"/>
      <c r="FY280" s="22"/>
      <c r="FZ280" s="22"/>
      <c r="GA280" s="22"/>
      <c r="GB280" s="22"/>
      <c r="GC280" s="22"/>
      <c r="GD280" s="22"/>
      <c r="GE280" s="22"/>
      <c r="GF280" s="22"/>
      <c r="GG280" s="22"/>
      <c r="GH280" s="22"/>
      <c r="GI280" s="22"/>
      <c r="GJ280" s="22"/>
      <c r="GK280" s="22"/>
      <c r="GL280" s="22"/>
      <c r="GM280" s="22"/>
      <c r="GN280" s="22"/>
      <c r="GO280" s="22"/>
      <c r="GP280" s="22"/>
      <c r="GQ280" s="22"/>
      <c r="GR280" s="22"/>
      <c r="GS280" s="22"/>
      <c r="GT280" s="22"/>
      <c r="GU280" s="22"/>
      <c r="GV280" s="22"/>
      <c r="GW280" s="22"/>
      <c r="GX280" s="22"/>
      <c r="GY280" s="22"/>
      <c r="GZ280" s="22"/>
      <c r="HA280" s="22"/>
      <c r="HB280" s="22"/>
      <c r="HC280" s="22"/>
    </row>
    <row r="281" spans="1:211" ht="15" customHeight="1" x14ac:dyDescent="0.2">
      <c r="A281" s="22"/>
      <c r="B281" s="14"/>
      <c r="C281" s="45"/>
      <c r="D281" s="46"/>
      <c r="E281" s="46"/>
      <c r="F281" s="120"/>
      <c r="G281" s="120"/>
      <c r="H281" s="47"/>
      <c r="I281" s="116"/>
      <c r="J281" s="45"/>
      <c r="K281" s="73"/>
      <c r="L281" s="73"/>
      <c r="M281" s="118"/>
      <c r="N281" s="119"/>
      <c r="O281" s="113"/>
      <c r="P281" s="115"/>
      <c r="Q281"/>
      <c r="R281"/>
      <c r="S281" s="114"/>
      <c r="T281" s="110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2"/>
      <c r="BH281" s="22"/>
      <c r="BI281" s="22"/>
      <c r="BJ281" s="22"/>
      <c r="BK281" s="22"/>
      <c r="BL281" s="22"/>
      <c r="BM281" s="22"/>
      <c r="BN281" s="22"/>
      <c r="BO281" s="22"/>
      <c r="BP281" s="22"/>
      <c r="BQ281" s="22"/>
      <c r="BR281" s="22"/>
      <c r="BS281" s="22"/>
      <c r="BT281" s="22"/>
      <c r="BU281" s="22"/>
      <c r="BV281" s="22"/>
      <c r="BW281" s="22"/>
      <c r="BX281" s="22"/>
      <c r="BY281" s="22"/>
      <c r="BZ281" s="22"/>
      <c r="CA281" s="22"/>
      <c r="CB281" s="22"/>
      <c r="CC281" s="22"/>
      <c r="CD281" s="22"/>
      <c r="CE281" s="22"/>
      <c r="CF281" s="22"/>
      <c r="CG281" s="22"/>
      <c r="CH281" s="22"/>
      <c r="CI281" s="22"/>
      <c r="CJ281" s="22"/>
      <c r="CK281" s="22"/>
      <c r="CL281" s="22"/>
      <c r="CM281" s="22"/>
      <c r="CN281" s="22"/>
      <c r="CO281" s="22"/>
      <c r="CP281" s="22"/>
      <c r="CQ281" s="22"/>
      <c r="CR281" s="22"/>
      <c r="CS281" s="22"/>
      <c r="CT281" s="22"/>
      <c r="CU281" s="22"/>
      <c r="CV281" s="22"/>
      <c r="CW281" s="22"/>
      <c r="CX281" s="22"/>
      <c r="CY281" s="22"/>
      <c r="CZ281" s="22"/>
      <c r="DA281" s="22"/>
      <c r="DB281" s="22"/>
      <c r="DC281" s="22"/>
      <c r="DD281" s="22"/>
      <c r="DE281" s="22"/>
      <c r="DF281" s="22"/>
      <c r="DG281" s="22"/>
      <c r="DH281" s="22"/>
      <c r="DI281" s="22"/>
      <c r="DJ281" s="22"/>
      <c r="DK281" s="22"/>
      <c r="DL281" s="22"/>
      <c r="DM281" s="22"/>
      <c r="DN281" s="22"/>
      <c r="DO281" s="22"/>
      <c r="DP281" s="22"/>
      <c r="DQ281" s="22"/>
      <c r="DR281" s="22"/>
      <c r="DS281" s="22"/>
      <c r="DT281" s="22"/>
      <c r="DU281" s="22"/>
      <c r="DV281" s="22"/>
      <c r="DW281" s="22"/>
      <c r="DX281" s="22"/>
      <c r="DY281" s="22"/>
      <c r="DZ281" s="22"/>
      <c r="EA281" s="22"/>
      <c r="EB281" s="22"/>
      <c r="EC281" s="22"/>
      <c r="ED281" s="22"/>
      <c r="EE281" s="22"/>
      <c r="EF281" s="22"/>
      <c r="EG281" s="22"/>
      <c r="EH281" s="22"/>
      <c r="EI281" s="22"/>
      <c r="EJ281" s="22"/>
      <c r="EK281" s="22"/>
      <c r="EL281" s="22"/>
      <c r="EM281" s="22"/>
      <c r="EN281" s="22"/>
      <c r="EO281" s="22"/>
      <c r="EP281" s="22"/>
      <c r="EQ281" s="22"/>
      <c r="ER281" s="22"/>
      <c r="ES281" s="22"/>
      <c r="ET281" s="22"/>
      <c r="EU281" s="22"/>
      <c r="EV281" s="22"/>
      <c r="EW281" s="22"/>
      <c r="EX281" s="22"/>
      <c r="EY281" s="22"/>
      <c r="EZ281" s="22"/>
      <c r="FA281" s="22"/>
      <c r="FB281" s="22"/>
      <c r="FC281" s="22"/>
      <c r="FD281" s="22"/>
      <c r="FE281" s="22"/>
      <c r="FF281" s="22"/>
      <c r="FG281" s="22"/>
      <c r="FH281" s="22"/>
      <c r="FI281" s="22"/>
      <c r="FJ281" s="22"/>
      <c r="FK281" s="22"/>
      <c r="FL281" s="22"/>
      <c r="FM281" s="22"/>
      <c r="FN281" s="22"/>
      <c r="FO281" s="22"/>
      <c r="FP281" s="22"/>
      <c r="FQ281" s="22"/>
      <c r="FR281" s="22"/>
      <c r="FS281" s="22"/>
      <c r="FT281" s="22"/>
      <c r="FU281" s="22"/>
      <c r="FV281" s="22"/>
      <c r="FW281" s="22"/>
      <c r="FX281" s="22"/>
      <c r="FY281" s="22"/>
      <c r="FZ281" s="22"/>
      <c r="GA281" s="22"/>
      <c r="GB281" s="22"/>
      <c r="GC281" s="22"/>
      <c r="GD281" s="22"/>
      <c r="GE281" s="22"/>
      <c r="GF281" s="22"/>
      <c r="GG281" s="22"/>
      <c r="GH281" s="22"/>
      <c r="GI281" s="22"/>
      <c r="GJ281" s="22"/>
      <c r="GK281" s="22"/>
      <c r="GL281" s="22"/>
      <c r="GM281" s="22"/>
      <c r="GN281" s="22"/>
      <c r="GO281" s="22"/>
      <c r="GP281" s="22"/>
      <c r="GQ281" s="22"/>
      <c r="GR281" s="22"/>
      <c r="GS281" s="22"/>
      <c r="GT281" s="22"/>
      <c r="GU281" s="22"/>
      <c r="GV281" s="22"/>
      <c r="GW281" s="22"/>
      <c r="GX281" s="22"/>
      <c r="GY281" s="22"/>
      <c r="GZ281" s="22"/>
      <c r="HA281" s="22"/>
      <c r="HB281" s="22"/>
      <c r="HC281" s="22"/>
    </row>
    <row r="282" spans="1:211" ht="15" customHeight="1" x14ac:dyDescent="0.2">
      <c r="A282" s="22"/>
      <c r="B282" s="14"/>
      <c r="C282" s="45"/>
      <c r="D282" s="46"/>
      <c r="E282" s="46"/>
      <c r="F282" s="120"/>
      <c r="G282" s="120"/>
      <c r="H282" s="47"/>
      <c r="I282" s="116"/>
      <c r="J282" s="45"/>
      <c r="K282" s="73"/>
      <c r="L282" s="73"/>
      <c r="M282" s="118"/>
      <c r="N282" s="119"/>
      <c r="O282" s="113"/>
      <c r="P282" s="115"/>
      <c r="Q282"/>
      <c r="R282"/>
      <c r="S282" s="114"/>
      <c r="T282" s="110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22"/>
      <c r="BA282" s="22"/>
      <c r="BB282" s="22"/>
      <c r="BC282" s="22"/>
      <c r="BD282" s="22"/>
      <c r="BE282" s="22"/>
      <c r="BF282" s="22"/>
      <c r="BG282" s="22"/>
      <c r="BH282" s="22"/>
      <c r="BI282" s="22"/>
      <c r="BJ282" s="22"/>
      <c r="BK282" s="22"/>
      <c r="BL282" s="22"/>
      <c r="BM282" s="22"/>
      <c r="BN282" s="22"/>
      <c r="BO282" s="22"/>
      <c r="BP282" s="22"/>
      <c r="BQ282" s="22"/>
      <c r="BR282" s="22"/>
      <c r="BS282" s="22"/>
      <c r="BT282" s="22"/>
      <c r="BU282" s="22"/>
      <c r="BV282" s="22"/>
      <c r="BW282" s="22"/>
      <c r="BX282" s="22"/>
      <c r="BY282" s="22"/>
      <c r="BZ282" s="22"/>
      <c r="CA282" s="22"/>
      <c r="CB282" s="22"/>
      <c r="CC282" s="22"/>
      <c r="CD282" s="22"/>
      <c r="CE282" s="22"/>
      <c r="CF282" s="22"/>
      <c r="CG282" s="22"/>
      <c r="CH282" s="22"/>
      <c r="CI282" s="22"/>
      <c r="CJ282" s="22"/>
      <c r="CK282" s="22"/>
      <c r="CL282" s="22"/>
      <c r="CM282" s="22"/>
      <c r="CN282" s="22"/>
      <c r="CO282" s="22"/>
      <c r="CP282" s="22"/>
      <c r="CQ282" s="22"/>
      <c r="CR282" s="22"/>
      <c r="CS282" s="22"/>
      <c r="CT282" s="22"/>
      <c r="CU282" s="22"/>
      <c r="CV282" s="22"/>
      <c r="CW282" s="22"/>
      <c r="CX282" s="22"/>
      <c r="CY282" s="22"/>
      <c r="CZ282" s="22"/>
      <c r="DA282" s="22"/>
      <c r="DB282" s="22"/>
      <c r="DC282" s="22"/>
      <c r="DD282" s="22"/>
      <c r="DE282" s="22"/>
      <c r="DF282" s="22"/>
      <c r="DG282" s="22"/>
      <c r="DH282" s="22"/>
      <c r="DI282" s="22"/>
      <c r="DJ282" s="22"/>
      <c r="DK282" s="22"/>
      <c r="DL282" s="22"/>
      <c r="DM282" s="22"/>
      <c r="DN282" s="22"/>
      <c r="DO282" s="22"/>
      <c r="DP282" s="22"/>
      <c r="DQ282" s="22"/>
      <c r="DR282" s="22"/>
      <c r="DS282" s="22"/>
      <c r="DT282" s="22"/>
      <c r="DU282" s="22"/>
      <c r="DV282" s="22"/>
      <c r="DW282" s="22"/>
      <c r="DX282" s="22"/>
      <c r="DY282" s="22"/>
      <c r="DZ282" s="22"/>
      <c r="EA282" s="22"/>
      <c r="EB282" s="22"/>
      <c r="EC282" s="22"/>
      <c r="ED282" s="22"/>
      <c r="EE282" s="22"/>
      <c r="EF282" s="22"/>
      <c r="EG282" s="22"/>
      <c r="EH282" s="22"/>
      <c r="EI282" s="22"/>
      <c r="EJ282" s="22"/>
      <c r="EK282" s="22"/>
      <c r="EL282" s="22"/>
      <c r="EM282" s="22"/>
      <c r="EN282" s="22"/>
      <c r="EO282" s="22"/>
      <c r="EP282" s="22"/>
      <c r="EQ282" s="22"/>
      <c r="ER282" s="22"/>
      <c r="ES282" s="22"/>
      <c r="ET282" s="22"/>
      <c r="EU282" s="22"/>
      <c r="EV282" s="22"/>
      <c r="EW282" s="22"/>
      <c r="EX282" s="22"/>
      <c r="EY282" s="22"/>
      <c r="EZ282" s="22"/>
      <c r="FA282" s="22"/>
      <c r="FB282" s="22"/>
      <c r="FC282" s="22"/>
      <c r="FD282" s="22"/>
      <c r="FE282" s="22"/>
      <c r="FF282" s="22"/>
      <c r="FG282" s="22"/>
      <c r="FH282" s="22"/>
      <c r="FI282" s="22"/>
      <c r="FJ282" s="22"/>
      <c r="FK282" s="22"/>
      <c r="FL282" s="22"/>
      <c r="FM282" s="22"/>
      <c r="FN282" s="22"/>
      <c r="FO282" s="22"/>
      <c r="FP282" s="22"/>
      <c r="FQ282" s="22"/>
      <c r="FR282" s="22"/>
      <c r="FS282" s="22"/>
      <c r="FT282" s="22"/>
      <c r="FU282" s="22"/>
      <c r="FV282" s="22"/>
      <c r="FW282" s="22"/>
      <c r="FX282" s="22"/>
      <c r="FY282" s="22"/>
      <c r="FZ282" s="22"/>
      <c r="GA282" s="22"/>
      <c r="GB282" s="22"/>
      <c r="GC282" s="22"/>
      <c r="GD282" s="22"/>
      <c r="GE282" s="22"/>
      <c r="GF282" s="22"/>
      <c r="GG282" s="22"/>
      <c r="GH282" s="22"/>
      <c r="GI282" s="22"/>
      <c r="GJ282" s="22"/>
      <c r="GK282" s="22"/>
      <c r="GL282" s="22"/>
      <c r="GM282" s="22"/>
      <c r="GN282" s="22"/>
      <c r="GO282" s="22"/>
      <c r="GP282" s="22"/>
      <c r="GQ282" s="22"/>
      <c r="GR282" s="22"/>
      <c r="GS282" s="22"/>
      <c r="GT282" s="22"/>
      <c r="GU282" s="22"/>
      <c r="GV282" s="22"/>
      <c r="GW282" s="22"/>
      <c r="GX282" s="22"/>
      <c r="GY282" s="22"/>
      <c r="GZ282" s="22"/>
      <c r="HA282" s="22"/>
      <c r="HB282" s="22"/>
      <c r="HC282" s="22"/>
    </row>
    <row r="283" spans="1:211" ht="15" customHeight="1" x14ac:dyDescent="0.2">
      <c r="A283" s="22"/>
      <c r="B283" s="14"/>
      <c r="C283" s="45"/>
      <c r="D283" s="46"/>
      <c r="E283" s="46"/>
      <c r="F283" s="120"/>
      <c r="G283" s="120"/>
      <c r="H283" s="47"/>
      <c r="I283" s="116"/>
      <c r="J283" s="45"/>
      <c r="K283" s="45"/>
      <c r="L283" s="73"/>
      <c r="M283" s="118"/>
      <c r="N283" s="119"/>
      <c r="O283" s="113"/>
      <c r="P283" s="115"/>
      <c r="Q283"/>
      <c r="R283"/>
      <c r="S283" s="114"/>
      <c r="T283" s="110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2"/>
      <c r="BH283" s="22"/>
      <c r="BI283" s="22"/>
      <c r="BJ283" s="22"/>
      <c r="BK283" s="22"/>
      <c r="BL283" s="22"/>
      <c r="BM283" s="22"/>
      <c r="BN283" s="22"/>
      <c r="BO283" s="22"/>
      <c r="BP283" s="22"/>
      <c r="BQ283" s="22"/>
      <c r="BR283" s="22"/>
      <c r="BS283" s="22"/>
      <c r="BT283" s="22"/>
      <c r="BU283" s="22"/>
      <c r="BV283" s="22"/>
      <c r="BW283" s="22"/>
      <c r="BX283" s="22"/>
      <c r="BY283" s="22"/>
      <c r="BZ283" s="22"/>
      <c r="CA283" s="22"/>
      <c r="CB283" s="22"/>
      <c r="CC283" s="22"/>
      <c r="CD283" s="22"/>
      <c r="CE283" s="22"/>
      <c r="CF283" s="22"/>
      <c r="CG283" s="22"/>
      <c r="CH283" s="22"/>
      <c r="CI283" s="22"/>
      <c r="CJ283" s="22"/>
      <c r="CK283" s="22"/>
      <c r="CL283" s="22"/>
      <c r="CM283" s="22"/>
      <c r="CN283" s="22"/>
      <c r="CO283" s="22"/>
      <c r="CP283" s="22"/>
      <c r="CQ283" s="22"/>
      <c r="CR283" s="22"/>
      <c r="CS283" s="22"/>
      <c r="CT283" s="22"/>
      <c r="CU283" s="22"/>
      <c r="CV283" s="22"/>
      <c r="CW283" s="22"/>
      <c r="CX283" s="22"/>
      <c r="CY283" s="22"/>
      <c r="CZ283" s="22"/>
      <c r="DA283" s="22"/>
      <c r="DB283" s="22"/>
      <c r="DC283" s="22"/>
      <c r="DD283" s="22"/>
      <c r="DE283" s="22"/>
      <c r="DF283" s="22"/>
      <c r="DG283" s="22"/>
      <c r="DH283" s="22"/>
      <c r="DI283" s="22"/>
      <c r="DJ283" s="22"/>
      <c r="DK283" s="22"/>
      <c r="DL283" s="22"/>
      <c r="DM283" s="22"/>
      <c r="DN283" s="22"/>
      <c r="DO283" s="22"/>
      <c r="DP283" s="22"/>
      <c r="DQ283" s="22"/>
      <c r="DR283" s="22"/>
      <c r="DS283" s="22"/>
      <c r="DT283" s="22"/>
      <c r="DU283" s="22"/>
      <c r="DV283" s="22"/>
      <c r="DW283" s="22"/>
      <c r="DX283" s="22"/>
      <c r="DY283" s="22"/>
      <c r="DZ283" s="22"/>
      <c r="EA283" s="22"/>
      <c r="EB283" s="22"/>
      <c r="EC283" s="22"/>
      <c r="ED283" s="22"/>
      <c r="EE283" s="22"/>
      <c r="EF283" s="22"/>
      <c r="EG283" s="22"/>
      <c r="EH283" s="22"/>
      <c r="EI283" s="22"/>
      <c r="EJ283" s="22"/>
      <c r="EK283" s="22"/>
      <c r="EL283" s="22"/>
      <c r="EM283" s="22"/>
      <c r="EN283" s="22"/>
      <c r="EO283" s="22"/>
      <c r="EP283" s="22"/>
      <c r="EQ283" s="22"/>
      <c r="ER283" s="22"/>
      <c r="ES283" s="22"/>
      <c r="ET283" s="22"/>
      <c r="EU283" s="22"/>
      <c r="EV283" s="22"/>
      <c r="EW283" s="22"/>
      <c r="EX283" s="22"/>
      <c r="EY283" s="22"/>
      <c r="EZ283" s="22"/>
      <c r="FA283" s="22"/>
      <c r="FB283" s="22"/>
      <c r="FC283" s="22"/>
      <c r="FD283" s="22"/>
      <c r="FE283" s="22"/>
      <c r="FF283" s="22"/>
      <c r="FG283" s="22"/>
      <c r="FH283" s="22"/>
      <c r="FI283" s="22"/>
      <c r="FJ283" s="22"/>
      <c r="FK283" s="22"/>
      <c r="FL283" s="22"/>
      <c r="FM283" s="22"/>
      <c r="FN283" s="22"/>
      <c r="FO283" s="22"/>
      <c r="FP283" s="22"/>
      <c r="FQ283" s="22"/>
      <c r="FR283" s="22"/>
      <c r="FS283" s="22"/>
      <c r="FT283" s="22"/>
      <c r="FU283" s="22"/>
      <c r="FV283" s="22"/>
      <c r="FW283" s="22"/>
      <c r="FX283" s="22"/>
      <c r="FY283" s="22"/>
      <c r="FZ283" s="22"/>
      <c r="GA283" s="22"/>
      <c r="GB283" s="22"/>
      <c r="GC283" s="22"/>
      <c r="GD283" s="22"/>
      <c r="GE283" s="22"/>
      <c r="GF283" s="22"/>
      <c r="GG283" s="22"/>
      <c r="GH283" s="22"/>
      <c r="GI283" s="22"/>
      <c r="GJ283" s="22"/>
      <c r="GK283" s="22"/>
      <c r="GL283" s="22"/>
      <c r="GM283" s="22"/>
      <c r="GN283" s="22"/>
      <c r="GO283" s="22"/>
      <c r="GP283" s="22"/>
      <c r="GQ283" s="22"/>
      <c r="GR283" s="22"/>
      <c r="GS283" s="22"/>
      <c r="GT283" s="22"/>
      <c r="GU283" s="22"/>
      <c r="GV283" s="22"/>
      <c r="GW283" s="22"/>
      <c r="GX283" s="22"/>
      <c r="GY283" s="22"/>
      <c r="GZ283" s="22"/>
      <c r="HA283" s="22"/>
      <c r="HB283" s="22"/>
      <c r="HC283" s="22"/>
    </row>
    <row r="284" spans="1:211" ht="15" customHeight="1" x14ac:dyDescent="0.2">
      <c r="A284" s="22"/>
      <c r="B284" s="14"/>
      <c r="C284" s="45"/>
      <c r="D284" s="46"/>
      <c r="E284" s="46"/>
      <c r="F284" s="120"/>
      <c r="G284" s="120"/>
      <c r="H284" s="47"/>
      <c r="I284" s="116"/>
      <c r="J284" s="45"/>
      <c r="K284" s="73"/>
      <c r="L284" s="73"/>
      <c r="M284" s="118"/>
      <c r="N284" s="119"/>
      <c r="O284" s="113"/>
      <c r="P284" s="115"/>
      <c r="Q284"/>
      <c r="R284"/>
      <c r="S284" s="114"/>
      <c r="T284" s="110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22"/>
      <c r="BA284" s="22"/>
      <c r="BB284" s="22"/>
      <c r="BC284" s="22"/>
      <c r="BD284" s="22"/>
      <c r="BE284" s="22"/>
      <c r="BF284" s="22"/>
      <c r="BG284" s="22"/>
      <c r="BH284" s="22"/>
      <c r="BI284" s="22"/>
      <c r="BJ284" s="22"/>
      <c r="BK284" s="22"/>
      <c r="BL284" s="22"/>
      <c r="BM284" s="22"/>
      <c r="BN284" s="22"/>
      <c r="BO284" s="22"/>
      <c r="BP284" s="22"/>
      <c r="BQ284" s="22"/>
      <c r="BR284" s="22"/>
      <c r="BS284" s="22"/>
      <c r="BT284" s="22"/>
      <c r="BU284" s="22"/>
      <c r="BV284" s="22"/>
      <c r="BW284" s="22"/>
      <c r="BX284" s="22"/>
      <c r="BY284" s="22"/>
      <c r="BZ284" s="22"/>
      <c r="CA284" s="22"/>
      <c r="CB284" s="22"/>
      <c r="CC284" s="22"/>
      <c r="CD284" s="22"/>
      <c r="CE284" s="22"/>
      <c r="CF284" s="22"/>
      <c r="CG284" s="22"/>
      <c r="CH284" s="22"/>
      <c r="CI284" s="22"/>
      <c r="CJ284" s="22"/>
      <c r="CK284" s="22"/>
      <c r="CL284" s="22"/>
      <c r="CM284" s="22"/>
      <c r="CN284" s="22"/>
      <c r="CO284" s="22"/>
      <c r="CP284" s="22"/>
      <c r="CQ284" s="22"/>
      <c r="CR284" s="22"/>
      <c r="CS284" s="22"/>
      <c r="CT284" s="22"/>
      <c r="CU284" s="22"/>
      <c r="CV284" s="22"/>
      <c r="CW284" s="22"/>
      <c r="CX284" s="22"/>
      <c r="CY284" s="22"/>
      <c r="CZ284" s="22"/>
      <c r="DA284" s="22"/>
      <c r="DB284" s="22"/>
      <c r="DC284" s="22"/>
      <c r="DD284" s="22"/>
      <c r="DE284" s="22"/>
      <c r="DF284" s="22"/>
      <c r="DG284" s="22"/>
      <c r="DH284" s="22"/>
      <c r="DI284" s="22"/>
      <c r="DJ284" s="22"/>
      <c r="DK284" s="22"/>
      <c r="DL284" s="22"/>
      <c r="DM284" s="22"/>
      <c r="DN284" s="22"/>
      <c r="DO284" s="22"/>
      <c r="DP284" s="22"/>
      <c r="DQ284" s="22"/>
      <c r="DR284" s="22"/>
      <c r="DS284" s="22"/>
      <c r="DT284" s="22"/>
      <c r="DU284" s="22"/>
      <c r="DV284" s="22"/>
      <c r="DW284" s="22"/>
      <c r="DX284" s="22"/>
      <c r="DY284" s="22"/>
      <c r="DZ284" s="22"/>
      <c r="EA284" s="22"/>
      <c r="EB284" s="22"/>
      <c r="EC284" s="22"/>
      <c r="ED284" s="22"/>
      <c r="EE284" s="22"/>
      <c r="EF284" s="22"/>
      <c r="EG284" s="22"/>
      <c r="EH284" s="22"/>
      <c r="EI284" s="22"/>
      <c r="EJ284" s="22"/>
      <c r="EK284" s="22"/>
      <c r="EL284" s="22"/>
      <c r="EM284" s="22"/>
      <c r="EN284" s="22"/>
      <c r="EO284" s="22"/>
      <c r="EP284" s="22"/>
      <c r="EQ284" s="22"/>
      <c r="ER284" s="22"/>
      <c r="ES284" s="22"/>
      <c r="ET284" s="22"/>
      <c r="EU284" s="22"/>
      <c r="EV284" s="22"/>
      <c r="EW284" s="22"/>
      <c r="EX284" s="22"/>
      <c r="EY284" s="22"/>
      <c r="EZ284" s="22"/>
      <c r="FA284" s="22"/>
      <c r="FB284" s="22"/>
      <c r="FC284" s="22"/>
      <c r="FD284" s="22"/>
      <c r="FE284" s="22"/>
      <c r="FF284" s="22"/>
      <c r="FG284" s="22"/>
      <c r="FH284" s="22"/>
      <c r="FI284" s="22"/>
      <c r="FJ284" s="22"/>
      <c r="FK284" s="22"/>
      <c r="FL284" s="22"/>
      <c r="FM284" s="22"/>
      <c r="FN284" s="22"/>
      <c r="FO284" s="22"/>
      <c r="FP284" s="22"/>
      <c r="FQ284" s="22"/>
      <c r="FR284" s="22"/>
      <c r="FS284" s="22"/>
      <c r="FT284" s="22"/>
      <c r="FU284" s="22"/>
      <c r="FV284" s="22"/>
      <c r="FW284" s="22"/>
      <c r="FX284" s="22"/>
      <c r="FY284" s="22"/>
      <c r="FZ284" s="22"/>
      <c r="GA284" s="22"/>
      <c r="GB284" s="22"/>
      <c r="GC284" s="22"/>
      <c r="GD284" s="22"/>
      <c r="GE284" s="22"/>
      <c r="GF284" s="22"/>
      <c r="GG284" s="22"/>
      <c r="GH284" s="22"/>
      <c r="GI284" s="22"/>
      <c r="GJ284" s="22"/>
      <c r="GK284" s="22"/>
      <c r="GL284" s="22"/>
      <c r="GM284" s="22"/>
      <c r="GN284" s="22"/>
      <c r="GO284" s="22"/>
      <c r="GP284" s="22"/>
      <c r="GQ284" s="22"/>
      <c r="GR284" s="22"/>
      <c r="GS284" s="22"/>
      <c r="GT284" s="22"/>
      <c r="GU284" s="22"/>
      <c r="GV284" s="22"/>
      <c r="GW284" s="22"/>
      <c r="GX284" s="22"/>
      <c r="GY284" s="22"/>
      <c r="GZ284" s="22"/>
      <c r="HA284" s="22"/>
      <c r="HB284" s="22"/>
      <c r="HC284" s="22"/>
    </row>
    <row r="285" spans="1:211" ht="15" customHeight="1" x14ac:dyDescent="0.2">
      <c r="A285" s="22"/>
      <c r="B285" s="14"/>
      <c r="C285" s="45"/>
      <c r="D285" s="46"/>
      <c r="E285" s="46"/>
      <c r="F285" s="120"/>
      <c r="G285" s="120"/>
      <c r="H285" s="47"/>
      <c r="I285" s="116"/>
      <c r="J285" s="45"/>
      <c r="K285" s="45"/>
      <c r="L285" s="73"/>
      <c r="M285" s="118"/>
      <c r="N285" s="119"/>
      <c r="O285" s="113"/>
      <c r="P285" s="115"/>
      <c r="Q285"/>
      <c r="R285"/>
      <c r="S285" s="114"/>
      <c r="T285" s="110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2"/>
      <c r="BH285" s="22"/>
      <c r="BI285" s="22"/>
      <c r="BJ285" s="22"/>
      <c r="BK285" s="22"/>
      <c r="BL285" s="22"/>
      <c r="BM285" s="22"/>
      <c r="BN285" s="22"/>
      <c r="BO285" s="22"/>
      <c r="BP285" s="22"/>
      <c r="BQ285" s="22"/>
      <c r="BR285" s="22"/>
      <c r="BS285" s="22"/>
      <c r="BT285" s="22"/>
      <c r="BU285" s="22"/>
      <c r="BV285" s="22"/>
      <c r="BW285" s="22"/>
      <c r="BX285" s="22"/>
      <c r="BY285" s="22"/>
      <c r="BZ285" s="22"/>
      <c r="CA285" s="22"/>
      <c r="CB285" s="22"/>
      <c r="CC285" s="22"/>
      <c r="CD285" s="22"/>
      <c r="CE285" s="22"/>
      <c r="CF285" s="22"/>
      <c r="CG285" s="22"/>
      <c r="CH285" s="22"/>
      <c r="CI285" s="22"/>
      <c r="CJ285" s="22"/>
      <c r="CK285" s="22"/>
      <c r="CL285" s="22"/>
      <c r="CM285" s="22"/>
      <c r="CN285" s="22"/>
      <c r="CO285" s="22"/>
      <c r="CP285" s="22"/>
      <c r="CQ285" s="22"/>
      <c r="CR285" s="22"/>
      <c r="CS285" s="22"/>
      <c r="CT285" s="22"/>
      <c r="CU285" s="22"/>
      <c r="CV285" s="22"/>
      <c r="CW285" s="22"/>
      <c r="CX285" s="22"/>
      <c r="CY285" s="22"/>
      <c r="CZ285" s="22"/>
      <c r="DA285" s="22"/>
      <c r="DB285" s="22"/>
      <c r="DC285" s="22"/>
      <c r="DD285" s="22"/>
      <c r="DE285" s="22"/>
      <c r="DF285" s="22"/>
      <c r="DG285" s="22"/>
      <c r="DH285" s="22"/>
      <c r="DI285" s="22"/>
      <c r="DJ285" s="22"/>
      <c r="DK285" s="22"/>
      <c r="DL285" s="22"/>
      <c r="DM285" s="22"/>
      <c r="DN285" s="22"/>
      <c r="DO285" s="22"/>
      <c r="DP285" s="22"/>
      <c r="DQ285" s="22"/>
      <c r="DR285" s="22"/>
      <c r="DS285" s="22"/>
      <c r="DT285" s="22"/>
      <c r="DU285" s="22"/>
      <c r="DV285" s="22"/>
      <c r="DW285" s="22"/>
      <c r="DX285" s="22"/>
      <c r="DY285" s="22"/>
      <c r="DZ285" s="22"/>
      <c r="EA285" s="22"/>
      <c r="EB285" s="22"/>
      <c r="EC285" s="22"/>
      <c r="ED285" s="22"/>
      <c r="EE285" s="22"/>
      <c r="EF285" s="22"/>
      <c r="EG285" s="22"/>
      <c r="EH285" s="22"/>
      <c r="EI285" s="22"/>
      <c r="EJ285" s="22"/>
      <c r="EK285" s="22"/>
      <c r="EL285" s="22"/>
      <c r="EM285" s="22"/>
      <c r="EN285" s="22"/>
      <c r="EO285" s="22"/>
      <c r="EP285" s="22"/>
      <c r="EQ285" s="22"/>
      <c r="ER285" s="22"/>
      <c r="ES285" s="22"/>
      <c r="ET285" s="22"/>
      <c r="EU285" s="22"/>
      <c r="EV285" s="22"/>
      <c r="EW285" s="22"/>
      <c r="EX285" s="22"/>
      <c r="EY285" s="22"/>
      <c r="EZ285" s="22"/>
      <c r="FA285" s="22"/>
      <c r="FB285" s="22"/>
      <c r="FC285" s="22"/>
      <c r="FD285" s="22"/>
      <c r="FE285" s="22"/>
      <c r="FF285" s="22"/>
      <c r="FG285" s="22"/>
      <c r="FH285" s="22"/>
      <c r="FI285" s="22"/>
      <c r="FJ285" s="22"/>
      <c r="FK285" s="22"/>
      <c r="FL285" s="22"/>
      <c r="FM285" s="22"/>
      <c r="FN285" s="22"/>
      <c r="FO285" s="22"/>
      <c r="FP285" s="22"/>
      <c r="FQ285" s="22"/>
      <c r="FR285" s="22"/>
      <c r="FS285" s="22"/>
      <c r="FT285" s="22"/>
      <c r="FU285" s="22"/>
      <c r="FV285" s="22"/>
      <c r="FW285" s="22"/>
      <c r="FX285" s="22"/>
      <c r="FY285" s="22"/>
      <c r="FZ285" s="22"/>
      <c r="GA285" s="22"/>
      <c r="GB285" s="22"/>
      <c r="GC285" s="22"/>
      <c r="GD285" s="22"/>
      <c r="GE285" s="22"/>
      <c r="GF285" s="22"/>
      <c r="GG285" s="22"/>
      <c r="GH285" s="22"/>
      <c r="GI285" s="22"/>
      <c r="GJ285" s="22"/>
      <c r="GK285" s="22"/>
      <c r="GL285" s="22"/>
      <c r="GM285" s="22"/>
      <c r="GN285" s="22"/>
      <c r="GO285" s="22"/>
      <c r="GP285" s="22"/>
      <c r="GQ285" s="22"/>
      <c r="GR285" s="22"/>
      <c r="GS285" s="22"/>
      <c r="GT285" s="22"/>
      <c r="GU285" s="22"/>
      <c r="GV285" s="22"/>
      <c r="GW285" s="22"/>
      <c r="GX285" s="22"/>
      <c r="GY285" s="22"/>
      <c r="GZ285" s="22"/>
      <c r="HA285" s="22"/>
      <c r="HB285" s="22"/>
      <c r="HC285" s="22"/>
    </row>
    <row r="286" spans="1:211" ht="15" customHeight="1" x14ac:dyDescent="0.2">
      <c r="A286" s="22"/>
      <c r="B286" s="14"/>
      <c r="C286" s="45"/>
      <c r="D286" s="46"/>
      <c r="E286" s="46"/>
      <c r="F286" s="120"/>
      <c r="G286" s="120"/>
      <c r="H286" s="47"/>
      <c r="I286" s="116"/>
      <c r="J286" s="45"/>
      <c r="K286" s="45"/>
      <c r="L286" s="73"/>
      <c r="M286" s="118"/>
      <c r="N286" s="119"/>
      <c r="O286" s="113"/>
      <c r="P286" s="115"/>
      <c r="Q286"/>
      <c r="R286"/>
      <c r="S286" s="114"/>
      <c r="T286" s="110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22"/>
      <c r="BA286" s="22"/>
      <c r="BB286" s="22"/>
      <c r="BC286" s="22"/>
      <c r="BD286" s="22"/>
      <c r="BE286" s="22"/>
      <c r="BF286" s="22"/>
      <c r="BG286" s="22"/>
      <c r="BH286" s="22"/>
      <c r="BI286" s="22"/>
      <c r="BJ286" s="22"/>
      <c r="BK286" s="22"/>
      <c r="BL286" s="22"/>
      <c r="BM286" s="22"/>
      <c r="BN286" s="22"/>
      <c r="BO286" s="22"/>
      <c r="BP286" s="22"/>
      <c r="BQ286" s="22"/>
      <c r="BR286" s="22"/>
      <c r="BS286" s="22"/>
      <c r="BT286" s="22"/>
      <c r="BU286" s="22"/>
      <c r="BV286" s="22"/>
      <c r="BW286" s="22"/>
      <c r="BX286" s="22"/>
      <c r="BY286" s="22"/>
      <c r="BZ286" s="22"/>
      <c r="CA286" s="22"/>
      <c r="CB286" s="22"/>
      <c r="CC286" s="22"/>
      <c r="CD286" s="22"/>
      <c r="CE286" s="22"/>
      <c r="CF286" s="22"/>
      <c r="CG286" s="22"/>
      <c r="CH286" s="22"/>
      <c r="CI286" s="22"/>
      <c r="CJ286" s="22"/>
      <c r="CK286" s="22"/>
      <c r="CL286" s="22"/>
      <c r="CM286" s="22"/>
      <c r="CN286" s="22"/>
      <c r="CO286" s="22"/>
      <c r="CP286" s="22"/>
      <c r="CQ286" s="22"/>
      <c r="CR286" s="22"/>
      <c r="CS286" s="22"/>
      <c r="CT286" s="22"/>
      <c r="CU286" s="22"/>
      <c r="CV286" s="22"/>
      <c r="CW286" s="22"/>
      <c r="CX286" s="22"/>
      <c r="CY286" s="22"/>
      <c r="CZ286" s="22"/>
      <c r="DA286" s="22"/>
      <c r="DB286" s="22"/>
      <c r="DC286" s="22"/>
      <c r="DD286" s="22"/>
      <c r="DE286" s="22"/>
      <c r="DF286" s="22"/>
      <c r="DG286" s="22"/>
      <c r="DH286" s="22"/>
      <c r="DI286" s="22"/>
      <c r="DJ286" s="22"/>
      <c r="DK286" s="22"/>
      <c r="DL286" s="22"/>
      <c r="DM286" s="22"/>
      <c r="DN286" s="22"/>
      <c r="DO286" s="22"/>
      <c r="DP286" s="22"/>
      <c r="DQ286" s="22"/>
      <c r="DR286" s="22"/>
      <c r="DS286" s="22"/>
      <c r="DT286" s="22"/>
      <c r="DU286" s="22"/>
      <c r="DV286" s="22"/>
      <c r="DW286" s="22"/>
      <c r="DX286" s="22"/>
      <c r="DY286" s="22"/>
      <c r="DZ286" s="22"/>
      <c r="EA286" s="22"/>
      <c r="EB286" s="22"/>
      <c r="EC286" s="22"/>
      <c r="ED286" s="22"/>
      <c r="EE286" s="22"/>
      <c r="EF286" s="22"/>
      <c r="EG286" s="22"/>
      <c r="EH286" s="22"/>
      <c r="EI286" s="22"/>
      <c r="EJ286" s="22"/>
      <c r="EK286" s="22"/>
      <c r="EL286" s="22"/>
      <c r="EM286" s="22"/>
      <c r="EN286" s="22"/>
      <c r="EO286" s="22"/>
      <c r="EP286" s="22"/>
      <c r="EQ286" s="22"/>
      <c r="ER286" s="22"/>
      <c r="ES286" s="22"/>
      <c r="ET286" s="22"/>
      <c r="EU286" s="22"/>
      <c r="EV286" s="22"/>
      <c r="EW286" s="22"/>
      <c r="EX286" s="22"/>
      <c r="EY286" s="22"/>
      <c r="EZ286" s="22"/>
      <c r="FA286" s="22"/>
      <c r="FB286" s="22"/>
      <c r="FC286" s="22"/>
      <c r="FD286" s="22"/>
      <c r="FE286" s="22"/>
      <c r="FF286" s="22"/>
      <c r="FG286" s="22"/>
      <c r="FH286" s="22"/>
      <c r="FI286" s="22"/>
      <c r="FJ286" s="22"/>
      <c r="FK286" s="22"/>
      <c r="FL286" s="22"/>
      <c r="FM286" s="22"/>
      <c r="FN286" s="22"/>
      <c r="FO286" s="22"/>
      <c r="FP286" s="22"/>
      <c r="FQ286" s="22"/>
      <c r="FR286" s="22"/>
      <c r="FS286" s="22"/>
      <c r="FT286" s="22"/>
      <c r="FU286" s="22"/>
      <c r="FV286" s="22"/>
      <c r="FW286" s="22"/>
      <c r="FX286" s="22"/>
      <c r="FY286" s="22"/>
      <c r="FZ286" s="22"/>
      <c r="GA286" s="22"/>
      <c r="GB286" s="22"/>
      <c r="GC286" s="22"/>
      <c r="GD286" s="22"/>
      <c r="GE286" s="22"/>
      <c r="GF286" s="22"/>
      <c r="GG286" s="22"/>
      <c r="GH286" s="22"/>
      <c r="GI286" s="22"/>
      <c r="GJ286" s="22"/>
      <c r="GK286" s="22"/>
      <c r="GL286" s="22"/>
      <c r="GM286" s="22"/>
      <c r="GN286" s="22"/>
      <c r="GO286" s="22"/>
      <c r="GP286" s="22"/>
      <c r="GQ286" s="22"/>
      <c r="GR286" s="22"/>
      <c r="GS286" s="22"/>
      <c r="GT286" s="22"/>
      <c r="GU286" s="22"/>
      <c r="GV286" s="22"/>
      <c r="GW286" s="22"/>
      <c r="GX286" s="22"/>
      <c r="GY286" s="22"/>
      <c r="GZ286" s="22"/>
      <c r="HA286" s="22"/>
      <c r="HB286" s="22"/>
      <c r="HC286" s="22"/>
    </row>
    <row r="287" spans="1:211" ht="15" customHeight="1" x14ac:dyDescent="0.2">
      <c r="A287" s="22"/>
      <c r="B287" s="14"/>
      <c r="C287" s="45"/>
      <c r="D287" s="46"/>
      <c r="E287" s="46"/>
      <c r="F287" s="120"/>
      <c r="G287" s="120"/>
      <c r="H287" s="47"/>
      <c r="I287" s="116"/>
      <c r="J287" s="45"/>
      <c r="K287" s="73"/>
      <c r="L287" s="73"/>
      <c r="M287" s="118"/>
      <c r="N287" s="119"/>
      <c r="O287" s="113"/>
      <c r="P287" s="115"/>
      <c r="Q287"/>
      <c r="R287"/>
      <c r="S287" s="114"/>
      <c r="T287" s="110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2"/>
      <c r="BH287" s="22"/>
      <c r="BI287" s="22"/>
      <c r="BJ287" s="22"/>
      <c r="BK287" s="22"/>
      <c r="BL287" s="22"/>
      <c r="BM287" s="22"/>
      <c r="BN287" s="22"/>
      <c r="BO287" s="22"/>
      <c r="BP287" s="22"/>
      <c r="BQ287" s="22"/>
      <c r="BR287" s="22"/>
      <c r="BS287" s="22"/>
      <c r="BT287" s="22"/>
      <c r="BU287" s="22"/>
      <c r="BV287" s="22"/>
      <c r="BW287" s="22"/>
      <c r="BX287" s="22"/>
      <c r="BY287" s="22"/>
      <c r="BZ287" s="22"/>
      <c r="CA287" s="22"/>
      <c r="CB287" s="22"/>
      <c r="CC287" s="22"/>
      <c r="CD287" s="22"/>
      <c r="CE287" s="22"/>
      <c r="CF287" s="22"/>
      <c r="CG287" s="22"/>
      <c r="CH287" s="22"/>
      <c r="CI287" s="22"/>
      <c r="CJ287" s="22"/>
      <c r="CK287" s="22"/>
      <c r="CL287" s="22"/>
      <c r="CM287" s="22"/>
      <c r="CN287" s="22"/>
      <c r="CO287" s="22"/>
      <c r="CP287" s="22"/>
      <c r="CQ287" s="22"/>
      <c r="CR287" s="22"/>
      <c r="CS287" s="22"/>
      <c r="CT287" s="22"/>
      <c r="CU287" s="22"/>
      <c r="CV287" s="22"/>
      <c r="CW287" s="22"/>
      <c r="CX287" s="22"/>
      <c r="CY287" s="22"/>
      <c r="CZ287" s="22"/>
      <c r="DA287" s="22"/>
      <c r="DB287" s="22"/>
      <c r="DC287" s="22"/>
      <c r="DD287" s="22"/>
      <c r="DE287" s="22"/>
      <c r="DF287" s="22"/>
      <c r="DG287" s="22"/>
      <c r="DH287" s="22"/>
      <c r="DI287" s="22"/>
      <c r="DJ287" s="22"/>
      <c r="DK287" s="22"/>
      <c r="DL287" s="22"/>
      <c r="DM287" s="22"/>
      <c r="DN287" s="22"/>
      <c r="DO287" s="22"/>
      <c r="DP287" s="22"/>
      <c r="DQ287" s="22"/>
      <c r="DR287" s="22"/>
      <c r="DS287" s="22"/>
      <c r="DT287" s="22"/>
      <c r="DU287" s="22"/>
      <c r="DV287" s="22"/>
      <c r="DW287" s="22"/>
      <c r="DX287" s="22"/>
      <c r="DY287" s="22"/>
      <c r="DZ287" s="22"/>
      <c r="EA287" s="22"/>
      <c r="EB287" s="22"/>
      <c r="EC287" s="22"/>
      <c r="ED287" s="22"/>
      <c r="EE287" s="22"/>
      <c r="EF287" s="22"/>
      <c r="EG287" s="22"/>
      <c r="EH287" s="22"/>
      <c r="EI287" s="22"/>
      <c r="EJ287" s="22"/>
      <c r="EK287" s="22"/>
      <c r="EL287" s="22"/>
      <c r="EM287" s="22"/>
      <c r="EN287" s="22"/>
      <c r="EO287" s="22"/>
      <c r="EP287" s="22"/>
      <c r="EQ287" s="22"/>
      <c r="ER287" s="22"/>
      <c r="ES287" s="22"/>
      <c r="ET287" s="22"/>
      <c r="EU287" s="22"/>
      <c r="EV287" s="22"/>
      <c r="EW287" s="22"/>
      <c r="EX287" s="22"/>
      <c r="EY287" s="22"/>
      <c r="EZ287" s="22"/>
      <c r="FA287" s="22"/>
      <c r="FB287" s="22"/>
      <c r="FC287" s="22"/>
      <c r="FD287" s="22"/>
      <c r="FE287" s="22"/>
      <c r="FF287" s="22"/>
      <c r="FG287" s="22"/>
      <c r="FH287" s="22"/>
      <c r="FI287" s="22"/>
      <c r="FJ287" s="22"/>
      <c r="FK287" s="22"/>
      <c r="FL287" s="22"/>
      <c r="FM287" s="22"/>
      <c r="FN287" s="22"/>
      <c r="FO287" s="22"/>
      <c r="FP287" s="22"/>
      <c r="FQ287" s="22"/>
      <c r="FR287" s="22"/>
      <c r="FS287" s="22"/>
      <c r="FT287" s="22"/>
      <c r="FU287" s="22"/>
      <c r="FV287" s="22"/>
      <c r="FW287" s="22"/>
      <c r="FX287" s="22"/>
      <c r="FY287" s="22"/>
      <c r="FZ287" s="22"/>
      <c r="GA287" s="22"/>
      <c r="GB287" s="22"/>
      <c r="GC287" s="22"/>
      <c r="GD287" s="22"/>
      <c r="GE287" s="22"/>
      <c r="GF287" s="22"/>
      <c r="GG287" s="22"/>
      <c r="GH287" s="22"/>
      <c r="GI287" s="22"/>
      <c r="GJ287" s="22"/>
      <c r="GK287" s="22"/>
      <c r="GL287" s="22"/>
      <c r="GM287" s="22"/>
      <c r="GN287" s="22"/>
      <c r="GO287" s="22"/>
      <c r="GP287" s="22"/>
      <c r="GQ287" s="22"/>
      <c r="GR287" s="22"/>
      <c r="GS287" s="22"/>
      <c r="GT287" s="22"/>
      <c r="GU287" s="22"/>
      <c r="GV287" s="22"/>
      <c r="GW287" s="22"/>
      <c r="GX287" s="22"/>
      <c r="GY287" s="22"/>
      <c r="GZ287" s="22"/>
      <c r="HA287" s="22"/>
      <c r="HB287" s="22"/>
      <c r="HC287" s="22"/>
    </row>
    <row r="288" spans="1:211" ht="15" customHeight="1" x14ac:dyDescent="0.2">
      <c r="A288" s="22"/>
      <c r="B288" s="14"/>
      <c r="C288" s="45"/>
      <c r="D288" s="46"/>
      <c r="E288" s="46"/>
      <c r="F288" s="120"/>
      <c r="G288" s="120"/>
      <c r="H288" s="47"/>
      <c r="I288" s="116"/>
      <c r="J288" s="45"/>
      <c r="K288" s="45"/>
      <c r="L288" s="73"/>
      <c r="M288" s="118"/>
      <c r="N288" s="119"/>
      <c r="O288" s="113"/>
      <c r="P288" s="115"/>
      <c r="Q288"/>
      <c r="R288"/>
      <c r="S288" s="114"/>
      <c r="T288" s="110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22"/>
      <c r="BA288" s="22"/>
      <c r="BB288" s="22"/>
      <c r="BC288" s="22"/>
      <c r="BD288" s="22"/>
      <c r="BE288" s="22"/>
      <c r="BF288" s="22"/>
      <c r="BG288" s="22"/>
      <c r="BH288" s="22"/>
      <c r="BI288" s="22"/>
      <c r="BJ288" s="22"/>
      <c r="BK288" s="22"/>
      <c r="BL288" s="22"/>
      <c r="BM288" s="22"/>
      <c r="BN288" s="22"/>
      <c r="BO288" s="22"/>
      <c r="BP288" s="22"/>
      <c r="BQ288" s="22"/>
      <c r="BR288" s="22"/>
      <c r="BS288" s="22"/>
      <c r="BT288" s="22"/>
      <c r="BU288" s="22"/>
      <c r="BV288" s="22"/>
      <c r="BW288" s="22"/>
      <c r="BX288" s="22"/>
      <c r="BY288" s="22"/>
      <c r="BZ288" s="22"/>
      <c r="CA288" s="22"/>
      <c r="CB288" s="22"/>
      <c r="CC288" s="22"/>
      <c r="CD288" s="22"/>
      <c r="CE288" s="22"/>
      <c r="CF288" s="22"/>
      <c r="CG288" s="22"/>
      <c r="CH288" s="22"/>
      <c r="CI288" s="22"/>
      <c r="CJ288" s="22"/>
      <c r="CK288" s="22"/>
      <c r="CL288" s="22"/>
      <c r="CM288" s="22"/>
      <c r="CN288" s="22"/>
      <c r="CO288" s="22"/>
      <c r="CP288" s="22"/>
      <c r="CQ288" s="22"/>
      <c r="CR288" s="22"/>
      <c r="CS288" s="22"/>
      <c r="CT288" s="22"/>
      <c r="CU288" s="22"/>
      <c r="CV288" s="22"/>
      <c r="CW288" s="22"/>
      <c r="CX288" s="22"/>
      <c r="CY288" s="22"/>
      <c r="CZ288" s="22"/>
      <c r="DA288" s="22"/>
      <c r="DB288" s="22"/>
      <c r="DC288" s="22"/>
      <c r="DD288" s="22"/>
      <c r="DE288" s="22"/>
      <c r="DF288" s="22"/>
      <c r="DG288" s="22"/>
      <c r="DH288" s="22"/>
      <c r="DI288" s="22"/>
      <c r="DJ288" s="22"/>
      <c r="DK288" s="22"/>
      <c r="DL288" s="22"/>
      <c r="DM288" s="22"/>
      <c r="DN288" s="22"/>
      <c r="DO288" s="22"/>
      <c r="DP288" s="22"/>
      <c r="DQ288" s="22"/>
      <c r="DR288" s="22"/>
      <c r="DS288" s="22"/>
      <c r="DT288" s="22"/>
      <c r="DU288" s="22"/>
      <c r="DV288" s="22"/>
      <c r="DW288" s="22"/>
      <c r="DX288" s="22"/>
      <c r="DY288" s="22"/>
      <c r="DZ288" s="22"/>
      <c r="EA288" s="22"/>
      <c r="EB288" s="22"/>
      <c r="EC288" s="22"/>
      <c r="ED288" s="22"/>
      <c r="EE288" s="22"/>
      <c r="EF288" s="22"/>
      <c r="EG288" s="22"/>
      <c r="EH288" s="22"/>
      <c r="EI288" s="22"/>
      <c r="EJ288" s="22"/>
      <c r="EK288" s="22"/>
      <c r="EL288" s="22"/>
      <c r="EM288" s="22"/>
      <c r="EN288" s="22"/>
      <c r="EO288" s="22"/>
      <c r="EP288" s="22"/>
      <c r="EQ288" s="22"/>
      <c r="ER288" s="22"/>
      <c r="ES288" s="22"/>
      <c r="ET288" s="22"/>
      <c r="EU288" s="22"/>
      <c r="EV288" s="22"/>
      <c r="EW288" s="22"/>
      <c r="EX288" s="22"/>
      <c r="EY288" s="22"/>
      <c r="EZ288" s="22"/>
      <c r="FA288" s="22"/>
      <c r="FB288" s="22"/>
      <c r="FC288" s="22"/>
      <c r="FD288" s="22"/>
      <c r="FE288" s="22"/>
      <c r="FF288" s="22"/>
      <c r="FG288" s="22"/>
      <c r="FH288" s="22"/>
      <c r="FI288" s="22"/>
      <c r="FJ288" s="22"/>
      <c r="FK288" s="22"/>
      <c r="FL288" s="22"/>
      <c r="FM288" s="22"/>
      <c r="FN288" s="22"/>
      <c r="FO288" s="22"/>
      <c r="FP288" s="22"/>
      <c r="FQ288" s="22"/>
      <c r="FR288" s="22"/>
      <c r="FS288" s="22"/>
      <c r="FT288" s="22"/>
      <c r="FU288" s="22"/>
      <c r="FV288" s="22"/>
      <c r="FW288" s="22"/>
      <c r="FX288" s="22"/>
      <c r="FY288" s="22"/>
      <c r="FZ288" s="22"/>
      <c r="GA288" s="22"/>
      <c r="GB288" s="22"/>
      <c r="GC288" s="22"/>
      <c r="GD288" s="22"/>
      <c r="GE288" s="22"/>
      <c r="GF288" s="22"/>
      <c r="GG288" s="22"/>
      <c r="GH288" s="22"/>
      <c r="GI288" s="22"/>
      <c r="GJ288" s="22"/>
      <c r="GK288" s="22"/>
      <c r="GL288" s="22"/>
      <c r="GM288" s="22"/>
      <c r="GN288" s="22"/>
      <c r="GO288" s="22"/>
      <c r="GP288" s="22"/>
      <c r="GQ288" s="22"/>
      <c r="GR288" s="22"/>
      <c r="GS288" s="22"/>
      <c r="GT288" s="22"/>
      <c r="GU288" s="22"/>
      <c r="GV288" s="22"/>
      <c r="GW288" s="22"/>
      <c r="GX288" s="22"/>
      <c r="GY288" s="22"/>
      <c r="GZ288" s="22"/>
      <c r="HA288" s="22"/>
      <c r="HB288" s="22"/>
      <c r="HC288" s="22"/>
    </row>
    <row r="289" spans="1:211" ht="15" customHeight="1" x14ac:dyDescent="0.2">
      <c r="A289" s="22"/>
      <c r="B289" s="14"/>
      <c r="C289" s="45"/>
      <c r="D289" s="46"/>
      <c r="E289" s="46"/>
      <c r="F289" s="120"/>
      <c r="G289" s="120"/>
      <c r="H289" s="47"/>
      <c r="I289" s="116"/>
      <c r="J289" s="45"/>
      <c r="K289" s="73"/>
      <c r="L289" s="73"/>
      <c r="M289" s="118"/>
      <c r="N289" s="119"/>
      <c r="O289" s="113"/>
      <c r="P289" s="115"/>
      <c r="Q289"/>
      <c r="R289"/>
      <c r="S289" s="114"/>
      <c r="T289" s="110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2"/>
      <c r="BH289" s="22"/>
      <c r="BI289" s="22"/>
      <c r="BJ289" s="22"/>
      <c r="BK289" s="22"/>
      <c r="BL289" s="22"/>
      <c r="BM289" s="22"/>
      <c r="BN289" s="22"/>
      <c r="BO289" s="22"/>
      <c r="BP289" s="22"/>
      <c r="BQ289" s="22"/>
      <c r="BR289" s="22"/>
      <c r="BS289" s="22"/>
      <c r="BT289" s="22"/>
      <c r="BU289" s="22"/>
      <c r="BV289" s="22"/>
      <c r="BW289" s="22"/>
      <c r="BX289" s="22"/>
      <c r="BY289" s="22"/>
      <c r="BZ289" s="22"/>
      <c r="CA289" s="22"/>
      <c r="CB289" s="22"/>
      <c r="CC289" s="22"/>
      <c r="CD289" s="22"/>
      <c r="CE289" s="22"/>
      <c r="CF289" s="22"/>
      <c r="CG289" s="22"/>
      <c r="CH289" s="22"/>
      <c r="CI289" s="22"/>
      <c r="CJ289" s="22"/>
      <c r="CK289" s="22"/>
      <c r="CL289" s="22"/>
      <c r="CM289" s="22"/>
      <c r="CN289" s="22"/>
      <c r="CO289" s="22"/>
      <c r="CP289" s="22"/>
      <c r="CQ289" s="22"/>
      <c r="CR289" s="22"/>
      <c r="CS289" s="22"/>
      <c r="CT289" s="22"/>
      <c r="CU289" s="22"/>
      <c r="CV289" s="22"/>
      <c r="CW289" s="22"/>
      <c r="CX289" s="22"/>
      <c r="CY289" s="22"/>
      <c r="CZ289" s="22"/>
      <c r="DA289" s="22"/>
      <c r="DB289" s="22"/>
      <c r="DC289" s="22"/>
      <c r="DD289" s="22"/>
      <c r="DE289" s="22"/>
      <c r="DF289" s="22"/>
      <c r="DG289" s="22"/>
      <c r="DH289" s="22"/>
      <c r="DI289" s="22"/>
      <c r="DJ289" s="22"/>
      <c r="DK289" s="22"/>
      <c r="DL289" s="22"/>
      <c r="DM289" s="22"/>
      <c r="DN289" s="22"/>
      <c r="DO289" s="22"/>
      <c r="DP289" s="22"/>
      <c r="DQ289" s="22"/>
      <c r="DR289" s="22"/>
      <c r="DS289" s="22"/>
      <c r="DT289" s="22"/>
      <c r="DU289" s="22"/>
      <c r="DV289" s="22"/>
      <c r="DW289" s="22"/>
      <c r="DX289" s="22"/>
      <c r="DY289" s="22"/>
      <c r="DZ289" s="22"/>
      <c r="EA289" s="22"/>
      <c r="EB289" s="22"/>
      <c r="EC289" s="22"/>
      <c r="ED289" s="22"/>
      <c r="EE289" s="22"/>
      <c r="EF289" s="22"/>
      <c r="EG289" s="22"/>
      <c r="EH289" s="22"/>
      <c r="EI289" s="22"/>
      <c r="EJ289" s="22"/>
      <c r="EK289" s="22"/>
      <c r="EL289" s="22"/>
      <c r="EM289" s="22"/>
      <c r="EN289" s="22"/>
      <c r="EO289" s="22"/>
      <c r="EP289" s="22"/>
      <c r="EQ289" s="22"/>
      <c r="ER289" s="22"/>
      <c r="ES289" s="22"/>
      <c r="ET289" s="22"/>
      <c r="EU289" s="22"/>
      <c r="EV289" s="22"/>
      <c r="EW289" s="22"/>
      <c r="EX289" s="22"/>
      <c r="EY289" s="22"/>
      <c r="EZ289" s="22"/>
      <c r="FA289" s="22"/>
      <c r="FB289" s="22"/>
      <c r="FC289" s="22"/>
      <c r="FD289" s="22"/>
      <c r="FE289" s="22"/>
      <c r="FF289" s="22"/>
      <c r="FG289" s="22"/>
      <c r="FH289" s="22"/>
      <c r="FI289" s="22"/>
      <c r="FJ289" s="22"/>
      <c r="FK289" s="22"/>
      <c r="FL289" s="22"/>
      <c r="FM289" s="22"/>
      <c r="FN289" s="22"/>
      <c r="FO289" s="22"/>
      <c r="FP289" s="22"/>
      <c r="FQ289" s="22"/>
      <c r="FR289" s="22"/>
      <c r="FS289" s="22"/>
      <c r="FT289" s="22"/>
      <c r="FU289" s="22"/>
      <c r="FV289" s="22"/>
      <c r="FW289" s="22"/>
      <c r="FX289" s="22"/>
      <c r="FY289" s="22"/>
      <c r="FZ289" s="22"/>
      <c r="GA289" s="22"/>
      <c r="GB289" s="22"/>
      <c r="GC289" s="22"/>
      <c r="GD289" s="22"/>
      <c r="GE289" s="22"/>
      <c r="GF289" s="22"/>
      <c r="GG289" s="22"/>
      <c r="GH289" s="22"/>
      <c r="GI289" s="22"/>
      <c r="GJ289" s="22"/>
      <c r="GK289" s="22"/>
      <c r="GL289" s="22"/>
      <c r="GM289" s="22"/>
      <c r="GN289" s="22"/>
      <c r="GO289" s="22"/>
      <c r="GP289" s="22"/>
      <c r="GQ289" s="22"/>
      <c r="GR289" s="22"/>
      <c r="GS289" s="22"/>
      <c r="GT289" s="22"/>
      <c r="GU289" s="22"/>
      <c r="GV289" s="22"/>
      <c r="GW289" s="22"/>
      <c r="GX289" s="22"/>
      <c r="GY289" s="22"/>
      <c r="GZ289" s="22"/>
      <c r="HA289" s="22"/>
      <c r="HB289" s="22"/>
      <c r="HC289" s="22"/>
    </row>
    <row r="290" spans="1:211" ht="15" customHeight="1" x14ac:dyDescent="0.2">
      <c r="A290" s="22"/>
      <c r="B290" s="14"/>
      <c r="C290" s="45"/>
      <c r="D290" s="46"/>
      <c r="E290" s="46"/>
      <c r="F290" s="120"/>
      <c r="G290" s="120"/>
      <c r="H290" s="47"/>
      <c r="I290" s="116"/>
      <c r="J290" s="45"/>
      <c r="K290" s="45"/>
      <c r="L290" s="73"/>
      <c r="M290" s="118"/>
      <c r="N290" s="119"/>
      <c r="O290" s="113"/>
      <c r="P290" s="115"/>
      <c r="Q290"/>
      <c r="R290"/>
      <c r="S290" s="114"/>
      <c r="T290" s="110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22"/>
      <c r="BA290" s="22"/>
      <c r="BB290" s="22"/>
      <c r="BC290" s="22"/>
      <c r="BD290" s="22"/>
      <c r="BE290" s="22"/>
      <c r="BF290" s="22"/>
      <c r="BG290" s="22"/>
      <c r="BH290" s="22"/>
      <c r="BI290" s="22"/>
      <c r="BJ290" s="22"/>
      <c r="BK290" s="22"/>
      <c r="BL290" s="22"/>
      <c r="BM290" s="22"/>
      <c r="BN290" s="22"/>
      <c r="BO290" s="22"/>
      <c r="BP290" s="22"/>
      <c r="BQ290" s="22"/>
      <c r="BR290" s="22"/>
      <c r="BS290" s="22"/>
      <c r="BT290" s="22"/>
      <c r="BU290" s="22"/>
      <c r="BV290" s="22"/>
      <c r="BW290" s="22"/>
      <c r="BX290" s="22"/>
      <c r="BY290" s="22"/>
      <c r="BZ290" s="22"/>
      <c r="CA290" s="22"/>
      <c r="CB290" s="22"/>
      <c r="CC290" s="22"/>
      <c r="CD290" s="22"/>
      <c r="CE290" s="22"/>
      <c r="CF290" s="22"/>
      <c r="CG290" s="22"/>
      <c r="CH290" s="22"/>
      <c r="CI290" s="22"/>
      <c r="CJ290" s="22"/>
      <c r="CK290" s="22"/>
      <c r="CL290" s="22"/>
      <c r="CM290" s="22"/>
      <c r="CN290" s="22"/>
      <c r="CO290" s="22"/>
      <c r="CP290" s="22"/>
      <c r="CQ290" s="22"/>
      <c r="CR290" s="22"/>
      <c r="CS290" s="22"/>
      <c r="CT290" s="22"/>
      <c r="CU290" s="22"/>
      <c r="CV290" s="22"/>
      <c r="CW290" s="22"/>
      <c r="CX290" s="22"/>
      <c r="CY290" s="22"/>
      <c r="CZ290" s="22"/>
      <c r="DA290" s="22"/>
      <c r="DB290" s="22"/>
      <c r="DC290" s="22"/>
      <c r="DD290" s="22"/>
      <c r="DE290" s="22"/>
      <c r="DF290" s="22"/>
      <c r="DG290" s="22"/>
      <c r="DH290" s="22"/>
      <c r="DI290" s="22"/>
      <c r="DJ290" s="22"/>
      <c r="DK290" s="22"/>
      <c r="DL290" s="22"/>
      <c r="DM290" s="22"/>
      <c r="DN290" s="22"/>
      <c r="DO290" s="22"/>
      <c r="DP290" s="22"/>
      <c r="DQ290" s="22"/>
      <c r="DR290" s="22"/>
      <c r="DS290" s="22"/>
      <c r="DT290" s="22"/>
      <c r="DU290" s="22"/>
      <c r="DV290" s="22"/>
      <c r="DW290" s="22"/>
      <c r="DX290" s="22"/>
      <c r="DY290" s="22"/>
      <c r="DZ290" s="22"/>
      <c r="EA290" s="22"/>
      <c r="EB290" s="22"/>
      <c r="EC290" s="22"/>
      <c r="ED290" s="22"/>
      <c r="EE290" s="22"/>
      <c r="EF290" s="22"/>
      <c r="EG290" s="22"/>
      <c r="EH290" s="22"/>
      <c r="EI290" s="22"/>
      <c r="EJ290" s="22"/>
      <c r="EK290" s="22"/>
      <c r="EL290" s="22"/>
      <c r="EM290" s="22"/>
      <c r="EN290" s="22"/>
      <c r="EO290" s="22"/>
      <c r="EP290" s="22"/>
      <c r="EQ290" s="22"/>
      <c r="ER290" s="22"/>
      <c r="ES290" s="22"/>
      <c r="ET290" s="22"/>
      <c r="EU290" s="22"/>
      <c r="EV290" s="22"/>
      <c r="EW290" s="22"/>
      <c r="EX290" s="22"/>
      <c r="EY290" s="22"/>
      <c r="EZ290" s="22"/>
      <c r="FA290" s="22"/>
      <c r="FB290" s="22"/>
      <c r="FC290" s="22"/>
      <c r="FD290" s="22"/>
      <c r="FE290" s="22"/>
      <c r="FF290" s="22"/>
      <c r="FG290" s="22"/>
      <c r="FH290" s="22"/>
      <c r="FI290" s="22"/>
      <c r="FJ290" s="22"/>
      <c r="FK290" s="22"/>
      <c r="FL290" s="22"/>
      <c r="FM290" s="22"/>
      <c r="FN290" s="22"/>
      <c r="FO290" s="22"/>
      <c r="FP290" s="22"/>
      <c r="FQ290" s="22"/>
      <c r="FR290" s="22"/>
      <c r="FS290" s="22"/>
      <c r="FT290" s="22"/>
      <c r="FU290" s="22"/>
      <c r="FV290" s="22"/>
      <c r="FW290" s="22"/>
      <c r="FX290" s="22"/>
      <c r="FY290" s="22"/>
      <c r="FZ290" s="22"/>
      <c r="GA290" s="22"/>
      <c r="GB290" s="22"/>
      <c r="GC290" s="22"/>
      <c r="GD290" s="22"/>
      <c r="GE290" s="22"/>
      <c r="GF290" s="22"/>
      <c r="GG290" s="22"/>
      <c r="GH290" s="22"/>
      <c r="GI290" s="22"/>
      <c r="GJ290" s="22"/>
      <c r="GK290" s="22"/>
      <c r="GL290" s="22"/>
      <c r="GM290" s="22"/>
      <c r="GN290" s="22"/>
      <c r="GO290" s="22"/>
      <c r="GP290" s="22"/>
      <c r="GQ290" s="22"/>
      <c r="GR290" s="22"/>
      <c r="GS290" s="22"/>
      <c r="GT290" s="22"/>
      <c r="GU290" s="22"/>
      <c r="GV290" s="22"/>
      <c r="GW290" s="22"/>
      <c r="GX290" s="22"/>
      <c r="GY290" s="22"/>
      <c r="GZ290" s="22"/>
      <c r="HA290" s="22"/>
      <c r="HB290" s="22"/>
      <c r="HC290" s="22"/>
    </row>
    <row r="291" spans="1:211" ht="15" customHeight="1" x14ac:dyDescent="0.2">
      <c r="A291" s="22"/>
      <c r="B291" s="14"/>
      <c r="C291" s="45"/>
      <c r="D291" s="46"/>
      <c r="E291" s="46"/>
      <c r="F291" s="120"/>
      <c r="G291" s="120"/>
      <c r="H291" s="47"/>
      <c r="I291" s="116"/>
      <c r="J291" s="45"/>
      <c r="K291" s="45"/>
      <c r="L291" s="73"/>
      <c r="M291" s="118"/>
      <c r="N291" s="119"/>
      <c r="O291" s="113"/>
      <c r="P291" s="115"/>
      <c r="Q291"/>
      <c r="R291"/>
      <c r="S291" s="114"/>
      <c r="T291" s="110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2"/>
      <c r="BH291" s="22"/>
      <c r="BI291" s="22"/>
      <c r="BJ291" s="22"/>
      <c r="BK291" s="22"/>
      <c r="BL291" s="22"/>
      <c r="BM291" s="22"/>
      <c r="BN291" s="22"/>
      <c r="BO291" s="22"/>
      <c r="BP291" s="22"/>
      <c r="BQ291" s="22"/>
      <c r="BR291" s="22"/>
      <c r="BS291" s="22"/>
      <c r="BT291" s="22"/>
      <c r="BU291" s="22"/>
      <c r="BV291" s="22"/>
      <c r="BW291" s="22"/>
      <c r="BX291" s="22"/>
      <c r="BY291" s="22"/>
      <c r="BZ291" s="22"/>
      <c r="CA291" s="22"/>
      <c r="CB291" s="22"/>
      <c r="CC291" s="22"/>
      <c r="CD291" s="22"/>
      <c r="CE291" s="22"/>
      <c r="CF291" s="22"/>
      <c r="CG291" s="22"/>
      <c r="CH291" s="22"/>
      <c r="CI291" s="22"/>
      <c r="CJ291" s="22"/>
      <c r="CK291" s="22"/>
      <c r="CL291" s="22"/>
      <c r="CM291" s="22"/>
      <c r="CN291" s="22"/>
      <c r="CO291" s="22"/>
      <c r="CP291" s="22"/>
      <c r="CQ291" s="22"/>
      <c r="CR291" s="22"/>
      <c r="CS291" s="22"/>
      <c r="CT291" s="22"/>
      <c r="CU291" s="22"/>
      <c r="CV291" s="22"/>
      <c r="CW291" s="22"/>
      <c r="CX291" s="22"/>
      <c r="CY291" s="22"/>
      <c r="CZ291" s="22"/>
      <c r="DA291" s="22"/>
      <c r="DB291" s="22"/>
      <c r="DC291" s="22"/>
      <c r="DD291" s="22"/>
      <c r="DE291" s="22"/>
      <c r="DF291" s="22"/>
      <c r="DG291" s="22"/>
      <c r="DH291" s="22"/>
      <c r="DI291" s="22"/>
      <c r="DJ291" s="22"/>
      <c r="DK291" s="22"/>
      <c r="DL291" s="22"/>
      <c r="DM291" s="22"/>
      <c r="DN291" s="22"/>
      <c r="DO291" s="22"/>
      <c r="DP291" s="22"/>
      <c r="DQ291" s="22"/>
      <c r="DR291" s="22"/>
      <c r="DS291" s="22"/>
      <c r="DT291" s="22"/>
      <c r="DU291" s="22"/>
      <c r="DV291" s="22"/>
      <c r="DW291" s="22"/>
      <c r="DX291" s="22"/>
      <c r="DY291" s="22"/>
      <c r="DZ291" s="22"/>
      <c r="EA291" s="22"/>
      <c r="EB291" s="22"/>
      <c r="EC291" s="22"/>
      <c r="ED291" s="22"/>
      <c r="EE291" s="22"/>
      <c r="EF291" s="22"/>
      <c r="EG291" s="22"/>
      <c r="EH291" s="22"/>
      <c r="EI291" s="22"/>
      <c r="EJ291" s="22"/>
      <c r="EK291" s="22"/>
      <c r="EL291" s="22"/>
      <c r="EM291" s="22"/>
      <c r="EN291" s="22"/>
      <c r="EO291" s="22"/>
      <c r="EP291" s="22"/>
      <c r="EQ291" s="22"/>
      <c r="ER291" s="22"/>
      <c r="ES291" s="22"/>
      <c r="ET291" s="22"/>
      <c r="EU291" s="22"/>
      <c r="EV291" s="22"/>
      <c r="EW291" s="22"/>
      <c r="EX291" s="22"/>
      <c r="EY291" s="22"/>
      <c r="EZ291" s="22"/>
      <c r="FA291" s="22"/>
      <c r="FB291" s="22"/>
      <c r="FC291" s="22"/>
      <c r="FD291" s="22"/>
      <c r="FE291" s="22"/>
      <c r="FF291" s="22"/>
      <c r="FG291" s="22"/>
      <c r="FH291" s="22"/>
      <c r="FI291" s="22"/>
      <c r="FJ291" s="22"/>
      <c r="FK291" s="22"/>
      <c r="FL291" s="22"/>
      <c r="FM291" s="22"/>
      <c r="FN291" s="22"/>
      <c r="FO291" s="22"/>
      <c r="FP291" s="22"/>
      <c r="FQ291" s="22"/>
      <c r="FR291" s="22"/>
      <c r="FS291" s="22"/>
      <c r="FT291" s="22"/>
      <c r="FU291" s="22"/>
      <c r="FV291" s="22"/>
      <c r="FW291" s="22"/>
      <c r="FX291" s="22"/>
      <c r="FY291" s="22"/>
      <c r="FZ291" s="22"/>
      <c r="GA291" s="22"/>
      <c r="GB291" s="22"/>
      <c r="GC291" s="22"/>
      <c r="GD291" s="22"/>
      <c r="GE291" s="22"/>
      <c r="GF291" s="22"/>
      <c r="GG291" s="22"/>
      <c r="GH291" s="22"/>
      <c r="GI291" s="22"/>
      <c r="GJ291" s="22"/>
      <c r="GK291" s="22"/>
      <c r="GL291" s="22"/>
      <c r="GM291" s="22"/>
      <c r="GN291" s="22"/>
      <c r="GO291" s="22"/>
      <c r="GP291" s="22"/>
      <c r="GQ291" s="22"/>
      <c r="GR291" s="22"/>
      <c r="GS291" s="22"/>
      <c r="GT291" s="22"/>
      <c r="GU291" s="22"/>
      <c r="GV291" s="22"/>
      <c r="GW291" s="22"/>
      <c r="GX291" s="22"/>
      <c r="GY291" s="22"/>
      <c r="GZ291" s="22"/>
      <c r="HA291" s="22"/>
      <c r="HB291" s="22"/>
      <c r="HC291" s="22"/>
    </row>
    <row r="292" spans="1:211" ht="15" customHeight="1" x14ac:dyDescent="0.2">
      <c r="A292" s="22"/>
      <c r="B292" s="14"/>
      <c r="C292" s="45"/>
      <c r="D292" s="46"/>
      <c r="E292" s="46"/>
      <c r="F292" s="120"/>
      <c r="G292" s="120"/>
      <c r="H292" s="47"/>
      <c r="I292" s="116"/>
      <c r="J292" s="45"/>
      <c r="K292" s="45"/>
      <c r="L292" s="73"/>
      <c r="M292" s="118"/>
      <c r="N292" s="119"/>
      <c r="O292" s="113"/>
      <c r="P292" s="115"/>
      <c r="Q292"/>
      <c r="R292"/>
      <c r="S292" s="114"/>
      <c r="T292" s="110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22"/>
      <c r="BA292" s="22"/>
      <c r="BB292" s="22"/>
      <c r="BC292" s="22"/>
      <c r="BD292" s="22"/>
      <c r="BE292" s="22"/>
      <c r="BF292" s="22"/>
      <c r="BG292" s="22"/>
      <c r="BH292" s="22"/>
      <c r="BI292" s="22"/>
      <c r="BJ292" s="22"/>
      <c r="BK292" s="22"/>
      <c r="BL292" s="22"/>
      <c r="BM292" s="22"/>
      <c r="BN292" s="22"/>
      <c r="BO292" s="22"/>
      <c r="BP292" s="22"/>
      <c r="BQ292" s="22"/>
      <c r="BR292" s="22"/>
      <c r="BS292" s="22"/>
      <c r="BT292" s="22"/>
      <c r="BU292" s="22"/>
      <c r="BV292" s="22"/>
      <c r="BW292" s="22"/>
      <c r="BX292" s="22"/>
      <c r="BY292" s="22"/>
      <c r="BZ292" s="22"/>
      <c r="CA292" s="22"/>
      <c r="CB292" s="22"/>
      <c r="CC292" s="22"/>
      <c r="CD292" s="22"/>
      <c r="CE292" s="22"/>
      <c r="CF292" s="22"/>
      <c r="CG292" s="22"/>
      <c r="CH292" s="22"/>
      <c r="CI292" s="22"/>
      <c r="CJ292" s="22"/>
      <c r="CK292" s="22"/>
      <c r="CL292" s="22"/>
      <c r="CM292" s="22"/>
      <c r="CN292" s="22"/>
      <c r="CO292" s="22"/>
      <c r="CP292" s="22"/>
      <c r="CQ292" s="22"/>
      <c r="CR292" s="22"/>
      <c r="CS292" s="22"/>
      <c r="CT292" s="22"/>
      <c r="CU292" s="22"/>
      <c r="CV292" s="22"/>
      <c r="CW292" s="22"/>
      <c r="CX292" s="22"/>
      <c r="CY292" s="22"/>
      <c r="CZ292" s="22"/>
      <c r="DA292" s="22"/>
      <c r="DB292" s="22"/>
      <c r="DC292" s="22"/>
      <c r="DD292" s="22"/>
      <c r="DE292" s="22"/>
      <c r="DF292" s="22"/>
      <c r="DG292" s="22"/>
      <c r="DH292" s="22"/>
      <c r="DI292" s="22"/>
      <c r="DJ292" s="22"/>
      <c r="DK292" s="22"/>
      <c r="DL292" s="22"/>
      <c r="DM292" s="22"/>
      <c r="DN292" s="22"/>
      <c r="DO292" s="22"/>
      <c r="DP292" s="22"/>
      <c r="DQ292" s="22"/>
      <c r="DR292" s="22"/>
      <c r="DS292" s="22"/>
      <c r="DT292" s="22"/>
      <c r="DU292" s="22"/>
      <c r="DV292" s="22"/>
      <c r="DW292" s="22"/>
      <c r="DX292" s="22"/>
      <c r="DY292" s="22"/>
      <c r="DZ292" s="22"/>
      <c r="EA292" s="22"/>
      <c r="EB292" s="22"/>
      <c r="EC292" s="22"/>
      <c r="ED292" s="22"/>
      <c r="EE292" s="22"/>
      <c r="EF292" s="22"/>
      <c r="EG292" s="22"/>
      <c r="EH292" s="22"/>
      <c r="EI292" s="22"/>
      <c r="EJ292" s="22"/>
      <c r="EK292" s="22"/>
      <c r="EL292" s="22"/>
      <c r="EM292" s="22"/>
      <c r="EN292" s="22"/>
      <c r="EO292" s="22"/>
      <c r="EP292" s="22"/>
      <c r="EQ292" s="22"/>
      <c r="ER292" s="22"/>
      <c r="ES292" s="22"/>
      <c r="ET292" s="22"/>
      <c r="EU292" s="22"/>
      <c r="EV292" s="22"/>
      <c r="EW292" s="22"/>
      <c r="EX292" s="22"/>
      <c r="EY292" s="22"/>
      <c r="EZ292" s="22"/>
      <c r="FA292" s="22"/>
      <c r="FB292" s="22"/>
      <c r="FC292" s="22"/>
      <c r="FD292" s="22"/>
      <c r="FE292" s="22"/>
      <c r="FF292" s="22"/>
      <c r="FG292" s="22"/>
      <c r="FH292" s="22"/>
      <c r="FI292" s="22"/>
      <c r="FJ292" s="22"/>
      <c r="FK292" s="22"/>
      <c r="FL292" s="22"/>
      <c r="FM292" s="22"/>
      <c r="FN292" s="22"/>
      <c r="FO292" s="22"/>
      <c r="FP292" s="22"/>
      <c r="FQ292" s="22"/>
      <c r="FR292" s="22"/>
      <c r="FS292" s="22"/>
      <c r="FT292" s="22"/>
      <c r="FU292" s="22"/>
      <c r="FV292" s="22"/>
      <c r="FW292" s="22"/>
      <c r="FX292" s="22"/>
      <c r="FY292" s="22"/>
      <c r="FZ292" s="22"/>
      <c r="GA292" s="22"/>
      <c r="GB292" s="22"/>
      <c r="GC292" s="22"/>
      <c r="GD292" s="22"/>
      <c r="GE292" s="22"/>
      <c r="GF292" s="22"/>
      <c r="GG292" s="22"/>
      <c r="GH292" s="22"/>
      <c r="GI292" s="22"/>
      <c r="GJ292" s="22"/>
      <c r="GK292" s="22"/>
      <c r="GL292" s="22"/>
      <c r="GM292" s="22"/>
      <c r="GN292" s="22"/>
      <c r="GO292" s="22"/>
      <c r="GP292" s="22"/>
      <c r="GQ292" s="22"/>
      <c r="GR292" s="22"/>
      <c r="GS292" s="22"/>
      <c r="GT292" s="22"/>
      <c r="GU292" s="22"/>
      <c r="GV292" s="22"/>
      <c r="GW292" s="22"/>
      <c r="GX292" s="22"/>
      <c r="GY292" s="22"/>
      <c r="GZ292" s="22"/>
      <c r="HA292" s="22"/>
      <c r="HB292" s="22"/>
      <c r="HC292" s="22"/>
    </row>
    <row r="293" spans="1:211" ht="15" customHeight="1" x14ac:dyDescent="0.2">
      <c r="A293" s="22"/>
      <c r="B293" s="14"/>
      <c r="C293" s="45"/>
      <c r="D293" s="46"/>
      <c r="E293" s="46"/>
      <c r="F293" s="120"/>
      <c r="G293" s="120"/>
      <c r="H293" s="47"/>
      <c r="I293" s="116"/>
      <c r="J293" s="45"/>
      <c r="K293" s="45"/>
      <c r="L293" s="73"/>
      <c r="M293" s="118"/>
      <c r="N293" s="119"/>
      <c r="O293" s="113"/>
      <c r="P293" s="115"/>
      <c r="Q293"/>
      <c r="R293"/>
      <c r="S293" s="114"/>
      <c r="T293" s="110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2"/>
      <c r="BH293" s="22"/>
      <c r="BI293" s="22"/>
      <c r="BJ293" s="22"/>
      <c r="BK293" s="22"/>
      <c r="BL293" s="22"/>
      <c r="BM293" s="22"/>
      <c r="BN293" s="22"/>
      <c r="BO293" s="22"/>
      <c r="BP293" s="22"/>
      <c r="BQ293" s="22"/>
      <c r="BR293" s="22"/>
      <c r="BS293" s="22"/>
      <c r="BT293" s="22"/>
      <c r="BU293" s="22"/>
      <c r="BV293" s="22"/>
      <c r="BW293" s="22"/>
      <c r="BX293" s="22"/>
      <c r="BY293" s="22"/>
      <c r="BZ293" s="22"/>
      <c r="CA293" s="22"/>
      <c r="CB293" s="22"/>
      <c r="CC293" s="22"/>
      <c r="CD293" s="22"/>
      <c r="CE293" s="22"/>
      <c r="CF293" s="22"/>
      <c r="CG293" s="22"/>
      <c r="CH293" s="22"/>
      <c r="CI293" s="22"/>
      <c r="CJ293" s="22"/>
      <c r="CK293" s="22"/>
      <c r="CL293" s="22"/>
      <c r="CM293" s="22"/>
      <c r="CN293" s="22"/>
      <c r="CO293" s="22"/>
      <c r="CP293" s="22"/>
      <c r="CQ293" s="22"/>
      <c r="CR293" s="22"/>
      <c r="CS293" s="22"/>
      <c r="CT293" s="22"/>
      <c r="CU293" s="22"/>
      <c r="CV293" s="22"/>
      <c r="CW293" s="22"/>
      <c r="CX293" s="22"/>
      <c r="CY293" s="22"/>
      <c r="CZ293" s="22"/>
      <c r="DA293" s="22"/>
      <c r="DB293" s="22"/>
      <c r="DC293" s="22"/>
      <c r="DD293" s="22"/>
      <c r="DE293" s="22"/>
      <c r="DF293" s="22"/>
      <c r="DG293" s="22"/>
      <c r="DH293" s="22"/>
      <c r="DI293" s="22"/>
      <c r="DJ293" s="22"/>
      <c r="DK293" s="22"/>
      <c r="DL293" s="22"/>
      <c r="DM293" s="22"/>
      <c r="DN293" s="22"/>
      <c r="DO293" s="22"/>
      <c r="DP293" s="22"/>
      <c r="DQ293" s="22"/>
      <c r="DR293" s="22"/>
      <c r="DS293" s="22"/>
      <c r="DT293" s="22"/>
      <c r="DU293" s="22"/>
      <c r="DV293" s="22"/>
      <c r="DW293" s="22"/>
      <c r="DX293" s="22"/>
      <c r="DY293" s="22"/>
      <c r="DZ293" s="22"/>
      <c r="EA293" s="22"/>
      <c r="EB293" s="22"/>
      <c r="EC293" s="22"/>
      <c r="ED293" s="22"/>
      <c r="EE293" s="22"/>
      <c r="EF293" s="22"/>
      <c r="EG293" s="22"/>
      <c r="EH293" s="22"/>
      <c r="EI293" s="22"/>
      <c r="EJ293" s="22"/>
      <c r="EK293" s="22"/>
      <c r="EL293" s="22"/>
      <c r="EM293" s="22"/>
      <c r="EN293" s="22"/>
      <c r="EO293" s="22"/>
      <c r="EP293" s="22"/>
      <c r="EQ293" s="22"/>
      <c r="ER293" s="22"/>
      <c r="ES293" s="22"/>
      <c r="ET293" s="22"/>
      <c r="EU293" s="22"/>
      <c r="EV293" s="22"/>
      <c r="EW293" s="22"/>
      <c r="EX293" s="22"/>
      <c r="EY293" s="22"/>
      <c r="EZ293" s="22"/>
      <c r="FA293" s="22"/>
      <c r="FB293" s="22"/>
      <c r="FC293" s="22"/>
      <c r="FD293" s="22"/>
      <c r="FE293" s="22"/>
      <c r="FF293" s="22"/>
      <c r="FG293" s="22"/>
      <c r="FH293" s="22"/>
      <c r="FI293" s="22"/>
      <c r="FJ293" s="22"/>
      <c r="FK293" s="22"/>
      <c r="FL293" s="22"/>
      <c r="FM293" s="22"/>
      <c r="FN293" s="22"/>
      <c r="FO293" s="22"/>
      <c r="FP293" s="22"/>
      <c r="FQ293" s="22"/>
      <c r="FR293" s="22"/>
      <c r="FS293" s="22"/>
      <c r="FT293" s="22"/>
      <c r="FU293" s="22"/>
      <c r="FV293" s="22"/>
      <c r="FW293" s="22"/>
      <c r="FX293" s="22"/>
      <c r="FY293" s="22"/>
      <c r="FZ293" s="22"/>
      <c r="GA293" s="22"/>
      <c r="GB293" s="22"/>
      <c r="GC293" s="22"/>
      <c r="GD293" s="22"/>
      <c r="GE293" s="22"/>
      <c r="GF293" s="22"/>
      <c r="GG293" s="22"/>
      <c r="GH293" s="22"/>
      <c r="GI293" s="22"/>
      <c r="GJ293" s="22"/>
      <c r="GK293" s="22"/>
      <c r="GL293" s="22"/>
      <c r="GM293" s="22"/>
      <c r="GN293" s="22"/>
      <c r="GO293" s="22"/>
      <c r="GP293" s="22"/>
      <c r="GQ293" s="22"/>
      <c r="GR293" s="22"/>
      <c r="GS293" s="22"/>
      <c r="GT293" s="22"/>
      <c r="GU293" s="22"/>
      <c r="GV293" s="22"/>
      <c r="GW293" s="22"/>
      <c r="GX293" s="22"/>
      <c r="GY293" s="22"/>
      <c r="GZ293" s="22"/>
      <c r="HA293" s="22"/>
      <c r="HB293" s="22"/>
      <c r="HC293" s="22"/>
    </row>
    <row r="294" spans="1:211" ht="15" customHeight="1" x14ac:dyDescent="0.2">
      <c r="A294" s="22"/>
      <c r="B294" s="14"/>
      <c r="C294" s="45"/>
      <c r="D294" s="46"/>
      <c r="E294" s="46"/>
      <c r="F294" s="120"/>
      <c r="G294" s="120"/>
      <c r="H294" s="47"/>
      <c r="I294" s="116"/>
      <c r="J294" s="45"/>
      <c r="K294" s="45"/>
      <c r="L294" s="73"/>
      <c r="M294" s="118"/>
      <c r="N294" s="119"/>
      <c r="O294" s="113"/>
      <c r="P294" s="115"/>
      <c r="Q294"/>
      <c r="R294"/>
      <c r="S294" s="114"/>
      <c r="T294" s="110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22"/>
      <c r="BA294" s="22"/>
      <c r="BB294" s="22"/>
      <c r="BC294" s="22"/>
      <c r="BD294" s="22"/>
      <c r="BE294" s="22"/>
      <c r="BF294" s="22"/>
      <c r="BG294" s="22"/>
      <c r="BH294" s="22"/>
      <c r="BI294" s="22"/>
      <c r="BJ294" s="22"/>
      <c r="BK294" s="22"/>
      <c r="BL294" s="22"/>
      <c r="BM294" s="22"/>
      <c r="BN294" s="22"/>
      <c r="BO294" s="22"/>
      <c r="BP294" s="22"/>
      <c r="BQ294" s="22"/>
      <c r="BR294" s="22"/>
      <c r="BS294" s="22"/>
      <c r="BT294" s="22"/>
      <c r="BU294" s="22"/>
      <c r="BV294" s="22"/>
      <c r="BW294" s="22"/>
      <c r="BX294" s="22"/>
      <c r="BY294" s="22"/>
      <c r="BZ294" s="22"/>
      <c r="CA294" s="22"/>
      <c r="CB294" s="22"/>
      <c r="CC294" s="22"/>
      <c r="CD294" s="22"/>
      <c r="CE294" s="22"/>
      <c r="CF294" s="22"/>
      <c r="CG294" s="22"/>
      <c r="CH294" s="22"/>
      <c r="CI294" s="22"/>
      <c r="CJ294" s="22"/>
      <c r="CK294" s="22"/>
      <c r="CL294" s="22"/>
      <c r="CM294" s="22"/>
      <c r="CN294" s="22"/>
      <c r="CO294" s="22"/>
      <c r="CP294" s="22"/>
      <c r="CQ294" s="22"/>
      <c r="CR294" s="22"/>
      <c r="CS294" s="22"/>
      <c r="CT294" s="22"/>
      <c r="CU294" s="22"/>
      <c r="CV294" s="22"/>
      <c r="CW294" s="22"/>
      <c r="CX294" s="22"/>
      <c r="CY294" s="22"/>
      <c r="CZ294" s="22"/>
      <c r="DA294" s="22"/>
      <c r="DB294" s="22"/>
      <c r="DC294" s="22"/>
      <c r="DD294" s="22"/>
      <c r="DE294" s="22"/>
      <c r="DF294" s="22"/>
      <c r="DG294" s="22"/>
      <c r="DH294" s="22"/>
      <c r="DI294" s="22"/>
      <c r="DJ294" s="22"/>
      <c r="DK294" s="22"/>
      <c r="DL294" s="22"/>
      <c r="DM294" s="22"/>
      <c r="DN294" s="22"/>
      <c r="DO294" s="22"/>
      <c r="DP294" s="22"/>
      <c r="DQ294" s="22"/>
      <c r="DR294" s="22"/>
      <c r="DS294" s="22"/>
      <c r="DT294" s="22"/>
      <c r="DU294" s="22"/>
      <c r="DV294" s="22"/>
      <c r="DW294" s="22"/>
      <c r="DX294" s="22"/>
      <c r="DY294" s="22"/>
      <c r="DZ294" s="22"/>
      <c r="EA294" s="22"/>
      <c r="EB294" s="22"/>
      <c r="EC294" s="22"/>
      <c r="ED294" s="22"/>
      <c r="EE294" s="22"/>
      <c r="EF294" s="22"/>
      <c r="EG294" s="22"/>
      <c r="EH294" s="22"/>
      <c r="EI294" s="22"/>
      <c r="EJ294" s="22"/>
      <c r="EK294" s="22"/>
      <c r="EL294" s="22"/>
      <c r="EM294" s="22"/>
      <c r="EN294" s="22"/>
      <c r="EO294" s="22"/>
      <c r="EP294" s="22"/>
      <c r="EQ294" s="22"/>
      <c r="ER294" s="22"/>
      <c r="ES294" s="22"/>
      <c r="ET294" s="22"/>
      <c r="EU294" s="22"/>
      <c r="EV294" s="22"/>
      <c r="EW294" s="22"/>
      <c r="EX294" s="22"/>
      <c r="EY294" s="22"/>
      <c r="EZ294" s="22"/>
      <c r="FA294" s="22"/>
      <c r="FB294" s="22"/>
      <c r="FC294" s="22"/>
      <c r="FD294" s="22"/>
      <c r="FE294" s="22"/>
      <c r="FF294" s="22"/>
      <c r="FG294" s="22"/>
      <c r="FH294" s="22"/>
      <c r="FI294" s="22"/>
      <c r="FJ294" s="22"/>
      <c r="FK294" s="22"/>
      <c r="FL294" s="22"/>
      <c r="FM294" s="22"/>
      <c r="FN294" s="22"/>
      <c r="FO294" s="22"/>
      <c r="FP294" s="22"/>
      <c r="FQ294" s="22"/>
      <c r="FR294" s="22"/>
      <c r="FS294" s="22"/>
      <c r="FT294" s="22"/>
      <c r="FU294" s="22"/>
      <c r="FV294" s="22"/>
      <c r="FW294" s="22"/>
      <c r="FX294" s="22"/>
      <c r="FY294" s="22"/>
      <c r="FZ294" s="22"/>
      <c r="GA294" s="22"/>
      <c r="GB294" s="22"/>
      <c r="GC294" s="22"/>
      <c r="GD294" s="22"/>
      <c r="GE294" s="22"/>
      <c r="GF294" s="22"/>
      <c r="GG294" s="22"/>
      <c r="GH294" s="22"/>
      <c r="GI294" s="22"/>
      <c r="GJ294" s="22"/>
      <c r="GK294" s="22"/>
      <c r="GL294" s="22"/>
      <c r="GM294" s="22"/>
      <c r="GN294" s="22"/>
      <c r="GO294" s="22"/>
      <c r="GP294" s="22"/>
      <c r="GQ294" s="22"/>
      <c r="GR294" s="22"/>
      <c r="GS294" s="22"/>
      <c r="GT294" s="22"/>
      <c r="GU294" s="22"/>
      <c r="GV294" s="22"/>
      <c r="GW294" s="22"/>
      <c r="GX294" s="22"/>
      <c r="GY294" s="22"/>
      <c r="GZ294" s="22"/>
      <c r="HA294" s="22"/>
      <c r="HB294" s="22"/>
      <c r="HC294" s="22"/>
    </row>
    <row r="295" spans="1:211" ht="15" customHeight="1" x14ac:dyDescent="0.2">
      <c r="A295" s="22"/>
      <c r="B295" s="14"/>
      <c r="C295" s="45"/>
      <c r="D295" s="46"/>
      <c r="E295" s="46"/>
      <c r="F295" s="120"/>
      <c r="G295" s="120"/>
      <c r="H295" s="47"/>
      <c r="I295" s="116"/>
      <c r="J295" s="45"/>
      <c r="K295" s="45"/>
      <c r="L295" s="73"/>
      <c r="M295" s="118"/>
      <c r="N295" s="119"/>
      <c r="O295" s="113"/>
      <c r="P295" s="115"/>
      <c r="Q295"/>
      <c r="R295"/>
      <c r="S295" s="114"/>
      <c r="T295" s="110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2"/>
      <c r="BH295" s="22"/>
      <c r="BI295" s="22"/>
      <c r="BJ295" s="22"/>
      <c r="BK295" s="22"/>
      <c r="BL295" s="22"/>
      <c r="BM295" s="22"/>
      <c r="BN295" s="22"/>
      <c r="BO295" s="22"/>
      <c r="BP295" s="22"/>
      <c r="BQ295" s="22"/>
      <c r="BR295" s="22"/>
      <c r="BS295" s="22"/>
      <c r="BT295" s="22"/>
      <c r="BU295" s="22"/>
      <c r="BV295" s="22"/>
      <c r="BW295" s="22"/>
      <c r="BX295" s="22"/>
      <c r="BY295" s="22"/>
      <c r="BZ295" s="22"/>
      <c r="CA295" s="22"/>
      <c r="CB295" s="22"/>
      <c r="CC295" s="22"/>
      <c r="CD295" s="22"/>
      <c r="CE295" s="22"/>
      <c r="CF295" s="22"/>
      <c r="CG295" s="22"/>
      <c r="CH295" s="22"/>
      <c r="CI295" s="22"/>
      <c r="CJ295" s="22"/>
      <c r="CK295" s="22"/>
      <c r="CL295" s="22"/>
      <c r="CM295" s="22"/>
      <c r="CN295" s="22"/>
      <c r="CO295" s="22"/>
      <c r="CP295" s="22"/>
      <c r="CQ295" s="22"/>
      <c r="CR295" s="22"/>
      <c r="CS295" s="22"/>
      <c r="CT295" s="22"/>
      <c r="CU295" s="22"/>
      <c r="CV295" s="22"/>
      <c r="CW295" s="22"/>
      <c r="CX295" s="22"/>
      <c r="CY295" s="22"/>
      <c r="CZ295" s="22"/>
      <c r="DA295" s="22"/>
      <c r="DB295" s="22"/>
      <c r="DC295" s="22"/>
      <c r="DD295" s="22"/>
      <c r="DE295" s="22"/>
      <c r="DF295" s="22"/>
      <c r="DG295" s="22"/>
      <c r="DH295" s="22"/>
      <c r="DI295" s="22"/>
      <c r="DJ295" s="22"/>
      <c r="DK295" s="22"/>
      <c r="DL295" s="22"/>
      <c r="DM295" s="22"/>
      <c r="DN295" s="22"/>
      <c r="DO295" s="22"/>
      <c r="DP295" s="22"/>
      <c r="DQ295" s="22"/>
      <c r="DR295" s="22"/>
      <c r="DS295" s="22"/>
      <c r="DT295" s="22"/>
      <c r="DU295" s="22"/>
      <c r="DV295" s="22"/>
      <c r="DW295" s="22"/>
      <c r="DX295" s="22"/>
      <c r="DY295" s="22"/>
      <c r="DZ295" s="22"/>
      <c r="EA295" s="22"/>
      <c r="EB295" s="22"/>
      <c r="EC295" s="22"/>
      <c r="ED295" s="22"/>
      <c r="EE295" s="22"/>
      <c r="EF295" s="22"/>
      <c r="EG295" s="22"/>
      <c r="EH295" s="22"/>
      <c r="EI295" s="22"/>
      <c r="EJ295" s="22"/>
      <c r="EK295" s="22"/>
      <c r="EL295" s="22"/>
      <c r="EM295" s="22"/>
      <c r="EN295" s="22"/>
      <c r="EO295" s="22"/>
      <c r="EP295" s="22"/>
      <c r="EQ295" s="22"/>
      <c r="ER295" s="22"/>
      <c r="ES295" s="22"/>
      <c r="ET295" s="22"/>
      <c r="EU295" s="22"/>
      <c r="EV295" s="22"/>
      <c r="EW295" s="22"/>
      <c r="EX295" s="22"/>
      <c r="EY295" s="22"/>
      <c r="EZ295" s="22"/>
      <c r="FA295" s="22"/>
      <c r="FB295" s="22"/>
      <c r="FC295" s="22"/>
      <c r="FD295" s="22"/>
      <c r="FE295" s="22"/>
      <c r="FF295" s="22"/>
      <c r="FG295" s="22"/>
      <c r="FH295" s="22"/>
      <c r="FI295" s="22"/>
      <c r="FJ295" s="22"/>
      <c r="FK295" s="22"/>
      <c r="FL295" s="22"/>
      <c r="FM295" s="22"/>
      <c r="FN295" s="22"/>
      <c r="FO295" s="22"/>
      <c r="FP295" s="22"/>
      <c r="FQ295" s="22"/>
      <c r="FR295" s="22"/>
      <c r="FS295" s="22"/>
      <c r="FT295" s="22"/>
      <c r="FU295" s="22"/>
      <c r="FV295" s="22"/>
      <c r="FW295" s="22"/>
      <c r="FX295" s="22"/>
      <c r="FY295" s="22"/>
      <c r="FZ295" s="22"/>
      <c r="GA295" s="22"/>
      <c r="GB295" s="22"/>
      <c r="GC295" s="22"/>
      <c r="GD295" s="22"/>
      <c r="GE295" s="22"/>
      <c r="GF295" s="22"/>
      <c r="GG295" s="22"/>
      <c r="GH295" s="22"/>
      <c r="GI295" s="22"/>
      <c r="GJ295" s="22"/>
      <c r="GK295" s="22"/>
      <c r="GL295" s="22"/>
      <c r="GM295" s="22"/>
      <c r="GN295" s="22"/>
      <c r="GO295" s="22"/>
      <c r="GP295" s="22"/>
      <c r="GQ295" s="22"/>
      <c r="GR295" s="22"/>
      <c r="GS295" s="22"/>
      <c r="GT295" s="22"/>
      <c r="GU295" s="22"/>
      <c r="GV295" s="22"/>
      <c r="GW295" s="22"/>
      <c r="GX295" s="22"/>
      <c r="GY295" s="22"/>
      <c r="GZ295" s="22"/>
      <c r="HA295" s="22"/>
      <c r="HB295" s="22"/>
      <c r="HC295" s="22"/>
    </row>
    <row r="296" spans="1:211" ht="15" customHeight="1" x14ac:dyDescent="0.2">
      <c r="A296" s="22"/>
      <c r="B296" s="14"/>
      <c r="C296" s="45"/>
      <c r="D296" s="46"/>
      <c r="E296" s="46"/>
      <c r="F296" s="120"/>
      <c r="G296" s="120"/>
      <c r="H296" s="47"/>
      <c r="I296" s="116"/>
      <c r="J296" s="45"/>
      <c r="K296" s="45"/>
      <c r="L296" s="73"/>
      <c r="M296" s="118"/>
      <c r="N296" s="119"/>
      <c r="O296" s="113"/>
      <c r="P296" s="115"/>
      <c r="Q296"/>
      <c r="R296"/>
      <c r="S296" s="114"/>
      <c r="T296" s="110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22"/>
      <c r="BA296" s="22"/>
      <c r="BB296" s="22"/>
      <c r="BC296" s="22"/>
      <c r="BD296" s="22"/>
      <c r="BE296" s="22"/>
      <c r="BF296" s="22"/>
      <c r="BG296" s="22"/>
      <c r="BH296" s="22"/>
      <c r="BI296" s="22"/>
      <c r="BJ296" s="22"/>
      <c r="BK296" s="22"/>
      <c r="BL296" s="22"/>
      <c r="BM296" s="22"/>
      <c r="BN296" s="22"/>
      <c r="BO296" s="22"/>
      <c r="BP296" s="22"/>
      <c r="BQ296" s="22"/>
      <c r="BR296" s="22"/>
      <c r="BS296" s="22"/>
      <c r="BT296" s="22"/>
      <c r="BU296" s="22"/>
      <c r="BV296" s="22"/>
      <c r="BW296" s="22"/>
      <c r="BX296" s="22"/>
      <c r="BY296" s="22"/>
      <c r="BZ296" s="22"/>
      <c r="CA296" s="22"/>
      <c r="CB296" s="22"/>
      <c r="CC296" s="22"/>
      <c r="CD296" s="22"/>
      <c r="CE296" s="22"/>
      <c r="CF296" s="22"/>
      <c r="CG296" s="22"/>
      <c r="CH296" s="22"/>
      <c r="CI296" s="22"/>
      <c r="CJ296" s="22"/>
      <c r="CK296" s="22"/>
      <c r="CL296" s="22"/>
      <c r="CM296" s="22"/>
      <c r="CN296" s="22"/>
      <c r="CO296" s="22"/>
      <c r="CP296" s="22"/>
      <c r="CQ296" s="22"/>
      <c r="CR296" s="22"/>
      <c r="CS296" s="22"/>
      <c r="CT296" s="22"/>
      <c r="CU296" s="22"/>
      <c r="CV296" s="22"/>
      <c r="CW296" s="22"/>
      <c r="CX296" s="22"/>
      <c r="CY296" s="22"/>
      <c r="CZ296" s="22"/>
      <c r="DA296" s="22"/>
      <c r="DB296" s="22"/>
      <c r="DC296" s="22"/>
      <c r="DD296" s="22"/>
      <c r="DE296" s="22"/>
      <c r="DF296" s="22"/>
      <c r="DG296" s="22"/>
      <c r="DH296" s="22"/>
      <c r="DI296" s="22"/>
      <c r="DJ296" s="22"/>
      <c r="DK296" s="22"/>
      <c r="DL296" s="22"/>
      <c r="DM296" s="22"/>
      <c r="DN296" s="22"/>
      <c r="DO296" s="22"/>
      <c r="DP296" s="22"/>
      <c r="DQ296" s="22"/>
      <c r="DR296" s="22"/>
      <c r="DS296" s="22"/>
      <c r="DT296" s="22"/>
      <c r="DU296" s="22"/>
      <c r="DV296" s="22"/>
      <c r="DW296" s="22"/>
      <c r="DX296" s="22"/>
      <c r="DY296" s="22"/>
      <c r="DZ296" s="22"/>
      <c r="EA296" s="22"/>
      <c r="EB296" s="22"/>
      <c r="EC296" s="22"/>
      <c r="ED296" s="22"/>
      <c r="EE296" s="22"/>
      <c r="EF296" s="22"/>
      <c r="EG296" s="22"/>
      <c r="EH296" s="22"/>
      <c r="EI296" s="22"/>
      <c r="EJ296" s="22"/>
      <c r="EK296" s="22"/>
      <c r="EL296" s="22"/>
      <c r="EM296" s="22"/>
      <c r="EN296" s="22"/>
      <c r="EO296" s="22"/>
      <c r="EP296" s="22"/>
      <c r="EQ296" s="22"/>
      <c r="ER296" s="22"/>
      <c r="ES296" s="22"/>
      <c r="ET296" s="22"/>
      <c r="EU296" s="22"/>
      <c r="EV296" s="22"/>
      <c r="EW296" s="22"/>
      <c r="EX296" s="22"/>
      <c r="EY296" s="22"/>
      <c r="EZ296" s="22"/>
      <c r="FA296" s="22"/>
      <c r="FB296" s="22"/>
      <c r="FC296" s="22"/>
      <c r="FD296" s="22"/>
      <c r="FE296" s="22"/>
      <c r="FF296" s="22"/>
      <c r="FG296" s="22"/>
      <c r="FH296" s="22"/>
      <c r="FI296" s="22"/>
      <c r="FJ296" s="22"/>
      <c r="FK296" s="22"/>
      <c r="FL296" s="22"/>
      <c r="FM296" s="22"/>
      <c r="FN296" s="22"/>
      <c r="FO296" s="22"/>
      <c r="FP296" s="22"/>
      <c r="FQ296" s="22"/>
      <c r="FR296" s="22"/>
      <c r="FS296" s="22"/>
      <c r="FT296" s="22"/>
      <c r="FU296" s="22"/>
      <c r="FV296" s="22"/>
      <c r="FW296" s="22"/>
      <c r="FX296" s="22"/>
      <c r="FY296" s="22"/>
      <c r="FZ296" s="22"/>
      <c r="GA296" s="22"/>
      <c r="GB296" s="22"/>
      <c r="GC296" s="22"/>
      <c r="GD296" s="22"/>
      <c r="GE296" s="22"/>
      <c r="GF296" s="22"/>
      <c r="GG296" s="22"/>
      <c r="GH296" s="22"/>
      <c r="GI296" s="22"/>
      <c r="GJ296" s="22"/>
      <c r="GK296" s="22"/>
      <c r="GL296" s="22"/>
      <c r="GM296" s="22"/>
      <c r="GN296" s="22"/>
      <c r="GO296" s="22"/>
      <c r="GP296" s="22"/>
      <c r="GQ296" s="22"/>
      <c r="GR296" s="22"/>
      <c r="GS296" s="22"/>
      <c r="GT296" s="22"/>
      <c r="GU296" s="22"/>
      <c r="GV296" s="22"/>
      <c r="GW296" s="22"/>
      <c r="GX296" s="22"/>
      <c r="GY296" s="22"/>
      <c r="GZ296" s="22"/>
      <c r="HA296" s="22"/>
      <c r="HB296" s="22"/>
      <c r="HC296" s="22"/>
    </row>
    <row r="297" spans="1:211" ht="15" customHeight="1" x14ac:dyDescent="0.2">
      <c r="A297" s="22"/>
      <c r="B297" s="14"/>
      <c r="C297" s="45"/>
      <c r="D297" s="46"/>
      <c r="E297" s="46"/>
      <c r="F297" s="120"/>
      <c r="G297" s="120"/>
      <c r="H297" s="47"/>
      <c r="I297" s="116"/>
      <c r="J297" s="45"/>
      <c r="K297" s="45"/>
      <c r="L297" s="73"/>
      <c r="M297" s="118"/>
      <c r="N297" s="119"/>
      <c r="O297" s="113"/>
      <c r="P297" s="115"/>
      <c r="Q297"/>
      <c r="R297"/>
      <c r="S297" s="114"/>
      <c r="T297" s="110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2"/>
      <c r="BH297" s="22"/>
      <c r="BI297" s="22"/>
      <c r="BJ297" s="22"/>
      <c r="BK297" s="22"/>
      <c r="BL297" s="22"/>
      <c r="BM297" s="22"/>
      <c r="BN297" s="22"/>
      <c r="BO297" s="22"/>
      <c r="BP297" s="22"/>
      <c r="BQ297" s="22"/>
      <c r="BR297" s="22"/>
      <c r="BS297" s="22"/>
      <c r="BT297" s="22"/>
      <c r="BU297" s="22"/>
      <c r="BV297" s="22"/>
      <c r="BW297" s="22"/>
      <c r="BX297" s="22"/>
      <c r="BY297" s="22"/>
      <c r="BZ297" s="22"/>
      <c r="CA297" s="22"/>
      <c r="CB297" s="22"/>
      <c r="CC297" s="22"/>
      <c r="CD297" s="22"/>
      <c r="CE297" s="22"/>
      <c r="CF297" s="22"/>
      <c r="CG297" s="22"/>
      <c r="CH297" s="22"/>
      <c r="CI297" s="22"/>
      <c r="CJ297" s="22"/>
      <c r="CK297" s="22"/>
      <c r="CL297" s="22"/>
      <c r="CM297" s="22"/>
      <c r="CN297" s="22"/>
      <c r="CO297" s="22"/>
      <c r="CP297" s="22"/>
      <c r="CQ297" s="22"/>
      <c r="CR297" s="22"/>
      <c r="CS297" s="22"/>
      <c r="CT297" s="22"/>
      <c r="CU297" s="22"/>
      <c r="CV297" s="22"/>
      <c r="CW297" s="22"/>
      <c r="CX297" s="22"/>
      <c r="CY297" s="22"/>
      <c r="CZ297" s="22"/>
      <c r="DA297" s="22"/>
      <c r="DB297" s="22"/>
      <c r="DC297" s="22"/>
      <c r="DD297" s="22"/>
      <c r="DE297" s="22"/>
      <c r="DF297" s="22"/>
      <c r="DG297" s="22"/>
      <c r="DH297" s="22"/>
      <c r="DI297" s="22"/>
      <c r="DJ297" s="22"/>
      <c r="DK297" s="22"/>
      <c r="DL297" s="22"/>
      <c r="DM297" s="22"/>
      <c r="DN297" s="22"/>
      <c r="DO297" s="22"/>
      <c r="DP297" s="22"/>
      <c r="DQ297" s="22"/>
      <c r="DR297" s="22"/>
      <c r="DS297" s="22"/>
      <c r="DT297" s="22"/>
      <c r="DU297" s="22"/>
      <c r="DV297" s="22"/>
      <c r="DW297" s="22"/>
      <c r="DX297" s="22"/>
      <c r="DY297" s="22"/>
      <c r="DZ297" s="22"/>
      <c r="EA297" s="22"/>
      <c r="EB297" s="22"/>
      <c r="EC297" s="22"/>
      <c r="ED297" s="22"/>
      <c r="EE297" s="22"/>
      <c r="EF297" s="22"/>
      <c r="EG297" s="22"/>
      <c r="EH297" s="22"/>
      <c r="EI297" s="22"/>
      <c r="EJ297" s="22"/>
      <c r="EK297" s="22"/>
      <c r="EL297" s="22"/>
      <c r="EM297" s="22"/>
      <c r="EN297" s="22"/>
      <c r="EO297" s="22"/>
      <c r="EP297" s="22"/>
      <c r="EQ297" s="22"/>
      <c r="ER297" s="22"/>
      <c r="ES297" s="22"/>
      <c r="ET297" s="22"/>
      <c r="EU297" s="22"/>
      <c r="EV297" s="22"/>
      <c r="EW297" s="22"/>
      <c r="EX297" s="22"/>
      <c r="EY297" s="22"/>
      <c r="EZ297" s="22"/>
      <c r="FA297" s="22"/>
      <c r="FB297" s="22"/>
      <c r="FC297" s="22"/>
      <c r="FD297" s="22"/>
      <c r="FE297" s="22"/>
      <c r="FF297" s="22"/>
      <c r="FG297" s="22"/>
      <c r="FH297" s="22"/>
      <c r="FI297" s="22"/>
      <c r="FJ297" s="22"/>
      <c r="FK297" s="22"/>
      <c r="FL297" s="22"/>
      <c r="FM297" s="22"/>
      <c r="FN297" s="22"/>
      <c r="FO297" s="22"/>
      <c r="FP297" s="22"/>
      <c r="FQ297" s="22"/>
      <c r="FR297" s="22"/>
      <c r="FS297" s="22"/>
      <c r="FT297" s="22"/>
      <c r="FU297" s="22"/>
      <c r="FV297" s="22"/>
      <c r="FW297" s="22"/>
      <c r="FX297" s="22"/>
      <c r="FY297" s="22"/>
      <c r="FZ297" s="22"/>
      <c r="GA297" s="22"/>
      <c r="GB297" s="22"/>
      <c r="GC297" s="22"/>
      <c r="GD297" s="22"/>
      <c r="GE297" s="22"/>
      <c r="GF297" s="22"/>
      <c r="GG297" s="22"/>
      <c r="GH297" s="22"/>
      <c r="GI297" s="22"/>
      <c r="GJ297" s="22"/>
      <c r="GK297" s="22"/>
      <c r="GL297" s="22"/>
      <c r="GM297" s="22"/>
      <c r="GN297" s="22"/>
      <c r="GO297" s="22"/>
      <c r="GP297" s="22"/>
      <c r="GQ297" s="22"/>
      <c r="GR297" s="22"/>
      <c r="GS297" s="22"/>
      <c r="GT297" s="22"/>
      <c r="GU297" s="22"/>
      <c r="GV297" s="22"/>
      <c r="GW297" s="22"/>
      <c r="GX297" s="22"/>
      <c r="GY297" s="22"/>
      <c r="GZ297" s="22"/>
      <c r="HA297" s="22"/>
      <c r="HB297" s="22"/>
      <c r="HC297" s="22"/>
    </row>
    <row r="298" spans="1:211" ht="15" customHeight="1" x14ac:dyDescent="0.2">
      <c r="A298" s="22"/>
      <c r="B298" s="14"/>
      <c r="C298" s="45"/>
      <c r="D298" s="46"/>
      <c r="E298" s="46"/>
      <c r="F298" s="120"/>
      <c r="G298" s="120"/>
      <c r="H298" s="47"/>
      <c r="I298" s="116"/>
      <c r="J298" s="45"/>
      <c r="K298" s="73"/>
      <c r="L298" s="73"/>
      <c r="M298" s="118"/>
      <c r="N298" s="119"/>
      <c r="O298" s="113"/>
      <c r="P298" s="115"/>
      <c r="Q298"/>
      <c r="R298"/>
      <c r="S298" s="114"/>
      <c r="T298" s="110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22"/>
      <c r="BA298" s="22"/>
      <c r="BB298" s="22"/>
      <c r="BC298" s="22"/>
      <c r="BD298" s="22"/>
      <c r="BE298" s="22"/>
      <c r="BF298" s="22"/>
      <c r="BG298" s="22"/>
      <c r="BH298" s="22"/>
      <c r="BI298" s="22"/>
      <c r="BJ298" s="22"/>
      <c r="BK298" s="22"/>
      <c r="BL298" s="22"/>
      <c r="BM298" s="22"/>
      <c r="BN298" s="22"/>
      <c r="BO298" s="22"/>
      <c r="BP298" s="22"/>
      <c r="BQ298" s="22"/>
      <c r="BR298" s="22"/>
      <c r="BS298" s="22"/>
      <c r="BT298" s="22"/>
      <c r="BU298" s="22"/>
      <c r="BV298" s="22"/>
      <c r="BW298" s="22"/>
      <c r="BX298" s="22"/>
      <c r="BY298" s="22"/>
      <c r="BZ298" s="22"/>
      <c r="CA298" s="22"/>
      <c r="CB298" s="22"/>
      <c r="CC298" s="22"/>
      <c r="CD298" s="22"/>
      <c r="CE298" s="22"/>
      <c r="CF298" s="22"/>
      <c r="CG298" s="22"/>
      <c r="CH298" s="22"/>
      <c r="CI298" s="22"/>
      <c r="CJ298" s="22"/>
      <c r="CK298" s="22"/>
      <c r="CL298" s="22"/>
      <c r="CM298" s="22"/>
      <c r="CN298" s="22"/>
      <c r="CO298" s="22"/>
      <c r="CP298" s="22"/>
      <c r="CQ298" s="22"/>
      <c r="CR298" s="22"/>
      <c r="CS298" s="22"/>
      <c r="CT298" s="22"/>
      <c r="CU298" s="22"/>
      <c r="CV298" s="22"/>
      <c r="CW298" s="22"/>
      <c r="CX298" s="22"/>
      <c r="CY298" s="22"/>
      <c r="CZ298" s="22"/>
      <c r="DA298" s="22"/>
      <c r="DB298" s="22"/>
      <c r="DC298" s="22"/>
      <c r="DD298" s="22"/>
      <c r="DE298" s="22"/>
      <c r="DF298" s="22"/>
      <c r="DG298" s="22"/>
      <c r="DH298" s="22"/>
      <c r="DI298" s="22"/>
      <c r="DJ298" s="22"/>
      <c r="DK298" s="22"/>
      <c r="DL298" s="22"/>
      <c r="DM298" s="22"/>
      <c r="DN298" s="22"/>
      <c r="DO298" s="22"/>
      <c r="DP298" s="22"/>
      <c r="DQ298" s="22"/>
      <c r="DR298" s="22"/>
      <c r="DS298" s="22"/>
      <c r="DT298" s="22"/>
      <c r="DU298" s="22"/>
      <c r="DV298" s="22"/>
      <c r="DW298" s="22"/>
      <c r="DX298" s="22"/>
      <c r="DY298" s="22"/>
      <c r="DZ298" s="22"/>
      <c r="EA298" s="22"/>
      <c r="EB298" s="22"/>
      <c r="EC298" s="22"/>
      <c r="ED298" s="22"/>
      <c r="EE298" s="22"/>
      <c r="EF298" s="22"/>
      <c r="EG298" s="22"/>
      <c r="EH298" s="22"/>
      <c r="EI298" s="22"/>
      <c r="EJ298" s="22"/>
      <c r="EK298" s="22"/>
      <c r="EL298" s="22"/>
      <c r="EM298" s="22"/>
      <c r="EN298" s="22"/>
      <c r="EO298" s="22"/>
      <c r="EP298" s="22"/>
      <c r="EQ298" s="22"/>
      <c r="ER298" s="22"/>
      <c r="ES298" s="22"/>
      <c r="ET298" s="22"/>
      <c r="EU298" s="22"/>
      <c r="EV298" s="22"/>
      <c r="EW298" s="22"/>
      <c r="EX298" s="22"/>
      <c r="EY298" s="22"/>
      <c r="EZ298" s="22"/>
      <c r="FA298" s="22"/>
      <c r="FB298" s="22"/>
      <c r="FC298" s="22"/>
      <c r="FD298" s="22"/>
      <c r="FE298" s="22"/>
      <c r="FF298" s="22"/>
      <c r="FG298" s="22"/>
      <c r="FH298" s="22"/>
      <c r="FI298" s="22"/>
      <c r="FJ298" s="22"/>
      <c r="FK298" s="22"/>
      <c r="FL298" s="22"/>
      <c r="FM298" s="22"/>
      <c r="FN298" s="22"/>
      <c r="FO298" s="22"/>
      <c r="FP298" s="22"/>
      <c r="FQ298" s="22"/>
      <c r="FR298" s="22"/>
      <c r="FS298" s="22"/>
      <c r="FT298" s="22"/>
      <c r="FU298" s="22"/>
      <c r="FV298" s="22"/>
      <c r="FW298" s="22"/>
      <c r="FX298" s="22"/>
      <c r="FY298" s="22"/>
      <c r="FZ298" s="22"/>
      <c r="GA298" s="22"/>
      <c r="GB298" s="22"/>
      <c r="GC298" s="22"/>
      <c r="GD298" s="22"/>
      <c r="GE298" s="22"/>
      <c r="GF298" s="22"/>
      <c r="GG298" s="22"/>
      <c r="GH298" s="22"/>
      <c r="GI298" s="22"/>
      <c r="GJ298" s="22"/>
      <c r="GK298" s="22"/>
      <c r="GL298" s="22"/>
      <c r="GM298" s="22"/>
      <c r="GN298" s="22"/>
      <c r="GO298" s="22"/>
      <c r="GP298" s="22"/>
      <c r="GQ298" s="22"/>
      <c r="GR298" s="22"/>
      <c r="GS298" s="22"/>
      <c r="GT298" s="22"/>
      <c r="GU298" s="22"/>
      <c r="GV298" s="22"/>
      <c r="GW298" s="22"/>
      <c r="GX298" s="22"/>
      <c r="GY298" s="22"/>
      <c r="GZ298" s="22"/>
      <c r="HA298" s="22"/>
      <c r="HB298" s="22"/>
      <c r="HC298" s="22"/>
    </row>
    <row r="299" spans="1:211" ht="15" customHeight="1" x14ac:dyDescent="0.2">
      <c r="A299" s="22"/>
      <c r="B299" s="14"/>
      <c r="C299" s="45"/>
      <c r="D299" s="46"/>
      <c r="E299" s="46"/>
      <c r="F299" s="120"/>
      <c r="G299" s="120"/>
      <c r="H299" s="47"/>
      <c r="I299" s="116"/>
      <c r="J299" s="45"/>
      <c r="K299" s="45"/>
      <c r="L299" s="73"/>
      <c r="M299" s="118"/>
      <c r="N299" s="119"/>
      <c r="O299" s="113"/>
      <c r="P299" s="115"/>
      <c r="Q299"/>
      <c r="R299"/>
      <c r="S299" s="114"/>
      <c r="T299" s="110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2"/>
      <c r="BH299" s="22"/>
      <c r="BI299" s="22"/>
      <c r="BJ299" s="22"/>
      <c r="BK299" s="22"/>
      <c r="BL299" s="22"/>
      <c r="BM299" s="22"/>
      <c r="BN299" s="22"/>
      <c r="BO299" s="22"/>
      <c r="BP299" s="22"/>
      <c r="BQ299" s="22"/>
      <c r="BR299" s="22"/>
      <c r="BS299" s="22"/>
      <c r="BT299" s="22"/>
      <c r="BU299" s="22"/>
      <c r="BV299" s="22"/>
      <c r="BW299" s="22"/>
      <c r="BX299" s="22"/>
      <c r="BY299" s="22"/>
      <c r="BZ299" s="22"/>
      <c r="CA299" s="22"/>
      <c r="CB299" s="22"/>
      <c r="CC299" s="22"/>
      <c r="CD299" s="22"/>
      <c r="CE299" s="22"/>
      <c r="CF299" s="22"/>
      <c r="CG299" s="22"/>
      <c r="CH299" s="22"/>
      <c r="CI299" s="22"/>
      <c r="CJ299" s="22"/>
      <c r="CK299" s="22"/>
      <c r="CL299" s="22"/>
      <c r="CM299" s="22"/>
      <c r="CN299" s="22"/>
      <c r="CO299" s="22"/>
      <c r="CP299" s="22"/>
      <c r="CQ299" s="22"/>
      <c r="CR299" s="22"/>
      <c r="CS299" s="22"/>
      <c r="CT299" s="22"/>
      <c r="CU299" s="22"/>
      <c r="CV299" s="22"/>
      <c r="CW299" s="22"/>
      <c r="CX299" s="22"/>
      <c r="CY299" s="22"/>
      <c r="CZ299" s="22"/>
      <c r="DA299" s="22"/>
      <c r="DB299" s="22"/>
      <c r="DC299" s="22"/>
      <c r="DD299" s="22"/>
      <c r="DE299" s="22"/>
      <c r="DF299" s="22"/>
      <c r="DG299" s="22"/>
      <c r="DH299" s="22"/>
      <c r="DI299" s="22"/>
      <c r="DJ299" s="22"/>
      <c r="DK299" s="22"/>
      <c r="DL299" s="22"/>
      <c r="DM299" s="22"/>
      <c r="DN299" s="22"/>
      <c r="DO299" s="22"/>
      <c r="DP299" s="22"/>
      <c r="DQ299" s="22"/>
      <c r="DR299" s="22"/>
      <c r="DS299" s="22"/>
      <c r="DT299" s="22"/>
      <c r="DU299" s="22"/>
      <c r="DV299" s="22"/>
      <c r="DW299" s="22"/>
      <c r="DX299" s="22"/>
      <c r="DY299" s="22"/>
      <c r="DZ299" s="22"/>
      <c r="EA299" s="22"/>
      <c r="EB299" s="22"/>
      <c r="EC299" s="22"/>
      <c r="ED299" s="22"/>
      <c r="EE299" s="22"/>
      <c r="EF299" s="22"/>
      <c r="EG299" s="22"/>
      <c r="EH299" s="22"/>
      <c r="EI299" s="22"/>
      <c r="EJ299" s="22"/>
      <c r="EK299" s="22"/>
      <c r="EL299" s="22"/>
      <c r="EM299" s="22"/>
      <c r="EN299" s="22"/>
      <c r="EO299" s="22"/>
      <c r="EP299" s="22"/>
      <c r="EQ299" s="22"/>
      <c r="ER299" s="22"/>
      <c r="ES299" s="22"/>
      <c r="ET299" s="22"/>
      <c r="EU299" s="22"/>
      <c r="EV299" s="22"/>
      <c r="EW299" s="22"/>
      <c r="EX299" s="22"/>
      <c r="EY299" s="22"/>
      <c r="EZ299" s="22"/>
      <c r="FA299" s="22"/>
      <c r="FB299" s="22"/>
      <c r="FC299" s="22"/>
      <c r="FD299" s="22"/>
      <c r="FE299" s="22"/>
      <c r="FF299" s="22"/>
      <c r="FG299" s="22"/>
      <c r="FH299" s="22"/>
      <c r="FI299" s="22"/>
      <c r="FJ299" s="22"/>
      <c r="FK299" s="22"/>
      <c r="FL299" s="22"/>
      <c r="FM299" s="22"/>
      <c r="FN299" s="22"/>
      <c r="FO299" s="22"/>
      <c r="FP299" s="22"/>
      <c r="FQ299" s="22"/>
      <c r="FR299" s="22"/>
      <c r="FS299" s="22"/>
      <c r="FT299" s="22"/>
      <c r="FU299" s="22"/>
      <c r="FV299" s="22"/>
      <c r="FW299" s="22"/>
      <c r="FX299" s="22"/>
      <c r="FY299" s="22"/>
      <c r="FZ299" s="22"/>
      <c r="GA299" s="22"/>
      <c r="GB299" s="22"/>
      <c r="GC299" s="22"/>
      <c r="GD299" s="22"/>
      <c r="GE299" s="22"/>
      <c r="GF299" s="22"/>
      <c r="GG299" s="22"/>
      <c r="GH299" s="22"/>
      <c r="GI299" s="22"/>
      <c r="GJ299" s="22"/>
      <c r="GK299" s="22"/>
      <c r="GL299" s="22"/>
      <c r="GM299" s="22"/>
      <c r="GN299" s="22"/>
      <c r="GO299" s="22"/>
      <c r="GP299" s="22"/>
      <c r="GQ299" s="22"/>
      <c r="GR299" s="22"/>
      <c r="GS299" s="22"/>
      <c r="GT299" s="22"/>
      <c r="GU299" s="22"/>
      <c r="GV299" s="22"/>
      <c r="GW299" s="22"/>
      <c r="GX299" s="22"/>
      <c r="GY299" s="22"/>
      <c r="GZ299" s="22"/>
      <c r="HA299" s="22"/>
      <c r="HB299" s="22"/>
      <c r="HC299" s="22"/>
    </row>
    <row r="300" spans="1:211" x14ac:dyDescent="0.2">
      <c r="D300" s="46"/>
      <c r="E300" s="46"/>
      <c r="F300" s="120"/>
      <c r="G300" s="120"/>
      <c r="H300" s="47"/>
      <c r="I300" s="116"/>
      <c r="J300" s="45"/>
      <c r="K300" s="73"/>
      <c r="L300" s="73"/>
      <c r="M300" s="118"/>
      <c r="N300" s="119"/>
      <c r="O300" s="113"/>
    </row>
    <row r="301" spans="1:211" x14ac:dyDescent="0.2">
      <c r="D301" s="46"/>
      <c r="E301" s="46"/>
      <c r="F301" s="120"/>
      <c r="G301" s="120"/>
      <c r="H301" s="47"/>
      <c r="I301" s="116"/>
      <c r="J301" s="45"/>
      <c r="K301" s="73"/>
      <c r="L301" s="73"/>
      <c r="M301" s="118"/>
      <c r="N301" s="119"/>
      <c r="O301" s="113"/>
    </row>
    <row r="302" spans="1:211" x14ac:dyDescent="0.2">
      <c r="D302" s="46"/>
      <c r="E302" s="46"/>
      <c r="F302" s="120"/>
      <c r="G302" s="120"/>
      <c r="H302" s="47"/>
      <c r="I302" s="116"/>
      <c r="J302" s="45"/>
      <c r="K302" s="45"/>
      <c r="L302" s="73"/>
      <c r="M302" s="118"/>
      <c r="N302" s="119"/>
      <c r="O302" s="113"/>
    </row>
    <row r="303" spans="1:211" x14ac:dyDescent="0.2">
      <c r="D303" s="46"/>
      <c r="E303" s="46"/>
      <c r="F303" s="120"/>
      <c r="G303" s="120"/>
      <c r="H303" s="47"/>
      <c r="I303" s="116"/>
      <c r="J303" s="45"/>
      <c r="K303" s="45"/>
      <c r="L303" s="73"/>
      <c r="M303" s="118"/>
      <c r="N303" s="119"/>
      <c r="O303" s="113"/>
    </row>
    <row r="304" spans="1:211" x14ac:dyDescent="0.2">
      <c r="D304" s="46"/>
      <c r="E304" s="46"/>
      <c r="F304" s="120"/>
      <c r="G304" s="120"/>
      <c r="H304" s="47"/>
      <c r="I304" s="116"/>
      <c r="J304" s="45"/>
      <c r="K304" s="45"/>
      <c r="L304" s="73"/>
      <c r="M304" s="118"/>
      <c r="N304" s="119"/>
      <c r="O304" s="113"/>
    </row>
    <row r="305" spans="4:15" x14ac:dyDescent="0.2">
      <c r="D305" s="46"/>
      <c r="E305" s="46"/>
      <c r="F305" s="120"/>
      <c r="G305" s="120"/>
      <c r="H305" s="47"/>
      <c r="I305" s="116"/>
      <c r="J305" s="45"/>
      <c r="K305" s="45"/>
      <c r="L305" s="73"/>
      <c r="M305" s="118"/>
      <c r="N305" s="119"/>
      <c r="O305" s="113"/>
    </row>
    <row r="306" spans="4:15" x14ac:dyDescent="0.2">
      <c r="D306" s="46"/>
      <c r="E306" s="46"/>
      <c r="F306" s="120"/>
      <c r="G306" s="120"/>
      <c r="H306" s="47"/>
      <c r="I306" s="116"/>
      <c r="J306" s="45"/>
      <c r="K306" s="73"/>
      <c r="L306" s="73"/>
      <c r="M306" s="118"/>
      <c r="N306" s="119"/>
      <c r="O306" s="113"/>
    </row>
    <row r="307" spans="4:15" x14ac:dyDescent="0.2">
      <c r="D307" s="46"/>
      <c r="E307" s="46"/>
      <c r="F307" s="120"/>
      <c r="G307" s="120"/>
      <c r="H307" s="47"/>
      <c r="I307" s="116"/>
      <c r="J307" s="45"/>
      <c r="K307" s="45"/>
      <c r="L307" s="73"/>
      <c r="M307" s="118"/>
      <c r="N307" s="119"/>
      <c r="O307" s="113"/>
    </row>
    <row r="308" spans="4:15" x14ac:dyDescent="0.2">
      <c r="D308" s="46"/>
      <c r="E308" s="46"/>
      <c r="F308" s="120"/>
      <c r="G308" s="120"/>
      <c r="H308" s="47"/>
      <c r="I308" s="116"/>
      <c r="J308" s="45"/>
      <c r="K308" s="45"/>
      <c r="L308" s="73"/>
      <c r="M308" s="118"/>
      <c r="N308" s="119"/>
      <c r="O308" s="113"/>
    </row>
    <row r="309" spans="4:15" x14ac:dyDescent="0.2">
      <c r="D309" s="46"/>
      <c r="E309" s="46"/>
      <c r="F309" s="120"/>
      <c r="G309" s="120"/>
      <c r="H309" s="47"/>
      <c r="I309" s="116"/>
      <c r="J309" s="45"/>
      <c r="K309" s="73"/>
      <c r="L309" s="73"/>
      <c r="M309" s="118"/>
      <c r="N309" s="119"/>
      <c r="O309" s="113"/>
    </row>
    <row r="310" spans="4:15" x14ac:dyDescent="0.2">
      <c r="D310" s="46"/>
      <c r="E310" s="46"/>
      <c r="F310" s="120"/>
      <c r="G310" s="120"/>
      <c r="H310" s="47"/>
      <c r="I310" s="116"/>
      <c r="J310" s="45"/>
      <c r="K310" s="45"/>
      <c r="L310" s="73"/>
      <c r="M310" s="118"/>
      <c r="N310" s="119"/>
      <c r="O310" s="113"/>
    </row>
    <row r="311" spans="4:15" x14ac:dyDescent="0.2">
      <c r="D311" s="46"/>
      <c r="E311" s="46"/>
      <c r="F311" s="120"/>
      <c r="G311" s="120"/>
      <c r="H311" s="47"/>
      <c r="I311" s="116"/>
      <c r="J311" s="45"/>
      <c r="K311" s="45"/>
      <c r="L311" s="73"/>
      <c r="M311" s="118"/>
      <c r="N311" s="119"/>
      <c r="O311" s="113"/>
    </row>
    <row r="312" spans="4:15" x14ac:dyDescent="0.2">
      <c r="D312" s="46"/>
      <c r="E312" s="46"/>
      <c r="F312" s="120"/>
      <c r="G312" s="120"/>
      <c r="H312" s="47"/>
      <c r="I312" s="116"/>
      <c r="J312" s="45"/>
      <c r="K312" s="45"/>
      <c r="L312" s="73"/>
      <c r="M312" s="118"/>
      <c r="N312" s="119"/>
      <c r="O312" s="113"/>
    </row>
    <row r="313" spans="4:15" x14ac:dyDescent="0.2">
      <c r="D313" s="46"/>
      <c r="E313" s="46"/>
      <c r="F313" s="120"/>
      <c r="G313" s="120"/>
      <c r="H313" s="47"/>
      <c r="I313" s="116"/>
      <c r="J313" s="45"/>
      <c r="K313" s="45"/>
      <c r="L313" s="73"/>
      <c r="M313" s="118"/>
      <c r="N313" s="119"/>
      <c r="O313" s="113"/>
    </row>
    <row r="314" spans="4:15" x14ac:dyDescent="0.2">
      <c r="D314" s="46"/>
      <c r="E314" s="46"/>
      <c r="F314" s="120"/>
      <c r="G314" s="120"/>
      <c r="H314" s="47"/>
      <c r="I314" s="116"/>
      <c r="J314" s="45"/>
      <c r="K314" s="73"/>
      <c r="L314" s="73"/>
      <c r="M314" s="118"/>
      <c r="N314" s="119"/>
      <c r="O314" s="113"/>
    </row>
    <row r="315" spans="4:15" x14ac:dyDescent="0.2">
      <c r="D315" s="46"/>
      <c r="E315" s="46"/>
      <c r="F315" s="120"/>
      <c r="G315" s="120"/>
      <c r="H315" s="47"/>
      <c r="I315" s="116"/>
      <c r="J315" s="45"/>
      <c r="K315" s="45"/>
      <c r="L315" s="73"/>
      <c r="M315" s="118"/>
      <c r="N315" s="119"/>
      <c r="O315" s="113"/>
    </row>
    <row r="316" spans="4:15" x14ac:dyDescent="0.2">
      <c r="D316" s="46"/>
      <c r="E316" s="46"/>
      <c r="F316" s="120"/>
      <c r="G316" s="120"/>
      <c r="H316" s="47"/>
      <c r="I316" s="116"/>
      <c r="J316" s="45"/>
      <c r="K316" s="73"/>
      <c r="L316" s="73"/>
      <c r="M316" s="118"/>
      <c r="N316" s="119"/>
      <c r="O316" s="113"/>
    </row>
    <row r="317" spans="4:15" x14ac:dyDescent="0.2">
      <c r="D317" s="46"/>
      <c r="E317" s="46"/>
      <c r="F317" s="120"/>
      <c r="G317" s="120"/>
      <c r="H317" s="47"/>
      <c r="I317" s="116"/>
      <c r="J317" s="45"/>
      <c r="K317" s="45"/>
      <c r="L317" s="73"/>
      <c r="M317" s="118"/>
      <c r="N317" s="119"/>
      <c r="O317" s="113"/>
    </row>
    <row r="318" spans="4:15" x14ac:dyDescent="0.2">
      <c r="D318" s="46"/>
      <c r="E318" s="46"/>
      <c r="F318" s="120"/>
      <c r="G318" s="120"/>
      <c r="H318" s="47"/>
      <c r="I318" s="116"/>
      <c r="J318" s="45"/>
      <c r="K318" s="73"/>
      <c r="L318" s="73"/>
      <c r="M318" s="118"/>
      <c r="N318" s="119"/>
      <c r="O318" s="113"/>
    </row>
    <row r="319" spans="4:15" x14ac:dyDescent="0.2">
      <c r="D319" s="46"/>
      <c r="E319" s="46"/>
      <c r="F319" s="120"/>
      <c r="G319" s="120"/>
      <c r="H319" s="47"/>
      <c r="I319" s="116"/>
      <c r="J319" s="45"/>
      <c r="K319" s="73"/>
      <c r="L319" s="73"/>
      <c r="M319" s="118"/>
      <c r="N319" s="119"/>
      <c r="O319" s="113"/>
    </row>
    <row r="320" spans="4:15" x14ac:dyDescent="0.2">
      <c r="D320" s="46"/>
      <c r="E320" s="46"/>
      <c r="F320" s="120"/>
      <c r="G320" s="120"/>
      <c r="H320" s="47"/>
      <c r="I320" s="116"/>
      <c r="J320" s="45"/>
      <c r="K320" s="45"/>
      <c r="L320" s="73"/>
      <c r="M320" s="118"/>
      <c r="N320" s="119"/>
      <c r="O320" s="113"/>
    </row>
    <row r="321" spans="4:15" x14ac:dyDescent="0.2">
      <c r="D321" s="46"/>
      <c r="E321" s="46"/>
      <c r="F321" s="120"/>
      <c r="G321" s="120"/>
      <c r="H321" s="47"/>
      <c r="I321" s="116"/>
      <c r="J321" s="45"/>
      <c r="K321" s="73"/>
      <c r="L321" s="73"/>
      <c r="M321" s="118"/>
      <c r="N321" s="119"/>
      <c r="O321" s="113"/>
    </row>
    <row r="322" spans="4:15" x14ac:dyDescent="0.2">
      <c r="D322" s="46"/>
      <c r="E322" s="46"/>
      <c r="F322" s="120"/>
      <c r="G322" s="120"/>
      <c r="H322" s="47"/>
      <c r="I322" s="116"/>
      <c r="J322" s="45"/>
      <c r="K322" s="45"/>
      <c r="L322" s="73"/>
      <c r="M322" s="118"/>
      <c r="N322" s="119"/>
      <c r="O322" s="113"/>
    </row>
    <row r="323" spans="4:15" x14ac:dyDescent="0.2">
      <c r="D323" s="46"/>
      <c r="E323" s="46"/>
      <c r="F323" s="120"/>
      <c r="G323" s="120"/>
      <c r="H323" s="47"/>
      <c r="I323" s="116"/>
      <c r="J323" s="45"/>
      <c r="K323" s="73"/>
      <c r="L323" s="73"/>
      <c r="M323" s="118"/>
      <c r="N323" s="119"/>
      <c r="O323" s="113"/>
    </row>
    <row r="324" spans="4:15" x14ac:dyDescent="0.2">
      <c r="D324" s="46"/>
      <c r="E324" s="46"/>
      <c r="F324" s="120"/>
      <c r="G324" s="120"/>
      <c r="H324" s="47"/>
      <c r="I324" s="116"/>
      <c r="J324" s="45"/>
      <c r="K324" s="45"/>
      <c r="L324" s="73"/>
      <c r="M324" s="118"/>
      <c r="N324" s="119"/>
      <c r="O324" s="113"/>
    </row>
    <row r="325" spans="4:15" x14ac:dyDescent="0.2">
      <c r="D325" s="46"/>
      <c r="E325" s="46"/>
      <c r="F325" s="120"/>
      <c r="G325" s="120"/>
      <c r="H325" s="47"/>
      <c r="I325" s="116"/>
      <c r="J325" s="45"/>
      <c r="K325" s="73"/>
      <c r="L325" s="73"/>
      <c r="M325" s="118"/>
      <c r="N325" s="119"/>
      <c r="O325" s="113"/>
    </row>
    <row r="326" spans="4:15" x14ac:dyDescent="0.2">
      <c r="D326" s="46"/>
      <c r="E326" s="46"/>
      <c r="F326" s="120"/>
      <c r="G326" s="120"/>
      <c r="H326" s="47"/>
      <c r="I326" s="116"/>
      <c r="J326" s="45"/>
      <c r="K326" s="45"/>
      <c r="L326" s="73"/>
      <c r="M326" s="118"/>
      <c r="N326" s="119"/>
      <c r="O326" s="113"/>
    </row>
    <row r="327" spans="4:15" x14ac:dyDescent="0.2">
      <c r="D327" s="46"/>
      <c r="E327" s="46"/>
      <c r="F327" s="120"/>
      <c r="G327" s="120"/>
      <c r="H327" s="47"/>
      <c r="I327" s="116"/>
      <c r="J327" s="45"/>
      <c r="K327" s="45"/>
      <c r="L327" s="73"/>
      <c r="M327" s="118"/>
      <c r="N327" s="119"/>
      <c r="O327" s="113"/>
    </row>
    <row r="328" spans="4:15" x14ac:dyDescent="0.2">
      <c r="D328" s="46"/>
      <c r="E328" s="46"/>
      <c r="F328" s="120"/>
      <c r="G328" s="120"/>
      <c r="H328" s="47"/>
      <c r="I328" s="116"/>
      <c r="J328" s="45"/>
      <c r="K328" s="45"/>
      <c r="L328" s="73"/>
      <c r="M328" s="118"/>
      <c r="N328" s="119"/>
      <c r="O328" s="113"/>
    </row>
    <row r="329" spans="4:15" x14ac:dyDescent="0.2">
      <c r="D329" s="46"/>
      <c r="E329" s="46"/>
      <c r="F329" s="120"/>
      <c r="G329" s="120"/>
      <c r="H329" s="47"/>
      <c r="I329" s="116"/>
      <c r="J329" s="45"/>
      <c r="K329" s="45"/>
      <c r="L329" s="73"/>
      <c r="M329" s="118"/>
      <c r="N329" s="119"/>
      <c r="O329" s="113"/>
    </row>
    <row r="330" spans="4:15" x14ac:dyDescent="0.2">
      <c r="D330" s="46"/>
      <c r="E330" s="46"/>
      <c r="F330" s="120"/>
      <c r="G330" s="120"/>
      <c r="H330" s="47"/>
      <c r="I330" s="116"/>
      <c r="J330" s="45"/>
      <c r="K330" s="45"/>
      <c r="L330" s="73"/>
      <c r="M330" s="118"/>
      <c r="N330" s="119"/>
      <c r="O330" s="113"/>
    </row>
    <row r="331" spans="4:15" x14ac:dyDescent="0.2">
      <c r="D331" s="46"/>
      <c r="E331" s="46"/>
      <c r="F331" s="120"/>
      <c r="G331" s="120"/>
      <c r="H331" s="47"/>
      <c r="I331" s="116"/>
      <c r="J331" s="45"/>
      <c r="K331" s="45"/>
      <c r="L331" s="73"/>
      <c r="M331" s="118"/>
      <c r="N331" s="119"/>
      <c r="O331" s="113"/>
    </row>
    <row r="332" spans="4:15" x14ac:dyDescent="0.2">
      <c r="D332" s="46"/>
      <c r="E332" s="46"/>
      <c r="F332" s="120"/>
      <c r="G332" s="120"/>
      <c r="H332" s="47"/>
      <c r="I332" s="116"/>
      <c r="J332" s="45"/>
      <c r="K332" s="45"/>
      <c r="L332" s="73"/>
      <c r="M332" s="118"/>
      <c r="N332" s="119"/>
      <c r="O332" s="113"/>
    </row>
    <row r="333" spans="4:15" x14ac:dyDescent="0.2">
      <c r="D333" s="46"/>
      <c r="E333" s="46"/>
      <c r="F333" s="120"/>
      <c r="G333" s="120"/>
      <c r="H333" s="47"/>
      <c r="I333" s="116"/>
      <c r="J333" s="45"/>
      <c r="K333" s="73"/>
      <c r="L333" s="73"/>
      <c r="M333" s="118"/>
      <c r="N333" s="119"/>
      <c r="O333" s="113"/>
    </row>
    <row r="334" spans="4:15" x14ac:dyDescent="0.2">
      <c r="D334" s="46"/>
      <c r="E334" s="46"/>
      <c r="F334" s="120"/>
      <c r="G334" s="120"/>
      <c r="H334" s="47"/>
      <c r="I334" s="116"/>
      <c r="J334" s="45"/>
      <c r="K334" s="73"/>
      <c r="L334" s="73"/>
      <c r="M334" s="118"/>
      <c r="N334" s="119"/>
      <c r="O334" s="113"/>
    </row>
    <row r="335" spans="4:15" x14ac:dyDescent="0.2">
      <c r="D335" s="46"/>
      <c r="E335" s="46"/>
      <c r="F335" s="120"/>
      <c r="G335" s="120"/>
      <c r="H335" s="47"/>
      <c r="I335" s="116"/>
      <c r="J335" s="45"/>
      <c r="K335" s="45"/>
      <c r="L335" s="73"/>
      <c r="M335" s="118"/>
      <c r="N335" s="119"/>
      <c r="O335" s="113"/>
    </row>
    <row r="336" spans="4:15" x14ac:dyDescent="0.2">
      <c r="D336" s="46"/>
      <c r="E336" s="46"/>
      <c r="F336" s="120"/>
      <c r="G336" s="120"/>
      <c r="H336" s="47"/>
      <c r="I336" s="116"/>
      <c r="J336" s="45"/>
      <c r="K336" s="73"/>
      <c r="L336" s="73"/>
      <c r="M336" s="118"/>
      <c r="N336" s="119"/>
      <c r="O336" s="113"/>
    </row>
    <row r="337" spans="4:15" x14ac:dyDescent="0.2">
      <c r="D337" s="46"/>
      <c r="E337" s="46"/>
      <c r="F337" s="120"/>
      <c r="G337" s="120"/>
      <c r="H337" s="47"/>
      <c r="I337" s="116"/>
      <c r="J337" s="45"/>
      <c r="K337" s="45"/>
      <c r="L337" s="73"/>
      <c r="M337" s="118"/>
      <c r="N337" s="119"/>
      <c r="O337" s="113"/>
    </row>
    <row r="338" spans="4:15" x14ac:dyDescent="0.2">
      <c r="D338" s="46"/>
      <c r="E338" s="46"/>
      <c r="F338" s="120"/>
      <c r="G338" s="120"/>
      <c r="H338" s="47"/>
      <c r="I338" s="116"/>
      <c r="J338" s="45"/>
      <c r="K338" s="45"/>
      <c r="L338" s="73"/>
      <c r="M338" s="118"/>
      <c r="N338" s="119"/>
      <c r="O338" s="113"/>
    </row>
    <row r="339" spans="4:15" x14ac:dyDescent="0.2">
      <c r="D339" s="46"/>
      <c r="E339" s="46"/>
      <c r="F339" s="120"/>
      <c r="G339" s="120"/>
      <c r="H339" s="47"/>
      <c r="I339" s="116"/>
      <c r="J339" s="45"/>
      <c r="K339" s="45"/>
      <c r="L339" s="73"/>
      <c r="M339" s="118"/>
      <c r="N339" s="119"/>
      <c r="O339" s="113"/>
    </row>
    <row r="340" spans="4:15" x14ac:dyDescent="0.2">
      <c r="D340" s="46"/>
      <c r="E340" s="46"/>
      <c r="F340" s="120"/>
      <c r="G340" s="120"/>
      <c r="H340" s="47"/>
      <c r="I340" s="116"/>
      <c r="J340" s="45"/>
      <c r="K340" s="45"/>
      <c r="L340" s="73"/>
      <c r="M340" s="118"/>
      <c r="N340" s="119"/>
      <c r="O340" s="113"/>
    </row>
    <row r="341" spans="4:15" x14ac:dyDescent="0.2">
      <c r="D341" s="46"/>
      <c r="E341" s="46"/>
      <c r="F341" s="120"/>
      <c r="G341" s="120"/>
      <c r="H341" s="47"/>
      <c r="I341" s="116"/>
      <c r="J341" s="45"/>
      <c r="K341" s="45"/>
      <c r="L341" s="73"/>
      <c r="M341" s="118"/>
      <c r="N341" s="119"/>
      <c r="O341" s="113"/>
    </row>
    <row r="342" spans="4:15" x14ac:dyDescent="0.2">
      <c r="D342" s="46"/>
      <c r="E342" s="46"/>
      <c r="F342" s="120"/>
      <c r="G342" s="120"/>
      <c r="H342" s="47"/>
      <c r="I342" s="116"/>
      <c r="J342" s="45"/>
      <c r="K342" s="45"/>
      <c r="L342" s="73"/>
      <c r="M342" s="118"/>
      <c r="N342" s="119"/>
      <c r="O342" s="113"/>
    </row>
    <row r="343" spans="4:15" x14ac:dyDescent="0.2">
      <c r="D343" s="46"/>
      <c r="E343" s="46"/>
      <c r="F343" s="120"/>
      <c r="G343" s="120"/>
      <c r="H343" s="47"/>
      <c r="I343" s="116"/>
      <c r="J343" s="45"/>
      <c r="K343" s="45"/>
      <c r="L343" s="73"/>
      <c r="M343" s="118"/>
      <c r="N343" s="119"/>
      <c r="O343" s="113"/>
    </row>
    <row r="344" spans="4:15" x14ac:dyDescent="0.2">
      <c r="D344" s="46"/>
      <c r="E344" s="46"/>
      <c r="F344" s="120"/>
      <c r="G344" s="120"/>
      <c r="H344" s="47"/>
      <c r="I344" s="116"/>
      <c r="J344" s="45"/>
      <c r="K344" s="45"/>
      <c r="L344" s="73"/>
      <c r="M344" s="118"/>
      <c r="N344" s="119"/>
      <c r="O344" s="113"/>
    </row>
    <row r="345" spans="4:15" x14ac:dyDescent="0.2">
      <c r="D345" s="46"/>
      <c r="E345" s="46"/>
      <c r="F345" s="120"/>
      <c r="G345" s="120"/>
      <c r="H345" s="47"/>
      <c r="I345" s="116"/>
      <c r="J345" s="45"/>
      <c r="K345" s="73"/>
      <c r="L345" s="73"/>
      <c r="M345" s="118"/>
      <c r="N345" s="119"/>
      <c r="O345" s="113"/>
    </row>
    <row r="346" spans="4:15" x14ac:dyDescent="0.2">
      <c r="D346" s="46"/>
      <c r="E346" s="46"/>
      <c r="F346" s="120"/>
      <c r="G346" s="120"/>
      <c r="H346" s="47"/>
      <c r="I346" s="116"/>
      <c r="J346" s="45"/>
      <c r="K346" s="45"/>
      <c r="L346" s="73"/>
      <c r="M346" s="118"/>
      <c r="N346" s="119"/>
      <c r="O346" s="113"/>
    </row>
    <row r="347" spans="4:15" x14ac:dyDescent="0.2">
      <c r="D347" s="46"/>
      <c r="E347" s="46"/>
      <c r="F347" s="120"/>
      <c r="G347" s="120"/>
      <c r="H347" s="47"/>
      <c r="I347" s="116"/>
      <c r="J347" s="45"/>
      <c r="K347" s="73"/>
      <c r="L347" s="73"/>
      <c r="M347" s="118"/>
      <c r="N347" s="119"/>
      <c r="O347" s="113"/>
    </row>
    <row r="348" spans="4:15" x14ac:dyDescent="0.2">
      <c r="D348" s="46"/>
      <c r="E348" s="46"/>
      <c r="F348" s="120"/>
      <c r="G348" s="120"/>
      <c r="H348" s="47"/>
      <c r="I348" s="116"/>
      <c r="J348" s="45"/>
      <c r="K348" s="45"/>
      <c r="L348" s="73"/>
      <c r="M348" s="118"/>
      <c r="N348" s="119"/>
      <c r="O348" s="113"/>
    </row>
    <row r="349" spans="4:15" x14ac:dyDescent="0.2">
      <c r="D349" s="46"/>
      <c r="E349" s="46"/>
      <c r="F349" s="120"/>
      <c r="G349" s="120"/>
      <c r="H349" s="47"/>
      <c r="I349" s="116"/>
      <c r="J349" s="45"/>
      <c r="K349" s="73"/>
      <c r="L349" s="73"/>
      <c r="M349" s="118"/>
      <c r="N349" s="119"/>
      <c r="O349" s="113"/>
    </row>
    <row r="350" spans="4:15" x14ac:dyDescent="0.2">
      <c r="D350" s="46"/>
      <c r="E350" s="46"/>
      <c r="F350" s="120"/>
      <c r="G350" s="120"/>
      <c r="H350" s="47"/>
      <c r="I350" s="116"/>
      <c r="J350" s="45"/>
      <c r="K350" s="73"/>
      <c r="L350" s="73"/>
      <c r="M350" s="118"/>
      <c r="N350" s="119"/>
      <c r="O350" s="113"/>
    </row>
    <row r="351" spans="4:15" x14ac:dyDescent="0.2">
      <c r="D351" s="46"/>
      <c r="E351" s="46"/>
      <c r="F351" s="120"/>
      <c r="G351" s="120"/>
      <c r="H351" s="47"/>
      <c r="I351" s="116"/>
      <c r="J351" s="45"/>
      <c r="K351" s="73"/>
      <c r="L351" s="73"/>
      <c r="M351" s="118"/>
      <c r="N351" s="119"/>
      <c r="O351" s="113"/>
    </row>
    <row r="352" spans="4:15" x14ac:dyDescent="0.2">
      <c r="D352" s="46"/>
      <c r="E352" s="46"/>
      <c r="F352" s="120"/>
      <c r="G352" s="120"/>
      <c r="H352" s="47"/>
      <c r="I352" s="116"/>
      <c r="J352" s="45"/>
      <c r="K352" s="73"/>
      <c r="L352" s="73"/>
      <c r="M352" s="118"/>
      <c r="N352" s="119"/>
      <c r="O352" s="113"/>
    </row>
    <row r="353" spans="4:15" x14ac:dyDescent="0.2">
      <c r="D353" s="46"/>
      <c r="E353" s="46"/>
      <c r="F353" s="120"/>
      <c r="G353" s="120"/>
      <c r="H353" s="47"/>
      <c r="I353" s="116"/>
      <c r="J353" s="45"/>
      <c r="K353" s="45"/>
      <c r="L353" s="73"/>
      <c r="M353" s="118"/>
      <c r="N353" s="119"/>
      <c r="O353" s="113"/>
    </row>
    <row r="354" spans="4:15" x14ac:dyDescent="0.2">
      <c r="D354" s="46"/>
      <c r="E354" s="46"/>
      <c r="F354" s="120"/>
      <c r="G354" s="120"/>
      <c r="H354" s="47"/>
      <c r="I354" s="116"/>
      <c r="J354" s="45"/>
      <c r="K354" s="45"/>
      <c r="L354" s="73"/>
      <c r="M354" s="118"/>
      <c r="N354" s="119"/>
      <c r="O354" s="113"/>
    </row>
    <row r="355" spans="4:15" x14ac:dyDescent="0.2">
      <c r="D355" s="46"/>
      <c r="E355" s="46"/>
      <c r="F355" s="120"/>
      <c r="G355" s="120"/>
      <c r="H355" s="47"/>
      <c r="I355" s="116"/>
      <c r="J355" s="45"/>
      <c r="K355" s="45"/>
      <c r="L355" s="73"/>
      <c r="M355" s="118"/>
      <c r="N355" s="119"/>
      <c r="O355" s="113"/>
    </row>
    <row r="356" spans="4:15" x14ac:dyDescent="0.2">
      <c r="D356" s="46"/>
      <c r="E356" s="46"/>
      <c r="F356" s="120"/>
      <c r="G356" s="120"/>
      <c r="H356" s="47"/>
      <c r="I356" s="116"/>
      <c r="J356" s="45"/>
      <c r="K356" s="45"/>
      <c r="L356" s="73"/>
      <c r="M356" s="118"/>
      <c r="N356" s="119"/>
      <c r="O356" s="113"/>
    </row>
    <row r="357" spans="4:15" x14ac:dyDescent="0.2">
      <c r="D357" s="46"/>
      <c r="E357" s="46"/>
      <c r="F357" s="120"/>
      <c r="G357" s="120"/>
      <c r="H357" s="47"/>
      <c r="I357" s="116"/>
      <c r="J357" s="45"/>
      <c r="K357" s="45"/>
      <c r="L357" s="73"/>
      <c r="M357" s="118"/>
      <c r="N357" s="119"/>
      <c r="O357" s="113"/>
    </row>
    <row r="358" spans="4:15" x14ac:dyDescent="0.2">
      <c r="D358" s="46"/>
      <c r="E358" s="46"/>
      <c r="F358" s="120"/>
      <c r="G358" s="120"/>
      <c r="H358" s="47"/>
      <c r="I358" s="116"/>
      <c r="J358" s="45"/>
      <c r="K358" s="73"/>
      <c r="L358" s="73"/>
      <c r="M358" s="118"/>
      <c r="N358" s="119"/>
      <c r="O358" s="113"/>
    </row>
    <row r="359" spans="4:15" x14ac:dyDescent="0.2">
      <c r="D359" s="46"/>
      <c r="E359" s="46"/>
      <c r="F359" s="120"/>
      <c r="G359" s="120"/>
      <c r="H359" s="47"/>
      <c r="I359" s="116"/>
      <c r="J359" s="45"/>
      <c r="K359" s="45"/>
      <c r="L359" s="73"/>
      <c r="M359" s="118"/>
      <c r="N359" s="119"/>
      <c r="O359" s="113"/>
    </row>
    <row r="360" spans="4:15" x14ac:dyDescent="0.2">
      <c r="D360" s="46"/>
      <c r="E360" s="46"/>
      <c r="F360" s="120"/>
      <c r="G360" s="120"/>
      <c r="H360" s="47"/>
      <c r="I360" s="116"/>
      <c r="J360" s="45"/>
      <c r="K360" s="45"/>
      <c r="L360" s="73"/>
      <c r="M360" s="118"/>
      <c r="N360" s="119"/>
      <c r="O360" s="113"/>
    </row>
    <row r="361" spans="4:15" x14ac:dyDescent="0.2">
      <c r="D361" s="46"/>
      <c r="E361" s="46"/>
      <c r="F361" s="120"/>
      <c r="G361" s="120"/>
      <c r="H361" s="47"/>
      <c r="I361" s="116"/>
      <c r="J361" s="45"/>
      <c r="K361" s="45"/>
      <c r="L361" s="73"/>
      <c r="M361" s="118"/>
      <c r="N361" s="119"/>
      <c r="O361" s="113"/>
    </row>
    <row r="362" spans="4:15" x14ac:dyDescent="0.2">
      <c r="D362" s="46"/>
      <c r="E362" s="46"/>
      <c r="F362" s="120"/>
      <c r="G362" s="120"/>
      <c r="H362" s="47"/>
      <c r="I362" s="116"/>
      <c r="J362" s="45"/>
      <c r="K362" s="73"/>
      <c r="L362" s="73"/>
      <c r="M362" s="118"/>
      <c r="N362" s="119"/>
      <c r="O362" s="113"/>
    </row>
    <row r="363" spans="4:15" x14ac:dyDescent="0.2">
      <c r="D363" s="46"/>
      <c r="E363" s="46"/>
      <c r="F363" s="120"/>
      <c r="G363" s="120"/>
      <c r="H363" s="47"/>
      <c r="I363" s="116"/>
      <c r="J363" s="45"/>
      <c r="K363" s="45"/>
      <c r="L363" s="73"/>
      <c r="M363" s="118"/>
      <c r="N363" s="119"/>
      <c r="O363" s="113"/>
    </row>
    <row r="364" spans="4:15" x14ac:dyDescent="0.2">
      <c r="D364" s="46"/>
      <c r="E364" s="46"/>
      <c r="F364" s="120"/>
      <c r="G364" s="120"/>
      <c r="H364" s="47"/>
      <c r="I364" s="116"/>
      <c r="J364" s="45"/>
      <c r="K364" s="45"/>
      <c r="L364" s="73"/>
      <c r="M364" s="118"/>
      <c r="N364" s="119"/>
      <c r="O364" s="113"/>
    </row>
    <row r="365" spans="4:15" x14ac:dyDescent="0.2">
      <c r="D365" s="46"/>
      <c r="E365" s="46"/>
      <c r="F365" s="120"/>
      <c r="G365" s="120"/>
      <c r="H365" s="47"/>
      <c r="I365" s="116"/>
      <c r="J365" s="45"/>
      <c r="K365" s="73"/>
      <c r="L365" s="73"/>
      <c r="M365" s="118"/>
      <c r="N365" s="119"/>
      <c r="O365" s="113"/>
    </row>
    <row r="366" spans="4:15" x14ac:dyDescent="0.2">
      <c r="D366" s="46"/>
      <c r="E366" s="46"/>
      <c r="F366" s="120"/>
      <c r="G366" s="120"/>
      <c r="H366" s="47"/>
      <c r="I366" s="116"/>
      <c r="J366" s="45"/>
      <c r="K366" s="45"/>
      <c r="L366" s="73"/>
      <c r="M366" s="118"/>
      <c r="N366" s="119"/>
      <c r="O366" s="113"/>
    </row>
    <row r="367" spans="4:15" x14ac:dyDescent="0.2">
      <c r="D367" s="46"/>
      <c r="E367" s="46"/>
      <c r="F367" s="120"/>
      <c r="G367" s="120"/>
      <c r="H367" s="47"/>
      <c r="I367" s="116"/>
      <c r="J367" s="45"/>
      <c r="K367" s="73"/>
      <c r="L367" s="73"/>
      <c r="M367" s="118"/>
      <c r="N367" s="119"/>
      <c r="O367" s="113"/>
    </row>
    <row r="368" spans="4:15" x14ac:dyDescent="0.2">
      <c r="D368" s="46"/>
      <c r="E368" s="46"/>
      <c r="F368" s="120"/>
      <c r="G368" s="120"/>
      <c r="H368" s="47"/>
      <c r="I368" s="116"/>
      <c r="J368" s="45"/>
      <c r="K368" s="45"/>
      <c r="L368" s="73"/>
      <c r="M368" s="118"/>
      <c r="N368" s="119"/>
      <c r="O368" s="113"/>
    </row>
    <row r="369" spans="4:15" x14ac:dyDescent="0.2">
      <c r="D369" s="46"/>
      <c r="E369" s="46"/>
      <c r="F369" s="120"/>
      <c r="G369" s="120"/>
      <c r="H369" s="47"/>
      <c r="I369" s="116"/>
      <c r="J369" s="45"/>
      <c r="K369" s="45"/>
      <c r="L369" s="73"/>
      <c r="M369" s="118"/>
      <c r="N369" s="119"/>
      <c r="O369" s="113"/>
    </row>
    <row r="370" spans="4:15" x14ac:dyDescent="0.2">
      <c r="D370" s="46"/>
      <c r="E370" s="46"/>
      <c r="F370" s="120"/>
      <c r="G370" s="120"/>
      <c r="H370" s="47"/>
      <c r="I370" s="116"/>
      <c r="J370" s="45"/>
      <c r="K370" s="45"/>
      <c r="L370" s="73"/>
      <c r="M370" s="118"/>
      <c r="N370" s="119"/>
      <c r="O370" s="113"/>
    </row>
    <row r="371" spans="4:15" x14ac:dyDescent="0.2">
      <c r="D371" s="46"/>
      <c r="E371" s="46"/>
      <c r="F371" s="120"/>
      <c r="G371" s="120"/>
      <c r="H371" s="47"/>
      <c r="I371" s="116"/>
      <c r="J371" s="45"/>
      <c r="K371" s="45"/>
      <c r="L371" s="73"/>
      <c r="M371" s="118"/>
      <c r="N371" s="119"/>
      <c r="O371" s="113"/>
    </row>
    <row r="372" spans="4:15" x14ac:dyDescent="0.2">
      <c r="D372" s="46"/>
      <c r="E372" s="46"/>
      <c r="F372" s="120"/>
      <c r="G372" s="120"/>
      <c r="H372" s="47"/>
      <c r="I372" s="116"/>
      <c r="J372" s="45"/>
      <c r="K372" s="73"/>
      <c r="L372" s="73"/>
      <c r="M372" s="118"/>
      <c r="N372" s="119"/>
      <c r="O372" s="113"/>
    </row>
    <row r="373" spans="4:15" x14ac:dyDescent="0.2">
      <c r="D373" s="46"/>
      <c r="E373" s="46"/>
      <c r="F373" s="120"/>
      <c r="G373" s="120"/>
      <c r="H373" s="47"/>
      <c r="I373" s="116"/>
      <c r="J373" s="45"/>
      <c r="K373" s="73"/>
      <c r="L373" s="73"/>
      <c r="M373" s="118"/>
      <c r="N373" s="119"/>
      <c r="O373" s="113"/>
    </row>
    <row r="374" spans="4:15" x14ac:dyDescent="0.2">
      <c r="D374" s="46"/>
      <c r="E374" s="46"/>
      <c r="F374" s="120"/>
      <c r="G374" s="120"/>
      <c r="H374" s="47"/>
      <c r="I374" s="116"/>
      <c r="J374" s="45"/>
      <c r="K374" s="45"/>
      <c r="L374" s="73"/>
      <c r="M374" s="118"/>
      <c r="N374" s="119"/>
      <c r="O374" s="113"/>
    </row>
    <row r="375" spans="4:15" x14ac:dyDescent="0.2">
      <c r="D375" s="46"/>
      <c r="E375" s="46"/>
      <c r="F375" s="120"/>
      <c r="G375" s="120"/>
      <c r="H375" s="47"/>
      <c r="I375" s="116"/>
      <c r="J375" s="45"/>
      <c r="K375" s="45"/>
      <c r="L375" s="73"/>
      <c r="M375" s="118"/>
      <c r="N375" s="119"/>
      <c r="O375" s="113"/>
    </row>
    <row r="376" spans="4:15" x14ac:dyDescent="0.2">
      <c r="D376" s="46"/>
      <c r="E376" s="46"/>
      <c r="F376" s="120"/>
      <c r="G376" s="120"/>
      <c r="H376" s="47"/>
      <c r="I376" s="116"/>
      <c r="J376" s="45"/>
      <c r="K376" s="73"/>
      <c r="L376" s="73"/>
      <c r="M376" s="118"/>
      <c r="N376" s="119"/>
      <c r="O376" s="113"/>
    </row>
    <row r="377" spans="4:15" x14ac:dyDescent="0.2">
      <c r="D377" s="46"/>
      <c r="E377" s="46"/>
      <c r="F377" s="120"/>
      <c r="G377" s="120"/>
      <c r="H377" s="47"/>
      <c r="I377" s="116"/>
      <c r="J377" s="45"/>
      <c r="K377" s="73"/>
      <c r="L377" s="73"/>
      <c r="M377" s="118"/>
      <c r="N377" s="119"/>
      <c r="O377" s="113"/>
    </row>
    <row r="378" spans="4:15" x14ac:dyDescent="0.2">
      <c r="D378" s="46"/>
      <c r="E378" s="46"/>
      <c r="F378" s="120"/>
      <c r="G378" s="120"/>
      <c r="H378" s="47"/>
      <c r="I378" s="116"/>
      <c r="J378" s="45"/>
      <c r="K378" s="73"/>
      <c r="L378" s="73"/>
      <c r="M378" s="118"/>
      <c r="N378" s="119"/>
      <c r="O378" s="113"/>
    </row>
    <row r="379" spans="4:15" x14ac:dyDescent="0.2">
      <c r="D379" s="46"/>
      <c r="E379" s="46"/>
      <c r="F379" s="120"/>
      <c r="G379" s="120"/>
      <c r="H379" s="47"/>
      <c r="I379" s="116"/>
      <c r="J379" s="45"/>
      <c r="K379" s="45"/>
      <c r="L379" s="73"/>
      <c r="M379" s="118"/>
      <c r="N379" s="119"/>
      <c r="O379" s="113"/>
    </row>
    <row r="380" spans="4:15" x14ac:dyDescent="0.2">
      <c r="D380" s="46"/>
      <c r="E380" s="46"/>
      <c r="F380" s="120"/>
      <c r="G380" s="120"/>
      <c r="H380" s="47"/>
      <c r="I380" s="116"/>
      <c r="J380" s="45"/>
      <c r="K380" s="45"/>
      <c r="L380" s="73"/>
      <c r="M380" s="118"/>
      <c r="N380" s="119"/>
      <c r="O380" s="113"/>
    </row>
    <row r="381" spans="4:15" x14ac:dyDescent="0.2">
      <c r="D381" s="46"/>
      <c r="E381" s="46"/>
      <c r="F381" s="120"/>
      <c r="G381" s="120"/>
      <c r="H381" s="47"/>
      <c r="I381" s="116"/>
      <c r="J381" s="45"/>
      <c r="K381" s="73"/>
      <c r="L381" s="73"/>
      <c r="M381" s="118"/>
      <c r="N381" s="119"/>
      <c r="O381" s="113"/>
    </row>
    <row r="382" spans="4:15" x14ac:dyDescent="0.2">
      <c r="D382" s="46"/>
      <c r="E382" s="46"/>
      <c r="F382" s="120"/>
      <c r="G382" s="120"/>
      <c r="H382" s="47"/>
      <c r="I382" s="116"/>
      <c r="J382" s="45"/>
      <c r="K382" s="45"/>
      <c r="L382" s="73"/>
      <c r="M382" s="118"/>
      <c r="N382" s="119"/>
      <c r="O382" s="113"/>
    </row>
    <row r="383" spans="4:15" x14ac:dyDescent="0.2">
      <c r="D383" s="46"/>
      <c r="E383" s="46"/>
      <c r="F383" s="120"/>
      <c r="G383" s="120"/>
      <c r="H383" s="47"/>
      <c r="I383" s="116"/>
      <c r="J383" s="45"/>
      <c r="K383" s="45"/>
      <c r="L383" s="73"/>
      <c r="M383" s="118"/>
      <c r="N383" s="119"/>
      <c r="O383" s="113"/>
    </row>
    <row r="384" spans="4:15" x14ac:dyDescent="0.2">
      <c r="D384" s="46"/>
      <c r="E384" s="46"/>
      <c r="F384" s="120"/>
      <c r="G384" s="120"/>
      <c r="H384" s="47"/>
      <c r="I384" s="116"/>
      <c r="J384" s="45"/>
      <c r="K384" s="45"/>
      <c r="L384" s="73"/>
      <c r="M384" s="118"/>
      <c r="N384" s="119"/>
      <c r="O384" s="113"/>
    </row>
    <row r="385" spans="4:15" x14ac:dyDescent="0.2">
      <c r="D385" s="46"/>
      <c r="E385" s="46"/>
      <c r="F385" s="120"/>
      <c r="G385" s="120"/>
      <c r="H385" s="47"/>
      <c r="I385" s="116"/>
      <c r="J385" s="45"/>
      <c r="K385" s="45"/>
      <c r="L385" s="73"/>
      <c r="M385" s="118"/>
      <c r="N385" s="119"/>
      <c r="O385" s="113"/>
    </row>
    <row r="386" spans="4:15" x14ac:dyDescent="0.2">
      <c r="D386" s="46"/>
      <c r="E386" s="46"/>
      <c r="F386" s="120"/>
      <c r="G386" s="120"/>
      <c r="H386" s="47"/>
      <c r="I386" s="116"/>
      <c r="J386" s="45"/>
      <c r="K386" s="45"/>
      <c r="L386" s="73"/>
      <c r="M386" s="118"/>
      <c r="N386" s="119"/>
      <c r="O386" s="113"/>
    </row>
    <row r="387" spans="4:15" x14ac:dyDescent="0.2">
      <c r="D387" s="46"/>
      <c r="E387" s="46"/>
      <c r="F387" s="120"/>
      <c r="G387" s="120"/>
      <c r="H387" s="47"/>
      <c r="I387" s="116"/>
      <c r="J387" s="45"/>
      <c r="K387" s="73"/>
      <c r="L387" s="73"/>
      <c r="M387" s="118"/>
      <c r="N387" s="119"/>
      <c r="O387" s="113"/>
    </row>
    <row r="388" spans="4:15" x14ac:dyDescent="0.2">
      <c r="D388" s="46"/>
      <c r="E388" s="46"/>
      <c r="F388" s="120"/>
      <c r="G388" s="120"/>
      <c r="H388" s="47"/>
      <c r="I388" s="116"/>
      <c r="J388" s="45"/>
      <c r="K388" s="73"/>
      <c r="L388" s="73"/>
      <c r="M388" s="118"/>
      <c r="N388" s="119"/>
      <c r="O388" s="113"/>
    </row>
    <row r="389" spans="4:15" x14ac:dyDescent="0.2">
      <c r="D389" s="46"/>
      <c r="E389" s="46"/>
      <c r="F389" s="120"/>
      <c r="G389" s="120"/>
      <c r="H389" s="47"/>
      <c r="I389" s="116"/>
      <c r="J389" s="45"/>
      <c r="K389" s="45"/>
      <c r="L389" s="73"/>
      <c r="M389" s="118"/>
      <c r="N389" s="119"/>
      <c r="O389" s="113"/>
    </row>
    <row r="390" spans="4:15" x14ac:dyDescent="0.2">
      <c r="D390" s="46"/>
      <c r="E390" s="46"/>
      <c r="F390" s="120"/>
      <c r="G390" s="120"/>
      <c r="H390" s="47"/>
      <c r="I390" s="116"/>
      <c r="J390" s="45"/>
      <c r="K390" s="73"/>
      <c r="L390" s="73"/>
      <c r="M390" s="118"/>
      <c r="N390" s="119"/>
      <c r="O390" s="113"/>
    </row>
    <row r="391" spans="4:15" x14ac:dyDescent="0.2">
      <c r="D391" s="46"/>
      <c r="E391" s="46"/>
      <c r="F391" s="120"/>
      <c r="G391" s="120"/>
      <c r="H391" s="47"/>
      <c r="I391" s="116"/>
      <c r="J391" s="45"/>
      <c r="K391" s="73"/>
      <c r="L391" s="73"/>
      <c r="M391" s="118"/>
      <c r="N391" s="119"/>
      <c r="O391" s="113"/>
    </row>
    <row r="392" spans="4:15" x14ac:dyDescent="0.2">
      <c r="D392" s="46"/>
      <c r="E392" s="46"/>
      <c r="F392" s="120"/>
      <c r="G392" s="120"/>
      <c r="H392" s="47"/>
      <c r="I392" s="116"/>
      <c r="J392" s="45"/>
      <c r="K392" s="45"/>
      <c r="L392" s="73"/>
      <c r="M392" s="118"/>
      <c r="N392" s="119"/>
      <c r="O392" s="113"/>
    </row>
    <row r="393" spans="4:15" x14ac:dyDescent="0.2">
      <c r="D393" s="46"/>
      <c r="E393" s="46"/>
      <c r="F393" s="120"/>
      <c r="G393" s="120"/>
      <c r="H393" s="47"/>
      <c r="I393" s="116"/>
      <c r="J393" s="45"/>
      <c r="K393" s="45"/>
      <c r="L393" s="73"/>
      <c r="M393" s="118"/>
      <c r="N393" s="119"/>
      <c r="O393" s="113"/>
    </row>
    <row r="394" spans="4:15" x14ac:dyDescent="0.2">
      <c r="D394" s="46"/>
      <c r="E394" s="46"/>
      <c r="F394" s="120"/>
      <c r="G394" s="120"/>
      <c r="H394" s="47"/>
      <c r="I394" s="116"/>
      <c r="J394" s="45"/>
      <c r="K394" s="45"/>
      <c r="L394" s="73"/>
      <c r="M394" s="118"/>
      <c r="N394" s="119"/>
      <c r="O394" s="113"/>
    </row>
    <row r="395" spans="4:15" x14ac:dyDescent="0.2">
      <c r="D395" s="46"/>
      <c r="E395" s="46"/>
      <c r="F395" s="120"/>
      <c r="G395" s="120"/>
      <c r="H395" s="47"/>
      <c r="I395" s="116"/>
      <c r="J395" s="45"/>
      <c r="K395" s="45"/>
      <c r="L395" s="73"/>
      <c r="M395" s="118"/>
      <c r="N395" s="119"/>
      <c r="O395" s="113"/>
    </row>
    <row r="396" spans="4:15" x14ac:dyDescent="0.2">
      <c r="D396" s="46"/>
      <c r="E396" s="46"/>
      <c r="F396" s="120"/>
      <c r="G396" s="120"/>
      <c r="H396" s="47"/>
      <c r="I396" s="116"/>
      <c r="J396" s="45"/>
      <c r="K396" s="45"/>
      <c r="L396" s="73"/>
      <c r="M396" s="118"/>
      <c r="N396" s="119"/>
      <c r="O396" s="113"/>
    </row>
    <row r="397" spans="4:15" x14ac:dyDescent="0.2">
      <c r="D397" s="46"/>
      <c r="E397" s="46"/>
      <c r="F397" s="120"/>
      <c r="G397" s="120"/>
      <c r="H397" s="47"/>
      <c r="I397" s="116"/>
      <c r="J397" s="45"/>
      <c r="K397" s="73"/>
      <c r="L397" s="73"/>
      <c r="M397" s="118"/>
      <c r="N397" s="119"/>
      <c r="O397" s="113"/>
    </row>
    <row r="398" spans="4:15" x14ac:dyDescent="0.2">
      <c r="D398" s="46"/>
      <c r="E398" s="46"/>
      <c r="F398" s="120"/>
      <c r="G398" s="120"/>
      <c r="H398" s="47"/>
      <c r="I398" s="116"/>
      <c r="J398" s="45"/>
      <c r="K398" s="73"/>
      <c r="L398" s="73"/>
      <c r="M398" s="118"/>
      <c r="N398" s="119"/>
      <c r="O398" s="113"/>
    </row>
    <row r="399" spans="4:15" x14ac:dyDescent="0.2">
      <c r="D399" s="46"/>
      <c r="E399" s="46"/>
      <c r="F399" s="120"/>
      <c r="G399" s="120"/>
      <c r="H399" s="47"/>
      <c r="I399" s="116"/>
      <c r="J399" s="45"/>
      <c r="K399" s="73"/>
      <c r="L399" s="73"/>
      <c r="M399" s="118"/>
      <c r="N399" s="119"/>
      <c r="O399" s="113"/>
    </row>
    <row r="400" spans="4:15" x14ac:dyDescent="0.2">
      <c r="D400" s="46"/>
      <c r="E400" s="46"/>
      <c r="F400" s="120"/>
      <c r="G400" s="120"/>
      <c r="H400" s="47"/>
      <c r="I400" s="116"/>
      <c r="J400" s="45"/>
      <c r="K400" s="73"/>
      <c r="L400" s="73"/>
      <c r="M400" s="118"/>
      <c r="N400" s="119"/>
      <c r="O400" s="113"/>
    </row>
    <row r="401" spans="4:15" x14ac:dyDescent="0.2">
      <c r="D401" s="46"/>
      <c r="E401" s="46"/>
      <c r="F401" s="120"/>
      <c r="G401" s="120"/>
      <c r="H401" s="47"/>
      <c r="I401" s="116"/>
      <c r="J401" s="45"/>
      <c r="K401" s="45"/>
      <c r="L401" s="73"/>
      <c r="M401" s="118"/>
      <c r="N401" s="119"/>
      <c r="O401" s="113"/>
    </row>
    <row r="402" spans="4:15" x14ac:dyDescent="0.2">
      <c r="D402" s="46"/>
      <c r="E402" s="46"/>
      <c r="F402" s="120"/>
      <c r="G402" s="120"/>
      <c r="H402" s="47"/>
      <c r="I402" s="116"/>
      <c r="J402" s="45"/>
      <c r="K402" s="45"/>
      <c r="L402" s="73"/>
      <c r="M402" s="118"/>
      <c r="N402" s="119"/>
      <c r="O402" s="113"/>
    </row>
    <row r="403" spans="4:15" x14ac:dyDescent="0.2">
      <c r="D403" s="46"/>
      <c r="E403" s="46"/>
      <c r="F403" s="120"/>
      <c r="G403" s="120"/>
      <c r="H403" s="47"/>
      <c r="I403" s="116"/>
      <c r="J403" s="45"/>
      <c r="K403" s="45"/>
      <c r="L403" s="73"/>
      <c r="M403" s="118"/>
      <c r="N403" s="119"/>
      <c r="O403" s="113"/>
    </row>
    <row r="404" spans="4:15" x14ac:dyDescent="0.2">
      <c r="D404" s="46"/>
      <c r="E404" s="46"/>
      <c r="F404" s="120"/>
      <c r="G404" s="120"/>
      <c r="H404" s="47"/>
      <c r="I404" s="116"/>
      <c r="J404" s="45"/>
      <c r="K404" s="73"/>
      <c r="L404" s="73"/>
      <c r="M404" s="118"/>
      <c r="N404" s="119"/>
      <c r="O404" s="113"/>
    </row>
    <row r="405" spans="4:15" x14ac:dyDescent="0.2">
      <c r="D405" s="46"/>
      <c r="E405" s="46"/>
      <c r="F405" s="120"/>
      <c r="G405" s="120"/>
      <c r="H405" s="47"/>
      <c r="I405" s="116"/>
      <c r="J405" s="45"/>
      <c r="K405" s="45"/>
      <c r="L405" s="73"/>
      <c r="M405" s="118"/>
      <c r="N405" s="119"/>
      <c r="O405" s="113"/>
    </row>
    <row r="406" spans="4:15" x14ac:dyDescent="0.2">
      <c r="D406" s="46"/>
      <c r="E406" s="46"/>
      <c r="F406" s="120"/>
      <c r="G406" s="120"/>
      <c r="H406" s="47"/>
      <c r="I406" s="116"/>
      <c r="J406" s="45"/>
      <c r="K406" s="45"/>
      <c r="L406" s="73"/>
      <c r="M406" s="118"/>
      <c r="N406" s="119"/>
      <c r="O406" s="113"/>
    </row>
    <row r="407" spans="4:15" x14ac:dyDescent="0.2">
      <c r="D407" s="46"/>
      <c r="E407" s="46"/>
      <c r="F407" s="120"/>
      <c r="G407" s="120"/>
      <c r="H407" s="47"/>
      <c r="I407" s="116"/>
      <c r="J407" s="45"/>
      <c r="K407" s="45"/>
      <c r="L407" s="73"/>
      <c r="M407" s="118"/>
      <c r="N407" s="119"/>
      <c r="O407" s="113"/>
    </row>
    <row r="408" spans="4:15" x14ac:dyDescent="0.2">
      <c r="D408" s="46"/>
      <c r="E408" s="46"/>
      <c r="F408" s="120"/>
      <c r="G408" s="120"/>
      <c r="H408" s="47"/>
      <c r="I408" s="116"/>
      <c r="J408" s="45"/>
      <c r="K408" s="73"/>
      <c r="L408" s="73"/>
      <c r="M408" s="118"/>
      <c r="N408" s="119"/>
      <c r="O408" s="113"/>
    </row>
    <row r="409" spans="4:15" x14ac:dyDescent="0.2">
      <c r="D409" s="46"/>
      <c r="E409" s="46"/>
      <c r="F409" s="120"/>
      <c r="G409" s="120"/>
      <c r="H409" s="47"/>
      <c r="I409" s="116"/>
      <c r="J409" s="45"/>
      <c r="K409" s="45"/>
      <c r="L409" s="73"/>
      <c r="M409" s="118"/>
      <c r="N409" s="119"/>
      <c r="O409" s="113"/>
    </row>
    <row r="410" spans="4:15" x14ac:dyDescent="0.2">
      <c r="D410" s="46"/>
      <c r="E410" s="46"/>
      <c r="F410" s="120"/>
      <c r="G410" s="120"/>
      <c r="H410" s="47"/>
      <c r="I410" s="116"/>
      <c r="J410" s="45"/>
      <c r="K410" s="45"/>
      <c r="L410" s="73"/>
      <c r="M410" s="118"/>
      <c r="N410" s="119"/>
      <c r="O410" s="113"/>
    </row>
    <row r="411" spans="4:15" x14ac:dyDescent="0.2">
      <c r="D411" s="46"/>
      <c r="E411" s="46"/>
      <c r="F411" s="120"/>
      <c r="G411" s="120"/>
      <c r="H411" s="47"/>
      <c r="I411" s="116"/>
      <c r="J411" s="45"/>
      <c r="K411" s="73"/>
      <c r="L411" s="73"/>
      <c r="M411" s="118"/>
      <c r="N411" s="119"/>
      <c r="O411" s="113"/>
    </row>
    <row r="412" spans="4:15" x14ac:dyDescent="0.2">
      <c r="D412" s="46"/>
      <c r="E412" s="46"/>
      <c r="F412" s="120"/>
      <c r="G412" s="120"/>
      <c r="H412" s="47"/>
      <c r="I412" s="116"/>
      <c r="J412" s="45"/>
      <c r="K412" s="73"/>
      <c r="L412" s="73"/>
      <c r="M412" s="118"/>
      <c r="N412" s="119"/>
      <c r="O412" s="113"/>
    </row>
    <row r="413" spans="4:15" x14ac:dyDescent="0.2">
      <c r="D413" s="46"/>
      <c r="E413" s="46"/>
      <c r="F413" s="120"/>
      <c r="G413" s="120"/>
      <c r="H413" s="47"/>
      <c r="I413" s="116"/>
      <c r="J413" s="45"/>
      <c r="K413" s="45"/>
      <c r="L413" s="73"/>
      <c r="M413" s="118"/>
      <c r="N413" s="119"/>
      <c r="O413" s="113"/>
    </row>
    <row r="414" spans="4:15" x14ac:dyDescent="0.2">
      <c r="D414" s="46"/>
      <c r="E414" s="46"/>
      <c r="F414" s="120"/>
      <c r="G414" s="120"/>
      <c r="H414" s="47"/>
      <c r="I414" s="116"/>
      <c r="J414" s="45"/>
      <c r="K414" s="73"/>
      <c r="L414" s="73"/>
      <c r="M414" s="118"/>
      <c r="N414" s="119"/>
      <c r="O414" s="113"/>
    </row>
    <row r="415" spans="4:15" x14ac:dyDescent="0.2">
      <c r="D415" s="46"/>
      <c r="E415" s="46"/>
      <c r="F415" s="120"/>
      <c r="G415" s="120"/>
      <c r="H415" s="47"/>
      <c r="I415" s="116"/>
      <c r="J415" s="45"/>
      <c r="K415" s="73"/>
      <c r="L415" s="73"/>
      <c r="M415" s="118"/>
      <c r="N415" s="119"/>
      <c r="O415" s="113"/>
    </row>
    <row r="416" spans="4:15" x14ac:dyDescent="0.2">
      <c r="D416" s="46"/>
      <c r="E416" s="46"/>
      <c r="F416" s="120"/>
      <c r="G416" s="120"/>
      <c r="H416" s="47"/>
      <c r="I416" s="116"/>
      <c r="J416" s="45"/>
      <c r="K416" s="45"/>
      <c r="L416" s="73"/>
      <c r="M416" s="118"/>
      <c r="N416" s="119"/>
      <c r="O416" s="113"/>
    </row>
    <row r="417" spans="4:15" x14ac:dyDescent="0.2">
      <c r="D417" s="46"/>
      <c r="E417" s="46"/>
      <c r="F417" s="120"/>
      <c r="G417" s="120"/>
      <c r="H417" s="47"/>
      <c r="I417" s="116"/>
      <c r="J417" s="45"/>
      <c r="K417" s="45"/>
      <c r="L417" s="73"/>
      <c r="M417" s="118"/>
      <c r="N417" s="119"/>
      <c r="O417" s="113"/>
    </row>
    <row r="418" spans="4:15" x14ac:dyDescent="0.2">
      <c r="D418" s="46"/>
      <c r="E418" s="46"/>
      <c r="F418" s="120"/>
      <c r="G418" s="120"/>
      <c r="H418" s="47"/>
      <c r="I418" s="116"/>
      <c r="J418" s="45"/>
      <c r="K418" s="73"/>
      <c r="L418" s="73"/>
      <c r="M418" s="118"/>
      <c r="N418" s="119"/>
      <c r="O418" s="113"/>
    </row>
    <row r="419" spans="4:15" x14ac:dyDescent="0.2">
      <c r="D419" s="46"/>
      <c r="E419" s="46"/>
      <c r="F419" s="120"/>
      <c r="G419" s="120"/>
      <c r="H419" s="47"/>
      <c r="I419" s="116"/>
      <c r="J419" s="45"/>
      <c r="K419" s="73"/>
      <c r="L419" s="73"/>
      <c r="M419" s="118"/>
      <c r="N419" s="119"/>
      <c r="O419" s="113"/>
    </row>
    <row r="420" spans="4:15" x14ac:dyDescent="0.2">
      <c r="D420" s="46"/>
      <c r="E420" s="46"/>
      <c r="F420" s="120"/>
      <c r="G420" s="120"/>
      <c r="H420" s="47"/>
      <c r="I420" s="116"/>
      <c r="J420" s="45"/>
      <c r="K420" s="73"/>
      <c r="L420" s="73"/>
      <c r="M420" s="118"/>
      <c r="N420" s="119"/>
      <c r="O420" s="113"/>
    </row>
    <row r="421" spans="4:15" x14ac:dyDescent="0.2">
      <c r="D421" s="46"/>
      <c r="E421" s="46"/>
      <c r="F421" s="120"/>
      <c r="G421" s="120"/>
      <c r="H421" s="47"/>
      <c r="I421" s="116"/>
      <c r="J421" s="45"/>
      <c r="K421" s="73"/>
      <c r="L421" s="73"/>
      <c r="M421" s="118"/>
      <c r="N421" s="119"/>
      <c r="O421" s="113"/>
    </row>
    <row r="422" spans="4:15" x14ac:dyDescent="0.2">
      <c r="D422" s="46"/>
      <c r="E422" s="46"/>
      <c r="F422" s="120"/>
      <c r="G422" s="120"/>
      <c r="H422" s="47"/>
      <c r="I422" s="116"/>
      <c r="J422" s="45"/>
      <c r="K422" s="45"/>
      <c r="L422" s="73"/>
      <c r="M422" s="118"/>
      <c r="N422" s="119"/>
      <c r="O422" s="113"/>
    </row>
    <row r="423" spans="4:15" x14ac:dyDescent="0.2">
      <c r="D423" s="46"/>
      <c r="E423" s="46"/>
      <c r="F423" s="120"/>
      <c r="G423" s="120"/>
      <c r="H423" s="47"/>
      <c r="I423" s="116"/>
      <c r="J423" s="45"/>
      <c r="K423" s="45"/>
      <c r="L423" s="73"/>
      <c r="M423" s="118"/>
      <c r="N423" s="119"/>
      <c r="O423" s="113"/>
    </row>
    <row r="424" spans="4:15" x14ac:dyDescent="0.2">
      <c r="D424" s="46"/>
      <c r="E424" s="46"/>
      <c r="F424" s="120"/>
      <c r="G424" s="120"/>
      <c r="H424" s="47"/>
      <c r="I424" s="116"/>
      <c r="J424" s="45"/>
      <c r="K424" s="45"/>
      <c r="L424" s="73"/>
      <c r="M424" s="118"/>
      <c r="N424" s="119"/>
      <c r="O424" s="113"/>
    </row>
    <row r="425" spans="4:15" x14ac:dyDescent="0.2">
      <c r="D425" s="46"/>
      <c r="E425" s="46"/>
      <c r="F425" s="120"/>
      <c r="G425" s="120"/>
      <c r="H425" s="47"/>
      <c r="I425" s="116"/>
      <c r="J425" s="45"/>
      <c r="K425" s="73"/>
      <c r="L425" s="73"/>
      <c r="M425" s="118"/>
      <c r="N425" s="119"/>
      <c r="O425" s="113"/>
    </row>
    <row r="426" spans="4:15" x14ac:dyDescent="0.2">
      <c r="D426" s="46"/>
      <c r="E426" s="46"/>
      <c r="F426" s="120"/>
      <c r="G426" s="120"/>
      <c r="H426" s="47"/>
      <c r="I426" s="116"/>
      <c r="J426" s="45"/>
      <c r="K426" s="73"/>
      <c r="L426" s="73"/>
      <c r="M426" s="118"/>
      <c r="N426" s="119"/>
      <c r="O426" s="113"/>
    </row>
    <row r="427" spans="4:15" x14ac:dyDescent="0.2">
      <c r="D427" s="46"/>
      <c r="E427" s="46"/>
      <c r="F427" s="120"/>
      <c r="G427" s="120"/>
      <c r="H427" s="47"/>
      <c r="I427" s="116"/>
      <c r="J427" s="45"/>
      <c r="K427" s="73"/>
      <c r="L427" s="73"/>
      <c r="M427" s="118"/>
      <c r="N427" s="119"/>
      <c r="O427" s="113"/>
    </row>
    <row r="428" spans="4:15" x14ac:dyDescent="0.2">
      <c r="D428" s="46"/>
      <c r="E428" s="46"/>
      <c r="F428" s="120"/>
      <c r="G428" s="120"/>
      <c r="H428" s="47"/>
      <c r="I428" s="116"/>
      <c r="J428" s="45"/>
      <c r="K428" s="45"/>
      <c r="L428" s="73"/>
      <c r="M428" s="118"/>
      <c r="N428" s="119"/>
      <c r="O428" s="113"/>
    </row>
    <row r="429" spans="4:15" x14ac:dyDescent="0.2">
      <c r="D429" s="46"/>
      <c r="E429" s="46"/>
      <c r="F429" s="120"/>
      <c r="G429" s="120"/>
      <c r="H429" s="47"/>
      <c r="I429" s="116"/>
      <c r="J429" s="45"/>
      <c r="K429" s="45"/>
      <c r="L429" s="73"/>
      <c r="M429" s="118"/>
      <c r="N429" s="119"/>
      <c r="O429" s="113"/>
    </row>
    <row r="430" spans="4:15" x14ac:dyDescent="0.2">
      <c r="D430" s="46"/>
      <c r="E430" s="46"/>
      <c r="F430" s="120"/>
      <c r="G430" s="120"/>
      <c r="H430" s="47"/>
      <c r="I430" s="116"/>
      <c r="J430" s="45"/>
      <c r="K430" s="45"/>
      <c r="L430" s="73"/>
      <c r="M430" s="118"/>
      <c r="N430" s="119"/>
      <c r="O430" s="113"/>
    </row>
    <row r="431" spans="4:15" x14ac:dyDescent="0.2">
      <c r="D431" s="46"/>
      <c r="E431" s="46"/>
      <c r="F431" s="120"/>
      <c r="G431" s="120"/>
      <c r="H431" s="47"/>
      <c r="I431" s="116"/>
      <c r="J431" s="45"/>
      <c r="K431" s="73"/>
      <c r="L431" s="73"/>
      <c r="M431" s="118"/>
      <c r="N431" s="119"/>
      <c r="O431" s="113"/>
    </row>
    <row r="432" spans="4:15" x14ac:dyDescent="0.2">
      <c r="D432" s="46"/>
      <c r="E432" s="46"/>
      <c r="F432" s="120"/>
      <c r="G432" s="120"/>
      <c r="H432" s="47"/>
      <c r="I432" s="116"/>
      <c r="J432" s="45"/>
      <c r="K432" s="73"/>
      <c r="L432" s="73"/>
      <c r="M432" s="118"/>
      <c r="N432" s="119"/>
      <c r="O432" s="113"/>
    </row>
    <row r="433" spans="4:15" x14ac:dyDescent="0.2">
      <c r="D433" s="46"/>
      <c r="E433" s="46"/>
      <c r="F433" s="120"/>
      <c r="G433" s="120"/>
      <c r="H433" s="47"/>
      <c r="I433" s="116"/>
      <c r="J433" s="45"/>
      <c r="K433" s="45"/>
      <c r="L433" s="73"/>
      <c r="M433" s="118"/>
      <c r="N433" s="119"/>
      <c r="O433" s="113"/>
    </row>
    <row r="434" spans="4:15" x14ac:dyDescent="0.2">
      <c r="D434" s="46"/>
      <c r="E434" s="46"/>
      <c r="F434" s="120"/>
      <c r="G434" s="120"/>
      <c r="H434" s="47"/>
      <c r="I434" s="116"/>
      <c r="J434" s="45"/>
      <c r="K434" s="45"/>
      <c r="L434" s="73"/>
      <c r="M434" s="118"/>
      <c r="N434" s="119"/>
      <c r="O434" s="113"/>
    </row>
    <row r="435" spans="4:15" x14ac:dyDescent="0.2">
      <c r="D435" s="46"/>
      <c r="E435" s="46"/>
      <c r="F435" s="120"/>
      <c r="G435" s="120"/>
      <c r="H435" s="47"/>
      <c r="I435" s="116"/>
      <c r="J435" s="45"/>
      <c r="K435" s="73"/>
      <c r="L435" s="73"/>
      <c r="M435" s="118"/>
      <c r="N435" s="119"/>
      <c r="O435" s="113"/>
    </row>
    <row r="436" spans="4:15" x14ac:dyDescent="0.2">
      <c r="D436" s="46"/>
      <c r="E436" s="46"/>
      <c r="F436" s="120"/>
      <c r="G436" s="120"/>
      <c r="H436" s="47"/>
      <c r="I436" s="116"/>
      <c r="J436" s="45"/>
      <c r="K436" s="45"/>
      <c r="L436" s="73"/>
      <c r="M436" s="118"/>
      <c r="N436" s="119"/>
      <c r="O436" s="113"/>
    </row>
    <row r="437" spans="4:15" x14ac:dyDescent="0.2">
      <c r="D437" s="46"/>
      <c r="E437" s="46"/>
      <c r="F437" s="120"/>
      <c r="G437" s="120"/>
      <c r="H437" s="47"/>
      <c r="I437" s="116"/>
      <c r="J437" s="45"/>
      <c r="K437" s="73"/>
      <c r="L437" s="73"/>
      <c r="M437" s="118"/>
      <c r="N437" s="119"/>
      <c r="O437" s="113"/>
    </row>
    <row r="438" spans="4:15" x14ac:dyDescent="0.2">
      <c r="D438" s="46"/>
      <c r="E438" s="46"/>
      <c r="F438" s="120"/>
      <c r="G438" s="120"/>
      <c r="H438" s="47"/>
      <c r="I438" s="116"/>
      <c r="J438" s="45"/>
      <c r="K438" s="45"/>
      <c r="L438" s="73"/>
      <c r="M438" s="118"/>
      <c r="N438" s="119"/>
      <c r="O438" s="113"/>
    </row>
    <row r="439" spans="4:15" x14ac:dyDescent="0.2">
      <c r="D439" s="46"/>
      <c r="E439" s="46"/>
      <c r="F439" s="120"/>
      <c r="G439" s="120"/>
      <c r="H439" s="47"/>
      <c r="I439" s="116"/>
      <c r="J439" s="45"/>
      <c r="K439" s="45"/>
      <c r="L439" s="73"/>
      <c r="M439" s="118"/>
      <c r="N439" s="119"/>
      <c r="O439" s="113"/>
    </row>
    <row r="440" spans="4:15" x14ac:dyDescent="0.2">
      <c r="D440" s="46"/>
      <c r="E440" s="46"/>
      <c r="F440" s="120"/>
      <c r="G440" s="120"/>
      <c r="H440" s="47"/>
      <c r="I440" s="116"/>
      <c r="J440" s="45"/>
      <c r="K440" s="73"/>
      <c r="L440" s="73"/>
      <c r="M440" s="118"/>
      <c r="N440" s="119"/>
      <c r="O440" s="113"/>
    </row>
    <row r="441" spans="4:15" x14ac:dyDescent="0.2">
      <c r="D441" s="46"/>
      <c r="E441" s="46"/>
      <c r="F441" s="120"/>
      <c r="G441" s="120"/>
      <c r="H441" s="47"/>
      <c r="I441" s="116"/>
      <c r="J441" s="45"/>
      <c r="K441" s="45"/>
      <c r="L441" s="73"/>
      <c r="M441" s="118"/>
      <c r="N441" s="119"/>
      <c r="O441" s="113"/>
    </row>
    <row r="442" spans="4:15" x14ac:dyDescent="0.2">
      <c r="D442" s="46"/>
      <c r="E442" s="46"/>
      <c r="F442" s="120"/>
      <c r="G442" s="120"/>
      <c r="H442" s="47"/>
      <c r="I442" s="116"/>
      <c r="J442" s="45"/>
      <c r="K442" s="45"/>
      <c r="L442" s="73"/>
      <c r="M442" s="118"/>
      <c r="N442" s="119"/>
      <c r="O442" s="113"/>
    </row>
    <row r="443" spans="4:15" x14ac:dyDescent="0.2">
      <c r="D443" s="46"/>
      <c r="E443" s="46"/>
      <c r="F443" s="120"/>
      <c r="G443" s="120"/>
      <c r="H443" s="47"/>
      <c r="I443" s="116"/>
      <c r="J443" s="45"/>
      <c r="K443" s="73"/>
      <c r="L443" s="73"/>
      <c r="M443" s="118"/>
      <c r="N443" s="119"/>
      <c r="O443" s="113"/>
    </row>
    <row r="444" spans="4:15" x14ac:dyDescent="0.2">
      <c r="D444" s="46"/>
      <c r="E444" s="46"/>
      <c r="F444" s="120"/>
      <c r="G444" s="120"/>
      <c r="H444" s="47"/>
      <c r="I444" s="116"/>
      <c r="J444" s="45"/>
      <c r="K444" s="45"/>
      <c r="L444" s="73"/>
      <c r="M444" s="118"/>
      <c r="N444" s="119"/>
      <c r="O444" s="113"/>
    </row>
    <row r="445" spans="4:15" x14ac:dyDescent="0.2">
      <c r="D445" s="46"/>
      <c r="E445" s="46"/>
      <c r="F445" s="120"/>
      <c r="G445" s="120"/>
      <c r="H445" s="47"/>
      <c r="I445" s="116"/>
      <c r="J445" s="45"/>
      <c r="K445" s="45"/>
      <c r="L445" s="73"/>
      <c r="M445" s="118"/>
      <c r="N445" s="119"/>
      <c r="O445" s="113"/>
    </row>
    <row r="446" spans="4:15" x14ac:dyDescent="0.2">
      <c r="D446" s="46"/>
      <c r="E446" s="46"/>
      <c r="F446" s="120"/>
      <c r="G446" s="120"/>
      <c r="H446" s="47"/>
      <c r="I446" s="116"/>
      <c r="J446" s="45"/>
      <c r="K446" s="45"/>
      <c r="L446" s="73"/>
      <c r="M446" s="118"/>
      <c r="N446" s="119"/>
      <c r="O446" s="113"/>
    </row>
    <row r="447" spans="4:15" x14ac:dyDescent="0.2">
      <c r="D447" s="46"/>
      <c r="E447" s="46"/>
      <c r="F447" s="120"/>
      <c r="G447" s="120"/>
      <c r="H447" s="47"/>
      <c r="I447" s="116"/>
      <c r="J447" s="45"/>
      <c r="K447" s="45"/>
      <c r="L447" s="73"/>
      <c r="M447" s="118"/>
      <c r="N447" s="119"/>
      <c r="O447" s="113"/>
    </row>
    <row r="448" spans="4:15" x14ac:dyDescent="0.2">
      <c r="D448" s="46"/>
      <c r="E448" s="46"/>
      <c r="F448" s="120"/>
      <c r="G448" s="120"/>
      <c r="H448" s="47"/>
      <c r="I448" s="116"/>
      <c r="J448" s="45"/>
      <c r="K448" s="45"/>
      <c r="L448" s="73"/>
      <c r="M448" s="118"/>
      <c r="N448" s="119"/>
      <c r="O448" s="113"/>
    </row>
    <row r="449" spans="4:15" x14ac:dyDescent="0.2">
      <c r="D449" s="46"/>
      <c r="E449" s="46"/>
      <c r="F449" s="120"/>
      <c r="G449" s="120"/>
      <c r="H449" s="47"/>
      <c r="I449" s="116"/>
      <c r="J449" s="45"/>
      <c r="K449" s="45"/>
      <c r="L449" s="73"/>
      <c r="M449" s="118"/>
      <c r="N449" s="119"/>
      <c r="O449" s="113"/>
    </row>
    <row r="450" spans="4:15" x14ac:dyDescent="0.2">
      <c r="D450" s="46"/>
      <c r="E450" s="46"/>
      <c r="F450" s="120"/>
      <c r="G450" s="120"/>
      <c r="H450" s="47"/>
      <c r="I450" s="116"/>
      <c r="J450" s="45"/>
      <c r="K450" s="45"/>
      <c r="L450" s="73"/>
      <c r="M450" s="118"/>
      <c r="N450" s="119"/>
      <c r="O450" s="113"/>
    </row>
    <row r="451" spans="4:15" x14ac:dyDescent="0.2">
      <c r="D451" s="46"/>
      <c r="E451" s="46"/>
      <c r="F451" s="120"/>
      <c r="G451" s="120"/>
      <c r="H451" s="47"/>
      <c r="I451" s="116"/>
      <c r="J451" s="45"/>
      <c r="K451" s="45"/>
      <c r="L451" s="73"/>
      <c r="M451" s="118"/>
      <c r="N451" s="119"/>
      <c r="O451" s="113"/>
    </row>
    <row r="452" spans="4:15" x14ac:dyDescent="0.2">
      <c r="D452" s="46"/>
      <c r="E452" s="46"/>
      <c r="F452" s="120"/>
      <c r="G452" s="120"/>
      <c r="H452" s="47"/>
      <c r="I452" s="116"/>
      <c r="J452" s="45"/>
      <c r="K452" s="45"/>
      <c r="L452" s="73"/>
      <c r="M452" s="118"/>
      <c r="N452" s="119"/>
      <c r="O452" s="113"/>
    </row>
    <row r="453" spans="4:15" x14ac:dyDescent="0.2">
      <c r="D453" s="46"/>
      <c r="E453" s="46"/>
      <c r="F453" s="120"/>
      <c r="G453" s="120"/>
      <c r="H453" s="47"/>
      <c r="I453" s="116"/>
      <c r="J453" s="45"/>
      <c r="K453" s="73"/>
      <c r="L453" s="73"/>
      <c r="M453" s="118"/>
      <c r="N453" s="119"/>
      <c r="O453" s="113"/>
    </row>
    <row r="454" spans="4:15" x14ac:dyDescent="0.2">
      <c r="D454" s="46"/>
      <c r="E454" s="46"/>
      <c r="F454" s="120"/>
      <c r="G454" s="120"/>
      <c r="H454" s="47"/>
      <c r="I454" s="116"/>
      <c r="J454" s="45"/>
      <c r="K454" s="73"/>
      <c r="L454" s="73"/>
      <c r="M454" s="118"/>
      <c r="N454" s="119"/>
      <c r="O454" s="113"/>
    </row>
    <row r="455" spans="4:15" x14ac:dyDescent="0.2">
      <c r="D455" s="46"/>
      <c r="E455" s="46"/>
      <c r="F455" s="120"/>
      <c r="G455" s="120"/>
      <c r="H455" s="47"/>
      <c r="I455" s="116"/>
      <c r="J455" s="45"/>
      <c r="K455" s="45"/>
      <c r="L455" s="73"/>
      <c r="M455" s="118"/>
      <c r="N455" s="119"/>
      <c r="O455" s="113"/>
    </row>
    <row r="456" spans="4:15" x14ac:dyDescent="0.2">
      <c r="D456" s="46"/>
      <c r="E456" s="46"/>
      <c r="F456" s="120"/>
      <c r="G456" s="120"/>
      <c r="H456" s="47"/>
      <c r="I456" s="116"/>
      <c r="J456" s="45"/>
      <c r="K456" s="45"/>
      <c r="L456" s="73"/>
      <c r="M456" s="118"/>
      <c r="N456" s="119"/>
      <c r="O456" s="113"/>
    </row>
    <row r="457" spans="4:15" x14ac:dyDescent="0.2">
      <c r="D457" s="46"/>
      <c r="E457" s="46"/>
      <c r="F457" s="120"/>
      <c r="G457" s="120"/>
      <c r="H457" s="47"/>
      <c r="I457" s="116"/>
      <c r="J457" s="45"/>
      <c r="K457" s="45"/>
      <c r="L457" s="73"/>
      <c r="M457" s="118"/>
      <c r="N457" s="119"/>
      <c r="O457" s="113"/>
    </row>
    <row r="458" spans="4:15" x14ac:dyDescent="0.2">
      <c r="D458" s="46"/>
      <c r="E458" s="46"/>
      <c r="F458" s="120"/>
      <c r="G458" s="120"/>
      <c r="H458" s="47"/>
      <c r="I458" s="116"/>
      <c r="J458" s="45"/>
      <c r="K458" s="73"/>
      <c r="L458" s="73"/>
      <c r="M458" s="118"/>
      <c r="N458" s="119"/>
      <c r="O458" s="113"/>
    </row>
    <row r="459" spans="4:15" x14ac:dyDescent="0.2">
      <c r="D459" s="46"/>
      <c r="E459" s="46"/>
      <c r="F459" s="120"/>
      <c r="G459" s="120"/>
      <c r="H459" s="47"/>
      <c r="I459" s="116"/>
      <c r="J459" s="45"/>
      <c r="K459" s="73"/>
      <c r="L459" s="73"/>
      <c r="M459" s="118"/>
      <c r="N459" s="119"/>
      <c r="O459" s="113"/>
    </row>
    <row r="460" spans="4:15" x14ac:dyDescent="0.2">
      <c r="D460" s="46"/>
      <c r="E460" s="46"/>
      <c r="F460" s="120"/>
      <c r="G460" s="120"/>
      <c r="H460" s="47"/>
      <c r="I460" s="116"/>
      <c r="J460" s="45"/>
      <c r="K460" s="45"/>
      <c r="L460" s="73"/>
      <c r="M460" s="118"/>
      <c r="N460" s="119"/>
      <c r="O460" s="113"/>
    </row>
    <row r="461" spans="4:15" x14ac:dyDescent="0.2">
      <c r="D461" s="46"/>
      <c r="E461" s="46"/>
      <c r="F461" s="120"/>
      <c r="G461" s="120"/>
      <c r="H461" s="47"/>
      <c r="I461" s="116"/>
      <c r="J461" s="45"/>
      <c r="K461" s="73"/>
      <c r="L461" s="73"/>
      <c r="M461" s="118"/>
      <c r="N461" s="119"/>
      <c r="O461" s="113"/>
    </row>
    <row r="462" spans="4:15" x14ac:dyDescent="0.2">
      <c r="D462" s="46"/>
      <c r="E462" s="46"/>
      <c r="F462" s="120"/>
      <c r="G462" s="120"/>
      <c r="H462" s="47"/>
      <c r="I462" s="116"/>
      <c r="J462" s="45"/>
      <c r="K462" s="45"/>
      <c r="L462" s="73"/>
      <c r="M462" s="118"/>
      <c r="N462" s="119"/>
      <c r="O462" s="113"/>
    </row>
    <row r="463" spans="4:15" x14ac:dyDescent="0.2">
      <c r="D463" s="46"/>
      <c r="E463" s="46"/>
      <c r="F463" s="120"/>
      <c r="G463" s="120"/>
      <c r="H463" s="47"/>
      <c r="I463" s="116"/>
      <c r="J463" s="45"/>
      <c r="K463" s="73"/>
      <c r="L463" s="73"/>
      <c r="M463" s="118"/>
      <c r="N463" s="119"/>
      <c r="O463" s="113"/>
    </row>
    <row r="464" spans="4:15" x14ac:dyDescent="0.2">
      <c r="D464" s="46"/>
      <c r="E464" s="46"/>
      <c r="F464" s="120"/>
      <c r="G464" s="120"/>
      <c r="H464" s="47"/>
      <c r="I464" s="116"/>
      <c r="J464" s="45"/>
      <c r="K464" s="45"/>
      <c r="L464" s="73"/>
      <c r="M464" s="118"/>
      <c r="N464" s="119"/>
      <c r="O464" s="113"/>
    </row>
    <row r="465" spans="4:15" x14ac:dyDescent="0.2">
      <c r="D465" s="46"/>
      <c r="E465" s="46"/>
      <c r="F465" s="120"/>
      <c r="G465" s="120"/>
      <c r="H465" s="47"/>
      <c r="I465" s="116"/>
      <c r="J465" s="45"/>
      <c r="K465" s="73"/>
      <c r="L465" s="73"/>
      <c r="M465" s="118"/>
      <c r="N465" s="119"/>
      <c r="O465" s="113"/>
    </row>
    <row r="466" spans="4:15" x14ac:dyDescent="0.2">
      <c r="D466" s="46"/>
      <c r="E466" s="46"/>
      <c r="F466" s="120"/>
      <c r="G466" s="120"/>
      <c r="H466" s="47"/>
      <c r="I466" s="116"/>
      <c r="J466" s="45"/>
      <c r="K466" s="45"/>
      <c r="L466" s="73"/>
      <c r="M466" s="118"/>
      <c r="N466" s="119"/>
      <c r="O466" s="113"/>
    </row>
    <row r="467" spans="4:15" x14ac:dyDescent="0.2">
      <c r="D467" s="46"/>
      <c r="E467" s="46"/>
      <c r="F467" s="120"/>
      <c r="G467" s="120"/>
      <c r="H467" s="47"/>
      <c r="I467" s="116"/>
      <c r="J467" s="45"/>
      <c r="K467" s="45"/>
      <c r="L467" s="73"/>
      <c r="M467" s="118"/>
      <c r="N467" s="119"/>
      <c r="O467" s="113"/>
    </row>
    <row r="468" spans="4:15" x14ac:dyDescent="0.2">
      <c r="D468" s="46"/>
      <c r="E468" s="46"/>
      <c r="F468" s="120"/>
      <c r="G468" s="120"/>
      <c r="H468" s="47"/>
      <c r="I468" s="116"/>
      <c r="J468" s="45"/>
      <c r="K468" s="45"/>
      <c r="L468" s="73"/>
      <c r="M468" s="118"/>
      <c r="N468" s="119"/>
      <c r="O468" s="113"/>
    </row>
    <row r="469" spans="4:15" x14ac:dyDescent="0.2">
      <c r="D469" s="46"/>
      <c r="E469" s="46"/>
      <c r="F469" s="120"/>
      <c r="G469" s="120"/>
      <c r="H469" s="47"/>
      <c r="I469" s="116"/>
      <c r="J469" s="45"/>
      <c r="K469" s="45"/>
      <c r="L469" s="73"/>
      <c r="M469" s="118"/>
      <c r="N469" s="119"/>
      <c r="O469" s="113"/>
    </row>
    <row r="470" spans="4:15" x14ac:dyDescent="0.2">
      <c r="D470" s="46"/>
      <c r="E470" s="46"/>
      <c r="F470" s="120"/>
      <c r="G470" s="120"/>
      <c r="H470" s="47"/>
      <c r="I470" s="116"/>
      <c r="J470" s="45"/>
      <c r="K470" s="45"/>
      <c r="L470" s="73"/>
      <c r="M470" s="118"/>
      <c r="N470" s="119"/>
      <c r="O470" s="113"/>
    </row>
    <row r="471" spans="4:15" x14ac:dyDescent="0.2">
      <c r="D471" s="46"/>
      <c r="E471" s="46"/>
      <c r="F471" s="120"/>
      <c r="G471" s="120"/>
      <c r="H471" s="47"/>
      <c r="I471" s="116"/>
      <c r="J471" s="45"/>
      <c r="K471" s="73"/>
      <c r="L471" s="73"/>
      <c r="M471" s="118"/>
      <c r="N471" s="119"/>
      <c r="O471" s="113"/>
    </row>
    <row r="472" spans="4:15" x14ac:dyDescent="0.2">
      <c r="D472" s="46"/>
      <c r="E472" s="46"/>
      <c r="F472" s="120"/>
      <c r="G472" s="120"/>
      <c r="H472" s="47"/>
      <c r="I472" s="116"/>
      <c r="J472" s="45"/>
      <c r="K472" s="73"/>
      <c r="L472" s="73"/>
      <c r="M472" s="118"/>
      <c r="N472" s="119"/>
      <c r="O472" s="113"/>
    </row>
    <row r="473" spans="4:15" x14ac:dyDescent="0.2">
      <c r="D473" s="46"/>
      <c r="E473" s="46"/>
      <c r="F473" s="120"/>
      <c r="G473" s="120"/>
      <c r="H473" s="47"/>
      <c r="I473" s="116"/>
      <c r="J473" s="45"/>
      <c r="K473" s="73"/>
      <c r="L473" s="73"/>
      <c r="M473" s="118"/>
      <c r="N473" s="119"/>
      <c r="O473" s="113"/>
    </row>
    <row r="474" spans="4:15" x14ac:dyDescent="0.2">
      <c r="D474" s="46"/>
      <c r="E474" s="46"/>
      <c r="F474" s="120"/>
      <c r="G474" s="120"/>
      <c r="H474" s="47"/>
      <c r="I474" s="116"/>
      <c r="J474" s="45"/>
      <c r="K474" s="45"/>
      <c r="L474" s="73"/>
      <c r="M474" s="118"/>
      <c r="N474" s="119"/>
      <c r="O474" s="113"/>
    </row>
    <row r="475" spans="4:15" x14ac:dyDescent="0.2">
      <c r="D475" s="46"/>
      <c r="E475" s="46"/>
      <c r="F475" s="120"/>
      <c r="G475" s="120"/>
      <c r="H475" s="47"/>
      <c r="I475" s="116"/>
      <c r="J475" s="45"/>
      <c r="K475" s="45"/>
      <c r="L475" s="73"/>
      <c r="M475" s="118"/>
      <c r="N475" s="119"/>
      <c r="O475" s="113"/>
    </row>
    <row r="476" spans="4:15" x14ac:dyDescent="0.2">
      <c r="D476" s="46"/>
      <c r="E476" s="46"/>
      <c r="F476" s="120"/>
      <c r="G476" s="120"/>
      <c r="H476" s="47"/>
      <c r="I476" s="116"/>
      <c r="J476" s="45"/>
      <c r="K476" s="45"/>
      <c r="L476" s="73"/>
      <c r="M476" s="118"/>
      <c r="N476" s="119"/>
      <c r="O476" s="113"/>
    </row>
    <row r="477" spans="4:15" x14ac:dyDescent="0.2">
      <c r="D477" s="46"/>
      <c r="E477" s="46"/>
      <c r="F477" s="120"/>
      <c r="G477" s="120"/>
      <c r="H477" s="47"/>
      <c r="I477" s="116"/>
      <c r="J477" s="45"/>
      <c r="K477" s="45"/>
      <c r="L477" s="73"/>
      <c r="M477" s="118"/>
      <c r="N477" s="119"/>
      <c r="O477" s="113"/>
    </row>
    <row r="478" spans="4:15" x14ac:dyDescent="0.2">
      <c r="D478" s="46"/>
      <c r="E478" s="46"/>
      <c r="F478" s="120"/>
      <c r="G478" s="120"/>
      <c r="H478" s="47"/>
      <c r="I478" s="116"/>
      <c r="J478" s="45"/>
      <c r="K478" s="73"/>
      <c r="L478" s="73"/>
      <c r="M478" s="118"/>
      <c r="N478" s="119"/>
      <c r="O478" s="113"/>
    </row>
    <row r="479" spans="4:15" x14ac:dyDescent="0.2">
      <c r="D479" s="46"/>
      <c r="E479" s="46"/>
      <c r="F479" s="120"/>
      <c r="G479" s="120"/>
      <c r="H479" s="47"/>
      <c r="I479" s="116"/>
      <c r="J479" s="45"/>
      <c r="K479" s="45"/>
      <c r="L479" s="73"/>
      <c r="M479" s="118"/>
      <c r="N479" s="119"/>
      <c r="O479" s="113"/>
    </row>
    <row r="480" spans="4:15" x14ac:dyDescent="0.2">
      <c r="D480" s="46"/>
      <c r="E480" s="46"/>
      <c r="F480" s="120"/>
      <c r="G480" s="120"/>
      <c r="H480" s="47"/>
      <c r="I480" s="116"/>
      <c r="J480" s="45"/>
      <c r="K480" s="45"/>
      <c r="L480" s="73"/>
      <c r="M480" s="118"/>
      <c r="N480" s="119"/>
      <c r="O480" s="113"/>
    </row>
    <row r="481" spans="4:15" x14ac:dyDescent="0.2">
      <c r="D481" s="46"/>
      <c r="E481" s="46"/>
      <c r="F481" s="120"/>
      <c r="G481" s="120"/>
      <c r="H481" s="47"/>
      <c r="I481" s="116"/>
      <c r="J481" s="45"/>
      <c r="K481" s="45"/>
      <c r="L481" s="73"/>
      <c r="M481" s="118"/>
      <c r="N481" s="119"/>
      <c r="O481" s="113"/>
    </row>
    <row r="482" spans="4:15" x14ac:dyDescent="0.2">
      <c r="D482" s="46"/>
      <c r="E482" s="46"/>
      <c r="F482" s="120"/>
      <c r="G482" s="120"/>
      <c r="H482" s="47"/>
      <c r="I482" s="116"/>
      <c r="J482" s="45"/>
      <c r="K482" s="45"/>
      <c r="L482" s="73"/>
      <c r="M482" s="118"/>
      <c r="N482" s="119"/>
      <c r="O482" s="113"/>
    </row>
    <row r="483" spans="4:15" x14ac:dyDescent="0.2">
      <c r="D483" s="46"/>
      <c r="E483" s="46"/>
      <c r="F483" s="120"/>
      <c r="G483" s="120"/>
      <c r="H483" s="47"/>
      <c r="I483" s="116"/>
      <c r="J483" s="45"/>
      <c r="K483" s="45"/>
      <c r="L483" s="73"/>
      <c r="M483" s="118"/>
      <c r="N483" s="119"/>
      <c r="O483" s="113"/>
    </row>
    <row r="484" spans="4:15" x14ac:dyDescent="0.2">
      <c r="D484" s="46"/>
      <c r="E484" s="46"/>
      <c r="F484" s="120"/>
      <c r="G484" s="120"/>
      <c r="H484" s="47"/>
      <c r="I484" s="116"/>
      <c r="J484" s="45"/>
      <c r="K484" s="45"/>
      <c r="L484" s="73"/>
      <c r="M484" s="118"/>
      <c r="N484" s="119"/>
      <c r="O484" s="113"/>
    </row>
    <row r="485" spans="4:15" x14ac:dyDescent="0.2">
      <c r="D485" s="46"/>
      <c r="E485" s="46"/>
      <c r="F485" s="120"/>
      <c r="G485" s="120"/>
      <c r="H485" s="47"/>
      <c r="I485" s="116"/>
      <c r="J485" s="45"/>
      <c r="K485" s="45"/>
      <c r="L485" s="73"/>
      <c r="M485" s="118"/>
      <c r="N485" s="119"/>
      <c r="O485" s="113"/>
    </row>
    <row r="486" spans="4:15" x14ac:dyDescent="0.2">
      <c r="D486" s="46"/>
      <c r="E486" s="46"/>
      <c r="F486" s="120"/>
      <c r="G486" s="120"/>
      <c r="H486" s="47"/>
      <c r="I486" s="116"/>
      <c r="J486" s="45"/>
      <c r="K486" s="45"/>
      <c r="L486" s="73"/>
      <c r="M486" s="118"/>
      <c r="N486" s="119"/>
      <c r="O486" s="113"/>
    </row>
    <row r="487" spans="4:15" x14ac:dyDescent="0.2">
      <c r="D487" s="46"/>
      <c r="E487" s="46"/>
      <c r="F487" s="120"/>
      <c r="G487" s="120"/>
      <c r="H487" s="47"/>
      <c r="I487" s="116"/>
      <c r="J487" s="45"/>
      <c r="K487" s="45"/>
      <c r="L487" s="73"/>
      <c r="M487" s="118"/>
      <c r="N487" s="119"/>
      <c r="O487" s="113"/>
    </row>
    <row r="488" spans="4:15" x14ac:dyDescent="0.2">
      <c r="D488" s="46"/>
      <c r="E488" s="46"/>
      <c r="F488" s="120"/>
      <c r="G488" s="120"/>
      <c r="H488" s="47"/>
      <c r="I488" s="116"/>
      <c r="J488" s="45"/>
      <c r="K488" s="73"/>
      <c r="L488" s="73"/>
      <c r="M488" s="118"/>
      <c r="N488" s="119"/>
      <c r="O488" s="113"/>
    </row>
    <row r="489" spans="4:15" x14ac:dyDescent="0.2">
      <c r="D489" s="46"/>
      <c r="E489" s="46"/>
      <c r="F489" s="120"/>
      <c r="G489" s="120"/>
      <c r="H489" s="47"/>
      <c r="I489" s="116"/>
      <c r="J489" s="45"/>
      <c r="K489" s="45"/>
      <c r="L489" s="73"/>
      <c r="M489" s="118"/>
      <c r="N489" s="119"/>
      <c r="O489" s="113"/>
    </row>
    <row r="490" spans="4:15" x14ac:dyDescent="0.2">
      <c r="D490" s="46"/>
      <c r="E490" s="46"/>
      <c r="F490" s="120"/>
      <c r="G490" s="120"/>
      <c r="H490" s="47"/>
      <c r="I490" s="116"/>
      <c r="J490" s="45"/>
      <c r="K490" s="73"/>
      <c r="L490" s="73"/>
      <c r="M490" s="118"/>
      <c r="N490" s="119"/>
      <c r="O490" s="113"/>
    </row>
    <row r="491" spans="4:15" x14ac:dyDescent="0.2">
      <c r="D491" s="46"/>
      <c r="E491" s="46"/>
      <c r="F491" s="120"/>
      <c r="G491" s="120"/>
      <c r="H491" s="47"/>
      <c r="I491" s="116"/>
      <c r="J491" s="45"/>
      <c r="K491" s="73"/>
      <c r="L491" s="73"/>
      <c r="M491" s="118"/>
      <c r="N491" s="119"/>
      <c r="O491" s="113"/>
    </row>
    <row r="492" spans="4:15" x14ac:dyDescent="0.2">
      <c r="D492" s="46"/>
      <c r="E492" s="46"/>
      <c r="F492" s="120"/>
      <c r="G492" s="120"/>
      <c r="H492" s="47"/>
      <c r="I492" s="116"/>
      <c r="J492" s="45"/>
      <c r="K492" s="45"/>
      <c r="L492" s="73"/>
      <c r="M492" s="118"/>
      <c r="N492" s="119"/>
      <c r="O492" s="113"/>
    </row>
    <row r="493" spans="4:15" x14ac:dyDescent="0.2">
      <c r="D493" s="46"/>
      <c r="E493" s="46"/>
      <c r="F493" s="120"/>
      <c r="G493" s="120"/>
      <c r="H493" s="47"/>
      <c r="I493" s="116"/>
      <c r="J493" s="45"/>
      <c r="K493" s="45"/>
      <c r="L493" s="73"/>
      <c r="M493" s="118"/>
      <c r="N493" s="119"/>
      <c r="O493" s="113"/>
    </row>
    <row r="494" spans="4:15" x14ac:dyDescent="0.2">
      <c r="D494" s="46"/>
      <c r="E494" s="46"/>
      <c r="F494" s="120"/>
      <c r="G494" s="120"/>
      <c r="H494" s="47"/>
      <c r="I494" s="116"/>
      <c r="J494" s="45"/>
      <c r="K494" s="45"/>
      <c r="L494" s="73"/>
      <c r="M494" s="118"/>
      <c r="N494" s="119"/>
      <c r="O494" s="113"/>
    </row>
    <row r="495" spans="4:15" x14ac:dyDescent="0.2">
      <c r="D495" s="46"/>
      <c r="E495" s="46"/>
      <c r="F495" s="120"/>
      <c r="G495" s="120"/>
      <c r="H495" s="47"/>
      <c r="I495" s="116"/>
      <c r="J495" s="45"/>
      <c r="K495" s="45"/>
      <c r="L495" s="73"/>
      <c r="M495" s="118"/>
      <c r="N495" s="119"/>
      <c r="O495" s="113"/>
    </row>
    <row r="496" spans="4:15" x14ac:dyDescent="0.2">
      <c r="D496" s="46"/>
      <c r="E496" s="46"/>
      <c r="F496" s="120"/>
      <c r="G496" s="120"/>
      <c r="H496" s="47"/>
      <c r="I496" s="116"/>
      <c r="J496" s="45"/>
      <c r="K496" s="73"/>
      <c r="L496" s="73"/>
      <c r="M496" s="118"/>
      <c r="N496" s="119"/>
      <c r="O496" s="113"/>
    </row>
    <row r="497" spans="4:15" x14ac:dyDescent="0.2">
      <c r="D497" s="46"/>
      <c r="E497" s="46"/>
      <c r="F497" s="120"/>
      <c r="G497" s="120"/>
      <c r="H497" s="47"/>
      <c r="I497" s="116"/>
      <c r="J497" s="45"/>
      <c r="K497" s="45"/>
      <c r="L497" s="73"/>
      <c r="M497" s="118"/>
      <c r="N497" s="119"/>
      <c r="O497" s="113"/>
    </row>
    <row r="498" spans="4:15" x14ac:dyDescent="0.2">
      <c r="D498" s="46"/>
      <c r="E498" s="46"/>
      <c r="F498" s="120"/>
      <c r="G498" s="120"/>
      <c r="H498" s="47"/>
      <c r="I498" s="116"/>
      <c r="J498" s="45"/>
      <c r="K498" s="45"/>
      <c r="L498" s="73"/>
      <c r="M498" s="118"/>
      <c r="N498" s="119"/>
      <c r="O498" s="113"/>
    </row>
    <row r="499" spans="4:15" x14ac:dyDescent="0.2">
      <c r="D499" s="46"/>
      <c r="E499" s="46"/>
      <c r="F499" s="120"/>
      <c r="G499" s="120"/>
      <c r="H499" s="47"/>
      <c r="I499" s="116"/>
      <c r="J499" s="45"/>
      <c r="K499" s="73"/>
      <c r="L499" s="73"/>
      <c r="M499" s="118"/>
      <c r="N499" s="119"/>
      <c r="O499" s="113"/>
    </row>
    <row r="500" spans="4:15" x14ac:dyDescent="0.2">
      <c r="D500" s="46"/>
      <c r="E500" s="46"/>
      <c r="F500" s="120"/>
      <c r="G500" s="120"/>
      <c r="H500" s="47"/>
      <c r="I500" s="116"/>
      <c r="J500" s="45"/>
      <c r="K500" s="73"/>
      <c r="L500" s="73"/>
      <c r="M500" s="118"/>
      <c r="N500" s="119"/>
      <c r="O500" s="113"/>
    </row>
    <row r="501" spans="4:15" x14ac:dyDescent="0.2">
      <c r="D501" s="46"/>
      <c r="E501" s="46"/>
      <c r="F501" s="120"/>
      <c r="G501" s="120"/>
      <c r="H501" s="47"/>
      <c r="I501" s="116"/>
      <c r="J501" s="45"/>
      <c r="K501" s="45"/>
      <c r="L501" s="73"/>
      <c r="M501" s="118"/>
      <c r="N501" s="119"/>
      <c r="O501" s="113"/>
    </row>
    <row r="502" spans="4:15" x14ac:dyDescent="0.2">
      <c r="D502" s="46"/>
      <c r="E502" s="46"/>
      <c r="F502" s="120"/>
      <c r="G502" s="120"/>
      <c r="H502" s="47"/>
      <c r="I502" s="116"/>
      <c r="J502" s="45"/>
      <c r="K502" s="73"/>
      <c r="L502" s="73"/>
      <c r="M502" s="118"/>
      <c r="N502" s="119"/>
      <c r="O502" s="113"/>
    </row>
    <row r="503" spans="4:15" x14ac:dyDescent="0.2">
      <c r="D503" s="46"/>
      <c r="E503" s="46"/>
      <c r="F503" s="120"/>
      <c r="G503" s="120"/>
      <c r="H503" s="47"/>
      <c r="I503" s="116"/>
      <c r="J503" s="45"/>
      <c r="K503" s="73"/>
      <c r="L503" s="73"/>
      <c r="M503" s="118"/>
      <c r="N503" s="119"/>
      <c r="O503" s="113"/>
    </row>
    <row r="504" spans="4:15" x14ac:dyDescent="0.2">
      <c r="D504" s="46"/>
      <c r="E504" s="46"/>
      <c r="F504" s="120"/>
      <c r="G504" s="120"/>
      <c r="H504" s="47"/>
      <c r="I504" s="116"/>
      <c r="J504" s="45"/>
      <c r="K504" s="45"/>
      <c r="L504" s="73"/>
      <c r="M504" s="118"/>
      <c r="N504" s="119"/>
      <c r="O504" s="113"/>
    </row>
    <row r="505" spans="4:15" x14ac:dyDescent="0.2">
      <c r="D505" s="46"/>
      <c r="E505" s="46"/>
      <c r="F505" s="120"/>
      <c r="G505" s="120"/>
      <c r="H505" s="47"/>
      <c r="I505" s="116"/>
      <c r="J505" s="45"/>
      <c r="K505" s="45"/>
      <c r="L505" s="73"/>
      <c r="M505" s="118"/>
      <c r="N505" s="119"/>
      <c r="O505" s="113"/>
    </row>
    <row r="506" spans="4:15" x14ac:dyDescent="0.2">
      <c r="D506" s="46"/>
      <c r="E506" s="46"/>
      <c r="F506" s="120"/>
      <c r="G506" s="120"/>
      <c r="H506" s="47"/>
      <c r="I506" s="116"/>
      <c r="J506" s="45"/>
      <c r="K506" s="45"/>
      <c r="L506" s="73"/>
      <c r="M506" s="118"/>
      <c r="N506" s="119"/>
      <c r="O506" s="113"/>
    </row>
    <row r="507" spans="4:15" x14ac:dyDescent="0.2">
      <c r="D507" s="46"/>
      <c r="E507" s="46"/>
      <c r="F507" s="120"/>
      <c r="G507" s="120"/>
      <c r="H507" s="47"/>
      <c r="I507" s="116"/>
      <c r="J507" s="45"/>
      <c r="K507" s="45"/>
      <c r="L507" s="73"/>
      <c r="M507" s="118"/>
      <c r="N507" s="119"/>
      <c r="O507" s="113"/>
    </row>
    <row r="508" spans="4:15" x14ac:dyDescent="0.2">
      <c r="D508" s="46"/>
      <c r="E508" s="46"/>
      <c r="F508" s="120"/>
      <c r="G508" s="120"/>
      <c r="H508" s="47"/>
      <c r="I508" s="116"/>
      <c r="J508" s="45"/>
      <c r="K508" s="73"/>
      <c r="L508" s="73"/>
      <c r="M508" s="118"/>
      <c r="N508" s="119"/>
      <c r="O508" s="113"/>
    </row>
    <row r="509" spans="4:15" x14ac:dyDescent="0.2">
      <c r="D509" s="46"/>
      <c r="E509" s="46"/>
      <c r="F509" s="120"/>
      <c r="G509" s="120"/>
      <c r="H509" s="47"/>
      <c r="I509" s="116"/>
      <c r="J509" s="45"/>
      <c r="K509" s="45"/>
      <c r="L509" s="73"/>
      <c r="M509" s="118"/>
      <c r="N509" s="119"/>
      <c r="O509" s="113"/>
    </row>
    <row r="510" spans="4:15" x14ac:dyDescent="0.2">
      <c r="D510" s="46"/>
      <c r="E510" s="46"/>
      <c r="F510" s="120"/>
      <c r="G510" s="120"/>
      <c r="H510" s="47"/>
      <c r="I510" s="116"/>
      <c r="J510" s="45"/>
      <c r="K510" s="45"/>
      <c r="L510" s="73"/>
      <c r="M510" s="118"/>
      <c r="N510" s="119"/>
      <c r="O510" s="113"/>
    </row>
    <row r="511" spans="4:15" x14ac:dyDescent="0.2">
      <c r="D511" s="46"/>
      <c r="E511" s="46"/>
      <c r="F511" s="120"/>
      <c r="G511" s="120"/>
      <c r="H511" s="47"/>
      <c r="I511" s="116"/>
      <c r="J511" s="45"/>
      <c r="K511" s="45"/>
      <c r="L511" s="73"/>
      <c r="M511" s="118"/>
      <c r="N511" s="119"/>
      <c r="O511" s="113"/>
    </row>
    <row r="512" spans="4:15" x14ac:dyDescent="0.2">
      <c r="D512" s="46"/>
      <c r="E512" s="46"/>
      <c r="F512" s="120"/>
      <c r="G512" s="120"/>
      <c r="H512" s="47"/>
      <c r="I512" s="116"/>
      <c r="J512" s="45"/>
      <c r="K512" s="73"/>
      <c r="L512" s="73"/>
      <c r="M512" s="118"/>
      <c r="N512" s="119"/>
      <c r="O512" s="113"/>
    </row>
    <row r="513" spans="4:15" x14ac:dyDescent="0.2">
      <c r="D513" s="46"/>
      <c r="E513" s="46"/>
      <c r="F513" s="120"/>
      <c r="G513" s="120"/>
      <c r="H513" s="47"/>
      <c r="I513" s="116"/>
      <c r="J513" s="45"/>
      <c r="K513" s="73"/>
      <c r="L513" s="73"/>
      <c r="M513" s="118"/>
      <c r="N513" s="119"/>
      <c r="O513" s="113"/>
    </row>
    <row r="514" spans="4:15" x14ac:dyDescent="0.2">
      <c r="D514" s="46"/>
      <c r="E514" s="46"/>
      <c r="F514" s="120"/>
      <c r="G514" s="120"/>
      <c r="H514" s="47"/>
      <c r="I514" s="116"/>
      <c r="J514" s="45"/>
      <c r="K514" s="73"/>
      <c r="L514" s="73"/>
      <c r="M514" s="118"/>
      <c r="N514" s="119"/>
      <c r="O514" s="113"/>
    </row>
    <row r="515" spans="4:15" x14ac:dyDescent="0.2">
      <c r="D515" s="46"/>
      <c r="E515" s="46"/>
      <c r="F515" s="120"/>
      <c r="G515" s="120"/>
      <c r="H515" s="47"/>
      <c r="I515" s="116"/>
      <c r="J515" s="45"/>
      <c r="K515" s="73"/>
      <c r="L515" s="73"/>
      <c r="M515" s="118"/>
      <c r="N515" s="119"/>
      <c r="O515" s="113"/>
    </row>
    <row r="516" spans="4:15" x14ac:dyDescent="0.2">
      <c r="D516" s="46"/>
      <c r="E516" s="46"/>
      <c r="F516" s="120"/>
      <c r="G516" s="120"/>
      <c r="H516" s="47"/>
      <c r="I516" s="116"/>
      <c r="J516" s="45"/>
      <c r="K516" s="45"/>
      <c r="L516" s="73"/>
      <c r="M516" s="118"/>
      <c r="N516" s="119"/>
      <c r="O516" s="113"/>
    </row>
    <row r="517" spans="4:15" x14ac:dyDescent="0.2">
      <c r="D517" s="46"/>
      <c r="E517" s="46"/>
      <c r="F517" s="120"/>
      <c r="G517" s="120"/>
      <c r="H517" s="47"/>
      <c r="I517" s="116"/>
      <c r="J517" s="45"/>
      <c r="K517" s="73"/>
      <c r="L517" s="73"/>
      <c r="M517" s="118"/>
      <c r="N517" s="119"/>
      <c r="O517" s="113"/>
    </row>
    <row r="518" spans="4:15" x14ac:dyDescent="0.2">
      <c r="D518" s="46"/>
      <c r="E518" s="46"/>
      <c r="F518" s="120"/>
      <c r="G518" s="120"/>
      <c r="H518" s="47"/>
      <c r="I518" s="116"/>
      <c r="J518" s="45"/>
      <c r="K518" s="73"/>
      <c r="L518" s="73"/>
      <c r="M518" s="118"/>
      <c r="N518" s="119"/>
      <c r="O518" s="113"/>
    </row>
    <row r="519" spans="4:15" x14ac:dyDescent="0.2">
      <c r="D519" s="46"/>
      <c r="E519" s="46"/>
      <c r="F519" s="120"/>
      <c r="G519" s="120"/>
      <c r="H519" s="47"/>
      <c r="I519" s="116"/>
      <c r="J519" s="45"/>
      <c r="K519" s="45"/>
      <c r="L519" s="73"/>
      <c r="M519" s="118"/>
      <c r="N519" s="119"/>
      <c r="O519" s="113"/>
    </row>
    <row r="520" spans="4:15" x14ac:dyDescent="0.2">
      <c r="D520" s="46"/>
      <c r="E520" s="46"/>
      <c r="F520" s="120"/>
      <c r="G520" s="120"/>
      <c r="H520" s="47"/>
      <c r="I520" s="116"/>
      <c r="J520" s="45"/>
      <c r="K520" s="45"/>
      <c r="L520" s="73"/>
      <c r="M520" s="118"/>
      <c r="N520" s="119"/>
      <c r="O520" s="113"/>
    </row>
    <row r="521" spans="4:15" x14ac:dyDescent="0.2">
      <c r="D521" s="46"/>
      <c r="E521" s="46"/>
      <c r="F521" s="120"/>
      <c r="G521" s="120"/>
      <c r="H521" s="47"/>
      <c r="I521" s="116"/>
      <c r="J521" s="45"/>
      <c r="K521" s="45"/>
      <c r="L521" s="73"/>
      <c r="M521" s="118"/>
      <c r="N521" s="119"/>
      <c r="O521" s="113"/>
    </row>
    <row r="522" spans="4:15" x14ac:dyDescent="0.2">
      <c r="D522" s="46"/>
      <c r="E522" s="46"/>
      <c r="F522" s="120"/>
      <c r="G522" s="120"/>
      <c r="H522" s="47"/>
      <c r="I522" s="116"/>
      <c r="J522" s="45"/>
      <c r="K522" s="73"/>
      <c r="L522" s="73"/>
      <c r="M522" s="118"/>
      <c r="N522" s="119"/>
      <c r="O522" s="113"/>
    </row>
    <row r="523" spans="4:15" x14ac:dyDescent="0.2">
      <c r="D523" s="46"/>
      <c r="E523" s="46"/>
      <c r="F523" s="120"/>
      <c r="G523" s="120"/>
      <c r="H523" s="47"/>
      <c r="I523" s="116"/>
      <c r="J523" s="45"/>
      <c r="K523" s="45"/>
      <c r="L523" s="73"/>
      <c r="M523" s="118"/>
      <c r="N523" s="119"/>
      <c r="O523" s="113"/>
    </row>
    <row r="524" spans="4:15" x14ac:dyDescent="0.2">
      <c r="D524" s="46"/>
      <c r="E524" s="46"/>
      <c r="F524" s="120"/>
      <c r="G524" s="120"/>
      <c r="H524" s="47"/>
      <c r="I524" s="116"/>
      <c r="J524" s="45"/>
      <c r="K524" s="45"/>
      <c r="L524" s="73"/>
      <c r="M524" s="118"/>
      <c r="N524" s="119"/>
      <c r="O524" s="113"/>
    </row>
    <row r="525" spans="4:15" x14ac:dyDescent="0.2">
      <c r="D525" s="46"/>
      <c r="E525" s="46"/>
      <c r="F525" s="120"/>
      <c r="G525" s="120"/>
      <c r="H525" s="47"/>
      <c r="I525" s="116"/>
      <c r="J525" s="45"/>
      <c r="K525" s="45"/>
      <c r="L525" s="73"/>
      <c r="M525" s="118"/>
      <c r="N525" s="119"/>
      <c r="O525" s="113"/>
    </row>
    <row r="526" spans="4:15" x14ac:dyDescent="0.2">
      <c r="D526" s="46"/>
      <c r="E526" s="46"/>
      <c r="F526" s="120"/>
      <c r="G526" s="120"/>
      <c r="H526" s="47"/>
      <c r="I526" s="116"/>
      <c r="J526" s="45"/>
      <c r="K526" s="45"/>
      <c r="L526" s="73"/>
      <c r="M526" s="118"/>
      <c r="N526" s="119"/>
      <c r="O526" s="113"/>
    </row>
    <row r="527" spans="4:15" x14ac:dyDescent="0.2">
      <c r="D527" s="46"/>
      <c r="E527" s="46"/>
      <c r="F527" s="120"/>
      <c r="G527" s="120"/>
      <c r="H527" s="47"/>
      <c r="I527" s="116"/>
      <c r="J527" s="45"/>
      <c r="K527" s="73"/>
      <c r="L527" s="73"/>
      <c r="M527" s="118"/>
      <c r="N527" s="119"/>
      <c r="O527" s="113"/>
    </row>
    <row r="528" spans="4:15" x14ac:dyDescent="0.2">
      <c r="D528" s="46"/>
      <c r="E528" s="46"/>
      <c r="F528" s="120"/>
      <c r="G528" s="120"/>
      <c r="H528" s="47"/>
      <c r="I528" s="116"/>
      <c r="J528" s="45"/>
      <c r="K528" s="73"/>
      <c r="L528" s="73"/>
      <c r="M528" s="118"/>
      <c r="N528" s="119"/>
      <c r="O528" s="113"/>
    </row>
    <row r="529" spans="4:15" x14ac:dyDescent="0.2">
      <c r="D529" s="46"/>
      <c r="E529" s="46"/>
      <c r="F529" s="120"/>
      <c r="G529" s="120"/>
      <c r="H529" s="47"/>
      <c r="I529" s="116"/>
      <c r="J529" s="45"/>
      <c r="K529" s="45"/>
      <c r="L529" s="73"/>
      <c r="M529" s="118"/>
      <c r="N529" s="119"/>
      <c r="O529" s="113"/>
    </row>
    <row r="530" spans="4:15" x14ac:dyDescent="0.2">
      <c r="D530" s="46"/>
      <c r="E530" s="46"/>
      <c r="F530" s="120"/>
      <c r="G530" s="120"/>
      <c r="H530" s="47"/>
      <c r="I530" s="116"/>
      <c r="J530" s="45"/>
      <c r="K530" s="73"/>
      <c r="L530" s="73"/>
      <c r="M530" s="118"/>
      <c r="N530" s="119"/>
      <c r="O530" s="113"/>
    </row>
    <row r="531" spans="4:15" x14ac:dyDescent="0.2">
      <c r="D531" s="46"/>
      <c r="E531" s="46"/>
      <c r="F531" s="120"/>
      <c r="G531" s="120"/>
      <c r="H531" s="47"/>
      <c r="I531" s="116"/>
      <c r="J531" s="45"/>
      <c r="K531" s="45"/>
      <c r="L531" s="73"/>
      <c r="M531" s="118"/>
      <c r="N531" s="119"/>
      <c r="O531" s="113"/>
    </row>
    <row r="532" spans="4:15" x14ac:dyDescent="0.2">
      <c r="D532" s="46"/>
      <c r="E532" s="46"/>
      <c r="F532" s="120"/>
      <c r="G532" s="120"/>
      <c r="H532" s="47"/>
      <c r="I532" s="116"/>
      <c r="J532" s="45"/>
      <c r="K532" s="73"/>
      <c r="L532" s="73"/>
      <c r="M532" s="118"/>
      <c r="N532" s="119"/>
      <c r="O532" s="113"/>
    </row>
    <row r="533" spans="4:15" x14ac:dyDescent="0.2">
      <c r="D533" s="46"/>
      <c r="E533" s="46"/>
      <c r="F533" s="120"/>
      <c r="G533" s="120"/>
      <c r="H533" s="47"/>
      <c r="I533" s="116"/>
      <c r="J533" s="45"/>
      <c r="K533" s="45"/>
      <c r="L533" s="73"/>
      <c r="M533" s="118"/>
      <c r="N533" s="119"/>
      <c r="O533" s="113"/>
    </row>
    <row r="534" spans="4:15" x14ac:dyDescent="0.2">
      <c r="D534" s="46"/>
      <c r="E534" s="46"/>
      <c r="F534" s="120"/>
      <c r="G534" s="120"/>
      <c r="H534" s="47"/>
      <c r="I534" s="116"/>
      <c r="J534" s="45"/>
      <c r="K534" s="45"/>
      <c r="L534" s="73"/>
      <c r="M534" s="118"/>
      <c r="N534" s="119"/>
      <c r="O534" s="113"/>
    </row>
    <row r="535" spans="4:15" x14ac:dyDescent="0.2">
      <c r="D535" s="46"/>
      <c r="E535" s="46"/>
      <c r="F535" s="120"/>
      <c r="G535" s="120"/>
      <c r="H535" s="47"/>
      <c r="I535" s="116"/>
      <c r="J535" s="45"/>
      <c r="K535" s="45"/>
      <c r="L535" s="73"/>
      <c r="M535" s="118"/>
      <c r="N535" s="119"/>
      <c r="O535" s="113"/>
    </row>
    <row r="536" spans="4:15" x14ac:dyDescent="0.2">
      <c r="D536" s="46"/>
      <c r="E536" s="46"/>
      <c r="F536" s="120"/>
      <c r="G536" s="120"/>
      <c r="H536" s="47"/>
      <c r="I536" s="116"/>
      <c r="J536" s="45"/>
      <c r="K536" s="45"/>
      <c r="L536" s="73"/>
      <c r="M536" s="118"/>
      <c r="N536" s="119"/>
      <c r="O536" s="113"/>
    </row>
    <row r="537" spans="4:15" x14ac:dyDescent="0.2">
      <c r="D537" s="46"/>
      <c r="E537" s="46"/>
      <c r="F537" s="120"/>
      <c r="G537" s="120"/>
      <c r="H537" s="47"/>
      <c r="I537" s="116"/>
      <c r="J537" s="45"/>
      <c r="K537" s="45"/>
      <c r="L537" s="73"/>
      <c r="M537" s="118"/>
      <c r="N537" s="119"/>
      <c r="O537" s="113"/>
    </row>
    <row r="538" spans="4:15" x14ac:dyDescent="0.2">
      <c r="D538" s="46"/>
      <c r="E538" s="46"/>
      <c r="F538" s="120"/>
      <c r="G538" s="120"/>
      <c r="H538" s="47"/>
      <c r="I538" s="116"/>
      <c r="J538" s="45"/>
      <c r="K538" s="73"/>
      <c r="L538" s="73"/>
      <c r="M538" s="118"/>
      <c r="N538" s="119"/>
      <c r="O538" s="113"/>
    </row>
    <row r="539" spans="4:15" x14ac:dyDescent="0.2">
      <c r="D539" s="46"/>
      <c r="E539" s="46"/>
      <c r="F539" s="120"/>
      <c r="G539" s="120"/>
      <c r="H539" s="47"/>
      <c r="I539" s="116"/>
      <c r="J539" s="45"/>
      <c r="K539" s="45"/>
      <c r="L539" s="73"/>
      <c r="M539" s="118"/>
      <c r="N539" s="119"/>
      <c r="O539" s="113"/>
    </row>
    <row r="540" spans="4:15" x14ac:dyDescent="0.2">
      <c r="D540" s="46"/>
      <c r="E540" s="46"/>
      <c r="F540" s="120"/>
      <c r="G540" s="120"/>
      <c r="H540" s="47"/>
      <c r="I540" s="116"/>
      <c r="J540" s="45"/>
      <c r="K540" s="45"/>
      <c r="L540" s="73"/>
      <c r="M540" s="118"/>
      <c r="N540" s="119"/>
      <c r="O540" s="113"/>
    </row>
    <row r="541" spans="4:15" x14ac:dyDescent="0.2">
      <c r="D541" s="46"/>
      <c r="E541" s="46"/>
      <c r="F541" s="120"/>
      <c r="G541" s="120"/>
      <c r="H541" s="47"/>
      <c r="I541" s="116"/>
      <c r="J541" s="45"/>
      <c r="K541" s="73"/>
      <c r="L541" s="73"/>
      <c r="M541" s="118"/>
      <c r="N541" s="119"/>
      <c r="O541" s="113"/>
    </row>
    <row r="542" spans="4:15" x14ac:dyDescent="0.2">
      <c r="D542" s="46"/>
      <c r="E542" s="46"/>
      <c r="F542" s="120"/>
      <c r="G542" s="120"/>
      <c r="H542" s="47"/>
      <c r="I542" s="116"/>
      <c r="J542" s="45"/>
      <c r="K542" s="45"/>
      <c r="L542" s="73"/>
      <c r="M542" s="118"/>
      <c r="N542" s="119"/>
      <c r="O542" s="113"/>
    </row>
    <row r="543" spans="4:15" x14ac:dyDescent="0.2">
      <c r="D543" s="46"/>
      <c r="E543" s="46"/>
      <c r="F543" s="120"/>
      <c r="G543" s="120"/>
      <c r="H543" s="47"/>
      <c r="I543" s="116"/>
      <c r="J543" s="45"/>
      <c r="K543" s="45"/>
      <c r="L543" s="73"/>
      <c r="M543" s="118"/>
      <c r="N543" s="119"/>
      <c r="O543" s="113"/>
    </row>
    <row r="544" spans="4:15" x14ac:dyDescent="0.2">
      <c r="D544" s="46"/>
      <c r="E544" s="46"/>
      <c r="F544" s="120"/>
      <c r="G544" s="120"/>
      <c r="H544" s="47"/>
      <c r="I544" s="116"/>
      <c r="J544" s="45"/>
      <c r="K544" s="45"/>
      <c r="L544" s="73"/>
      <c r="M544" s="118"/>
      <c r="N544" s="119"/>
      <c r="O544" s="113"/>
    </row>
  </sheetData>
  <sheetProtection algorithmName="SHA-512" hashValue="n3b2Y7XmdXF0zDUUBtDvPOA53QSbZrrGK1Kp7L697OCnQ/t+FBKdWFPl0p9cTdN6EOkTnPHUGcuq35t1lz3viw==" saltValue="VKDIOlUOsCcsu4avpS9hUw==" spinCount="100000" sheet="1" insertRows="0" insertHyperlinks="0" deleteRows="0" selectLockedCells="1"/>
  <dataConsolidate/>
  <mergeCells count="15">
    <mergeCell ref="C31:O31"/>
    <mergeCell ref="E26:F26"/>
    <mergeCell ref="F9:J9"/>
    <mergeCell ref="E27:F27"/>
    <mergeCell ref="G26:L26"/>
    <mergeCell ref="G27:L27"/>
    <mergeCell ref="C27:D27"/>
    <mergeCell ref="C26:D26"/>
    <mergeCell ref="L8:M8"/>
    <mergeCell ref="C14:N14"/>
    <mergeCell ref="C20:N20"/>
    <mergeCell ref="E28:I28"/>
    <mergeCell ref="C8:E8"/>
    <mergeCell ref="F8:H8"/>
    <mergeCell ref="C16:E16"/>
  </mergeCells>
  <phoneticPr fontId="0" type="noConversion"/>
  <conditionalFormatting sqref="N56:N299 N50:N54">
    <cfRule type="duplicateValues" dxfId="6" priority="7" stopIfTrue="1"/>
  </conditionalFormatting>
  <conditionalFormatting sqref="N55">
    <cfRule type="duplicateValues" dxfId="5" priority="6" stopIfTrue="1"/>
  </conditionalFormatting>
  <conditionalFormatting sqref="N35:N48">
    <cfRule type="duplicateValues" dxfId="4" priority="5" stopIfTrue="1"/>
  </conditionalFormatting>
  <conditionalFormatting sqref="N49">
    <cfRule type="duplicateValues" dxfId="3" priority="4" stopIfTrue="1"/>
  </conditionalFormatting>
  <conditionalFormatting sqref="N34">
    <cfRule type="duplicateValues" dxfId="2" priority="3" stopIfTrue="1"/>
  </conditionalFormatting>
  <conditionalFormatting sqref="N300:N468">
    <cfRule type="duplicateValues" dxfId="1" priority="2" stopIfTrue="1"/>
  </conditionalFormatting>
  <conditionalFormatting sqref="N469:N544">
    <cfRule type="duplicateValues" dxfId="0" priority="1" stopIfTrue="1"/>
  </conditionalFormatting>
  <dataValidations count="17">
    <dataValidation type="list" allowBlank="1" showInputMessage="1" showErrorMessage="1" sqref="O34:O299" xr:uid="{00000000-0002-0000-0000-000000000000}">
      <formula1>sucursal</formula1>
    </dataValidation>
    <dataValidation showInputMessage="1" showErrorMessage="1" sqref="N27" xr:uid="{00000000-0002-0000-0000-000001000000}"/>
    <dataValidation type="list" allowBlank="1" showInputMessage="1" showErrorMessage="1" sqref="M27" xr:uid="{00000000-0002-0000-0000-000002000000}">
      <formula1>Vias</formula1>
    </dataValidation>
    <dataValidation type="list" allowBlank="1" showInputMessage="1" showErrorMessage="1" sqref="P27" xr:uid="{00000000-0002-0000-0000-000003000000}">
      <formula1>Ubicaciones</formula1>
    </dataValidation>
    <dataValidation type="list" errorStyle="information" allowBlank="1" showInputMessage="1" showErrorMessage="1" errorTitle="ACTS" error="DISTRITO NO VÁLIDO" sqref="O23" xr:uid="{00000000-0002-0000-0000-000004000000}">
      <formula1>OFFSET(Distrito,MATCH($S$27,Provincia,0)-1,0,COUNTIF(Provincia,$S$27),1)</formula1>
    </dataValidation>
    <dataValidation type="list" allowBlank="1" showInputMessage="1" showErrorMessage="1" sqref="S27" xr:uid="{00000000-0002-0000-0000-000005000000}">
      <formula1>OFFSET(Provincias,MATCH($R$27,Departamento,0)-1,0,COUNTIF(Departamento,$R$27),1)</formula1>
    </dataValidation>
    <dataValidation type="list" errorStyle="information" allowBlank="1" showInputMessage="1" showErrorMessage="1" errorTitle="ACTS" error="DEPARTAMENTO NO VÁLIDO" sqref="R27" xr:uid="{00000000-0002-0000-0000-000006000000}">
      <formula1>Departamentos</formula1>
    </dataValidation>
    <dataValidation type="list" allowBlank="1" showInputMessage="1" showErrorMessage="1" sqref="J33:J299" xr:uid="{00000000-0002-0000-0000-000007000000}">
      <formula1>EstadoCivil</formula1>
    </dataValidation>
    <dataValidation type="list" allowBlank="1" showInputMessage="1" showErrorMessage="1" sqref="K33:K299" xr:uid="{00000000-0002-0000-0000-000008000000}">
      <formula1>Sexo</formula1>
    </dataValidation>
    <dataValidation type="custom" allowBlank="1" showInputMessage="1" showErrorMessage="1" error="E-Mail duplicado._x000a__x000a_Por favor ingrese un correo electrónico distinto._x000a_ " sqref="R33:R299" xr:uid="{00000000-0002-0000-0000-000009000000}">
      <formula1>COUNTIF($R$33:$R$299,R33)=1</formula1>
    </dataValidation>
    <dataValidation type="list" allowBlank="1" showInputMessage="1" showErrorMessage="1" sqref="L33:L299" xr:uid="{00000000-0002-0000-0000-00000A000000}">
      <formula1>Nacionalidades</formula1>
    </dataValidation>
    <dataValidation type="custom" allowBlank="1" showInputMessage="1" showErrorMessage="1" error="E-Mail duplicado._x000a__x000a_Por favor ingrese un correo electrónico distinto._x000a_ " sqref="N33:N299" xr:uid="{00000000-0002-0000-0000-00000B000000}">
      <formula1>COUNTIF($N$33:$N$299,N33)=1</formula1>
    </dataValidation>
    <dataValidation allowBlank="1" showInputMessage="1" showErrorMessage="1" prompt="Se debe ingresar el correo electrónico en el campo &quot;Email de contacto&quot;, considerar que es donde se enviará los números de cuentas." sqref="E27:L27" xr:uid="{00000000-0002-0000-0000-00000C000000}"/>
    <dataValidation allowBlank="1" showInputMessage="1" showErrorMessage="1" prompt="Por favor, solo ingresar numeros sin guiones o espacios, de lo contrario, la solicitud será rechazada." sqref="Q23" xr:uid="{00000000-0002-0000-0000-00000D000000}"/>
    <dataValidation allowBlank="1" showInputMessage="1" showErrorMessage="1" prompt="Por favor, solo ingresar solo un correo electrónico, de lo contrario, la solicitud será rechazada." sqref="S23" xr:uid="{00000000-0002-0000-0000-00000E000000}"/>
    <dataValidation type="list" allowBlank="1" showInputMessage="1" showErrorMessage="1" sqref="E33:E1048576" xr:uid="{00000000-0002-0000-0000-00000F000000}">
      <formula1>"1,3,4"</formula1>
    </dataValidation>
    <dataValidation type="list" errorStyle="information" allowBlank="1" showInputMessage="1" showErrorMessage="1" errorTitle="ACTS" error="SUCURSAL NO VÁLIDA" sqref="O33" xr:uid="{814BA15B-CB23-4E2F-AB88-8081AEF1284C}">
      <formula1>sucursal</formula1>
    </dataValidation>
  </dataValidations>
  <printOptions horizontalCentered="1"/>
  <pageMargins left="0" right="0" top="0" bottom="0" header="0" footer="0"/>
  <pageSetup paperSize="8" scale="12" fitToHeight="4" orientation="landscape" horizontalDpi="4294967295" verticalDpi="4294967295" r:id="rId1"/>
  <headerFooter alignWithMargins="0">
    <oddFooter>&amp;C_x000D_&amp;1#&amp;"Calibri"&amp;8&amp;K0000FF Datos elaborados por BCP para uso Interno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9" r:id="rId4" name="ctasueldosoles">
              <controlPr defaultSize="0" autoFill="0" autoLine="0" autoPict="0">
                <anchor moveWithCells="1">
                  <from>
                    <xdr:col>5</xdr:col>
                    <xdr:colOff>514350</xdr:colOff>
                    <xdr:row>20</xdr:row>
                    <xdr:rowOff>228600</xdr:rowOff>
                  </from>
                  <to>
                    <xdr:col>6</xdr:col>
                    <xdr:colOff>742950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5" name="ctasueldodolares">
              <controlPr defaultSize="0" autoFill="0" autoLine="0" autoPict="0">
                <anchor moveWithCells="1">
                  <from>
                    <xdr:col>5</xdr:col>
                    <xdr:colOff>514350</xdr:colOff>
                    <xdr:row>21</xdr:row>
                    <xdr:rowOff>190500</xdr:rowOff>
                  </from>
                  <to>
                    <xdr:col>6</xdr:col>
                    <xdr:colOff>790575</xdr:colOff>
                    <xdr:row>21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6" name="chkcts">
              <controlPr defaultSize="0" autoFill="0" autoLine="0" autoPict="0">
                <anchor moveWithCells="1">
                  <from>
                    <xdr:col>7</xdr:col>
                    <xdr:colOff>723900</xdr:colOff>
                    <xdr:row>21</xdr:row>
                    <xdr:rowOff>38100</xdr:rowOff>
                  </from>
                  <to>
                    <xdr:col>8</xdr:col>
                    <xdr:colOff>733425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" name="ctactssoles">
              <controlPr defaultSize="0" autoFill="0" autoLine="0" autoPict="0">
                <anchor moveWithCells="1">
                  <from>
                    <xdr:col>8</xdr:col>
                    <xdr:colOff>228600</xdr:colOff>
                    <xdr:row>20</xdr:row>
                    <xdr:rowOff>190500</xdr:rowOff>
                  </from>
                  <to>
                    <xdr:col>9</xdr:col>
                    <xdr:colOff>514350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" name="ctactsdolares">
              <controlPr defaultSize="0" autoFill="0" autoLine="0" autoPict="0">
                <anchor moveWithCells="1">
                  <from>
                    <xdr:col>8</xdr:col>
                    <xdr:colOff>228600</xdr:colOff>
                    <xdr:row>21</xdr:row>
                    <xdr:rowOff>152400</xdr:rowOff>
                  </from>
                  <to>
                    <xdr:col>9</xdr:col>
                    <xdr:colOff>514350</xdr:colOff>
                    <xdr:row>21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9" name="Group Box 150">
              <controlPr defaultSize="0" autoFill="0" autoPict="0">
                <anchor moveWithCells="1">
                  <from>
                    <xdr:col>7</xdr:col>
                    <xdr:colOff>476250</xdr:colOff>
                    <xdr:row>20</xdr:row>
                    <xdr:rowOff>95250</xdr:rowOff>
                  </from>
                  <to>
                    <xdr:col>10</xdr:col>
                    <xdr:colOff>371475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0" name="chekcuentasueldo">
              <controlPr defaultSize="0" autoFill="0" autoLine="0" autoPict="0">
                <anchor moveWithCells="1">
                  <from>
                    <xdr:col>3</xdr:col>
                    <xdr:colOff>200025</xdr:colOff>
                    <xdr:row>21</xdr:row>
                    <xdr:rowOff>28575</xdr:rowOff>
                  </from>
                  <to>
                    <xdr:col>4</xdr:col>
                    <xdr:colOff>457200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" name="Group Box 152">
              <controlPr defaultSize="0" autoFill="0" autoPict="0">
                <anchor moveWithCells="1">
                  <from>
                    <xdr:col>2</xdr:col>
                    <xdr:colOff>276225</xdr:colOff>
                    <xdr:row>20</xdr:row>
                    <xdr:rowOff>114300</xdr:rowOff>
                  </from>
                  <to>
                    <xdr:col>6</xdr:col>
                    <xdr:colOff>714375</xdr:colOff>
                    <xdr:row>22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ACTS" error="SUCURSAL NO VALIDA" xr:uid="{29577B88-8B3E-4C3F-9A6A-77AFAC082EC4}">
          <x14:formula1>
            <xm:f>sucursal24!$A$2:$A$82</xm:f>
          </x14:formula1>
          <xm:sqref>C27:D27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E92"/>
  <sheetViews>
    <sheetView topLeftCell="A43" workbookViewId="0">
      <selection activeCell="B83" sqref="B83"/>
    </sheetView>
  </sheetViews>
  <sheetFormatPr baseColWidth="10" defaultRowHeight="12.75" x14ac:dyDescent="0.2"/>
  <cols>
    <col min="1" max="1" width="21.7109375" bestFit="1" customWidth="1"/>
    <col min="2" max="2" width="12.85546875" bestFit="1" customWidth="1"/>
  </cols>
  <sheetData>
    <row r="1" spans="1:2" x14ac:dyDescent="0.2">
      <c r="A1" t="s">
        <v>1926</v>
      </c>
      <c r="B1" t="s">
        <v>1927</v>
      </c>
    </row>
    <row r="2" spans="1:2" x14ac:dyDescent="0.2">
      <c r="A2" t="s">
        <v>35</v>
      </c>
      <c r="B2" s="106" t="s">
        <v>1934</v>
      </c>
    </row>
    <row r="3" spans="1:2" x14ac:dyDescent="0.2">
      <c r="A3" t="s">
        <v>1920</v>
      </c>
      <c r="B3" s="106" t="s">
        <v>1935</v>
      </c>
    </row>
    <row r="4" spans="1:2" x14ac:dyDescent="0.2">
      <c r="A4" t="s">
        <v>36</v>
      </c>
      <c r="B4" s="106" t="s">
        <v>1937</v>
      </c>
    </row>
    <row r="5" spans="1:2" x14ac:dyDescent="0.2">
      <c r="A5" t="s">
        <v>37</v>
      </c>
      <c r="B5" s="106" t="s">
        <v>1936</v>
      </c>
    </row>
    <row r="6" spans="1:2" x14ac:dyDescent="0.2">
      <c r="A6" t="s">
        <v>38</v>
      </c>
      <c r="B6" s="106" t="s">
        <v>1938</v>
      </c>
    </row>
    <row r="7" spans="1:2" x14ac:dyDescent="0.2">
      <c r="A7" t="s">
        <v>1906</v>
      </c>
      <c r="B7" s="106" t="s">
        <v>1940</v>
      </c>
    </row>
    <row r="8" spans="1:2" x14ac:dyDescent="0.2">
      <c r="A8" t="s">
        <v>39</v>
      </c>
      <c r="B8" s="106" t="s">
        <v>1939</v>
      </c>
    </row>
    <row r="9" spans="1:2" x14ac:dyDescent="0.2">
      <c r="A9" t="s">
        <v>40</v>
      </c>
      <c r="B9" s="106" t="s">
        <v>1928</v>
      </c>
    </row>
    <row r="10" spans="1:2" x14ac:dyDescent="0.2">
      <c r="A10" t="s">
        <v>41</v>
      </c>
      <c r="B10" s="106" t="s">
        <v>1942</v>
      </c>
    </row>
    <row r="11" spans="1:2" x14ac:dyDescent="0.2">
      <c r="A11" t="s">
        <v>1993</v>
      </c>
      <c r="B11" s="106" t="s">
        <v>2007</v>
      </c>
    </row>
    <row r="12" spans="1:2" x14ac:dyDescent="0.2">
      <c r="A12" t="s">
        <v>42</v>
      </c>
      <c r="B12" s="106" t="s">
        <v>1941</v>
      </c>
    </row>
    <row r="13" spans="1:2" x14ac:dyDescent="0.2">
      <c r="A13" t="s">
        <v>1995</v>
      </c>
      <c r="B13" s="106" t="s">
        <v>2008</v>
      </c>
    </row>
    <row r="14" spans="1:2" x14ac:dyDescent="0.2">
      <c r="A14" t="s">
        <v>44</v>
      </c>
      <c r="B14" s="106" t="s">
        <v>1970</v>
      </c>
    </row>
    <row r="15" spans="1:2" x14ac:dyDescent="0.2">
      <c r="A15" t="s">
        <v>45</v>
      </c>
      <c r="B15" s="106" t="s">
        <v>1972</v>
      </c>
    </row>
    <row r="16" spans="1:2" x14ac:dyDescent="0.2">
      <c r="A16" t="s">
        <v>46</v>
      </c>
      <c r="B16" s="106" t="s">
        <v>1971</v>
      </c>
    </row>
    <row r="17" spans="1:2" x14ac:dyDescent="0.2">
      <c r="A17" t="s">
        <v>47</v>
      </c>
      <c r="B17" s="106" t="s">
        <v>1973</v>
      </c>
    </row>
    <row r="18" spans="1:2" x14ac:dyDescent="0.2">
      <c r="A18" t="s">
        <v>1996</v>
      </c>
      <c r="B18" s="106" t="s">
        <v>2009</v>
      </c>
    </row>
    <row r="19" spans="1:2" x14ac:dyDescent="0.2">
      <c r="A19" t="s">
        <v>48</v>
      </c>
      <c r="B19" s="106" t="s">
        <v>1975</v>
      </c>
    </row>
    <row r="20" spans="1:2" x14ac:dyDescent="0.2">
      <c r="A20" t="s">
        <v>49</v>
      </c>
      <c r="B20" s="106" t="s">
        <v>1974</v>
      </c>
    </row>
    <row r="21" spans="1:2" x14ac:dyDescent="0.2">
      <c r="A21" t="s">
        <v>50</v>
      </c>
      <c r="B21" s="106" t="s">
        <v>1976</v>
      </c>
    </row>
    <row r="22" spans="1:2" x14ac:dyDescent="0.2">
      <c r="A22" t="s">
        <v>2487</v>
      </c>
      <c r="B22" s="106" t="s">
        <v>2010</v>
      </c>
    </row>
    <row r="23" spans="1:2" x14ac:dyDescent="0.2">
      <c r="A23" t="s">
        <v>1921</v>
      </c>
      <c r="B23" s="106" t="s">
        <v>1977</v>
      </c>
    </row>
    <row r="24" spans="1:2" x14ac:dyDescent="0.2">
      <c r="A24" t="s">
        <v>1997</v>
      </c>
      <c r="B24" s="106" t="s">
        <v>1932</v>
      </c>
    </row>
    <row r="25" spans="1:2" x14ac:dyDescent="0.2">
      <c r="A25" t="s">
        <v>1922</v>
      </c>
      <c r="B25" s="106" t="s">
        <v>1981</v>
      </c>
    </row>
    <row r="26" spans="1:2" x14ac:dyDescent="0.2">
      <c r="A26" t="s">
        <v>1998</v>
      </c>
      <c r="B26" s="106" t="s">
        <v>2010</v>
      </c>
    </row>
    <row r="27" spans="1:2" x14ac:dyDescent="0.2">
      <c r="A27" t="s">
        <v>43</v>
      </c>
      <c r="B27" s="106" t="s">
        <v>1982</v>
      </c>
    </row>
    <row r="28" spans="1:2" x14ac:dyDescent="0.2">
      <c r="A28" t="s">
        <v>2488</v>
      </c>
      <c r="B28" s="106" t="s">
        <v>2489</v>
      </c>
    </row>
    <row r="29" spans="1:2" x14ac:dyDescent="0.2">
      <c r="A29" t="s">
        <v>51</v>
      </c>
      <c r="B29" s="106" t="s">
        <v>1929</v>
      </c>
    </row>
    <row r="30" spans="1:2" x14ac:dyDescent="0.2">
      <c r="A30" t="s">
        <v>1923</v>
      </c>
      <c r="B30" s="106" t="s">
        <v>1980</v>
      </c>
    </row>
    <row r="31" spans="1:2" x14ac:dyDescent="0.2">
      <c r="A31" t="s">
        <v>52</v>
      </c>
      <c r="B31" s="106" t="s">
        <v>1983</v>
      </c>
    </row>
    <row r="32" spans="1:2" x14ac:dyDescent="0.2">
      <c r="A32" t="s">
        <v>53</v>
      </c>
      <c r="B32" s="106" t="s">
        <v>1984</v>
      </c>
    </row>
    <row r="33" spans="1:2" x14ac:dyDescent="0.2">
      <c r="A33" t="s">
        <v>2016</v>
      </c>
      <c r="B33" s="106">
        <v>221</v>
      </c>
    </row>
    <row r="34" spans="1:2" x14ac:dyDescent="0.2">
      <c r="A34" t="s">
        <v>1999</v>
      </c>
      <c r="B34" s="106" t="s">
        <v>2011</v>
      </c>
    </row>
    <row r="35" spans="1:2" x14ac:dyDescent="0.2">
      <c r="A35" t="s">
        <v>2000</v>
      </c>
      <c r="B35" s="106" t="s">
        <v>2012</v>
      </c>
    </row>
    <row r="36" spans="1:2" x14ac:dyDescent="0.2">
      <c r="A36" t="s">
        <v>2014</v>
      </c>
      <c r="B36" s="106" t="s">
        <v>1985</v>
      </c>
    </row>
    <row r="37" spans="1:2" x14ac:dyDescent="0.2">
      <c r="A37" t="s">
        <v>2017</v>
      </c>
      <c r="B37" s="106">
        <v>376</v>
      </c>
    </row>
    <row r="38" spans="1:2" x14ac:dyDescent="0.2">
      <c r="A38" t="s">
        <v>54</v>
      </c>
      <c r="B38" s="106" t="s">
        <v>1986</v>
      </c>
    </row>
    <row r="39" spans="1:2" x14ac:dyDescent="0.2">
      <c r="A39" t="s">
        <v>2015</v>
      </c>
      <c r="B39" s="106">
        <v>385</v>
      </c>
    </row>
    <row r="40" spans="1:2" x14ac:dyDescent="0.2">
      <c r="A40" t="s">
        <v>55</v>
      </c>
      <c r="B40" s="106" t="s">
        <v>1987</v>
      </c>
    </row>
    <row r="41" spans="1:2" x14ac:dyDescent="0.2">
      <c r="A41" t="s">
        <v>56</v>
      </c>
      <c r="B41" s="106" t="s">
        <v>1988</v>
      </c>
    </row>
    <row r="42" spans="1:2" x14ac:dyDescent="0.2">
      <c r="A42" t="s">
        <v>57</v>
      </c>
      <c r="B42" s="106" t="s">
        <v>1989</v>
      </c>
    </row>
    <row r="43" spans="1:2" x14ac:dyDescent="0.2">
      <c r="A43" t="s">
        <v>59</v>
      </c>
      <c r="B43" s="106" t="s">
        <v>1992</v>
      </c>
    </row>
    <row r="44" spans="1:2" x14ac:dyDescent="0.2">
      <c r="A44" t="s">
        <v>60</v>
      </c>
      <c r="B44" s="106" t="s">
        <v>1990</v>
      </c>
    </row>
    <row r="45" spans="1:2" x14ac:dyDescent="0.2">
      <c r="A45" t="s">
        <v>61</v>
      </c>
      <c r="B45" s="106" t="s">
        <v>1979</v>
      </c>
    </row>
    <row r="46" spans="1:2" x14ac:dyDescent="0.2">
      <c r="A46" t="s">
        <v>2001</v>
      </c>
      <c r="B46" s="106" t="s">
        <v>1991</v>
      </c>
    </row>
    <row r="47" spans="1:2" x14ac:dyDescent="0.2">
      <c r="A47" t="s">
        <v>62</v>
      </c>
      <c r="B47" s="106" t="s">
        <v>1978</v>
      </c>
    </row>
    <row r="48" spans="1:2" x14ac:dyDescent="0.2">
      <c r="A48" t="s">
        <v>88</v>
      </c>
      <c r="B48" s="106" t="s">
        <v>1930</v>
      </c>
    </row>
    <row r="49" spans="1:2" x14ac:dyDescent="0.2">
      <c r="A49" t="s">
        <v>76</v>
      </c>
      <c r="B49" s="106" t="s">
        <v>1949</v>
      </c>
    </row>
    <row r="50" spans="1:2" x14ac:dyDescent="0.2">
      <c r="A50" t="s">
        <v>2490</v>
      </c>
      <c r="B50" s="106" t="s">
        <v>2491</v>
      </c>
    </row>
    <row r="51" spans="1:2" x14ac:dyDescent="0.2">
      <c r="A51" t="s">
        <v>34</v>
      </c>
      <c r="B51" s="106" t="s">
        <v>1931</v>
      </c>
    </row>
    <row r="52" spans="1:2" x14ac:dyDescent="0.2">
      <c r="A52" t="s">
        <v>63</v>
      </c>
      <c r="B52" s="106" t="s">
        <v>1950</v>
      </c>
    </row>
    <row r="53" spans="1:2" x14ac:dyDescent="0.2">
      <c r="A53" t="s">
        <v>64</v>
      </c>
      <c r="B53" s="106" t="s">
        <v>1948</v>
      </c>
    </row>
    <row r="54" spans="1:2" x14ac:dyDescent="0.2">
      <c r="A54" t="s">
        <v>65</v>
      </c>
      <c r="B54" s="106" t="s">
        <v>1947</v>
      </c>
    </row>
    <row r="55" spans="1:2" x14ac:dyDescent="0.2">
      <c r="A55" t="s">
        <v>66</v>
      </c>
      <c r="B55" s="106" t="s">
        <v>1951</v>
      </c>
    </row>
    <row r="56" spans="1:2" x14ac:dyDescent="0.2">
      <c r="A56" t="s">
        <v>67</v>
      </c>
      <c r="B56" s="106" t="s">
        <v>1969</v>
      </c>
    </row>
    <row r="57" spans="1:2" x14ac:dyDescent="0.2">
      <c r="A57" t="s">
        <v>68</v>
      </c>
      <c r="B57" s="106" t="s">
        <v>1946</v>
      </c>
    </row>
    <row r="58" spans="1:2" x14ac:dyDescent="0.2">
      <c r="A58" t="s">
        <v>69</v>
      </c>
      <c r="B58" s="106" t="s">
        <v>1952</v>
      </c>
    </row>
    <row r="59" spans="1:2" x14ac:dyDescent="0.2">
      <c r="A59" t="s">
        <v>1924</v>
      </c>
      <c r="B59" s="106" t="s">
        <v>1954</v>
      </c>
    </row>
    <row r="60" spans="1:2" x14ac:dyDescent="0.2">
      <c r="A60" t="s">
        <v>58</v>
      </c>
      <c r="B60" s="106" t="s">
        <v>1953</v>
      </c>
    </row>
    <row r="61" spans="1:2" x14ac:dyDescent="0.2">
      <c r="A61" t="s">
        <v>70</v>
      </c>
      <c r="B61" s="106" t="s">
        <v>1955</v>
      </c>
    </row>
    <row r="62" spans="1:2" x14ac:dyDescent="0.2">
      <c r="A62" t="s">
        <v>71</v>
      </c>
      <c r="B62" s="106" t="s">
        <v>1956</v>
      </c>
    </row>
    <row r="63" spans="1:2" x14ac:dyDescent="0.2">
      <c r="A63" t="s">
        <v>72</v>
      </c>
      <c r="B63" s="106" t="s">
        <v>1958</v>
      </c>
    </row>
    <row r="64" spans="1:2" x14ac:dyDescent="0.2">
      <c r="A64" t="s">
        <v>73</v>
      </c>
      <c r="B64" s="106" t="s">
        <v>1957</v>
      </c>
    </row>
    <row r="65" spans="1:2" x14ac:dyDescent="0.2">
      <c r="A65" t="s">
        <v>74</v>
      </c>
      <c r="B65" s="106" t="s">
        <v>1960</v>
      </c>
    </row>
    <row r="66" spans="1:2" x14ac:dyDescent="0.2">
      <c r="A66" t="s">
        <v>75</v>
      </c>
      <c r="B66" s="106" t="s">
        <v>1961</v>
      </c>
    </row>
    <row r="67" spans="1:2" x14ac:dyDescent="0.2">
      <c r="A67" t="s">
        <v>87</v>
      </c>
      <c r="B67" s="106" t="s">
        <v>1933</v>
      </c>
    </row>
    <row r="68" spans="1:2" x14ac:dyDescent="0.2">
      <c r="A68" t="s">
        <v>77</v>
      </c>
      <c r="B68" s="106" t="s">
        <v>1959</v>
      </c>
    </row>
    <row r="69" spans="1:2" x14ac:dyDescent="0.2">
      <c r="A69" t="s">
        <v>78</v>
      </c>
      <c r="B69" s="106" t="s">
        <v>1962</v>
      </c>
    </row>
    <row r="70" spans="1:2" x14ac:dyDescent="0.2">
      <c r="A70" t="s">
        <v>1994</v>
      </c>
      <c r="B70" s="106" t="s">
        <v>1933</v>
      </c>
    </row>
    <row r="71" spans="1:2" x14ac:dyDescent="0.2">
      <c r="A71" t="s">
        <v>79</v>
      </c>
      <c r="B71" s="106" t="s">
        <v>1944</v>
      </c>
    </row>
    <row r="72" spans="1:2" x14ac:dyDescent="0.2">
      <c r="A72" t="s">
        <v>80</v>
      </c>
      <c r="B72" s="106" t="s">
        <v>1945</v>
      </c>
    </row>
    <row r="73" spans="1:2" x14ac:dyDescent="0.2">
      <c r="A73" t="s">
        <v>2002</v>
      </c>
      <c r="B73" s="106" t="s">
        <v>1963</v>
      </c>
    </row>
    <row r="74" spans="1:2" x14ac:dyDescent="0.2">
      <c r="A74" t="s">
        <v>81</v>
      </c>
      <c r="B74" s="106" t="s">
        <v>1967</v>
      </c>
    </row>
    <row r="75" spans="1:2" x14ac:dyDescent="0.2">
      <c r="A75" t="s">
        <v>2003</v>
      </c>
      <c r="B75" s="106" t="s">
        <v>2005</v>
      </c>
    </row>
    <row r="76" spans="1:2" x14ac:dyDescent="0.2">
      <c r="A76" t="s">
        <v>82</v>
      </c>
      <c r="B76" s="106" t="s">
        <v>1964</v>
      </c>
    </row>
    <row r="77" spans="1:2" x14ac:dyDescent="0.2">
      <c r="A77" t="s">
        <v>83</v>
      </c>
      <c r="B77" s="106" t="s">
        <v>1966</v>
      </c>
    </row>
    <row r="78" spans="1:2" x14ac:dyDescent="0.2">
      <c r="A78" t="s">
        <v>84</v>
      </c>
      <c r="B78" s="106" t="s">
        <v>1965</v>
      </c>
    </row>
    <row r="79" spans="1:2" x14ac:dyDescent="0.2">
      <c r="A79" t="s">
        <v>85</v>
      </c>
      <c r="B79" s="106" t="s">
        <v>1968</v>
      </c>
    </row>
    <row r="80" spans="1:2" x14ac:dyDescent="0.2">
      <c r="A80" t="s">
        <v>2004</v>
      </c>
      <c r="B80" s="106" t="s">
        <v>2006</v>
      </c>
    </row>
    <row r="81" spans="1:5" x14ac:dyDescent="0.2">
      <c r="A81" t="s">
        <v>1925</v>
      </c>
      <c r="B81" s="106" t="s">
        <v>1932</v>
      </c>
    </row>
    <row r="82" spans="1:5" x14ac:dyDescent="0.2">
      <c r="A82" t="s">
        <v>2013</v>
      </c>
      <c r="B82" s="106">
        <v>579</v>
      </c>
    </row>
    <row r="83" spans="1:5" x14ac:dyDescent="0.2">
      <c r="A83" t="s">
        <v>86</v>
      </c>
      <c r="B83" s="106" t="s">
        <v>1943</v>
      </c>
    </row>
    <row r="89" spans="1:5" x14ac:dyDescent="0.2">
      <c r="E89" s="106"/>
    </row>
    <row r="90" spans="1:5" x14ac:dyDescent="0.2">
      <c r="E90" s="106"/>
    </row>
    <row r="91" spans="1:5" x14ac:dyDescent="0.2">
      <c r="E91" s="106"/>
    </row>
    <row r="92" spans="1:5" x14ac:dyDescent="0.2">
      <c r="E92" s="106"/>
    </row>
  </sheetData>
  <phoneticPr fontId="4" type="noConversion"/>
  <pageMargins left="0.75" right="0.75" top="1" bottom="1" header="0" footer="0"/>
  <headerFooter alignWithMargins="0">
    <oddFooter>&amp;C_x000D_&amp;1#&amp;"Calibri"&amp;8&amp;K0000FF Datos elaborados por BCP para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3:L9"/>
  <sheetViews>
    <sheetView workbookViewId="0">
      <selection activeCell="E4" sqref="E4:L9"/>
    </sheetView>
  </sheetViews>
  <sheetFormatPr baseColWidth="10" defaultRowHeight="12.75" x14ac:dyDescent="0.2"/>
  <cols>
    <col min="5" max="5" width="6.7109375" bestFit="1" customWidth="1"/>
    <col min="6" max="6" width="18" bestFit="1" customWidth="1"/>
    <col min="7" max="7" width="10.42578125" customWidth="1"/>
    <col min="8" max="8" width="6.7109375" bestFit="1" customWidth="1"/>
    <col min="9" max="9" width="10.7109375" bestFit="1" customWidth="1"/>
    <col min="10" max="10" width="10.7109375" customWidth="1"/>
    <col min="11" max="11" width="6.7109375" bestFit="1" customWidth="1"/>
    <col min="12" max="12" width="9.42578125" bestFit="1" customWidth="1"/>
  </cols>
  <sheetData>
    <row r="3" spans="2:12" x14ac:dyDescent="0.2">
      <c r="B3" s="1" t="s">
        <v>25</v>
      </c>
      <c r="C3" s="1" t="s">
        <v>25</v>
      </c>
    </row>
    <row r="4" spans="2:12" ht="15" x14ac:dyDescent="0.2">
      <c r="B4" s="2" t="s">
        <v>21</v>
      </c>
      <c r="C4" s="2" t="s">
        <v>23</v>
      </c>
      <c r="E4" s="4" t="s">
        <v>1802</v>
      </c>
      <c r="F4" s="4" t="s">
        <v>1797</v>
      </c>
      <c r="H4" s="4" t="s">
        <v>1802</v>
      </c>
      <c r="I4" s="4" t="s">
        <v>1803</v>
      </c>
      <c r="K4" s="5" t="s">
        <v>1802</v>
      </c>
      <c r="L4" s="1" t="s">
        <v>1814</v>
      </c>
    </row>
    <row r="5" spans="2:12" ht="15" x14ac:dyDescent="0.2">
      <c r="B5" s="2" t="s">
        <v>22</v>
      </c>
      <c r="C5" s="2" t="s">
        <v>24</v>
      </c>
      <c r="E5">
        <v>1</v>
      </c>
      <c r="F5" t="s">
        <v>1798</v>
      </c>
      <c r="H5" t="s">
        <v>1804</v>
      </c>
      <c r="I5" t="s">
        <v>1805</v>
      </c>
      <c r="K5" s="1" t="s">
        <v>1816</v>
      </c>
      <c r="L5" s="1" t="s">
        <v>1815</v>
      </c>
    </row>
    <row r="6" spans="2:12" x14ac:dyDescent="0.2">
      <c r="E6">
        <v>2</v>
      </c>
      <c r="F6" t="s">
        <v>1799</v>
      </c>
      <c r="H6" t="s">
        <v>1807</v>
      </c>
      <c r="I6" t="s">
        <v>1806</v>
      </c>
      <c r="K6" s="1" t="s">
        <v>1817</v>
      </c>
      <c r="L6" s="1" t="s">
        <v>1818</v>
      </c>
    </row>
    <row r="7" spans="2:12" x14ac:dyDescent="0.2">
      <c r="E7">
        <v>3</v>
      </c>
      <c r="F7" t="s">
        <v>1800</v>
      </c>
      <c r="H7" t="s">
        <v>1808</v>
      </c>
      <c r="I7" t="s">
        <v>1809</v>
      </c>
    </row>
    <row r="8" spans="2:12" x14ac:dyDescent="0.2">
      <c r="E8">
        <v>4</v>
      </c>
      <c r="F8" t="s">
        <v>1801</v>
      </c>
      <c r="H8" t="s">
        <v>1810</v>
      </c>
      <c r="I8" t="s">
        <v>1811</v>
      </c>
    </row>
    <row r="9" spans="2:12" x14ac:dyDescent="0.2">
      <c r="H9" t="s">
        <v>1812</v>
      </c>
      <c r="I9" t="s">
        <v>1813</v>
      </c>
    </row>
  </sheetData>
  <phoneticPr fontId="0" type="noConversion"/>
  <pageMargins left="0.7" right="0.7" top="0.75" bottom="0.75" header="0.3" footer="0.3"/>
  <pageSetup orientation="portrait" r:id="rId1"/>
  <headerFooter>
    <oddFooter>&amp;C_x000D_&amp;1#&amp;"Calibri"&amp;8&amp;K0000FF Datos elaborados por BCP para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9"/>
  <sheetViews>
    <sheetView workbookViewId="0">
      <selection activeCell="B2" sqref="B2:B19"/>
    </sheetView>
  </sheetViews>
  <sheetFormatPr baseColWidth="10" defaultRowHeight="12.75" x14ac:dyDescent="0.2"/>
  <cols>
    <col min="2" max="2" width="20.28515625" bestFit="1" customWidth="1"/>
  </cols>
  <sheetData>
    <row r="1" spans="1:2" x14ac:dyDescent="0.2">
      <c r="A1" t="s">
        <v>91</v>
      </c>
      <c r="B1" t="s">
        <v>92</v>
      </c>
    </row>
    <row r="2" spans="1:2" x14ac:dyDescent="0.2">
      <c r="A2" t="s">
        <v>93</v>
      </c>
      <c r="B2" t="s">
        <v>94</v>
      </c>
    </row>
    <row r="3" spans="1:2" x14ac:dyDescent="0.2">
      <c r="A3" t="s">
        <v>95</v>
      </c>
      <c r="B3" t="s">
        <v>96</v>
      </c>
    </row>
    <row r="4" spans="1:2" x14ac:dyDescent="0.2">
      <c r="A4" t="s">
        <v>97</v>
      </c>
      <c r="B4" t="s">
        <v>98</v>
      </c>
    </row>
    <row r="5" spans="1:2" x14ac:dyDescent="0.2">
      <c r="A5" t="s">
        <v>99</v>
      </c>
      <c r="B5" t="s">
        <v>100</v>
      </c>
    </row>
    <row r="6" spans="1:2" x14ac:dyDescent="0.2">
      <c r="A6" t="s">
        <v>101</v>
      </c>
      <c r="B6" t="s">
        <v>102</v>
      </c>
    </row>
    <row r="7" spans="1:2" x14ac:dyDescent="0.2">
      <c r="A7" t="s">
        <v>103</v>
      </c>
      <c r="B7" t="s">
        <v>104</v>
      </c>
    </row>
    <row r="8" spans="1:2" x14ac:dyDescent="0.2">
      <c r="A8" t="s">
        <v>105</v>
      </c>
      <c r="B8" t="s">
        <v>106</v>
      </c>
    </row>
    <row r="9" spans="1:2" x14ac:dyDescent="0.2">
      <c r="A9" t="s">
        <v>107</v>
      </c>
      <c r="B9" t="s">
        <v>108</v>
      </c>
    </row>
    <row r="10" spans="1:2" x14ac:dyDescent="0.2">
      <c r="A10" t="s">
        <v>109</v>
      </c>
      <c r="B10" t="s">
        <v>110</v>
      </c>
    </row>
    <row r="11" spans="1:2" x14ac:dyDescent="0.2">
      <c r="A11" t="s">
        <v>111</v>
      </c>
      <c r="B11" t="s">
        <v>112</v>
      </c>
    </row>
    <row r="12" spans="1:2" x14ac:dyDescent="0.2">
      <c r="A12" t="s">
        <v>113</v>
      </c>
      <c r="B12" t="s">
        <v>114</v>
      </c>
    </row>
    <row r="13" spans="1:2" x14ac:dyDescent="0.2">
      <c r="A13" t="s">
        <v>115</v>
      </c>
      <c r="B13" t="s">
        <v>116</v>
      </c>
    </row>
    <row r="14" spans="1:2" x14ac:dyDescent="0.2">
      <c r="A14" t="s">
        <v>117</v>
      </c>
      <c r="B14" t="s">
        <v>118</v>
      </c>
    </row>
    <row r="15" spans="1:2" x14ac:dyDescent="0.2">
      <c r="A15" t="s">
        <v>119</v>
      </c>
      <c r="B15" t="s">
        <v>120</v>
      </c>
    </row>
    <row r="16" spans="1:2" x14ac:dyDescent="0.2">
      <c r="A16" t="s">
        <v>121</v>
      </c>
      <c r="B16" t="s">
        <v>122</v>
      </c>
    </row>
    <row r="17" spans="1:2" x14ac:dyDescent="0.2">
      <c r="A17" t="s">
        <v>123</v>
      </c>
      <c r="B17" t="s">
        <v>124</v>
      </c>
    </row>
    <row r="18" spans="1:2" x14ac:dyDescent="0.2">
      <c r="A18" t="s">
        <v>125</v>
      </c>
      <c r="B18" t="s">
        <v>126</v>
      </c>
    </row>
    <row r="19" spans="1:2" x14ac:dyDescent="0.2">
      <c r="A19" t="s">
        <v>127</v>
      </c>
      <c r="B19" t="s">
        <v>128</v>
      </c>
    </row>
  </sheetData>
  <pageMargins left="0.7" right="0.7" top="0.75" bottom="0.75" header="0.3" footer="0.3"/>
  <headerFooter>
    <oddFooter>&amp;C_x000D_&amp;1#&amp;"Calibri"&amp;8&amp;K0000FF Datos elaborados por BCP para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4"/>
  <sheetViews>
    <sheetView workbookViewId="0">
      <selection activeCell="B11" sqref="B11"/>
    </sheetView>
  </sheetViews>
  <sheetFormatPr baseColWidth="10" defaultRowHeight="12.75" x14ac:dyDescent="0.2"/>
  <cols>
    <col min="1" max="1" width="11.140625" bestFit="1" customWidth="1"/>
  </cols>
  <sheetData>
    <row r="1" spans="1:1" x14ac:dyDescent="0.2">
      <c r="A1" t="s">
        <v>129</v>
      </c>
    </row>
    <row r="2" spans="1:1" x14ac:dyDescent="0.2">
      <c r="A2" t="s">
        <v>130</v>
      </c>
    </row>
    <row r="3" spans="1:1" x14ac:dyDescent="0.2">
      <c r="A3" t="s">
        <v>131</v>
      </c>
    </row>
    <row r="4" spans="1:1" x14ac:dyDescent="0.2">
      <c r="A4" t="s">
        <v>132</v>
      </c>
    </row>
  </sheetData>
  <pageMargins left="0.7" right="0.7" top="0.75" bottom="0.75" header="0.3" footer="0.3"/>
  <headerFooter>
    <oddFooter>&amp;C_x000D_&amp;1#&amp;"Calibri"&amp;8&amp;K0000FF Datos elaborados por BCP para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H1823"/>
  <sheetViews>
    <sheetView zoomScaleNormal="100" workbookViewId="0">
      <selection activeCell="F1232" sqref="F1232"/>
    </sheetView>
  </sheetViews>
  <sheetFormatPr baseColWidth="10" defaultRowHeight="12.75" x14ac:dyDescent="0.2"/>
  <cols>
    <col min="1" max="1" width="15.28515625" bestFit="1" customWidth="1"/>
    <col min="2" max="2" width="20.85546875" bestFit="1" customWidth="1"/>
    <col min="3" max="3" width="14.85546875" bestFit="1" customWidth="1"/>
    <col min="4" max="4" width="20.85546875" bestFit="1" customWidth="1"/>
    <col min="6" max="6" width="14.85546875" bestFit="1" customWidth="1"/>
    <col min="7" max="7" width="20.85546875" bestFit="1" customWidth="1"/>
    <col min="8" max="8" width="35.140625" customWidth="1"/>
    <col min="19" max="19" width="11.42578125" customWidth="1"/>
  </cols>
  <sheetData>
    <row r="1" spans="1:8" ht="15" x14ac:dyDescent="0.2">
      <c r="A1" s="152" t="s">
        <v>133</v>
      </c>
      <c r="C1" s="152" t="s">
        <v>134</v>
      </c>
      <c r="D1" s="152"/>
      <c r="F1" s="152" t="s">
        <v>135</v>
      </c>
      <c r="G1" s="152"/>
      <c r="H1" s="152"/>
    </row>
    <row r="2" spans="1:8" ht="15" x14ac:dyDescent="0.2">
      <c r="A2" s="152"/>
      <c r="C2" s="3" t="s">
        <v>136</v>
      </c>
      <c r="D2" s="3" t="s">
        <v>8</v>
      </c>
      <c r="F2" s="3" t="s">
        <v>136</v>
      </c>
      <c r="G2" s="3" t="s">
        <v>8</v>
      </c>
      <c r="H2" s="3" t="s">
        <v>13</v>
      </c>
    </row>
    <row r="3" spans="1:8" x14ac:dyDescent="0.2">
      <c r="A3" s="77" t="s">
        <v>137</v>
      </c>
      <c r="C3" s="80" t="s">
        <v>137</v>
      </c>
      <c r="D3" s="81" t="s">
        <v>138</v>
      </c>
      <c r="F3" s="83" t="s">
        <v>137</v>
      </c>
      <c r="G3" s="84" t="s">
        <v>138</v>
      </c>
      <c r="H3" s="85" t="s">
        <v>139</v>
      </c>
    </row>
    <row r="4" spans="1:8" x14ac:dyDescent="0.2">
      <c r="A4" s="77" t="s">
        <v>140</v>
      </c>
      <c r="C4" s="80" t="s">
        <v>137</v>
      </c>
      <c r="D4" s="81" t="s">
        <v>141</v>
      </c>
      <c r="F4" s="83" t="s">
        <v>137</v>
      </c>
      <c r="G4" s="84" t="s">
        <v>138</v>
      </c>
      <c r="H4" s="85" t="s">
        <v>142</v>
      </c>
    </row>
    <row r="5" spans="1:8" x14ac:dyDescent="0.2">
      <c r="A5" s="77" t="s">
        <v>143</v>
      </c>
      <c r="C5" s="80" t="s">
        <v>137</v>
      </c>
      <c r="D5" s="81" t="s">
        <v>144</v>
      </c>
      <c r="F5" s="83" t="s">
        <v>137</v>
      </c>
      <c r="G5" s="84" t="s">
        <v>138</v>
      </c>
      <c r="H5" s="85" t="s">
        <v>145</v>
      </c>
    </row>
    <row r="6" spans="1:8" x14ac:dyDescent="0.2">
      <c r="A6" s="77" t="s">
        <v>146</v>
      </c>
      <c r="C6" s="80" t="s">
        <v>137</v>
      </c>
      <c r="D6" s="81" t="s">
        <v>147</v>
      </c>
      <c r="F6" s="83" t="s">
        <v>137</v>
      </c>
      <c r="G6" s="84" t="s">
        <v>138</v>
      </c>
      <c r="H6" s="85" t="s">
        <v>148</v>
      </c>
    </row>
    <row r="7" spans="1:8" x14ac:dyDescent="0.2">
      <c r="A7" s="77" t="s">
        <v>149</v>
      </c>
      <c r="C7" s="80" t="s">
        <v>137</v>
      </c>
      <c r="D7" s="81" t="s">
        <v>150</v>
      </c>
      <c r="F7" s="83" t="s">
        <v>137</v>
      </c>
      <c r="G7" s="84" t="s">
        <v>138</v>
      </c>
      <c r="H7" s="85" t="s">
        <v>151</v>
      </c>
    </row>
    <row r="8" spans="1:8" x14ac:dyDescent="0.2">
      <c r="A8" s="77" t="s">
        <v>152</v>
      </c>
      <c r="C8" s="80" t="s">
        <v>137</v>
      </c>
      <c r="D8" s="81" t="s">
        <v>153</v>
      </c>
      <c r="F8" s="83" t="s">
        <v>137</v>
      </c>
      <c r="G8" s="84" t="s">
        <v>138</v>
      </c>
      <c r="H8" s="85" t="s">
        <v>154</v>
      </c>
    </row>
    <row r="9" spans="1:8" x14ac:dyDescent="0.2">
      <c r="A9" s="77" t="s">
        <v>155</v>
      </c>
      <c r="C9" s="80" t="s">
        <v>137</v>
      </c>
      <c r="D9" s="81" t="s">
        <v>156</v>
      </c>
      <c r="F9" s="83" t="s">
        <v>137</v>
      </c>
      <c r="G9" s="84" t="s">
        <v>141</v>
      </c>
      <c r="H9" s="85" t="s">
        <v>157</v>
      </c>
    </row>
    <row r="10" spans="1:8" x14ac:dyDescent="0.2">
      <c r="A10" s="78" t="s">
        <v>158</v>
      </c>
      <c r="C10" s="80" t="s">
        <v>137</v>
      </c>
      <c r="D10" s="81" t="s">
        <v>159</v>
      </c>
      <c r="F10" s="83" t="s">
        <v>137</v>
      </c>
      <c r="G10" s="84" t="s">
        <v>141</v>
      </c>
      <c r="H10" s="85" t="s">
        <v>160</v>
      </c>
    </row>
    <row r="11" spans="1:8" x14ac:dyDescent="0.2">
      <c r="A11" s="77" t="s">
        <v>161</v>
      </c>
      <c r="C11" s="80" t="s">
        <v>140</v>
      </c>
      <c r="D11" s="81" t="s">
        <v>162</v>
      </c>
      <c r="F11" s="83" t="s">
        <v>137</v>
      </c>
      <c r="G11" s="84" t="s">
        <v>141</v>
      </c>
      <c r="H11" s="85" t="s">
        <v>163</v>
      </c>
    </row>
    <row r="12" spans="1:8" x14ac:dyDescent="0.2">
      <c r="A12" s="77" t="s">
        <v>164</v>
      </c>
      <c r="C12" s="80" t="s">
        <v>140</v>
      </c>
      <c r="D12" s="81" t="s">
        <v>165</v>
      </c>
      <c r="F12" s="83" t="s">
        <v>137</v>
      </c>
      <c r="G12" s="84" t="s">
        <v>141</v>
      </c>
      <c r="H12" s="85" t="s">
        <v>166</v>
      </c>
    </row>
    <row r="13" spans="1:8" x14ac:dyDescent="0.2">
      <c r="A13" s="77" t="s">
        <v>167</v>
      </c>
      <c r="C13" s="80" t="s">
        <v>140</v>
      </c>
      <c r="D13" s="81" t="s">
        <v>168</v>
      </c>
      <c r="F13" s="83" t="s">
        <v>137</v>
      </c>
      <c r="G13" s="84" t="s">
        <v>141</v>
      </c>
      <c r="H13" s="85" t="s">
        <v>169</v>
      </c>
    </row>
    <row r="14" spans="1:8" x14ac:dyDescent="0.2">
      <c r="A14" s="77" t="s">
        <v>170</v>
      </c>
      <c r="C14" s="80" t="s">
        <v>140</v>
      </c>
      <c r="D14" s="81" t="s">
        <v>171</v>
      </c>
      <c r="F14" s="83" t="s">
        <v>137</v>
      </c>
      <c r="G14" s="84" t="s">
        <v>141</v>
      </c>
      <c r="H14" s="85" t="s">
        <v>172</v>
      </c>
    </row>
    <row r="15" spans="1:8" x14ac:dyDescent="0.2">
      <c r="A15" s="77" t="s">
        <v>173</v>
      </c>
      <c r="C15" s="80" t="s">
        <v>140</v>
      </c>
      <c r="D15" s="81" t="s">
        <v>174</v>
      </c>
      <c r="F15" s="83" t="s">
        <v>137</v>
      </c>
      <c r="G15" s="84" t="s">
        <v>141</v>
      </c>
      <c r="H15" s="85" t="s">
        <v>175</v>
      </c>
    </row>
    <row r="16" spans="1:8" x14ac:dyDescent="0.2">
      <c r="A16" s="77" t="s">
        <v>176</v>
      </c>
      <c r="C16" s="80" t="s">
        <v>140</v>
      </c>
      <c r="D16" s="81" t="s">
        <v>177</v>
      </c>
      <c r="F16" s="83" t="s">
        <v>137</v>
      </c>
      <c r="G16" s="84" t="s">
        <v>141</v>
      </c>
      <c r="H16" s="85" t="s">
        <v>178</v>
      </c>
    </row>
    <row r="17" spans="1:8" x14ac:dyDescent="0.2">
      <c r="A17" s="77" t="s">
        <v>179</v>
      </c>
      <c r="C17" s="80" t="s">
        <v>140</v>
      </c>
      <c r="D17" s="81" t="s">
        <v>180</v>
      </c>
      <c r="F17" s="83" t="s">
        <v>137</v>
      </c>
      <c r="G17" s="84" t="s">
        <v>141</v>
      </c>
      <c r="H17" s="85" t="s">
        <v>181</v>
      </c>
    </row>
    <row r="18" spans="1:8" x14ac:dyDescent="0.2">
      <c r="A18" s="77" t="s">
        <v>182</v>
      </c>
      <c r="C18" s="80" t="s">
        <v>140</v>
      </c>
      <c r="D18" s="81" t="s">
        <v>183</v>
      </c>
      <c r="F18" s="83" t="s">
        <v>137</v>
      </c>
      <c r="G18" s="84" t="s">
        <v>141</v>
      </c>
      <c r="H18" s="85" t="s">
        <v>184</v>
      </c>
    </row>
    <row r="19" spans="1:8" x14ac:dyDescent="0.2">
      <c r="A19" s="77" t="s">
        <v>185</v>
      </c>
      <c r="C19" s="80" t="s">
        <v>140</v>
      </c>
      <c r="D19" s="81" t="s">
        <v>186</v>
      </c>
      <c r="F19" s="83" t="s">
        <v>137</v>
      </c>
      <c r="G19" s="84" t="s">
        <v>141</v>
      </c>
      <c r="H19" s="85" t="s">
        <v>187</v>
      </c>
    </row>
    <row r="20" spans="1:8" x14ac:dyDescent="0.2">
      <c r="A20" s="77" t="s">
        <v>188</v>
      </c>
      <c r="C20" s="80" t="s">
        <v>140</v>
      </c>
      <c r="D20" s="81" t="s">
        <v>189</v>
      </c>
      <c r="F20" s="83" t="s">
        <v>137</v>
      </c>
      <c r="G20" s="84" t="s">
        <v>141</v>
      </c>
      <c r="H20" s="85" t="s">
        <v>190</v>
      </c>
    </row>
    <row r="21" spans="1:8" x14ac:dyDescent="0.2">
      <c r="A21" s="78" t="s">
        <v>191</v>
      </c>
      <c r="C21" s="80" t="s">
        <v>140</v>
      </c>
      <c r="D21" s="81" t="s">
        <v>192</v>
      </c>
      <c r="F21" s="83" t="s">
        <v>137</v>
      </c>
      <c r="G21" s="84" t="s">
        <v>144</v>
      </c>
      <c r="H21" s="85" t="s">
        <v>193</v>
      </c>
    </row>
    <row r="22" spans="1:8" x14ac:dyDescent="0.2">
      <c r="A22" s="77" t="s">
        <v>194</v>
      </c>
      <c r="C22" s="80" t="s">
        <v>140</v>
      </c>
      <c r="D22" s="81" t="s">
        <v>195</v>
      </c>
      <c r="F22" s="83" t="s">
        <v>137</v>
      </c>
      <c r="G22" s="84" t="s">
        <v>144</v>
      </c>
      <c r="H22" s="85" t="s">
        <v>196</v>
      </c>
    </row>
    <row r="23" spans="1:8" x14ac:dyDescent="0.2">
      <c r="A23" s="79" t="s">
        <v>197</v>
      </c>
      <c r="C23" s="80" t="s">
        <v>140</v>
      </c>
      <c r="D23" s="81" t="s">
        <v>198</v>
      </c>
      <c r="F23" s="83" t="s">
        <v>137</v>
      </c>
      <c r="G23" s="84" t="s">
        <v>144</v>
      </c>
      <c r="H23" s="85" t="s">
        <v>199</v>
      </c>
    </row>
    <row r="24" spans="1:8" x14ac:dyDescent="0.2">
      <c r="A24" s="78" t="s">
        <v>200</v>
      </c>
      <c r="C24" s="80" t="s">
        <v>140</v>
      </c>
      <c r="D24" s="81" t="s">
        <v>201</v>
      </c>
      <c r="F24" s="83" t="s">
        <v>137</v>
      </c>
      <c r="G24" s="84" t="s">
        <v>147</v>
      </c>
      <c r="H24" s="85" t="s">
        <v>165</v>
      </c>
    </row>
    <row r="25" spans="1:8" x14ac:dyDescent="0.2">
      <c r="A25" s="78" t="s">
        <v>202</v>
      </c>
      <c r="C25" s="80" t="s">
        <v>140</v>
      </c>
      <c r="D25" s="81" t="s">
        <v>203</v>
      </c>
      <c r="F25" s="83" t="s">
        <v>137</v>
      </c>
      <c r="G25" s="84" t="s">
        <v>147</v>
      </c>
      <c r="H25" s="85" t="s">
        <v>204</v>
      </c>
    </row>
    <row r="26" spans="1:8" x14ac:dyDescent="0.2">
      <c r="A26" s="77" t="s">
        <v>205</v>
      </c>
      <c r="C26" s="80" t="s">
        <v>140</v>
      </c>
      <c r="D26" s="81" t="s">
        <v>206</v>
      </c>
      <c r="F26" s="83" t="s">
        <v>137</v>
      </c>
      <c r="G26" s="84" t="s">
        <v>147</v>
      </c>
      <c r="H26" s="85" t="s">
        <v>147</v>
      </c>
    </row>
    <row r="27" spans="1:8" x14ac:dyDescent="0.2">
      <c r="A27" s="77" t="s">
        <v>207</v>
      </c>
      <c r="C27" s="80" t="s">
        <v>140</v>
      </c>
      <c r="D27" s="81" t="s">
        <v>208</v>
      </c>
      <c r="F27" s="83" t="s">
        <v>137</v>
      </c>
      <c r="G27" s="84" t="s">
        <v>147</v>
      </c>
      <c r="H27" s="85" t="s">
        <v>209</v>
      </c>
    </row>
    <row r="28" spans="1:8" x14ac:dyDescent="0.2">
      <c r="C28" s="80" t="s">
        <v>140</v>
      </c>
      <c r="D28" s="81" t="s">
        <v>210</v>
      </c>
      <c r="F28" s="83" t="s">
        <v>137</v>
      </c>
      <c r="G28" s="84" t="s">
        <v>147</v>
      </c>
      <c r="H28" s="85" t="s">
        <v>211</v>
      </c>
    </row>
    <row r="29" spans="1:8" x14ac:dyDescent="0.2">
      <c r="C29" s="80" t="s">
        <v>143</v>
      </c>
      <c r="D29" s="81" t="s">
        <v>212</v>
      </c>
      <c r="F29" s="83" t="s">
        <v>137</v>
      </c>
      <c r="G29" s="84" t="s">
        <v>147</v>
      </c>
      <c r="H29" s="85" t="s">
        <v>213</v>
      </c>
    </row>
    <row r="30" spans="1:8" x14ac:dyDescent="0.2">
      <c r="C30" s="80" t="s">
        <v>143</v>
      </c>
      <c r="D30" s="81" t="s">
        <v>214</v>
      </c>
      <c r="F30" s="83" t="s">
        <v>137</v>
      </c>
      <c r="G30" s="84" t="s">
        <v>147</v>
      </c>
      <c r="H30" s="85" t="s">
        <v>215</v>
      </c>
    </row>
    <row r="31" spans="1:8" x14ac:dyDescent="0.2">
      <c r="C31" s="80" t="s">
        <v>143</v>
      </c>
      <c r="D31" s="81" t="s">
        <v>216</v>
      </c>
      <c r="F31" s="83" t="s">
        <v>137</v>
      </c>
      <c r="G31" s="84" t="s">
        <v>147</v>
      </c>
      <c r="H31" s="85" t="s">
        <v>217</v>
      </c>
    </row>
    <row r="32" spans="1:8" x14ac:dyDescent="0.2">
      <c r="C32" s="80" t="s">
        <v>143</v>
      </c>
      <c r="D32" s="81" t="s">
        <v>218</v>
      </c>
      <c r="F32" s="83" t="s">
        <v>137</v>
      </c>
      <c r="G32" s="84" t="s">
        <v>147</v>
      </c>
      <c r="H32" s="85" t="s">
        <v>219</v>
      </c>
    </row>
    <row r="33" spans="3:8" x14ac:dyDescent="0.2">
      <c r="C33" s="80" t="s">
        <v>143</v>
      </c>
      <c r="D33" s="81" t="s">
        <v>220</v>
      </c>
      <c r="F33" s="83" t="s">
        <v>137</v>
      </c>
      <c r="G33" s="84" t="s">
        <v>147</v>
      </c>
      <c r="H33" s="85" t="s">
        <v>221</v>
      </c>
    </row>
    <row r="34" spans="3:8" x14ac:dyDescent="0.2">
      <c r="C34" s="80" t="s">
        <v>143</v>
      </c>
      <c r="D34" s="81" t="s">
        <v>222</v>
      </c>
      <c r="F34" s="83" t="s">
        <v>137</v>
      </c>
      <c r="G34" s="84" t="s">
        <v>147</v>
      </c>
      <c r="H34" s="85" t="s">
        <v>223</v>
      </c>
    </row>
    <row r="35" spans="3:8" x14ac:dyDescent="0.2">
      <c r="C35" s="80" t="s">
        <v>143</v>
      </c>
      <c r="D35" s="81" t="s">
        <v>224</v>
      </c>
      <c r="F35" s="83" t="s">
        <v>137</v>
      </c>
      <c r="G35" s="84" t="s">
        <v>147</v>
      </c>
      <c r="H35" s="85" t="s">
        <v>1838</v>
      </c>
    </row>
    <row r="36" spans="3:8" x14ac:dyDescent="0.2">
      <c r="C36" s="80" t="s">
        <v>146</v>
      </c>
      <c r="D36" s="81" t="s">
        <v>146</v>
      </c>
      <c r="F36" s="83" t="s">
        <v>137</v>
      </c>
      <c r="G36" s="84" t="s">
        <v>147</v>
      </c>
      <c r="H36" s="85" t="s">
        <v>226</v>
      </c>
    </row>
    <row r="37" spans="3:8" x14ac:dyDescent="0.2">
      <c r="C37" s="80" t="s">
        <v>146</v>
      </c>
      <c r="D37" s="81" t="s">
        <v>227</v>
      </c>
      <c r="F37" s="83" t="s">
        <v>137</v>
      </c>
      <c r="G37" s="84" t="s">
        <v>147</v>
      </c>
      <c r="H37" s="85" t="s">
        <v>228</v>
      </c>
    </row>
    <row r="38" spans="3:8" x14ac:dyDescent="0.2">
      <c r="C38" s="80" t="s">
        <v>146</v>
      </c>
      <c r="D38" s="81" t="s">
        <v>229</v>
      </c>
      <c r="F38" s="83" t="s">
        <v>137</v>
      </c>
      <c r="G38" s="84" t="s">
        <v>147</v>
      </c>
      <c r="H38" s="85" t="s">
        <v>230</v>
      </c>
    </row>
    <row r="39" spans="3:8" x14ac:dyDescent="0.2">
      <c r="C39" s="80" t="s">
        <v>146</v>
      </c>
      <c r="D39" s="81" t="s">
        <v>231</v>
      </c>
      <c r="F39" s="83" t="s">
        <v>137</v>
      </c>
      <c r="G39" s="84" t="s">
        <v>147</v>
      </c>
      <c r="H39" s="85" t="s">
        <v>232</v>
      </c>
    </row>
    <row r="40" spans="3:8" x14ac:dyDescent="0.2">
      <c r="C40" s="80" t="s">
        <v>146</v>
      </c>
      <c r="D40" s="81" t="s">
        <v>233</v>
      </c>
      <c r="F40" s="83" t="s">
        <v>137</v>
      </c>
      <c r="G40" s="84" t="s">
        <v>147</v>
      </c>
      <c r="H40" s="85" t="s">
        <v>234</v>
      </c>
    </row>
    <row r="41" spans="3:8" x14ac:dyDescent="0.2">
      <c r="C41" s="80" t="s">
        <v>146</v>
      </c>
      <c r="D41" s="81" t="s">
        <v>235</v>
      </c>
      <c r="F41" s="83" t="s">
        <v>137</v>
      </c>
      <c r="G41" s="84" t="s">
        <v>147</v>
      </c>
      <c r="H41" s="85" t="s">
        <v>236</v>
      </c>
    </row>
    <row r="42" spans="3:8" x14ac:dyDescent="0.2">
      <c r="C42" s="80" t="s">
        <v>146</v>
      </c>
      <c r="D42" s="81" t="s">
        <v>237</v>
      </c>
      <c r="F42" s="83" t="s">
        <v>137</v>
      </c>
      <c r="G42" s="84" t="s">
        <v>147</v>
      </c>
      <c r="H42" s="85" t="s">
        <v>238</v>
      </c>
    </row>
    <row r="43" spans="3:8" x14ac:dyDescent="0.2">
      <c r="C43" s="80" t="s">
        <v>146</v>
      </c>
      <c r="D43" s="81" t="s">
        <v>239</v>
      </c>
      <c r="F43" s="83" t="s">
        <v>137</v>
      </c>
      <c r="G43" s="84" t="s">
        <v>147</v>
      </c>
      <c r="H43" s="85" t="s">
        <v>240</v>
      </c>
    </row>
    <row r="44" spans="3:8" x14ac:dyDescent="0.2">
      <c r="C44" s="80" t="s">
        <v>149</v>
      </c>
      <c r="D44" s="81" t="s">
        <v>241</v>
      </c>
      <c r="F44" s="83" t="s">
        <v>137</v>
      </c>
      <c r="G44" s="84" t="s">
        <v>147</v>
      </c>
      <c r="H44" s="85" t="s">
        <v>242</v>
      </c>
    </row>
    <row r="45" spans="3:8" x14ac:dyDescent="0.2">
      <c r="C45" s="80" t="s">
        <v>149</v>
      </c>
      <c r="D45" s="81" t="s">
        <v>243</v>
      </c>
      <c r="F45" s="83" t="s">
        <v>137</v>
      </c>
      <c r="G45" s="84" t="s">
        <v>150</v>
      </c>
      <c r="H45" s="85" t="s">
        <v>244</v>
      </c>
    </row>
    <row r="46" spans="3:8" x14ac:dyDescent="0.2">
      <c r="C46" s="80" t="s">
        <v>149</v>
      </c>
      <c r="D46" s="81" t="s">
        <v>245</v>
      </c>
      <c r="F46" s="83" t="s">
        <v>137</v>
      </c>
      <c r="G46" s="84" t="s">
        <v>150</v>
      </c>
      <c r="H46" s="85" t="s">
        <v>246</v>
      </c>
    </row>
    <row r="47" spans="3:8" x14ac:dyDescent="0.2">
      <c r="C47" s="80" t="s">
        <v>149</v>
      </c>
      <c r="D47" s="81" t="s">
        <v>247</v>
      </c>
      <c r="F47" s="83" t="s">
        <v>137</v>
      </c>
      <c r="G47" s="84" t="s">
        <v>150</v>
      </c>
      <c r="H47" s="85" t="s">
        <v>248</v>
      </c>
    </row>
    <row r="48" spans="3:8" x14ac:dyDescent="0.2">
      <c r="C48" s="80" t="s">
        <v>149</v>
      </c>
      <c r="D48" s="81" t="s">
        <v>249</v>
      </c>
      <c r="F48" s="83" t="s">
        <v>137</v>
      </c>
      <c r="G48" s="84" t="s">
        <v>150</v>
      </c>
      <c r="H48" s="85" t="s">
        <v>250</v>
      </c>
    </row>
    <row r="49" spans="3:8" x14ac:dyDescent="0.2">
      <c r="C49" s="80" t="s">
        <v>149</v>
      </c>
      <c r="D49" s="81" t="s">
        <v>251</v>
      </c>
      <c r="F49" s="83" t="s">
        <v>137</v>
      </c>
      <c r="G49" s="84" t="s">
        <v>150</v>
      </c>
      <c r="H49" s="85" t="s">
        <v>252</v>
      </c>
    </row>
    <row r="50" spans="3:8" x14ac:dyDescent="0.2">
      <c r="C50" s="80" t="s">
        <v>149</v>
      </c>
      <c r="D50" s="81" t="s">
        <v>253</v>
      </c>
      <c r="F50" s="83" t="s">
        <v>137</v>
      </c>
      <c r="G50" s="84" t="s">
        <v>150</v>
      </c>
      <c r="H50" s="85" t="s">
        <v>254</v>
      </c>
    </row>
    <row r="51" spans="3:8" x14ac:dyDescent="0.2">
      <c r="C51" s="80" t="s">
        <v>149</v>
      </c>
      <c r="D51" s="81" t="s">
        <v>255</v>
      </c>
      <c r="F51" s="83" t="s">
        <v>137</v>
      </c>
      <c r="G51" s="84" t="s">
        <v>150</v>
      </c>
      <c r="H51" s="85" t="s">
        <v>256</v>
      </c>
    </row>
    <row r="52" spans="3:8" x14ac:dyDescent="0.2">
      <c r="C52" s="80" t="s">
        <v>149</v>
      </c>
      <c r="D52" s="81" t="s">
        <v>257</v>
      </c>
      <c r="F52" s="83" t="s">
        <v>137</v>
      </c>
      <c r="G52" s="84" t="s">
        <v>150</v>
      </c>
      <c r="H52" s="85" t="s">
        <v>258</v>
      </c>
    </row>
    <row r="53" spans="3:8" x14ac:dyDescent="0.2">
      <c r="C53" s="80" t="s">
        <v>149</v>
      </c>
      <c r="D53" s="81" t="s">
        <v>259</v>
      </c>
      <c r="F53" s="83" t="s">
        <v>137</v>
      </c>
      <c r="G53" s="84" t="s">
        <v>150</v>
      </c>
      <c r="H53" s="85" t="s">
        <v>150</v>
      </c>
    </row>
    <row r="54" spans="3:8" x14ac:dyDescent="0.2">
      <c r="C54" s="80" t="s">
        <v>149</v>
      </c>
      <c r="D54" s="81" t="s">
        <v>260</v>
      </c>
      <c r="F54" s="83" t="s">
        <v>137</v>
      </c>
      <c r="G54" s="84" t="s">
        <v>150</v>
      </c>
      <c r="H54" s="85" t="s">
        <v>261</v>
      </c>
    </row>
    <row r="55" spans="3:8" x14ac:dyDescent="0.2">
      <c r="C55" s="80" t="s">
        <v>152</v>
      </c>
      <c r="D55" s="81" t="s">
        <v>262</v>
      </c>
      <c r="F55" s="83" t="s">
        <v>137</v>
      </c>
      <c r="G55" s="84" t="s">
        <v>150</v>
      </c>
      <c r="H55" s="85" t="s">
        <v>263</v>
      </c>
    </row>
    <row r="56" spans="3:8" x14ac:dyDescent="0.2">
      <c r="C56" s="80" t="s">
        <v>152</v>
      </c>
      <c r="D56" s="81" t="s">
        <v>152</v>
      </c>
      <c r="F56" s="83" t="s">
        <v>137</v>
      </c>
      <c r="G56" s="84" t="s">
        <v>150</v>
      </c>
      <c r="H56" s="85" t="s">
        <v>264</v>
      </c>
    </row>
    <row r="57" spans="3:8" x14ac:dyDescent="0.2">
      <c r="C57" s="80" t="s">
        <v>152</v>
      </c>
      <c r="D57" s="81" t="s">
        <v>265</v>
      </c>
      <c r="F57" s="83" t="s">
        <v>137</v>
      </c>
      <c r="G57" s="84" t="s">
        <v>150</v>
      </c>
      <c r="H57" s="85" t="s">
        <v>266</v>
      </c>
    </row>
    <row r="58" spans="3:8" x14ac:dyDescent="0.2">
      <c r="C58" s="80" t="s">
        <v>152</v>
      </c>
      <c r="D58" s="81" t="s">
        <v>267</v>
      </c>
      <c r="F58" s="83" t="s">
        <v>137</v>
      </c>
      <c r="G58" s="84" t="s">
        <v>150</v>
      </c>
      <c r="H58" s="85" t="s">
        <v>268</v>
      </c>
    </row>
    <row r="59" spans="3:8" x14ac:dyDescent="0.2">
      <c r="C59" s="80" t="s">
        <v>152</v>
      </c>
      <c r="D59" s="81" t="s">
        <v>269</v>
      </c>
      <c r="F59" s="83" t="s">
        <v>137</v>
      </c>
      <c r="G59" s="84" t="s">
        <v>150</v>
      </c>
      <c r="H59" s="85" t="s">
        <v>270</v>
      </c>
    </row>
    <row r="60" spans="3:8" x14ac:dyDescent="0.2">
      <c r="C60" s="80" t="s">
        <v>152</v>
      </c>
      <c r="D60" s="81" t="s">
        <v>271</v>
      </c>
      <c r="F60" s="83" t="s">
        <v>137</v>
      </c>
      <c r="G60" s="84" t="s">
        <v>150</v>
      </c>
      <c r="H60" s="85" t="s">
        <v>272</v>
      </c>
    </row>
    <row r="61" spans="3:8" x14ac:dyDescent="0.2">
      <c r="C61" s="80" t="s">
        <v>152</v>
      </c>
      <c r="D61" s="81" t="s">
        <v>273</v>
      </c>
      <c r="F61" s="83" t="s">
        <v>137</v>
      </c>
      <c r="G61" s="84" t="s">
        <v>150</v>
      </c>
      <c r="H61" s="85" t="s">
        <v>274</v>
      </c>
    </row>
    <row r="62" spans="3:8" x14ac:dyDescent="0.2">
      <c r="C62" s="80" t="s">
        <v>152</v>
      </c>
      <c r="D62" s="81" t="s">
        <v>275</v>
      </c>
      <c r="F62" s="83" t="s">
        <v>137</v>
      </c>
      <c r="G62" s="84" t="s">
        <v>150</v>
      </c>
      <c r="H62" s="85" t="s">
        <v>276</v>
      </c>
    </row>
    <row r="63" spans="3:8" x14ac:dyDescent="0.2">
      <c r="C63" s="80" t="s">
        <v>152</v>
      </c>
      <c r="D63" s="81" t="s">
        <v>277</v>
      </c>
      <c r="F63" s="83" t="s">
        <v>137</v>
      </c>
      <c r="G63" s="84" t="s">
        <v>150</v>
      </c>
      <c r="H63" s="85" t="s">
        <v>278</v>
      </c>
    </row>
    <row r="64" spans="3:8" x14ac:dyDescent="0.2">
      <c r="C64" s="80" t="s">
        <v>152</v>
      </c>
      <c r="D64" s="81" t="s">
        <v>279</v>
      </c>
      <c r="F64" s="83" t="s">
        <v>137</v>
      </c>
      <c r="G64" s="84" t="s">
        <v>150</v>
      </c>
      <c r="H64" s="85" t="s">
        <v>280</v>
      </c>
    </row>
    <row r="65" spans="3:8" x14ac:dyDescent="0.2">
      <c r="C65" s="80" t="s">
        <v>152</v>
      </c>
      <c r="D65" s="81" t="s">
        <v>281</v>
      </c>
      <c r="F65" s="83" t="s">
        <v>137</v>
      </c>
      <c r="G65" s="84" t="s">
        <v>150</v>
      </c>
      <c r="H65" s="85" t="s">
        <v>282</v>
      </c>
    </row>
    <row r="66" spans="3:8" x14ac:dyDescent="0.2">
      <c r="C66" s="80" t="s">
        <v>152</v>
      </c>
      <c r="D66" s="81" t="s">
        <v>283</v>
      </c>
      <c r="F66" s="83" t="s">
        <v>137</v>
      </c>
      <c r="G66" s="84" t="s">
        <v>150</v>
      </c>
      <c r="H66" s="85" t="s">
        <v>284</v>
      </c>
    </row>
    <row r="67" spans="3:8" x14ac:dyDescent="0.2">
      <c r="C67" s="80" t="s">
        <v>152</v>
      </c>
      <c r="D67" s="81" t="s">
        <v>285</v>
      </c>
      <c r="F67" s="83" t="s">
        <v>137</v>
      </c>
      <c r="G67" s="84" t="s">
        <v>150</v>
      </c>
      <c r="H67" s="85" t="s">
        <v>286</v>
      </c>
    </row>
    <row r="68" spans="3:8" x14ac:dyDescent="0.2">
      <c r="C68" s="80" t="s">
        <v>155</v>
      </c>
      <c r="D68" s="81" t="s">
        <v>155</v>
      </c>
      <c r="F68" s="83" t="s">
        <v>137</v>
      </c>
      <c r="G68" s="84" t="s">
        <v>153</v>
      </c>
      <c r="H68" s="85" t="s">
        <v>287</v>
      </c>
    </row>
    <row r="69" spans="3:8" x14ac:dyDescent="0.2">
      <c r="C69" s="82" t="s">
        <v>158</v>
      </c>
      <c r="D69" s="81" t="s">
        <v>288</v>
      </c>
      <c r="F69" s="83" t="s">
        <v>137</v>
      </c>
      <c r="G69" s="84" t="s">
        <v>153</v>
      </c>
      <c r="H69" s="85" t="s">
        <v>289</v>
      </c>
    </row>
    <row r="70" spans="3:8" x14ac:dyDescent="0.2">
      <c r="C70" s="82" t="s">
        <v>158</v>
      </c>
      <c r="D70" s="82" t="s">
        <v>290</v>
      </c>
      <c r="F70" s="83" t="s">
        <v>137</v>
      </c>
      <c r="G70" s="84" t="s">
        <v>153</v>
      </c>
      <c r="H70" s="85" t="s">
        <v>291</v>
      </c>
    </row>
    <row r="71" spans="3:8" x14ac:dyDescent="0.2">
      <c r="C71" s="82" t="s">
        <v>158</v>
      </c>
      <c r="D71" s="82" t="s">
        <v>292</v>
      </c>
      <c r="F71" s="83" t="s">
        <v>137</v>
      </c>
      <c r="G71" s="84" t="s">
        <v>153</v>
      </c>
      <c r="H71" s="85" t="s">
        <v>293</v>
      </c>
    </row>
    <row r="72" spans="3:8" x14ac:dyDescent="0.2">
      <c r="C72" s="82" t="s">
        <v>158</v>
      </c>
      <c r="D72" s="81" t="s">
        <v>294</v>
      </c>
      <c r="F72" s="83" t="s">
        <v>137</v>
      </c>
      <c r="G72" s="84" t="s">
        <v>153</v>
      </c>
      <c r="H72" s="85" t="s">
        <v>295</v>
      </c>
    </row>
    <row r="73" spans="3:8" x14ac:dyDescent="0.2">
      <c r="C73" s="82" t="s">
        <v>158</v>
      </c>
      <c r="D73" s="81" t="s">
        <v>296</v>
      </c>
      <c r="F73" s="83" t="s">
        <v>137</v>
      </c>
      <c r="G73" s="84" t="s">
        <v>153</v>
      </c>
      <c r="H73" s="85" t="s">
        <v>297</v>
      </c>
    </row>
    <row r="74" spans="3:8" x14ac:dyDescent="0.2">
      <c r="C74" s="82" t="s">
        <v>158</v>
      </c>
      <c r="D74" s="81" t="s">
        <v>1837</v>
      </c>
      <c r="F74" s="83" t="s">
        <v>137</v>
      </c>
      <c r="G74" s="84" t="s">
        <v>153</v>
      </c>
      <c r="H74" s="85" t="s">
        <v>298</v>
      </c>
    </row>
    <row r="75" spans="3:8" x14ac:dyDescent="0.2">
      <c r="C75" s="82" t="s">
        <v>158</v>
      </c>
      <c r="D75" s="81" t="s">
        <v>158</v>
      </c>
      <c r="F75" s="83" t="s">
        <v>137</v>
      </c>
      <c r="G75" s="84" t="s">
        <v>153</v>
      </c>
      <c r="H75" s="85" t="s">
        <v>299</v>
      </c>
    </row>
    <row r="76" spans="3:8" x14ac:dyDescent="0.2">
      <c r="C76" s="82" t="s">
        <v>158</v>
      </c>
      <c r="D76" s="81" t="s">
        <v>300</v>
      </c>
      <c r="F76" s="83" t="s">
        <v>137</v>
      </c>
      <c r="G76" s="84" t="s">
        <v>153</v>
      </c>
      <c r="H76" s="85" t="s">
        <v>301</v>
      </c>
    </row>
    <row r="77" spans="3:8" x14ac:dyDescent="0.2">
      <c r="C77" s="82" t="s">
        <v>158</v>
      </c>
      <c r="D77" s="81" t="s">
        <v>302</v>
      </c>
      <c r="F77" s="83" t="s">
        <v>137</v>
      </c>
      <c r="G77" s="84" t="s">
        <v>153</v>
      </c>
      <c r="H77" s="85" t="s">
        <v>303</v>
      </c>
    </row>
    <row r="78" spans="3:8" x14ac:dyDescent="0.2">
      <c r="C78" s="82" t="s">
        <v>158</v>
      </c>
      <c r="D78" s="81" t="s">
        <v>304</v>
      </c>
      <c r="F78" s="83" t="s">
        <v>137</v>
      </c>
      <c r="G78" s="84" t="s">
        <v>153</v>
      </c>
      <c r="H78" s="85" t="s">
        <v>305</v>
      </c>
    </row>
    <row r="79" spans="3:8" x14ac:dyDescent="0.2">
      <c r="C79" s="82" t="s">
        <v>158</v>
      </c>
      <c r="D79" s="81" t="s">
        <v>306</v>
      </c>
      <c r="F79" s="83" t="s">
        <v>137</v>
      </c>
      <c r="G79" s="84" t="s">
        <v>153</v>
      </c>
      <c r="H79" s="85" t="s">
        <v>307</v>
      </c>
    </row>
    <row r="80" spans="3:8" x14ac:dyDescent="0.2">
      <c r="C80" s="82" t="s">
        <v>158</v>
      </c>
      <c r="D80" s="81" t="s">
        <v>308</v>
      </c>
      <c r="F80" s="83" t="s">
        <v>137</v>
      </c>
      <c r="G80" s="84" t="s">
        <v>156</v>
      </c>
      <c r="H80" s="85" t="s">
        <v>309</v>
      </c>
    </row>
    <row r="81" spans="3:8" x14ac:dyDescent="0.2">
      <c r="C81" s="82" t="s">
        <v>158</v>
      </c>
      <c r="D81" s="82" t="s">
        <v>310</v>
      </c>
      <c r="F81" s="83" t="s">
        <v>137</v>
      </c>
      <c r="G81" s="84" t="s">
        <v>156</v>
      </c>
      <c r="H81" s="85" t="s">
        <v>311</v>
      </c>
    </row>
    <row r="82" spans="3:8" x14ac:dyDescent="0.2">
      <c r="C82" s="80" t="s">
        <v>161</v>
      </c>
      <c r="D82" s="81" t="s">
        <v>312</v>
      </c>
      <c r="F82" s="83" t="s">
        <v>137</v>
      </c>
      <c r="G82" s="84" t="s">
        <v>156</v>
      </c>
      <c r="H82" s="85" t="s">
        <v>313</v>
      </c>
    </row>
    <row r="83" spans="3:8" x14ac:dyDescent="0.2">
      <c r="C83" s="80" t="s">
        <v>161</v>
      </c>
      <c r="D83" s="81" t="s">
        <v>314</v>
      </c>
      <c r="F83" s="83" t="s">
        <v>137</v>
      </c>
      <c r="G83" s="84" t="s">
        <v>156</v>
      </c>
      <c r="H83" s="85" t="s">
        <v>315</v>
      </c>
    </row>
    <row r="84" spans="3:8" x14ac:dyDescent="0.2">
      <c r="C84" s="80" t="s">
        <v>161</v>
      </c>
      <c r="D84" s="81" t="s">
        <v>316</v>
      </c>
      <c r="F84" s="83" t="s">
        <v>137</v>
      </c>
      <c r="G84" s="84" t="s">
        <v>156</v>
      </c>
      <c r="H84" s="85" t="s">
        <v>317</v>
      </c>
    </row>
    <row r="85" spans="3:8" x14ac:dyDescent="0.2">
      <c r="C85" s="80" t="s">
        <v>161</v>
      </c>
      <c r="D85" s="81" t="s">
        <v>318</v>
      </c>
      <c r="F85" s="83" t="s">
        <v>137</v>
      </c>
      <c r="G85" s="84" t="s">
        <v>156</v>
      </c>
      <c r="H85" s="85" t="s">
        <v>319</v>
      </c>
    </row>
    <row r="86" spans="3:8" x14ac:dyDescent="0.2">
      <c r="C86" s="80" t="s">
        <v>161</v>
      </c>
      <c r="D86" s="81" t="s">
        <v>161</v>
      </c>
      <c r="F86" s="83" t="s">
        <v>137</v>
      </c>
      <c r="G86" s="84" t="s">
        <v>156</v>
      </c>
      <c r="H86" s="85" t="s">
        <v>320</v>
      </c>
    </row>
    <row r="87" spans="3:8" x14ac:dyDescent="0.2">
      <c r="C87" s="80" t="s">
        <v>161</v>
      </c>
      <c r="D87" s="81" t="s">
        <v>321</v>
      </c>
      <c r="F87" s="83" t="s">
        <v>137</v>
      </c>
      <c r="G87" s="84" t="s">
        <v>159</v>
      </c>
      <c r="H87" s="85" t="s">
        <v>159</v>
      </c>
    </row>
    <row r="88" spans="3:8" x14ac:dyDescent="0.2">
      <c r="C88" s="80" t="s">
        <v>161</v>
      </c>
      <c r="D88" s="81" t="s">
        <v>322</v>
      </c>
      <c r="F88" s="83" t="s">
        <v>137</v>
      </c>
      <c r="G88" s="84" t="s">
        <v>159</v>
      </c>
      <c r="H88" s="85" t="s">
        <v>323</v>
      </c>
    </row>
    <row r="89" spans="3:8" x14ac:dyDescent="0.2">
      <c r="C89" s="80" t="s">
        <v>164</v>
      </c>
      <c r="D89" s="81" t="s">
        <v>324</v>
      </c>
      <c r="F89" s="83" t="s">
        <v>137</v>
      </c>
      <c r="G89" s="84" t="s">
        <v>159</v>
      </c>
      <c r="H89" s="85" t="s">
        <v>325</v>
      </c>
    </row>
    <row r="90" spans="3:8" x14ac:dyDescent="0.2">
      <c r="C90" s="80" t="s">
        <v>164</v>
      </c>
      <c r="D90" s="81" t="s">
        <v>326</v>
      </c>
      <c r="F90" s="83" t="s">
        <v>137</v>
      </c>
      <c r="G90" s="84" t="s">
        <v>159</v>
      </c>
      <c r="H90" s="85" t="s">
        <v>327</v>
      </c>
    </row>
    <row r="91" spans="3:8" x14ac:dyDescent="0.2">
      <c r="C91" s="80" t="s">
        <v>164</v>
      </c>
      <c r="D91" s="81" t="s">
        <v>328</v>
      </c>
      <c r="F91" s="83" t="s">
        <v>137</v>
      </c>
      <c r="G91" s="84" t="s">
        <v>159</v>
      </c>
      <c r="H91" s="85" t="s">
        <v>329</v>
      </c>
    </row>
    <row r="92" spans="3:8" x14ac:dyDescent="0.2">
      <c r="C92" s="80" t="s">
        <v>164</v>
      </c>
      <c r="D92" s="81" t="s">
        <v>330</v>
      </c>
      <c r="F92" s="83" t="s">
        <v>140</v>
      </c>
      <c r="G92" s="84" t="s">
        <v>162</v>
      </c>
      <c r="H92" s="85" t="s">
        <v>331</v>
      </c>
    </row>
    <row r="93" spans="3:8" x14ac:dyDescent="0.2">
      <c r="C93" s="80" t="s">
        <v>164</v>
      </c>
      <c r="D93" s="81" t="s">
        <v>164</v>
      </c>
      <c r="F93" s="83" t="s">
        <v>140</v>
      </c>
      <c r="G93" s="84" t="s">
        <v>162</v>
      </c>
      <c r="H93" s="85" t="s">
        <v>332</v>
      </c>
    </row>
    <row r="94" spans="3:8" x14ac:dyDescent="0.2">
      <c r="C94" s="80" t="s">
        <v>164</v>
      </c>
      <c r="D94" s="81" t="s">
        <v>333</v>
      </c>
      <c r="F94" s="83" t="s">
        <v>140</v>
      </c>
      <c r="G94" s="84" t="s">
        <v>162</v>
      </c>
      <c r="H94" s="85" t="s">
        <v>334</v>
      </c>
    </row>
    <row r="95" spans="3:8" x14ac:dyDescent="0.2">
      <c r="C95" s="80" t="s">
        <v>164</v>
      </c>
      <c r="D95" s="81" t="s">
        <v>335</v>
      </c>
      <c r="F95" s="83" t="s">
        <v>140</v>
      </c>
      <c r="G95" s="84" t="s">
        <v>162</v>
      </c>
      <c r="H95" s="85" t="s">
        <v>336</v>
      </c>
    </row>
    <row r="96" spans="3:8" x14ac:dyDescent="0.2">
      <c r="C96" s="80" t="s">
        <v>164</v>
      </c>
      <c r="D96" s="81" t="s">
        <v>337</v>
      </c>
      <c r="F96" s="83" t="s">
        <v>140</v>
      </c>
      <c r="G96" s="84" t="s">
        <v>162</v>
      </c>
      <c r="H96" s="85" t="s">
        <v>338</v>
      </c>
    </row>
    <row r="97" spans="3:8" x14ac:dyDescent="0.2">
      <c r="C97" s="80" t="s">
        <v>164</v>
      </c>
      <c r="D97" s="81" t="s">
        <v>339</v>
      </c>
      <c r="F97" s="83" t="s">
        <v>140</v>
      </c>
      <c r="G97" s="84" t="s">
        <v>162</v>
      </c>
      <c r="H97" s="85" t="s">
        <v>340</v>
      </c>
    </row>
    <row r="98" spans="3:8" x14ac:dyDescent="0.2">
      <c r="C98" s="80" t="s">
        <v>164</v>
      </c>
      <c r="D98" s="81" t="s">
        <v>341</v>
      </c>
      <c r="F98" s="83" t="s">
        <v>140</v>
      </c>
      <c r="G98" s="84" t="s">
        <v>165</v>
      </c>
      <c r="H98" s="85" t="s">
        <v>342</v>
      </c>
    </row>
    <row r="99" spans="3:8" x14ac:dyDescent="0.2">
      <c r="C99" s="80" t="s">
        <v>167</v>
      </c>
      <c r="D99" s="81" t="s">
        <v>343</v>
      </c>
      <c r="F99" s="83" t="s">
        <v>140</v>
      </c>
      <c r="G99" s="84" t="s">
        <v>165</v>
      </c>
      <c r="H99" s="85" t="s">
        <v>344</v>
      </c>
    </row>
    <row r="100" spans="3:8" x14ac:dyDescent="0.2">
      <c r="C100" s="80" t="s">
        <v>167</v>
      </c>
      <c r="D100" s="81" t="s">
        <v>167</v>
      </c>
      <c r="F100" s="83" t="s">
        <v>140</v>
      </c>
      <c r="G100" s="84" t="s">
        <v>168</v>
      </c>
      <c r="H100" s="85" t="s">
        <v>345</v>
      </c>
    </row>
    <row r="101" spans="3:8" x14ac:dyDescent="0.2">
      <c r="C101" s="80" t="s">
        <v>167</v>
      </c>
      <c r="D101" s="81" t="s">
        <v>346</v>
      </c>
      <c r="F101" s="83" t="s">
        <v>140</v>
      </c>
      <c r="G101" s="84" t="s">
        <v>168</v>
      </c>
      <c r="H101" s="85" t="s">
        <v>347</v>
      </c>
    </row>
    <row r="102" spans="3:8" x14ac:dyDescent="0.2">
      <c r="C102" s="80" t="s">
        <v>167</v>
      </c>
      <c r="D102" s="81" t="s">
        <v>348</v>
      </c>
      <c r="F102" s="83" t="s">
        <v>140</v>
      </c>
      <c r="G102" s="84" t="s">
        <v>168</v>
      </c>
      <c r="H102" s="85" t="s">
        <v>162</v>
      </c>
    </row>
    <row r="103" spans="3:8" x14ac:dyDescent="0.2">
      <c r="C103" s="80" t="s">
        <v>167</v>
      </c>
      <c r="D103" s="81" t="s">
        <v>349</v>
      </c>
      <c r="F103" s="83" t="s">
        <v>140</v>
      </c>
      <c r="G103" s="84" t="s">
        <v>168</v>
      </c>
      <c r="H103" s="85" t="s">
        <v>350</v>
      </c>
    </row>
    <row r="104" spans="3:8" x14ac:dyDescent="0.2">
      <c r="C104" s="80" t="s">
        <v>170</v>
      </c>
      <c r="D104" s="81" t="s">
        <v>351</v>
      </c>
      <c r="F104" s="83" t="s">
        <v>140</v>
      </c>
      <c r="G104" s="84" t="s">
        <v>168</v>
      </c>
      <c r="H104" s="85" t="s">
        <v>352</v>
      </c>
    </row>
    <row r="105" spans="3:8" x14ac:dyDescent="0.2">
      <c r="C105" s="80" t="s">
        <v>170</v>
      </c>
      <c r="D105" s="81" t="s">
        <v>353</v>
      </c>
      <c r="F105" s="83" t="s">
        <v>140</v>
      </c>
      <c r="G105" s="84" t="s">
        <v>168</v>
      </c>
      <c r="H105" s="85" t="s">
        <v>354</v>
      </c>
    </row>
    <row r="106" spans="3:8" x14ac:dyDescent="0.2">
      <c r="C106" s="80" t="s">
        <v>170</v>
      </c>
      <c r="D106" s="81" t="s">
        <v>355</v>
      </c>
      <c r="F106" s="83" t="s">
        <v>140</v>
      </c>
      <c r="G106" s="84" t="s">
        <v>168</v>
      </c>
      <c r="H106" s="85" t="s">
        <v>356</v>
      </c>
    </row>
    <row r="107" spans="3:8" x14ac:dyDescent="0.2">
      <c r="C107" s="80" t="s">
        <v>170</v>
      </c>
      <c r="D107" s="81" t="s">
        <v>357</v>
      </c>
      <c r="F107" s="83" t="s">
        <v>140</v>
      </c>
      <c r="G107" s="84" t="s">
        <v>168</v>
      </c>
      <c r="H107" s="85" t="s">
        <v>358</v>
      </c>
    </row>
    <row r="108" spans="3:8" x14ac:dyDescent="0.2">
      <c r="C108" s="80" t="s">
        <v>170</v>
      </c>
      <c r="D108" s="81" t="s">
        <v>359</v>
      </c>
      <c r="F108" s="83" t="s">
        <v>140</v>
      </c>
      <c r="G108" s="84" t="s">
        <v>168</v>
      </c>
      <c r="H108" s="85" t="s">
        <v>360</v>
      </c>
    </row>
    <row r="109" spans="3:8" x14ac:dyDescent="0.2">
      <c r="C109" s="80" t="s">
        <v>170</v>
      </c>
      <c r="D109" s="81" t="s">
        <v>170</v>
      </c>
      <c r="F109" s="83" t="s">
        <v>140</v>
      </c>
      <c r="G109" s="84" t="s">
        <v>168</v>
      </c>
      <c r="H109" s="85" t="s">
        <v>361</v>
      </c>
    </row>
    <row r="110" spans="3:8" x14ac:dyDescent="0.2">
      <c r="C110" s="80" t="s">
        <v>170</v>
      </c>
      <c r="D110" s="81" t="s">
        <v>362</v>
      </c>
      <c r="F110" s="83" t="s">
        <v>140</v>
      </c>
      <c r="G110" s="84" t="s">
        <v>168</v>
      </c>
      <c r="H110" s="85" t="s">
        <v>363</v>
      </c>
    </row>
    <row r="111" spans="3:8" x14ac:dyDescent="0.2">
      <c r="C111" s="80" t="s">
        <v>170</v>
      </c>
      <c r="D111" s="81" t="s">
        <v>364</v>
      </c>
      <c r="F111" s="83" t="s">
        <v>140</v>
      </c>
      <c r="G111" s="84" t="s">
        <v>168</v>
      </c>
      <c r="H111" s="85" t="s">
        <v>365</v>
      </c>
    </row>
    <row r="112" spans="3:8" x14ac:dyDescent="0.2">
      <c r="C112" s="80" t="s">
        <v>170</v>
      </c>
      <c r="D112" s="81" t="s">
        <v>366</v>
      </c>
      <c r="F112" s="83" t="s">
        <v>140</v>
      </c>
      <c r="G112" s="84" t="s">
        <v>168</v>
      </c>
      <c r="H112" s="85" t="s">
        <v>367</v>
      </c>
    </row>
    <row r="113" spans="3:8" x14ac:dyDescent="0.2">
      <c r="C113" s="80" t="s">
        <v>173</v>
      </c>
      <c r="D113" s="81" t="s">
        <v>368</v>
      </c>
      <c r="F113" s="83" t="s">
        <v>140</v>
      </c>
      <c r="G113" s="84" t="s">
        <v>168</v>
      </c>
      <c r="H113" s="85" t="s">
        <v>369</v>
      </c>
    </row>
    <row r="114" spans="3:8" x14ac:dyDescent="0.2">
      <c r="C114" s="80" t="s">
        <v>173</v>
      </c>
      <c r="D114" s="81" t="s">
        <v>370</v>
      </c>
      <c r="F114" s="83" t="s">
        <v>140</v>
      </c>
      <c r="G114" s="84" t="s">
        <v>168</v>
      </c>
      <c r="H114" s="85" t="s">
        <v>371</v>
      </c>
    </row>
    <row r="115" spans="3:8" x14ac:dyDescent="0.2">
      <c r="C115" s="80" t="s">
        <v>173</v>
      </c>
      <c r="D115" s="81" t="s">
        <v>372</v>
      </c>
      <c r="F115" s="83" t="s">
        <v>140</v>
      </c>
      <c r="G115" s="84" t="s">
        <v>168</v>
      </c>
      <c r="H115" s="85" t="s">
        <v>373</v>
      </c>
    </row>
    <row r="116" spans="3:8" x14ac:dyDescent="0.2">
      <c r="C116" s="80" t="s">
        <v>173</v>
      </c>
      <c r="D116" s="81" t="s">
        <v>374</v>
      </c>
      <c r="F116" s="83" t="s">
        <v>140</v>
      </c>
      <c r="G116" s="84" t="s">
        <v>168</v>
      </c>
      <c r="H116" s="85" t="s">
        <v>375</v>
      </c>
    </row>
    <row r="117" spans="3:8" x14ac:dyDescent="0.2">
      <c r="C117" s="80" t="s">
        <v>173</v>
      </c>
      <c r="D117" s="81" t="s">
        <v>376</v>
      </c>
      <c r="F117" s="83" t="s">
        <v>140</v>
      </c>
      <c r="G117" s="84" t="s">
        <v>168</v>
      </c>
      <c r="H117" s="85" t="s">
        <v>377</v>
      </c>
    </row>
    <row r="118" spans="3:8" x14ac:dyDescent="0.2">
      <c r="C118" s="80" t="s">
        <v>173</v>
      </c>
      <c r="D118" s="81" t="s">
        <v>378</v>
      </c>
      <c r="F118" s="83" t="s">
        <v>140</v>
      </c>
      <c r="G118" s="84" t="s">
        <v>168</v>
      </c>
      <c r="H118" s="85" t="s">
        <v>379</v>
      </c>
    </row>
    <row r="119" spans="3:8" x14ac:dyDescent="0.2">
      <c r="C119" s="80" t="s">
        <v>173</v>
      </c>
      <c r="D119" s="81" t="s">
        <v>380</v>
      </c>
      <c r="F119" s="83" t="s">
        <v>140</v>
      </c>
      <c r="G119" s="84" t="s">
        <v>168</v>
      </c>
      <c r="H119" s="85" t="s">
        <v>381</v>
      </c>
    </row>
    <row r="120" spans="3:8" x14ac:dyDescent="0.2">
      <c r="C120" s="80" t="s">
        <v>173</v>
      </c>
      <c r="D120" s="82" t="s">
        <v>382</v>
      </c>
      <c r="F120" s="83" t="s">
        <v>140</v>
      </c>
      <c r="G120" s="84" t="s">
        <v>168</v>
      </c>
      <c r="H120" s="85" t="s">
        <v>272</v>
      </c>
    </row>
    <row r="121" spans="3:8" x14ac:dyDescent="0.2">
      <c r="C121" s="80" t="s">
        <v>173</v>
      </c>
      <c r="D121" s="82" t="s">
        <v>383</v>
      </c>
      <c r="F121" s="83" t="s">
        <v>140</v>
      </c>
      <c r="G121" s="84" t="s">
        <v>168</v>
      </c>
      <c r="H121" s="85" t="s">
        <v>384</v>
      </c>
    </row>
    <row r="122" spans="3:8" x14ac:dyDescent="0.2">
      <c r="C122" s="80" t="s">
        <v>173</v>
      </c>
      <c r="D122" s="81" t="s">
        <v>385</v>
      </c>
      <c r="F122" s="83" t="s">
        <v>140</v>
      </c>
      <c r="G122" s="84" t="s">
        <v>168</v>
      </c>
      <c r="H122" s="85" t="s">
        <v>386</v>
      </c>
    </row>
    <row r="123" spans="3:8" x14ac:dyDescent="0.2">
      <c r="C123" s="80" t="s">
        <v>173</v>
      </c>
      <c r="D123" s="81" t="s">
        <v>387</v>
      </c>
      <c r="F123" s="83" t="s">
        <v>140</v>
      </c>
      <c r="G123" s="84" t="s">
        <v>168</v>
      </c>
      <c r="H123" s="85" t="s">
        <v>388</v>
      </c>
    </row>
    <row r="124" spans="3:8" x14ac:dyDescent="0.2">
      <c r="C124" s="80" t="s">
        <v>176</v>
      </c>
      <c r="D124" s="81" t="s">
        <v>389</v>
      </c>
      <c r="F124" s="83" t="s">
        <v>140</v>
      </c>
      <c r="G124" s="84" t="s">
        <v>168</v>
      </c>
      <c r="H124" s="85" t="s">
        <v>390</v>
      </c>
    </row>
    <row r="125" spans="3:8" x14ac:dyDescent="0.2">
      <c r="C125" s="80" t="s">
        <v>176</v>
      </c>
      <c r="D125" s="81" t="s">
        <v>1832</v>
      </c>
      <c r="F125" s="83" t="s">
        <v>140</v>
      </c>
      <c r="G125" s="84" t="s">
        <v>171</v>
      </c>
      <c r="H125" s="85" t="s">
        <v>391</v>
      </c>
    </row>
    <row r="126" spans="3:8" x14ac:dyDescent="0.2">
      <c r="C126" s="80" t="s">
        <v>176</v>
      </c>
      <c r="D126" s="81" t="s">
        <v>176</v>
      </c>
      <c r="F126" s="83" t="s">
        <v>140</v>
      </c>
      <c r="G126" s="84" t="s">
        <v>171</v>
      </c>
      <c r="H126" s="85" t="s">
        <v>392</v>
      </c>
    </row>
    <row r="127" spans="3:8" x14ac:dyDescent="0.2">
      <c r="C127" s="80" t="s">
        <v>179</v>
      </c>
      <c r="D127" s="81" t="s">
        <v>393</v>
      </c>
      <c r="F127" s="83" t="s">
        <v>140</v>
      </c>
      <c r="G127" s="84" t="s">
        <v>171</v>
      </c>
      <c r="H127" s="85" t="s">
        <v>290</v>
      </c>
    </row>
    <row r="128" spans="3:8" x14ac:dyDescent="0.2">
      <c r="C128" s="80" t="s">
        <v>179</v>
      </c>
      <c r="D128" s="81" t="s">
        <v>394</v>
      </c>
      <c r="F128" s="83" t="s">
        <v>140</v>
      </c>
      <c r="G128" s="84" t="s">
        <v>171</v>
      </c>
      <c r="H128" s="85" t="s">
        <v>395</v>
      </c>
    </row>
    <row r="129" spans="3:8" x14ac:dyDescent="0.2">
      <c r="C129" s="80" t="s">
        <v>179</v>
      </c>
      <c r="D129" s="81" t="s">
        <v>396</v>
      </c>
      <c r="F129" s="83" t="s">
        <v>140</v>
      </c>
      <c r="G129" s="84" t="s">
        <v>171</v>
      </c>
      <c r="H129" s="85" t="s">
        <v>171</v>
      </c>
    </row>
    <row r="130" spans="3:8" x14ac:dyDescent="0.2">
      <c r="C130" s="80" t="s">
        <v>179</v>
      </c>
      <c r="D130" s="82" t="s">
        <v>1834</v>
      </c>
      <c r="F130" s="83" t="s">
        <v>140</v>
      </c>
      <c r="G130" s="84" t="s">
        <v>171</v>
      </c>
      <c r="H130" s="85" t="s">
        <v>397</v>
      </c>
    </row>
    <row r="131" spans="3:8" x14ac:dyDescent="0.2">
      <c r="C131" s="80" t="s">
        <v>179</v>
      </c>
      <c r="D131" s="82" t="s">
        <v>398</v>
      </c>
      <c r="F131" s="83" t="s">
        <v>140</v>
      </c>
      <c r="G131" s="84" t="s">
        <v>171</v>
      </c>
      <c r="H131" s="85" t="s">
        <v>399</v>
      </c>
    </row>
    <row r="132" spans="3:8" x14ac:dyDescent="0.2">
      <c r="C132" s="80" t="s">
        <v>179</v>
      </c>
      <c r="D132" s="81" t="s">
        <v>400</v>
      </c>
      <c r="F132" s="83" t="s">
        <v>140</v>
      </c>
      <c r="G132" s="84" t="s">
        <v>171</v>
      </c>
      <c r="H132" s="85" t="s">
        <v>401</v>
      </c>
    </row>
    <row r="133" spans="3:8" x14ac:dyDescent="0.2">
      <c r="C133" s="80" t="s">
        <v>179</v>
      </c>
      <c r="D133" s="81" t="s">
        <v>402</v>
      </c>
      <c r="F133" s="83" t="s">
        <v>140</v>
      </c>
      <c r="G133" s="84" t="s">
        <v>171</v>
      </c>
      <c r="H133" s="85" t="s">
        <v>403</v>
      </c>
    </row>
    <row r="134" spans="3:8" x14ac:dyDescent="0.2">
      <c r="C134" s="80" t="s">
        <v>179</v>
      </c>
      <c r="D134" s="81" t="s">
        <v>179</v>
      </c>
      <c r="F134" s="83" t="s">
        <v>140</v>
      </c>
      <c r="G134" s="84" t="s">
        <v>171</v>
      </c>
      <c r="H134" s="85" t="s">
        <v>404</v>
      </c>
    </row>
    <row r="135" spans="3:8" x14ac:dyDescent="0.2">
      <c r="C135" s="80" t="s">
        <v>179</v>
      </c>
      <c r="D135" s="82" t="s">
        <v>405</v>
      </c>
      <c r="F135" s="83" t="s">
        <v>140</v>
      </c>
      <c r="G135" s="84" t="s">
        <v>171</v>
      </c>
      <c r="H135" s="85" t="s">
        <v>406</v>
      </c>
    </row>
    <row r="136" spans="3:8" x14ac:dyDescent="0.2">
      <c r="C136" s="80" t="s">
        <v>179</v>
      </c>
      <c r="D136" s="81" t="s">
        <v>407</v>
      </c>
      <c r="F136" s="83" t="s">
        <v>140</v>
      </c>
      <c r="G136" s="84" t="s">
        <v>174</v>
      </c>
      <c r="H136" s="85" t="s">
        <v>408</v>
      </c>
    </row>
    <row r="137" spans="3:8" x14ac:dyDescent="0.2">
      <c r="C137" s="80" t="s">
        <v>182</v>
      </c>
      <c r="D137" s="81" t="s">
        <v>409</v>
      </c>
      <c r="F137" s="83" t="s">
        <v>140</v>
      </c>
      <c r="G137" s="84" t="s">
        <v>174</v>
      </c>
      <c r="H137" s="85" t="s">
        <v>174</v>
      </c>
    </row>
    <row r="138" spans="3:8" x14ac:dyDescent="0.2">
      <c r="C138" s="80" t="s">
        <v>182</v>
      </c>
      <c r="D138" s="81" t="s">
        <v>410</v>
      </c>
      <c r="F138" s="83" t="s">
        <v>140</v>
      </c>
      <c r="G138" s="84" t="s">
        <v>174</v>
      </c>
      <c r="H138" s="85" t="s">
        <v>411</v>
      </c>
    </row>
    <row r="139" spans="3:8" x14ac:dyDescent="0.2">
      <c r="C139" s="80" t="s">
        <v>182</v>
      </c>
      <c r="D139" s="81" t="s">
        <v>182</v>
      </c>
      <c r="F139" s="83" t="s">
        <v>140</v>
      </c>
      <c r="G139" s="84" t="s">
        <v>174</v>
      </c>
      <c r="H139" s="85" t="s">
        <v>412</v>
      </c>
    </row>
    <row r="140" spans="3:8" x14ac:dyDescent="0.2">
      <c r="C140" s="80" t="s">
        <v>182</v>
      </c>
      <c r="D140" s="82" t="s">
        <v>226</v>
      </c>
      <c r="F140" s="83" t="s">
        <v>140</v>
      </c>
      <c r="G140" s="84" t="s">
        <v>177</v>
      </c>
      <c r="H140" s="85" t="s">
        <v>413</v>
      </c>
    </row>
    <row r="141" spans="3:8" x14ac:dyDescent="0.2">
      <c r="C141" s="80" t="s">
        <v>182</v>
      </c>
      <c r="D141" s="82" t="s">
        <v>414</v>
      </c>
      <c r="F141" s="83" t="s">
        <v>140</v>
      </c>
      <c r="G141" s="84" t="s">
        <v>177</v>
      </c>
      <c r="H141" s="85" t="s">
        <v>415</v>
      </c>
    </row>
    <row r="142" spans="3:8" x14ac:dyDescent="0.2">
      <c r="C142" s="80" t="s">
        <v>182</v>
      </c>
      <c r="D142" s="81" t="s">
        <v>416</v>
      </c>
      <c r="F142" s="83" t="s">
        <v>140</v>
      </c>
      <c r="G142" s="84" t="s">
        <v>177</v>
      </c>
      <c r="H142" s="85" t="s">
        <v>177</v>
      </c>
    </row>
    <row r="143" spans="3:8" x14ac:dyDescent="0.2">
      <c r="C143" s="80" t="s">
        <v>182</v>
      </c>
      <c r="D143" s="81" t="s">
        <v>207</v>
      </c>
      <c r="F143" s="83" t="s">
        <v>140</v>
      </c>
      <c r="G143" s="84" t="s">
        <v>177</v>
      </c>
      <c r="H143" s="85" t="s">
        <v>417</v>
      </c>
    </row>
    <row r="144" spans="3:8" x14ac:dyDescent="0.2">
      <c r="C144" s="80" t="s">
        <v>185</v>
      </c>
      <c r="D144" s="82" t="s">
        <v>418</v>
      </c>
      <c r="F144" s="83" t="s">
        <v>140</v>
      </c>
      <c r="G144" s="84" t="s">
        <v>177</v>
      </c>
      <c r="H144" s="85" t="s">
        <v>419</v>
      </c>
    </row>
    <row r="145" spans="3:8" x14ac:dyDescent="0.2">
      <c r="C145" s="80" t="s">
        <v>185</v>
      </c>
      <c r="D145" s="81" t="s">
        <v>420</v>
      </c>
      <c r="F145" s="83" t="s">
        <v>140</v>
      </c>
      <c r="G145" s="84" t="s">
        <v>177</v>
      </c>
      <c r="H145" s="85" t="s">
        <v>421</v>
      </c>
    </row>
    <row r="146" spans="3:8" x14ac:dyDescent="0.2">
      <c r="C146" s="80" t="s">
        <v>185</v>
      </c>
      <c r="D146" s="81" t="s">
        <v>1833</v>
      </c>
      <c r="F146" s="83" t="s">
        <v>140</v>
      </c>
      <c r="G146" s="84" t="s">
        <v>177</v>
      </c>
      <c r="H146" s="85" t="s">
        <v>423</v>
      </c>
    </row>
    <row r="147" spans="3:8" x14ac:dyDescent="0.2">
      <c r="C147" s="80" t="s">
        <v>188</v>
      </c>
      <c r="D147" s="82" t="s">
        <v>422</v>
      </c>
      <c r="F147" s="83" t="s">
        <v>140</v>
      </c>
      <c r="G147" s="84" t="s">
        <v>180</v>
      </c>
      <c r="H147" s="85" t="s">
        <v>425</v>
      </c>
    </row>
    <row r="148" spans="3:8" x14ac:dyDescent="0.2">
      <c r="C148" s="80" t="s">
        <v>188</v>
      </c>
      <c r="D148" s="81" t="s">
        <v>424</v>
      </c>
      <c r="F148" s="83" t="s">
        <v>140</v>
      </c>
      <c r="G148" s="84" t="s">
        <v>180</v>
      </c>
      <c r="H148" s="85" t="s">
        <v>427</v>
      </c>
    </row>
    <row r="149" spans="3:8" x14ac:dyDescent="0.2">
      <c r="C149" s="80" t="s">
        <v>188</v>
      </c>
      <c r="D149" s="82" t="s">
        <v>426</v>
      </c>
      <c r="F149" s="83" t="s">
        <v>140</v>
      </c>
      <c r="G149" s="84" t="s">
        <v>180</v>
      </c>
      <c r="H149" s="85" t="s">
        <v>428</v>
      </c>
    </row>
    <row r="150" spans="3:8" x14ac:dyDescent="0.2">
      <c r="C150" s="82" t="s">
        <v>191</v>
      </c>
      <c r="D150" s="82" t="s">
        <v>1835</v>
      </c>
      <c r="F150" s="83" t="s">
        <v>140</v>
      </c>
      <c r="G150" s="84" t="s">
        <v>180</v>
      </c>
      <c r="H150" s="85" t="s">
        <v>180</v>
      </c>
    </row>
    <row r="151" spans="3:8" x14ac:dyDescent="0.2">
      <c r="C151" s="82" t="s">
        <v>191</v>
      </c>
      <c r="D151" s="82" t="s">
        <v>429</v>
      </c>
      <c r="F151" s="83" t="s">
        <v>140</v>
      </c>
      <c r="G151" s="84" t="s">
        <v>180</v>
      </c>
      <c r="H151" s="85" t="s">
        <v>430</v>
      </c>
    </row>
    <row r="152" spans="3:8" x14ac:dyDescent="0.2">
      <c r="C152" s="82" t="s">
        <v>191</v>
      </c>
      <c r="D152" s="81" t="s">
        <v>1836</v>
      </c>
      <c r="F152" s="83" t="s">
        <v>140</v>
      </c>
      <c r="G152" s="84" t="s">
        <v>180</v>
      </c>
      <c r="H152" s="85" t="s">
        <v>432</v>
      </c>
    </row>
    <row r="153" spans="3:8" x14ac:dyDescent="0.2">
      <c r="C153" s="80" t="s">
        <v>194</v>
      </c>
      <c r="D153" s="81" t="s">
        <v>431</v>
      </c>
      <c r="F153" s="83" t="s">
        <v>140</v>
      </c>
      <c r="G153" s="84" t="s">
        <v>180</v>
      </c>
      <c r="H153" s="85" t="s">
        <v>434</v>
      </c>
    </row>
    <row r="154" spans="3:8" x14ac:dyDescent="0.2">
      <c r="C154" s="80" t="s">
        <v>194</v>
      </c>
      <c r="D154" s="81" t="s">
        <v>433</v>
      </c>
      <c r="F154" s="83" t="s">
        <v>140</v>
      </c>
      <c r="G154" s="84" t="s">
        <v>180</v>
      </c>
      <c r="H154" s="85" t="s">
        <v>232</v>
      </c>
    </row>
    <row r="155" spans="3:8" x14ac:dyDescent="0.2">
      <c r="C155" s="80" t="s">
        <v>194</v>
      </c>
      <c r="D155" s="81" t="s">
        <v>435</v>
      </c>
      <c r="F155" s="83" t="s">
        <v>140</v>
      </c>
      <c r="G155" s="84" t="s">
        <v>180</v>
      </c>
      <c r="H155" s="85" t="s">
        <v>437</v>
      </c>
    </row>
    <row r="156" spans="3:8" x14ac:dyDescent="0.2">
      <c r="C156" s="80" t="s">
        <v>194</v>
      </c>
      <c r="D156" s="81" t="s">
        <v>436</v>
      </c>
      <c r="F156" s="83" t="s">
        <v>140</v>
      </c>
      <c r="G156" s="84" t="s">
        <v>180</v>
      </c>
      <c r="H156" s="85" t="s">
        <v>438</v>
      </c>
    </row>
    <row r="157" spans="3:8" x14ac:dyDescent="0.2">
      <c r="C157" s="80" t="s">
        <v>194</v>
      </c>
      <c r="D157" s="81" t="s">
        <v>194</v>
      </c>
      <c r="F157" s="83" t="s">
        <v>140</v>
      </c>
      <c r="G157" s="84" t="s">
        <v>180</v>
      </c>
      <c r="H157" s="85" t="s">
        <v>440</v>
      </c>
    </row>
    <row r="158" spans="3:8" x14ac:dyDescent="0.2">
      <c r="C158" s="80" t="s">
        <v>194</v>
      </c>
      <c r="D158" s="81" t="s">
        <v>439</v>
      </c>
      <c r="F158" s="83" t="s">
        <v>140</v>
      </c>
      <c r="G158" s="84" t="s">
        <v>180</v>
      </c>
      <c r="H158" s="85" t="s">
        <v>442</v>
      </c>
    </row>
    <row r="159" spans="3:8" x14ac:dyDescent="0.2">
      <c r="C159" s="80" t="s">
        <v>194</v>
      </c>
      <c r="D159" s="81" t="s">
        <v>441</v>
      </c>
      <c r="F159" s="83" t="s">
        <v>140</v>
      </c>
      <c r="G159" s="84" t="s">
        <v>183</v>
      </c>
      <c r="H159" s="85" t="s">
        <v>444</v>
      </c>
    </row>
    <row r="160" spans="3:8" x14ac:dyDescent="0.2">
      <c r="C160" s="81" t="s">
        <v>197</v>
      </c>
      <c r="D160" s="81" t="s">
        <v>443</v>
      </c>
      <c r="F160" s="83" t="s">
        <v>140</v>
      </c>
      <c r="G160" s="84" t="s">
        <v>183</v>
      </c>
      <c r="H160" s="85" t="s">
        <v>446</v>
      </c>
    </row>
    <row r="161" spans="3:8" x14ac:dyDescent="0.2">
      <c r="C161" s="81" t="s">
        <v>197</v>
      </c>
      <c r="D161" s="81" t="s">
        <v>445</v>
      </c>
      <c r="F161" s="83" t="s">
        <v>140</v>
      </c>
      <c r="G161" s="84" t="s">
        <v>183</v>
      </c>
      <c r="H161" s="85" t="s">
        <v>448</v>
      </c>
    </row>
    <row r="162" spans="3:8" x14ac:dyDescent="0.2">
      <c r="C162" s="81" t="s">
        <v>197</v>
      </c>
      <c r="D162" s="81" t="s">
        <v>447</v>
      </c>
      <c r="F162" s="83" t="s">
        <v>140</v>
      </c>
      <c r="G162" s="84" t="s">
        <v>183</v>
      </c>
      <c r="H162" s="85" t="s">
        <v>450</v>
      </c>
    </row>
    <row r="163" spans="3:8" x14ac:dyDescent="0.2">
      <c r="C163" s="81" t="s">
        <v>197</v>
      </c>
      <c r="D163" s="81" t="s">
        <v>449</v>
      </c>
      <c r="F163" s="83" t="s">
        <v>140</v>
      </c>
      <c r="G163" s="84" t="s">
        <v>183</v>
      </c>
      <c r="H163" s="85" t="s">
        <v>452</v>
      </c>
    </row>
    <row r="164" spans="3:8" x14ac:dyDescent="0.2">
      <c r="C164" s="81" t="s">
        <v>197</v>
      </c>
      <c r="D164" s="81" t="s">
        <v>451</v>
      </c>
      <c r="F164" s="83" t="s">
        <v>140</v>
      </c>
      <c r="G164" s="84" t="s">
        <v>183</v>
      </c>
      <c r="H164" s="85" t="s">
        <v>454</v>
      </c>
    </row>
    <row r="165" spans="3:8" x14ac:dyDescent="0.2">
      <c r="C165" s="81" t="s">
        <v>197</v>
      </c>
      <c r="D165" s="81" t="s">
        <v>453</v>
      </c>
      <c r="F165" s="83" t="s">
        <v>140</v>
      </c>
      <c r="G165" s="84" t="s">
        <v>183</v>
      </c>
      <c r="H165" s="85" t="s">
        <v>456</v>
      </c>
    </row>
    <row r="166" spans="3:8" x14ac:dyDescent="0.2">
      <c r="C166" s="81" t="s">
        <v>197</v>
      </c>
      <c r="D166" s="81" t="s">
        <v>455</v>
      </c>
      <c r="F166" s="83" t="s">
        <v>140</v>
      </c>
      <c r="G166" s="84" t="s">
        <v>183</v>
      </c>
      <c r="H166" s="85" t="s">
        <v>183</v>
      </c>
    </row>
    <row r="167" spans="3:8" x14ac:dyDescent="0.2">
      <c r="C167" s="81" t="s">
        <v>197</v>
      </c>
      <c r="D167" s="81" t="s">
        <v>457</v>
      </c>
      <c r="F167" s="83" t="s">
        <v>140</v>
      </c>
      <c r="G167" s="84" t="s">
        <v>183</v>
      </c>
      <c r="H167" s="85" t="s">
        <v>458</v>
      </c>
    </row>
    <row r="168" spans="3:8" x14ac:dyDescent="0.2">
      <c r="C168" s="81" t="s">
        <v>197</v>
      </c>
      <c r="D168" s="81" t="s">
        <v>197</v>
      </c>
      <c r="F168" s="83" t="s">
        <v>140</v>
      </c>
      <c r="G168" s="84" t="s">
        <v>183</v>
      </c>
      <c r="H168" s="85" t="s">
        <v>460</v>
      </c>
    </row>
    <row r="169" spans="3:8" x14ac:dyDescent="0.2">
      <c r="C169" s="81" t="s">
        <v>197</v>
      </c>
      <c r="D169" s="81" t="s">
        <v>459</v>
      </c>
      <c r="F169" s="83" t="s">
        <v>140</v>
      </c>
      <c r="G169" s="84" t="s">
        <v>183</v>
      </c>
      <c r="H169" s="85" t="s">
        <v>462</v>
      </c>
    </row>
    <row r="170" spans="3:8" x14ac:dyDescent="0.2">
      <c r="C170" s="81" t="s">
        <v>197</v>
      </c>
      <c r="D170" s="82" t="s">
        <v>461</v>
      </c>
      <c r="F170" s="83" t="s">
        <v>140</v>
      </c>
      <c r="G170" s="84" t="s">
        <v>183</v>
      </c>
      <c r="H170" s="85" t="s">
        <v>464</v>
      </c>
    </row>
    <row r="171" spans="3:8" x14ac:dyDescent="0.2">
      <c r="C171" s="81" t="s">
        <v>197</v>
      </c>
      <c r="D171" s="81" t="s">
        <v>463</v>
      </c>
      <c r="F171" s="83" t="s">
        <v>140</v>
      </c>
      <c r="G171" s="84" t="s">
        <v>183</v>
      </c>
      <c r="H171" s="85" t="s">
        <v>466</v>
      </c>
    </row>
    <row r="172" spans="3:8" x14ac:dyDescent="0.2">
      <c r="C172" s="81" t="s">
        <v>197</v>
      </c>
      <c r="D172" s="81" t="s">
        <v>465</v>
      </c>
      <c r="F172" s="83" t="s">
        <v>140</v>
      </c>
      <c r="G172" s="84" t="s">
        <v>183</v>
      </c>
      <c r="H172" s="85" t="s">
        <v>279</v>
      </c>
    </row>
    <row r="173" spans="3:8" x14ac:dyDescent="0.2">
      <c r="C173" s="82" t="s">
        <v>200</v>
      </c>
      <c r="D173" s="81" t="s">
        <v>467</v>
      </c>
      <c r="F173" s="83" t="s">
        <v>140</v>
      </c>
      <c r="G173" s="84" t="s">
        <v>183</v>
      </c>
      <c r="H173" s="85" t="s">
        <v>469</v>
      </c>
    </row>
    <row r="174" spans="3:8" x14ac:dyDescent="0.2">
      <c r="C174" s="82" t="s">
        <v>200</v>
      </c>
      <c r="D174" s="81" t="s">
        <v>468</v>
      </c>
      <c r="F174" s="83" t="s">
        <v>140</v>
      </c>
      <c r="G174" s="84" t="s">
        <v>183</v>
      </c>
      <c r="H174" s="85" t="s">
        <v>471</v>
      </c>
    </row>
    <row r="175" spans="3:8" x14ac:dyDescent="0.2">
      <c r="C175" s="82" t="s">
        <v>200</v>
      </c>
      <c r="D175" s="81" t="s">
        <v>470</v>
      </c>
      <c r="F175" s="83" t="s">
        <v>140</v>
      </c>
      <c r="G175" s="84" t="s">
        <v>186</v>
      </c>
      <c r="H175" s="85" t="s">
        <v>473</v>
      </c>
    </row>
    <row r="176" spans="3:8" x14ac:dyDescent="0.2">
      <c r="C176" s="82" t="s">
        <v>200</v>
      </c>
      <c r="D176" s="82" t="s">
        <v>472</v>
      </c>
      <c r="F176" s="83" t="s">
        <v>140</v>
      </c>
      <c r="G176" s="84" t="s">
        <v>186</v>
      </c>
      <c r="H176" s="85" t="s">
        <v>475</v>
      </c>
    </row>
    <row r="177" spans="3:8" x14ac:dyDescent="0.2">
      <c r="C177" s="82" t="s">
        <v>200</v>
      </c>
      <c r="D177" s="81" t="s">
        <v>474</v>
      </c>
      <c r="F177" s="83" t="s">
        <v>140</v>
      </c>
      <c r="G177" s="84" t="s">
        <v>186</v>
      </c>
      <c r="H177" s="85" t="s">
        <v>186</v>
      </c>
    </row>
    <row r="178" spans="3:8" x14ac:dyDescent="0.2">
      <c r="C178" s="82" t="s">
        <v>200</v>
      </c>
      <c r="D178" s="81" t="s">
        <v>476</v>
      </c>
      <c r="F178" s="83" t="s">
        <v>140</v>
      </c>
      <c r="G178" s="84" t="s">
        <v>186</v>
      </c>
      <c r="H178" s="85" t="s">
        <v>478</v>
      </c>
    </row>
    <row r="179" spans="3:8" x14ac:dyDescent="0.2">
      <c r="C179" s="82" t="s">
        <v>200</v>
      </c>
      <c r="D179" s="81" t="s">
        <v>477</v>
      </c>
      <c r="F179" s="83" t="s">
        <v>140</v>
      </c>
      <c r="G179" s="84" t="s">
        <v>186</v>
      </c>
      <c r="H179" s="85" t="s">
        <v>479</v>
      </c>
    </row>
    <row r="180" spans="3:8" x14ac:dyDescent="0.2">
      <c r="C180" s="82" t="s">
        <v>200</v>
      </c>
      <c r="D180" s="81" t="s">
        <v>200</v>
      </c>
      <c r="F180" s="83" t="s">
        <v>140</v>
      </c>
      <c r="G180" s="84" t="s">
        <v>189</v>
      </c>
      <c r="H180" s="85" t="s">
        <v>481</v>
      </c>
    </row>
    <row r="181" spans="3:8" x14ac:dyDescent="0.2">
      <c r="C181" s="82" t="s">
        <v>200</v>
      </c>
      <c r="D181" s="81" t="s">
        <v>480</v>
      </c>
      <c r="F181" s="83" t="s">
        <v>140</v>
      </c>
      <c r="G181" s="84" t="s">
        <v>189</v>
      </c>
      <c r="H181" s="85" t="s">
        <v>369</v>
      </c>
    </row>
    <row r="182" spans="3:8" x14ac:dyDescent="0.2">
      <c r="C182" s="82" t="s">
        <v>202</v>
      </c>
      <c r="D182" s="81" t="s">
        <v>482</v>
      </c>
      <c r="F182" s="83" t="s">
        <v>140</v>
      </c>
      <c r="G182" s="84" t="s">
        <v>189</v>
      </c>
      <c r="H182" s="85" t="s">
        <v>249</v>
      </c>
    </row>
    <row r="183" spans="3:8" x14ac:dyDescent="0.2">
      <c r="C183" s="82" t="s">
        <v>202</v>
      </c>
      <c r="D183" s="82" t="s">
        <v>483</v>
      </c>
      <c r="F183" s="83" t="s">
        <v>140</v>
      </c>
      <c r="G183" s="84" t="s">
        <v>189</v>
      </c>
      <c r="H183" s="85" t="s">
        <v>189</v>
      </c>
    </row>
    <row r="184" spans="3:8" x14ac:dyDescent="0.2">
      <c r="C184" s="82" t="s">
        <v>202</v>
      </c>
      <c r="D184" s="82" t="s">
        <v>202</v>
      </c>
      <c r="F184" s="83" t="s">
        <v>140</v>
      </c>
      <c r="G184" s="84" t="s">
        <v>189</v>
      </c>
      <c r="H184" s="85" t="s">
        <v>485</v>
      </c>
    </row>
    <row r="185" spans="3:8" x14ac:dyDescent="0.2">
      <c r="C185" s="82" t="s">
        <v>202</v>
      </c>
      <c r="D185" s="82" t="s">
        <v>484</v>
      </c>
      <c r="F185" s="83" t="s">
        <v>140</v>
      </c>
      <c r="G185" s="84" t="s">
        <v>189</v>
      </c>
      <c r="H185" s="85" t="s">
        <v>487</v>
      </c>
    </row>
    <row r="186" spans="3:8" x14ac:dyDescent="0.2">
      <c r="C186" s="80" t="s">
        <v>205</v>
      </c>
      <c r="D186" s="82" t="s">
        <v>486</v>
      </c>
      <c r="F186" s="83" t="s">
        <v>140</v>
      </c>
      <c r="G186" s="84" t="s">
        <v>189</v>
      </c>
      <c r="H186" s="85" t="s">
        <v>488</v>
      </c>
    </row>
    <row r="187" spans="3:8" x14ac:dyDescent="0.2">
      <c r="C187" s="80" t="s">
        <v>205</v>
      </c>
      <c r="D187" s="81" t="s">
        <v>205</v>
      </c>
      <c r="F187" s="83" t="s">
        <v>140</v>
      </c>
      <c r="G187" s="84" t="s">
        <v>189</v>
      </c>
      <c r="H187" s="85" t="s">
        <v>285</v>
      </c>
    </row>
    <row r="188" spans="3:8" x14ac:dyDescent="0.2">
      <c r="C188" s="80" t="s">
        <v>205</v>
      </c>
      <c r="D188" s="81" t="s">
        <v>489</v>
      </c>
      <c r="F188" s="83" t="s">
        <v>140</v>
      </c>
      <c r="G188" s="84" t="s">
        <v>189</v>
      </c>
      <c r="H188" s="85" t="s">
        <v>491</v>
      </c>
    </row>
    <row r="189" spans="3:8" x14ac:dyDescent="0.2">
      <c r="C189" s="80" t="s">
        <v>207</v>
      </c>
      <c r="D189" s="81" t="s">
        <v>490</v>
      </c>
      <c r="F189" s="83" t="s">
        <v>140</v>
      </c>
      <c r="G189" s="84" t="s">
        <v>192</v>
      </c>
      <c r="H189" s="85" t="s">
        <v>493</v>
      </c>
    </row>
    <row r="190" spans="3:8" x14ac:dyDescent="0.2">
      <c r="C190" s="80" t="s">
        <v>207</v>
      </c>
      <c r="D190" s="82" t="s">
        <v>492</v>
      </c>
      <c r="F190" s="83" t="s">
        <v>140</v>
      </c>
      <c r="G190" s="84" t="s">
        <v>192</v>
      </c>
      <c r="H190" s="85" t="s">
        <v>495</v>
      </c>
    </row>
    <row r="191" spans="3:8" x14ac:dyDescent="0.2">
      <c r="C191" s="80" t="s">
        <v>207</v>
      </c>
      <c r="D191" s="82" t="s">
        <v>494</v>
      </c>
      <c r="F191" s="83" t="s">
        <v>140</v>
      </c>
      <c r="G191" s="84" t="s">
        <v>192</v>
      </c>
      <c r="H191" s="85" t="s">
        <v>497</v>
      </c>
    </row>
    <row r="192" spans="3:8" x14ac:dyDescent="0.2">
      <c r="C192" s="80" t="s">
        <v>207</v>
      </c>
      <c r="D192" s="82" t="s">
        <v>496</v>
      </c>
      <c r="F192" s="83" t="s">
        <v>140</v>
      </c>
      <c r="G192" s="84" t="s">
        <v>192</v>
      </c>
      <c r="H192" s="85" t="s">
        <v>498</v>
      </c>
    </row>
    <row r="193" spans="6:8" x14ac:dyDescent="0.2">
      <c r="F193" s="83" t="s">
        <v>140</v>
      </c>
      <c r="G193" s="84" t="s">
        <v>192</v>
      </c>
      <c r="H193" s="85" t="s">
        <v>499</v>
      </c>
    </row>
    <row r="194" spans="6:8" x14ac:dyDescent="0.2">
      <c r="F194" s="83" t="s">
        <v>140</v>
      </c>
      <c r="G194" s="84" t="s">
        <v>192</v>
      </c>
      <c r="H194" s="85" t="s">
        <v>500</v>
      </c>
    </row>
    <row r="195" spans="6:8" x14ac:dyDescent="0.2">
      <c r="F195" s="83" t="s">
        <v>140</v>
      </c>
      <c r="G195" s="84" t="s">
        <v>192</v>
      </c>
      <c r="H195" s="85" t="s">
        <v>501</v>
      </c>
    </row>
    <row r="196" spans="6:8" x14ac:dyDescent="0.2">
      <c r="F196" s="83" t="s">
        <v>140</v>
      </c>
      <c r="G196" s="84" t="s">
        <v>192</v>
      </c>
      <c r="H196" s="85" t="s">
        <v>1839</v>
      </c>
    </row>
    <row r="197" spans="6:8" x14ac:dyDescent="0.2">
      <c r="F197" s="83" t="s">
        <v>140</v>
      </c>
      <c r="G197" s="84" t="s">
        <v>195</v>
      </c>
      <c r="H197" s="85" t="s">
        <v>168</v>
      </c>
    </row>
    <row r="198" spans="6:8" x14ac:dyDescent="0.2">
      <c r="F198" s="83" t="s">
        <v>140</v>
      </c>
      <c r="G198" s="84" t="s">
        <v>195</v>
      </c>
      <c r="H198" s="85" t="s">
        <v>502</v>
      </c>
    </row>
    <row r="199" spans="6:8" x14ac:dyDescent="0.2">
      <c r="F199" s="83" t="s">
        <v>140</v>
      </c>
      <c r="G199" s="84" t="s">
        <v>195</v>
      </c>
      <c r="H199" s="85" t="s">
        <v>503</v>
      </c>
    </row>
    <row r="200" spans="6:8" x14ac:dyDescent="0.2">
      <c r="F200" s="83" t="s">
        <v>140</v>
      </c>
      <c r="G200" s="84" t="s">
        <v>195</v>
      </c>
      <c r="H200" s="85" t="s">
        <v>504</v>
      </c>
    </row>
    <row r="201" spans="6:8" x14ac:dyDescent="0.2">
      <c r="F201" s="83" t="s">
        <v>140</v>
      </c>
      <c r="G201" s="84" t="s">
        <v>195</v>
      </c>
      <c r="H201" s="85" t="s">
        <v>505</v>
      </c>
    </row>
    <row r="202" spans="6:8" x14ac:dyDescent="0.2">
      <c r="F202" s="83" t="s">
        <v>140</v>
      </c>
      <c r="G202" s="84" t="s">
        <v>195</v>
      </c>
      <c r="H202" s="85" t="s">
        <v>506</v>
      </c>
    </row>
    <row r="203" spans="6:8" x14ac:dyDescent="0.2">
      <c r="F203" s="83" t="s">
        <v>140</v>
      </c>
      <c r="G203" s="84" t="s">
        <v>195</v>
      </c>
      <c r="H203" s="85" t="s">
        <v>507</v>
      </c>
    </row>
    <row r="204" spans="6:8" x14ac:dyDescent="0.2">
      <c r="F204" s="83" t="s">
        <v>140</v>
      </c>
      <c r="G204" s="84" t="s">
        <v>195</v>
      </c>
      <c r="H204" s="85" t="s">
        <v>195</v>
      </c>
    </row>
    <row r="205" spans="6:8" x14ac:dyDescent="0.2">
      <c r="F205" s="83" t="s">
        <v>140</v>
      </c>
      <c r="G205" s="84" t="s">
        <v>195</v>
      </c>
      <c r="H205" s="85" t="s">
        <v>437</v>
      </c>
    </row>
    <row r="206" spans="6:8" x14ac:dyDescent="0.2">
      <c r="F206" s="83" t="s">
        <v>140</v>
      </c>
      <c r="G206" s="84" t="s">
        <v>195</v>
      </c>
      <c r="H206" s="85" t="s">
        <v>303</v>
      </c>
    </row>
    <row r="207" spans="6:8" x14ac:dyDescent="0.2">
      <c r="F207" s="83" t="s">
        <v>140</v>
      </c>
      <c r="G207" s="84" t="s">
        <v>195</v>
      </c>
      <c r="H207" s="85" t="s">
        <v>508</v>
      </c>
    </row>
    <row r="208" spans="6:8" x14ac:dyDescent="0.2">
      <c r="F208" s="83" t="s">
        <v>140</v>
      </c>
      <c r="G208" s="84" t="s">
        <v>198</v>
      </c>
      <c r="H208" s="85" t="s">
        <v>509</v>
      </c>
    </row>
    <row r="209" spans="6:8" x14ac:dyDescent="0.2">
      <c r="F209" s="83" t="s">
        <v>140</v>
      </c>
      <c r="G209" s="84" t="s">
        <v>198</v>
      </c>
      <c r="H209" s="85" t="s">
        <v>510</v>
      </c>
    </row>
    <row r="210" spans="6:8" x14ac:dyDescent="0.2">
      <c r="F210" s="83" t="s">
        <v>140</v>
      </c>
      <c r="G210" s="84" t="s">
        <v>198</v>
      </c>
      <c r="H210" s="85" t="s">
        <v>198</v>
      </c>
    </row>
    <row r="211" spans="6:8" x14ac:dyDescent="0.2">
      <c r="F211" s="83" t="s">
        <v>140</v>
      </c>
      <c r="G211" s="84" t="s">
        <v>198</v>
      </c>
      <c r="H211" s="85" t="s">
        <v>511</v>
      </c>
    </row>
    <row r="212" spans="6:8" x14ac:dyDescent="0.2">
      <c r="F212" s="83" t="s">
        <v>140</v>
      </c>
      <c r="G212" s="84" t="s">
        <v>201</v>
      </c>
      <c r="H212" s="85" t="s">
        <v>512</v>
      </c>
    </row>
    <row r="213" spans="6:8" x14ac:dyDescent="0.2">
      <c r="F213" s="83" t="s">
        <v>140</v>
      </c>
      <c r="G213" s="84" t="s">
        <v>201</v>
      </c>
      <c r="H213" s="85" t="s">
        <v>513</v>
      </c>
    </row>
    <row r="214" spans="6:8" x14ac:dyDescent="0.2">
      <c r="F214" s="83" t="s">
        <v>140</v>
      </c>
      <c r="G214" s="84" t="s">
        <v>201</v>
      </c>
      <c r="H214" s="85" t="s">
        <v>514</v>
      </c>
    </row>
    <row r="215" spans="6:8" x14ac:dyDescent="0.2">
      <c r="F215" s="83" t="s">
        <v>140</v>
      </c>
      <c r="G215" s="84" t="s">
        <v>201</v>
      </c>
      <c r="H215" s="85" t="s">
        <v>515</v>
      </c>
    </row>
    <row r="216" spans="6:8" x14ac:dyDescent="0.2">
      <c r="F216" s="83" t="s">
        <v>140</v>
      </c>
      <c r="G216" s="84" t="s">
        <v>201</v>
      </c>
      <c r="H216" s="85" t="s">
        <v>516</v>
      </c>
    </row>
    <row r="217" spans="6:8" x14ac:dyDescent="0.2">
      <c r="F217" s="83" t="s">
        <v>140</v>
      </c>
      <c r="G217" s="84" t="s">
        <v>201</v>
      </c>
      <c r="H217" s="85" t="s">
        <v>437</v>
      </c>
    </row>
    <row r="218" spans="6:8" x14ac:dyDescent="0.2">
      <c r="F218" s="83" t="s">
        <v>140</v>
      </c>
      <c r="G218" s="84" t="s">
        <v>201</v>
      </c>
      <c r="H218" s="85" t="s">
        <v>517</v>
      </c>
    </row>
    <row r="219" spans="6:8" x14ac:dyDescent="0.2">
      <c r="F219" s="83" t="s">
        <v>140</v>
      </c>
      <c r="G219" s="84" t="s">
        <v>201</v>
      </c>
      <c r="H219" s="85" t="s">
        <v>201</v>
      </c>
    </row>
    <row r="220" spans="6:8" x14ac:dyDescent="0.2">
      <c r="F220" s="83" t="s">
        <v>140</v>
      </c>
      <c r="G220" s="84" t="s">
        <v>201</v>
      </c>
      <c r="H220" s="85" t="s">
        <v>518</v>
      </c>
    </row>
    <row r="221" spans="6:8" x14ac:dyDescent="0.2">
      <c r="F221" s="83" t="s">
        <v>140</v>
      </c>
      <c r="G221" s="84" t="s">
        <v>201</v>
      </c>
      <c r="H221" s="85" t="s">
        <v>519</v>
      </c>
    </row>
    <row r="222" spans="6:8" x14ac:dyDescent="0.2">
      <c r="F222" s="83" t="s">
        <v>140</v>
      </c>
      <c r="G222" s="84" t="s">
        <v>203</v>
      </c>
      <c r="H222" s="85" t="s">
        <v>520</v>
      </c>
    </row>
    <row r="223" spans="6:8" x14ac:dyDescent="0.2">
      <c r="F223" s="83" t="s">
        <v>140</v>
      </c>
      <c r="G223" s="84" t="s">
        <v>203</v>
      </c>
      <c r="H223" s="85" t="s">
        <v>301</v>
      </c>
    </row>
    <row r="224" spans="6:8" x14ac:dyDescent="0.2">
      <c r="F224" s="83" t="s">
        <v>140</v>
      </c>
      <c r="G224" s="84" t="s">
        <v>203</v>
      </c>
      <c r="H224" s="85" t="s">
        <v>521</v>
      </c>
    </row>
    <row r="225" spans="6:8" x14ac:dyDescent="0.2">
      <c r="F225" s="83" t="s">
        <v>140</v>
      </c>
      <c r="G225" s="84" t="s">
        <v>206</v>
      </c>
      <c r="H225" s="85" t="s">
        <v>522</v>
      </c>
    </row>
    <row r="226" spans="6:8" x14ac:dyDescent="0.2">
      <c r="F226" s="83" t="s">
        <v>140</v>
      </c>
      <c r="G226" s="84" t="s">
        <v>206</v>
      </c>
      <c r="H226" s="85" t="s">
        <v>523</v>
      </c>
    </row>
    <row r="227" spans="6:8" x14ac:dyDescent="0.2">
      <c r="F227" s="83" t="s">
        <v>140</v>
      </c>
      <c r="G227" s="84" t="s">
        <v>206</v>
      </c>
      <c r="H227" s="85" t="s">
        <v>524</v>
      </c>
    </row>
    <row r="228" spans="6:8" x14ac:dyDescent="0.2">
      <c r="F228" s="83" t="s">
        <v>140</v>
      </c>
      <c r="G228" s="84" t="s">
        <v>206</v>
      </c>
      <c r="H228" s="85" t="s">
        <v>525</v>
      </c>
    </row>
    <row r="229" spans="6:8" x14ac:dyDescent="0.2">
      <c r="F229" s="83" t="s">
        <v>140</v>
      </c>
      <c r="G229" s="84" t="s">
        <v>206</v>
      </c>
      <c r="H229" s="85" t="s">
        <v>526</v>
      </c>
    </row>
    <row r="230" spans="6:8" x14ac:dyDescent="0.2">
      <c r="F230" s="83" t="s">
        <v>140</v>
      </c>
      <c r="G230" s="84" t="s">
        <v>206</v>
      </c>
      <c r="H230" s="85" t="s">
        <v>527</v>
      </c>
    </row>
    <row r="231" spans="6:8" x14ac:dyDescent="0.2">
      <c r="F231" s="83" t="s">
        <v>140</v>
      </c>
      <c r="G231" s="84" t="s">
        <v>206</v>
      </c>
      <c r="H231" s="85" t="s">
        <v>528</v>
      </c>
    </row>
    <row r="232" spans="6:8" x14ac:dyDescent="0.2">
      <c r="F232" s="83" t="s">
        <v>140</v>
      </c>
      <c r="G232" s="84" t="s">
        <v>206</v>
      </c>
      <c r="H232" s="85" t="s">
        <v>529</v>
      </c>
    </row>
    <row r="233" spans="6:8" x14ac:dyDescent="0.2">
      <c r="F233" s="83" t="s">
        <v>140</v>
      </c>
      <c r="G233" s="84" t="s">
        <v>206</v>
      </c>
      <c r="H233" s="85" t="s">
        <v>206</v>
      </c>
    </row>
    <row r="234" spans="6:8" x14ac:dyDescent="0.2">
      <c r="F234" s="83" t="s">
        <v>140</v>
      </c>
      <c r="G234" s="84" t="s">
        <v>208</v>
      </c>
      <c r="H234" s="85" t="s">
        <v>312</v>
      </c>
    </row>
    <row r="235" spans="6:8" x14ac:dyDescent="0.2">
      <c r="F235" s="83" t="s">
        <v>140</v>
      </c>
      <c r="G235" s="84" t="s">
        <v>208</v>
      </c>
      <c r="H235" s="85" t="s">
        <v>530</v>
      </c>
    </row>
    <row r="236" spans="6:8" x14ac:dyDescent="0.2">
      <c r="F236" s="83" t="s">
        <v>140</v>
      </c>
      <c r="G236" s="84" t="s">
        <v>208</v>
      </c>
      <c r="H236" s="85" t="s">
        <v>531</v>
      </c>
    </row>
    <row r="237" spans="6:8" x14ac:dyDescent="0.2">
      <c r="F237" s="83" t="s">
        <v>140</v>
      </c>
      <c r="G237" s="84" t="s">
        <v>208</v>
      </c>
      <c r="H237" s="85" t="s">
        <v>532</v>
      </c>
    </row>
    <row r="238" spans="6:8" x14ac:dyDescent="0.2">
      <c r="F238" s="83" t="s">
        <v>140</v>
      </c>
      <c r="G238" s="84" t="s">
        <v>208</v>
      </c>
      <c r="H238" s="85" t="s">
        <v>533</v>
      </c>
    </row>
    <row r="239" spans="6:8" x14ac:dyDescent="0.2">
      <c r="F239" s="83" t="s">
        <v>140</v>
      </c>
      <c r="G239" s="84" t="s">
        <v>208</v>
      </c>
      <c r="H239" s="85" t="s">
        <v>534</v>
      </c>
    </row>
    <row r="240" spans="6:8" x14ac:dyDescent="0.2">
      <c r="F240" s="83" t="s">
        <v>140</v>
      </c>
      <c r="G240" s="84" t="s">
        <v>208</v>
      </c>
      <c r="H240" s="85" t="s">
        <v>535</v>
      </c>
    </row>
    <row r="241" spans="6:8" x14ac:dyDescent="0.2">
      <c r="F241" s="83" t="s">
        <v>140</v>
      </c>
      <c r="G241" s="84" t="s">
        <v>208</v>
      </c>
      <c r="H241" s="85" t="s">
        <v>536</v>
      </c>
    </row>
    <row r="242" spans="6:8" x14ac:dyDescent="0.2">
      <c r="F242" s="83" t="s">
        <v>140</v>
      </c>
      <c r="G242" s="84" t="s">
        <v>208</v>
      </c>
      <c r="H242" s="85" t="s">
        <v>537</v>
      </c>
    </row>
    <row r="243" spans="6:8" x14ac:dyDescent="0.2">
      <c r="F243" s="83" t="s">
        <v>140</v>
      </c>
      <c r="G243" s="84" t="s">
        <v>208</v>
      </c>
      <c r="H243" s="85" t="s">
        <v>208</v>
      </c>
    </row>
    <row r="244" spans="6:8" x14ac:dyDescent="0.2">
      <c r="F244" s="83" t="s">
        <v>140</v>
      </c>
      <c r="G244" s="84" t="s">
        <v>210</v>
      </c>
      <c r="H244" s="85" t="s">
        <v>538</v>
      </c>
    </row>
    <row r="245" spans="6:8" x14ac:dyDescent="0.2">
      <c r="F245" s="83" t="s">
        <v>140</v>
      </c>
      <c r="G245" s="84" t="s">
        <v>210</v>
      </c>
      <c r="H245" s="85" t="s">
        <v>539</v>
      </c>
    </row>
    <row r="246" spans="6:8" x14ac:dyDescent="0.2">
      <c r="F246" s="83" t="s">
        <v>140</v>
      </c>
      <c r="G246" s="84" t="s">
        <v>210</v>
      </c>
      <c r="H246" s="85" t="s">
        <v>540</v>
      </c>
    </row>
    <row r="247" spans="6:8" x14ac:dyDescent="0.2">
      <c r="F247" s="83" t="s">
        <v>140</v>
      </c>
      <c r="G247" s="84" t="s">
        <v>210</v>
      </c>
      <c r="H247" s="85" t="s">
        <v>541</v>
      </c>
    </row>
    <row r="248" spans="6:8" x14ac:dyDescent="0.2">
      <c r="F248" s="83" t="s">
        <v>140</v>
      </c>
      <c r="G248" s="84" t="s">
        <v>210</v>
      </c>
      <c r="H248" s="85" t="s">
        <v>542</v>
      </c>
    </row>
    <row r="249" spans="6:8" x14ac:dyDescent="0.2">
      <c r="F249" s="83" t="s">
        <v>140</v>
      </c>
      <c r="G249" s="84" t="s">
        <v>210</v>
      </c>
      <c r="H249" s="85" t="s">
        <v>543</v>
      </c>
    </row>
    <row r="250" spans="6:8" x14ac:dyDescent="0.2">
      <c r="F250" s="83" t="s">
        <v>140</v>
      </c>
      <c r="G250" s="84" t="s">
        <v>210</v>
      </c>
      <c r="H250" s="85" t="s">
        <v>544</v>
      </c>
    </row>
    <row r="251" spans="6:8" x14ac:dyDescent="0.2">
      <c r="F251" s="83" t="s">
        <v>140</v>
      </c>
      <c r="G251" s="84" t="s">
        <v>210</v>
      </c>
      <c r="H251" s="85" t="s">
        <v>210</v>
      </c>
    </row>
    <row r="252" spans="6:8" x14ac:dyDescent="0.2">
      <c r="F252" s="83" t="s">
        <v>143</v>
      </c>
      <c r="G252" s="84" t="s">
        <v>212</v>
      </c>
      <c r="H252" s="85" t="s">
        <v>212</v>
      </c>
    </row>
    <row r="253" spans="6:8" x14ac:dyDescent="0.2">
      <c r="F253" s="83" t="s">
        <v>143</v>
      </c>
      <c r="G253" s="84" t="s">
        <v>212</v>
      </c>
      <c r="H253" s="85" t="s">
        <v>545</v>
      </c>
    </row>
    <row r="254" spans="6:8" x14ac:dyDescent="0.2">
      <c r="F254" s="83" t="s">
        <v>143</v>
      </c>
      <c r="G254" s="84" t="s">
        <v>212</v>
      </c>
      <c r="H254" s="85" t="s">
        <v>546</v>
      </c>
    </row>
    <row r="255" spans="6:8" x14ac:dyDescent="0.2">
      <c r="F255" s="83" t="s">
        <v>143</v>
      </c>
      <c r="G255" s="84" t="s">
        <v>212</v>
      </c>
      <c r="H255" s="85" t="s">
        <v>547</v>
      </c>
    </row>
    <row r="256" spans="6:8" x14ac:dyDescent="0.2">
      <c r="F256" s="83" t="s">
        <v>143</v>
      </c>
      <c r="G256" s="84" t="s">
        <v>212</v>
      </c>
      <c r="H256" s="85" t="s">
        <v>548</v>
      </c>
    </row>
    <row r="257" spans="6:8" x14ac:dyDescent="0.2">
      <c r="F257" s="83" t="s">
        <v>143</v>
      </c>
      <c r="G257" s="84" t="s">
        <v>212</v>
      </c>
      <c r="H257" s="85" t="s">
        <v>549</v>
      </c>
    </row>
    <row r="258" spans="6:8" x14ac:dyDescent="0.2">
      <c r="F258" s="83" t="s">
        <v>143</v>
      </c>
      <c r="G258" s="84" t="s">
        <v>212</v>
      </c>
      <c r="H258" s="85" t="s">
        <v>550</v>
      </c>
    </row>
    <row r="259" spans="6:8" x14ac:dyDescent="0.2">
      <c r="F259" s="83" t="s">
        <v>143</v>
      </c>
      <c r="G259" s="84" t="s">
        <v>212</v>
      </c>
      <c r="H259" s="85" t="s">
        <v>551</v>
      </c>
    </row>
    <row r="260" spans="6:8" x14ac:dyDescent="0.2">
      <c r="F260" s="83" t="s">
        <v>143</v>
      </c>
      <c r="G260" s="84" t="s">
        <v>212</v>
      </c>
      <c r="H260" s="85" t="s">
        <v>552</v>
      </c>
    </row>
    <row r="261" spans="6:8" x14ac:dyDescent="0.2">
      <c r="F261" s="83" t="s">
        <v>143</v>
      </c>
      <c r="G261" s="84" t="s">
        <v>214</v>
      </c>
      <c r="H261" s="85" t="s">
        <v>214</v>
      </c>
    </row>
    <row r="262" spans="6:8" x14ac:dyDescent="0.2">
      <c r="F262" s="83" t="s">
        <v>143</v>
      </c>
      <c r="G262" s="84" t="s">
        <v>214</v>
      </c>
      <c r="H262" s="85" t="s">
        <v>553</v>
      </c>
    </row>
    <row r="263" spans="6:8" x14ac:dyDescent="0.2">
      <c r="F263" s="83" t="s">
        <v>143</v>
      </c>
      <c r="G263" s="84" t="s">
        <v>214</v>
      </c>
      <c r="H263" s="85" t="s">
        <v>554</v>
      </c>
    </row>
    <row r="264" spans="6:8" x14ac:dyDescent="0.2">
      <c r="F264" s="83" t="s">
        <v>143</v>
      </c>
      <c r="G264" s="84" t="s">
        <v>214</v>
      </c>
      <c r="H264" s="85" t="s">
        <v>555</v>
      </c>
    </row>
    <row r="265" spans="6:8" x14ac:dyDescent="0.2">
      <c r="F265" s="83" t="s">
        <v>143</v>
      </c>
      <c r="G265" s="84" t="s">
        <v>214</v>
      </c>
      <c r="H265" s="85" t="s">
        <v>556</v>
      </c>
    </row>
    <row r="266" spans="6:8" x14ac:dyDescent="0.2">
      <c r="F266" s="83" t="s">
        <v>143</v>
      </c>
      <c r="G266" s="84" t="s">
        <v>214</v>
      </c>
      <c r="H266" s="85" t="s">
        <v>557</v>
      </c>
    </row>
    <row r="267" spans="6:8" x14ac:dyDescent="0.2">
      <c r="F267" s="83" t="s">
        <v>143</v>
      </c>
      <c r="G267" s="84" t="s">
        <v>214</v>
      </c>
      <c r="H267" s="85" t="s">
        <v>558</v>
      </c>
    </row>
    <row r="268" spans="6:8" x14ac:dyDescent="0.2">
      <c r="F268" s="83" t="s">
        <v>143</v>
      </c>
      <c r="G268" s="84" t="s">
        <v>214</v>
      </c>
      <c r="H268" s="85" t="s">
        <v>559</v>
      </c>
    </row>
    <row r="269" spans="6:8" x14ac:dyDescent="0.2">
      <c r="F269" s="83" t="s">
        <v>143</v>
      </c>
      <c r="G269" s="84" t="s">
        <v>214</v>
      </c>
      <c r="H269" s="85" t="s">
        <v>560</v>
      </c>
    </row>
    <row r="270" spans="6:8" x14ac:dyDescent="0.2">
      <c r="F270" s="83" t="s">
        <v>143</v>
      </c>
      <c r="G270" s="84" t="s">
        <v>214</v>
      </c>
      <c r="H270" s="85" t="s">
        <v>561</v>
      </c>
    </row>
    <row r="271" spans="6:8" x14ac:dyDescent="0.2">
      <c r="F271" s="83" t="s">
        <v>143</v>
      </c>
      <c r="G271" s="84" t="s">
        <v>214</v>
      </c>
      <c r="H271" s="85" t="s">
        <v>562</v>
      </c>
    </row>
    <row r="272" spans="6:8" x14ac:dyDescent="0.2">
      <c r="F272" s="83" t="s">
        <v>143</v>
      </c>
      <c r="G272" s="84" t="s">
        <v>214</v>
      </c>
      <c r="H272" s="85" t="s">
        <v>563</v>
      </c>
    </row>
    <row r="273" spans="6:8" x14ac:dyDescent="0.2">
      <c r="F273" s="83" t="s">
        <v>143</v>
      </c>
      <c r="G273" s="84" t="s">
        <v>214</v>
      </c>
      <c r="H273" s="85" t="s">
        <v>564</v>
      </c>
    </row>
    <row r="274" spans="6:8" x14ac:dyDescent="0.2">
      <c r="F274" s="83" t="s">
        <v>143</v>
      </c>
      <c r="G274" s="84" t="s">
        <v>214</v>
      </c>
      <c r="H274" s="85" t="s">
        <v>565</v>
      </c>
    </row>
    <row r="275" spans="6:8" x14ac:dyDescent="0.2">
      <c r="F275" s="83" t="s">
        <v>143</v>
      </c>
      <c r="G275" s="84" t="s">
        <v>214</v>
      </c>
      <c r="H275" s="85" t="s">
        <v>566</v>
      </c>
    </row>
    <row r="276" spans="6:8" x14ac:dyDescent="0.2">
      <c r="F276" s="83" t="s">
        <v>143</v>
      </c>
      <c r="G276" s="84" t="s">
        <v>214</v>
      </c>
      <c r="H276" s="85" t="s">
        <v>567</v>
      </c>
    </row>
    <row r="277" spans="6:8" x14ac:dyDescent="0.2">
      <c r="F277" s="83" t="s">
        <v>143</v>
      </c>
      <c r="G277" s="84" t="s">
        <v>214</v>
      </c>
      <c r="H277" s="85" t="s">
        <v>568</v>
      </c>
    </row>
    <row r="278" spans="6:8" x14ac:dyDescent="0.2">
      <c r="F278" s="83" t="s">
        <v>143</v>
      </c>
      <c r="G278" s="84" t="s">
        <v>216</v>
      </c>
      <c r="H278" s="85" t="s">
        <v>216</v>
      </c>
    </row>
    <row r="279" spans="6:8" x14ac:dyDescent="0.2">
      <c r="F279" s="83" t="s">
        <v>143</v>
      </c>
      <c r="G279" s="84" t="s">
        <v>216</v>
      </c>
      <c r="H279" s="85" t="s">
        <v>569</v>
      </c>
    </row>
    <row r="280" spans="6:8" x14ac:dyDescent="0.2">
      <c r="F280" s="83" t="s">
        <v>143</v>
      </c>
      <c r="G280" s="84" t="s">
        <v>216</v>
      </c>
      <c r="H280" s="85" t="s">
        <v>570</v>
      </c>
    </row>
    <row r="281" spans="6:8" x14ac:dyDescent="0.2">
      <c r="F281" s="83" t="s">
        <v>143</v>
      </c>
      <c r="G281" s="84" t="s">
        <v>216</v>
      </c>
      <c r="H281" s="85" t="s">
        <v>571</v>
      </c>
    </row>
    <row r="282" spans="6:8" x14ac:dyDescent="0.2">
      <c r="F282" s="83" t="s">
        <v>143</v>
      </c>
      <c r="G282" s="84" t="s">
        <v>216</v>
      </c>
      <c r="H282" s="85" t="s">
        <v>572</v>
      </c>
    </row>
    <row r="283" spans="6:8" x14ac:dyDescent="0.2">
      <c r="F283" s="83" t="s">
        <v>143</v>
      </c>
      <c r="G283" s="84" t="s">
        <v>216</v>
      </c>
      <c r="H283" s="85" t="s">
        <v>573</v>
      </c>
    </row>
    <row r="284" spans="6:8" x14ac:dyDescent="0.2">
      <c r="F284" s="83" t="s">
        <v>143</v>
      </c>
      <c r="G284" s="84" t="s">
        <v>216</v>
      </c>
      <c r="H284" s="85" t="s">
        <v>574</v>
      </c>
    </row>
    <row r="285" spans="6:8" x14ac:dyDescent="0.2">
      <c r="F285" s="83" t="s">
        <v>143</v>
      </c>
      <c r="G285" s="84" t="s">
        <v>218</v>
      </c>
      <c r="H285" s="85" t="s">
        <v>575</v>
      </c>
    </row>
    <row r="286" spans="6:8" x14ac:dyDescent="0.2">
      <c r="F286" s="83" t="s">
        <v>143</v>
      </c>
      <c r="G286" s="84" t="s">
        <v>218</v>
      </c>
      <c r="H286" s="85" t="s">
        <v>576</v>
      </c>
    </row>
    <row r="287" spans="6:8" x14ac:dyDescent="0.2">
      <c r="F287" s="83" t="s">
        <v>143</v>
      </c>
      <c r="G287" s="84" t="s">
        <v>218</v>
      </c>
      <c r="H287" s="85" t="s">
        <v>427</v>
      </c>
    </row>
    <row r="288" spans="6:8" x14ac:dyDescent="0.2">
      <c r="F288" s="83" t="s">
        <v>143</v>
      </c>
      <c r="G288" s="84" t="s">
        <v>218</v>
      </c>
      <c r="H288" s="85" t="s">
        <v>577</v>
      </c>
    </row>
    <row r="289" spans="6:8" x14ac:dyDescent="0.2">
      <c r="F289" s="83" t="s">
        <v>143</v>
      </c>
      <c r="G289" s="84" t="s">
        <v>218</v>
      </c>
      <c r="H289" s="85" t="s">
        <v>578</v>
      </c>
    </row>
    <row r="290" spans="6:8" x14ac:dyDescent="0.2">
      <c r="F290" s="83" t="s">
        <v>143</v>
      </c>
      <c r="G290" s="84" t="s">
        <v>218</v>
      </c>
      <c r="H290" s="85" t="s">
        <v>579</v>
      </c>
    </row>
    <row r="291" spans="6:8" x14ac:dyDescent="0.2">
      <c r="F291" s="83" t="s">
        <v>143</v>
      </c>
      <c r="G291" s="84" t="s">
        <v>218</v>
      </c>
      <c r="H291" s="85" t="s">
        <v>580</v>
      </c>
    </row>
    <row r="292" spans="6:8" x14ac:dyDescent="0.2">
      <c r="F292" s="83" t="s">
        <v>143</v>
      </c>
      <c r="G292" s="84" t="s">
        <v>218</v>
      </c>
      <c r="H292" s="85" t="s">
        <v>581</v>
      </c>
    </row>
    <row r="293" spans="6:8" x14ac:dyDescent="0.2">
      <c r="F293" s="83" t="s">
        <v>143</v>
      </c>
      <c r="G293" s="84" t="s">
        <v>218</v>
      </c>
      <c r="H293" s="85" t="s">
        <v>582</v>
      </c>
    </row>
    <row r="294" spans="6:8" x14ac:dyDescent="0.2">
      <c r="F294" s="83" t="s">
        <v>143</v>
      </c>
      <c r="G294" s="84" t="s">
        <v>218</v>
      </c>
      <c r="H294" s="85" t="s">
        <v>583</v>
      </c>
    </row>
    <row r="295" spans="6:8" x14ac:dyDescent="0.2">
      <c r="F295" s="83" t="s">
        <v>143</v>
      </c>
      <c r="G295" s="84" t="s">
        <v>218</v>
      </c>
      <c r="H295" s="85" t="s">
        <v>584</v>
      </c>
    </row>
    <row r="296" spans="6:8" x14ac:dyDescent="0.2">
      <c r="F296" s="83" t="s">
        <v>143</v>
      </c>
      <c r="G296" s="84" t="s">
        <v>218</v>
      </c>
      <c r="H296" s="85" t="s">
        <v>585</v>
      </c>
    </row>
    <row r="297" spans="6:8" x14ac:dyDescent="0.2">
      <c r="F297" s="83" t="s">
        <v>143</v>
      </c>
      <c r="G297" s="84" t="s">
        <v>218</v>
      </c>
      <c r="H297" s="85" t="s">
        <v>586</v>
      </c>
    </row>
    <row r="298" spans="6:8" x14ac:dyDescent="0.2">
      <c r="F298" s="83" t="s">
        <v>143</v>
      </c>
      <c r="G298" s="84" t="s">
        <v>218</v>
      </c>
      <c r="H298" s="85" t="s">
        <v>587</v>
      </c>
    </row>
    <row r="299" spans="6:8" x14ac:dyDescent="0.2">
      <c r="F299" s="83" t="s">
        <v>143</v>
      </c>
      <c r="G299" s="84" t="s">
        <v>218</v>
      </c>
      <c r="H299" s="85" t="s">
        <v>588</v>
      </c>
    </row>
    <row r="300" spans="6:8" x14ac:dyDescent="0.2">
      <c r="F300" s="83" t="s">
        <v>143</v>
      </c>
      <c r="G300" s="84" t="s">
        <v>218</v>
      </c>
      <c r="H300" s="85" t="s">
        <v>589</v>
      </c>
    </row>
    <row r="301" spans="6:8" x14ac:dyDescent="0.2">
      <c r="F301" s="83" t="s">
        <v>143</v>
      </c>
      <c r="G301" s="84" t="s">
        <v>218</v>
      </c>
      <c r="H301" s="85" t="s">
        <v>590</v>
      </c>
    </row>
    <row r="302" spans="6:8" x14ac:dyDescent="0.2">
      <c r="F302" s="83" t="s">
        <v>143</v>
      </c>
      <c r="G302" s="84" t="s">
        <v>220</v>
      </c>
      <c r="H302" s="85" t="s">
        <v>591</v>
      </c>
    </row>
    <row r="303" spans="6:8" x14ac:dyDescent="0.2">
      <c r="F303" s="83" t="s">
        <v>143</v>
      </c>
      <c r="G303" s="84" t="s">
        <v>220</v>
      </c>
      <c r="H303" s="85" t="s">
        <v>592</v>
      </c>
    </row>
    <row r="304" spans="6:8" x14ac:dyDescent="0.2">
      <c r="F304" s="83" t="s">
        <v>143</v>
      </c>
      <c r="G304" s="84" t="s">
        <v>220</v>
      </c>
      <c r="H304" s="85" t="s">
        <v>593</v>
      </c>
    </row>
    <row r="305" spans="6:8" x14ac:dyDescent="0.2">
      <c r="F305" s="83" t="s">
        <v>143</v>
      </c>
      <c r="G305" s="84" t="s">
        <v>220</v>
      </c>
      <c r="H305" s="85" t="s">
        <v>594</v>
      </c>
    </row>
    <row r="306" spans="6:8" x14ac:dyDescent="0.2">
      <c r="F306" s="83" t="s">
        <v>143</v>
      </c>
      <c r="G306" s="84" t="s">
        <v>220</v>
      </c>
      <c r="H306" s="85" t="s">
        <v>595</v>
      </c>
    </row>
    <row r="307" spans="6:8" x14ac:dyDescent="0.2">
      <c r="F307" s="83" t="s">
        <v>143</v>
      </c>
      <c r="G307" s="84" t="s">
        <v>222</v>
      </c>
      <c r="H307" s="85" t="s">
        <v>596</v>
      </c>
    </row>
    <row r="308" spans="6:8" x14ac:dyDescent="0.2">
      <c r="F308" s="83" t="s">
        <v>143</v>
      </c>
      <c r="G308" s="84" t="s">
        <v>222</v>
      </c>
      <c r="H308" s="85" t="s">
        <v>597</v>
      </c>
    </row>
    <row r="309" spans="6:8" x14ac:dyDescent="0.2">
      <c r="F309" s="83" t="s">
        <v>143</v>
      </c>
      <c r="G309" s="84" t="s">
        <v>222</v>
      </c>
      <c r="H309" s="85" t="s">
        <v>222</v>
      </c>
    </row>
    <row r="310" spans="6:8" x14ac:dyDescent="0.2">
      <c r="F310" s="83" t="s">
        <v>143</v>
      </c>
      <c r="G310" s="84" t="s">
        <v>222</v>
      </c>
      <c r="H310" s="85" t="s">
        <v>598</v>
      </c>
    </row>
    <row r="311" spans="6:8" x14ac:dyDescent="0.2">
      <c r="F311" s="83" t="s">
        <v>143</v>
      </c>
      <c r="G311" s="84" t="s">
        <v>222</v>
      </c>
      <c r="H311" s="85" t="s">
        <v>599</v>
      </c>
    </row>
    <row r="312" spans="6:8" x14ac:dyDescent="0.2">
      <c r="F312" s="83" t="s">
        <v>143</v>
      </c>
      <c r="G312" s="84" t="s">
        <v>222</v>
      </c>
      <c r="H312" s="85" t="s">
        <v>600</v>
      </c>
    </row>
    <row r="313" spans="6:8" x14ac:dyDescent="0.2">
      <c r="F313" s="83" t="s">
        <v>143</v>
      </c>
      <c r="G313" s="84" t="s">
        <v>222</v>
      </c>
      <c r="H313" s="85" t="s">
        <v>601</v>
      </c>
    </row>
    <row r="314" spans="6:8" x14ac:dyDescent="0.2">
      <c r="F314" s="83" t="s">
        <v>143</v>
      </c>
      <c r="G314" s="84" t="s">
        <v>224</v>
      </c>
      <c r="H314" s="85" t="s">
        <v>602</v>
      </c>
    </row>
    <row r="315" spans="6:8" x14ac:dyDescent="0.2">
      <c r="F315" s="83" t="s">
        <v>143</v>
      </c>
      <c r="G315" s="84" t="s">
        <v>224</v>
      </c>
      <c r="H315" s="85" t="s">
        <v>603</v>
      </c>
    </row>
    <row r="316" spans="6:8" x14ac:dyDescent="0.2">
      <c r="F316" s="83" t="s">
        <v>143</v>
      </c>
      <c r="G316" s="84" t="s">
        <v>224</v>
      </c>
      <c r="H316" s="85" t="s">
        <v>604</v>
      </c>
    </row>
    <row r="317" spans="6:8" x14ac:dyDescent="0.2">
      <c r="F317" s="83" t="s">
        <v>143</v>
      </c>
      <c r="G317" s="84" t="s">
        <v>224</v>
      </c>
      <c r="H317" s="85" t="s">
        <v>605</v>
      </c>
    </row>
    <row r="318" spans="6:8" x14ac:dyDescent="0.2">
      <c r="F318" s="83" t="s">
        <v>143</v>
      </c>
      <c r="G318" s="84" t="s">
        <v>224</v>
      </c>
      <c r="H318" s="85" t="s">
        <v>606</v>
      </c>
    </row>
    <row r="319" spans="6:8" x14ac:dyDescent="0.2">
      <c r="F319" s="83" t="s">
        <v>143</v>
      </c>
      <c r="G319" s="84" t="s">
        <v>224</v>
      </c>
      <c r="H319" s="85" t="s">
        <v>607</v>
      </c>
    </row>
    <row r="320" spans="6:8" x14ac:dyDescent="0.2">
      <c r="F320" s="83" t="s">
        <v>143</v>
      </c>
      <c r="G320" s="84" t="s">
        <v>224</v>
      </c>
      <c r="H320" s="85" t="s">
        <v>608</v>
      </c>
    </row>
    <row r="321" spans="6:8" x14ac:dyDescent="0.2">
      <c r="F321" s="83" t="s">
        <v>143</v>
      </c>
      <c r="G321" s="84" t="s">
        <v>224</v>
      </c>
      <c r="H321" s="85" t="s">
        <v>609</v>
      </c>
    </row>
    <row r="322" spans="6:8" x14ac:dyDescent="0.2">
      <c r="F322" s="83" t="s">
        <v>143</v>
      </c>
      <c r="G322" s="84" t="s">
        <v>224</v>
      </c>
      <c r="H322" s="85" t="s">
        <v>610</v>
      </c>
    </row>
    <row r="323" spans="6:8" x14ac:dyDescent="0.2">
      <c r="F323" s="83" t="s">
        <v>143</v>
      </c>
      <c r="G323" s="84" t="s">
        <v>224</v>
      </c>
      <c r="H323" s="85" t="s">
        <v>611</v>
      </c>
    </row>
    <row r="324" spans="6:8" x14ac:dyDescent="0.2">
      <c r="F324" s="83" t="s">
        <v>143</v>
      </c>
      <c r="G324" s="84" t="s">
        <v>224</v>
      </c>
      <c r="H324" s="85" t="s">
        <v>612</v>
      </c>
    </row>
    <row r="325" spans="6:8" x14ac:dyDescent="0.2">
      <c r="F325" s="83" t="s">
        <v>143</v>
      </c>
      <c r="G325" s="84" t="s">
        <v>224</v>
      </c>
      <c r="H325" s="85" t="s">
        <v>613</v>
      </c>
    </row>
    <row r="326" spans="6:8" x14ac:dyDescent="0.2">
      <c r="F326" s="83" t="s">
        <v>146</v>
      </c>
      <c r="G326" s="84" t="s">
        <v>146</v>
      </c>
      <c r="H326" s="85" t="s">
        <v>614</v>
      </c>
    </row>
    <row r="327" spans="6:8" x14ac:dyDescent="0.2">
      <c r="F327" s="83" t="s">
        <v>146</v>
      </c>
      <c r="G327" s="84" t="s">
        <v>146</v>
      </c>
      <c r="H327" s="85" t="s">
        <v>146</v>
      </c>
    </row>
    <row r="328" spans="6:8" x14ac:dyDescent="0.2">
      <c r="F328" s="83" t="s">
        <v>146</v>
      </c>
      <c r="G328" s="84" t="s">
        <v>146</v>
      </c>
      <c r="H328" s="85" t="s">
        <v>615</v>
      </c>
    </row>
    <row r="329" spans="6:8" x14ac:dyDescent="0.2">
      <c r="F329" s="83" t="s">
        <v>146</v>
      </c>
      <c r="G329" s="84" t="s">
        <v>146</v>
      </c>
      <c r="H329" s="85" t="s">
        <v>616</v>
      </c>
    </row>
    <row r="330" spans="6:8" x14ac:dyDescent="0.2">
      <c r="F330" s="83" t="s">
        <v>146</v>
      </c>
      <c r="G330" s="84" t="s">
        <v>146</v>
      </c>
      <c r="H330" s="85" t="s">
        <v>617</v>
      </c>
    </row>
    <row r="331" spans="6:8" x14ac:dyDescent="0.2">
      <c r="F331" s="83" t="s">
        <v>146</v>
      </c>
      <c r="G331" s="84" t="s">
        <v>146</v>
      </c>
      <c r="H331" s="85" t="s">
        <v>618</v>
      </c>
    </row>
    <row r="332" spans="6:8" x14ac:dyDescent="0.2">
      <c r="F332" s="83" t="s">
        <v>146</v>
      </c>
      <c r="G332" s="84" t="s">
        <v>146</v>
      </c>
      <c r="H332" s="85" t="s">
        <v>1840</v>
      </c>
    </row>
    <row r="333" spans="6:8" x14ac:dyDescent="0.2">
      <c r="F333" s="83" t="s">
        <v>146</v>
      </c>
      <c r="G333" s="84" t="s">
        <v>146</v>
      </c>
      <c r="H333" s="85" t="s">
        <v>1841</v>
      </c>
    </row>
    <row r="334" spans="6:8" x14ac:dyDescent="0.2">
      <c r="F334" s="83" t="s">
        <v>146</v>
      </c>
      <c r="G334" s="84" t="s">
        <v>146</v>
      </c>
      <c r="H334" s="85" t="s">
        <v>1842</v>
      </c>
    </row>
    <row r="335" spans="6:8" x14ac:dyDescent="0.2">
      <c r="F335" s="83" t="s">
        <v>146</v>
      </c>
      <c r="G335" s="84" t="s">
        <v>146</v>
      </c>
      <c r="H335" s="85" t="s">
        <v>619</v>
      </c>
    </row>
    <row r="336" spans="6:8" x14ac:dyDescent="0.2">
      <c r="F336" s="83" t="s">
        <v>146</v>
      </c>
      <c r="G336" s="84" t="s">
        <v>146</v>
      </c>
      <c r="H336" s="85" t="s">
        <v>620</v>
      </c>
    </row>
    <row r="337" spans="6:8" x14ac:dyDescent="0.2">
      <c r="F337" s="83" t="s">
        <v>146</v>
      </c>
      <c r="G337" s="84" t="s">
        <v>146</v>
      </c>
      <c r="H337" s="85" t="s">
        <v>621</v>
      </c>
    </row>
    <row r="338" spans="6:8" x14ac:dyDescent="0.2">
      <c r="F338" s="83" t="s">
        <v>146</v>
      </c>
      <c r="G338" s="84" t="s">
        <v>146</v>
      </c>
      <c r="H338" s="85" t="s">
        <v>622</v>
      </c>
    </row>
    <row r="339" spans="6:8" x14ac:dyDescent="0.2">
      <c r="F339" s="83" t="s">
        <v>146</v>
      </c>
      <c r="G339" s="84" t="s">
        <v>146</v>
      </c>
      <c r="H339" s="85" t="s">
        <v>623</v>
      </c>
    </row>
    <row r="340" spans="6:8" x14ac:dyDescent="0.2">
      <c r="F340" s="83" t="s">
        <v>146</v>
      </c>
      <c r="G340" s="84" t="s">
        <v>146</v>
      </c>
      <c r="H340" s="85" t="s">
        <v>624</v>
      </c>
    </row>
    <row r="341" spans="6:8" x14ac:dyDescent="0.2">
      <c r="F341" s="83" t="s">
        <v>146</v>
      </c>
      <c r="G341" s="84" t="s">
        <v>146</v>
      </c>
      <c r="H341" s="85" t="s">
        <v>625</v>
      </c>
    </row>
    <row r="342" spans="6:8" x14ac:dyDescent="0.2">
      <c r="F342" s="83" t="s">
        <v>146</v>
      </c>
      <c r="G342" s="84" t="s">
        <v>146</v>
      </c>
      <c r="H342" s="85" t="s">
        <v>626</v>
      </c>
    </row>
    <row r="343" spans="6:8" x14ac:dyDescent="0.2">
      <c r="F343" s="83" t="s">
        <v>146</v>
      </c>
      <c r="G343" s="84" t="s">
        <v>146</v>
      </c>
      <c r="H343" s="85" t="s">
        <v>627</v>
      </c>
    </row>
    <row r="344" spans="6:8" x14ac:dyDescent="0.2">
      <c r="F344" s="83" t="s">
        <v>146</v>
      </c>
      <c r="G344" s="84" t="s">
        <v>146</v>
      </c>
      <c r="H344" s="85" t="s">
        <v>628</v>
      </c>
    </row>
    <row r="345" spans="6:8" x14ac:dyDescent="0.2">
      <c r="F345" s="83" t="s">
        <v>146</v>
      </c>
      <c r="G345" s="84" t="s">
        <v>146</v>
      </c>
      <c r="H345" s="85" t="s">
        <v>629</v>
      </c>
    </row>
    <row r="346" spans="6:8" x14ac:dyDescent="0.2">
      <c r="F346" s="83" t="s">
        <v>146</v>
      </c>
      <c r="G346" s="84" t="s">
        <v>146</v>
      </c>
      <c r="H346" s="85" t="s">
        <v>630</v>
      </c>
    </row>
    <row r="347" spans="6:8" x14ac:dyDescent="0.2">
      <c r="F347" s="83" t="s">
        <v>146</v>
      </c>
      <c r="G347" s="84" t="s">
        <v>146</v>
      </c>
      <c r="H347" s="85" t="s">
        <v>631</v>
      </c>
    </row>
    <row r="348" spans="6:8" x14ac:dyDescent="0.2">
      <c r="F348" s="83" t="s">
        <v>146</v>
      </c>
      <c r="G348" s="84" t="s">
        <v>146</v>
      </c>
      <c r="H348" s="85" t="s">
        <v>632</v>
      </c>
    </row>
    <row r="349" spans="6:8" x14ac:dyDescent="0.2">
      <c r="F349" s="83" t="s">
        <v>146</v>
      </c>
      <c r="G349" s="84" t="s">
        <v>146</v>
      </c>
      <c r="H349" s="85" t="s">
        <v>633</v>
      </c>
    </row>
    <row r="350" spans="6:8" x14ac:dyDescent="0.2">
      <c r="F350" s="83" t="s">
        <v>146</v>
      </c>
      <c r="G350" s="84" t="s">
        <v>146</v>
      </c>
      <c r="H350" s="85" t="s">
        <v>634</v>
      </c>
    </row>
    <row r="351" spans="6:8" x14ac:dyDescent="0.2">
      <c r="F351" s="83" t="s">
        <v>146</v>
      </c>
      <c r="G351" s="84" t="s">
        <v>146</v>
      </c>
      <c r="H351" s="85" t="s">
        <v>635</v>
      </c>
    </row>
    <row r="352" spans="6:8" x14ac:dyDescent="0.2">
      <c r="F352" s="83" t="s">
        <v>146</v>
      </c>
      <c r="G352" s="84" t="s">
        <v>146</v>
      </c>
      <c r="H352" s="85" t="s">
        <v>636</v>
      </c>
    </row>
    <row r="353" spans="6:8" x14ac:dyDescent="0.2">
      <c r="F353" s="83" t="s">
        <v>146</v>
      </c>
      <c r="G353" s="84" t="s">
        <v>146</v>
      </c>
      <c r="H353" s="85" t="s">
        <v>637</v>
      </c>
    </row>
    <row r="354" spans="6:8" x14ac:dyDescent="0.2">
      <c r="F354" s="83" t="s">
        <v>146</v>
      </c>
      <c r="G354" s="84" t="s">
        <v>146</v>
      </c>
      <c r="H354" s="85" t="s">
        <v>638</v>
      </c>
    </row>
    <row r="355" spans="6:8" x14ac:dyDescent="0.2">
      <c r="F355" s="83" t="s">
        <v>146</v>
      </c>
      <c r="G355" s="84" t="s">
        <v>227</v>
      </c>
      <c r="H355" s="85" t="s">
        <v>227</v>
      </c>
    </row>
    <row r="356" spans="6:8" x14ac:dyDescent="0.2">
      <c r="F356" s="83" t="s">
        <v>146</v>
      </c>
      <c r="G356" s="84" t="s">
        <v>227</v>
      </c>
      <c r="H356" s="85" t="s">
        <v>639</v>
      </c>
    </row>
    <row r="357" spans="6:8" x14ac:dyDescent="0.2">
      <c r="F357" s="83" t="s">
        <v>146</v>
      </c>
      <c r="G357" s="84" t="s">
        <v>227</v>
      </c>
      <c r="H357" s="85" t="s">
        <v>640</v>
      </c>
    </row>
    <row r="358" spans="6:8" x14ac:dyDescent="0.2">
      <c r="F358" s="83" t="s">
        <v>146</v>
      </c>
      <c r="G358" s="84" t="s">
        <v>227</v>
      </c>
      <c r="H358" s="85" t="s">
        <v>641</v>
      </c>
    </row>
    <row r="359" spans="6:8" x14ac:dyDescent="0.2">
      <c r="F359" s="83" t="s">
        <v>146</v>
      </c>
      <c r="G359" s="84" t="s">
        <v>227</v>
      </c>
      <c r="H359" s="85" t="s">
        <v>642</v>
      </c>
    </row>
    <row r="360" spans="6:8" x14ac:dyDescent="0.2">
      <c r="F360" s="83" t="s">
        <v>146</v>
      </c>
      <c r="G360" s="84" t="s">
        <v>227</v>
      </c>
      <c r="H360" s="85" t="s">
        <v>1843</v>
      </c>
    </row>
    <row r="361" spans="6:8" x14ac:dyDescent="0.2">
      <c r="F361" s="83" t="s">
        <v>146</v>
      </c>
      <c r="G361" s="84" t="s">
        <v>227</v>
      </c>
      <c r="H361" s="85" t="s">
        <v>643</v>
      </c>
    </row>
    <row r="362" spans="6:8" x14ac:dyDescent="0.2">
      <c r="F362" s="83" t="s">
        <v>146</v>
      </c>
      <c r="G362" s="84" t="s">
        <v>227</v>
      </c>
      <c r="H362" s="85" t="s">
        <v>644</v>
      </c>
    </row>
    <row r="363" spans="6:8" x14ac:dyDescent="0.2">
      <c r="F363" s="83" t="s">
        <v>146</v>
      </c>
      <c r="G363" s="84" t="s">
        <v>229</v>
      </c>
      <c r="H363" s="85" t="s">
        <v>645</v>
      </c>
    </row>
    <row r="364" spans="6:8" x14ac:dyDescent="0.2">
      <c r="F364" s="83" t="s">
        <v>146</v>
      </c>
      <c r="G364" s="84" t="s">
        <v>229</v>
      </c>
      <c r="H364" s="85" t="s">
        <v>646</v>
      </c>
    </row>
    <row r="365" spans="6:8" x14ac:dyDescent="0.2">
      <c r="F365" s="83" t="s">
        <v>146</v>
      </c>
      <c r="G365" s="84" t="s">
        <v>229</v>
      </c>
      <c r="H365" s="85" t="s">
        <v>647</v>
      </c>
    </row>
    <row r="366" spans="6:8" x14ac:dyDescent="0.2">
      <c r="F366" s="83" t="s">
        <v>146</v>
      </c>
      <c r="G366" s="84" t="s">
        <v>229</v>
      </c>
      <c r="H366" s="85" t="s">
        <v>648</v>
      </c>
    </row>
    <row r="367" spans="6:8" x14ac:dyDescent="0.2">
      <c r="F367" s="83" t="s">
        <v>146</v>
      </c>
      <c r="G367" s="84" t="s">
        <v>229</v>
      </c>
      <c r="H367" s="85" t="s">
        <v>649</v>
      </c>
    </row>
    <row r="368" spans="6:8" x14ac:dyDescent="0.2">
      <c r="F368" s="83" t="s">
        <v>146</v>
      </c>
      <c r="G368" s="84" t="s">
        <v>229</v>
      </c>
      <c r="H368" s="85" t="s">
        <v>229</v>
      </c>
    </row>
    <row r="369" spans="6:8" x14ac:dyDescent="0.2">
      <c r="F369" s="83" t="s">
        <v>146</v>
      </c>
      <c r="G369" s="84" t="s">
        <v>229</v>
      </c>
      <c r="H369" s="85" t="s">
        <v>650</v>
      </c>
    </row>
    <row r="370" spans="6:8" x14ac:dyDescent="0.2">
      <c r="F370" s="83" t="s">
        <v>146</v>
      </c>
      <c r="G370" s="84" t="s">
        <v>229</v>
      </c>
      <c r="H370" s="85" t="s">
        <v>651</v>
      </c>
    </row>
    <row r="371" spans="6:8" x14ac:dyDescent="0.2">
      <c r="F371" s="83" t="s">
        <v>146</v>
      </c>
      <c r="G371" s="84" t="s">
        <v>229</v>
      </c>
      <c r="H371" s="85" t="s">
        <v>652</v>
      </c>
    </row>
    <row r="372" spans="6:8" x14ac:dyDescent="0.2">
      <c r="F372" s="83" t="s">
        <v>146</v>
      </c>
      <c r="G372" s="84" t="s">
        <v>229</v>
      </c>
      <c r="H372" s="85" t="s">
        <v>653</v>
      </c>
    </row>
    <row r="373" spans="6:8" x14ac:dyDescent="0.2">
      <c r="F373" s="83" t="s">
        <v>146</v>
      </c>
      <c r="G373" s="84" t="s">
        <v>229</v>
      </c>
      <c r="H373" s="85" t="s">
        <v>654</v>
      </c>
    </row>
    <row r="374" spans="6:8" x14ac:dyDescent="0.2">
      <c r="F374" s="83" t="s">
        <v>146</v>
      </c>
      <c r="G374" s="84" t="s">
        <v>229</v>
      </c>
      <c r="H374" s="85" t="s">
        <v>655</v>
      </c>
    </row>
    <row r="375" spans="6:8" x14ac:dyDescent="0.2">
      <c r="F375" s="83" t="s">
        <v>146</v>
      </c>
      <c r="G375" s="84" t="s">
        <v>229</v>
      </c>
      <c r="H375" s="85" t="s">
        <v>656</v>
      </c>
    </row>
    <row r="376" spans="6:8" x14ac:dyDescent="0.2">
      <c r="F376" s="83" t="s">
        <v>146</v>
      </c>
      <c r="G376" s="84" t="s">
        <v>231</v>
      </c>
      <c r="H376" s="85" t="s">
        <v>657</v>
      </c>
    </row>
    <row r="377" spans="6:8" x14ac:dyDescent="0.2">
      <c r="F377" s="83" t="s">
        <v>146</v>
      </c>
      <c r="G377" s="84" t="s">
        <v>231</v>
      </c>
      <c r="H377" s="85" t="s">
        <v>658</v>
      </c>
    </row>
    <row r="378" spans="6:8" x14ac:dyDescent="0.2">
      <c r="F378" s="83" t="s">
        <v>146</v>
      </c>
      <c r="G378" s="84" t="s">
        <v>231</v>
      </c>
      <c r="H378" s="85" t="s">
        <v>659</v>
      </c>
    </row>
    <row r="379" spans="6:8" x14ac:dyDescent="0.2">
      <c r="F379" s="83" t="s">
        <v>146</v>
      </c>
      <c r="G379" s="84" t="s">
        <v>231</v>
      </c>
      <c r="H379" s="85" t="s">
        <v>660</v>
      </c>
    </row>
    <row r="380" spans="6:8" x14ac:dyDescent="0.2">
      <c r="F380" s="83" t="s">
        <v>146</v>
      </c>
      <c r="G380" s="84" t="s">
        <v>231</v>
      </c>
      <c r="H380" s="85" t="s">
        <v>661</v>
      </c>
    </row>
    <row r="381" spans="6:8" x14ac:dyDescent="0.2">
      <c r="F381" s="83" t="s">
        <v>146</v>
      </c>
      <c r="G381" s="84" t="s">
        <v>231</v>
      </c>
      <c r="H381" s="85" t="s">
        <v>662</v>
      </c>
    </row>
    <row r="382" spans="6:8" x14ac:dyDescent="0.2">
      <c r="F382" s="83" t="s">
        <v>146</v>
      </c>
      <c r="G382" s="84" t="s">
        <v>231</v>
      </c>
      <c r="H382" s="85" t="s">
        <v>663</v>
      </c>
    </row>
    <row r="383" spans="6:8" x14ac:dyDescent="0.2">
      <c r="F383" s="83" t="s">
        <v>146</v>
      </c>
      <c r="G383" s="84" t="s">
        <v>231</v>
      </c>
      <c r="H383" s="85" t="s">
        <v>664</v>
      </c>
    </row>
    <row r="384" spans="6:8" x14ac:dyDescent="0.2">
      <c r="F384" s="83" t="s">
        <v>146</v>
      </c>
      <c r="G384" s="84" t="s">
        <v>231</v>
      </c>
      <c r="H384" s="85" t="s">
        <v>665</v>
      </c>
    </row>
    <row r="385" spans="6:8" x14ac:dyDescent="0.2">
      <c r="F385" s="83" t="s">
        <v>146</v>
      </c>
      <c r="G385" s="84" t="s">
        <v>231</v>
      </c>
      <c r="H385" s="85" t="s">
        <v>666</v>
      </c>
    </row>
    <row r="386" spans="6:8" x14ac:dyDescent="0.2">
      <c r="F386" s="83" t="s">
        <v>146</v>
      </c>
      <c r="G386" s="84" t="s">
        <v>231</v>
      </c>
      <c r="H386" s="85" t="s">
        <v>667</v>
      </c>
    </row>
    <row r="387" spans="6:8" x14ac:dyDescent="0.2">
      <c r="F387" s="83" t="s">
        <v>146</v>
      </c>
      <c r="G387" s="84" t="s">
        <v>231</v>
      </c>
      <c r="H387" s="85" t="s">
        <v>668</v>
      </c>
    </row>
    <row r="388" spans="6:8" x14ac:dyDescent="0.2">
      <c r="F388" s="83" t="s">
        <v>146</v>
      </c>
      <c r="G388" s="84" t="s">
        <v>231</v>
      </c>
      <c r="H388" s="85" t="s">
        <v>669</v>
      </c>
    </row>
    <row r="389" spans="6:8" x14ac:dyDescent="0.2">
      <c r="F389" s="83" t="s">
        <v>146</v>
      </c>
      <c r="G389" s="84" t="s">
        <v>231</v>
      </c>
      <c r="H389" s="85" t="s">
        <v>670</v>
      </c>
    </row>
    <row r="390" spans="6:8" x14ac:dyDescent="0.2">
      <c r="F390" s="83" t="s">
        <v>146</v>
      </c>
      <c r="G390" s="84" t="s">
        <v>233</v>
      </c>
      <c r="H390" s="85" t="s">
        <v>671</v>
      </c>
    </row>
    <row r="391" spans="6:8" x14ac:dyDescent="0.2">
      <c r="F391" s="83" t="s">
        <v>146</v>
      </c>
      <c r="G391" s="84" t="s">
        <v>233</v>
      </c>
      <c r="H391" s="85" t="s">
        <v>672</v>
      </c>
    </row>
    <row r="392" spans="6:8" x14ac:dyDescent="0.2">
      <c r="F392" s="83" t="s">
        <v>146</v>
      </c>
      <c r="G392" s="84" t="s">
        <v>233</v>
      </c>
      <c r="H392" s="85" t="s">
        <v>673</v>
      </c>
    </row>
    <row r="393" spans="6:8" x14ac:dyDescent="0.2">
      <c r="F393" s="83" t="s">
        <v>146</v>
      </c>
      <c r="G393" s="84" t="s">
        <v>233</v>
      </c>
      <c r="H393" s="85" t="s">
        <v>233</v>
      </c>
    </row>
    <row r="394" spans="6:8" x14ac:dyDescent="0.2">
      <c r="F394" s="83" t="s">
        <v>146</v>
      </c>
      <c r="G394" s="84" t="s">
        <v>233</v>
      </c>
      <c r="H394" s="85" t="s">
        <v>674</v>
      </c>
    </row>
    <row r="395" spans="6:8" x14ac:dyDescent="0.2">
      <c r="F395" s="83" t="s">
        <v>146</v>
      </c>
      <c r="G395" s="84" t="s">
        <v>233</v>
      </c>
      <c r="H395" s="85" t="s">
        <v>675</v>
      </c>
    </row>
    <row r="396" spans="6:8" x14ac:dyDescent="0.2">
      <c r="F396" s="83" t="s">
        <v>146</v>
      </c>
      <c r="G396" s="84" t="s">
        <v>233</v>
      </c>
      <c r="H396" s="85" t="s">
        <v>291</v>
      </c>
    </row>
    <row r="397" spans="6:8" x14ac:dyDescent="0.2">
      <c r="F397" s="83" t="s">
        <v>146</v>
      </c>
      <c r="G397" s="84" t="s">
        <v>233</v>
      </c>
      <c r="H397" s="85" t="s">
        <v>676</v>
      </c>
    </row>
    <row r="398" spans="6:8" x14ac:dyDescent="0.2">
      <c r="F398" s="83" t="s">
        <v>146</v>
      </c>
      <c r="G398" s="84" t="s">
        <v>233</v>
      </c>
      <c r="H398" s="85" t="s">
        <v>677</v>
      </c>
    </row>
    <row r="399" spans="6:8" x14ac:dyDescent="0.2">
      <c r="F399" s="83" t="s">
        <v>146</v>
      </c>
      <c r="G399" s="84" t="s">
        <v>233</v>
      </c>
      <c r="H399" s="85" t="s">
        <v>678</v>
      </c>
    </row>
    <row r="400" spans="6:8" x14ac:dyDescent="0.2">
      <c r="F400" s="83" t="s">
        <v>146</v>
      </c>
      <c r="G400" s="84" t="s">
        <v>233</v>
      </c>
      <c r="H400" s="85" t="s">
        <v>679</v>
      </c>
    </row>
    <row r="401" spans="6:8" x14ac:dyDescent="0.2">
      <c r="F401" s="83" t="s">
        <v>146</v>
      </c>
      <c r="G401" s="84" t="s">
        <v>233</v>
      </c>
      <c r="H401" s="85" t="s">
        <v>680</v>
      </c>
    </row>
    <row r="402" spans="6:8" x14ac:dyDescent="0.2">
      <c r="F402" s="83" t="s">
        <v>146</v>
      </c>
      <c r="G402" s="84" t="s">
        <v>233</v>
      </c>
      <c r="H402" s="85" t="s">
        <v>681</v>
      </c>
    </row>
    <row r="403" spans="6:8" x14ac:dyDescent="0.2">
      <c r="F403" s="83" t="s">
        <v>146</v>
      </c>
      <c r="G403" s="84" t="s">
        <v>233</v>
      </c>
      <c r="H403" s="85" t="s">
        <v>682</v>
      </c>
    </row>
    <row r="404" spans="6:8" x14ac:dyDescent="0.2">
      <c r="F404" s="83" t="s">
        <v>146</v>
      </c>
      <c r="G404" s="84" t="s">
        <v>233</v>
      </c>
      <c r="H404" s="85" t="s">
        <v>610</v>
      </c>
    </row>
    <row r="405" spans="6:8" x14ac:dyDescent="0.2">
      <c r="F405" s="83" t="s">
        <v>146</v>
      </c>
      <c r="G405" s="84" t="s">
        <v>233</v>
      </c>
      <c r="H405" s="85" t="s">
        <v>683</v>
      </c>
    </row>
    <row r="406" spans="6:8" x14ac:dyDescent="0.2">
      <c r="F406" s="83" t="s">
        <v>146</v>
      </c>
      <c r="G406" s="84" t="s">
        <v>233</v>
      </c>
      <c r="H406" s="85" t="s">
        <v>684</v>
      </c>
    </row>
    <row r="407" spans="6:8" x14ac:dyDescent="0.2">
      <c r="F407" s="83" t="s">
        <v>146</v>
      </c>
      <c r="G407" s="84" t="s">
        <v>233</v>
      </c>
      <c r="H407" s="85" t="s">
        <v>685</v>
      </c>
    </row>
    <row r="408" spans="6:8" x14ac:dyDescent="0.2">
      <c r="F408" s="83" t="s">
        <v>146</v>
      </c>
      <c r="G408" s="84" t="s">
        <v>233</v>
      </c>
      <c r="H408" s="85" t="s">
        <v>686</v>
      </c>
    </row>
    <row r="409" spans="6:8" x14ac:dyDescent="0.2">
      <c r="F409" s="83" t="s">
        <v>146</v>
      </c>
      <c r="G409" s="84" t="s">
        <v>233</v>
      </c>
      <c r="H409" s="85" t="s">
        <v>687</v>
      </c>
    </row>
    <row r="410" spans="6:8" x14ac:dyDescent="0.2">
      <c r="F410" s="83" t="s">
        <v>146</v>
      </c>
      <c r="G410" s="84" t="s">
        <v>235</v>
      </c>
      <c r="H410" s="85" t="s">
        <v>688</v>
      </c>
    </row>
    <row r="411" spans="6:8" x14ac:dyDescent="0.2">
      <c r="F411" s="83" t="s">
        <v>146</v>
      </c>
      <c r="G411" s="84" t="s">
        <v>235</v>
      </c>
      <c r="H411" s="85" t="s">
        <v>689</v>
      </c>
    </row>
    <row r="412" spans="6:8" x14ac:dyDescent="0.2">
      <c r="F412" s="83" t="s">
        <v>146</v>
      </c>
      <c r="G412" s="84" t="s">
        <v>235</v>
      </c>
      <c r="H412" s="85" t="s">
        <v>690</v>
      </c>
    </row>
    <row r="413" spans="6:8" x14ac:dyDescent="0.2">
      <c r="F413" s="83" t="s">
        <v>146</v>
      </c>
      <c r="G413" s="84" t="s">
        <v>235</v>
      </c>
      <c r="H413" s="85" t="s">
        <v>213</v>
      </c>
    </row>
    <row r="414" spans="6:8" x14ac:dyDescent="0.2">
      <c r="F414" s="83" t="s">
        <v>146</v>
      </c>
      <c r="G414" s="84" t="s">
        <v>235</v>
      </c>
      <c r="H414" s="85" t="s">
        <v>691</v>
      </c>
    </row>
    <row r="415" spans="6:8" x14ac:dyDescent="0.2">
      <c r="F415" s="83" t="s">
        <v>146</v>
      </c>
      <c r="G415" s="84" t="s">
        <v>235</v>
      </c>
      <c r="H415" s="85" t="s">
        <v>692</v>
      </c>
    </row>
    <row r="416" spans="6:8" x14ac:dyDescent="0.2">
      <c r="F416" s="83" t="s">
        <v>146</v>
      </c>
      <c r="G416" s="84" t="s">
        <v>235</v>
      </c>
      <c r="H416" s="85" t="s">
        <v>693</v>
      </c>
    </row>
    <row r="417" spans="6:8" x14ac:dyDescent="0.2">
      <c r="F417" s="83" t="s">
        <v>146</v>
      </c>
      <c r="G417" s="84" t="s">
        <v>235</v>
      </c>
      <c r="H417" s="85" t="s">
        <v>694</v>
      </c>
    </row>
    <row r="418" spans="6:8" x14ac:dyDescent="0.2">
      <c r="F418" s="83" t="s">
        <v>146</v>
      </c>
      <c r="G418" s="84" t="s">
        <v>237</v>
      </c>
      <c r="H418" s="85" t="s">
        <v>695</v>
      </c>
    </row>
    <row r="419" spans="6:8" x14ac:dyDescent="0.2">
      <c r="F419" s="83" t="s">
        <v>146</v>
      </c>
      <c r="G419" s="84" t="s">
        <v>237</v>
      </c>
      <c r="H419" s="85" t="s">
        <v>696</v>
      </c>
    </row>
    <row r="420" spans="6:8" x14ac:dyDescent="0.2">
      <c r="F420" s="83" t="s">
        <v>146</v>
      </c>
      <c r="G420" s="84" t="s">
        <v>237</v>
      </c>
      <c r="H420" s="85" t="s">
        <v>237</v>
      </c>
    </row>
    <row r="421" spans="6:8" x14ac:dyDescent="0.2">
      <c r="F421" s="83" t="s">
        <v>146</v>
      </c>
      <c r="G421" s="84" t="s">
        <v>237</v>
      </c>
      <c r="H421" s="85" t="s">
        <v>697</v>
      </c>
    </row>
    <row r="422" spans="6:8" x14ac:dyDescent="0.2">
      <c r="F422" s="83" t="s">
        <v>146</v>
      </c>
      <c r="G422" s="84" t="s">
        <v>237</v>
      </c>
      <c r="H422" s="85" t="s">
        <v>698</v>
      </c>
    </row>
    <row r="423" spans="6:8" x14ac:dyDescent="0.2">
      <c r="F423" s="83" t="s">
        <v>146</v>
      </c>
      <c r="G423" s="84" t="s">
        <v>237</v>
      </c>
      <c r="H423" s="85" t="s">
        <v>699</v>
      </c>
    </row>
    <row r="424" spans="6:8" x14ac:dyDescent="0.2">
      <c r="F424" s="83" t="s">
        <v>146</v>
      </c>
      <c r="G424" s="84" t="s">
        <v>239</v>
      </c>
      <c r="H424" s="85" t="s">
        <v>700</v>
      </c>
    </row>
    <row r="425" spans="6:8" x14ac:dyDescent="0.2">
      <c r="F425" s="83" t="s">
        <v>146</v>
      </c>
      <c r="G425" s="84" t="s">
        <v>239</v>
      </c>
      <c r="H425" s="85" t="s">
        <v>701</v>
      </c>
    </row>
    <row r="426" spans="6:8" x14ac:dyDescent="0.2">
      <c r="F426" s="83" t="s">
        <v>146</v>
      </c>
      <c r="G426" s="84" t="s">
        <v>239</v>
      </c>
      <c r="H426" s="85" t="s">
        <v>702</v>
      </c>
    </row>
    <row r="427" spans="6:8" x14ac:dyDescent="0.2">
      <c r="F427" s="83" t="s">
        <v>146</v>
      </c>
      <c r="G427" s="84" t="s">
        <v>239</v>
      </c>
      <c r="H427" s="85" t="s">
        <v>703</v>
      </c>
    </row>
    <row r="428" spans="6:8" x14ac:dyDescent="0.2">
      <c r="F428" s="83" t="s">
        <v>146</v>
      </c>
      <c r="G428" s="84" t="s">
        <v>239</v>
      </c>
      <c r="H428" s="85" t="s">
        <v>704</v>
      </c>
    </row>
    <row r="429" spans="6:8" x14ac:dyDescent="0.2">
      <c r="F429" s="83" t="s">
        <v>146</v>
      </c>
      <c r="G429" s="84" t="s">
        <v>239</v>
      </c>
      <c r="H429" s="85" t="s">
        <v>705</v>
      </c>
    </row>
    <row r="430" spans="6:8" x14ac:dyDescent="0.2">
      <c r="F430" s="83" t="s">
        <v>146</v>
      </c>
      <c r="G430" s="84" t="s">
        <v>239</v>
      </c>
      <c r="H430" s="85" t="s">
        <v>706</v>
      </c>
    </row>
    <row r="431" spans="6:8" x14ac:dyDescent="0.2">
      <c r="F431" s="83" t="s">
        <v>146</v>
      </c>
      <c r="G431" s="84" t="s">
        <v>239</v>
      </c>
      <c r="H431" s="85" t="s">
        <v>707</v>
      </c>
    </row>
    <row r="432" spans="6:8" x14ac:dyDescent="0.2">
      <c r="F432" s="83" t="s">
        <v>146</v>
      </c>
      <c r="G432" s="84" t="s">
        <v>239</v>
      </c>
      <c r="H432" s="85" t="s">
        <v>708</v>
      </c>
    </row>
    <row r="433" spans="6:8" x14ac:dyDescent="0.2">
      <c r="F433" s="83" t="s">
        <v>146</v>
      </c>
      <c r="G433" s="84" t="s">
        <v>239</v>
      </c>
      <c r="H433" s="85" t="s">
        <v>709</v>
      </c>
    </row>
    <row r="434" spans="6:8" x14ac:dyDescent="0.2">
      <c r="F434" s="83" t="s">
        <v>146</v>
      </c>
      <c r="G434" s="84" t="s">
        <v>239</v>
      </c>
      <c r="H434" s="85" t="s">
        <v>710</v>
      </c>
    </row>
    <row r="435" spans="6:8" x14ac:dyDescent="0.2">
      <c r="F435" s="83" t="s">
        <v>149</v>
      </c>
      <c r="G435" s="84" t="s">
        <v>241</v>
      </c>
      <c r="H435" s="85" t="s">
        <v>241</v>
      </c>
    </row>
    <row r="436" spans="6:8" x14ac:dyDescent="0.2">
      <c r="F436" s="83" t="s">
        <v>149</v>
      </c>
      <c r="G436" s="84" t="s">
        <v>241</v>
      </c>
      <c r="H436" s="85" t="s">
        <v>711</v>
      </c>
    </row>
    <row r="437" spans="6:8" x14ac:dyDescent="0.2">
      <c r="F437" s="83" t="s">
        <v>149</v>
      </c>
      <c r="G437" s="84" t="s">
        <v>241</v>
      </c>
      <c r="H437" s="85" t="s">
        <v>712</v>
      </c>
    </row>
    <row r="438" spans="6:8" x14ac:dyDescent="0.2">
      <c r="F438" s="83" t="s">
        <v>149</v>
      </c>
      <c r="G438" s="84" t="s">
        <v>241</v>
      </c>
      <c r="H438" s="85" t="s">
        <v>713</v>
      </c>
    </row>
    <row r="439" spans="6:8" x14ac:dyDescent="0.2">
      <c r="F439" s="83" t="s">
        <v>149</v>
      </c>
      <c r="G439" s="84" t="s">
        <v>241</v>
      </c>
      <c r="H439" s="85" t="s">
        <v>714</v>
      </c>
    </row>
    <row r="440" spans="6:8" x14ac:dyDescent="0.2">
      <c r="F440" s="83" t="s">
        <v>149</v>
      </c>
      <c r="G440" s="84" t="s">
        <v>241</v>
      </c>
      <c r="H440" s="85" t="s">
        <v>715</v>
      </c>
    </row>
    <row r="441" spans="6:8" x14ac:dyDescent="0.2">
      <c r="F441" s="83" t="s">
        <v>149</v>
      </c>
      <c r="G441" s="84" t="s">
        <v>243</v>
      </c>
      <c r="H441" s="85" t="s">
        <v>716</v>
      </c>
    </row>
    <row r="442" spans="6:8" x14ac:dyDescent="0.2">
      <c r="F442" s="83" t="s">
        <v>149</v>
      </c>
      <c r="G442" s="84" t="s">
        <v>243</v>
      </c>
      <c r="H442" s="85" t="s">
        <v>717</v>
      </c>
    </row>
    <row r="443" spans="6:8" x14ac:dyDescent="0.2">
      <c r="F443" s="83" t="s">
        <v>149</v>
      </c>
      <c r="G443" s="84" t="s">
        <v>243</v>
      </c>
      <c r="H443" s="85" t="s">
        <v>718</v>
      </c>
    </row>
    <row r="444" spans="6:8" x14ac:dyDescent="0.2">
      <c r="F444" s="83" t="s">
        <v>149</v>
      </c>
      <c r="G444" s="84" t="s">
        <v>243</v>
      </c>
      <c r="H444" s="85" t="s">
        <v>719</v>
      </c>
    </row>
    <row r="445" spans="6:8" x14ac:dyDescent="0.2">
      <c r="F445" s="83" t="s">
        <v>149</v>
      </c>
      <c r="G445" s="84" t="s">
        <v>243</v>
      </c>
      <c r="H445" s="85" t="s">
        <v>720</v>
      </c>
    </row>
    <row r="446" spans="6:8" x14ac:dyDescent="0.2">
      <c r="F446" s="83" t="s">
        <v>149</v>
      </c>
      <c r="G446" s="84" t="s">
        <v>243</v>
      </c>
      <c r="H446" s="85" t="s">
        <v>721</v>
      </c>
    </row>
    <row r="447" spans="6:8" x14ac:dyDescent="0.2">
      <c r="F447" s="83" t="s">
        <v>149</v>
      </c>
      <c r="G447" s="84" t="s">
        <v>243</v>
      </c>
      <c r="H447" s="85" t="s">
        <v>722</v>
      </c>
    </row>
    <row r="448" spans="6:8" x14ac:dyDescent="0.2">
      <c r="F448" s="83" t="s">
        <v>149</v>
      </c>
      <c r="G448" s="84" t="s">
        <v>243</v>
      </c>
      <c r="H448" s="85" t="s">
        <v>723</v>
      </c>
    </row>
    <row r="449" spans="6:8" x14ac:dyDescent="0.2">
      <c r="F449" s="83" t="s">
        <v>149</v>
      </c>
      <c r="G449" s="84" t="s">
        <v>243</v>
      </c>
      <c r="H449" s="85" t="s">
        <v>724</v>
      </c>
    </row>
    <row r="450" spans="6:8" x14ac:dyDescent="0.2">
      <c r="F450" s="83" t="s">
        <v>149</v>
      </c>
      <c r="G450" s="84" t="s">
        <v>243</v>
      </c>
      <c r="H450" s="85" t="s">
        <v>725</v>
      </c>
    </row>
    <row r="451" spans="6:8" x14ac:dyDescent="0.2">
      <c r="F451" s="83" t="s">
        <v>149</v>
      </c>
      <c r="G451" s="84" t="s">
        <v>243</v>
      </c>
      <c r="H451" s="85" t="s">
        <v>726</v>
      </c>
    </row>
    <row r="452" spans="6:8" x14ac:dyDescent="0.2">
      <c r="F452" s="83" t="s">
        <v>149</v>
      </c>
      <c r="G452" s="84" t="s">
        <v>243</v>
      </c>
      <c r="H452" s="85" t="s">
        <v>727</v>
      </c>
    </row>
    <row r="453" spans="6:8" x14ac:dyDescent="0.2">
      <c r="F453" s="83" t="s">
        <v>149</v>
      </c>
      <c r="G453" s="84" t="s">
        <v>245</v>
      </c>
      <c r="H453" s="85" t="s">
        <v>728</v>
      </c>
    </row>
    <row r="454" spans="6:8" x14ac:dyDescent="0.2">
      <c r="F454" s="83" t="s">
        <v>149</v>
      </c>
      <c r="G454" s="84" t="s">
        <v>245</v>
      </c>
      <c r="H454" s="85" t="s">
        <v>729</v>
      </c>
    </row>
    <row r="455" spans="6:8" x14ac:dyDescent="0.2">
      <c r="F455" s="83" t="s">
        <v>149</v>
      </c>
      <c r="G455" s="84" t="s">
        <v>245</v>
      </c>
      <c r="H455" s="85" t="s">
        <v>149</v>
      </c>
    </row>
    <row r="456" spans="6:8" x14ac:dyDescent="0.2">
      <c r="F456" s="83" t="s">
        <v>149</v>
      </c>
      <c r="G456" s="84" t="s">
        <v>245</v>
      </c>
      <c r="H456" s="85" t="s">
        <v>730</v>
      </c>
    </row>
    <row r="457" spans="6:8" x14ac:dyDescent="0.2">
      <c r="F457" s="83" t="s">
        <v>149</v>
      </c>
      <c r="G457" s="84" t="s">
        <v>245</v>
      </c>
      <c r="H457" s="85" t="s">
        <v>554</v>
      </c>
    </row>
    <row r="458" spans="6:8" x14ac:dyDescent="0.2">
      <c r="F458" s="83" t="s">
        <v>149</v>
      </c>
      <c r="G458" s="84" t="s">
        <v>245</v>
      </c>
      <c r="H458" s="85" t="s">
        <v>731</v>
      </c>
    </row>
    <row r="459" spans="6:8" x14ac:dyDescent="0.2">
      <c r="F459" s="83" t="s">
        <v>149</v>
      </c>
      <c r="G459" s="84" t="s">
        <v>245</v>
      </c>
      <c r="H459" s="85" t="s">
        <v>379</v>
      </c>
    </row>
    <row r="460" spans="6:8" x14ac:dyDescent="0.2">
      <c r="F460" s="83" t="s">
        <v>149</v>
      </c>
      <c r="G460" s="84" t="s">
        <v>245</v>
      </c>
      <c r="H460" s="85" t="s">
        <v>732</v>
      </c>
    </row>
    <row r="461" spans="6:8" x14ac:dyDescent="0.2">
      <c r="F461" s="83" t="s">
        <v>149</v>
      </c>
      <c r="G461" s="84" t="s">
        <v>245</v>
      </c>
      <c r="H461" s="85" t="s">
        <v>733</v>
      </c>
    </row>
    <row r="462" spans="6:8" x14ac:dyDescent="0.2">
      <c r="F462" s="83" t="s">
        <v>149</v>
      </c>
      <c r="G462" s="84" t="s">
        <v>245</v>
      </c>
      <c r="H462" s="85" t="s">
        <v>734</v>
      </c>
    </row>
    <row r="463" spans="6:8" x14ac:dyDescent="0.2">
      <c r="F463" s="83" t="s">
        <v>149</v>
      </c>
      <c r="G463" s="84" t="s">
        <v>245</v>
      </c>
      <c r="H463" s="85" t="s">
        <v>735</v>
      </c>
    </row>
    <row r="464" spans="6:8" x14ac:dyDescent="0.2">
      <c r="F464" s="83" t="s">
        <v>149</v>
      </c>
      <c r="G464" s="84" t="s">
        <v>245</v>
      </c>
      <c r="H464" s="85" t="s">
        <v>736</v>
      </c>
    </row>
    <row r="465" spans="6:8" x14ac:dyDescent="0.2">
      <c r="F465" s="83" t="s">
        <v>149</v>
      </c>
      <c r="G465" s="84" t="s">
        <v>245</v>
      </c>
      <c r="H465" s="85" t="s">
        <v>737</v>
      </c>
    </row>
    <row r="466" spans="6:8" x14ac:dyDescent="0.2">
      <c r="F466" s="83" t="s">
        <v>149</v>
      </c>
      <c r="G466" s="84" t="s">
        <v>245</v>
      </c>
      <c r="H466" s="85" t="s">
        <v>738</v>
      </c>
    </row>
    <row r="467" spans="6:8" x14ac:dyDescent="0.2">
      <c r="F467" s="83" t="s">
        <v>149</v>
      </c>
      <c r="G467" s="84" t="s">
        <v>245</v>
      </c>
      <c r="H467" s="85" t="s">
        <v>739</v>
      </c>
    </row>
    <row r="468" spans="6:8" x14ac:dyDescent="0.2">
      <c r="F468" s="83" t="s">
        <v>149</v>
      </c>
      <c r="G468" s="84" t="s">
        <v>247</v>
      </c>
      <c r="H468" s="85" t="s">
        <v>740</v>
      </c>
    </row>
    <row r="469" spans="6:8" x14ac:dyDescent="0.2">
      <c r="F469" s="83" t="s">
        <v>149</v>
      </c>
      <c r="G469" s="84" t="s">
        <v>247</v>
      </c>
      <c r="H469" s="85" t="s">
        <v>741</v>
      </c>
    </row>
    <row r="470" spans="6:8" x14ac:dyDescent="0.2">
      <c r="F470" s="83" t="s">
        <v>149</v>
      </c>
      <c r="G470" s="84" t="s">
        <v>247</v>
      </c>
      <c r="H470" s="85" t="s">
        <v>742</v>
      </c>
    </row>
    <row r="471" spans="6:8" x14ac:dyDescent="0.2">
      <c r="F471" s="83" t="s">
        <v>149</v>
      </c>
      <c r="G471" s="84" t="s">
        <v>247</v>
      </c>
      <c r="H471" s="85" t="s">
        <v>743</v>
      </c>
    </row>
    <row r="472" spans="6:8" x14ac:dyDescent="0.2">
      <c r="F472" s="83" t="s">
        <v>149</v>
      </c>
      <c r="G472" s="84" t="s">
        <v>249</v>
      </c>
      <c r="H472" s="85" t="s">
        <v>744</v>
      </c>
    </row>
    <row r="473" spans="6:8" x14ac:dyDescent="0.2">
      <c r="F473" s="83" t="s">
        <v>149</v>
      </c>
      <c r="G473" s="84" t="s">
        <v>249</v>
      </c>
      <c r="H473" s="85" t="s">
        <v>745</v>
      </c>
    </row>
    <row r="474" spans="6:8" x14ac:dyDescent="0.2">
      <c r="F474" s="83" t="s">
        <v>149</v>
      </c>
      <c r="G474" s="84" t="s">
        <v>249</v>
      </c>
      <c r="H474" s="85" t="s">
        <v>249</v>
      </c>
    </row>
    <row r="475" spans="6:8" x14ac:dyDescent="0.2">
      <c r="F475" s="83" t="s">
        <v>149</v>
      </c>
      <c r="G475" s="84" t="s">
        <v>249</v>
      </c>
      <c r="H475" s="85" t="s">
        <v>746</v>
      </c>
    </row>
    <row r="476" spans="6:8" x14ac:dyDescent="0.2">
      <c r="F476" s="83" t="s">
        <v>149</v>
      </c>
      <c r="G476" s="84" t="s">
        <v>249</v>
      </c>
      <c r="H476" s="85" t="s">
        <v>747</v>
      </c>
    </row>
    <row r="477" spans="6:8" x14ac:dyDescent="0.2">
      <c r="F477" s="83" t="s">
        <v>149</v>
      </c>
      <c r="G477" s="84" t="s">
        <v>249</v>
      </c>
      <c r="H477" s="85" t="s">
        <v>748</v>
      </c>
    </row>
    <row r="478" spans="6:8" x14ac:dyDescent="0.2">
      <c r="F478" s="83" t="s">
        <v>149</v>
      </c>
      <c r="G478" s="84" t="s">
        <v>249</v>
      </c>
      <c r="H478" s="85" t="s">
        <v>749</v>
      </c>
    </row>
    <row r="479" spans="6:8" x14ac:dyDescent="0.2">
      <c r="F479" s="83" t="s">
        <v>149</v>
      </c>
      <c r="G479" s="84" t="s">
        <v>249</v>
      </c>
      <c r="H479" s="85" t="s">
        <v>750</v>
      </c>
    </row>
    <row r="480" spans="6:8" x14ac:dyDescent="0.2">
      <c r="F480" s="83" t="s">
        <v>149</v>
      </c>
      <c r="G480" s="84" t="s">
        <v>251</v>
      </c>
      <c r="H480" s="85" t="s">
        <v>751</v>
      </c>
    </row>
    <row r="481" spans="6:8" x14ac:dyDescent="0.2">
      <c r="F481" s="83" t="s">
        <v>149</v>
      </c>
      <c r="G481" s="84" t="s">
        <v>251</v>
      </c>
      <c r="H481" s="85" t="s">
        <v>752</v>
      </c>
    </row>
    <row r="482" spans="6:8" x14ac:dyDescent="0.2">
      <c r="F482" s="83" t="s">
        <v>149</v>
      </c>
      <c r="G482" s="84" t="s">
        <v>251</v>
      </c>
      <c r="H482" s="85" t="s">
        <v>753</v>
      </c>
    </row>
    <row r="483" spans="6:8" x14ac:dyDescent="0.2">
      <c r="F483" s="83" t="s">
        <v>149</v>
      </c>
      <c r="G483" s="84" t="s">
        <v>251</v>
      </c>
      <c r="H483" s="85" t="s">
        <v>754</v>
      </c>
    </row>
    <row r="484" spans="6:8" x14ac:dyDescent="0.2">
      <c r="F484" s="83" t="s">
        <v>149</v>
      </c>
      <c r="G484" s="84" t="s">
        <v>251</v>
      </c>
      <c r="H484" s="85" t="s">
        <v>755</v>
      </c>
    </row>
    <row r="485" spans="6:8" x14ac:dyDescent="0.2">
      <c r="F485" s="83" t="s">
        <v>149</v>
      </c>
      <c r="G485" s="84" t="s">
        <v>251</v>
      </c>
      <c r="H485" s="85" t="s">
        <v>756</v>
      </c>
    </row>
    <row r="486" spans="6:8" x14ac:dyDescent="0.2">
      <c r="F486" s="83" t="s">
        <v>149</v>
      </c>
      <c r="G486" s="84" t="s">
        <v>251</v>
      </c>
      <c r="H486" s="85" t="s">
        <v>281</v>
      </c>
    </row>
    <row r="487" spans="6:8" x14ac:dyDescent="0.2">
      <c r="F487" s="83" t="s">
        <v>149</v>
      </c>
      <c r="G487" s="84" t="s">
        <v>251</v>
      </c>
      <c r="H487" s="85" t="s">
        <v>757</v>
      </c>
    </row>
    <row r="488" spans="6:8" x14ac:dyDescent="0.2">
      <c r="F488" s="83" t="s">
        <v>149</v>
      </c>
      <c r="G488" s="84" t="s">
        <v>253</v>
      </c>
      <c r="H488" s="85" t="s">
        <v>758</v>
      </c>
    </row>
    <row r="489" spans="6:8" x14ac:dyDescent="0.2">
      <c r="F489" s="83" t="s">
        <v>149</v>
      </c>
      <c r="G489" s="84" t="s">
        <v>253</v>
      </c>
      <c r="H489" s="85" t="s">
        <v>502</v>
      </c>
    </row>
    <row r="490" spans="6:8" x14ac:dyDescent="0.2">
      <c r="F490" s="83" t="s">
        <v>149</v>
      </c>
      <c r="G490" s="84" t="s">
        <v>253</v>
      </c>
      <c r="H490" s="85" t="s">
        <v>759</v>
      </c>
    </row>
    <row r="491" spans="6:8" x14ac:dyDescent="0.2">
      <c r="F491" s="83" t="s">
        <v>149</v>
      </c>
      <c r="G491" s="84" t="s">
        <v>253</v>
      </c>
      <c r="H491" s="85" t="s">
        <v>760</v>
      </c>
    </row>
    <row r="492" spans="6:8" x14ac:dyDescent="0.2">
      <c r="F492" s="83" t="s">
        <v>149</v>
      </c>
      <c r="G492" s="84" t="s">
        <v>253</v>
      </c>
      <c r="H492" s="85" t="s">
        <v>761</v>
      </c>
    </row>
    <row r="493" spans="6:8" x14ac:dyDescent="0.2">
      <c r="F493" s="83" t="s">
        <v>149</v>
      </c>
      <c r="G493" s="84" t="s">
        <v>253</v>
      </c>
      <c r="H493" s="85" t="s">
        <v>762</v>
      </c>
    </row>
    <row r="494" spans="6:8" x14ac:dyDescent="0.2">
      <c r="F494" s="83" t="s">
        <v>149</v>
      </c>
      <c r="G494" s="84" t="s">
        <v>253</v>
      </c>
      <c r="H494" s="85" t="s">
        <v>763</v>
      </c>
    </row>
    <row r="495" spans="6:8" x14ac:dyDescent="0.2">
      <c r="F495" s="83" t="s">
        <v>149</v>
      </c>
      <c r="G495" s="84" t="s">
        <v>253</v>
      </c>
      <c r="H495" s="85" t="s">
        <v>333</v>
      </c>
    </row>
    <row r="496" spans="6:8" x14ac:dyDescent="0.2">
      <c r="F496" s="83" t="s">
        <v>149</v>
      </c>
      <c r="G496" s="84" t="s">
        <v>253</v>
      </c>
      <c r="H496" s="85" t="s">
        <v>253</v>
      </c>
    </row>
    <row r="497" spans="6:8" x14ac:dyDescent="0.2">
      <c r="F497" s="83" t="s">
        <v>149</v>
      </c>
      <c r="G497" s="84" t="s">
        <v>253</v>
      </c>
      <c r="H497" s="85" t="s">
        <v>764</v>
      </c>
    </row>
    <row r="498" spans="6:8" x14ac:dyDescent="0.2">
      <c r="F498" s="83" t="s">
        <v>149</v>
      </c>
      <c r="G498" s="84" t="s">
        <v>253</v>
      </c>
      <c r="H498" s="85" t="s">
        <v>765</v>
      </c>
    </row>
    <row r="499" spans="6:8" x14ac:dyDescent="0.2">
      <c r="F499" s="83" t="s">
        <v>149</v>
      </c>
      <c r="G499" s="84" t="s">
        <v>253</v>
      </c>
      <c r="H499" s="85" t="s">
        <v>766</v>
      </c>
    </row>
    <row r="500" spans="6:8" x14ac:dyDescent="0.2">
      <c r="F500" s="83" t="s">
        <v>149</v>
      </c>
      <c r="G500" s="84" t="s">
        <v>253</v>
      </c>
      <c r="H500" s="85" t="s">
        <v>767</v>
      </c>
    </row>
    <row r="501" spans="6:8" x14ac:dyDescent="0.2">
      <c r="F501" s="83" t="s">
        <v>149</v>
      </c>
      <c r="G501" s="84" t="s">
        <v>253</v>
      </c>
      <c r="H501" s="85" t="s">
        <v>768</v>
      </c>
    </row>
    <row r="502" spans="6:8" x14ac:dyDescent="0.2">
      <c r="F502" s="83" t="s">
        <v>149</v>
      </c>
      <c r="G502" s="84" t="s">
        <v>253</v>
      </c>
      <c r="H502" s="85" t="s">
        <v>742</v>
      </c>
    </row>
    <row r="503" spans="6:8" x14ac:dyDescent="0.2">
      <c r="F503" s="83" t="s">
        <v>149</v>
      </c>
      <c r="G503" s="84" t="s">
        <v>253</v>
      </c>
      <c r="H503" s="85" t="s">
        <v>769</v>
      </c>
    </row>
    <row r="504" spans="6:8" x14ac:dyDescent="0.2">
      <c r="F504" s="83" t="s">
        <v>149</v>
      </c>
      <c r="G504" s="84" t="s">
        <v>253</v>
      </c>
      <c r="H504" s="85" t="s">
        <v>536</v>
      </c>
    </row>
    <row r="505" spans="6:8" x14ac:dyDescent="0.2">
      <c r="F505" s="83" t="s">
        <v>149</v>
      </c>
      <c r="G505" s="84" t="s">
        <v>253</v>
      </c>
      <c r="H505" s="85" t="s">
        <v>386</v>
      </c>
    </row>
    <row r="506" spans="6:8" x14ac:dyDescent="0.2">
      <c r="F506" s="83" t="s">
        <v>149</v>
      </c>
      <c r="G506" s="84" t="s">
        <v>253</v>
      </c>
      <c r="H506" s="85" t="s">
        <v>770</v>
      </c>
    </row>
    <row r="507" spans="6:8" x14ac:dyDescent="0.2">
      <c r="F507" s="83" t="s">
        <v>149</v>
      </c>
      <c r="G507" s="84" t="s">
        <v>253</v>
      </c>
      <c r="H507" s="85" t="s">
        <v>771</v>
      </c>
    </row>
    <row r="508" spans="6:8" x14ac:dyDescent="0.2">
      <c r="F508" s="83" t="s">
        <v>149</v>
      </c>
      <c r="G508" s="84" t="s">
        <v>253</v>
      </c>
      <c r="H508" s="85" t="s">
        <v>772</v>
      </c>
    </row>
    <row r="509" spans="6:8" x14ac:dyDescent="0.2">
      <c r="F509" s="83" t="s">
        <v>149</v>
      </c>
      <c r="G509" s="84" t="s">
        <v>255</v>
      </c>
      <c r="H509" s="85" t="s">
        <v>773</v>
      </c>
    </row>
    <row r="510" spans="6:8" x14ac:dyDescent="0.2">
      <c r="F510" s="83" t="s">
        <v>149</v>
      </c>
      <c r="G510" s="84" t="s">
        <v>255</v>
      </c>
      <c r="H510" s="85" t="s">
        <v>774</v>
      </c>
    </row>
    <row r="511" spans="6:8" x14ac:dyDescent="0.2">
      <c r="F511" s="83" t="s">
        <v>149</v>
      </c>
      <c r="G511" s="84" t="s">
        <v>255</v>
      </c>
      <c r="H511" s="85" t="s">
        <v>775</v>
      </c>
    </row>
    <row r="512" spans="6:8" x14ac:dyDescent="0.2">
      <c r="F512" s="83" t="s">
        <v>149</v>
      </c>
      <c r="G512" s="84" t="s">
        <v>255</v>
      </c>
      <c r="H512" s="85" t="s">
        <v>776</v>
      </c>
    </row>
    <row r="513" spans="6:8" x14ac:dyDescent="0.2">
      <c r="F513" s="83" t="s">
        <v>149</v>
      </c>
      <c r="G513" s="84" t="s">
        <v>255</v>
      </c>
      <c r="H513" s="85" t="s">
        <v>777</v>
      </c>
    </row>
    <row r="514" spans="6:8" x14ac:dyDescent="0.2">
      <c r="F514" s="83" t="s">
        <v>149</v>
      </c>
      <c r="G514" s="84" t="s">
        <v>255</v>
      </c>
      <c r="H514" s="85" t="s">
        <v>778</v>
      </c>
    </row>
    <row r="515" spans="6:8" x14ac:dyDescent="0.2">
      <c r="F515" s="83" t="s">
        <v>149</v>
      </c>
      <c r="G515" s="84" t="s">
        <v>255</v>
      </c>
      <c r="H515" s="85" t="s">
        <v>779</v>
      </c>
    </row>
    <row r="516" spans="6:8" x14ac:dyDescent="0.2">
      <c r="F516" s="83" t="s">
        <v>149</v>
      </c>
      <c r="G516" s="84" t="s">
        <v>255</v>
      </c>
      <c r="H516" s="85" t="s">
        <v>780</v>
      </c>
    </row>
    <row r="517" spans="6:8" x14ac:dyDescent="0.2">
      <c r="F517" s="83" t="s">
        <v>149</v>
      </c>
      <c r="G517" s="84" t="s">
        <v>257</v>
      </c>
      <c r="H517" s="85" t="s">
        <v>781</v>
      </c>
    </row>
    <row r="518" spans="6:8" x14ac:dyDescent="0.2">
      <c r="F518" s="83" t="s">
        <v>149</v>
      </c>
      <c r="G518" s="84" t="s">
        <v>257</v>
      </c>
      <c r="H518" s="85" t="s">
        <v>782</v>
      </c>
    </row>
    <row r="519" spans="6:8" x14ac:dyDescent="0.2">
      <c r="F519" s="83" t="s">
        <v>149</v>
      </c>
      <c r="G519" s="84" t="s">
        <v>257</v>
      </c>
      <c r="H519" s="85" t="s">
        <v>455</v>
      </c>
    </row>
    <row r="520" spans="6:8" x14ac:dyDescent="0.2">
      <c r="F520" s="83" t="s">
        <v>149</v>
      </c>
      <c r="G520" s="84" t="s">
        <v>257</v>
      </c>
      <c r="H520" s="85" t="s">
        <v>783</v>
      </c>
    </row>
    <row r="521" spans="6:8" x14ac:dyDescent="0.2">
      <c r="F521" s="83" t="s">
        <v>149</v>
      </c>
      <c r="G521" s="84" t="s">
        <v>257</v>
      </c>
      <c r="H521" s="85" t="s">
        <v>784</v>
      </c>
    </row>
    <row r="522" spans="6:8" x14ac:dyDescent="0.2">
      <c r="F522" s="83" t="s">
        <v>149</v>
      </c>
      <c r="G522" s="84" t="s">
        <v>257</v>
      </c>
      <c r="H522" s="85" t="s">
        <v>785</v>
      </c>
    </row>
    <row r="523" spans="6:8" x14ac:dyDescent="0.2">
      <c r="F523" s="83" t="s">
        <v>149</v>
      </c>
      <c r="G523" s="84" t="s">
        <v>257</v>
      </c>
      <c r="H523" s="85" t="s">
        <v>786</v>
      </c>
    </row>
    <row r="524" spans="6:8" x14ac:dyDescent="0.2">
      <c r="F524" s="83" t="s">
        <v>149</v>
      </c>
      <c r="G524" s="84" t="s">
        <v>257</v>
      </c>
      <c r="H524" s="85" t="s">
        <v>787</v>
      </c>
    </row>
    <row r="525" spans="6:8" x14ac:dyDescent="0.2">
      <c r="F525" s="83" t="s">
        <v>149</v>
      </c>
      <c r="G525" s="84" t="s">
        <v>257</v>
      </c>
      <c r="H525" s="85" t="s">
        <v>788</v>
      </c>
    </row>
    <row r="526" spans="6:8" x14ac:dyDescent="0.2">
      <c r="F526" s="83" t="s">
        <v>149</v>
      </c>
      <c r="G526" s="84" t="s">
        <v>257</v>
      </c>
      <c r="H526" s="85" t="s">
        <v>789</v>
      </c>
    </row>
    <row r="527" spans="6:8" x14ac:dyDescent="0.2">
      <c r="F527" s="83" t="s">
        <v>149</v>
      </c>
      <c r="G527" s="84" t="s">
        <v>259</v>
      </c>
      <c r="H527" s="85" t="s">
        <v>790</v>
      </c>
    </row>
    <row r="528" spans="6:8" x14ac:dyDescent="0.2">
      <c r="F528" s="83" t="s">
        <v>149</v>
      </c>
      <c r="G528" s="84" t="s">
        <v>259</v>
      </c>
      <c r="H528" s="85" t="s">
        <v>791</v>
      </c>
    </row>
    <row r="529" spans="6:8" x14ac:dyDescent="0.2">
      <c r="F529" s="83" t="s">
        <v>149</v>
      </c>
      <c r="G529" s="84" t="s">
        <v>259</v>
      </c>
      <c r="H529" s="85" t="s">
        <v>792</v>
      </c>
    </row>
    <row r="530" spans="6:8" x14ac:dyDescent="0.2">
      <c r="F530" s="83" t="s">
        <v>149</v>
      </c>
      <c r="G530" s="84" t="s">
        <v>259</v>
      </c>
      <c r="H530" s="85" t="s">
        <v>793</v>
      </c>
    </row>
    <row r="531" spans="6:8" x14ac:dyDescent="0.2">
      <c r="F531" s="83" t="s">
        <v>149</v>
      </c>
      <c r="G531" s="84" t="s">
        <v>259</v>
      </c>
      <c r="H531" s="85" t="s">
        <v>794</v>
      </c>
    </row>
    <row r="532" spans="6:8" x14ac:dyDescent="0.2">
      <c r="F532" s="83" t="s">
        <v>149</v>
      </c>
      <c r="G532" s="84" t="s">
        <v>259</v>
      </c>
      <c r="H532" s="85" t="s">
        <v>795</v>
      </c>
    </row>
    <row r="533" spans="6:8" x14ac:dyDescent="0.2">
      <c r="F533" s="83" t="s">
        <v>149</v>
      </c>
      <c r="G533" s="84" t="s">
        <v>259</v>
      </c>
      <c r="H533" s="85" t="s">
        <v>796</v>
      </c>
    </row>
    <row r="534" spans="6:8" x14ac:dyDescent="0.2">
      <c r="F534" s="83" t="s">
        <v>149</v>
      </c>
      <c r="G534" s="84" t="s">
        <v>259</v>
      </c>
      <c r="H534" s="85" t="s">
        <v>797</v>
      </c>
    </row>
    <row r="535" spans="6:8" x14ac:dyDescent="0.2">
      <c r="F535" s="83" t="s">
        <v>149</v>
      </c>
      <c r="G535" s="84" t="s">
        <v>259</v>
      </c>
      <c r="H535" s="85" t="s">
        <v>798</v>
      </c>
    </row>
    <row r="536" spans="6:8" x14ac:dyDescent="0.2">
      <c r="F536" s="83" t="s">
        <v>149</v>
      </c>
      <c r="G536" s="84" t="s">
        <v>259</v>
      </c>
      <c r="H536" s="85" t="s">
        <v>799</v>
      </c>
    </row>
    <row r="537" spans="6:8" x14ac:dyDescent="0.2">
      <c r="F537" s="83" t="s">
        <v>149</v>
      </c>
      <c r="G537" s="84" t="s">
        <v>259</v>
      </c>
      <c r="H537" s="85" t="s">
        <v>800</v>
      </c>
    </row>
    <row r="538" spans="6:8" x14ac:dyDescent="0.2">
      <c r="F538" s="83" t="s">
        <v>149</v>
      </c>
      <c r="G538" s="84" t="s">
        <v>260</v>
      </c>
      <c r="H538" s="85" t="s">
        <v>801</v>
      </c>
    </row>
    <row r="539" spans="6:8" x14ac:dyDescent="0.2">
      <c r="F539" s="83" t="s">
        <v>149</v>
      </c>
      <c r="G539" s="84" t="s">
        <v>260</v>
      </c>
      <c r="H539" s="85" t="s">
        <v>802</v>
      </c>
    </row>
    <row r="540" spans="6:8" x14ac:dyDescent="0.2">
      <c r="F540" s="83" t="s">
        <v>149</v>
      </c>
      <c r="G540" s="84" t="s">
        <v>260</v>
      </c>
      <c r="H540" s="85" t="s">
        <v>351</v>
      </c>
    </row>
    <row r="541" spans="6:8" x14ac:dyDescent="0.2">
      <c r="F541" s="83" t="s">
        <v>149</v>
      </c>
      <c r="G541" s="84" t="s">
        <v>260</v>
      </c>
      <c r="H541" s="85" t="s">
        <v>803</v>
      </c>
    </row>
    <row r="542" spans="6:8" x14ac:dyDescent="0.2">
      <c r="F542" s="83" t="s">
        <v>149</v>
      </c>
      <c r="G542" s="84" t="s">
        <v>260</v>
      </c>
      <c r="H542" s="85" t="s">
        <v>434</v>
      </c>
    </row>
    <row r="543" spans="6:8" x14ac:dyDescent="0.2">
      <c r="F543" s="83" t="s">
        <v>149</v>
      </c>
      <c r="G543" s="84" t="s">
        <v>260</v>
      </c>
      <c r="H543" s="85" t="s">
        <v>804</v>
      </c>
    </row>
    <row r="544" spans="6:8" x14ac:dyDescent="0.2">
      <c r="F544" s="83" t="s">
        <v>149</v>
      </c>
      <c r="G544" s="84" t="s">
        <v>260</v>
      </c>
      <c r="H544" s="84" t="s">
        <v>260</v>
      </c>
    </row>
    <row r="545" spans="6:8" x14ac:dyDescent="0.2">
      <c r="F545" s="83" t="s">
        <v>149</v>
      </c>
      <c r="G545" s="84" t="s">
        <v>260</v>
      </c>
      <c r="H545" s="85" t="s">
        <v>805</v>
      </c>
    </row>
    <row r="546" spans="6:8" x14ac:dyDescent="0.2">
      <c r="F546" s="83" t="s">
        <v>152</v>
      </c>
      <c r="G546" s="84" t="s">
        <v>262</v>
      </c>
      <c r="H546" s="85" t="s">
        <v>806</v>
      </c>
    </row>
    <row r="547" spans="6:8" x14ac:dyDescent="0.2">
      <c r="F547" s="83" t="s">
        <v>152</v>
      </c>
      <c r="G547" s="84" t="s">
        <v>262</v>
      </c>
      <c r="H547" s="85" t="s">
        <v>262</v>
      </c>
    </row>
    <row r="548" spans="6:8" x14ac:dyDescent="0.2">
      <c r="F548" s="83" t="s">
        <v>152</v>
      </c>
      <c r="G548" s="84" t="s">
        <v>262</v>
      </c>
      <c r="H548" s="85" t="s">
        <v>807</v>
      </c>
    </row>
    <row r="549" spans="6:8" x14ac:dyDescent="0.2">
      <c r="F549" s="83" t="s">
        <v>152</v>
      </c>
      <c r="G549" s="84" t="s">
        <v>262</v>
      </c>
      <c r="H549" s="85" t="s">
        <v>808</v>
      </c>
    </row>
    <row r="550" spans="6:8" x14ac:dyDescent="0.2">
      <c r="F550" s="83" t="s">
        <v>152</v>
      </c>
      <c r="G550" s="84" t="s">
        <v>262</v>
      </c>
      <c r="H550" s="85" t="s">
        <v>809</v>
      </c>
    </row>
    <row r="551" spans="6:8" x14ac:dyDescent="0.2">
      <c r="F551" s="83" t="s">
        <v>152</v>
      </c>
      <c r="G551" s="84" t="s">
        <v>152</v>
      </c>
      <c r="H551" s="85" t="s">
        <v>165</v>
      </c>
    </row>
    <row r="552" spans="6:8" x14ac:dyDescent="0.2">
      <c r="F552" s="83" t="s">
        <v>152</v>
      </c>
      <c r="G552" s="84" t="s">
        <v>152</v>
      </c>
      <c r="H552" s="85" t="s">
        <v>152</v>
      </c>
    </row>
    <row r="553" spans="6:8" x14ac:dyDescent="0.2">
      <c r="F553" s="83" t="s">
        <v>152</v>
      </c>
      <c r="G553" s="84" t="s">
        <v>152</v>
      </c>
      <c r="H553" s="85" t="s">
        <v>810</v>
      </c>
    </row>
    <row r="554" spans="6:8" x14ac:dyDescent="0.2">
      <c r="F554" s="83" t="s">
        <v>152</v>
      </c>
      <c r="G554" s="84" t="s">
        <v>152</v>
      </c>
      <c r="H554" s="85" t="s">
        <v>811</v>
      </c>
    </row>
    <row r="555" spans="6:8" x14ac:dyDescent="0.2">
      <c r="F555" s="83" t="s">
        <v>152</v>
      </c>
      <c r="G555" s="84" t="s">
        <v>152</v>
      </c>
      <c r="H555" s="85" t="s">
        <v>812</v>
      </c>
    </row>
    <row r="556" spans="6:8" x14ac:dyDescent="0.2">
      <c r="F556" s="83" t="s">
        <v>152</v>
      </c>
      <c r="G556" s="84" t="s">
        <v>152</v>
      </c>
      <c r="H556" s="85" t="s">
        <v>813</v>
      </c>
    </row>
    <row r="557" spans="6:8" x14ac:dyDescent="0.2">
      <c r="F557" s="83" t="s">
        <v>152</v>
      </c>
      <c r="G557" s="84" t="s">
        <v>152</v>
      </c>
      <c r="H557" s="85" t="s">
        <v>1844</v>
      </c>
    </row>
    <row r="558" spans="6:8" x14ac:dyDescent="0.2">
      <c r="F558" s="83" t="s">
        <v>152</v>
      </c>
      <c r="G558" s="84" t="s">
        <v>152</v>
      </c>
      <c r="H558" s="85" t="s">
        <v>814</v>
      </c>
    </row>
    <row r="559" spans="6:8" x14ac:dyDescent="0.2">
      <c r="F559" s="83" t="s">
        <v>152</v>
      </c>
      <c r="G559" s="84" t="s">
        <v>152</v>
      </c>
      <c r="H559" s="85" t="s">
        <v>225</v>
      </c>
    </row>
    <row r="560" spans="6:8" x14ac:dyDescent="0.2">
      <c r="F560" s="83" t="s">
        <v>152</v>
      </c>
      <c r="G560" s="84" t="s">
        <v>152</v>
      </c>
      <c r="H560" s="85" t="s">
        <v>815</v>
      </c>
    </row>
    <row r="561" spans="6:8" x14ac:dyDescent="0.2">
      <c r="F561" s="83" t="s">
        <v>152</v>
      </c>
      <c r="G561" s="84" t="s">
        <v>152</v>
      </c>
      <c r="H561" s="85" t="s">
        <v>816</v>
      </c>
    </row>
    <row r="562" spans="6:8" x14ac:dyDescent="0.2">
      <c r="F562" s="83" t="s">
        <v>152</v>
      </c>
      <c r="G562" s="84" t="s">
        <v>152</v>
      </c>
      <c r="H562" s="85" t="s">
        <v>536</v>
      </c>
    </row>
    <row r="563" spans="6:8" x14ac:dyDescent="0.2">
      <c r="F563" s="83" t="s">
        <v>152</v>
      </c>
      <c r="G563" s="84" t="s">
        <v>265</v>
      </c>
      <c r="H563" s="85" t="s">
        <v>265</v>
      </c>
    </row>
    <row r="564" spans="6:8" x14ac:dyDescent="0.2">
      <c r="F564" s="83" t="s">
        <v>152</v>
      </c>
      <c r="G564" s="84" t="s">
        <v>265</v>
      </c>
      <c r="H564" s="85" t="s">
        <v>817</v>
      </c>
    </row>
    <row r="565" spans="6:8" x14ac:dyDescent="0.2">
      <c r="F565" s="83" t="s">
        <v>152</v>
      </c>
      <c r="G565" s="84" t="s">
        <v>265</v>
      </c>
      <c r="H565" s="85" t="s">
        <v>818</v>
      </c>
    </row>
    <row r="566" spans="6:8" x14ac:dyDescent="0.2">
      <c r="F566" s="83" t="s">
        <v>152</v>
      </c>
      <c r="G566" s="84" t="s">
        <v>265</v>
      </c>
      <c r="H566" s="85" t="s">
        <v>819</v>
      </c>
    </row>
    <row r="567" spans="6:8" x14ac:dyDescent="0.2">
      <c r="F567" s="83" t="s">
        <v>152</v>
      </c>
      <c r="G567" s="84" t="s">
        <v>265</v>
      </c>
      <c r="H567" s="85" t="s">
        <v>820</v>
      </c>
    </row>
    <row r="568" spans="6:8" x14ac:dyDescent="0.2">
      <c r="F568" s="83" t="s">
        <v>152</v>
      </c>
      <c r="G568" s="84" t="s">
        <v>265</v>
      </c>
      <c r="H568" s="85" t="s">
        <v>821</v>
      </c>
    </row>
    <row r="569" spans="6:8" x14ac:dyDescent="0.2">
      <c r="F569" s="83" t="s">
        <v>152</v>
      </c>
      <c r="G569" s="84" t="s">
        <v>265</v>
      </c>
      <c r="H569" s="85" t="s">
        <v>822</v>
      </c>
    </row>
    <row r="570" spans="6:8" x14ac:dyDescent="0.2">
      <c r="F570" s="83" t="s">
        <v>152</v>
      </c>
      <c r="G570" s="84" t="s">
        <v>265</v>
      </c>
      <c r="H570" s="85" t="s">
        <v>823</v>
      </c>
    </row>
    <row r="571" spans="6:8" x14ac:dyDescent="0.2">
      <c r="F571" s="83" t="s">
        <v>152</v>
      </c>
      <c r="G571" s="84" t="s">
        <v>265</v>
      </c>
      <c r="H571" s="85" t="s">
        <v>824</v>
      </c>
    </row>
    <row r="572" spans="6:8" x14ac:dyDescent="0.2">
      <c r="F572" s="83" t="s">
        <v>152</v>
      </c>
      <c r="G572" s="84" t="s">
        <v>265</v>
      </c>
      <c r="H572" s="85" t="s">
        <v>259</v>
      </c>
    </row>
    <row r="573" spans="6:8" x14ac:dyDescent="0.2">
      <c r="F573" s="83" t="s">
        <v>152</v>
      </c>
      <c r="G573" s="84" t="s">
        <v>265</v>
      </c>
      <c r="H573" s="85" t="s">
        <v>825</v>
      </c>
    </row>
    <row r="574" spans="6:8" x14ac:dyDescent="0.2">
      <c r="F574" s="83" t="s">
        <v>152</v>
      </c>
      <c r="G574" s="84" t="s">
        <v>267</v>
      </c>
      <c r="H574" s="85" t="s">
        <v>267</v>
      </c>
    </row>
    <row r="575" spans="6:8" x14ac:dyDescent="0.2">
      <c r="F575" s="83" t="s">
        <v>152</v>
      </c>
      <c r="G575" s="84" t="s">
        <v>267</v>
      </c>
      <c r="H575" s="85" t="s">
        <v>826</v>
      </c>
    </row>
    <row r="576" spans="6:8" x14ac:dyDescent="0.2">
      <c r="F576" s="83" t="s">
        <v>152</v>
      </c>
      <c r="G576" s="84" t="s">
        <v>267</v>
      </c>
      <c r="H576" s="85" t="s">
        <v>827</v>
      </c>
    </row>
    <row r="577" spans="6:8" x14ac:dyDescent="0.2">
      <c r="F577" s="83" t="s">
        <v>152</v>
      </c>
      <c r="G577" s="84" t="s">
        <v>267</v>
      </c>
      <c r="H577" s="85" t="s">
        <v>828</v>
      </c>
    </row>
    <row r="578" spans="6:8" x14ac:dyDescent="0.2">
      <c r="F578" s="83" t="s">
        <v>152</v>
      </c>
      <c r="G578" s="84" t="s">
        <v>267</v>
      </c>
      <c r="H578" s="85" t="s">
        <v>829</v>
      </c>
    </row>
    <row r="579" spans="6:8" x14ac:dyDescent="0.2">
      <c r="F579" s="83" t="s">
        <v>152</v>
      </c>
      <c r="G579" s="84" t="s">
        <v>267</v>
      </c>
      <c r="H579" s="85" t="s">
        <v>830</v>
      </c>
    </row>
    <row r="580" spans="6:8" x14ac:dyDescent="0.2">
      <c r="F580" s="83" t="s">
        <v>152</v>
      </c>
      <c r="G580" s="84" t="s">
        <v>267</v>
      </c>
      <c r="H580" s="85" t="s">
        <v>831</v>
      </c>
    </row>
    <row r="581" spans="6:8" x14ac:dyDescent="0.2">
      <c r="F581" s="83" t="s">
        <v>152</v>
      </c>
      <c r="G581" s="84" t="s">
        <v>267</v>
      </c>
      <c r="H581" s="85" t="s">
        <v>832</v>
      </c>
    </row>
    <row r="582" spans="6:8" x14ac:dyDescent="0.2">
      <c r="F582" s="83" t="s">
        <v>152</v>
      </c>
      <c r="G582" s="84" t="s">
        <v>269</v>
      </c>
      <c r="H582" s="85" t="s">
        <v>833</v>
      </c>
    </row>
    <row r="583" spans="6:8" x14ac:dyDescent="0.2">
      <c r="F583" s="83" t="s">
        <v>152</v>
      </c>
      <c r="G583" s="84" t="s">
        <v>269</v>
      </c>
      <c r="H583" s="85" t="s">
        <v>834</v>
      </c>
    </row>
    <row r="584" spans="6:8" x14ac:dyDescent="0.2">
      <c r="F584" s="83" t="s">
        <v>152</v>
      </c>
      <c r="G584" s="84" t="s">
        <v>269</v>
      </c>
      <c r="H584" s="85" t="s">
        <v>269</v>
      </c>
    </row>
    <row r="585" spans="6:8" x14ac:dyDescent="0.2">
      <c r="F585" s="83" t="s">
        <v>152</v>
      </c>
      <c r="G585" s="84" t="s">
        <v>269</v>
      </c>
      <c r="H585" s="85" t="s">
        <v>835</v>
      </c>
    </row>
    <row r="586" spans="6:8" x14ac:dyDescent="0.2">
      <c r="F586" s="83" t="s">
        <v>152</v>
      </c>
      <c r="G586" s="84" t="s">
        <v>269</v>
      </c>
      <c r="H586" s="85" t="s">
        <v>836</v>
      </c>
    </row>
    <row r="587" spans="6:8" x14ac:dyDescent="0.2">
      <c r="F587" s="83" t="s">
        <v>152</v>
      </c>
      <c r="G587" s="84" t="s">
        <v>269</v>
      </c>
      <c r="H587" s="85" t="s">
        <v>837</v>
      </c>
    </row>
    <row r="588" spans="6:8" x14ac:dyDescent="0.2">
      <c r="F588" s="83" t="s">
        <v>152</v>
      </c>
      <c r="G588" s="84" t="s">
        <v>269</v>
      </c>
      <c r="H588" s="85" t="s">
        <v>838</v>
      </c>
    </row>
    <row r="589" spans="6:8" x14ac:dyDescent="0.2">
      <c r="F589" s="83" t="s">
        <v>152</v>
      </c>
      <c r="G589" s="84" t="s">
        <v>269</v>
      </c>
      <c r="H589" s="85" t="s">
        <v>839</v>
      </c>
    </row>
    <row r="590" spans="6:8" x14ac:dyDescent="0.2">
      <c r="F590" s="83" t="s">
        <v>152</v>
      </c>
      <c r="G590" s="84" t="s">
        <v>269</v>
      </c>
      <c r="H590" s="85" t="s">
        <v>840</v>
      </c>
    </row>
    <row r="591" spans="6:8" x14ac:dyDescent="0.2">
      <c r="F591" s="83" t="s">
        <v>152</v>
      </c>
      <c r="G591" s="84" t="s">
        <v>269</v>
      </c>
      <c r="H591" s="85" t="s">
        <v>841</v>
      </c>
    </row>
    <row r="592" spans="6:8" x14ac:dyDescent="0.2">
      <c r="F592" s="83" t="s">
        <v>152</v>
      </c>
      <c r="G592" s="84" t="s">
        <v>269</v>
      </c>
      <c r="H592" s="85" t="s">
        <v>285</v>
      </c>
    </row>
    <row r="593" spans="6:8" x14ac:dyDescent="0.2">
      <c r="F593" s="83" t="s">
        <v>152</v>
      </c>
      <c r="G593" s="84" t="s">
        <v>269</v>
      </c>
      <c r="H593" s="85" t="s">
        <v>842</v>
      </c>
    </row>
    <row r="594" spans="6:8" x14ac:dyDescent="0.2">
      <c r="F594" s="83" t="s">
        <v>152</v>
      </c>
      <c r="G594" s="84" t="s">
        <v>269</v>
      </c>
      <c r="H594" s="85" t="s">
        <v>282</v>
      </c>
    </row>
    <row r="595" spans="6:8" x14ac:dyDescent="0.2">
      <c r="F595" s="83" t="s">
        <v>152</v>
      </c>
      <c r="G595" s="84" t="s">
        <v>269</v>
      </c>
      <c r="H595" s="85" t="s">
        <v>843</v>
      </c>
    </row>
    <row r="596" spans="6:8" x14ac:dyDescent="0.2">
      <c r="F596" s="83" t="s">
        <v>152</v>
      </c>
      <c r="G596" s="84" t="s">
        <v>269</v>
      </c>
      <c r="H596" s="85" t="s">
        <v>844</v>
      </c>
    </row>
    <row r="597" spans="6:8" x14ac:dyDescent="0.2">
      <c r="F597" s="83" t="s">
        <v>152</v>
      </c>
      <c r="G597" s="84" t="s">
        <v>271</v>
      </c>
      <c r="H597" s="85" t="s">
        <v>845</v>
      </c>
    </row>
    <row r="598" spans="6:8" x14ac:dyDescent="0.2">
      <c r="F598" s="83" t="s">
        <v>152</v>
      </c>
      <c r="G598" s="84" t="s">
        <v>271</v>
      </c>
      <c r="H598" s="85" t="s">
        <v>846</v>
      </c>
    </row>
    <row r="599" spans="6:8" x14ac:dyDescent="0.2">
      <c r="F599" s="83" t="s">
        <v>152</v>
      </c>
      <c r="G599" s="84" t="s">
        <v>271</v>
      </c>
      <c r="H599" s="85" t="s">
        <v>425</v>
      </c>
    </row>
    <row r="600" spans="6:8" x14ac:dyDescent="0.2">
      <c r="F600" s="83" t="s">
        <v>152</v>
      </c>
      <c r="G600" s="84" t="s">
        <v>271</v>
      </c>
      <c r="H600" s="85" t="s">
        <v>847</v>
      </c>
    </row>
    <row r="601" spans="6:8" x14ac:dyDescent="0.2">
      <c r="F601" s="83" t="s">
        <v>152</v>
      </c>
      <c r="G601" s="84" t="s">
        <v>271</v>
      </c>
      <c r="H601" s="85" t="s">
        <v>848</v>
      </c>
    </row>
    <row r="602" spans="6:8" x14ac:dyDescent="0.2">
      <c r="F602" s="83" t="s">
        <v>152</v>
      </c>
      <c r="G602" s="84" t="s">
        <v>271</v>
      </c>
      <c r="H602" s="85" t="s">
        <v>849</v>
      </c>
    </row>
    <row r="603" spans="6:8" x14ac:dyDescent="0.2">
      <c r="F603" s="83" t="s">
        <v>152</v>
      </c>
      <c r="G603" s="84" t="s">
        <v>271</v>
      </c>
      <c r="H603" s="85" t="s">
        <v>850</v>
      </c>
    </row>
    <row r="604" spans="6:8" x14ac:dyDescent="0.2">
      <c r="F604" s="83" t="s">
        <v>152</v>
      </c>
      <c r="G604" s="84" t="s">
        <v>271</v>
      </c>
      <c r="H604" s="85" t="s">
        <v>271</v>
      </c>
    </row>
    <row r="605" spans="6:8" x14ac:dyDescent="0.2">
      <c r="F605" s="83" t="s">
        <v>152</v>
      </c>
      <c r="G605" s="84" t="s">
        <v>271</v>
      </c>
      <c r="H605" s="85" t="s">
        <v>851</v>
      </c>
    </row>
    <row r="606" spans="6:8" x14ac:dyDescent="0.2">
      <c r="F606" s="83" t="s">
        <v>152</v>
      </c>
      <c r="G606" s="84" t="s">
        <v>271</v>
      </c>
      <c r="H606" s="85" t="s">
        <v>852</v>
      </c>
    </row>
    <row r="607" spans="6:8" x14ac:dyDescent="0.2">
      <c r="F607" s="83" t="s">
        <v>152</v>
      </c>
      <c r="G607" s="84" t="s">
        <v>271</v>
      </c>
      <c r="H607" s="85" t="s">
        <v>499</v>
      </c>
    </row>
    <row r="608" spans="6:8" x14ac:dyDescent="0.2">
      <c r="F608" s="83" t="s">
        <v>152</v>
      </c>
      <c r="G608" s="84" t="s">
        <v>271</v>
      </c>
      <c r="H608" s="85" t="s">
        <v>853</v>
      </c>
    </row>
    <row r="609" spans="6:8" x14ac:dyDescent="0.2">
      <c r="F609" s="83" t="s">
        <v>152</v>
      </c>
      <c r="G609" s="84" t="s">
        <v>271</v>
      </c>
      <c r="H609" s="85" t="s">
        <v>854</v>
      </c>
    </row>
    <row r="610" spans="6:8" x14ac:dyDescent="0.2">
      <c r="F610" s="83" t="s">
        <v>152</v>
      </c>
      <c r="G610" s="84" t="s">
        <v>271</v>
      </c>
      <c r="H610" s="85" t="s">
        <v>855</v>
      </c>
    </row>
    <row r="611" spans="6:8" x14ac:dyDescent="0.2">
      <c r="F611" s="83" t="s">
        <v>152</v>
      </c>
      <c r="G611" s="84" t="s">
        <v>271</v>
      </c>
      <c r="H611" s="85" t="s">
        <v>856</v>
      </c>
    </row>
    <row r="612" spans="6:8" x14ac:dyDescent="0.2">
      <c r="F612" s="83" t="s">
        <v>152</v>
      </c>
      <c r="G612" s="84" t="s">
        <v>271</v>
      </c>
      <c r="H612" s="85" t="s">
        <v>857</v>
      </c>
    </row>
    <row r="613" spans="6:8" x14ac:dyDescent="0.2">
      <c r="F613" s="83" t="s">
        <v>152</v>
      </c>
      <c r="G613" s="84" t="s">
        <v>271</v>
      </c>
      <c r="H613" s="85" t="s">
        <v>858</v>
      </c>
    </row>
    <row r="614" spans="6:8" x14ac:dyDescent="0.2">
      <c r="F614" s="83" t="s">
        <v>152</v>
      </c>
      <c r="G614" s="84" t="s">
        <v>271</v>
      </c>
      <c r="H614" s="85" t="s">
        <v>859</v>
      </c>
    </row>
    <row r="615" spans="6:8" x14ac:dyDescent="0.2">
      <c r="F615" s="83" t="s">
        <v>152</v>
      </c>
      <c r="G615" s="84" t="s">
        <v>273</v>
      </c>
      <c r="H615" s="85" t="s">
        <v>860</v>
      </c>
    </row>
    <row r="616" spans="6:8" x14ac:dyDescent="0.2">
      <c r="F616" s="83" t="s">
        <v>152</v>
      </c>
      <c r="G616" s="84" t="s">
        <v>273</v>
      </c>
      <c r="H616" s="85" t="s">
        <v>861</v>
      </c>
    </row>
    <row r="617" spans="6:8" x14ac:dyDescent="0.2">
      <c r="F617" s="83" t="s">
        <v>152</v>
      </c>
      <c r="G617" s="84" t="s">
        <v>273</v>
      </c>
      <c r="H617" s="85" t="s">
        <v>273</v>
      </c>
    </row>
    <row r="618" spans="6:8" x14ac:dyDescent="0.2">
      <c r="F618" s="83" t="s">
        <v>152</v>
      </c>
      <c r="G618" s="84" t="s">
        <v>275</v>
      </c>
      <c r="H618" s="85" t="s">
        <v>467</v>
      </c>
    </row>
    <row r="619" spans="6:8" x14ac:dyDescent="0.2">
      <c r="F619" s="83" t="s">
        <v>152</v>
      </c>
      <c r="G619" s="84" t="s">
        <v>275</v>
      </c>
      <c r="H619" s="85" t="s">
        <v>862</v>
      </c>
    </row>
    <row r="620" spans="6:8" x14ac:dyDescent="0.2">
      <c r="F620" s="83" t="s">
        <v>152</v>
      </c>
      <c r="G620" s="84" t="s">
        <v>275</v>
      </c>
      <c r="H620" s="85" t="s">
        <v>863</v>
      </c>
    </row>
    <row r="621" spans="6:8" x14ac:dyDescent="0.2">
      <c r="F621" s="83" t="s">
        <v>152</v>
      </c>
      <c r="G621" s="84" t="s">
        <v>275</v>
      </c>
      <c r="H621" s="85" t="s">
        <v>864</v>
      </c>
    </row>
    <row r="622" spans="6:8" x14ac:dyDescent="0.2">
      <c r="F622" s="83" t="s">
        <v>152</v>
      </c>
      <c r="G622" s="84" t="s">
        <v>275</v>
      </c>
      <c r="H622" s="85" t="s">
        <v>275</v>
      </c>
    </row>
    <row r="623" spans="6:8" x14ac:dyDescent="0.2">
      <c r="F623" s="83" t="s">
        <v>152</v>
      </c>
      <c r="G623" s="84" t="s">
        <v>275</v>
      </c>
      <c r="H623" s="85" t="s">
        <v>865</v>
      </c>
    </row>
    <row r="624" spans="6:8" x14ac:dyDescent="0.2">
      <c r="F624" s="83" t="s">
        <v>152</v>
      </c>
      <c r="G624" s="84" t="s">
        <v>275</v>
      </c>
      <c r="H624" s="85" t="s">
        <v>866</v>
      </c>
    </row>
    <row r="625" spans="6:8" x14ac:dyDescent="0.2">
      <c r="F625" s="83" t="s">
        <v>152</v>
      </c>
      <c r="G625" s="84" t="s">
        <v>275</v>
      </c>
      <c r="H625" s="85" t="s">
        <v>867</v>
      </c>
    </row>
    <row r="626" spans="6:8" x14ac:dyDescent="0.2">
      <c r="F626" s="83" t="s">
        <v>152</v>
      </c>
      <c r="G626" s="84" t="s">
        <v>275</v>
      </c>
      <c r="H626" s="85" t="s">
        <v>868</v>
      </c>
    </row>
    <row r="627" spans="6:8" x14ac:dyDescent="0.2">
      <c r="F627" s="83" t="s">
        <v>152</v>
      </c>
      <c r="G627" s="84" t="s">
        <v>275</v>
      </c>
      <c r="H627" s="85" t="s">
        <v>869</v>
      </c>
    </row>
    <row r="628" spans="6:8" x14ac:dyDescent="0.2">
      <c r="F628" s="83" t="s">
        <v>152</v>
      </c>
      <c r="G628" s="84" t="s">
        <v>275</v>
      </c>
      <c r="H628" s="85" t="s">
        <v>870</v>
      </c>
    </row>
    <row r="629" spans="6:8" x14ac:dyDescent="0.2">
      <c r="F629" s="83" t="s">
        <v>152</v>
      </c>
      <c r="G629" s="84" t="s">
        <v>275</v>
      </c>
      <c r="H629" s="85" t="s">
        <v>303</v>
      </c>
    </row>
    <row r="630" spans="6:8" x14ac:dyDescent="0.2">
      <c r="F630" s="83" t="s">
        <v>152</v>
      </c>
      <c r="G630" s="84" t="s">
        <v>277</v>
      </c>
      <c r="H630" s="85" t="s">
        <v>871</v>
      </c>
    </row>
    <row r="631" spans="6:8" x14ac:dyDescent="0.2">
      <c r="F631" s="83" t="s">
        <v>152</v>
      </c>
      <c r="G631" s="84" t="s">
        <v>277</v>
      </c>
      <c r="H631" s="85" t="s">
        <v>872</v>
      </c>
    </row>
    <row r="632" spans="6:8" x14ac:dyDescent="0.2">
      <c r="F632" s="83" t="s">
        <v>152</v>
      </c>
      <c r="G632" s="84" t="s">
        <v>277</v>
      </c>
      <c r="H632" s="85" t="s">
        <v>873</v>
      </c>
    </row>
    <row r="633" spans="6:8" x14ac:dyDescent="0.2">
      <c r="F633" s="83" t="s">
        <v>152</v>
      </c>
      <c r="G633" s="84" t="s">
        <v>277</v>
      </c>
      <c r="H633" s="85" t="s">
        <v>874</v>
      </c>
    </row>
    <row r="634" spans="6:8" x14ac:dyDescent="0.2">
      <c r="F634" s="83" t="s">
        <v>152</v>
      </c>
      <c r="G634" s="84" t="s">
        <v>277</v>
      </c>
      <c r="H634" s="85" t="s">
        <v>277</v>
      </c>
    </row>
    <row r="635" spans="6:8" x14ac:dyDescent="0.2">
      <c r="F635" s="83" t="s">
        <v>152</v>
      </c>
      <c r="G635" s="84" t="s">
        <v>277</v>
      </c>
      <c r="H635" s="85" t="s">
        <v>875</v>
      </c>
    </row>
    <row r="636" spans="6:8" x14ac:dyDescent="0.2">
      <c r="F636" s="83" t="s">
        <v>152</v>
      </c>
      <c r="G636" s="84" t="s">
        <v>277</v>
      </c>
      <c r="H636" s="85" t="s">
        <v>876</v>
      </c>
    </row>
    <row r="637" spans="6:8" x14ac:dyDescent="0.2">
      <c r="F637" s="83" t="s">
        <v>152</v>
      </c>
      <c r="G637" s="84" t="s">
        <v>279</v>
      </c>
      <c r="H637" s="85" t="s">
        <v>877</v>
      </c>
    </row>
    <row r="638" spans="6:8" x14ac:dyDescent="0.2">
      <c r="F638" s="83" t="s">
        <v>152</v>
      </c>
      <c r="G638" s="84" t="s">
        <v>279</v>
      </c>
      <c r="H638" s="85" t="s">
        <v>878</v>
      </c>
    </row>
    <row r="639" spans="6:8" x14ac:dyDescent="0.2">
      <c r="F639" s="83" t="s">
        <v>152</v>
      </c>
      <c r="G639" s="84" t="s">
        <v>279</v>
      </c>
      <c r="H639" s="85" t="s">
        <v>879</v>
      </c>
    </row>
    <row r="640" spans="6:8" x14ac:dyDescent="0.2">
      <c r="F640" s="83" t="s">
        <v>152</v>
      </c>
      <c r="G640" s="84" t="s">
        <v>279</v>
      </c>
      <c r="H640" s="85" t="s">
        <v>880</v>
      </c>
    </row>
    <row r="641" spans="6:8" x14ac:dyDescent="0.2">
      <c r="F641" s="83" t="s">
        <v>152</v>
      </c>
      <c r="G641" s="84" t="s">
        <v>279</v>
      </c>
      <c r="H641" s="85" t="s">
        <v>881</v>
      </c>
    </row>
    <row r="642" spans="6:8" x14ac:dyDescent="0.2">
      <c r="F642" s="83" t="s">
        <v>152</v>
      </c>
      <c r="G642" s="84" t="s">
        <v>279</v>
      </c>
      <c r="H642" s="85" t="s">
        <v>882</v>
      </c>
    </row>
    <row r="643" spans="6:8" x14ac:dyDescent="0.2">
      <c r="F643" s="83" t="s">
        <v>152</v>
      </c>
      <c r="G643" s="84" t="s">
        <v>281</v>
      </c>
      <c r="H643" s="85" t="s">
        <v>883</v>
      </c>
    </row>
    <row r="644" spans="6:8" x14ac:dyDescent="0.2">
      <c r="F644" s="83" t="s">
        <v>152</v>
      </c>
      <c r="G644" s="84" t="s">
        <v>281</v>
      </c>
      <c r="H644" s="85" t="s">
        <v>884</v>
      </c>
    </row>
    <row r="645" spans="6:8" x14ac:dyDescent="0.2">
      <c r="F645" s="83" t="s">
        <v>152</v>
      </c>
      <c r="G645" s="84" t="s">
        <v>281</v>
      </c>
      <c r="H645" s="85" t="s">
        <v>885</v>
      </c>
    </row>
    <row r="646" spans="6:8" x14ac:dyDescent="0.2">
      <c r="F646" s="83" t="s">
        <v>152</v>
      </c>
      <c r="G646" s="84" t="s">
        <v>281</v>
      </c>
      <c r="H646" s="85" t="s">
        <v>886</v>
      </c>
    </row>
    <row r="647" spans="6:8" x14ac:dyDescent="0.2">
      <c r="F647" s="83" t="s">
        <v>152</v>
      </c>
      <c r="G647" s="84" t="s">
        <v>281</v>
      </c>
      <c r="H647" s="85" t="s">
        <v>887</v>
      </c>
    </row>
    <row r="648" spans="6:8" x14ac:dyDescent="0.2">
      <c r="F648" s="83" t="s">
        <v>152</v>
      </c>
      <c r="G648" s="84" t="s">
        <v>281</v>
      </c>
      <c r="H648" s="85" t="s">
        <v>888</v>
      </c>
    </row>
    <row r="649" spans="6:8" x14ac:dyDescent="0.2">
      <c r="F649" s="83" t="s">
        <v>152</v>
      </c>
      <c r="G649" s="84" t="s">
        <v>281</v>
      </c>
      <c r="H649" s="85" t="s">
        <v>889</v>
      </c>
    </row>
    <row r="650" spans="6:8" x14ac:dyDescent="0.2">
      <c r="F650" s="83" t="s">
        <v>152</v>
      </c>
      <c r="G650" s="84" t="s">
        <v>281</v>
      </c>
      <c r="H650" s="85" t="s">
        <v>890</v>
      </c>
    </row>
    <row r="651" spans="6:8" x14ac:dyDescent="0.2">
      <c r="F651" s="83" t="s">
        <v>152</v>
      </c>
      <c r="G651" s="84" t="s">
        <v>281</v>
      </c>
      <c r="H651" s="85" t="s">
        <v>281</v>
      </c>
    </row>
    <row r="652" spans="6:8" x14ac:dyDescent="0.2">
      <c r="F652" s="83" t="s">
        <v>152</v>
      </c>
      <c r="G652" s="84" t="s">
        <v>281</v>
      </c>
      <c r="H652" s="85" t="s">
        <v>891</v>
      </c>
    </row>
    <row r="653" spans="6:8" x14ac:dyDescent="0.2">
      <c r="F653" s="83" t="s">
        <v>152</v>
      </c>
      <c r="G653" s="84" t="s">
        <v>281</v>
      </c>
      <c r="H653" s="85" t="s">
        <v>892</v>
      </c>
    </row>
    <row r="654" spans="6:8" x14ac:dyDescent="0.2">
      <c r="F654" s="83" t="s">
        <v>152</v>
      </c>
      <c r="G654" s="84" t="s">
        <v>281</v>
      </c>
      <c r="H654" s="85" t="s">
        <v>893</v>
      </c>
    </row>
    <row r="655" spans="6:8" x14ac:dyDescent="0.2">
      <c r="F655" s="83" t="s">
        <v>152</v>
      </c>
      <c r="G655" s="84" t="s">
        <v>283</v>
      </c>
      <c r="H655" s="85" t="s">
        <v>894</v>
      </c>
    </row>
    <row r="656" spans="6:8" x14ac:dyDescent="0.2">
      <c r="F656" s="83" t="s">
        <v>152</v>
      </c>
      <c r="G656" s="84" t="s">
        <v>283</v>
      </c>
      <c r="H656" s="85" t="s">
        <v>895</v>
      </c>
    </row>
    <row r="657" spans="6:8" x14ac:dyDescent="0.2">
      <c r="F657" s="83" t="s">
        <v>152</v>
      </c>
      <c r="G657" s="84" t="s">
        <v>283</v>
      </c>
      <c r="H657" s="85" t="s">
        <v>283</v>
      </c>
    </row>
    <row r="658" spans="6:8" x14ac:dyDescent="0.2">
      <c r="F658" s="83" t="s">
        <v>152</v>
      </c>
      <c r="G658" s="84" t="s">
        <v>283</v>
      </c>
      <c r="H658" s="85" t="s">
        <v>896</v>
      </c>
    </row>
    <row r="659" spans="6:8" x14ac:dyDescent="0.2">
      <c r="F659" s="83" t="s">
        <v>152</v>
      </c>
      <c r="G659" s="84" t="s">
        <v>285</v>
      </c>
      <c r="H659" s="85" t="s">
        <v>897</v>
      </c>
    </row>
    <row r="660" spans="6:8" x14ac:dyDescent="0.2">
      <c r="F660" s="83" t="s">
        <v>152</v>
      </c>
      <c r="G660" s="84" t="s">
        <v>285</v>
      </c>
      <c r="H660" s="85" t="s">
        <v>898</v>
      </c>
    </row>
    <row r="661" spans="6:8" x14ac:dyDescent="0.2">
      <c r="F661" s="83" t="s">
        <v>152</v>
      </c>
      <c r="G661" s="84" t="s">
        <v>285</v>
      </c>
      <c r="H661" s="85" t="s">
        <v>899</v>
      </c>
    </row>
    <row r="662" spans="6:8" x14ac:dyDescent="0.2">
      <c r="F662" s="83" t="s">
        <v>152</v>
      </c>
      <c r="G662" s="84" t="s">
        <v>285</v>
      </c>
      <c r="H662" s="85" t="s">
        <v>900</v>
      </c>
    </row>
    <row r="663" spans="6:8" x14ac:dyDescent="0.2">
      <c r="F663" s="83" t="s">
        <v>152</v>
      </c>
      <c r="G663" s="84" t="s">
        <v>285</v>
      </c>
      <c r="H663" s="85" t="s">
        <v>901</v>
      </c>
    </row>
    <row r="664" spans="6:8" x14ac:dyDescent="0.2">
      <c r="F664" s="83" t="s">
        <v>152</v>
      </c>
      <c r="G664" s="84" t="s">
        <v>285</v>
      </c>
      <c r="H664" s="85" t="s">
        <v>902</v>
      </c>
    </row>
    <row r="665" spans="6:8" x14ac:dyDescent="0.2">
      <c r="F665" s="83" t="s">
        <v>152</v>
      </c>
      <c r="G665" s="84" t="s">
        <v>285</v>
      </c>
      <c r="H665" s="85" t="s">
        <v>285</v>
      </c>
    </row>
    <row r="666" spans="6:8" x14ac:dyDescent="0.2">
      <c r="F666" s="83" t="s">
        <v>152</v>
      </c>
      <c r="G666" s="84" t="s">
        <v>285</v>
      </c>
      <c r="H666" s="85" t="s">
        <v>903</v>
      </c>
    </row>
    <row r="667" spans="6:8" x14ac:dyDescent="0.2">
      <c r="F667" s="83" t="s">
        <v>152</v>
      </c>
      <c r="G667" s="84" t="s">
        <v>285</v>
      </c>
      <c r="H667" s="85" t="s">
        <v>904</v>
      </c>
    </row>
    <row r="668" spans="6:8" x14ac:dyDescent="0.2">
      <c r="F668" s="83" t="s">
        <v>152</v>
      </c>
      <c r="G668" s="84" t="s">
        <v>285</v>
      </c>
      <c r="H668" s="85" t="s">
        <v>905</v>
      </c>
    </row>
    <row r="669" spans="6:8" x14ac:dyDescent="0.2">
      <c r="F669" s="83" t="s">
        <v>155</v>
      </c>
      <c r="G669" s="84" t="s">
        <v>155</v>
      </c>
      <c r="H669" s="85" t="s">
        <v>467</v>
      </c>
    </row>
    <row r="670" spans="6:8" x14ac:dyDescent="0.2">
      <c r="F670" s="83" t="s">
        <v>155</v>
      </c>
      <c r="G670" s="84" t="s">
        <v>155</v>
      </c>
      <c r="H670" s="85" t="s">
        <v>155</v>
      </c>
    </row>
    <row r="671" spans="6:8" x14ac:dyDescent="0.2">
      <c r="F671" s="83" t="s">
        <v>155</v>
      </c>
      <c r="G671" s="84" t="s">
        <v>155</v>
      </c>
      <c r="H671" s="85" t="s">
        <v>1845</v>
      </c>
    </row>
    <row r="672" spans="6:8" x14ac:dyDescent="0.2">
      <c r="F672" s="83" t="s">
        <v>155</v>
      </c>
      <c r="G672" s="84" t="s">
        <v>155</v>
      </c>
      <c r="H672" s="85" t="s">
        <v>906</v>
      </c>
    </row>
    <row r="673" spans="6:8" x14ac:dyDescent="0.2">
      <c r="F673" s="83" t="s">
        <v>155</v>
      </c>
      <c r="G673" s="84" t="s">
        <v>155</v>
      </c>
      <c r="H673" s="85" t="s">
        <v>907</v>
      </c>
    </row>
    <row r="674" spans="6:8" x14ac:dyDescent="0.2">
      <c r="F674" s="83" t="s">
        <v>155</v>
      </c>
      <c r="G674" s="84" t="s">
        <v>155</v>
      </c>
      <c r="H674" s="85" t="s">
        <v>908</v>
      </c>
    </row>
    <row r="675" spans="6:8" x14ac:dyDescent="0.2">
      <c r="F675" s="85" t="s">
        <v>158</v>
      </c>
      <c r="G675" s="84" t="s">
        <v>288</v>
      </c>
      <c r="H675" s="85" t="s">
        <v>288</v>
      </c>
    </row>
    <row r="676" spans="6:8" x14ac:dyDescent="0.2">
      <c r="F676" s="85" t="s">
        <v>158</v>
      </c>
      <c r="G676" s="84" t="s">
        <v>288</v>
      </c>
      <c r="H676" s="85" t="s">
        <v>909</v>
      </c>
    </row>
    <row r="677" spans="6:8" x14ac:dyDescent="0.2">
      <c r="F677" s="85" t="s">
        <v>158</v>
      </c>
      <c r="G677" s="84" t="s">
        <v>288</v>
      </c>
      <c r="H677" s="85" t="s">
        <v>910</v>
      </c>
    </row>
    <row r="678" spans="6:8" x14ac:dyDescent="0.2">
      <c r="F678" s="85" t="s">
        <v>158</v>
      </c>
      <c r="G678" s="84" t="s">
        <v>288</v>
      </c>
      <c r="H678" s="85" t="s">
        <v>911</v>
      </c>
    </row>
    <row r="679" spans="6:8" x14ac:dyDescent="0.2">
      <c r="F679" s="85" t="s">
        <v>158</v>
      </c>
      <c r="G679" s="84" t="s">
        <v>288</v>
      </c>
      <c r="H679" s="85" t="s">
        <v>912</v>
      </c>
    </row>
    <row r="680" spans="6:8" x14ac:dyDescent="0.2">
      <c r="F680" s="85" t="s">
        <v>158</v>
      </c>
      <c r="G680" s="84" t="s">
        <v>288</v>
      </c>
      <c r="H680" s="85" t="s">
        <v>913</v>
      </c>
    </row>
    <row r="681" spans="6:8" x14ac:dyDescent="0.2">
      <c r="F681" s="85" t="s">
        <v>158</v>
      </c>
      <c r="G681" s="84" t="s">
        <v>288</v>
      </c>
      <c r="H681" s="85" t="s">
        <v>914</v>
      </c>
    </row>
    <row r="682" spans="6:8" x14ac:dyDescent="0.2">
      <c r="F682" s="85" t="s">
        <v>158</v>
      </c>
      <c r="G682" s="85" t="s">
        <v>290</v>
      </c>
      <c r="H682" s="85" t="s">
        <v>1046</v>
      </c>
    </row>
    <row r="683" spans="6:8" x14ac:dyDescent="0.2">
      <c r="F683" s="85" t="s">
        <v>158</v>
      </c>
      <c r="G683" s="85" t="s">
        <v>290</v>
      </c>
      <c r="H683" s="85" t="s">
        <v>290</v>
      </c>
    </row>
    <row r="684" spans="6:8" x14ac:dyDescent="0.2">
      <c r="F684" s="85" t="s">
        <v>158</v>
      </c>
      <c r="G684" s="85" t="s">
        <v>290</v>
      </c>
      <c r="H684" s="85" t="s">
        <v>1846</v>
      </c>
    </row>
    <row r="685" spans="6:8" x14ac:dyDescent="0.2">
      <c r="F685" s="85" t="s">
        <v>158</v>
      </c>
      <c r="G685" s="85" t="s">
        <v>290</v>
      </c>
      <c r="H685" s="85" t="s">
        <v>915</v>
      </c>
    </row>
    <row r="686" spans="6:8" x14ac:dyDescent="0.2">
      <c r="F686" s="85" t="s">
        <v>158</v>
      </c>
      <c r="G686" s="85" t="s">
        <v>290</v>
      </c>
      <c r="H686" s="85" t="s">
        <v>916</v>
      </c>
    </row>
    <row r="687" spans="6:8" x14ac:dyDescent="0.2">
      <c r="F687" s="85" t="s">
        <v>158</v>
      </c>
      <c r="G687" s="85" t="s">
        <v>290</v>
      </c>
      <c r="H687" s="85" t="s">
        <v>1847</v>
      </c>
    </row>
    <row r="688" spans="6:8" x14ac:dyDescent="0.2">
      <c r="F688" s="85" t="s">
        <v>158</v>
      </c>
      <c r="G688" s="85" t="s">
        <v>290</v>
      </c>
      <c r="H688" s="85" t="s">
        <v>1291</v>
      </c>
    </row>
    <row r="689" spans="6:8" x14ac:dyDescent="0.2">
      <c r="F689" s="85" t="s">
        <v>158</v>
      </c>
      <c r="G689" s="85" t="s">
        <v>290</v>
      </c>
      <c r="H689" s="85" t="s">
        <v>1848</v>
      </c>
    </row>
    <row r="690" spans="6:8" x14ac:dyDescent="0.2">
      <c r="F690" s="85" t="s">
        <v>158</v>
      </c>
      <c r="G690" s="85" t="s">
        <v>290</v>
      </c>
      <c r="H690" s="85" t="s">
        <v>1849</v>
      </c>
    </row>
    <row r="691" spans="6:8" x14ac:dyDescent="0.2">
      <c r="F691" s="85" t="s">
        <v>158</v>
      </c>
      <c r="G691" s="85" t="s">
        <v>292</v>
      </c>
      <c r="H691" s="85" t="s">
        <v>292</v>
      </c>
    </row>
    <row r="692" spans="6:8" x14ac:dyDescent="0.2">
      <c r="F692" s="85" t="s">
        <v>158</v>
      </c>
      <c r="G692" s="85" t="s">
        <v>292</v>
      </c>
      <c r="H692" s="85" t="s">
        <v>1850</v>
      </c>
    </row>
    <row r="693" spans="6:8" x14ac:dyDescent="0.2">
      <c r="F693" s="85" t="s">
        <v>158</v>
      </c>
      <c r="G693" s="85" t="s">
        <v>292</v>
      </c>
      <c r="H693" s="85" t="s">
        <v>1851</v>
      </c>
    </row>
    <row r="694" spans="6:8" x14ac:dyDescent="0.2">
      <c r="F694" s="85" t="s">
        <v>158</v>
      </c>
      <c r="G694" s="85" t="s">
        <v>292</v>
      </c>
      <c r="H694" s="85" t="s">
        <v>1852</v>
      </c>
    </row>
    <row r="695" spans="6:8" x14ac:dyDescent="0.2">
      <c r="F695" s="85" t="s">
        <v>158</v>
      </c>
      <c r="G695" s="85" t="s">
        <v>292</v>
      </c>
      <c r="H695" s="85" t="s">
        <v>1853</v>
      </c>
    </row>
    <row r="696" spans="6:8" x14ac:dyDescent="0.2">
      <c r="F696" s="85" t="s">
        <v>158</v>
      </c>
      <c r="G696" s="85" t="s">
        <v>292</v>
      </c>
      <c r="H696" s="85" t="s">
        <v>917</v>
      </c>
    </row>
    <row r="697" spans="6:8" x14ac:dyDescent="0.2">
      <c r="F697" s="85" t="s">
        <v>158</v>
      </c>
      <c r="G697" s="85" t="s">
        <v>292</v>
      </c>
      <c r="H697" s="85" t="s">
        <v>1854</v>
      </c>
    </row>
    <row r="698" spans="6:8" x14ac:dyDescent="0.2">
      <c r="F698" s="85" t="s">
        <v>158</v>
      </c>
      <c r="G698" s="85" t="s">
        <v>292</v>
      </c>
      <c r="H698" s="85" t="s">
        <v>1855</v>
      </c>
    </row>
    <row r="699" spans="6:8" x14ac:dyDescent="0.2">
      <c r="F699" s="85" t="s">
        <v>158</v>
      </c>
      <c r="G699" s="84" t="s">
        <v>294</v>
      </c>
      <c r="H699" s="85" t="s">
        <v>918</v>
      </c>
    </row>
    <row r="700" spans="6:8" x14ac:dyDescent="0.2">
      <c r="F700" s="85" t="s">
        <v>158</v>
      </c>
      <c r="G700" s="84" t="s">
        <v>294</v>
      </c>
      <c r="H700" s="85" t="s">
        <v>919</v>
      </c>
    </row>
    <row r="701" spans="6:8" x14ac:dyDescent="0.2">
      <c r="F701" s="85" t="s">
        <v>158</v>
      </c>
      <c r="G701" s="84" t="s">
        <v>294</v>
      </c>
      <c r="H701" s="85" t="s">
        <v>920</v>
      </c>
    </row>
    <row r="702" spans="6:8" x14ac:dyDescent="0.2">
      <c r="F702" s="85" t="s">
        <v>158</v>
      </c>
      <c r="G702" s="84" t="s">
        <v>294</v>
      </c>
      <c r="H702" s="85" t="s">
        <v>921</v>
      </c>
    </row>
    <row r="703" spans="6:8" x14ac:dyDescent="0.2">
      <c r="F703" s="85" t="s">
        <v>158</v>
      </c>
      <c r="G703" s="84" t="s">
        <v>294</v>
      </c>
      <c r="H703" s="85" t="s">
        <v>704</v>
      </c>
    </row>
    <row r="704" spans="6:8" x14ac:dyDescent="0.2">
      <c r="F704" s="85" t="s">
        <v>158</v>
      </c>
      <c r="G704" s="84" t="s">
        <v>294</v>
      </c>
      <c r="H704" s="85" t="s">
        <v>922</v>
      </c>
    </row>
    <row r="705" spans="6:8" x14ac:dyDescent="0.2">
      <c r="F705" s="85" t="s">
        <v>158</v>
      </c>
      <c r="G705" s="84" t="s">
        <v>294</v>
      </c>
      <c r="H705" s="85" t="s">
        <v>923</v>
      </c>
    </row>
    <row r="706" spans="6:8" x14ac:dyDescent="0.2">
      <c r="F706" s="85" t="s">
        <v>158</v>
      </c>
      <c r="G706" s="84" t="s">
        <v>294</v>
      </c>
      <c r="H706" s="85" t="s">
        <v>924</v>
      </c>
    </row>
    <row r="707" spans="6:8" x14ac:dyDescent="0.2">
      <c r="F707" s="85" t="s">
        <v>158</v>
      </c>
      <c r="G707" s="84" t="s">
        <v>296</v>
      </c>
      <c r="H707" s="85" t="s">
        <v>925</v>
      </c>
    </row>
    <row r="708" spans="6:8" x14ac:dyDescent="0.2">
      <c r="F708" s="85" t="s">
        <v>158</v>
      </c>
      <c r="G708" s="84" t="s">
        <v>296</v>
      </c>
      <c r="H708" s="85" t="s">
        <v>926</v>
      </c>
    </row>
    <row r="709" spans="6:8" x14ac:dyDescent="0.2">
      <c r="F709" s="85" t="s">
        <v>158</v>
      </c>
      <c r="G709" s="84" t="s">
        <v>296</v>
      </c>
      <c r="H709" s="85" t="s">
        <v>927</v>
      </c>
    </row>
    <row r="710" spans="6:8" x14ac:dyDescent="0.2">
      <c r="F710" s="85" t="s">
        <v>158</v>
      </c>
      <c r="G710" s="84" t="s">
        <v>296</v>
      </c>
      <c r="H710" s="85" t="s">
        <v>928</v>
      </c>
    </row>
    <row r="711" spans="6:8" x14ac:dyDescent="0.2">
      <c r="F711" s="85" t="s">
        <v>158</v>
      </c>
      <c r="G711" s="84" t="s">
        <v>296</v>
      </c>
      <c r="H711" s="85" t="s">
        <v>283</v>
      </c>
    </row>
    <row r="712" spans="6:8" x14ac:dyDescent="0.2">
      <c r="F712" s="85" t="s">
        <v>158</v>
      </c>
      <c r="G712" s="84" t="s">
        <v>296</v>
      </c>
      <c r="H712" s="85" t="s">
        <v>386</v>
      </c>
    </row>
    <row r="713" spans="6:8" x14ac:dyDescent="0.2">
      <c r="F713" s="85" t="s">
        <v>158</v>
      </c>
      <c r="G713" s="84" t="s">
        <v>296</v>
      </c>
      <c r="H713" s="85" t="s">
        <v>929</v>
      </c>
    </row>
    <row r="714" spans="6:8" x14ac:dyDescent="0.2">
      <c r="F714" s="85" t="s">
        <v>158</v>
      </c>
      <c r="G714" s="84" t="s">
        <v>296</v>
      </c>
      <c r="H714" s="85" t="s">
        <v>930</v>
      </c>
    </row>
    <row r="715" spans="6:8" x14ac:dyDescent="0.2">
      <c r="F715" s="85" t="s">
        <v>158</v>
      </c>
      <c r="G715" s="84" t="s">
        <v>1837</v>
      </c>
      <c r="H715" s="85" t="s">
        <v>312</v>
      </c>
    </row>
    <row r="716" spans="6:8" x14ac:dyDescent="0.2">
      <c r="F716" s="85" t="s">
        <v>158</v>
      </c>
      <c r="G716" s="84" t="s">
        <v>1837</v>
      </c>
      <c r="H716" s="85" t="s">
        <v>931</v>
      </c>
    </row>
    <row r="717" spans="6:8" x14ac:dyDescent="0.2">
      <c r="F717" s="85" t="s">
        <v>158</v>
      </c>
      <c r="G717" s="84" t="s">
        <v>1837</v>
      </c>
      <c r="H717" s="85" t="s">
        <v>932</v>
      </c>
    </row>
    <row r="718" spans="6:8" x14ac:dyDescent="0.2">
      <c r="F718" s="85" t="s">
        <v>158</v>
      </c>
      <c r="G718" s="84" t="s">
        <v>1837</v>
      </c>
      <c r="H718" s="85" t="s">
        <v>933</v>
      </c>
    </row>
    <row r="719" spans="6:8" x14ac:dyDescent="0.2">
      <c r="F719" s="85" t="s">
        <v>158</v>
      </c>
      <c r="G719" s="84" t="s">
        <v>1837</v>
      </c>
      <c r="H719" s="85" t="s">
        <v>934</v>
      </c>
    </row>
    <row r="720" spans="6:8" x14ac:dyDescent="0.2">
      <c r="F720" s="85" t="s">
        <v>158</v>
      </c>
      <c r="G720" s="84" t="s">
        <v>1837</v>
      </c>
      <c r="H720" s="85" t="s">
        <v>935</v>
      </c>
    </row>
    <row r="721" spans="6:8" x14ac:dyDescent="0.2">
      <c r="F721" s="85" t="s">
        <v>158</v>
      </c>
      <c r="G721" s="84" t="s">
        <v>1837</v>
      </c>
      <c r="H721" s="85" t="s">
        <v>936</v>
      </c>
    </row>
    <row r="722" spans="6:8" x14ac:dyDescent="0.2">
      <c r="F722" s="85" t="s">
        <v>158</v>
      </c>
      <c r="G722" s="84" t="s">
        <v>1837</v>
      </c>
      <c r="H722" s="85" t="s">
        <v>937</v>
      </c>
    </row>
    <row r="723" spans="6:8" x14ac:dyDescent="0.2">
      <c r="F723" s="85" t="s">
        <v>158</v>
      </c>
      <c r="G723" s="84" t="s">
        <v>1837</v>
      </c>
      <c r="H723" s="85" t="s">
        <v>612</v>
      </c>
    </row>
    <row r="724" spans="6:8" x14ac:dyDescent="0.2">
      <c r="F724" s="85" t="s">
        <v>158</v>
      </c>
      <c r="G724" s="84" t="s">
        <v>158</v>
      </c>
      <c r="H724" s="85" t="s">
        <v>938</v>
      </c>
    </row>
    <row r="725" spans="6:8" x14ac:dyDescent="0.2">
      <c r="F725" s="85" t="s">
        <v>158</v>
      </c>
      <c r="G725" s="84" t="s">
        <v>158</v>
      </c>
      <c r="H725" s="85" t="s">
        <v>158</v>
      </c>
    </row>
    <row r="726" spans="6:8" x14ac:dyDescent="0.2">
      <c r="F726" s="85" t="s">
        <v>158</v>
      </c>
      <c r="G726" s="84" t="s">
        <v>158</v>
      </c>
      <c r="H726" s="85" t="s">
        <v>939</v>
      </c>
    </row>
    <row r="727" spans="6:8" x14ac:dyDescent="0.2">
      <c r="F727" s="85" t="s">
        <v>158</v>
      </c>
      <c r="G727" s="84" t="s">
        <v>158</v>
      </c>
      <c r="H727" s="85" t="s">
        <v>940</v>
      </c>
    </row>
    <row r="728" spans="6:8" x14ac:dyDescent="0.2">
      <c r="F728" s="85" t="s">
        <v>158</v>
      </c>
      <c r="G728" s="84" t="s">
        <v>158</v>
      </c>
      <c r="H728" s="85" t="s">
        <v>564</v>
      </c>
    </row>
    <row r="729" spans="6:8" x14ac:dyDescent="0.2">
      <c r="F729" s="85" t="s">
        <v>158</v>
      </c>
      <c r="G729" s="84" t="s">
        <v>158</v>
      </c>
      <c r="H729" s="85" t="s">
        <v>1856</v>
      </c>
    </row>
    <row r="730" spans="6:8" x14ac:dyDescent="0.2">
      <c r="F730" s="85" t="s">
        <v>158</v>
      </c>
      <c r="G730" s="84" t="s">
        <v>158</v>
      </c>
      <c r="H730" s="85" t="s">
        <v>941</v>
      </c>
    </row>
    <row r="731" spans="6:8" x14ac:dyDescent="0.2">
      <c r="F731" s="85" t="s">
        <v>158</v>
      </c>
      <c r="G731" s="84" t="s">
        <v>158</v>
      </c>
      <c r="H731" s="85" t="s">
        <v>942</v>
      </c>
    </row>
    <row r="732" spans="6:8" x14ac:dyDescent="0.2">
      <c r="F732" s="85" t="s">
        <v>158</v>
      </c>
      <c r="G732" s="84" t="s">
        <v>300</v>
      </c>
      <c r="H732" s="85" t="s">
        <v>943</v>
      </c>
    </row>
    <row r="733" spans="6:8" x14ac:dyDescent="0.2">
      <c r="F733" s="85" t="s">
        <v>158</v>
      </c>
      <c r="G733" s="84" t="s">
        <v>300</v>
      </c>
      <c r="H733" s="85" t="s">
        <v>944</v>
      </c>
    </row>
    <row r="734" spans="6:8" x14ac:dyDescent="0.2">
      <c r="F734" s="85" t="s">
        <v>158</v>
      </c>
      <c r="G734" s="84" t="s">
        <v>300</v>
      </c>
      <c r="H734" s="85" t="s">
        <v>945</v>
      </c>
    </row>
    <row r="735" spans="6:8" x14ac:dyDescent="0.2">
      <c r="F735" s="85" t="s">
        <v>158</v>
      </c>
      <c r="G735" s="84" t="s">
        <v>300</v>
      </c>
      <c r="H735" s="85" t="s">
        <v>946</v>
      </c>
    </row>
    <row r="736" spans="6:8" x14ac:dyDescent="0.2">
      <c r="F736" s="85" t="s">
        <v>158</v>
      </c>
      <c r="G736" s="84" t="s">
        <v>300</v>
      </c>
      <c r="H736" s="85" t="s">
        <v>947</v>
      </c>
    </row>
    <row r="737" spans="6:8" x14ac:dyDescent="0.2">
      <c r="F737" s="85" t="s">
        <v>158</v>
      </c>
      <c r="G737" s="84" t="s">
        <v>300</v>
      </c>
      <c r="H737" s="85" t="s">
        <v>948</v>
      </c>
    </row>
    <row r="738" spans="6:8" x14ac:dyDescent="0.2">
      <c r="F738" s="85" t="s">
        <v>158</v>
      </c>
      <c r="G738" s="84" t="s">
        <v>300</v>
      </c>
      <c r="H738" s="85" t="s">
        <v>282</v>
      </c>
    </row>
    <row r="739" spans="6:8" x14ac:dyDescent="0.2">
      <c r="F739" s="85" t="s">
        <v>158</v>
      </c>
      <c r="G739" s="84" t="s">
        <v>300</v>
      </c>
      <c r="H739" s="85" t="s">
        <v>949</v>
      </c>
    </row>
    <row r="740" spans="6:8" x14ac:dyDescent="0.2">
      <c r="F740" s="85" t="s">
        <v>158</v>
      </c>
      <c r="G740" s="84" t="s">
        <v>302</v>
      </c>
      <c r="H740" s="85" t="s">
        <v>950</v>
      </c>
    </row>
    <row r="741" spans="6:8" x14ac:dyDescent="0.2">
      <c r="F741" s="85" t="s">
        <v>158</v>
      </c>
      <c r="G741" s="84" t="s">
        <v>302</v>
      </c>
      <c r="H741" s="85" t="s">
        <v>951</v>
      </c>
    </row>
    <row r="742" spans="6:8" x14ac:dyDescent="0.2">
      <c r="F742" s="85" t="s">
        <v>158</v>
      </c>
      <c r="G742" s="84" t="s">
        <v>302</v>
      </c>
      <c r="H742" s="85" t="s">
        <v>952</v>
      </c>
    </row>
    <row r="743" spans="6:8" x14ac:dyDescent="0.2">
      <c r="F743" s="85" t="s">
        <v>158</v>
      </c>
      <c r="G743" s="84" t="s">
        <v>302</v>
      </c>
      <c r="H743" s="85" t="s">
        <v>302</v>
      </c>
    </row>
    <row r="744" spans="6:8" x14ac:dyDescent="0.2">
      <c r="F744" s="85" t="s">
        <v>158</v>
      </c>
      <c r="G744" s="84" t="s">
        <v>302</v>
      </c>
      <c r="H744" s="85" t="s">
        <v>953</v>
      </c>
    </row>
    <row r="745" spans="6:8" x14ac:dyDescent="0.2">
      <c r="F745" s="85" t="s">
        <v>158</v>
      </c>
      <c r="G745" s="84" t="s">
        <v>302</v>
      </c>
      <c r="H745" s="85" t="s">
        <v>954</v>
      </c>
    </row>
    <row r="746" spans="6:8" x14ac:dyDescent="0.2">
      <c r="F746" s="85" t="s">
        <v>158</v>
      </c>
      <c r="G746" s="84" t="s">
        <v>302</v>
      </c>
      <c r="H746" s="85" t="s">
        <v>955</v>
      </c>
    </row>
    <row r="747" spans="6:8" x14ac:dyDescent="0.2">
      <c r="F747" s="85" t="s">
        <v>158</v>
      </c>
      <c r="G747" s="84" t="s">
        <v>302</v>
      </c>
      <c r="H747" s="85" t="s">
        <v>956</v>
      </c>
    </row>
    <row r="748" spans="6:8" x14ac:dyDescent="0.2">
      <c r="F748" s="85" t="s">
        <v>158</v>
      </c>
      <c r="G748" s="84" t="s">
        <v>302</v>
      </c>
      <c r="H748" s="85" t="s">
        <v>957</v>
      </c>
    </row>
    <row r="749" spans="6:8" x14ac:dyDescent="0.2">
      <c r="F749" s="85" t="s">
        <v>158</v>
      </c>
      <c r="G749" s="84" t="s">
        <v>304</v>
      </c>
      <c r="H749" s="85" t="s">
        <v>1857</v>
      </c>
    </row>
    <row r="750" spans="6:8" x14ac:dyDescent="0.2">
      <c r="F750" s="85" t="s">
        <v>158</v>
      </c>
      <c r="G750" s="84" t="s">
        <v>304</v>
      </c>
      <c r="H750" s="85" t="s">
        <v>1858</v>
      </c>
    </row>
    <row r="751" spans="6:8" x14ac:dyDescent="0.2">
      <c r="F751" s="85" t="s">
        <v>158</v>
      </c>
      <c r="G751" s="84" t="s">
        <v>304</v>
      </c>
      <c r="H751" s="85" t="s">
        <v>1859</v>
      </c>
    </row>
    <row r="752" spans="6:8" x14ac:dyDescent="0.2">
      <c r="F752" s="85" t="s">
        <v>158</v>
      </c>
      <c r="G752" s="84" t="s">
        <v>304</v>
      </c>
      <c r="H752" s="85" t="s">
        <v>1860</v>
      </c>
    </row>
    <row r="753" spans="6:8" x14ac:dyDescent="0.2">
      <c r="F753" s="85" t="s">
        <v>158</v>
      </c>
      <c r="G753" s="84" t="s">
        <v>304</v>
      </c>
      <c r="H753" s="85" t="s">
        <v>1861</v>
      </c>
    </row>
    <row r="754" spans="6:8" x14ac:dyDescent="0.2">
      <c r="F754" s="85" t="s">
        <v>158</v>
      </c>
      <c r="G754" s="84" t="s">
        <v>304</v>
      </c>
      <c r="H754" s="85" t="s">
        <v>958</v>
      </c>
    </row>
    <row r="755" spans="6:8" x14ac:dyDescent="0.2">
      <c r="F755" s="85" t="s">
        <v>158</v>
      </c>
      <c r="G755" s="84" t="s">
        <v>304</v>
      </c>
      <c r="H755" s="85" t="s">
        <v>304</v>
      </c>
    </row>
    <row r="756" spans="6:8" x14ac:dyDescent="0.2">
      <c r="F756" s="85" t="s">
        <v>158</v>
      </c>
      <c r="G756" s="84" t="s">
        <v>304</v>
      </c>
      <c r="H756" s="85" t="s">
        <v>1862</v>
      </c>
    </row>
    <row r="757" spans="6:8" x14ac:dyDescent="0.2">
      <c r="F757" s="85" t="s">
        <v>158</v>
      </c>
      <c r="G757" s="84" t="s">
        <v>304</v>
      </c>
      <c r="H757" s="85" t="s">
        <v>1863</v>
      </c>
    </row>
    <row r="758" spans="6:8" x14ac:dyDescent="0.2">
      <c r="F758" s="85" t="s">
        <v>158</v>
      </c>
      <c r="G758" s="84" t="s">
        <v>306</v>
      </c>
      <c r="H758" s="85" t="s">
        <v>1864</v>
      </c>
    </row>
    <row r="759" spans="6:8" x14ac:dyDescent="0.2">
      <c r="F759" s="85" t="s">
        <v>158</v>
      </c>
      <c r="G759" s="84" t="s">
        <v>306</v>
      </c>
      <c r="H759" s="85" t="s">
        <v>1865</v>
      </c>
    </row>
    <row r="760" spans="6:8" x14ac:dyDescent="0.2">
      <c r="F760" s="85" t="s">
        <v>158</v>
      </c>
      <c r="G760" s="84" t="s">
        <v>306</v>
      </c>
      <c r="H760" s="85" t="s">
        <v>1866</v>
      </c>
    </row>
    <row r="761" spans="6:8" x14ac:dyDescent="0.2">
      <c r="F761" s="85" t="s">
        <v>158</v>
      </c>
      <c r="G761" s="84" t="s">
        <v>306</v>
      </c>
      <c r="H761" s="85" t="s">
        <v>1867</v>
      </c>
    </row>
    <row r="762" spans="6:8" x14ac:dyDescent="0.2">
      <c r="F762" s="85" t="s">
        <v>158</v>
      </c>
      <c r="G762" s="84" t="s">
        <v>306</v>
      </c>
      <c r="H762" s="85" t="s">
        <v>1868</v>
      </c>
    </row>
    <row r="763" spans="6:8" x14ac:dyDescent="0.2">
      <c r="F763" s="85" t="s">
        <v>158</v>
      </c>
      <c r="G763" s="84" t="s">
        <v>306</v>
      </c>
      <c r="H763" s="85" t="s">
        <v>306</v>
      </c>
    </row>
    <row r="764" spans="6:8" x14ac:dyDescent="0.2">
      <c r="F764" s="85" t="s">
        <v>158</v>
      </c>
      <c r="G764" s="84" t="s">
        <v>308</v>
      </c>
      <c r="H764" s="85" t="s">
        <v>959</v>
      </c>
    </row>
    <row r="765" spans="6:8" x14ac:dyDescent="0.2">
      <c r="F765" s="85" t="s">
        <v>158</v>
      </c>
      <c r="G765" s="84" t="s">
        <v>308</v>
      </c>
      <c r="H765" s="85" t="s">
        <v>1869</v>
      </c>
    </row>
    <row r="766" spans="6:8" x14ac:dyDescent="0.2">
      <c r="F766" s="85" t="s">
        <v>158</v>
      </c>
      <c r="G766" s="84" t="s">
        <v>308</v>
      </c>
      <c r="H766" s="85" t="s">
        <v>1870</v>
      </c>
    </row>
    <row r="767" spans="6:8" x14ac:dyDescent="0.2">
      <c r="F767" s="85" t="s">
        <v>158</v>
      </c>
      <c r="G767" s="84" t="s">
        <v>308</v>
      </c>
      <c r="H767" s="85" t="s">
        <v>1871</v>
      </c>
    </row>
    <row r="768" spans="6:8" x14ac:dyDescent="0.2">
      <c r="F768" s="85" t="s">
        <v>158</v>
      </c>
      <c r="G768" s="84" t="s">
        <v>308</v>
      </c>
      <c r="H768" s="85" t="s">
        <v>1872</v>
      </c>
    </row>
    <row r="769" spans="6:8" x14ac:dyDescent="0.2">
      <c r="F769" s="85" t="s">
        <v>158</v>
      </c>
      <c r="G769" s="84" t="s">
        <v>308</v>
      </c>
      <c r="H769" s="85" t="s">
        <v>1873</v>
      </c>
    </row>
    <row r="770" spans="6:8" x14ac:dyDescent="0.2">
      <c r="F770" s="85" t="s">
        <v>158</v>
      </c>
      <c r="G770" s="84" t="s">
        <v>308</v>
      </c>
      <c r="H770" s="85" t="s">
        <v>582</v>
      </c>
    </row>
    <row r="771" spans="6:8" x14ac:dyDescent="0.2">
      <c r="F771" s="85" t="s">
        <v>158</v>
      </c>
      <c r="G771" s="84" t="s">
        <v>308</v>
      </c>
      <c r="H771" s="85" t="s">
        <v>1874</v>
      </c>
    </row>
    <row r="772" spans="6:8" x14ac:dyDescent="0.2">
      <c r="F772" s="85" t="s">
        <v>158</v>
      </c>
      <c r="G772" s="84" t="s">
        <v>308</v>
      </c>
      <c r="H772" s="85" t="s">
        <v>1875</v>
      </c>
    </row>
    <row r="773" spans="6:8" x14ac:dyDescent="0.2">
      <c r="F773" s="85" t="s">
        <v>158</v>
      </c>
      <c r="G773" s="84" t="s">
        <v>308</v>
      </c>
      <c r="H773" s="85" t="s">
        <v>572</v>
      </c>
    </row>
    <row r="774" spans="6:8" x14ac:dyDescent="0.2">
      <c r="F774" s="85" t="s">
        <v>158</v>
      </c>
      <c r="G774" s="84" t="s">
        <v>308</v>
      </c>
      <c r="H774" s="85" t="s">
        <v>1876</v>
      </c>
    </row>
    <row r="775" spans="6:8" x14ac:dyDescent="0.2">
      <c r="F775" s="85" t="s">
        <v>158</v>
      </c>
      <c r="G775" s="84" t="s">
        <v>308</v>
      </c>
      <c r="H775" s="85" t="s">
        <v>1877</v>
      </c>
    </row>
    <row r="776" spans="6:8" x14ac:dyDescent="0.2">
      <c r="F776" s="85" t="s">
        <v>158</v>
      </c>
      <c r="G776" s="85" t="s">
        <v>310</v>
      </c>
      <c r="H776" s="85" t="s">
        <v>1878</v>
      </c>
    </row>
    <row r="777" spans="6:8" x14ac:dyDescent="0.2">
      <c r="F777" s="85" t="s">
        <v>158</v>
      </c>
      <c r="G777" s="85" t="s">
        <v>310</v>
      </c>
      <c r="H777" s="85" t="s">
        <v>960</v>
      </c>
    </row>
    <row r="778" spans="6:8" x14ac:dyDescent="0.2">
      <c r="F778" s="85" t="s">
        <v>158</v>
      </c>
      <c r="G778" s="85" t="s">
        <v>310</v>
      </c>
      <c r="H778" s="85" t="s">
        <v>1879</v>
      </c>
    </row>
    <row r="779" spans="6:8" x14ac:dyDescent="0.2">
      <c r="F779" s="85" t="s">
        <v>158</v>
      </c>
      <c r="G779" s="85" t="s">
        <v>310</v>
      </c>
      <c r="H779" s="85" t="s">
        <v>1880</v>
      </c>
    </row>
    <row r="780" spans="6:8" x14ac:dyDescent="0.2">
      <c r="F780" s="85" t="s">
        <v>158</v>
      </c>
      <c r="G780" s="85" t="s">
        <v>310</v>
      </c>
      <c r="H780" s="85" t="s">
        <v>961</v>
      </c>
    </row>
    <row r="781" spans="6:8" x14ac:dyDescent="0.2">
      <c r="F781" s="85" t="s">
        <v>158</v>
      </c>
      <c r="G781" s="85" t="s">
        <v>310</v>
      </c>
      <c r="H781" s="85" t="s">
        <v>310</v>
      </c>
    </row>
    <row r="782" spans="6:8" x14ac:dyDescent="0.2">
      <c r="F782" s="85" t="s">
        <v>158</v>
      </c>
      <c r="G782" s="85" t="s">
        <v>310</v>
      </c>
      <c r="H782" s="85" t="s">
        <v>1881</v>
      </c>
    </row>
    <row r="783" spans="6:8" x14ac:dyDescent="0.2">
      <c r="F783" s="83" t="s">
        <v>161</v>
      </c>
      <c r="G783" s="84" t="s">
        <v>312</v>
      </c>
      <c r="H783" s="85" t="s">
        <v>312</v>
      </c>
    </row>
    <row r="784" spans="6:8" x14ac:dyDescent="0.2">
      <c r="F784" s="83" t="s">
        <v>161</v>
      </c>
      <c r="G784" s="84" t="s">
        <v>312</v>
      </c>
      <c r="H784" s="85" t="s">
        <v>897</v>
      </c>
    </row>
    <row r="785" spans="6:8" x14ac:dyDescent="0.2">
      <c r="F785" s="83" t="s">
        <v>161</v>
      </c>
      <c r="G785" s="84" t="s">
        <v>312</v>
      </c>
      <c r="H785" s="85" t="s">
        <v>290</v>
      </c>
    </row>
    <row r="786" spans="6:8" x14ac:dyDescent="0.2">
      <c r="F786" s="83" t="s">
        <v>161</v>
      </c>
      <c r="G786" s="84" t="s">
        <v>312</v>
      </c>
      <c r="H786" s="85" t="s">
        <v>1882</v>
      </c>
    </row>
    <row r="787" spans="6:8" x14ac:dyDescent="0.2">
      <c r="F787" s="83" t="s">
        <v>161</v>
      </c>
      <c r="G787" s="84" t="s">
        <v>312</v>
      </c>
      <c r="H787" s="85" t="s">
        <v>1883</v>
      </c>
    </row>
    <row r="788" spans="6:8" x14ac:dyDescent="0.2">
      <c r="F788" s="83" t="s">
        <v>161</v>
      </c>
      <c r="G788" s="84" t="s">
        <v>312</v>
      </c>
      <c r="H788" s="85" t="s">
        <v>962</v>
      </c>
    </row>
    <row r="789" spans="6:8" x14ac:dyDescent="0.2">
      <c r="F789" s="83" t="s">
        <v>161</v>
      </c>
      <c r="G789" s="84" t="s">
        <v>312</v>
      </c>
      <c r="H789" s="85" t="s">
        <v>562</v>
      </c>
    </row>
    <row r="790" spans="6:8" x14ac:dyDescent="0.2">
      <c r="F790" s="83" t="s">
        <v>161</v>
      </c>
      <c r="G790" s="84" t="s">
        <v>312</v>
      </c>
      <c r="H790" s="85" t="s">
        <v>963</v>
      </c>
    </row>
    <row r="791" spans="6:8" x14ac:dyDescent="0.2">
      <c r="F791" s="83" t="s">
        <v>161</v>
      </c>
      <c r="G791" s="84" t="s">
        <v>314</v>
      </c>
      <c r="H791" s="85" t="s">
        <v>964</v>
      </c>
    </row>
    <row r="792" spans="6:8" x14ac:dyDescent="0.2">
      <c r="F792" s="83" t="s">
        <v>161</v>
      </c>
      <c r="G792" s="84" t="s">
        <v>314</v>
      </c>
      <c r="H792" s="85" t="s">
        <v>965</v>
      </c>
    </row>
    <row r="793" spans="6:8" x14ac:dyDescent="0.2">
      <c r="F793" s="83" t="s">
        <v>161</v>
      </c>
      <c r="G793" s="84" t="s">
        <v>314</v>
      </c>
      <c r="H793" s="85" t="s">
        <v>966</v>
      </c>
    </row>
    <row r="794" spans="6:8" x14ac:dyDescent="0.2">
      <c r="F794" s="83" t="s">
        <v>161</v>
      </c>
      <c r="G794" s="84" t="s">
        <v>314</v>
      </c>
      <c r="H794" s="85" t="s">
        <v>967</v>
      </c>
    </row>
    <row r="795" spans="6:8" x14ac:dyDescent="0.2">
      <c r="F795" s="83" t="s">
        <v>161</v>
      </c>
      <c r="G795" s="84" t="s">
        <v>314</v>
      </c>
      <c r="H795" s="85" t="s">
        <v>968</v>
      </c>
    </row>
    <row r="796" spans="6:8" x14ac:dyDescent="0.2">
      <c r="F796" s="83" t="s">
        <v>161</v>
      </c>
      <c r="G796" s="84" t="s">
        <v>314</v>
      </c>
      <c r="H796" s="85" t="s">
        <v>969</v>
      </c>
    </row>
    <row r="797" spans="6:8" x14ac:dyDescent="0.2">
      <c r="F797" s="83" t="s">
        <v>161</v>
      </c>
      <c r="G797" s="84" t="s">
        <v>314</v>
      </c>
      <c r="H797" s="85" t="s">
        <v>970</v>
      </c>
    </row>
    <row r="798" spans="6:8" x14ac:dyDescent="0.2">
      <c r="F798" s="83" t="s">
        <v>161</v>
      </c>
      <c r="G798" s="84" t="s">
        <v>314</v>
      </c>
      <c r="H798" s="85" t="s">
        <v>971</v>
      </c>
    </row>
    <row r="799" spans="6:8" x14ac:dyDescent="0.2">
      <c r="F799" s="83" t="s">
        <v>161</v>
      </c>
      <c r="G799" s="84" t="s">
        <v>314</v>
      </c>
      <c r="H799" s="85" t="s">
        <v>972</v>
      </c>
    </row>
    <row r="800" spans="6:8" x14ac:dyDescent="0.2">
      <c r="F800" s="83" t="s">
        <v>161</v>
      </c>
      <c r="G800" s="84" t="s">
        <v>314</v>
      </c>
      <c r="H800" s="85" t="s">
        <v>973</v>
      </c>
    </row>
    <row r="801" spans="6:8" x14ac:dyDescent="0.2">
      <c r="F801" s="83" t="s">
        <v>161</v>
      </c>
      <c r="G801" s="84" t="s">
        <v>314</v>
      </c>
      <c r="H801" s="85" t="s">
        <v>974</v>
      </c>
    </row>
    <row r="802" spans="6:8" x14ac:dyDescent="0.2">
      <c r="F802" s="83" t="s">
        <v>161</v>
      </c>
      <c r="G802" s="84" t="s">
        <v>314</v>
      </c>
      <c r="H802" s="85" t="s">
        <v>975</v>
      </c>
    </row>
    <row r="803" spans="6:8" x14ac:dyDescent="0.2">
      <c r="F803" s="83" t="s">
        <v>161</v>
      </c>
      <c r="G803" s="84" t="s">
        <v>316</v>
      </c>
      <c r="H803" s="85" t="s">
        <v>976</v>
      </c>
    </row>
    <row r="804" spans="6:8" x14ac:dyDescent="0.2">
      <c r="F804" s="83" t="s">
        <v>161</v>
      </c>
      <c r="G804" s="84" t="s">
        <v>316</v>
      </c>
      <c r="H804" s="85" t="s">
        <v>977</v>
      </c>
    </row>
    <row r="805" spans="6:8" x14ac:dyDescent="0.2">
      <c r="F805" s="83" t="s">
        <v>161</v>
      </c>
      <c r="G805" s="84" t="s">
        <v>316</v>
      </c>
      <c r="H805" s="85" t="s">
        <v>978</v>
      </c>
    </row>
    <row r="806" spans="6:8" x14ac:dyDescent="0.2">
      <c r="F806" s="83" t="s">
        <v>161</v>
      </c>
      <c r="G806" s="84" t="s">
        <v>316</v>
      </c>
      <c r="H806" s="85" t="s">
        <v>316</v>
      </c>
    </row>
    <row r="807" spans="6:8" x14ac:dyDescent="0.2">
      <c r="F807" s="83" t="s">
        <v>161</v>
      </c>
      <c r="G807" s="84" t="s">
        <v>316</v>
      </c>
      <c r="H807" s="85" t="s">
        <v>979</v>
      </c>
    </row>
    <row r="808" spans="6:8" x14ac:dyDescent="0.2">
      <c r="F808" s="83" t="s">
        <v>161</v>
      </c>
      <c r="G808" s="84" t="s">
        <v>316</v>
      </c>
      <c r="H808" s="85" t="s">
        <v>980</v>
      </c>
    </row>
    <row r="809" spans="6:8" x14ac:dyDescent="0.2">
      <c r="F809" s="83" t="s">
        <v>161</v>
      </c>
      <c r="G809" s="84" t="s">
        <v>316</v>
      </c>
      <c r="H809" s="85" t="s">
        <v>981</v>
      </c>
    </row>
    <row r="810" spans="6:8" x14ac:dyDescent="0.2">
      <c r="F810" s="83" t="s">
        <v>161</v>
      </c>
      <c r="G810" s="84" t="s">
        <v>316</v>
      </c>
      <c r="H810" s="85" t="s">
        <v>982</v>
      </c>
    </row>
    <row r="811" spans="6:8" x14ac:dyDescent="0.2">
      <c r="F811" s="83" t="s">
        <v>161</v>
      </c>
      <c r="G811" s="84" t="s">
        <v>316</v>
      </c>
      <c r="H811" s="85" t="s">
        <v>983</v>
      </c>
    </row>
    <row r="812" spans="6:8" x14ac:dyDescent="0.2">
      <c r="F812" s="83" t="s">
        <v>161</v>
      </c>
      <c r="G812" s="84" t="s">
        <v>316</v>
      </c>
      <c r="H812" s="85" t="s">
        <v>536</v>
      </c>
    </row>
    <row r="813" spans="6:8" x14ac:dyDescent="0.2">
      <c r="F813" s="83" t="s">
        <v>161</v>
      </c>
      <c r="G813" s="84" t="s">
        <v>316</v>
      </c>
      <c r="H813" s="85" t="s">
        <v>984</v>
      </c>
    </row>
    <row r="814" spans="6:8" x14ac:dyDescent="0.2">
      <c r="F814" s="83" t="s">
        <v>161</v>
      </c>
      <c r="G814" s="84" t="s">
        <v>316</v>
      </c>
      <c r="H814" s="85" t="s">
        <v>985</v>
      </c>
    </row>
    <row r="815" spans="6:8" x14ac:dyDescent="0.2">
      <c r="F815" s="83" t="s">
        <v>161</v>
      </c>
      <c r="G815" s="84" t="s">
        <v>316</v>
      </c>
      <c r="H815" s="85" t="s">
        <v>986</v>
      </c>
    </row>
    <row r="816" spans="6:8" x14ac:dyDescent="0.2">
      <c r="F816" s="83" t="s">
        <v>161</v>
      </c>
      <c r="G816" s="84" t="s">
        <v>318</v>
      </c>
      <c r="H816" s="85" t="s">
        <v>751</v>
      </c>
    </row>
    <row r="817" spans="6:8" x14ac:dyDescent="0.2">
      <c r="F817" s="83" t="s">
        <v>161</v>
      </c>
      <c r="G817" s="84" t="s">
        <v>318</v>
      </c>
      <c r="H817" s="85" t="s">
        <v>987</v>
      </c>
    </row>
    <row r="818" spans="6:8" x14ac:dyDescent="0.2">
      <c r="F818" s="83" t="s">
        <v>161</v>
      </c>
      <c r="G818" s="84" t="s">
        <v>318</v>
      </c>
      <c r="H818" s="85" t="s">
        <v>318</v>
      </c>
    </row>
    <row r="819" spans="6:8" x14ac:dyDescent="0.2">
      <c r="F819" s="83" t="s">
        <v>161</v>
      </c>
      <c r="G819" s="84" t="s">
        <v>318</v>
      </c>
      <c r="H819" s="85" t="s">
        <v>988</v>
      </c>
    </row>
    <row r="820" spans="6:8" x14ac:dyDescent="0.2">
      <c r="F820" s="83" t="s">
        <v>161</v>
      </c>
      <c r="G820" s="84" t="s">
        <v>318</v>
      </c>
      <c r="H820" s="85" t="s">
        <v>989</v>
      </c>
    </row>
    <row r="821" spans="6:8" x14ac:dyDescent="0.2">
      <c r="F821" s="83" t="s">
        <v>161</v>
      </c>
      <c r="G821" s="84" t="s">
        <v>318</v>
      </c>
      <c r="H821" s="85" t="s">
        <v>327</v>
      </c>
    </row>
    <row r="822" spans="6:8" x14ac:dyDescent="0.2">
      <c r="F822" s="83" t="s">
        <v>161</v>
      </c>
      <c r="G822" s="84" t="s">
        <v>318</v>
      </c>
      <c r="H822" s="85" t="s">
        <v>990</v>
      </c>
    </row>
    <row r="823" spans="6:8" x14ac:dyDescent="0.2">
      <c r="F823" s="83" t="s">
        <v>161</v>
      </c>
      <c r="G823" s="84" t="s">
        <v>318</v>
      </c>
      <c r="H823" s="85" t="s">
        <v>991</v>
      </c>
    </row>
    <row r="824" spans="6:8" x14ac:dyDescent="0.2">
      <c r="F824" s="83" t="s">
        <v>161</v>
      </c>
      <c r="G824" s="84" t="s">
        <v>318</v>
      </c>
      <c r="H824" s="85" t="s">
        <v>992</v>
      </c>
    </row>
    <row r="825" spans="6:8" x14ac:dyDescent="0.2">
      <c r="F825" s="83" t="s">
        <v>161</v>
      </c>
      <c r="G825" s="84" t="s">
        <v>318</v>
      </c>
      <c r="H825" s="85" t="s">
        <v>993</v>
      </c>
    </row>
    <row r="826" spans="6:8" x14ac:dyDescent="0.2">
      <c r="F826" s="83" t="s">
        <v>161</v>
      </c>
      <c r="G826" s="84" t="s">
        <v>318</v>
      </c>
      <c r="H826" s="85" t="s">
        <v>994</v>
      </c>
    </row>
    <row r="827" spans="6:8" x14ac:dyDescent="0.2">
      <c r="F827" s="83" t="s">
        <v>161</v>
      </c>
      <c r="G827" s="84" t="s">
        <v>161</v>
      </c>
      <c r="H827" s="85" t="s">
        <v>995</v>
      </c>
    </row>
    <row r="828" spans="6:8" x14ac:dyDescent="0.2">
      <c r="F828" s="83" t="s">
        <v>161</v>
      </c>
      <c r="G828" s="84" t="s">
        <v>161</v>
      </c>
      <c r="H828" s="85" t="s">
        <v>996</v>
      </c>
    </row>
    <row r="829" spans="6:8" x14ac:dyDescent="0.2">
      <c r="F829" s="83" t="s">
        <v>161</v>
      </c>
      <c r="G829" s="84" t="s">
        <v>161</v>
      </c>
      <c r="H829" s="85" t="s">
        <v>997</v>
      </c>
    </row>
    <row r="830" spans="6:8" x14ac:dyDescent="0.2">
      <c r="F830" s="83" t="s">
        <v>161</v>
      </c>
      <c r="G830" s="84" t="s">
        <v>161</v>
      </c>
      <c r="H830" s="85" t="s">
        <v>998</v>
      </c>
    </row>
    <row r="831" spans="6:8" x14ac:dyDescent="0.2">
      <c r="F831" s="83" t="s">
        <v>161</v>
      </c>
      <c r="G831" s="84" t="s">
        <v>161</v>
      </c>
      <c r="H831" s="85" t="s">
        <v>999</v>
      </c>
    </row>
    <row r="832" spans="6:8" x14ac:dyDescent="0.2">
      <c r="F832" s="83" t="s">
        <v>161</v>
      </c>
      <c r="G832" s="84" t="s">
        <v>161</v>
      </c>
      <c r="H832" s="85" t="s">
        <v>1000</v>
      </c>
    </row>
    <row r="833" spans="6:8" x14ac:dyDescent="0.2">
      <c r="F833" s="83" t="s">
        <v>161</v>
      </c>
      <c r="G833" s="84" t="s">
        <v>161</v>
      </c>
      <c r="H833" s="85" t="s">
        <v>161</v>
      </c>
    </row>
    <row r="834" spans="6:8" x14ac:dyDescent="0.2">
      <c r="F834" s="83" t="s">
        <v>161</v>
      </c>
      <c r="G834" s="84" t="s">
        <v>161</v>
      </c>
      <c r="H834" s="85" t="s">
        <v>1001</v>
      </c>
    </row>
    <row r="835" spans="6:8" x14ac:dyDescent="0.2">
      <c r="F835" s="83" t="s">
        <v>161</v>
      </c>
      <c r="G835" s="84" t="s">
        <v>161</v>
      </c>
      <c r="H835" s="85" t="s">
        <v>1002</v>
      </c>
    </row>
    <row r="836" spans="6:8" x14ac:dyDescent="0.2">
      <c r="F836" s="83" t="s">
        <v>161</v>
      </c>
      <c r="G836" s="84" t="s">
        <v>161</v>
      </c>
      <c r="H836" s="85" t="s">
        <v>1003</v>
      </c>
    </row>
    <row r="837" spans="6:8" x14ac:dyDescent="0.2">
      <c r="F837" s="83" t="s">
        <v>161</v>
      </c>
      <c r="G837" s="84" t="s">
        <v>161</v>
      </c>
      <c r="H837" s="85" t="s">
        <v>1004</v>
      </c>
    </row>
    <row r="838" spans="6:8" x14ac:dyDescent="0.2">
      <c r="F838" s="83" t="s">
        <v>161</v>
      </c>
      <c r="G838" s="84" t="s">
        <v>161</v>
      </c>
      <c r="H838" s="85" t="s">
        <v>1005</v>
      </c>
    </row>
    <row r="839" spans="6:8" x14ac:dyDescent="0.2">
      <c r="F839" s="83" t="s">
        <v>161</v>
      </c>
      <c r="G839" s="84" t="s">
        <v>161</v>
      </c>
      <c r="H839" s="85" t="s">
        <v>1006</v>
      </c>
    </row>
    <row r="840" spans="6:8" x14ac:dyDescent="0.2">
      <c r="F840" s="83" t="s">
        <v>161</v>
      </c>
      <c r="G840" s="84" t="s">
        <v>161</v>
      </c>
      <c r="H840" s="85" t="s">
        <v>1007</v>
      </c>
    </row>
    <row r="841" spans="6:8" x14ac:dyDescent="0.2">
      <c r="F841" s="83" t="s">
        <v>161</v>
      </c>
      <c r="G841" s="84" t="s">
        <v>161</v>
      </c>
      <c r="H841" s="85" t="s">
        <v>1008</v>
      </c>
    </row>
    <row r="842" spans="6:8" x14ac:dyDescent="0.2">
      <c r="F842" s="83" t="s">
        <v>161</v>
      </c>
      <c r="G842" s="84" t="s">
        <v>161</v>
      </c>
      <c r="H842" s="85" t="s">
        <v>1009</v>
      </c>
    </row>
    <row r="843" spans="6:8" x14ac:dyDescent="0.2">
      <c r="F843" s="83" t="s">
        <v>161</v>
      </c>
      <c r="G843" s="84" t="s">
        <v>161</v>
      </c>
      <c r="H843" s="85" t="s">
        <v>1010</v>
      </c>
    </row>
    <row r="844" spans="6:8" x14ac:dyDescent="0.2">
      <c r="F844" s="83" t="s">
        <v>161</v>
      </c>
      <c r="G844" s="84" t="s">
        <v>161</v>
      </c>
      <c r="H844" s="85" t="s">
        <v>1011</v>
      </c>
    </row>
    <row r="845" spans="6:8" x14ac:dyDescent="0.2">
      <c r="F845" s="83" t="s">
        <v>161</v>
      </c>
      <c r="G845" s="84" t="s">
        <v>161</v>
      </c>
      <c r="H845" s="85" t="s">
        <v>366</v>
      </c>
    </row>
    <row r="846" spans="6:8" x14ac:dyDescent="0.2">
      <c r="F846" s="83" t="s">
        <v>161</v>
      </c>
      <c r="G846" s="84" t="s">
        <v>321</v>
      </c>
      <c r="H846" s="85" t="s">
        <v>1012</v>
      </c>
    </row>
    <row r="847" spans="6:8" x14ac:dyDescent="0.2">
      <c r="F847" s="83" t="s">
        <v>161</v>
      </c>
      <c r="G847" s="84" t="s">
        <v>321</v>
      </c>
      <c r="H847" s="85" t="s">
        <v>1013</v>
      </c>
    </row>
    <row r="848" spans="6:8" x14ac:dyDescent="0.2">
      <c r="F848" s="83" t="s">
        <v>161</v>
      </c>
      <c r="G848" s="84" t="s">
        <v>321</v>
      </c>
      <c r="H848" s="85" t="s">
        <v>1014</v>
      </c>
    </row>
    <row r="849" spans="6:8" x14ac:dyDescent="0.2">
      <c r="F849" s="83" t="s">
        <v>161</v>
      </c>
      <c r="G849" s="84" t="s">
        <v>321</v>
      </c>
      <c r="H849" s="85" t="s">
        <v>321</v>
      </c>
    </row>
    <row r="850" spans="6:8" x14ac:dyDescent="0.2">
      <c r="F850" s="83" t="s">
        <v>161</v>
      </c>
      <c r="G850" s="84" t="s">
        <v>321</v>
      </c>
      <c r="H850" s="85" t="s">
        <v>1015</v>
      </c>
    </row>
    <row r="851" spans="6:8" x14ac:dyDescent="0.2">
      <c r="F851" s="83" t="s">
        <v>161</v>
      </c>
      <c r="G851" s="84" t="s">
        <v>321</v>
      </c>
      <c r="H851" s="85" t="s">
        <v>1016</v>
      </c>
    </row>
    <row r="852" spans="6:8" x14ac:dyDescent="0.2">
      <c r="F852" s="83" t="s">
        <v>161</v>
      </c>
      <c r="G852" s="84" t="s">
        <v>321</v>
      </c>
      <c r="H852" s="85" t="s">
        <v>1017</v>
      </c>
    </row>
    <row r="853" spans="6:8" x14ac:dyDescent="0.2">
      <c r="F853" s="83" t="s">
        <v>161</v>
      </c>
      <c r="G853" s="84" t="s">
        <v>321</v>
      </c>
      <c r="H853" s="85" t="s">
        <v>1018</v>
      </c>
    </row>
    <row r="854" spans="6:8" x14ac:dyDescent="0.2">
      <c r="F854" s="83" t="s">
        <v>161</v>
      </c>
      <c r="G854" s="84" t="s">
        <v>321</v>
      </c>
      <c r="H854" s="85" t="s">
        <v>1019</v>
      </c>
    </row>
    <row r="855" spans="6:8" x14ac:dyDescent="0.2">
      <c r="F855" s="83" t="s">
        <v>161</v>
      </c>
      <c r="G855" s="84" t="s">
        <v>321</v>
      </c>
      <c r="H855" s="85" t="s">
        <v>1020</v>
      </c>
    </row>
    <row r="856" spans="6:8" x14ac:dyDescent="0.2">
      <c r="F856" s="83" t="s">
        <v>161</v>
      </c>
      <c r="G856" s="84" t="s">
        <v>321</v>
      </c>
      <c r="H856" s="85" t="s">
        <v>1021</v>
      </c>
    </row>
    <row r="857" spans="6:8" x14ac:dyDescent="0.2">
      <c r="F857" s="83" t="s">
        <v>161</v>
      </c>
      <c r="G857" s="84" t="s">
        <v>321</v>
      </c>
      <c r="H857" s="85" t="s">
        <v>1022</v>
      </c>
    </row>
    <row r="858" spans="6:8" x14ac:dyDescent="0.2">
      <c r="F858" s="83" t="s">
        <v>161</v>
      </c>
      <c r="G858" s="84" t="s">
        <v>321</v>
      </c>
      <c r="H858" s="85" t="s">
        <v>1023</v>
      </c>
    </row>
    <row r="859" spans="6:8" x14ac:dyDescent="0.2">
      <c r="F859" s="83" t="s">
        <v>161</v>
      </c>
      <c r="G859" s="84" t="s">
        <v>321</v>
      </c>
      <c r="H859" s="85" t="s">
        <v>1024</v>
      </c>
    </row>
    <row r="860" spans="6:8" x14ac:dyDescent="0.2">
      <c r="F860" s="83" t="s">
        <v>161</v>
      </c>
      <c r="G860" s="84" t="s">
        <v>321</v>
      </c>
      <c r="H860" s="85" t="s">
        <v>1025</v>
      </c>
    </row>
    <row r="861" spans="6:8" x14ac:dyDescent="0.2">
      <c r="F861" s="83" t="s">
        <v>161</v>
      </c>
      <c r="G861" s="84" t="s">
        <v>321</v>
      </c>
      <c r="H861" s="85" t="s">
        <v>757</v>
      </c>
    </row>
    <row r="862" spans="6:8" x14ac:dyDescent="0.2">
      <c r="F862" s="83" t="s">
        <v>161</v>
      </c>
      <c r="G862" s="84" t="s">
        <v>322</v>
      </c>
      <c r="H862" s="85" t="s">
        <v>1026</v>
      </c>
    </row>
    <row r="863" spans="6:8" x14ac:dyDescent="0.2">
      <c r="F863" s="83" t="s">
        <v>161</v>
      </c>
      <c r="G863" s="84" t="s">
        <v>322</v>
      </c>
      <c r="H863" s="85" t="s">
        <v>1027</v>
      </c>
    </row>
    <row r="864" spans="6:8" x14ac:dyDescent="0.2">
      <c r="F864" s="83" t="s">
        <v>161</v>
      </c>
      <c r="G864" s="84" t="s">
        <v>322</v>
      </c>
      <c r="H864" s="85" t="s">
        <v>1028</v>
      </c>
    </row>
    <row r="865" spans="6:8" x14ac:dyDescent="0.2">
      <c r="F865" s="83" t="s">
        <v>161</v>
      </c>
      <c r="G865" s="84" t="s">
        <v>322</v>
      </c>
      <c r="H865" s="85" t="s">
        <v>427</v>
      </c>
    </row>
    <row r="866" spans="6:8" x14ac:dyDescent="0.2">
      <c r="F866" s="83" t="s">
        <v>161</v>
      </c>
      <c r="G866" s="84" t="s">
        <v>322</v>
      </c>
      <c r="H866" s="85" t="s">
        <v>1029</v>
      </c>
    </row>
    <row r="867" spans="6:8" x14ac:dyDescent="0.2">
      <c r="F867" s="83" t="s">
        <v>161</v>
      </c>
      <c r="G867" s="84" t="s">
        <v>322</v>
      </c>
      <c r="H867" s="85" t="s">
        <v>1000</v>
      </c>
    </row>
    <row r="868" spans="6:8" x14ac:dyDescent="0.2">
      <c r="F868" s="83" t="s">
        <v>161</v>
      </c>
      <c r="G868" s="84" t="s">
        <v>322</v>
      </c>
      <c r="H868" s="85" t="s">
        <v>1030</v>
      </c>
    </row>
    <row r="869" spans="6:8" x14ac:dyDescent="0.2">
      <c r="F869" s="83" t="s">
        <v>161</v>
      </c>
      <c r="G869" s="84" t="s">
        <v>322</v>
      </c>
      <c r="H869" s="85" t="s">
        <v>1031</v>
      </c>
    </row>
    <row r="870" spans="6:8" x14ac:dyDescent="0.2">
      <c r="F870" s="83" t="s">
        <v>161</v>
      </c>
      <c r="G870" s="84" t="s">
        <v>322</v>
      </c>
      <c r="H870" s="85" t="s">
        <v>437</v>
      </c>
    </row>
    <row r="871" spans="6:8" x14ac:dyDescent="0.2">
      <c r="F871" s="83" t="s">
        <v>161</v>
      </c>
      <c r="G871" s="84" t="s">
        <v>322</v>
      </c>
      <c r="H871" s="85" t="s">
        <v>1032</v>
      </c>
    </row>
    <row r="872" spans="6:8" x14ac:dyDescent="0.2">
      <c r="F872" s="83" t="s">
        <v>161</v>
      </c>
      <c r="G872" s="84" t="s">
        <v>322</v>
      </c>
      <c r="H872" s="85" t="s">
        <v>1033</v>
      </c>
    </row>
    <row r="873" spans="6:8" x14ac:dyDescent="0.2">
      <c r="F873" s="83" t="s">
        <v>161</v>
      </c>
      <c r="G873" s="84" t="s">
        <v>322</v>
      </c>
      <c r="H873" s="85" t="s">
        <v>1034</v>
      </c>
    </row>
    <row r="874" spans="6:8" x14ac:dyDescent="0.2">
      <c r="F874" s="83" t="s">
        <v>161</v>
      </c>
      <c r="G874" s="84" t="s">
        <v>322</v>
      </c>
      <c r="H874" s="85" t="s">
        <v>1035</v>
      </c>
    </row>
    <row r="875" spans="6:8" x14ac:dyDescent="0.2">
      <c r="F875" s="83" t="s">
        <v>161</v>
      </c>
      <c r="G875" s="84" t="s">
        <v>322</v>
      </c>
      <c r="H875" s="85" t="s">
        <v>1036</v>
      </c>
    </row>
    <row r="876" spans="6:8" x14ac:dyDescent="0.2">
      <c r="F876" s="83" t="s">
        <v>161</v>
      </c>
      <c r="G876" s="84" t="s">
        <v>322</v>
      </c>
      <c r="H876" s="85" t="s">
        <v>1037</v>
      </c>
    </row>
    <row r="877" spans="6:8" x14ac:dyDescent="0.2">
      <c r="F877" s="83" t="s">
        <v>161</v>
      </c>
      <c r="G877" s="84" t="s">
        <v>322</v>
      </c>
      <c r="H877" s="85" t="s">
        <v>1038</v>
      </c>
    </row>
    <row r="878" spans="6:8" x14ac:dyDescent="0.2">
      <c r="F878" s="83" t="s">
        <v>164</v>
      </c>
      <c r="G878" s="84" t="s">
        <v>324</v>
      </c>
      <c r="H878" s="85" t="s">
        <v>324</v>
      </c>
    </row>
    <row r="879" spans="6:8" x14ac:dyDescent="0.2">
      <c r="F879" s="83" t="s">
        <v>164</v>
      </c>
      <c r="G879" s="84" t="s">
        <v>324</v>
      </c>
      <c r="H879" s="85" t="s">
        <v>1039</v>
      </c>
    </row>
    <row r="880" spans="6:8" x14ac:dyDescent="0.2">
      <c r="F880" s="83" t="s">
        <v>164</v>
      </c>
      <c r="G880" s="84" t="s">
        <v>324</v>
      </c>
      <c r="H880" s="85" t="s">
        <v>1040</v>
      </c>
    </row>
    <row r="881" spans="6:8" x14ac:dyDescent="0.2">
      <c r="F881" s="83" t="s">
        <v>164</v>
      </c>
      <c r="G881" s="84" t="s">
        <v>324</v>
      </c>
      <c r="H881" s="85" t="s">
        <v>1041</v>
      </c>
    </row>
    <row r="882" spans="6:8" x14ac:dyDescent="0.2">
      <c r="F882" s="83" t="s">
        <v>164</v>
      </c>
      <c r="G882" s="84" t="s">
        <v>324</v>
      </c>
      <c r="H882" s="85" t="s">
        <v>1042</v>
      </c>
    </row>
    <row r="883" spans="6:8" x14ac:dyDescent="0.2">
      <c r="F883" s="83" t="s">
        <v>164</v>
      </c>
      <c r="G883" s="84" t="s">
        <v>324</v>
      </c>
      <c r="H883" s="85" t="s">
        <v>779</v>
      </c>
    </row>
    <row r="884" spans="6:8" x14ac:dyDescent="0.2">
      <c r="F884" s="83" t="s">
        <v>164</v>
      </c>
      <c r="G884" s="84" t="s">
        <v>324</v>
      </c>
      <c r="H884" s="85" t="s">
        <v>1043</v>
      </c>
    </row>
    <row r="885" spans="6:8" x14ac:dyDescent="0.2">
      <c r="F885" s="83" t="s">
        <v>164</v>
      </c>
      <c r="G885" s="84" t="s">
        <v>324</v>
      </c>
      <c r="H885" s="85" t="s">
        <v>1044</v>
      </c>
    </row>
    <row r="886" spans="6:8" x14ac:dyDescent="0.2">
      <c r="F886" s="83" t="s">
        <v>164</v>
      </c>
      <c r="G886" s="84" t="s">
        <v>326</v>
      </c>
      <c r="H886" s="85" t="s">
        <v>1884</v>
      </c>
    </row>
    <row r="887" spans="6:8" x14ac:dyDescent="0.2">
      <c r="F887" s="83" t="s">
        <v>164</v>
      </c>
      <c r="G887" s="84" t="s">
        <v>326</v>
      </c>
      <c r="H887" s="85" t="s">
        <v>1045</v>
      </c>
    </row>
    <row r="888" spans="6:8" x14ac:dyDescent="0.2">
      <c r="F888" s="83" t="s">
        <v>164</v>
      </c>
      <c r="G888" s="84" t="s">
        <v>326</v>
      </c>
      <c r="H888" s="85" t="s">
        <v>1046</v>
      </c>
    </row>
    <row r="889" spans="6:8" x14ac:dyDescent="0.2">
      <c r="F889" s="83" t="s">
        <v>164</v>
      </c>
      <c r="G889" s="84" t="s">
        <v>326</v>
      </c>
      <c r="H889" s="85" t="s">
        <v>1047</v>
      </c>
    </row>
    <row r="890" spans="6:8" x14ac:dyDescent="0.2">
      <c r="F890" s="83" t="s">
        <v>164</v>
      </c>
      <c r="G890" s="84" t="s">
        <v>326</v>
      </c>
      <c r="H890" s="85" t="s">
        <v>1048</v>
      </c>
    </row>
    <row r="891" spans="6:8" x14ac:dyDescent="0.2">
      <c r="F891" s="83" t="s">
        <v>164</v>
      </c>
      <c r="G891" s="84" t="s">
        <v>326</v>
      </c>
      <c r="H891" s="85" t="s">
        <v>1049</v>
      </c>
    </row>
    <row r="892" spans="6:8" x14ac:dyDescent="0.2">
      <c r="F892" s="83" t="s">
        <v>164</v>
      </c>
      <c r="G892" s="84" t="s">
        <v>326</v>
      </c>
      <c r="H892" s="85" t="s">
        <v>1050</v>
      </c>
    </row>
    <row r="893" spans="6:8" x14ac:dyDescent="0.2">
      <c r="F893" s="83" t="s">
        <v>164</v>
      </c>
      <c r="G893" s="84" t="s">
        <v>326</v>
      </c>
      <c r="H893" s="85" t="s">
        <v>1051</v>
      </c>
    </row>
    <row r="894" spans="6:8" x14ac:dyDescent="0.2">
      <c r="F894" s="83" t="s">
        <v>164</v>
      </c>
      <c r="G894" s="84" t="s">
        <v>326</v>
      </c>
      <c r="H894" s="85" t="s">
        <v>812</v>
      </c>
    </row>
    <row r="895" spans="6:8" x14ac:dyDescent="0.2">
      <c r="F895" s="83" t="s">
        <v>164</v>
      </c>
      <c r="G895" s="84" t="s">
        <v>326</v>
      </c>
      <c r="H895" s="85" t="s">
        <v>1052</v>
      </c>
    </row>
    <row r="896" spans="6:8" x14ac:dyDescent="0.2">
      <c r="F896" s="83" t="s">
        <v>164</v>
      </c>
      <c r="G896" s="84" t="s">
        <v>326</v>
      </c>
      <c r="H896" s="85" t="s">
        <v>239</v>
      </c>
    </row>
    <row r="897" spans="6:8" x14ac:dyDescent="0.2">
      <c r="F897" s="83" t="s">
        <v>164</v>
      </c>
      <c r="G897" s="84" t="s">
        <v>326</v>
      </c>
      <c r="H897" s="85" t="s">
        <v>1053</v>
      </c>
    </row>
    <row r="898" spans="6:8" x14ac:dyDescent="0.2">
      <c r="F898" s="83" t="s">
        <v>164</v>
      </c>
      <c r="G898" s="84" t="s">
        <v>326</v>
      </c>
      <c r="H898" s="85" t="s">
        <v>1054</v>
      </c>
    </row>
    <row r="899" spans="6:8" x14ac:dyDescent="0.2">
      <c r="F899" s="83" t="s">
        <v>164</v>
      </c>
      <c r="G899" s="84" t="s">
        <v>326</v>
      </c>
      <c r="H899" s="85" t="s">
        <v>1055</v>
      </c>
    </row>
    <row r="900" spans="6:8" x14ac:dyDescent="0.2">
      <c r="F900" s="83" t="s">
        <v>164</v>
      </c>
      <c r="G900" s="84" t="s">
        <v>326</v>
      </c>
      <c r="H900" s="85" t="s">
        <v>1056</v>
      </c>
    </row>
    <row r="901" spans="6:8" x14ac:dyDescent="0.2">
      <c r="F901" s="83" t="s">
        <v>164</v>
      </c>
      <c r="G901" s="84" t="s">
        <v>326</v>
      </c>
      <c r="H901" s="85" t="s">
        <v>1057</v>
      </c>
    </row>
    <row r="902" spans="6:8" x14ac:dyDescent="0.2">
      <c r="F902" s="83" t="s">
        <v>164</v>
      </c>
      <c r="G902" s="84" t="s">
        <v>326</v>
      </c>
      <c r="H902" s="85" t="s">
        <v>1058</v>
      </c>
    </row>
    <row r="903" spans="6:8" x14ac:dyDescent="0.2">
      <c r="F903" s="83" t="s">
        <v>164</v>
      </c>
      <c r="G903" s="84" t="s">
        <v>326</v>
      </c>
      <c r="H903" s="85" t="s">
        <v>1059</v>
      </c>
    </row>
    <row r="904" spans="6:8" x14ac:dyDescent="0.2">
      <c r="F904" s="83" t="s">
        <v>164</v>
      </c>
      <c r="G904" s="84" t="s">
        <v>326</v>
      </c>
      <c r="H904" s="85" t="s">
        <v>1060</v>
      </c>
    </row>
    <row r="905" spans="6:8" x14ac:dyDescent="0.2">
      <c r="F905" s="83" t="s">
        <v>164</v>
      </c>
      <c r="G905" s="84" t="s">
        <v>326</v>
      </c>
      <c r="H905" s="85" t="s">
        <v>1061</v>
      </c>
    </row>
    <row r="906" spans="6:8" x14ac:dyDescent="0.2">
      <c r="F906" s="83" t="s">
        <v>164</v>
      </c>
      <c r="G906" s="84" t="s">
        <v>326</v>
      </c>
      <c r="H906" s="85" t="s">
        <v>1062</v>
      </c>
    </row>
    <row r="907" spans="6:8" x14ac:dyDescent="0.2">
      <c r="F907" s="83" t="s">
        <v>164</v>
      </c>
      <c r="G907" s="84" t="s">
        <v>326</v>
      </c>
      <c r="H907" s="85" t="s">
        <v>1063</v>
      </c>
    </row>
    <row r="908" spans="6:8" x14ac:dyDescent="0.2">
      <c r="F908" s="83" t="s">
        <v>164</v>
      </c>
      <c r="G908" s="84" t="s">
        <v>326</v>
      </c>
      <c r="H908" s="85" t="s">
        <v>1064</v>
      </c>
    </row>
    <row r="909" spans="6:8" x14ac:dyDescent="0.2">
      <c r="F909" s="83" t="s">
        <v>164</v>
      </c>
      <c r="G909" s="84" t="s">
        <v>328</v>
      </c>
      <c r="H909" s="85" t="s">
        <v>1065</v>
      </c>
    </row>
    <row r="910" spans="6:8" x14ac:dyDescent="0.2">
      <c r="F910" s="83" t="s">
        <v>164</v>
      </c>
      <c r="G910" s="84" t="s">
        <v>328</v>
      </c>
      <c r="H910" s="85" t="s">
        <v>425</v>
      </c>
    </row>
    <row r="911" spans="6:8" x14ac:dyDescent="0.2">
      <c r="F911" s="83" t="s">
        <v>164</v>
      </c>
      <c r="G911" s="84" t="s">
        <v>328</v>
      </c>
      <c r="H911" s="85" t="s">
        <v>328</v>
      </c>
    </row>
    <row r="912" spans="6:8" x14ac:dyDescent="0.2">
      <c r="F912" s="83" t="s">
        <v>164</v>
      </c>
      <c r="G912" s="84" t="s">
        <v>328</v>
      </c>
      <c r="H912" s="85" t="s">
        <v>1066</v>
      </c>
    </row>
    <row r="913" spans="6:8" x14ac:dyDescent="0.2">
      <c r="F913" s="83" t="s">
        <v>164</v>
      </c>
      <c r="G913" s="84" t="s">
        <v>330</v>
      </c>
      <c r="H913" s="85" t="s">
        <v>1067</v>
      </c>
    </row>
    <row r="914" spans="6:8" x14ac:dyDescent="0.2">
      <c r="F914" s="83" t="s">
        <v>164</v>
      </c>
      <c r="G914" s="84" t="s">
        <v>330</v>
      </c>
      <c r="H914" s="85" t="s">
        <v>1068</v>
      </c>
    </row>
    <row r="915" spans="6:8" x14ac:dyDescent="0.2">
      <c r="F915" s="83" t="s">
        <v>164</v>
      </c>
      <c r="G915" s="84" t="s">
        <v>330</v>
      </c>
      <c r="H915" s="85" t="s">
        <v>1069</v>
      </c>
    </row>
    <row r="916" spans="6:8" x14ac:dyDescent="0.2">
      <c r="F916" s="83" t="s">
        <v>164</v>
      </c>
      <c r="G916" s="84" t="s">
        <v>330</v>
      </c>
      <c r="H916" s="85" t="s">
        <v>1070</v>
      </c>
    </row>
    <row r="917" spans="6:8" x14ac:dyDescent="0.2">
      <c r="F917" s="83" t="s">
        <v>164</v>
      </c>
      <c r="G917" s="84" t="s">
        <v>330</v>
      </c>
      <c r="H917" s="85" t="s">
        <v>1071</v>
      </c>
    </row>
    <row r="918" spans="6:8" x14ac:dyDescent="0.2">
      <c r="F918" s="83" t="s">
        <v>164</v>
      </c>
      <c r="G918" s="84" t="s">
        <v>330</v>
      </c>
      <c r="H918" s="85" t="s">
        <v>620</v>
      </c>
    </row>
    <row r="919" spans="6:8" x14ac:dyDescent="0.2">
      <c r="F919" s="83" t="s">
        <v>164</v>
      </c>
      <c r="G919" s="84" t="s">
        <v>330</v>
      </c>
      <c r="H919" s="85" t="s">
        <v>1072</v>
      </c>
    </row>
    <row r="920" spans="6:8" x14ac:dyDescent="0.2">
      <c r="F920" s="83" t="s">
        <v>164</v>
      </c>
      <c r="G920" s="84" t="s">
        <v>330</v>
      </c>
      <c r="H920" s="85" t="s">
        <v>1073</v>
      </c>
    </row>
    <row r="921" spans="6:8" x14ac:dyDescent="0.2">
      <c r="F921" s="83" t="s">
        <v>164</v>
      </c>
      <c r="G921" s="84" t="s">
        <v>330</v>
      </c>
      <c r="H921" s="85" t="s">
        <v>1074</v>
      </c>
    </row>
    <row r="922" spans="6:8" x14ac:dyDescent="0.2">
      <c r="F922" s="83" t="s">
        <v>164</v>
      </c>
      <c r="G922" s="84" t="s">
        <v>330</v>
      </c>
      <c r="H922" s="85" t="s">
        <v>1075</v>
      </c>
    </row>
    <row r="923" spans="6:8" x14ac:dyDescent="0.2">
      <c r="F923" s="83" t="s">
        <v>164</v>
      </c>
      <c r="G923" s="84" t="s">
        <v>330</v>
      </c>
      <c r="H923" s="85" t="s">
        <v>1076</v>
      </c>
    </row>
    <row r="924" spans="6:8" x14ac:dyDescent="0.2">
      <c r="F924" s="83" t="s">
        <v>164</v>
      </c>
      <c r="G924" s="84" t="s">
        <v>164</v>
      </c>
      <c r="H924" s="85" t="s">
        <v>1077</v>
      </c>
    </row>
    <row r="925" spans="6:8" x14ac:dyDescent="0.2">
      <c r="F925" s="83" t="s">
        <v>164</v>
      </c>
      <c r="G925" s="84" t="s">
        <v>164</v>
      </c>
      <c r="H925" s="85" t="s">
        <v>1078</v>
      </c>
    </row>
    <row r="926" spans="6:8" x14ac:dyDescent="0.2">
      <c r="F926" s="83" t="s">
        <v>164</v>
      </c>
      <c r="G926" s="84" t="s">
        <v>164</v>
      </c>
      <c r="H926" s="85" t="s">
        <v>1079</v>
      </c>
    </row>
    <row r="927" spans="6:8" x14ac:dyDescent="0.2">
      <c r="F927" s="83" t="s">
        <v>164</v>
      </c>
      <c r="G927" s="84" t="s">
        <v>164</v>
      </c>
      <c r="H927" s="85" t="s">
        <v>164</v>
      </c>
    </row>
    <row r="928" spans="6:8" x14ac:dyDescent="0.2">
      <c r="F928" s="83" t="s">
        <v>164</v>
      </c>
      <c r="G928" s="84" t="s">
        <v>164</v>
      </c>
      <c r="H928" s="85" t="s">
        <v>1080</v>
      </c>
    </row>
    <row r="929" spans="6:8" x14ac:dyDescent="0.2">
      <c r="F929" s="83" t="s">
        <v>164</v>
      </c>
      <c r="G929" s="84" t="s">
        <v>164</v>
      </c>
      <c r="H929" s="85" t="s">
        <v>1081</v>
      </c>
    </row>
    <row r="930" spans="6:8" x14ac:dyDescent="0.2">
      <c r="F930" s="83" t="s">
        <v>164</v>
      </c>
      <c r="G930" s="84" t="s">
        <v>164</v>
      </c>
      <c r="H930" s="85" t="s">
        <v>1082</v>
      </c>
    </row>
    <row r="931" spans="6:8" x14ac:dyDescent="0.2">
      <c r="F931" s="83" t="s">
        <v>164</v>
      </c>
      <c r="G931" s="84" t="s">
        <v>164</v>
      </c>
      <c r="H931" s="85" t="s">
        <v>1083</v>
      </c>
    </row>
    <row r="932" spans="6:8" x14ac:dyDescent="0.2">
      <c r="F932" s="83" t="s">
        <v>164</v>
      </c>
      <c r="G932" s="84" t="s">
        <v>164</v>
      </c>
      <c r="H932" s="85" t="s">
        <v>1084</v>
      </c>
    </row>
    <row r="933" spans="6:8" x14ac:dyDescent="0.2">
      <c r="F933" s="83" t="s">
        <v>164</v>
      </c>
      <c r="G933" s="84" t="s">
        <v>164</v>
      </c>
      <c r="H933" s="85" t="s">
        <v>1085</v>
      </c>
    </row>
    <row r="934" spans="6:8" x14ac:dyDescent="0.2">
      <c r="F934" s="83" t="s">
        <v>164</v>
      </c>
      <c r="G934" s="84" t="s">
        <v>164</v>
      </c>
      <c r="H934" s="85" t="s">
        <v>1086</v>
      </c>
    </row>
    <row r="935" spans="6:8" x14ac:dyDescent="0.2">
      <c r="F935" s="83" t="s">
        <v>164</v>
      </c>
      <c r="G935" s="84" t="s">
        <v>164</v>
      </c>
      <c r="H935" s="85" t="s">
        <v>1087</v>
      </c>
    </row>
    <row r="936" spans="6:8" x14ac:dyDescent="0.2">
      <c r="F936" s="83" t="s">
        <v>164</v>
      </c>
      <c r="G936" s="84" t="s">
        <v>333</v>
      </c>
      <c r="H936" s="85" t="s">
        <v>1088</v>
      </c>
    </row>
    <row r="937" spans="6:8" x14ac:dyDescent="0.2">
      <c r="F937" s="83" t="s">
        <v>164</v>
      </c>
      <c r="G937" s="84" t="s">
        <v>333</v>
      </c>
      <c r="H937" s="84" t="s">
        <v>1089</v>
      </c>
    </row>
    <row r="938" spans="6:8" x14ac:dyDescent="0.2">
      <c r="F938" s="83" t="s">
        <v>164</v>
      </c>
      <c r="G938" s="84" t="s">
        <v>333</v>
      </c>
      <c r="H938" s="85" t="s">
        <v>1090</v>
      </c>
    </row>
    <row r="939" spans="6:8" x14ac:dyDescent="0.2">
      <c r="F939" s="83" t="s">
        <v>164</v>
      </c>
      <c r="G939" s="84" t="s">
        <v>333</v>
      </c>
      <c r="H939" s="85" t="s">
        <v>1091</v>
      </c>
    </row>
    <row r="940" spans="6:8" x14ac:dyDescent="0.2">
      <c r="F940" s="83" t="s">
        <v>164</v>
      </c>
      <c r="G940" s="84" t="s">
        <v>333</v>
      </c>
      <c r="H940" s="85" t="s">
        <v>1092</v>
      </c>
    </row>
    <row r="941" spans="6:8" x14ac:dyDescent="0.2">
      <c r="F941" s="83" t="s">
        <v>164</v>
      </c>
      <c r="G941" s="84" t="s">
        <v>333</v>
      </c>
      <c r="H941" s="85" t="s">
        <v>1093</v>
      </c>
    </row>
    <row r="942" spans="6:8" x14ac:dyDescent="0.2">
      <c r="F942" s="83" t="s">
        <v>164</v>
      </c>
      <c r="G942" s="84" t="s">
        <v>333</v>
      </c>
      <c r="H942" s="85" t="s">
        <v>1094</v>
      </c>
    </row>
    <row r="943" spans="6:8" x14ac:dyDescent="0.2">
      <c r="F943" s="83" t="s">
        <v>164</v>
      </c>
      <c r="G943" s="84" t="s">
        <v>333</v>
      </c>
      <c r="H943" s="85" t="s">
        <v>1095</v>
      </c>
    </row>
    <row r="944" spans="6:8" x14ac:dyDescent="0.2">
      <c r="F944" s="83" t="s">
        <v>164</v>
      </c>
      <c r="G944" s="84" t="s">
        <v>335</v>
      </c>
      <c r="H944" s="85" t="s">
        <v>1096</v>
      </c>
    </row>
    <row r="945" spans="6:8" x14ac:dyDescent="0.2">
      <c r="F945" s="83" t="s">
        <v>164</v>
      </c>
      <c r="G945" s="84" t="s">
        <v>335</v>
      </c>
      <c r="H945" s="85" t="s">
        <v>1097</v>
      </c>
    </row>
    <row r="946" spans="6:8" x14ac:dyDescent="0.2">
      <c r="F946" s="83" t="s">
        <v>164</v>
      </c>
      <c r="G946" s="84" t="s">
        <v>335</v>
      </c>
      <c r="H946" s="85" t="s">
        <v>1098</v>
      </c>
    </row>
    <row r="947" spans="6:8" x14ac:dyDescent="0.2">
      <c r="F947" s="83" t="s">
        <v>164</v>
      </c>
      <c r="G947" s="84" t="s">
        <v>337</v>
      </c>
      <c r="H947" s="85" t="s">
        <v>1099</v>
      </c>
    </row>
    <row r="948" spans="6:8" x14ac:dyDescent="0.2">
      <c r="F948" s="83" t="s">
        <v>164</v>
      </c>
      <c r="G948" s="84" t="s">
        <v>337</v>
      </c>
      <c r="H948" s="85" t="s">
        <v>1100</v>
      </c>
    </row>
    <row r="949" spans="6:8" x14ac:dyDescent="0.2">
      <c r="F949" s="83" t="s">
        <v>164</v>
      </c>
      <c r="G949" s="84" t="s">
        <v>337</v>
      </c>
      <c r="H949" s="85" t="s">
        <v>1101</v>
      </c>
    </row>
    <row r="950" spans="6:8" x14ac:dyDescent="0.2">
      <c r="F950" s="83" t="s">
        <v>164</v>
      </c>
      <c r="G950" s="84" t="s">
        <v>337</v>
      </c>
      <c r="H950" s="85" t="s">
        <v>1102</v>
      </c>
    </row>
    <row r="951" spans="6:8" x14ac:dyDescent="0.2">
      <c r="F951" s="83" t="s">
        <v>164</v>
      </c>
      <c r="G951" s="84" t="s">
        <v>339</v>
      </c>
      <c r="H951" s="85" t="s">
        <v>1103</v>
      </c>
    </row>
    <row r="952" spans="6:8" x14ac:dyDescent="0.2">
      <c r="F952" s="83" t="s">
        <v>164</v>
      </c>
      <c r="G952" s="84" t="s">
        <v>339</v>
      </c>
      <c r="H952" s="85" t="s">
        <v>1104</v>
      </c>
    </row>
    <row r="953" spans="6:8" x14ac:dyDescent="0.2">
      <c r="F953" s="83" t="s">
        <v>164</v>
      </c>
      <c r="G953" s="84" t="s">
        <v>339</v>
      </c>
      <c r="H953" s="85" t="s">
        <v>339</v>
      </c>
    </row>
    <row r="954" spans="6:8" x14ac:dyDescent="0.2">
      <c r="F954" s="83" t="s">
        <v>164</v>
      </c>
      <c r="G954" s="84" t="s">
        <v>339</v>
      </c>
      <c r="H954" s="85" t="s">
        <v>1105</v>
      </c>
    </row>
    <row r="955" spans="6:8" x14ac:dyDescent="0.2">
      <c r="F955" s="83" t="s">
        <v>164</v>
      </c>
      <c r="G955" s="84" t="s">
        <v>339</v>
      </c>
      <c r="H955" s="85" t="s">
        <v>1106</v>
      </c>
    </row>
    <row r="956" spans="6:8" x14ac:dyDescent="0.2">
      <c r="F956" s="83" t="s">
        <v>164</v>
      </c>
      <c r="G956" s="84" t="s">
        <v>341</v>
      </c>
      <c r="H956" s="85" t="s">
        <v>1107</v>
      </c>
    </row>
    <row r="957" spans="6:8" x14ac:dyDescent="0.2">
      <c r="F957" s="83" t="s">
        <v>164</v>
      </c>
      <c r="G957" s="84" t="s">
        <v>341</v>
      </c>
      <c r="H957" s="85" t="s">
        <v>1048</v>
      </c>
    </row>
    <row r="958" spans="6:8" x14ac:dyDescent="0.2">
      <c r="F958" s="83" t="s">
        <v>167</v>
      </c>
      <c r="G958" s="84" t="s">
        <v>343</v>
      </c>
      <c r="H958" s="85" t="s">
        <v>1108</v>
      </c>
    </row>
    <row r="959" spans="6:8" x14ac:dyDescent="0.2">
      <c r="F959" s="83" t="s">
        <v>167</v>
      </c>
      <c r="G959" s="84" t="s">
        <v>343</v>
      </c>
      <c r="H959" s="85" t="s">
        <v>1109</v>
      </c>
    </row>
    <row r="960" spans="6:8" x14ac:dyDescent="0.2">
      <c r="F960" s="83" t="s">
        <v>167</v>
      </c>
      <c r="G960" s="84" t="s">
        <v>343</v>
      </c>
      <c r="H960" s="85" t="s">
        <v>1110</v>
      </c>
    </row>
    <row r="961" spans="6:8" x14ac:dyDescent="0.2">
      <c r="F961" s="83" t="s">
        <v>167</v>
      </c>
      <c r="G961" s="84" t="s">
        <v>343</v>
      </c>
      <c r="H961" s="85" t="s">
        <v>1111</v>
      </c>
    </row>
    <row r="962" spans="6:8" x14ac:dyDescent="0.2">
      <c r="F962" s="83" t="s">
        <v>167</v>
      </c>
      <c r="G962" s="84" t="s">
        <v>343</v>
      </c>
      <c r="H962" s="85" t="s">
        <v>989</v>
      </c>
    </row>
    <row r="963" spans="6:8" x14ac:dyDescent="0.2">
      <c r="F963" s="83" t="s">
        <v>167</v>
      </c>
      <c r="G963" s="84" t="s">
        <v>343</v>
      </c>
      <c r="H963" s="85" t="s">
        <v>1112</v>
      </c>
    </row>
    <row r="964" spans="6:8" x14ac:dyDescent="0.2">
      <c r="F964" s="83" t="s">
        <v>167</v>
      </c>
      <c r="G964" s="84" t="s">
        <v>343</v>
      </c>
      <c r="H964" s="85" t="s">
        <v>1113</v>
      </c>
    </row>
    <row r="965" spans="6:8" x14ac:dyDescent="0.2">
      <c r="F965" s="83" t="s">
        <v>167</v>
      </c>
      <c r="G965" s="84" t="s">
        <v>343</v>
      </c>
      <c r="H965" s="85" t="s">
        <v>1114</v>
      </c>
    </row>
    <row r="966" spans="6:8" x14ac:dyDescent="0.2">
      <c r="F966" s="83" t="s">
        <v>167</v>
      </c>
      <c r="G966" s="84" t="s">
        <v>343</v>
      </c>
      <c r="H966" s="85" t="s">
        <v>1115</v>
      </c>
    </row>
    <row r="967" spans="6:8" x14ac:dyDescent="0.2">
      <c r="F967" s="83" t="s">
        <v>167</v>
      </c>
      <c r="G967" s="84" t="s">
        <v>343</v>
      </c>
      <c r="H967" s="85" t="s">
        <v>1116</v>
      </c>
    </row>
    <row r="968" spans="6:8" x14ac:dyDescent="0.2">
      <c r="F968" s="83" t="s">
        <v>167</v>
      </c>
      <c r="G968" s="84" t="s">
        <v>343</v>
      </c>
      <c r="H968" s="85" t="s">
        <v>1117</v>
      </c>
    </row>
    <row r="969" spans="6:8" x14ac:dyDescent="0.2">
      <c r="F969" s="83" t="s">
        <v>167</v>
      </c>
      <c r="G969" s="84" t="s">
        <v>167</v>
      </c>
      <c r="H969" s="85" t="s">
        <v>167</v>
      </c>
    </row>
    <row r="970" spans="6:8" x14ac:dyDescent="0.2">
      <c r="F970" s="83" t="s">
        <v>167</v>
      </c>
      <c r="G970" s="84" t="s">
        <v>167</v>
      </c>
      <c r="H970" s="85" t="s">
        <v>1118</v>
      </c>
    </row>
    <row r="971" spans="6:8" x14ac:dyDescent="0.2">
      <c r="F971" s="83" t="s">
        <v>167</v>
      </c>
      <c r="G971" s="84" t="s">
        <v>167</v>
      </c>
      <c r="H971" s="85" t="s">
        <v>1119</v>
      </c>
    </row>
    <row r="972" spans="6:8" x14ac:dyDescent="0.2">
      <c r="F972" s="83" t="s">
        <v>167</v>
      </c>
      <c r="G972" s="84" t="s">
        <v>167</v>
      </c>
      <c r="H972" s="85" t="s">
        <v>1120</v>
      </c>
    </row>
    <row r="973" spans="6:8" x14ac:dyDescent="0.2">
      <c r="F973" s="83" t="s">
        <v>167</v>
      </c>
      <c r="G973" s="84" t="s">
        <v>167</v>
      </c>
      <c r="H973" s="85" t="s">
        <v>1121</v>
      </c>
    </row>
    <row r="974" spans="6:8" x14ac:dyDescent="0.2">
      <c r="F974" s="83" t="s">
        <v>167</v>
      </c>
      <c r="G974" s="84" t="s">
        <v>167</v>
      </c>
      <c r="H974" s="85" t="s">
        <v>1122</v>
      </c>
    </row>
    <row r="975" spans="6:8" x14ac:dyDescent="0.2">
      <c r="F975" s="83" t="s">
        <v>167</v>
      </c>
      <c r="G975" s="84" t="s">
        <v>167</v>
      </c>
      <c r="H975" s="85" t="s">
        <v>1113</v>
      </c>
    </row>
    <row r="976" spans="6:8" x14ac:dyDescent="0.2">
      <c r="F976" s="83" t="s">
        <v>167</v>
      </c>
      <c r="G976" s="84" t="s">
        <v>167</v>
      </c>
      <c r="H976" s="85" t="s">
        <v>1123</v>
      </c>
    </row>
    <row r="977" spans="6:8" x14ac:dyDescent="0.2">
      <c r="F977" s="83" t="s">
        <v>167</v>
      </c>
      <c r="G977" s="84" t="s">
        <v>167</v>
      </c>
      <c r="H977" s="85" t="s">
        <v>1124</v>
      </c>
    </row>
    <row r="978" spans="6:8" x14ac:dyDescent="0.2">
      <c r="F978" s="83" t="s">
        <v>167</v>
      </c>
      <c r="G978" s="84" t="s">
        <v>167</v>
      </c>
      <c r="H978" s="85" t="s">
        <v>1125</v>
      </c>
    </row>
    <row r="979" spans="6:8" x14ac:dyDescent="0.2">
      <c r="F979" s="83" t="s">
        <v>167</v>
      </c>
      <c r="G979" s="84" t="s">
        <v>167</v>
      </c>
      <c r="H979" s="85" t="s">
        <v>941</v>
      </c>
    </row>
    <row r="980" spans="6:8" x14ac:dyDescent="0.2">
      <c r="F980" s="83" t="s">
        <v>167</v>
      </c>
      <c r="G980" s="84" t="s">
        <v>167</v>
      </c>
      <c r="H980" s="85" t="s">
        <v>1126</v>
      </c>
    </row>
    <row r="981" spans="6:8" x14ac:dyDescent="0.2">
      <c r="F981" s="83" t="s">
        <v>167</v>
      </c>
      <c r="G981" s="84" t="s">
        <v>167</v>
      </c>
      <c r="H981" s="85" t="s">
        <v>1127</v>
      </c>
    </row>
    <row r="982" spans="6:8" x14ac:dyDescent="0.2">
      <c r="F982" s="83" t="s">
        <v>167</v>
      </c>
      <c r="G982" s="84" t="s">
        <v>167</v>
      </c>
      <c r="H982" s="85" t="s">
        <v>1128</v>
      </c>
    </row>
    <row r="983" spans="6:8" x14ac:dyDescent="0.2">
      <c r="F983" s="83" t="s">
        <v>167</v>
      </c>
      <c r="G983" s="84" t="s">
        <v>346</v>
      </c>
      <c r="H983" s="85" t="s">
        <v>1129</v>
      </c>
    </row>
    <row r="984" spans="6:8" x14ac:dyDescent="0.2">
      <c r="F984" s="83" t="s">
        <v>167</v>
      </c>
      <c r="G984" s="84" t="s">
        <v>346</v>
      </c>
      <c r="H984" s="85" t="s">
        <v>1130</v>
      </c>
    </row>
    <row r="985" spans="6:8" x14ac:dyDescent="0.2">
      <c r="F985" s="83" t="s">
        <v>167</v>
      </c>
      <c r="G985" s="84" t="s">
        <v>346</v>
      </c>
      <c r="H985" s="85" t="s">
        <v>1131</v>
      </c>
    </row>
    <row r="986" spans="6:8" x14ac:dyDescent="0.2">
      <c r="F986" s="83" t="s">
        <v>167</v>
      </c>
      <c r="G986" s="84" t="s">
        <v>346</v>
      </c>
      <c r="H986" s="85" t="s">
        <v>346</v>
      </c>
    </row>
    <row r="987" spans="6:8" x14ac:dyDescent="0.2">
      <c r="F987" s="83" t="s">
        <v>167</v>
      </c>
      <c r="G987" s="84" t="s">
        <v>346</v>
      </c>
      <c r="H987" s="85" t="s">
        <v>307</v>
      </c>
    </row>
    <row r="988" spans="6:8" x14ac:dyDescent="0.2">
      <c r="F988" s="83" t="s">
        <v>167</v>
      </c>
      <c r="G988" s="84" t="s">
        <v>348</v>
      </c>
      <c r="H988" s="85" t="s">
        <v>1132</v>
      </c>
    </row>
    <row r="989" spans="6:8" x14ac:dyDescent="0.2">
      <c r="F989" s="83" t="s">
        <v>167</v>
      </c>
      <c r="G989" s="84" t="s">
        <v>348</v>
      </c>
      <c r="H989" s="85" t="s">
        <v>348</v>
      </c>
    </row>
    <row r="990" spans="6:8" x14ac:dyDescent="0.2">
      <c r="F990" s="83" t="s">
        <v>167</v>
      </c>
      <c r="G990" s="84" t="s">
        <v>348</v>
      </c>
      <c r="H990" s="85" t="s">
        <v>1133</v>
      </c>
    </row>
    <row r="991" spans="6:8" x14ac:dyDescent="0.2">
      <c r="F991" s="83" t="s">
        <v>167</v>
      </c>
      <c r="G991" s="84" t="s">
        <v>348</v>
      </c>
      <c r="H991" s="85" t="s">
        <v>285</v>
      </c>
    </row>
    <row r="992" spans="6:8" x14ac:dyDescent="0.2">
      <c r="F992" s="83" t="s">
        <v>167</v>
      </c>
      <c r="G992" s="84" t="s">
        <v>348</v>
      </c>
      <c r="H992" s="85" t="s">
        <v>1134</v>
      </c>
    </row>
    <row r="993" spans="6:8" x14ac:dyDescent="0.2">
      <c r="F993" s="83" t="s">
        <v>167</v>
      </c>
      <c r="G993" s="84" t="s">
        <v>349</v>
      </c>
      <c r="H993" s="85" t="s">
        <v>1135</v>
      </c>
    </row>
    <row r="994" spans="6:8" x14ac:dyDescent="0.2">
      <c r="F994" s="83" t="s">
        <v>167</v>
      </c>
      <c r="G994" s="84" t="s">
        <v>349</v>
      </c>
      <c r="H994" s="85" t="s">
        <v>1136</v>
      </c>
    </row>
    <row r="995" spans="6:8" x14ac:dyDescent="0.2">
      <c r="F995" s="83" t="s">
        <v>167</v>
      </c>
      <c r="G995" s="84" t="s">
        <v>349</v>
      </c>
      <c r="H995" s="85" t="s">
        <v>434</v>
      </c>
    </row>
    <row r="996" spans="6:8" x14ac:dyDescent="0.2">
      <c r="F996" s="83" t="s">
        <v>167</v>
      </c>
      <c r="G996" s="84" t="s">
        <v>349</v>
      </c>
      <c r="H996" s="85" t="s">
        <v>1137</v>
      </c>
    </row>
    <row r="997" spans="6:8" x14ac:dyDescent="0.2">
      <c r="F997" s="83" t="s">
        <v>167</v>
      </c>
      <c r="G997" s="84" t="s">
        <v>349</v>
      </c>
      <c r="H997" s="85" t="s">
        <v>349</v>
      </c>
    </row>
    <row r="998" spans="6:8" x14ac:dyDescent="0.2">
      <c r="F998" s="83" t="s">
        <v>167</v>
      </c>
      <c r="G998" s="84" t="s">
        <v>349</v>
      </c>
      <c r="H998" s="85" t="s">
        <v>1885</v>
      </c>
    </row>
    <row r="999" spans="6:8" x14ac:dyDescent="0.2">
      <c r="F999" s="83" t="s">
        <v>167</v>
      </c>
      <c r="G999" s="84" t="s">
        <v>349</v>
      </c>
      <c r="H999" s="85" t="s">
        <v>1138</v>
      </c>
    </row>
    <row r="1000" spans="6:8" x14ac:dyDescent="0.2">
      <c r="F1000" s="83" t="s">
        <v>167</v>
      </c>
      <c r="G1000" s="84" t="s">
        <v>349</v>
      </c>
      <c r="H1000" s="85" t="s">
        <v>1139</v>
      </c>
    </row>
    <row r="1001" spans="6:8" x14ac:dyDescent="0.2">
      <c r="F1001" s="83" t="s">
        <v>170</v>
      </c>
      <c r="G1001" s="84" t="s">
        <v>351</v>
      </c>
      <c r="H1001" s="85" t="s">
        <v>413</v>
      </c>
    </row>
    <row r="1002" spans="6:8" x14ac:dyDescent="0.2">
      <c r="F1002" s="83" t="s">
        <v>170</v>
      </c>
      <c r="G1002" s="84" t="s">
        <v>351</v>
      </c>
      <c r="H1002" s="85" t="s">
        <v>1140</v>
      </c>
    </row>
    <row r="1003" spans="6:8" x14ac:dyDescent="0.2">
      <c r="F1003" s="83" t="s">
        <v>170</v>
      </c>
      <c r="G1003" s="84" t="s">
        <v>351</v>
      </c>
      <c r="H1003" s="85" t="s">
        <v>360</v>
      </c>
    </row>
    <row r="1004" spans="6:8" x14ac:dyDescent="0.2">
      <c r="F1004" s="83" t="s">
        <v>170</v>
      </c>
      <c r="G1004" s="84" t="s">
        <v>351</v>
      </c>
      <c r="H1004" s="85" t="s">
        <v>1141</v>
      </c>
    </row>
    <row r="1005" spans="6:8" x14ac:dyDescent="0.2">
      <c r="F1005" s="83" t="s">
        <v>170</v>
      </c>
      <c r="G1005" s="84" t="s">
        <v>351</v>
      </c>
      <c r="H1005" s="85" t="s">
        <v>351</v>
      </c>
    </row>
    <row r="1006" spans="6:8" x14ac:dyDescent="0.2">
      <c r="F1006" s="83" t="s">
        <v>170</v>
      </c>
      <c r="G1006" s="84" t="s">
        <v>351</v>
      </c>
      <c r="H1006" s="85" t="s">
        <v>1142</v>
      </c>
    </row>
    <row r="1007" spans="6:8" x14ac:dyDescent="0.2">
      <c r="F1007" s="83" t="s">
        <v>170</v>
      </c>
      <c r="G1007" s="84" t="s">
        <v>351</v>
      </c>
      <c r="H1007" s="85" t="s">
        <v>1143</v>
      </c>
    </row>
    <row r="1008" spans="6:8" x14ac:dyDescent="0.2">
      <c r="F1008" s="83" t="s">
        <v>170</v>
      </c>
      <c r="G1008" s="84" t="s">
        <v>351</v>
      </c>
      <c r="H1008" s="85" t="s">
        <v>1144</v>
      </c>
    </row>
    <row r="1009" spans="6:8" x14ac:dyDescent="0.2">
      <c r="F1009" s="83" t="s">
        <v>170</v>
      </c>
      <c r="G1009" s="84" t="s">
        <v>351</v>
      </c>
      <c r="H1009" s="85" t="s">
        <v>226</v>
      </c>
    </row>
    <row r="1010" spans="6:8" x14ac:dyDescent="0.2">
      <c r="F1010" s="83" t="s">
        <v>170</v>
      </c>
      <c r="G1010" s="84" t="s">
        <v>351</v>
      </c>
      <c r="H1010" s="85" t="s">
        <v>1145</v>
      </c>
    </row>
    <row r="1011" spans="6:8" x14ac:dyDescent="0.2">
      <c r="F1011" s="83" t="s">
        <v>170</v>
      </c>
      <c r="G1011" s="84" t="s">
        <v>351</v>
      </c>
      <c r="H1011" s="85" t="s">
        <v>1146</v>
      </c>
    </row>
    <row r="1012" spans="6:8" x14ac:dyDescent="0.2">
      <c r="F1012" s="83" t="s">
        <v>170</v>
      </c>
      <c r="G1012" s="84" t="s">
        <v>351</v>
      </c>
      <c r="H1012" s="85" t="s">
        <v>1147</v>
      </c>
    </row>
    <row r="1013" spans="6:8" x14ac:dyDescent="0.2">
      <c r="F1013" s="83" t="s">
        <v>170</v>
      </c>
      <c r="G1013" s="84" t="s">
        <v>351</v>
      </c>
      <c r="H1013" s="85" t="s">
        <v>1148</v>
      </c>
    </row>
    <row r="1014" spans="6:8" x14ac:dyDescent="0.2">
      <c r="F1014" s="83" t="s">
        <v>170</v>
      </c>
      <c r="G1014" s="84" t="s">
        <v>351</v>
      </c>
      <c r="H1014" s="85" t="s">
        <v>1149</v>
      </c>
    </row>
    <row r="1015" spans="6:8" x14ac:dyDescent="0.2">
      <c r="F1015" s="83" t="s">
        <v>170</v>
      </c>
      <c r="G1015" s="84" t="s">
        <v>351</v>
      </c>
      <c r="H1015" s="85" t="s">
        <v>1150</v>
      </c>
    </row>
    <row r="1016" spans="6:8" x14ac:dyDescent="0.2">
      <c r="F1016" s="83" t="s">
        <v>170</v>
      </c>
      <c r="G1016" s="84" t="s">
        <v>353</v>
      </c>
      <c r="H1016" s="85" t="s">
        <v>353</v>
      </c>
    </row>
    <row r="1017" spans="6:8" x14ac:dyDescent="0.2">
      <c r="F1017" s="83" t="s">
        <v>170</v>
      </c>
      <c r="G1017" s="84" t="s">
        <v>353</v>
      </c>
      <c r="H1017" s="85" t="s">
        <v>1151</v>
      </c>
    </row>
    <row r="1018" spans="6:8" x14ac:dyDescent="0.2">
      <c r="F1018" s="83" t="s">
        <v>170</v>
      </c>
      <c r="G1018" s="84" t="s">
        <v>353</v>
      </c>
      <c r="H1018" s="85" t="s">
        <v>1152</v>
      </c>
    </row>
    <row r="1019" spans="6:8" x14ac:dyDescent="0.2">
      <c r="F1019" s="83" t="s">
        <v>170</v>
      </c>
      <c r="G1019" s="84" t="s">
        <v>353</v>
      </c>
      <c r="H1019" s="85" t="s">
        <v>1153</v>
      </c>
    </row>
    <row r="1020" spans="6:8" x14ac:dyDescent="0.2">
      <c r="F1020" s="83" t="s">
        <v>170</v>
      </c>
      <c r="G1020" s="84" t="s">
        <v>353</v>
      </c>
      <c r="H1020" s="85" t="s">
        <v>1154</v>
      </c>
    </row>
    <row r="1021" spans="6:8" x14ac:dyDescent="0.2">
      <c r="F1021" s="83" t="s">
        <v>170</v>
      </c>
      <c r="G1021" s="84" t="s">
        <v>353</v>
      </c>
      <c r="H1021" s="85" t="s">
        <v>1155</v>
      </c>
    </row>
    <row r="1022" spans="6:8" x14ac:dyDescent="0.2">
      <c r="F1022" s="83" t="s">
        <v>170</v>
      </c>
      <c r="G1022" s="84" t="s">
        <v>355</v>
      </c>
      <c r="H1022" s="85" t="s">
        <v>1156</v>
      </c>
    </row>
    <row r="1023" spans="6:8" x14ac:dyDescent="0.2">
      <c r="F1023" s="83" t="s">
        <v>170</v>
      </c>
      <c r="G1023" s="84" t="s">
        <v>355</v>
      </c>
      <c r="H1023" s="85" t="s">
        <v>1157</v>
      </c>
    </row>
    <row r="1024" spans="6:8" x14ac:dyDescent="0.2">
      <c r="F1024" s="83" t="s">
        <v>170</v>
      </c>
      <c r="G1024" s="84" t="s">
        <v>355</v>
      </c>
      <c r="H1024" s="85" t="s">
        <v>355</v>
      </c>
    </row>
    <row r="1025" spans="6:8" x14ac:dyDescent="0.2">
      <c r="F1025" s="83" t="s">
        <v>170</v>
      </c>
      <c r="G1025" s="84" t="s">
        <v>355</v>
      </c>
      <c r="H1025" s="85" t="s">
        <v>1158</v>
      </c>
    </row>
    <row r="1026" spans="6:8" x14ac:dyDescent="0.2">
      <c r="F1026" s="83" t="s">
        <v>170</v>
      </c>
      <c r="G1026" s="84" t="s">
        <v>355</v>
      </c>
      <c r="H1026" s="85" t="s">
        <v>1159</v>
      </c>
    </row>
    <row r="1027" spans="6:8" x14ac:dyDescent="0.2">
      <c r="F1027" s="83" t="s">
        <v>170</v>
      </c>
      <c r="G1027" s="84" t="s">
        <v>355</v>
      </c>
      <c r="H1027" s="85" t="s">
        <v>1160</v>
      </c>
    </row>
    <row r="1028" spans="6:8" x14ac:dyDescent="0.2">
      <c r="F1028" s="83" t="s">
        <v>170</v>
      </c>
      <c r="G1028" s="84" t="s">
        <v>355</v>
      </c>
      <c r="H1028" s="85" t="s">
        <v>1161</v>
      </c>
    </row>
    <row r="1029" spans="6:8" x14ac:dyDescent="0.2">
      <c r="F1029" s="83" t="s">
        <v>170</v>
      </c>
      <c r="G1029" s="84" t="s">
        <v>355</v>
      </c>
      <c r="H1029" s="85" t="s">
        <v>1162</v>
      </c>
    </row>
    <row r="1030" spans="6:8" x14ac:dyDescent="0.2">
      <c r="F1030" s="83" t="s">
        <v>170</v>
      </c>
      <c r="G1030" s="84" t="s">
        <v>355</v>
      </c>
      <c r="H1030" s="85" t="s">
        <v>1163</v>
      </c>
    </row>
    <row r="1031" spans="6:8" x14ac:dyDescent="0.2">
      <c r="F1031" s="83" t="s">
        <v>170</v>
      </c>
      <c r="G1031" s="84" t="s">
        <v>357</v>
      </c>
      <c r="H1031" s="85" t="s">
        <v>1164</v>
      </c>
    </row>
    <row r="1032" spans="6:8" x14ac:dyDescent="0.2">
      <c r="F1032" s="83" t="s">
        <v>170</v>
      </c>
      <c r="G1032" s="84" t="s">
        <v>357</v>
      </c>
      <c r="H1032" s="85" t="s">
        <v>721</v>
      </c>
    </row>
    <row r="1033" spans="6:8" x14ac:dyDescent="0.2">
      <c r="F1033" s="83" t="s">
        <v>170</v>
      </c>
      <c r="G1033" s="84" t="s">
        <v>357</v>
      </c>
      <c r="H1033" s="85" t="s">
        <v>1165</v>
      </c>
    </row>
    <row r="1034" spans="6:8" x14ac:dyDescent="0.2">
      <c r="F1034" s="83" t="s">
        <v>170</v>
      </c>
      <c r="G1034" s="84" t="s">
        <v>357</v>
      </c>
      <c r="H1034" s="85" t="s">
        <v>1166</v>
      </c>
    </row>
    <row r="1035" spans="6:8" x14ac:dyDescent="0.2">
      <c r="F1035" s="83" t="s">
        <v>170</v>
      </c>
      <c r="G1035" s="84" t="s">
        <v>357</v>
      </c>
      <c r="H1035" s="85" t="s">
        <v>1167</v>
      </c>
    </row>
    <row r="1036" spans="6:8" x14ac:dyDescent="0.2">
      <c r="F1036" s="83" t="s">
        <v>170</v>
      </c>
      <c r="G1036" s="84" t="s">
        <v>357</v>
      </c>
      <c r="H1036" s="85" t="s">
        <v>1168</v>
      </c>
    </row>
    <row r="1037" spans="6:8" x14ac:dyDescent="0.2">
      <c r="F1037" s="83" t="s">
        <v>170</v>
      </c>
      <c r="G1037" s="84" t="s">
        <v>357</v>
      </c>
      <c r="H1037" s="85" t="s">
        <v>1169</v>
      </c>
    </row>
    <row r="1038" spans="6:8" x14ac:dyDescent="0.2">
      <c r="F1038" s="83" t="s">
        <v>170</v>
      </c>
      <c r="G1038" s="84" t="s">
        <v>357</v>
      </c>
      <c r="H1038" s="85" t="s">
        <v>1170</v>
      </c>
    </row>
    <row r="1039" spans="6:8" x14ac:dyDescent="0.2">
      <c r="F1039" s="83" t="s">
        <v>170</v>
      </c>
      <c r="G1039" s="84" t="s">
        <v>357</v>
      </c>
      <c r="H1039" s="85" t="s">
        <v>1171</v>
      </c>
    </row>
    <row r="1040" spans="6:8" x14ac:dyDescent="0.2">
      <c r="F1040" s="83" t="s">
        <v>170</v>
      </c>
      <c r="G1040" s="84" t="s">
        <v>357</v>
      </c>
      <c r="H1040" s="85" t="s">
        <v>1172</v>
      </c>
    </row>
    <row r="1041" spans="6:8" x14ac:dyDescent="0.2">
      <c r="F1041" s="83" t="s">
        <v>170</v>
      </c>
      <c r="G1041" s="84" t="s">
        <v>357</v>
      </c>
      <c r="H1041" s="85" t="s">
        <v>1173</v>
      </c>
    </row>
    <row r="1042" spans="6:8" x14ac:dyDescent="0.2">
      <c r="F1042" s="83" t="s">
        <v>170</v>
      </c>
      <c r="G1042" s="84" t="s">
        <v>357</v>
      </c>
      <c r="H1042" s="85" t="s">
        <v>1174</v>
      </c>
    </row>
    <row r="1043" spans="6:8" x14ac:dyDescent="0.2">
      <c r="F1043" s="83" t="s">
        <v>170</v>
      </c>
      <c r="G1043" s="84" t="s">
        <v>357</v>
      </c>
      <c r="H1043" s="85" t="s">
        <v>357</v>
      </c>
    </row>
    <row r="1044" spans="6:8" x14ac:dyDescent="0.2">
      <c r="F1044" s="83" t="s">
        <v>170</v>
      </c>
      <c r="G1044" s="84" t="s">
        <v>357</v>
      </c>
      <c r="H1044" s="85" t="s">
        <v>1175</v>
      </c>
    </row>
    <row r="1045" spans="6:8" x14ac:dyDescent="0.2">
      <c r="F1045" s="83" t="s">
        <v>170</v>
      </c>
      <c r="G1045" s="84" t="s">
        <v>357</v>
      </c>
      <c r="H1045" s="85" t="s">
        <v>1176</v>
      </c>
    </row>
    <row r="1046" spans="6:8" x14ac:dyDescent="0.2">
      <c r="F1046" s="83" t="s">
        <v>170</v>
      </c>
      <c r="G1046" s="84" t="s">
        <v>357</v>
      </c>
      <c r="H1046" s="85" t="s">
        <v>1177</v>
      </c>
    </row>
    <row r="1047" spans="6:8" x14ac:dyDescent="0.2">
      <c r="F1047" s="83" t="s">
        <v>170</v>
      </c>
      <c r="G1047" s="84" t="s">
        <v>357</v>
      </c>
      <c r="H1047" s="85" t="s">
        <v>1178</v>
      </c>
    </row>
    <row r="1048" spans="6:8" x14ac:dyDescent="0.2">
      <c r="F1048" s="83" t="s">
        <v>170</v>
      </c>
      <c r="G1048" s="84" t="s">
        <v>357</v>
      </c>
      <c r="H1048" s="85" t="s">
        <v>1179</v>
      </c>
    </row>
    <row r="1049" spans="6:8" x14ac:dyDescent="0.2">
      <c r="F1049" s="83" t="s">
        <v>170</v>
      </c>
      <c r="G1049" s="84" t="s">
        <v>357</v>
      </c>
      <c r="H1049" s="85" t="s">
        <v>867</v>
      </c>
    </row>
    <row r="1050" spans="6:8" x14ac:dyDescent="0.2">
      <c r="F1050" s="83" t="s">
        <v>170</v>
      </c>
      <c r="G1050" s="84" t="s">
        <v>357</v>
      </c>
      <c r="H1050" s="85" t="s">
        <v>1180</v>
      </c>
    </row>
    <row r="1051" spans="6:8" x14ac:dyDescent="0.2">
      <c r="F1051" s="83" t="s">
        <v>170</v>
      </c>
      <c r="G1051" s="84" t="s">
        <v>357</v>
      </c>
      <c r="H1051" s="85" t="s">
        <v>1181</v>
      </c>
    </row>
    <row r="1052" spans="6:8" x14ac:dyDescent="0.2">
      <c r="F1052" s="83" t="s">
        <v>170</v>
      </c>
      <c r="G1052" s="84" t="s">
        <v>357</v>
      </c>
      <c r="H1052" s="85" t="s">
        <v>1182</v>
      </c>
    </row>
    <row r="1053" spans="6:8" x14ac:dyDescent="0.2">
      <c r="F1053" s="83" t="s">
        <v>170</v>
      </c>
      <c r="G1053" s="84" t="s">
        <v>357</v>
      </c>
      <c r="H1053" s="85" t="s">
        <v>564</v>
      </c>
    </row>
    <row r="1054" spans="6:8" x14ac:dyDescent="0.2">
      <c r="F1054" s="83" t="s">
        <v>170</v>
      </c>
      <c r="G1054" s="84" t="s">
        <v>357</v>
      </c>
      <c r="H1054" s="85" t="s">
        <v>1183</v>
      </c>
    </row>
    <row r="1055" spans="6:8" x14ac:dyDescent="0.2">
      <c r="F1055" s="83" t="s">
        <v>170</v>
      </c>
      <c r="G1055" s="84" t="s">
        <v>357</v>
      </c>
      <c r="H1055" s="85" t="s">
        <v>1184</v>
      </c>
    </row>
    <row r="1056" spans="6:8" x14ac:dyDescent="0.2">
      <c r="F1056" s="83" t="s">
        <v>170</v>
      </c>
      <c r="G1056" s="84" t="s">
        <v>357</v>
      </c>
      <c r="H1056" s="85" t="s">
        <v>1185</v>
      </c>
    </row>
    <row r="1057" spans="6:8" x14ac:dyDescent="0.2">
      <c r="F1057" s="83" t="s">
        <v>170</v>
      </c>
      <c r="G1057" s="84" t="s">
        <v>357</v>
      </c>
      <c r="H1057" s="85" t="s">
        <v>1186</v>
      </c>
    </row>
    <row r="1058" spans="6:8" x14ac:dyDescent="0.2">
      <c r="F1058" s="83" t="s">
        <v>170</v>
      </c>
      <c r="G1058" s="84" t="s">
        <v>357</v>
      </c>
      <c r="H1058" s="85" t="s">
        <v>1187</v>
      </c>
    </row>
    <row r="1059" spans="6:8" x14ac:dyDescent="0.2">
      <c r="F1059" s="83" t="s">
        <v>170</v>
      </c>
      <c r="G1059" s="84" t="s">
        <v>357</v>
      </c>
      <c r="H1059" s="85" t="s">
        <v>1188</v>
      </c>
    </row>
    <row r="1060" spans="6:8" x14ac:dyDescent="0.2">
      <c r="F1060" s="83" t="s">
        <v>170</v>
      </c>
      <c r="G1060" s="84" t="s">
        <v>359</v>
      </c>
      <c r="H1060" s="85" t="s">
        <v>1189</v>
      </c>
    </row>
    <row r="1061" spans="6:8" x14ac:dyDescent="0.2">
      <c r="F1061" s="83" t="s">
        <v>170</v>
      </c>
      <c r="G1061" s="84" t="s">
        <v>359</v>
      </c>
      <c r="H1061" s="85" t="s">
        <v>1190</v>
      </c>
    </row>
    <row r="1062" spans="6:8" x14ac:dyDescent="0.2">
      <c r="F1062" s="83" t="s">
        <v>170</v>
      </c>
      <c r="G1062" s="84" t="s">
        <v>359</v>
      </c>
      <c r="H1062" s="85" t="s">
        <v>1191</v>
      </c>
    </row>
    <row r="1063" spans="6:8" x14ac:dyDescent="0.2">
      <c r="F1063" s="83" t="s">
        <v>170</v>
      </c>
      <c r="G1063" s="84" t="s">
        <v>359</v>
      </c>
      <c r="H1063" s="85" t="s">
        <v>1192</v>
      </c>
    </row>
    <row r="1064" spans="6:8" x14ac:dyDescent="0.2">
      <c r="F1064" s="83" t="s">
        <v>170</v>
      </c>
      <c r="G1064" s="84" t="s">
        <v>359</v>
      </c>
      <c r="H1064" s="85" t="s">
        <v>1193</v>
      </c>
    </row>
    <row r="1065" spans="6:8" x14ac:dyDescent="0.2">
      <c r="F1065" s="83" t="s">
        <v>170</v>
      </c>
      <c r="G1065" s="84" t="s">
        <v>359</v>
      </c>
      <c r="H1065" s="85" t="s">
        <v>1194</v>
      </c>
    </row>
    <row r="1066" spans="6:8" x14ac:dyDescent="0.2">
      <c r="F1066" s="83" t="s">
        <v>170</v>
      </c>
      <c r="G1066" s="84" t="s">
        <v>359</v>
      </c>
      <c r="H1066" s="85" t="s">
        <v>1195</v>
      </c>
    </row>
    <row r="1067" spans="6:8" x14ac:dyDescent="0.2">
      <c r="F1067" s="83" t="s">
        <v>170</v>
      </c>
      <c r="G1067" s="84" t="s">
        <v>359</v>
      </c>
      <c r="H1067" s="85" t="s">
        <v>1196</v>
      </c>
    </row>
    <row r="1068" spans="6:8" x14ac:dyDescent="0.2">
      <c r="F1068" s="83" t="s">
        <v>170</v>
      </c>
      <c r="G1068" s="84" t="s">
        <v>359</v>
      </c>
      <c r="H1068" s="85" t="s">
        <v>1197</v>
      </c>
    </row>
    <row r="1069" spans="6:8" x14ac:dyDescent="0.2">
      <c r="F1069" s="83" t="s">
        <v>170</v>
      </c>
      <c r="G1069" s="84" t="s">
        <v>359</v>
      </c>
      <c r="H1069" s="85" t="s">
        <v>1198</v>
      </c>
    </row>
    <row r="1070" spans="6:8" x14ac:dyDescent="0.2">
      <c r="F1070" s="83" t="s">
        <v>170</v>
      </c>
      <c r="G1070" s="84" t="s">
        <v>359</v>
      </c>
      <c r="H1070" s="85" t="s">
        <v>359</v>
      </c>
    </row>
    <row r="1071" spans="6:8" x14ac:dyDescent="0.2">
      <c r="F1071" s="83" t="s">
        <v>170</v>
      </c>
      <c r="G1071" s="84" t="s">
        <v>359</v>
      </c>
      <c r="H1071" s="85" t="s">
        <v>1199</v>
      </c>
    </row>
    <row r="1072" spans="6:8" x14ac:dyDescent="0.2">
      <c r="F1072" s="83" t="s">
        <v>170</v>
      </c>
      <c r="G1072" s="84" t="s">
        <v>359</v>
      </c>
      <c r="H1072" s="85" t="s">
        <v>1886</v>
      </c>
    </row>
    <row r="1073" spans="6:8" x14ac:dyDescent="0.2">
      <c r="F1073" s="83" t="s">
        <v>170</v>
      </c>
      <c r="G1073" s="84" t="s">
        <v>359</v>
      </c>
      <c r="H1073" s="85" t="s">
        <v>1200</v>
      </c>
    </row>
    <row r="1074" spans="6:8" x14ac:dyDescent="0.2">
      <c r="F1074" s="83" t="s">
        <v>170</v>
      </c>
      <c r="G1074" s="84" t="s">
        <v>359</v>
      </c>
      <c r="H1074" s="85" t="s">
        <v>1201</v>
      </c>
    </row>
    <row r="1075" spans="6:8" x14ac:dyDescent="0.2">
      <c r="F1075" s="83" t="s">
        <v>170</v>
      </c>
      <c r="G1075" s="84" t="s">
        <v>359</v>
      </c>
      <c r="H1075" s="85" t="s">
        <v>1202</v>
      </c>
    </row>
    <row r="1076" spans="6:8" x14ac:dyDescent="0.2">
      <c r="F1076" s="83" t="s">
        <v>170</v>
      </c>
      <c r="G1076" s="84" t="s">
        <v>359</v>
      </c>
      <c r="H1076" s="85" t="s">
        <v>1203</v>
      </c>
    </row>
    <row r="1077" spans="6:8" x14ac:dyDescent="0.2">
      <c r="F1077" s="83" t="s">
        <v>170</v>
      </c>
      <c r="G1077" s="84" t="s">
        <v>359</v>
      </c>
      <c r="H1077" s="85" t="s">
        <v>1204</v>
      </c>
    </row>
    <row r="1078" spans="6:8" x14ac:dyDescent="0.2">
      <c r="F1078" s="83" t="s">
        <v>170</v>
      </c>
      <c r="G1078" s="84" t="s">
        <v>359</v>
      </c>
      <c r="H1078" s="85" t="s">
        <v>1205</v>
      </c>
    </row>
    <row r="1079" spans="6:8" x14ac:dyDescent="0.2">
      <c r="F1079" s="83" t="s">
        <v>170</v>
      </c>
      <c r="G1079" s="84" t="s">
        <v>359</v>
      </c>
      <c r="H1079" s="85" t="s">
        <v>1206</v>
      </c>
    </row>
    <row r="1080" spans="6:8" x14ac:dyDescent="0.2">
      <c r="F1080" s="83" t="s">
        <v>170</v>
      </c>
      <c r="G1080" s="84" t="s">
        <v>359</v>
      </c>
      <c r="H1080" s="85" t="s">
        <v>1207</v>
      </c>
    </row>
    <row r="1081" spans="6:8" x14ac:dyDescent="0.2">
      <c r="F1081" s="83" t="s">
        <v>170</v>
      </c>
      <c r="G1081" s="84" t="s">
        <v>359</v>
      </c>
      <c r="H1081" s="85" t="s">
        <v>1208</v>
      </c>
    </row>
    <row r="1082" spans="6:8" x14ac:dyDescent="0.2">
      <c r="F1082" s="83" t="s">
        <v>170</v>
      </c>
      <c r="G1082" s="84" t="s">
        <v>359</v>
      </c>
      <c r="H1082" s="85" t="s">
        <v>854</v>
      </c>
    </row>
    <row r="1083" spans="6:8" x14ac:dyDescent="0.2">
      <c r="F1083" s="83" t="s">
        <v>170</v>
      </c>
      <c r="G1083" s="84" t="s">
        <v>359</v>
      </c>
      <c r="H1083" s="85" t="s">
        <v>1209</v>
      </c>
    </row>
    <row r="1084" spans="6:8" x14ac:dyDescent="0.2">
      <c r="F1084" s="83" t="s">
        <v>170</v>
      </c>
      <c r="G1084" s="84" t="s">
        <v>359</v>
      </c>
      <c r="H1084" s="85" t="s">
        <v>1210</v>
      </c>
    </row>
    <row r="1085" spans="6:8" x14ac:dyDescent="0.2">
      <c r="F1085" s="83" t="s">
        <v>170</v>
      </c>
      <c r="G1085" s="84" t="s">
        <v>359</v>
      </c>
      <c r="H1085" s="85" t="s">
        <v>1211</v>
      </c>
    </row>
    <row r="1086" spans="6:8" x14ac:dyDescent="0.2">
      <c r="F1086" s="83" t="s">
        <v>170</v>
      </c>
      <c r="G1086" s="84" t="s">
        <v>359</v>
      </c>
      <c r="H1086" s="85" t="s">
        <v>1212</v>
      </c>
    </row>
    <row r="1087" spans="6:8" x14ac:dyDescent="0.2">
      <c r="F1087" s="83" t="s">
        <v>170</v>
      </c>
      <c r="G1087" s="84" t="s">
        <v>359</v>
      </c>
      <c r="H1087" s="85" t="s">
        <v>1213</v>
      </c>
    </row>
    <row r="1088" spans="6:8" x14ac:dyDescent="0.2">
      <c r="F1088" s="83" t="s">
        <v>170</v>
      </c>
      <c r="G1088" s="84" t="s">
        <v>359</v>
      </c>
      <c r="H1088" s="85" t="s">
        <v>1214</v>
      </c>
    </row>
    <row r="1089" spans="6:8" x14ac:dyDescent="0.2">
      <c r="F1089" s="83" t="s">
        <v>170</v>
      </c>
      <c r="G1089" s="84" t="s">
        <v>359</v>
      </c>
      <c r="H1089" s="85" t="s">
        <v>1215</v>
      </c>
    </row>
    <row r="1090" spans="6:8" x14ac:dyDescent="0.2">
      <c r="F1090" s="83" t="s">
        <v>170</v>
      </c>
      <c r="G1090" s="84" t="s">
        <v>359</v>
      </c>
      <c r="H1090" s="85" t="s">
        <v>1216</v>
      </c>
    </row>
    <row r="1091" spans="6:8" x14ac:dyDescent="0.2">
      <c r="F1091" s="83" t="s">
        <v>170</v>
      </c>
      <c r="G1091" s="84" t="s">
        <v>359</v>
      </c>
      <c r="H1091" s="85" t="s">
        <v>1217</v>
      </c>
    </row>
    <row r="1092" spans="6:8" x14ac:dyDescent="0.2">
      <c r="F1092" s="83" t="s">
        <v>170</v>
      </c>
      <c r="G1092" s="84" t="s">
        <v>359</v>
      </c>
      <c r="H1092" s="85" t="s">
        <v>366</v>
      </c>
    </row>
    <row r="1093" spans="6:8" x14ac:dyDescent="0.2">
      <c r="F1093" s="83" t="s">
        <v>170</v>
      </c>
      <c r="G1093" s="84" t="s">
        <v>359</v>
      </c>
      <c r="H1093" s="85" t="s">
        <v>407</v>
      </c>
    </row>
    <row r="1094" spans="6:8" x14ac:dyDescent="0.2">
      <c r="F1094" s="83" t="s">
        <v>170</v>
      </c>
      <c r="G1094" s="84" t="s">
        <v>170</v>
      </c>
      <c r="H1094" s="85" t="s">
        <v>1218</v>
      </c>
    </row>
    <row r="1095" spans="6:8" x14ac:dyDescent="0.2">
      <c r="F1095" s="83" t="s">
        <v>170</v>
      </c>
      <c r="G1095" s="84" t="s">
        <v>170</v>
      </c>
      <c r="H1095" s="85" t="s">
        <v>170</v>
      </c>
    </row>
    <row r="1096" spans="6:8" x14ac:dyDescent="0.2">
      <c r="F1096" s="83" t="s">
        <v>170</v>
      </c>
      <c r="G1096" s="84" t="s">
        <v>170</v>
      </c>
      <c r="H1096" s="85" t="s">
        <v>1219</v>
      </c>
    </row>
    <row r="1097" spans="6:8" x14ac:dyDescent="0.2">
      <c r="F1097" s="83" t="s">
        <v>170</v>
      </c>
      <c r="G1097" s="84" t="s">
        <v>170</v>
      </c>
      <c r="H1097" s="85" t="s">
        <v>1220</v>
      </c>
    </row>
    <row r="1098" spans="6:8" x14ac:dyDescent="0.2">
      <c r="F1098" s="83" t="s">
        <v>170</v>
      </c>
      <c r="G1098" s="84" t="s">
        <v>362</v>
      </c>
      <c r="H1098" s="85" t="s">
        <v>1221</v>
      </c>
    </row>
    <row r="1099" spans="6:8" x14ac:dyDescent="0.2">
      <c r="F1099" s="83" t="s">
        <v>170</v>
      </c>
      <c r="G1099" s="84" t="s">
        <v>362</v>
      </c>
      <c r="H1099" s="85" t="s">
        <v>1222</v>
      </c>
    </row>
    <row r="1100" spans="6:8" x14ac:dyDescent="0.2">
      <c r="F1100" s="83" t="s">
        <v>170</v>
      </c>
      <c r="G1100" s="84" t="s">
        <v>362</v>
      </c>
      <c r="H1100" s="85" t="s">
        <v>1223</v>
      </c>
    </row>
    <row r="1101" spans="6:8" x14ac:dyDescent="0.2">
      <c r="F1101" s="83" t="s">
        <v>170</v>
      </c>
      <c r="G1101" s="84" t="s">
        <v>362</v>
      </c>
      <c r="H1101" s="85" t="s">
        <v>1224</v>
      </c>
    </row>
    <row r="1102" spans="6:8" x14ac:dyDescent="0.2">
      <c r="F1102" s="83" t="s">
        <v>170</v>
      </c>
      <c r="G1102" s="84" t="s">
        <v>362</v>
      </c>
      <c r="H1102" s="85" t="s">
        <v>1225</v>
      </c>
    </row>
    <row r="1103" spans="6:8" x14ac:dyDescent="0.2">
      <c r="F1103" s="83" t="s">
        <v>170</v>
      </c>
      <c r="G1103" s="84" t="s">
        <v>362</v>
      </c>
      <c r="H1103" s="85" t="s">
        <v>1226</v>
      </c>
    </row>
    <row r="1104" spans="6:8" x14ac:dyDescent="0.2">
      <c r="F1104" s="83" t="s">
        <v>170</v>
      </c>
      <c r="G1104" s="84" t="s">
        <v>362</v>
      </c>
      <c r="H1104" s="85" t="s">
        <v>1227</v>
      </c>
    </row>
    <row r="1105" spans="6:8" x14ac:dyDescent="0.2">
      <c r="F1105" s="83" t="s">
        <v>170</v>
      </c>
      <c r="G1105" s="84" t="s">
        <v>362</v>
      </c>
      <c r="H1105" s="85" t="s">
        <v>362</v>
      </c>
    </row>
    <row r="1106" spans="6:8" x14ac:dyDescent="0.2">
      <c r="F1106" s="83" t="s">
        <v>170</v>
      </c>
      <c r="G1106" s="84" t="s">
        <v>364</v>
      </c>
      <c r="H1106" s="85" t="s">
        <v>312</v>
      </c>
    </row>
    <row r="1107" spans="6:8" x14ac:dyDescent="0.2">
      <c r="F1107" s="83" t="s">
        <v>170</v>
      </c>
      <c r="G1107" s="84" t="s">
        <v>364</v>
      </c>
      <c r="H1107" s="85" t="s">
        <v>1228</v>
      </c>
    </row>
    <row r="1108" spans="6:8" x14ac:dyDescent="0.2">
      <c r="F1108" s="83" t="s">
        <v>170</v>
      </c>
      <c r="G1108" s="84" t="s">
        <v>364</v>
      </c>
      <c r="H1108" s="85" t="s">
        <v>1229</v>
      </c>
    </row>
    <row r="1109" spans="6:8" x14ac:dyDescent="0.2">
      <c r="F1109" s="83" t="s">
        <v>170</v>
      </c>
      <c r="G1109" s="84" t="s">
        <v>364</v>
      </c>
      <c r="H1109" s="85" t="s">
        <v>239</v>
      </c>
    </row>
    <row r="1110" spans="6:8" x14ac:dyDescent="0.2">
      <c r="F1110" s="83" t="s">
        <v>170</v>
      </c>
      <c r="G1110" s="84" t="s">
        <v>364</v>
      </c>
      <c r="H1110" s="85" t="s">
        <v>1009</v>
      </c>
    </row>
    <row r="1111" spans="6:8" x14ac:dyDescent="0.2">
      <c r="F1111" s="83" t="s">
        <v>170</v>
      </c>
      <c r="G1111" s="84" t="s">
        <v>364</v>
      </c>
      <c r="H1111" s="85" t="s">
        <v>1230</v>
      </c>
    </row>
    <row r="1112" spans="6:8" x14ac:dyDescent="0.2">
      <c r="F1112" s="83" t="s">
        <v>170</v>
      </c>
      <c r="G1112" s="84" t="s">
        <v>364</v>
      </c>
      <c r="H1112" s="85" t="s">
        <v>1231</v>
      </c>
    </row>
    <row r="1113" spans="6:8" x14ac:dyDescent="0.2">
      <c r="F1113" s="83" t="s">
        <v>170</v>
      </c>
      <c r="G1113" s="84" t="s">
        <v>364</v>
      </c>
      <c r="H1113" s="85" t="s">
        <v>1232</v>
      </c>
    </row>
    <row r="1114" spans="6:8" x14ac:dyDescent="0.2">
      <c r="F1114" s="83" t="s">
        <v>170</v>
      </c>
      <c r="G1114" s="84" t="s">
        <v>364</v>
      </c>
      <c r="H1114" s="85" t="s">
        <v>364</v>
      </c>
    </row>
    <row r="1115" spans="6:8" x14ac:dyDescent="0.2">
      <c r="F1115" s="83" t="s">
        <v>170</v>
      </c>
      <c r="G1115" s="84" t="s">
        <v>366</v>
      </c>
      <c r="H1115" s="85" t="s">
        <v>1233</v>
      </c>
    </row>
    <row r="1116" spans="6:8" x14ac:dyDescent="0.2">
      <c r="F1116" s="83" t="s">
        <v>170</v>
      </c>
      <c r="G1116" s="84" t="s">
        <v>366</v>
      </c>
      <c r="H1116" s="85" t="s">
        <v>1234</v>
      </c>
    </row>
    <row r="1117" spans="6:8" x14ac:dyDescent="0.2">
      <c r="F1117" s="83" t="s">
        <v>170</v>
      </c>
      <c r="G1117" s="84" t="s">
        <v>366</v>
      </c>
      <c r="H1117" s="85" t="s">
        <v>1235</v>
      </c>
    </row>
    <row r="1118" spans="6:8" x14ac:dyDescent="0.2">
      <c r="F1118" s="83" t="s">
        <v>170</v>
      </c>
      <c r="G1118" s="84" t="s">
        <v>366</v>
      </c>
      <c r="H1118" s="85" t="s">
        <v>1236</v>
      </c>
    </row>
    <row r="1119" spans="6:8" x14ac:dyDescent="0.2">
      <c r="F1119" s="83" t="s">
        <v>170</v>
      </c>
      <c r="G1119" s="84" t="s">
        <v>366</v>
      </c>
      <c r="H1119" s="85" t="s">
        <v>1237</v>
      </c>
    </row>
    <row r="1120" spans="6:8" x14ac:dyDescent="0.2">
      <c r="F1120" s="83" t="s">
        <v>170</v>
      </c>
      <c r="G1120" s="84" t="s">
        <v>366</v>
      </c>
      <c r="H1120" s="85" t="s">
        <v>854</v>
      </c>
    </row>
    <row r="1121" spans="6:8" x14ac:dyDescent="0.2">
      <c r="F1121" s="83" t="s">
        <v>170</v>
      </c>
      <c r="G1121" s="84" t="s">
        <v>366</v>
      </c>
      <c r="H1121" s="85" t="s">
        <v>1238</v>
      </c>
    </row>
    <row r="1122" spans="6:8" x14ac:dyDescent="0.2">
      <c r="F1122" s="83" t="s">
        <v>170</v>
      </c>
      <c r="G1122" s="84" t="s">
        <v>366</v>
      </c>
      <c r="H1122" s="85" t="s">
        <v>1239</v>
      </c>
    </row>
    <row r="1123" spans="6:8" x14ac:dyDescent="0.2">
      <c r="F1123" s="83" t="s">
        <v>170</v>
      </c>
      <c r="G1123" s="84" t="s">
        <v>366</v>
      </c>
      <c r="H1123" s="85" t="s">
        <v>1240</v>
      </c>
    </row>
    <row r="1124" spans="6:8" x14ac:dyDescent="0.2">
      <c r="F1124" s="83" t="s">
        <v>170</v>
      </c>
      <c r="G1124" s="84" t="s">
        <v>366</v>
      </c>
      <c r="H1124" s="85" t="s">
        <v>366</v>
      </c>
    </row>
    <row r="1125" spans="6:8" x14ac:dyDescent="0.2">
      <c r="F1125" s="83" t="s">
        <v>173</v>
      </c>
      <c r="G1125" s="84" t="s">
        <v>368</v>
      </c>
      <c r="H1125" s="85" t="s">
        <v>368</v>
      </c>
    </row>
    <row r="1126" spans="6:8" x14ac:dyDescent="0.2">
      <c r="F1126" s="83" t="s">
        <v>173</v>
      </c>
      <c r="G1126" s="84" t="s">
        <v>368</v>
      </c>
      <c r="H1126" s="85" t="s">
        <v>1241</v>
      </c>
    </row>
    <row r="1127" spans="6:8" x14ac:dyDescent="0.2">
      <c r="F1127" s="83" t="s">
        <v>173</v>
      </c>
      <c r="G1127" s="84" t="s">
        <v>368</v>
      </c>
      <c r="H1127" s="85" t="s">
        <v>1242</v>
      </c>
    </row>
    <row r="1128" spans="6:8" x14ac:dyDescent="0.2">
      <c r="F1128" s="83" t="s">
        <v>173</v>
      </c>
      <c r="G1128" s="84" t="s">
        <v>368</v>
      </c>
      <c r="H1128" s="85" t="s">
        <v>1243</v>
      </c>
    </row>
    <row r="1129" spans="6:8" x14ac:dyDescent="0.2">
      <c r="F1129" s="83" t="s">
        <v>173</v>
      </c>
      <c r="G1129" s="84" t="s">
        <v>368</v>
      </c>
      <c r="H1129" s="85" t="s">
        <v>1244</v>
      </c>
    </row>
    <row r="1130" spans="6:8" x14ac:dyDescent="0.2">
      <c r="F1130" s="83" t="s">
        <v>173</v>
      </c>
      <c r="G1130" s="84" t="s">
        <v>368</v>
      </c>
      <c r="H1130" s="85" t="s">
        <v>1245</v>
      </c>
    </row>
    <row r="1131" spans="6:8" x14ac:dyDescent="0.2">
      <c r="F1131" s="83" t="s">
        <v>173</v>
      </c>
      <c r="G1131" s="84" t="s">
        <v>368</v>
      </c>
      <c r="H1131" s="85" t="s">
        <v>1246</v>
      </c>
    </row>
    <row r="1132" spans="6:8" x14ac:dyDescent="0.2">
      <c r="F1132" s="83" t="s">
        <v>173</v>
      </c>
      <c r="G1132" s="84" t="s">
        <v>368</v>
      </c>
      <c r="H1132" s="85" t="s">
        <v>1247</v>
      </c>
    </row>
    <row r="1133" spans="6:8" x14ac:dyDescent="0.2">
      <c r="F1133" s="83" t="s">
        <v>173</v>
      </c>
      <c r="G1133" s="84" t="s">
        <v>370</v>
      </c>
      <c r="H1133" s="85" t="s">
        <v>860</v>
      </c>
    </row>
    <row r="1134" spans="6:8" x14ac:dyDescent="0.2">
      <c r="F1134" s="83" t="s">
        <v>173</v>
      </c>
      <c r="G1134" s="84" t="s">
        <v>370</v>
      </c>
      <c r="H1134" s="85" t="s">
        <v>370</v>
      </c>
    </row>
    <row r="1135" spans="6:8" x14ac:dyDescent="0.2">
      <c r="F1135" s="83" t="s">
        <v>173</v>
      </c>
      <c r="G1135" s="84" t="s">
        <v>370</v>
      </c>
      <c r="H1135" s="85" t="s">
        <v>1248</v>
      </c>
    </row>
    <row r="1136" spans="6:8" x14ac:dyDescent="0.2">
      <c r="F1136" s="83" t="s">
        <v>173</v>
      </c>
      <c r="G1136" s="84" t="s">
        <v>370</v>
      </c>
      <c r="H1136" s="85" t="s">
        <v>1249</v>
      </c>
    </row>
    <row r="1137" spans="6:8" x14ac:dyDescent="0.2">
      <c r="F1137" s="83" t="s">
        <v>173</v>
      </c>
      <c r="G1137" s="84" t="s">
        <v>370</v>
      </c>
      <c r="H1137" s="85" t="s">
        <v>1250</v>
      </c>
    </row>
    <row r="1138" spans="6:8" x14ac:dyDescent="0.2">
      <c r="F1138" s="83" t="s">
        <v>173</v>
      </c>
      <c r="G1138" s="84" t="s">
        <v>370</v>
      </c>
      <c r="H1138" s="85" t="s">
        <v>1251</v>
      </c>
    </row>
    <row r="1139" spans="6:8" x14ac:dyDescent="0.2">
      <c r="F1139" s="83" t="s">
        <v>173</v>
      </c>
      <c r="G1139" s="84" t="s">
        <v>372</v>
      </c>
      <c r="H1139" s="85" t="s">
        <v>372</v>
      </c>
    </row>
    <row r="1140" spans="6:8" x14ac:dyDescent="0.2">
      <c r="F1140" s="83" t="s">
        <v>173</v>
      </c>
      <c r="G1140" s="84" t="s">
        <v>372</v>
      </c>
      <c r="H1140" s="85" t="s">
        <v>1252</v>
      </c>
    </row>
    <row r="1141" spans="6:8" x14ac:dyDescent="0.2">
      <c r="F1141" s="83" t="s">
        <v>173</v>
      </c>
      <c r="G1141" s="84" t="s">
        <v>372</v>
      </c>
      <c r="H1141" s="85" t="s">
        <v>1113</v>
      </c>
    </row>
    <row r="1142" spans="6:8" x14ac:dyDescent="0.2">
      <c r="F1142" s="83" t="s">
        <v>173</v>
      </c>
      <c r="G1142" s="84" t="s">
        <v>374</v>
      </c>
      <c r="H1142" s="85" t="s">
        <v>1253</v>
      </c>
    </row>
    <row r="1143" spans="6:8" x14ac:dyDescent="0.2">
      <c r="F1143" s="83" t="s">
        <v>173</v>
      </c>
      <c r="G1143" s="84" t="s">
        <v>376</v>
      </c>
      <c r="H1143" s="85" t="s">
        <v>1254</v>
      </c>
    </row>
    <row r="1144" spans="6:8" x14ac:dyDescent="0.2">
      <c r="F1144" s="83" t="s">
        <v>173</v>
      </c>
      <c r="G1144" s="84" t="s">
        <v>376</v>
      </c>
      <c r="H1144" s="85" t="s">
        <v>1255</v>
      </c>
    </row>
    <row r="1145" spans="6:8" x14ac:dyDescent="0.2">
      <c r="F1145" s="83" t="s">
        <v>173</v>
      </c>
      <c r="G1145" s="84" t="s">
        <v>376</v>
      </c>
      <c r="H1145" s="85" t="s">
        <v>1256</v>
      </c>
    </row>
    <row r="1146" spans="6:8" x14ac:dyDescent="0.2">
      <c r="F1146" s="83" t="s">
        <v>173</v>
      </c>
      <c r="G1146" s="84" t="s">
        <v>376</v>
      </c>
      <c r="H1146" s="85" t="s">
        <v>1199</v>
      </c>
    </row>
    <row r="1147" spans="6:8" x14ac:dyDescent="0.2">
      <c r="F1147" s="83" t="s">
        <v>173</v>
      </c>
      <c r="G1147" s="84" t="s">
        <v>376</v>
      </c>
      <c r="H1147" s="85" t="s">
        <v>1257</v>
      </c>
    </row>
    <row r="1148" spans="6:8" x14ac:dyDescent="0.2">
      <c r="F1148" s="83" t="s">
        <v>173</v>
      </c>
      <c r="G1148" s="84" t="s">
        <v>376</v>
      </c>
      <c r="H1148" s="85" t="s">
        <v>498</v>
      </c>
    </row>
    <row r="1149" spans="6:8" x14ac:dyDescent="0.2">
      <c r="F1149" s="83" t="s">
        <v>173</v>
      </c>
      <c r="G1149" s="84" t="s">
        <v>376</v>
      </c>
      <c r="H1149" s="85" t="s">
        <v>1258</v>
      </c>
    </row>
    <row r="1150" spans="6:8" x14ac:dyDescent="0.2">
      <c r="F1150" s="83" t="s">
        <v>173</v>
      </c>
      <c r="G1150" s="84" t="s">
        <v>376</v>
      </c>
      <c r="H1150" s="85" t="s">
        <v>1259</v>
      </c>
    </row>
    <row r="1151" spans="6:8" x14ac:dyDescent="0.2">
      <c r="F1151" s="83" t="s">
        <v>173</v>
      </c>
      <c r="G1151" s="84" t="s">
        <v>376</v>
      </c>
      <c r="H1151" s="85" t="s">
        <v>376</v>
      </c>
    </row>
    <row r="1152" spans="6:8" x14ac:dyDescent="0.2">
      <c r="F1152" s="83" t="s">
        <v>173</v>
      </c>
      <c r="G1152" s="84" t="s">
        <v>376</v>
      </c>
      <c r="H1152" s="85" t="s">
        <v>1260</v>
      </c>
    </row>
    <row r="1153" spans="6:8" x14ac:dyDescent="0.2">
      <c r="F1153" s="83" t="s">
        <v>173</v>
      </c>
      <c r="G1153" s="84" t="s">
        <v>376</v>
      </c>
      <c r="H1153" s="85" t="s">
        <v>1261</v>
      </c>
    </row>
    <row r="1154" spans="6:8" x14ac:dyDescent="0.2">
      <c r="F1154" s="83" t="s">
        <v>173</v>
      </c>
      <c r="G1154" s="84" t="s">
        <v>376</v>
      </c>
      <c r="H1154" s="85" t="s">
        <v>1262</v>
      </c>
    </row>
    <row r="1155" spans="6:8" x14ac:dyDescent="0.2">
      <c r="F1155" s="83" t="s">
        <v>173</v>
      </c>
      <c r="G1155" s="84" t="s">
        <v>376</v>
      </c>
      <c r="H1155" s="85" t="s">
        <v>1263</v>
      </c>
    </row>
    <row r="1156" spans="6:8" x14ac:dyDescent="0.2">
      <c r="F1156" s="83" t="s">
        <v>173</v>
      </c>
      <c r="G1156" s="84" t="s">
        <v>378</v>
      </c>
      <c r="H1156" s="85" t="s">
        <v>1264</v>
      </c>
    </row>
    <row r="1157" spans="6:8" x14ac:dyDescent="0.2">
      <c r="F1157" s="83" t="s">
        <v>173</v>
      </c>
      <c r="G1157" s="84" t="s">
        <v>378</v>
      </c>
      <c r="H1157" s="85" t="s">
        <v>1265</v>
      </c>
    </row>
    <row r="1158" spans="6:8" x14ac:dyDescent="0.2">
      <c r="F1158" s="83" t="s">
        <v>173</v>
      </c>
      <c r="G1158" s="84" t="s">
        <v>378</v>
      </c>
      <c r="H1158" s="85" t="s">
        <v>378</v>
      </c>
    </row>
    <row r="1159" spans="6:8" x14ac:dyDescent="0.2">
      <c r="F1159" s="83" t="s">
        <v>173</v>
      </c>
      <c r="G1159" s="84" t="s">
        <v>378</v>
      </c>
      <c r="H1159" s="85" t="s">
        <v>1266</v>
      </c>
    </row>
    <row r="1160" spans="6:8" x14ac:dyDescent="0.2">
      <c r="F1160" s="83" t="s">
        <v>173</v>
      </c>
      <c r="G1160" s="84" t="s">
        <v>378</v>
      </c>
      <c r="H1160" s="85" t="s">
        <v>1267</v>
      </c>
    </row>
    <row r="1161" spans="6:8" x14ac:dyDescent="0.2">
      <c r="F1161" s="83" t="s">
        <v>173</v>
      </c>
      <c r="G1161" s="84" t="s">
        <v>380</v>
      </c>
      <c r="H1161" s="85" t="s">
        <v>1268</v>
      </c>
    </row>
    <row r="1162" spans="6:8" x14ac:dyDescent="0.2">
      <c r="F1162" s="83" t="s">
        <v>173</v>
      </c>
      <c r="G1162" s="84" t="s">
        <v>380</v>
      </c>
      <c r="H1162" s="85" t="s">
        <v>1269</v>
      </c>
    </row>
    <row r="1163" spans="6:8" x14ac:dyDescent="0.2">
      <c r="F1163" s="83" t="s">
        <v>173</v>
      </c>
      <c r="G1163" s="84" t="s">
        <v>380</v>
      </c>
      <c r="H1163" s="85" t="s">
        <v>1270</v>
      </c>
    </row>
    <row r="1164" spans="6:8" x14ac:dyDescent="0.2">
      <c r="F1164" s="83" t="s">
        <v>173</v>
      </c>
      <c r="G1164" s="84" t="s">
        <v>380</v>
      </c>
      <c r="H1164" s="85" t="s">
        <v>1271</v>
      </c>
    </row>
    <row r="1165" spans="6:8" x14ac:dyDescent="0.2">
      <c r="F1165" s="83" t="s">
        <v>173</v>
      </c>
      <c r="G1165" s="84" t="s">
        <v>380</v>
      </c>
      <c r="H1165" s="85" t="s">
        <v>1272</v>
      </c>
    </row>
    <row r="1166" spans="6:8" x14ac:dyDescent="0.2">
      <c r="F1166" s="83" t="s">
        <v>173</v>
      </c>
      <c r="G1166" s="84" t="s">
        <v>380</v>
      </c>
      <c r="H1166" s="85" t="s">
        <v>1273</v>
      </c>
    </row>
    <row r="1167" spans="6:8" x14ac:dyDescent="0.2">
      <c r="F1167" s="83" t="s">
        <v>173</v>
      </c>
      <c r="G1167" s="84" t="s">
        <v>380</v>
      </c>
      <c r="H1167" s="85" t="s">
        <v>1274</v>
      </c>
    </row>
    <row r="1168" spans="6:8" x14ac:dyDescent="0.2">
      <c r="F1168" s="83" t="s">
        <v>173</v>
      </c>
      <c r="G1168" s="84" t="s">
        <v>380</v>
      </c>
      <c r="H1168" s="85" t="s">
        <v>380</v>
      </c>
    </row>
    <row r="1169" spans="6:8" x14ac:dyDescent="0.2">
      <c r="F1169" s="83" t="s">
        <v>173</v>
      </c>
      <c r="G1169" s="84" t="s">
        <v>380</v>
      </c>
      <c r="H1169" s="85" t="s">
        <v>1275</v>
      </c>
    </row>
    <row r="1170" spans="6:8" x14ac:dyDescent="0.2">
      <c r="F1170" s="83" t="s">
        <v>173</v>
      </c>
      <c r="G1170" s="84" t="s">
        <v>380</v>
      </c>
      <c r="H1170" s="85" t="s">
        <v>1276</v>
      </c>
    </row>
    <row r="1171" spans="6:8" x14ac:dyDescent="0.2">
      <c r="F1171" s="83" t="s">
        <v>173</v>
      </c>
      <c r="G1171" s="84" t="s">
        <v>380</v>
      </c>
      <c r="H1171" s="85" t="s">
        <v>1277</v>
      </c>
    </row>
    <row r="1172" spans="6:8" x14ac:dyDescent="0.2">
      <c r="F1172" s="83" t="s">
        <v>173</v>
      </c>
      <c r="G1172" s="84" t="s">
        <v>380</v>
      </c>
      <c r="H1172" s="85" t="s">
        <v>1278</v>
      </c>
    </row>
    <row r="1173" spans="6:8" x14ac:dyDescent="0.2">
      <c r="F1173" s="83" t="s">
        <v>173</v>
      </c>
      <c r="G1173" s="84" t="s">
        <v>380</v>
      </c>
      <c r="H1173" s="85" t="s">
        <v>1279</v>
      </c>
    </row>
    <row r="1174" spans="6:8" x14ac:dyDescent="0.2">
      <c r="F1174" s="83" t="s">
        <v>173</v>
      </c>
      <c r="G1174" s="85" t="s">
        <v>382</v>
      </c>
      <c r="H1174" s="85" t="s">
        <v>1280</v>
      </c>
    </row>
    <row r="1175" spans="6:8" x14ac:dyDescent="0.2">
      <c r="F1175" s="83" t="s">
        <v>173</v>
      </c>
      <c r="G1175" s="85" t="s">
        <v>382</v>
      </c>
      <c r="H1175" s="85" t="s">
        <v>1281</v>
      </c>
    </row>
    <row r="1176" spans="6:8" x14ac:dyDescent="0.2">
      <c r="F1176" s="83" t="s">
        <v>173</v>
      </c>
      <c r="G1176" s="85" t="s">
        <v>382</v>
      </c>
      <c r="H1176" s="85" t="s">
        <v>1282</v>
      </c>
    </row>
    <row r="1177" spans="6:8" x14ac:dyDescent="0.2">
      <c r="F1177" s="83" t="s">
        <v>173</v>
      </c>
      <c r="G1177" s="85" t="s">
        <v>382</v>
      </c>
      <c r="H1177" s="85" t="s">
        <v>1283</v>
      </c>
    </row>
    <row r="1178" spans="6:8" x14ac:dyDescent="0.2">
      <c r="F1178" s="83" t="s">
        <v>173</v>
      </c>
      <c r="G1178" s="85" t="s">
        <v>382</v>
      </c>
      <c r="H1178" s="85" t="s">
        <v>1284</v>
      </c>
    </row>
    <row r="1179" spans="6:8" x14ac:dyDescent="0.2">
      <c r="F1179" s="83" t="s">
        <v>173</v>
      </c>
      <c r="G1179" s="85" t="s">
        <v>382</v>
      </c>
      <c r="H1179" s="85" t="s">
        <v>1285</v>
      </c>
    </row>
    <row r="1180" spans="6:8" x14ac:dyDescent="0.2">
      <c r="F1180" s="83" t="s">
        <v>173</v>
      </c>
      <c r="G1180" s="85" t="s">
        <v>382</v>
      </c>
      <c r="H1180" s="85" t="s">
        <v>1286</v>
      </c>
    </row>
    <row r="1181" spans="6:8" x14ac:dyDescent="0.2">
      <c r="F1181" s="83" t="s">
        <v>173</v>
      </c>
      <c r="G1181" s="85" t="s">
        <v>382</v>
      </c>
      <c r="H1181" s="85" t="s">
        <v>1287</v>
      </c>
    </row>
    <row r="1182" spans="6:8" x14ac:dyDescent="0.2">
      <c r="F1182" s="83" t="s">
        <v>173</v>
      </c>
      <c r="G1182" s="85" t="s">
        <v>383</v>
      </c>
      <c r="H1182" s="85" t="s">
        <v>1288</v>
      </c>
    </row>
    <row r="1183" spans="6:8" x14ac:dyDescent="0.2">
      <c r="F1183" s="83" t="s">
        <v>173</v>
      </c>
      <c r="G1183" s="85" t="s">
        <v>383</v>
      </c>
      <c r="H1183" s="85" t="s">
        <v>1289</v>
      </c>
    </row>
    <row r="1184" spans="6:8" x14ac:dyDescent="0.2">
      <c r="F1184" s="83" t="s">
        <v>173</v>
      </c>
      <c r="G1184" s="85" t="s">
        <v>383</v>
      </c>
      <c r="H1184" s="85" t="s">
        <v>1290</v>
      </c>
    </row>
    <row r="1185" spans="6:8" x14ac:dyDescent="0.2">
      <c r="F1185" s="83" t="s">
        <v>173</v>
      </c>
      <c r="G1185" s="85" t="s">
        <v>383</v>
      </c>
      <c r="H1185" s="85" t="s">
        <v>1291</v>
      </c>
    </row>
    <row r="1186" spans="6:8" x14ac:dyDescent="0.2">
      <c r="F1186" s="83" t="s">
        <v>173</v>
      </c>
      <c r="G1186" s="85" t="s">
        <v>383</v>
      </c>
      <c r="H1186" s="85" t="s">
        <v>1292</v>
      </c>
    </row>
    <row r="1187" spans="6:8" x14ac:dyDescent="0.2">
      <c r="F1187" s="83" t="s">
        <v>173</v>
      </c>
      <c r="G1187" s="85" t="s">
        <v>383</v>
      </c>
      <c r="H1187" s="85" t="s">
        <v>1293</v>
      </c>
    </row>
    <row r="1188" spans="6:8" x14ac:dyDescent="0.2">
      <c r="F1188" s="83" t="s">
        <v>173</v>
      </c>
      <c r="G1188" s="85" t="s">
        <v>383</v>
      </c>
      <c r="H1188" s="85" t="s">
        <v>383</v>
      </c>
    </row>
    <row r="1189" spans="6:8" x14ac:dyDescent="0.2">
      <c r="F1189" s="83" t="s">
        <v>173</v>
      </c>
      <c r="G1189" s="85" t="s">
        <v>383</v>
      </c>
      <c r="H1189" s="85" t="s">
        <v>1294</v>
      </c>
    </row>
    <row r="1190" spans="6:8" x14ac:dyDescent="0.2">
      <c r="F1190" s="83" t="s">
        <v>173</v>
      </c>
      <c r="G1190" s="84" t="s">
        <v>385</v>
      </c>
      <c r="H1190" s="85" t="s">
        <v>1295</v>
      </c>
    </row>
    <row r="1191" spans="6:8" x14ac:dyDescent="0.2">
      <c r="F1191" s="83" t="s">
        <v>173</v>
      </c>
      <c r="G1191" s="84" t="s">
        <v>385</v>
      </c>
      <c r="H1191" s="85" t="s">
        <v>1296</v>
      </c>
    </row>
    <row r="1192" spans="6:8" x14ac:dyDescent="0.2">
      <c r="F1192" s="83" t="s">
        <v>173</v>
      </c>
      <c r="G1192" s="84" t="s">
        <v>385</v>
      </c>
      <c r="H1192" s="85" t="s">
        <v>1297</v>
      </c>
    </row>
    <row r="1193" spans="6:8" x14ac:dyDescent="0.2">
      <c r="F1193" s="83" t="s">
        <v>173</v>
      </c>
      <c r="G1193" s="84" t="s">
        <v>385</v>
      </c>
      <c r="H1193" s="85" t="s">
        <v>900</v>
      </c>
    </row>
    <row r="1194" spans="6:8" x14ac:dyDescent="0.2">
      <c r="F1194" s="83" t="s">
        <v>173</v>
      </c>
      <c r="G1194" s="84" t="s">
        <v>385</v>
      </c>
      <c r="H1194" s="85" t="s">
        <v>1298</v>
      </c>
    </row>
    <row r="1195" spans="6:8" x14ac:dyDescent="0.2">
      <c r="F1195" s="83" t="s">
        <v>173</v>
      </c>
      <c r="G1195" s="84" t="s">
        <v>385</v>
      </c>
      <c r="H1195" s="85" t="s">
        <v>1299</v>
      </c>
    </row>
    <row r="1196" spans="6:8" x14ac:dyDescent="0.2">
      <c r="F1196" s="83" t="s">
        <v>173</v>
      </c>
      <c r="G1196" s="84" t="s">
        <v>385</v>
      </c>
      <c r="H1196" s="85" t="s">
        <v>1300</v>
      </c>
    </row>
    <row r="1197" spans="6:8" x14ac:dyDescent="0.2">
      <c r="F1197" s="83" t="s">
        <v>173</v>
      </c>
      <c r="G1197" s="84" t="s">
        <v>385</v>
      </c>
      <c r="H1197" s="85" t="s">
        <v>1301</v>
      </c>
    </row>
    <row r="1198" spans="6:8" x14ac:dyDescent="0.2">
      <c r="F1198" s="83" t="s">
        <v>173</v>
      </c>
      <c r="G1198" s="84" t="s">
        <v>385</v>
      </c>
      <c r="H1198" s="85" t="s">
        <v>1302</v>
      </c>
    </row>
    <row r="1199" spans="6:8" x14ac:dyDescent="0.2">
      <c r="F1199" s="83" t="s">
        <v>173</v>
      </c>
      <c r="G1199" s="84" t="s">
        <v>385</v>
      </c>
      <c r="H1199" s="85" t="s">
        <v>385</v>
      </c>
    </row>
    <row r="1200" spans="6:8" x14ac:dyDescent="0.2">
      <c r="F1200" s="83" t="s">
        <v>173</v>
      </c>
      <c r="G1200" s="84" t="s">
        <v>385</v>
      </c>
      <c r="H1200" s="85" t="s">
        <v>1887</v>
      </c>
    </row>
    <row r="1201" spans="6:8" x14ac:dyDescent="0.2">
      <c r="F1201" s="83" t="s">
        <v>173</v>
      </c>
      <c r="G1201" s="84" t="s">
        <v>387</v>
      </c>
      <c r="H1201" s="85" t="s">
        <v>387</v>
      </c>
    </row>
    <row r="1202" spans="6:8" x14ac:dyDescent="0.2">
      <c r="F1202" s="83" t="s">
        <v>173</v>
      </c>
      <c r="G1202" s="84" t="s">
        <v>387</v>
      </c>
      <c r="H1202" s="85" t="s">
        <v>1303</v>
      </c>
    </row>
    <row r="1203" spans="6:8" x14ac:dyDescent="0.2">
      <c r="F1203" s="83" t="s">
        <v>173</v>
      </c>
      <c r="G1203" s="84" t="s">
        <v>387</v>
      </c>
      <c r="H1203" s="85" t="s">
        <v>1304</v>
      </c>
    </row>
    <row r="1204" spans="6:8" x14ac:dyDescent="0.2">
      <c r="F1204" s="83" t="s">
        <v>176</v>
      </c>
      <c r="G1204" s="84" t="s">
        <v>389</v>
      </c>
      <c r="H1204" s="85" t="s">
        <v>1305</v>
      </c>
    </row>
    <row r="1205" spans="6:8" x14ac:dyDescent="0.2">
      <c r="F1205" s="83" t="s">
        <v>176</v>
      </c>
      <c r="G1205" s="84" t="s">
        <v>389</v>
      </c>
      <c r="H1205" s="85" t="s">
        <v>389</v>
      </c>
    </row>
    <row r="1206" spans="6:8" x14ac:dyDescent="0.2">
      <c r="F1206" s="83" t="s">
        <v>176</v>
      </c>
      <c r="G1206" s="84" t="s">
        <v>389</v>
      </c>
      <c r="H1206" s="85" t="s">
        <v>1306</v>
      </c>
    </row>
    <row r="1207" spans="6:8" x14ac:dyDescent="0.2">
      <c r="F1207" s="83" t="s">
        <v>176</v>
      </c>
      <c r="G1207" s="84" t="s">
        <v>389</v>
      </c>
      <c r="H1207" s="85" t="s">
        <v>1307</v>
      </c>
    </row>
    <row r="1208" spans="6:8" x14ac:dyDescent="0.2">
      <c r="F1208" s="83" t="s">
        <v>176</v>
      </c>
      <c r="G1208" s="84" t="s">
        <v>389</v>
      </c>
      <c r="H1208" s="85" t="s">
        <v>1308</v>
      </c>
    </row>
    <row r="1209" spans="6:8" x14ac:dyDescent="0.2">
      <c r="F1209" s="83" t="s">
        <v>176</v>
      </c>
      <c r="G1209" s="84" t="s">
        <v>389</v>
      </c>
      <c r="H1209" s="85" t="s">
        <v>1309</v>
      </c>
    </row>
    <row r="1210" spans="6:8" x14ac:dyDescent="0.2">
      <c r="F1210" s="83" t="s">
        <v>176</v>
      </c>
      <c r="G1210" s="84" t="s">
        <v>389</v>
      </c>
      <c r="H1210" s="85" t="s">
        <v>1310</v>
      </c>
    </row>
    <row r="1211" spans="6:8" x14ac:dyDescent="0.2">
      <c r="F1211" s="83" t="s">
        <v>176</v>
      </c>
      <c r="G1211" s="84" t="s">
        <v>389</v>
      </c>
      <c r="H1211" s="85" t="s">
        <v>1311</v>
      </c>
    </row>
    <row r="1212" spans="6:8" x14ac:dyDescent="0.2">
      <c r="F1212" s="83" t="s">
        <v>176</v>
      </c>
      <c r="G1212" s="84" t="s">
        <v>389</v>
      </c>
      <c r="H1212" s="85" t="s">
        <v>1312</v>
      </c>
    </row>
    <row r="1213" spans="6:8" x14ac:dyDescent="0.2">
      <c r="F1213" s="83" t="s">
        <v>176</v>
      </c>
      <c r="G1213" s="84" t="s">
        <v>389</v>
      </c>
      <c r="H1213" s="85" t="s">
        <v>1313</v>
      </c>
    </row>
    <row r="1214" spans="6:8" x14ac:dyDescent="0.2">
      <c r="F1214" s="83" t="s">
        <v>176</v>
      </c>
      <c r="G1214" s="84" t="s">
        <v>389</v>
      </c>
      <c r="H1214" s="85" t="s">
        <v>1314</v>
      </c>
    </row>
    <row r="1215" spans="6:8" x14ac:dyDescent="0.2">
      <c r="F1215" s="83" t="s">
        <v>176</v>
      </c>
      <c r="G1215" s="84" t="s">
        <v>389</v>
      </c>
      <c r="H1215" s="85" t="s">
        <v>1315</v>
      </c>
    </row>
    <row r="1216" spans="6:8" x14ac:dyDescent="0.2">
      <c r="F1216" s="83" t="s">
        <v>176</v>
      </c>
      <c r="G1216" s="84" t="s">
        <v>389</v>
      </c>
      <c r="H1216" s="85" t="s">
        <v>1316</v>
      </c>
    </row>
    <row r="1217" spans="6:8" x14ac:dyDescent="0.2">
      <c r="F1217" s="83" t="s">
        <v>176</v>
      </c>
      <c r="G1217" s="84" t="s">
        <v>389</v>
      </c>
      <c r="H1217" s="85" t="s">
        <v>1317</v>
      </c>
    </row>
    <row r="1218" spans="6:8" x14ac:dyDescent="0.2">
      <c r="F1218" s="83" t="s">
        <v>176</v>
      </c>
      <c r="G1218" s="84" t="s">
        <v>389</v>
      </c>
      <c r="H1218" s="85" t="s">
        <v>1318</v>
      </c>
    </row>
    <row r="1219" spans="6:8" x14ac:dyDescent="0.2">
      <c r="F1219" s="83" t="s">
        <v>176</v>
      </c>
      <c r="G1219" s="84" t="s">
        <v>389</v>
      </c>
      <c r="H1219" s="85" t="s">
        <v>1319</v>
      </c>
    </row>
    <row r="1220" spans="6:8" x14ac:dyDescent="0.2">
      <c r="F1220" s="83" t="s">
        <v>176</v>
      </c>
      <c r="G1220" s="84" t="s">
        <v>389</v>
      </c>
      <c r="H1220" s="85" t="s">
        <v>1320</v>
      </c>
    </row>
    <row r="1221" spans="6:8" x14ac:dyDescent="0.2">
      <c r="F1221" s="83" t="s">
        <v>176</v>
      </c>
      <c r="G1221" s="84" t="s">
        <v>389</v>
      </c>
      <c r="H1221" s="85" t="s">
        <v>1321</v>
      </c>
    </row>
    <row r="1222" spans="6:8" x14ac:dyDescent="0.2">
      <c r="F1222" s="83" t="s">
        <v>176</v>
      </c>
      <c r="G1222" s="84" t="s">
        <v>389</v>
      </c>
      <c r="H1222" s="85" t="s">
        <v>303</v>
      </c>
    </row>
    <row r="1223" spans="6:8" x14ac:dyDescent="0.2">
      <c r="F1223" s="83" t="s">
        <v>176</v>
      </c>
      <c r="G1223" s="84" t="s">
        <v>389</v>
      </c>
      <c r="H1223" s="85" t="s">
        <v>1888</v>
      </c>
    </row>
    <row r="1224" spans="6:8" x14ac:dyDescent="0.2">
      <c r="F1224" s="83" t="s">
        <v>176</v>
      </c>
      <c r="G1224" s="84" t="s">
        <v>389</v>
      </c>
      <c r="H1224" s="85" t="s">
        <v>1322</v>
      </c>
    </row>
    <row r="1225" spans="6:8" x14ac:dyDescent="0.2">
      <c r="F1225" s="83" t="s">
        <v>176</v>
      </c>
      <c r="G1225" s="84" t="s">
        <v>1832</v>
      </c>
      <c r="H1225" s="85" t="s">
        <v>1323</v>
      </c>
    </row>
    <row r="1226" spans="6:8" x14ac:dyDescent="0.2">
      <c r="F1226" s="83" t="s">
        <v>176</v>
      </c>
      <c r="G1226" s="84" t="s">
        <v>1832</v>
      </c>
      <c r="H1226" s="85" t="s">
        <v>1832</v>
      </c>
    </row>
    <row r="1227" spans="6:8" x14ac:dyDescent="0.2">
      <c r="F1227" s="83" t="s">
        <v>176</v>
      </c>
      <c r="G1227" s="84" t="s">
        <v>1832</v>
      </c>
      <c r="H1227" s="85" t="s">
        <v>1324</v>
      </c>
    </row>
    <row r="1228" spans="6:8" x14ac:dyDescent="0.2">
      <c r="F1228" s="83" t="s">
        <v>176</v>
      </c>
      <c r="G1228" s="84" t="s">
        <v>1832</v>
      </c>
      <c r="H1228" s="85" t="s">
        <v>1325</v>
      </c>
    </row>
    <row r="1229" spans="6:8" x14ac:dyDescent="0.2">
      <c r="F1229" s="83" t="s">
        <v>176</v>
      </c>
      <c r="G1229" s="84" t="s">
        <v>1832</v>
      </c>
      <c r="H1229" s="85" t="s">
        <v>1326</v>
      </c>
    </row>
    <row r="1230" spans="6:8" x14ac:dyDescent="0.2">
      <c r="F1230" s="83" t="s">
        <v>176</v>
      </c>
      <c r="G1230" s="84" t="s">
        <v>1832</v>
      </c>
      <c r="H1230" s="85" t="s">
        <v>1113</v>
      </c>
    </row>
    <row r="1231" spans="6:8" x14ac:dyDescent="0.2">
      <c r="F1231" s="83" t="s">
        <v>176</v>
      </c>
      <c r="G1231" s="84" t="s">
        <v>176</v>
      </c>
      <c r="H1231" s="85" t="s">
        <v>1243</v>
      </c>
    </row>
    <row r="1232" spans="6:8" x14ac:dyDescent="0.2">
      <c r="F1232" s="83" t="s">
        <v>176</v>
      </c>
      <c r="G1232" s="84" t="s">
        <v>176</v>
      </c>
      <c r="H1232" s="85" t="s">
        <v>1327</v>
      </c>
    </row>
    <row r="1233" spans="6:8" x14ac:dyDescent="0.2">
      <c r="F1233" s="83" t="s">
        <v>176</v>
      </c>
      <c r="G1233" s="84" t="s">
        <v>176</v>
      </c>
      <c r="H1233" s="85" t="s">
        <v>1328</v>
      </c>
    </row>
    <row r="1234" spans="6:8" x14ac:dyDescent="0.2">
      <c r="F1234" s="83" t="s">
        <v>176</v>
      </c>
      <c r="G1234" s="84" t="s">
        <v>176</v>
      </c>
      <c r="H1234" s="85" t="s">
        <v>176</v>
      </c>
    </row>
    <row r="1235" spans="6:8" x14ac:dyDescent="0.2">
      <c r="F1235" s="83" t="s">
        <v>176</v>
      </c>
      <c r="G1235" s="84" t="s">
        <v>176</v>
      </c>
      <c r="H1235" s="85" t="s">
        <v>1329</v>
      </c>
    </row>
    <row r="1236" spans="6:8" x14ac:dyDescent="0.2">
      <c r="F1236" s="83" t="s">
        <v>176</v>
      </c>
      <c r="G1236" s="84" t="s">
        <v>176</v>
      </c>
      <c r="H1236" s="85" t="s">
        <v>1330</v>
      </c>
    </row>
    <row r="1237" spans="6:8" x14ac:dyDescent="0.2">
      <c r="F1237" s="83" t="s">
        <v>176</v>
      </c>
      <c r="G1237" s="84" t="s">
        <v>176</v>
      </c>
      <c r="H1237" s="85" t="s">
        <v>1331</v>
      </c>
    </row>
    <row r="1238" spans="6:8" x14ac:dyDescent="0.2">
      <c r="F1238" s="83" t="s">
        <v>176</v>
      </c>
      <c r="G1238" s="84" t="s">
        <v>176</v>
      </c>
      <c r="H1238" s="85" t="s">
        <v>1332</v>
      </c>
    </row>
    <row r="1239" spans="6:8" x14ac:dyDescent="0.2">
      <c r="F1239" s="83" t="s">
        <v>176</v>
      </c>
      <c r="G1239" s="84" t="s">
        <v>176</v>
      </c>
      <c r="H1239" s="85" t="s">
        <v>1333</v>
      </c>
    </row>
    <row r="1240" spans="6:8" x14ac:dyDescent="0.2">
      <c r="F1240" s="83" t="s">
        <v>176</v>
      </c>
      <c r="G1240" s="84" t="s">
        <v>176</v>
      </c>
      <c r="H1240" s="85" t="s">
        <v>1123</v>
      </c>
    </row>
    <row r="1241" spans="6:8" x14ac:dyDescent="0.2">
      <c r="F1241" s="83" t="s">
        <v>176</v>
      </c>
      <c r="G1241" s="84" t="s">
        <v>176</v>
      </c>
      <c r="H1241" s="85" t="s">
        <v>1266</v>
      </c>
    </row>
    <row r="1242" spans="6:8" x14ac:dyDescent="0.2">
      <c r="F1242" s="83" t="s">
        <v>176</v>
      </c>
      <c r="G1242" s="84" t="s">
        <v>176</v>
      </c>
      <c r="H1242" s="85" t="s">
        <v>1334</v>
      </c>
    </row>
    <row r="1243" spans="6:8" x14ac:dyDescent="0.2">
      <c r="F1243" s="83" t="s">
        <v>179</v>
      </c>
      <c r="G1243" s="84" t="s">
        <v>393</v>
      </c>
      <c r="H1243" s="85" t="s">
        <v>393</v>
      </c>
    </row>
    <row r="1244" spans="6:8" x14ac:dyDescent="0.2">
      <c r="F1244" s="83" t="s">
        <v>179</v>
      </c>
      <c r="G1244" s="84" t="s">
        <v>393</v>
      </c>
      <c r="H1244" s="85" t="s">
        <v>1335</v>
      </c>
    </row>
    <row r="1245" spans="6:8" x14ac:dyDescent="0.2">
      <c r="F1245" s="83" t="s">
        <v>179</v>
      </c>
      <c r="G1245" s="84" t="s">
        <v>393</v>
      </c>
      <c r="H1245" s="85" t="s">
        <v>1336</v>
      </c>
    </row>
    <row r="1246" spans="6:8" x14ac:dyDescent="0.2">
      <c r="F1246" s="83" t="s">
        <v>179</v>
      </c>
      <c r="G1246" s="84" t="s">
        <v>393</v>
      </c>
      <c r="H1246" s="85" t="s">
        <v>1337</v>
      </c>
    </row>
    <row r="1247" spans="6:8" x14ac:dyDescent="0.2">
      <c r="F1247" s="83" t="s">
        <v>179</v>
      </c>
      <c r="G1247" s="84" t="s">
        <v>393</v>
      </c>
      <c r="H1247" s="85" t="s">
        <v>1338</v>
      </c>
    </row>
    <row r="1248" spans="6:8" x14ac:dyDescent="0.2">
      <c r="F1248" s="83" t="s">
        <v>179</v>
      </c>
      <c r="G1248" s="84" t="s">
        <v>394</v>
      </c>
      <c r="H1248" s="85" t="s">
        <v>394</v>
      </c>
    </row>
    <row r="1249" spans="6:8" x14ac:dyDescent="0.2">
      <c r="F1249" s="83" t="s">
        <v>179</v>
      </c>
      <c r="G1249" s="84" t="s">
        <v>394</v>
      </c>
      <c r="H1249" s="85" t="s">
        <v>1339</v>
      </c>
    </row>
    <row r="1250" spans="6:8" x14ac:dyDescent="0.2">
      <c r="F1250" s="83" t="s">
        <v>179</v>
      </c>
      <c r="G1250" s="84" t="s">
        <v>394</v>
      </c>
      <c r="H1250" s="85" t="s">
        <v>1340</v>
      </c>
    </row>
    <row r="1251" spans="6:8" x14ac:dyDescent="0.2">
      <c r="F1251" s="83" t="s">
        <v>179</v>
      </c>
      <c r="G1251" s="84" t="s">
        <v>394</v>
      </c>
      <c r="H1251" s="85" t="s">
        <v>1341</v>
      </c>
    </row>
    <row r="1252" spans="6:8" x14ac:dyDescent="0.2">
      <c r="F1252" s="83" t="s">
        <v>179</v>
      </c>
      <c r="G1252" s="84" t="s">
        <v>394</v>
      </c>
      <c r="H1252" s="85" t="s">
        <v>1342</v>
      </c>
    </row>
    <row r="1253" spans="6:8" x14ac:dyDescent="0.2">
      <c r="F1253" s="83" t="s">
        <v>179</v>
      </c>
      <c r="G1253" s="84" t="s">
        <v>396</v>
      </c>
      <c r="H1253" s="85" t="s">
        <v>1343</v>
      </c>
    </row>
    <row r="1254" spans="6:8" x14ac:dyDescent="0.2">
      <c r="F1254" s="83" t="s">
        <v>179</v>
      </c>
      <c r="G1254" s="84" t="s">
        <v>396</v>
      </c>
      <c r="H1254" s="85" t="s">
        <v>396</v>
      </c>
    </row>
    <row r="1255" spans="6:8" x14ac:dyDescent="0.2">
      <c r="F1255" s="83" t="s">
        <v>179</v>
      </c>
      <c r="G1255" s="84" t="s">
        <v>396</v>
      </c>
      <c r="H1255" s="85" t="s">
        <v>1344</v>
      </c>
    </row>
    <row r="1256" spans="6:8" x14ac:dyDescent="0.2">
      <c r="F1256" s="83" t="s">
        <v>179</v>
      </c>
      <c r="G1256" s="84" t="s">
        <v>396</v>
      </c>
      <c r="H1256" s="85" t="s">
        <v>1345</v>
      </c>
    </row>
    <row r="1257" spans="6:8" x14ac:dyDescent="0.2">
      <c r="F1257" s="83" t="s">
        <v>179</v>
      </c>
      <c r="G1257" s="84" t="s">
        <v>396</v>
      </c>
      <c r="H1257" s="85" t="s">
        <v>1346</v>
      </c>
    </row>
    <row r="1258" spans="6:8" x14ac:dyDescent="0.2">
      <c r="F1258" s="83" t="s">
        <v>179</v>
      </c>
      <c r="G1258" s="84" t="s">
        <v>396</v>
      </c>
      <c r="H1258" s="85" t="s">
        <v>1098</v>
      </c>
    </row>
    <row r="1259" spans="6:8" x14ac:dyDescent="0.2">
      <c r="F1259" s="83" t="s">
        <v>179</v>
      </c>
      <c r="G1259" s="84" t="s">
        <v>396</v>
      </c>
      <c r="H1259" s="85" t="s">
        <v>1347</v>
      </c>
    </row>
    <row r="1260" spans="6:8" x14ac:dyDescent="0.2">
      <c r="F1260" s="83" t="s">
        <v>179</v>
      </c>
      <c r="G1260" s="85" t="s">
        <v>1834</v>
      </c>
      <c r="H1260" s="85" t="s">
        <v>1348</v>
      </c>
    </row>
    <row r="1261" spans="6:8" x14ac:dyDescent="0.2">
      <c r="F1261" s="83" t="s">
        <v>179</v>
      </c>
      <c r="G1261" s="85" t="s">
        <v>1834</v>
      </c>
      <c r="H1261" s="85" t="s">
        <v>1349</v>
      </c>
    </row>
    <row r="1262" spans="6:8" x14ac:dyDescent="0.2">
      <c r="F1262" s="83" t="s">
        <v>179</v>
      </c>
      <c r="G1262" s="85" t="s">
        <v>1834</v>
      </c>
      <c r="H1262" s="85" t="s">
        <v>1350</v>
      </c>
    </row>
    <row r="1263" spans="6:8" x14ac:dyDescent="0.2">
      <c r="F1263" s="83" t="s">
        <v>179</v>
      </c>
      <c r="G1263" s="85" t="s">
        <v>1834</v>
      </c>
      <c r="H1263" s="85" t="s">
        <v>1351</v>
      </c>
    </row>
    <row r="1264" spans="6:8" x14ac:dyDescent="0.2">
      <c r="F1264" s="83" t="s">
        <v>179</v>
      </c>
      <c r="G1264" s="85" t="s">
        <v>1834</v>
      </c>
      <c r="H1264" s="85" t="s">
        <v>1168</v>
      </c>
    </row>
    <row r="1265" spans="6:8" x14ac:dyDescent="0.2">
      <c r="F1265" s="83" t="s">
        <v>179</v>
      </c>
      <c r="G1265" s="85" t="s">
        <v>1834</v>
      </c>
      <c r="H1265" s="85" t="s">
        <v>1352</v>
      </c>
    </row>
    <row r="1266" spans="6:8" x14ac:dyDescent="0.2">
      <c r="F1266" s="83" t="s">
        <v>179</v>
      </c>
      <c r="G1266" s="85" t="s">
        <v>1834</v>
      </c>
      <c r="H1266" s="85" t="s">
        <v>1353</v>
      </c>
    </row>
    <row r="1267" spans="6:8" x14ac:dyDescent="0.2">
      <c r="F1267" s="83" t="s">
        <v>179</v>
      </c>
      <c r="G1267" s="85" t="s">
        <v>1834</v>
      </c>
      <c r="H1267" s="85" t="s">
        <v>1354</v>
      </c>
    </row>
    <row r="1268" spans="6:8" x14ac:dyDescent="0.2">
      <c r="F1268" s="83" t="s">
        <v>179</v>
      </c>
      <c r="G1268" s="85" t="s">
        <v>1834</v>
      </c>
      <c r="H1268" s="85" t="s">
        <v>1355</v>
      </c>
    </row>
    <row r="1269" spans="6:8" x14ac:dyDescent="0.2">
      <c r="F1269" s="83" t="s">
        <v>179</v>
      </c>
      <c r="G1269" s="85" t="s">
        <v>1834</v>
      </c>
      <c r="H1269" s="85" t="s">
        <v>1356</v>
      </c>
    </row>
    <row r="1270" spans="6:8" x14ac:dyDescent="0.2">
      <c r="F1270" s="83" t="s">
        <v>179</v>
      </c>
      <c r="G1270" s="85" t="s">
        <v>1834</v>
      </c>
      <c r="H1270" s="85" t="s">
        <v>1357</v>
      </c>
    </row>
    <row r="1271" spans="6:8" x14ac:dyDescent="0.2">
      <c r="F1271" s="83" t="s">
        <v>179</v>
      </c>
      <c r="G1271" s="85" t="s">
        <v>1834</v>
      </c>
      <c r="H1271" s="85" t="s">
        <v>610</v>
      </c>
    </row>
    <row r="1272" spans="6:8" x14ac:dyDescent="0.2">
      <c r="F1272" s="83" t="s">
        <v>179</v>
      </c>
      <c r="G1272" s="85" t="s">
        <v>1834</v>
      </c>
      <c r="H1272" s="85" t="s">
        <v>895</v>
      </c>
    </row>
    <row r="1273" spans="6:8" x14ac:dyDescent="0.2">
      <c r="F1273" s="83" t="s">
        <v>179</v>
      </c>
      <c r="G1273" s="85" t="s">
        <v>1834</v>
      </c>
      <c r="H1273" s="85" t="s">
        <v>1358</v>
      </c>
    </row>
    <row r="1274" spans="6:8" x14ac:dyDescent="0.2">
      <c r="F1274" s="83" t="s">
        <v>179</v>
      </c>
      <c r="G1274" s="85" t="s">
        <v>1834</v>
      </c>
      <c r="H1274" s="85" t="s">
        <v>1889</v>
      </c>
    </row>
    <row r="1275" spans="6:8" x14ac:dyDescent="0.2">
      <c r="F1275" s="83" t="s">
        <v>179</v>
      </c>
      <c r="G1275" s="85" t="s">
        <v>1834</v>
      </c>
      <c r="H1275" s="85" t="s">
        <v>1890</v>
      </c>
    </row>
    <row r="1276" spans="6:8" x14ac:dyDescent="0.2">
      <c r="F1276" s="83" t="s">
        <v>179</v>
      </c>
      <c r="G1276" s="85" t="s">
        <v>398</v>
      </c>
      <c r="H1276" s="85" t="s">
        <v>1359</v>
      </c>
    </row>
    <row r="1277" spans="6:8" x14ac:dyDescent="0.2">
      <c r="F1277" s="83" t="s">
        <v>179</v>
      </c>
      <c r="G1277" s="85" t="s">
        <v>398</v>
      </c>
      <c r="H1277" s="85" t="s">
        <v>1360</v>
      </c>
    </row>
    <row r="1278" spans="6:8" x14ac:dyDescent="0.2">
      <c r="F1278" s="83" t="s">
        <v>179</v>
      </c>
      <c r="G1278" s="85" t="s">
        <v>398</v>
      </c>
      <c r="H1278" s="85" t="s">
        <v>1361</v>
      </c>
    </row>
    <row r="1279" spans="6:8" x14ac:dyDescent="0.2">
      <c r="F1279" s="83" t="s">
        <v>179</v>
      </c>
      <c r="G1279" s="85" t="s">
        <v>398</v>
      </c>
      <c r="H1279" s="85" t="s">
        <v>1362</v>
      </c>
    </row>
    <row r="1280" spans="6:8" x14ac:dyDescent="0.2">
      <c r="F1280" s="83" t="s">
        <v>179</v>
      </c>
      <c r="G1280" s="85" t="s">
        <v>398</v>
      </c>
      <c r="H1280" s="85" t="s">
        <v>398</v>
      </c>
    </row>
    <row r="1281" spans="6:8" x14ac:dyDescent="0.2">
      <c r="F1281" s="83" t="s">
        <v>179</v>
      </c>
      <c r="G1281" s="85" t="s">
        <v>398</v>
      </c>
      <c r="H1281" s="85" t="s">
        <v>1363</v>
      </c>
    </row>
    <row r="1282" spans="6:8" x14ac:dyDescent="0.2">
      <c r="F1282" s="83" t="s">
        <v>179</v>
      </c>
      <c r="G1282" s="85" t="s">
        <v>398</v>
      </c>
      <c r="H1282" s="85" t="s">
        <v>1364</v>
      </c>
    </row>
    <row r="1283" spans="6:8" x14ac:dyDescent="0.2">
      <c r="F1283" s="83" t="s">
        <v>179</v>
      </c>
      <c r="G1283" s="85" t="s">
        <v>398</v>
      </c>
      <c r="H1283" s="85" t="s">
        <v>1365</v>
      </c>
    </row>
    <row r="1284" spans="6:8" x14ac:dyDescent="0.2">
      <c r="F1284" s="83" t="s">
        <v>179</v>
      </c>
      <c r="G1284" s="85" t="s">
        <v>398</v>
      </c>
      <c r="H1284" s="85" t="s">
        <v>1366</v>
      </c>
    </row>
    <row r="1285" spans="6:8" x14ac:dyDescent="0.2">
      <c r="F1285" s="83" t="s">
        <v>179</v>
      </c>
      <c r="G1285" s="85" t="s">
        <v>398</v>
      </c>
      <c r="H1285" s="85" t="s">
        <v>1367</v>
      </c>
    </row>
    <row r="1286" spans="6:8" x14ac:dyDescent="0.2">
      <c r="F1286" s="83" t="s">
        <v>179</v>
      </c>
      <c r="G1286" s="85" t="s">
        <v>398</v>
      </c>
      <c r="H1286" s="85" t="s">
        <v>1368</v>
      </c>
    </row>
    <row r="1287" spans="6:8" x14ac:dyDescent="0.2">
      <c r="F1287" s="83" t="s">
        <v>179</v>
      </c>
      <c r="G1287" s="85" t="s">
        <v>398</v>
      </c>
      <c r="H1287" s="85" t="s">
        <v>1369</v>
      </c>
    </row>
    <row r="1288" spans="6:8" x14ac:dyDescent="0.2">
      <c r="F1288" s="83" t="s">
        <v>179</v>
      </c>
      <c r="G1288" s="84" t="s">
        <v>400</v>
      </c>
      <c r="H1288" s="85" t="s">
        <v>1370</v>
      </c>
    </row>
    <row r="1289" spans="6:8" x14ac:dyDescent="0.2">
      <c r="F1289" s="83" t="s">
        <v>179</v>
      </c>
      <c r="G1289" s="84" t="s">
        <v>400</v>
      </c>
      <c r="H1289" s="85" t="s">
        <v>1371</v>
      </c>
    </row>
    <row r="1290" spans="6:8" x14ac:dyDescent="0.2">
      <c r="F1290" s="83" t="s">
        <v>179</v>
      </c>
      <c r="G1290" s="84" t="s">
        <v>400</v>
      </c>
      <c r="H1290" s="85" t="s">
        <v>1372</v>
      </c>
    </row>
    <row r="1291" spans="6:8" x14ac:dyDescent="0.2">
      <c r="F1291" s="83" t="s">
        <v>179</v>
      </c>
      <c r="G1291" s="84" t="s">
        <v>400</v>
      </c>
      <c r="H1291" s="85" t="s">
        <v>1373</v>
      </c>
    </row>
    <row r="1292" spans="6:8" x14ac:dyDescent="0.2">
      <c r="F1292" s="83" t="s">
        <v>179</v>
      </c>
      <c r="G1292" s="84" t="s">
        <v>400</v>
      </c>
      <c r="H1292" s="85" t="s">
        <v>999</v>
      </c>
    </row>
    <row r="1293" spans="6:8" x14ac:dyDescent="0.2">
      <c r="F1293" s="83" t="s">
        <v>179</v>
      </c>
      <c r="G1293" s="84" t="s">
        <v>400</v>
      </c>
      <c r="H1293" s="85" t="s">
        <v>1168</v>
      </c>
    </row>
    <row r="1294" spans="6:8" x14ac:dyDescent="0.2">
      <c r="F1294" s="83" t="s">
        <v>179</v>
      </c>
      <c r="G1294" s="84" t="s">
        <v>400</v>
      </c>
      <c r="H1294" s="85" t="s">
        <v>1374</v>
      </c>
    </row>
    <row r="1295" spans="6:8" x14ac:dyDescent="0.2">
      <c r="F1295" s="83" t="s">
        <v>179</v>
      </c>
      <c r="G1295" s="84" t="s">
        <v>400</v>
      </c>
      <c r="H1295" s="85" t="s">
        <v>1375</v>
      </c>
    </row>
    <row r="1296" spans="6:8" x14ac:dyDescent="0.2">
      <c r="F1296" s="83" t="s">
        <v>179</v>
      </c>
      <c r="G1296" s="84" t="s">
        <v>400</v>
      </c>
      <c r="H1296" s="85" t="s">
        <v>400</v>
      </c>
    </row>
    <row r="1297" spans="6:8" x14ac:dyDescent="0.2">
      <c r="F1297" s="83" t="s">
        <v>179</v>
      </c>
      <c r="G1297" s="84" t="s">
        <v>400</v>
      </c>
      <c r="H1297" s="85" t="s">
        <v>1376</v>
      </c>
    </row>
    <row r="1298" spans="6:8" x14ac:dyDescent="0.2">
      <c r="F1298" s="83" t="s">
        <v>179</v>
      </c>
      <c r="G1298" s="84" t="s">
        <v>400</v>
      </c>
      <c r="H1298" s="85" t="s">
        <v>1377</v>
      </c>
    </row>
    <row r="1299" spans="6:8" x14ac:dyDescent="0.2">
      <c r="F1299" s="83" t="s">
        <v>179</v>
      </c>
      <c r="G1299" s="84" t="s">
        <v>400</v>
      </c>
      <c r="H1299" s="85" t="s">
        <v>1378</v>
      </c>
    </row>
    <row r="1300" spans="6:8" x14ac:dyDescent="0.2">
      <c r="F1300" s="83" t="s">
        <v>179</v>
      </c>
      <c r="G1300" s="84" t="s">
        <v>400</v>
      </c>
      <c r="H1300" s="85" t="s">
        <v>1379</v>
      </c>
    </row>
    <row r="1301" spans="6:8" x14ac:dyDescent="0.2">
      <c r="F1301" s="83" t="s">
        <v>179</v>
      </c>
      <c r="G1301" s="84" t="s">
        <v>400</v>
      </c>
      <c r="H1301" s="85" t="s">
        <v>1380</v>
      </c>
    </row>
    <row r="1302" spans="6:8" x14ac:dyDescent="0.2">
      <c r="F1302" s="83" t="s">
        <v>179</v>
      </c>
      <c r="G1302" s="84" t="s">
        <v>400</v>
      </c>
      <c r="H1302" s="85" t="s">
        <v>1381</v>
      </c>
    </row>
    <row r="1303" spans="6:8" x14ac:dyDescent="0.2">
      <c r="F1303" s="83" t="s">
        <v>179</v>
      </c>
      <c r="G1303" s="84" t="s">
        <v>400</v>
      </c>
      <c r="H1303" s="85" t="s">
        <v>1382</v>
      </c>
    </row>
    <row r="1304" spans="6:8" x14ac:dyDescent="0.2">
      <c r="F1304" s="83" t="s">
        <v>179</v>
      </c>
      <c r="G1304" s="84" t="s">
        <v>400</v>
      </c>
      <c r="H1304" s="85" t="s">
        <v>1383</v>
      </c>
    </row>
    <row r="1305" spans="6:8" x14ac:dyDescent="0.2">
      <c r="F1305" s="83" t="s">
        <v>179</v>
      </c>
      <c r="G1305" s="84" t="s">
        <v>400</v>
      </c>
      <c r="H1305" s="85" t="s">
        <v>1384</v>
      </c>
    </row>
    <row r="1306" spans="6:8" x14ac:dyDescent="0.2">
      <c r="F1306" s="83" t="s">
        <v>179</v>
      </c>
      <c r="G1306" s="84" t="s">
        <v>400</v>
      </c>
      <c r="H1306" s="85" t="s">
        <v>1385</v>
      </c>
    </row>
    <row r="1307" spans="6:8" x14ac:dyDescent="0.2">
      <c r="F1307" s="83" t="s">
        <v>179</v>
      </c>
      <c r="G1307" s="84" t="s">
        <v>400</v>
      </c>
      <c r="H1307" s="85" t="s">
        <v>1386</v>
      </c>
    </row>
    <row r="1308" spans="6:8" x14ac:dyDescent="0.2">
      <c r="F1308" s="83" t="s">
        <v>179</v>
      </c>
      <c r="G1308" s="84" t="s">
        <v>400</v>
      </c>
      <c r="H1308" s="85" t="s">
        <v>1387</v>
      </c>
    </row>
    <row r="1309" spans="6:8" x14ac:dyDescent="0.2">
      <c r="F1309" s="83" t="s">
        <v>179</v>
      </c>
      <c r="G1309" s="84" t="s">
        <v>400</v>
      </c>
      <c r="H1309" s="85" t="s">
        <v>1213</v>
      </c>
    </row>
    <row r="1310" spans="6:8" x14ac:dyDescent="0.2">
      <c r="F1310" s="83" t="s">
        <v>179</v>
      </c>
      <c r="G1310" s="84" t="s">
        <v>400</v>
      </c>
      <c r="H1310" s="85" t="s">
        <v>1388</v>
      </c>
    </row>
    <row r="1311" spans="6:8" x14ac:dyDescent="0.2">
      <c r="F1311" s="83" t="s">
        <v>179</v>
      </c>
      <c r="G1311" s="84" t="s">
        <v>400</v>
      </c>
      <c r="H1311" s="85" t="s">
        <v>1389</v>
      </c>
    </row>
    <row r="1312" spans="6:8" x14ac:dyDescent="0.2">
      <c r="F1312" s="83" t="s">
        <v>179</v>
      </c>
      <c r="G1312" s="84" t="s">
        <v>400</v>
      </c>
      <c r="H1312" s="85" t="s">
        <v>1390</v>
      </c>
    </row>
    <row r="1313" spans="6:8" x14ac:dyDescent="0.2">
      <c r="F1313" s="83" t="s">
        <v>179</v>
      </c>
      <c r="G1313" s="84" t="s">
        <v>400</v>
      </c>
      <c r="H1313" s="85" t="s">
        <v>1391</v>
      </c>
    </row>
    <row r="1314" spans="6:8" x14ac:dyDescent="0.2">
      <c r="F1314" s="83" t="s">
        <v>179</v>
      </c>
      <c r="G1314" s="84" t="s">
        <v>400</v>
      </c>
      <c r="H1314" s="85" t="s">
        <v>1392</v>
      </c>
    </row>
    <row r="1315" spans="6:8" x14ac:dyDescent="0.2">
      <c r="F1315" s="83" t="s">
        <v>179</v>
      </c>
      <c r="G1315" s="84" t="s">
        <v>400</v>
      </c>
      <c r="H1315" s="85" t="s">
        <v>1393</v>
      </c>
    </row>
    <row r="1316" spans="6:8" x14ac:dyDescent="0.2">
      <c r="F1316" s="83" t="s">
        <v>179</v>
      </c>
      <c r="G1316" s="84" t="s">
        <v>400</v>
      </c>
      <c r="H1316" s="85" t="s">
        <v>1394</v>
      </c>
    </row>
    <row r="1317" spans="6:8" x14ac:dyDescent="0.2">
      <c r="F1317" s="83" t="s">
        <v>179</v>
      </c>
      <c r="G1317" s="84" t="s">
        <v>400</v>
      </c>
      <c r="H1317" s="85" t="s">
        <v>1395</v>
      </c>
    </row>
    <row r="1318" spans="6:8" x14ac:dyDescent="0.2">
      <c r="F1318" s="83" t="s">
        <v>179</v>
      </c>
      <c r="G1318" s="84" t="s">
        <v>400</v>
      </c>
      <c r="H1318" s="85" t="s">
        <v>1396</v>
      </c>
    </row>
    <row r="1319" spans="6:8" x14ac:dyDescent="0.2">
      <c r="F1319" s="83" t="s">
        <v>179</v>
      </c>
      <c r="G1319" s="84" t="s">
        <v>400</v>
      </c>
      <c r="H1319" s="85" t="s">
        <v>1397</v>
      </c>
    </row>
    <row r="1320" spans="6:8" x14ac:dyDescent="0.2">
      <c r="F1320" s="83" t="s">
        <v>179</v>
      </c>
      <c r="G1320" s="84" t="s">
        <v>402</v>
      </c>
      <c r="H1320" s="85" t="s">
        <v>1398</v>
      </c>
    </row>
    <row r="1321" spans="6:8" x14ac:dyDescent="0.2">
      <c r="F1321" s="83" t="s">
        <v>179</v>
      </c>
      <c r="G1321" s="84" t="s">
        <v>402</v>
      </c>
      <c r="H1321" s="85" t="s">
        <v>1399</v>
      </c>
    </row>
    <row r="1322" spans="6:8" x14ac:dyDescent="0.2">
      <c r="F1322" s="83" t="s">
        <v>179</v>
      </c>
      <c r="G1322" s="84" t="s">
        <v>402</v>
      </c>
      <c r="H1322" s="85" t="s">
        <v>1400</v>
      </c>
    </row>
    <row r="1323" spans="6:8" x14ac:dyDescent="0.2">
      <c r="F1323" s="83" t="s">
        <v>179</v>
      </c>
      <c r="G1323" s="84" t="s">
        <v>402</v>
      </c>
      <c r="H1323" s="85" t="s">
        <v>1401</v>
      </c>
    </row>
    <row r="1324" spans="6:8" x14ac:dyDescent="0.2">
      <c r="F1324" s="83" t="s">
        <v>179</v>
      </c>
      <c r="G1324" s="84" t="s">
        <v>402</v>
      </c>
      <c r="H1324" s="85" t="s">
        <v>1402</v>
      </c>
    </row>
    <row r="1325" spans="6:8" x14ac:dyDescent="0.2">
      <c r="F1325" s="83" t="s">
        <v>179</v>
      </c>
      <c r="G1325" s="84" t="s">
        <v>402</v>
      </c>
      <c r="H1325" s="85" t="s">
        <v>402</v>
      </c>
    </row>
    <row r="1326" spans="6:8" x14ac:dyDescent="0.2">
      <c r="F1326" s="83" t="s">
        <v>179</v>
      </c>
      <c r="G1326" s="84" t="s">
        <v>402</v>
      </c>
      <c r="H1326" s="85" t="s">
        <v>333</v>
      </c>
    </row>
    <row r="1327" spans="6:8" x14ac:dyDescent="0.2">
      <c r="F1327" s="83" t="s">
        <v>179</v>
      </c>
      <c r="G1327" s="84" t="s">
        <v>402</v>
      </c>
      <c r="H1327" s="85" t="s">
        <v>1403</v>
      </c>
    </row>
    <row r="1328" spans="6:8" x14ac:dyDescent="0.2">
      <c r="F1328" s="83" t="s">
        <v>179</v>
      </c>
      <c r="G1328" s="84" t="s">
        <v>402</v>
      </c>
      <c r="H1328" s="85" t="s">
        <v>1404</v>
      </c>
    </row>
    <row r="1329" spans="6:8" x14ac:dyDescent="0.2">
      <c r="F1329" s="83" t="s">
        <v>179</v>
      </c>
      <c r="G1329" s="84" t="s">
        <v>402</v>
      </c>
      <c r="H1329" s="85" t="s">
        <v>565</v>
      </c>
    </row>
    <row r="1330" spans="6:8" x14ac:dyDescent="0.2">
      <c r="F1330" s="83" t="s">
        <v>179</v>
      </c>
      <c r="G1330" s="84" t="s">
        <v>402</v>
      </c>
      <c r="H1330" s="85" t="s">
        <v>1405</v>
      </c>
    </row>
    <row r="1331" spans="6:8" x14ac:dyDescent="0.2">
      <c r="F1331" s="83" t="s">
        <v>179</v>
      </c>
      <c r="G1331" s="84" t="s">
        <v>402</v>
      </c>
      <c r="H1331" s="85" t="s">
        <v>1406</v>
      </c>
    </row>
    <row r="1332" spans="6:8" x14ac:dyDescent="0.2">
      <c r="F1332" s="83" t="s">
        <v>179</v>
      </c>
      <c r="G1332" s="84" t="s">
        <v>179</v>
      </c>
      <c r="H1332" s="85" t="s">
        <v>1407</v>
      </c>
    </row>
    <row r="1333" spans="6:8" x14ac:dyDescent="0.2">
      <c r="F1333" s="83" t="s">
        <v>179</v>
      </c>
      <c r="G1333" s="84" t="s">
        <v>179</v>
      </c>
      <c r="H1333" s="85" t="s">
        <v>1408</v>
      </c>
    </row>
    <row r="1334" spans="6:8" x14ac:dyDescent="0.2">
      <c r="F1334" s="83" t="s">
        <v>179</v>
      </c>
      <c r="G1334" s="84" t="s">
        <v>179</v>
      </c>
      <c r="H1334" s="85" t="s">
        <v>1409</v>
      </c>
    </row>
    <row r="1335" spans="6:8" x14ac:dyDescent="0.2">
      <c r="F1335" s="83" t="s">
        <v>179</v>
      </c>
      <c r="G1335" s="84" t="s">
        <v>179</v>
      </c>
      <c r="H1335" s="85" t="s">
        <v>1891</v>
      </c>
    </row>
    <row r="1336" spans="6:8" x14ac:dyDescent="0.2">
      <c r="F1336" s="83" t="s">
        <v>179</v>
      </c>
      <c r="G1336" s="84" t="s">
        <v>179</v>
      </c>
      <c r="H1336" s="85" t="s">
        <v>1410</v>
      </c>
    </row>
    <row r="1337" spans="6:8" x14ac:dyDescent="0.2">
      <c r="F1337" s="83" t="s">
        <v>179</v>
      </c>
      <c r="G1337" s="84" t="s">
        <v>179</v>
      </c>
      <c r="H1337" s="85" t="s">
        <v>1411</v>
      </c>
    </row>
    <row r="1338" spans="6:8" x14ac:dyDescent="0.2">
      <c r="F1338" s="83" t="s">
        <v>179</v>
      </c>
      <c r="G1338" s="84" t="s">
        <v>179</v>
      </c>
      <c r="H1338" s="85" t="s">
        <v>1141</v>
      </c>
    </row>
    <row r="1339" spans="6:8" x14ac:dyDescent="0.2">
      <c r="F1339" s="83" t="s">
        <v>179</v>
      </c>
      <c r="G1339" s="84" t="s">
        <v>179</v>
      </c>
      <c r="H1339" s="85" t="s">
        <v>1412</v>
      </c>
    </row>
    <row r="1340" spans="6:8" x14ac:dyDescent="0.2">
      <c r="F1340" s="83" t="s">
        <v>179</v>
      </c>
      <c r="G1340" s="84" t="s">
        <v>179</v>
      </c>
      <c r="H1340" s="85" t="s">
        <v>1413</v>
      </c>
    </row>
    <row r="1341" spans="6:8" x14ac:dyDescent="0.2">
      <c r="F1341" s="83" t="s">
        <v>179</v>
      </c>
      <c r="G1341" s="84" t="s">
        <v>179</v>
      </c>
      <c r="H1341" s="85" t="s">
        <v>1414</v>
      </c>
    </row>
    <row r="1342" spans="6:8" x14ac:dyDescent="0.2">
      <c r="F1342" s="83" t="s">
        <v>179</v>
      </c>
      <c r="G1342" s="84" t="s">
        <v>179</v>
      </c>
      <c r="H1342" s="85" t="s">
        <v>434</v>
      </c>
    </row>
    <row r="1343" spans="6:8" x14ac:dyDescent="0.2">
      <c r="F1343" s="83" t="s">
        <v>179</v>
      </c>
      <c r="G1343" s="84" t="s">
        <v>179</v>
      </c>
      <c r="H1343" s="85" t="s">
        <v>1415</v>
      </c>
    </row>
    <row r="1344" spans="6:8" x14ac:dyDescent="0.2">
      <c r="F1344" s="83" t="s">
        <v>179</v>
      </c>
      <c r="G1344" s="84" t="s">
        <v>179</v>
      </c>
      <c r="H1344" s="85" t="s">
        <v>1416</v>
      </c>
    </row>
    <row r="1345" spans="6:8" x14ac:dyDescent="0.2">
      <c r="F1345" s="83" t="s">
        <v>179</v>
      </c>
      <c r="G1345" s="84" t="s">
        <v>179</v>
      </c>
      <c r="H1345" s="85" t="s">
        <v>1312</v>
      </c>
    </row>
    <row r="1346" spans="6:8" x14ac:dyDescent="0.2">
      <c r="F1346" s="83" t="s">
        <v>179</v>
      </c>
      <c r="G1346" s="84" t="s">
        <v>179</v>
      </c>
      <c r="H1346" s="85" t="s">
        <v>1892</v>
      </c>
    </row>
    <row r="1347" spans="6:8" x14ac:dyDescent="0.2">
      <c r="F1347" s="83" t="s">
        <v>179</v>
      </c>
      <c r="G1347" s="84" t="s">
        <v>179</v>
      </c>
      <c r="H1347" s="85" t="s">
        <v>1417</v>
      </c>
    </row>
    <row r="1348" spans="6:8" x14ac:dyDescent="0.2">
      <c r="F1348" s="83" t="s">
        <v>179</v>
      </c>
      <c r="G1348" s="84" t="s">
        <v>179</v>
      </c>
      <c r="H1348" s="85" t="s">
        <v>1418</v>
      </c>
    </row>
    <row r="1349" spans="6:8" x14ac:dyDescent="0.2">
      <c r="F1349" s="83" t="s">
        <v>179</v>
      </c>
      <c r="G1349" s="84" t="s">
        <v>179</v>
      </c>
      <c r="H1349" s="85" t="s">
        <v>1419</v>
      </c>
    </row>
    <row r="1350" spans="6:8" x14ac:dyDescent="0.2">
      <c r="F1350" s="83" t="s">
        <v>179</v>
      </c>
      <c r="G1350" s="84" t="s">
        <v>179</v>
      </c>
      <c r="H1350" s="85" t="s">
        <v>1420</v>
      </c>
    </row>
    <row r="1351" spans="6:8" x14ac:dyDescent="0.2">
      <c r="F1351" s="83" t="s">
        <v>179</v>
      </c>
      <c r="G1351" s="84" t="s">
        <v>179</v>
      </c>
      <c r="H1351" s="85" t="s">
        <v>225</v>
      </c>
    </row>
    <row r="1352" spans="6:8" x14ac:dyDescent="0.2">
      <c r="F1352" s="83" t="s">
        <v>179</v>
      </c>
      <c r="G1352" s="84" t="s">
        <v>179</v>
      </c>
      <c r="H1352" s="85" t="s">
        <v>488</v>
      </c>
    </row>
    <row r="1353" spans="6:8" x14ac:dyDescent="0.2">
      <c r="F1353" s="83" t="s">
        <v>179</v>
      </c>
      <c r="G1353" s="84" t="s">
        <v>179</v>
      </c>
      <c r="H1353" s="85" t="s">
        <v>620</v>
      </c>
    </row>
    <row r="1354" spans="6:8" x14ac:dyDescent="0.2">
      <c r="F1354" s="83" t="s">
        <v>179</v>
      </c>
      <c r="G1354" s="84" t="s">
        <v>179</v>
      </c>
      <c r="H1354" s="85" t="s">
        <v>1421</v>
      </c>
    </row>
    <row r="1355" spans="6:8" x14ac:dyDescent="0.2">
      <c r="F1355" s="83" t="s">
        <v>179</v>
      </c>
      <c r="G1355" s="84" t="s">
        <v>179</v>
      </c>
      <c r="H1355" s="85" t="s">
        <v>1422</v>
      </c>
    </row>
    <row r="1356" spans="6:8" x14ac:dyDescent="0.2">
      <c r="F1356" s="83" t="s">
        <v>179</v>
      </c>
      <c r="G1356" s="84" t="s">
        <v>179</v>
      </c>
      <c r="H1356" s="85" t="s">
        <v>1423</v>
      </c>
    </row>
    <row r="1357" spans="6:8" x14ac:dyDescent="0.2">
      <c r="F1357" s="83" t="s">
        <v>179</v>
      </c>
      <c r="G1357" s="84" t="s">
        <v>179</v>
      </c>
      <c r="H1357" s="85" t="s">
        <v>1424</v>
      </c>
    </row>
    <row r="1358" spans="6:8" x14ac:dyDescent="0.2">
      <c r="F1358" s="83" t="s">
        <v>179</v>
      </c>
      <c r="G1358" s="84" t="s">
        <v>179</v>
      </c>
      <c r="H1358" s="85" t="s">
        <v>1425</v>
      </c>
    </row>
    <row r="1359" spans="6:8" x14ac:dyDescent="0.2">
      <c r="F1359" s="83" t="s">
        <v>179</v>
      </c>
      <c r="G1359" s="84" t="s">
        <v>179</v>
      </c>
      <c r="H1359" s="85" t="s">
        <v>1426</v>
      </c>
    </row>
    <row r="1360" spans="6:8" x14ac:dyDescent="0.2">
      <c r="F1360" s="83" t="s">
        <v>179</v>
      </c>
      <c r="G1360" s="84" t="s">
        <v>179</v>
      </c>
      <c r="H1360" s="85" t="s">
        <v>1427</v>
      </c>
    </row>
    <row r="1361" spans="6:8" x14ac:dyDescent="0.2">
      <c r="F1361" s="83" t="s">
        <v>179</v>
      </c>
      <c r="G1361" s="84" t="s">
        <v>179</v>
      </c>
      <c r="H1361" s="85" t="s">
        <v>1893</v>
      </c>
    </row>
    <row r="1362" spans="6:8" x14ac:dyDescent="0.2">
      <c r="F1362" s="83" t="s">
        <v>179</v>
      </c>
      <c r="G1362" s="84" t="s">
        <v>179</v>
      </c>
      <c r="H1362" s="85" t="s">
        <v>1022</v>
      </c>
    </row>
    <row r="1363" spans="6:8" x14ac:dyDescent="0.2">
      <c r="F1363" s="83" t="s">
        <v>179</v>
      </c>
      <c r="G1363" s="84" t="s">
        <v>179</v>
      </c>
      <c r="H1363" s="85" t="s">
        <v>1428</v>
      </c>
    </row>
    <row r="1364" spans="6:8" x14ac:dyDescent="0.2">
      <c r="F1364" s="83" t="s">
        <v>179</v>
      </c>
      <c r="G1364" s="84" t="s">
        <v>179</v>
      </c>
      <c r="H1364" s="85" t="s">
        <v>1429</v>
      </c>
    </row>
    <row r="1365" spans="6:8" x14ac:dyDescent="0.2">
      <c r="F1365" s="83" t="s">
        <v>179</v>
      </c>
      <c r="G1365" s="84" t="s">
        <v>179</v>
      </c>
      <c r="H1365" s="85" t="s">
        <v>895</v>
      </c>
    </row>
    <row r="1366" spans="6:8" x14ac:dyDescent="0.2">
      <c r="F1366" s="83" t="s">
        <v>179</v>
      </c>
      <c r="G1366" s="84" t="s">
        <v>179</v>
      </c>
      <c r="H1366" s="85" t="s">
        <v>1430</v>
      </c>
    </row>
    <row r="1367" spans="6:8" x14ac:dyDescent="0.2">
      <c r="F1367" s="83" t="s">
        <v>179</v>
      </c>
      <c r="G1367" s="84" t="s">
        <v>179</v>
      </c>
      <c r="H1367" s="85" t="s">
        <v>281</v>
      </c>
    </row>
    <row r="1368" spans="6:8" x14ac:dyDescent="0.2">
      <c r="F1368" s="83" t="s">
        <v>179</v>
      </c>
      <c r="G1368" s="84" t="s">
        <v>179</v>
      </c>
      <c r="H1368" s="85" t="s">
        <v>1431</v>
      </c>
    </row>
    <row r="1369" spans="6:8" x14ac:dyDescent="0.2">
      <c r="F1369" s="83" t="s">
        <v>179</v>
      </c>
      <c r="G1369" s="84" t="s">
        <v>179</v>
      </c>
      <c r="H1369" s="85" t="s">
        <v>1432</v>
      </c>
    </row>
    <row r="1370" spans="6:8" x14ac:dyDescent="0.2">
      <c r="F1370" s="83" t="s">
        <v>179</v>
      </c>
      <c r="G1370" s="84" t="s">
        <v>179</v>
      </c>
      <c r="H1370" s="85" t="s">
        <v>303</v>
      </c>
    </row>
    <row r="1371" spans="6:8" x14ac:dyDescent="0.2">
      <c r="F1371" s="83" t="s">
        <v>179</v>
      </c>
      <c r="G1371" s="84" t="s">
        <v>179</v>
      </c>
      <c r="H1371" s="85" t="s">
        <v>1894</v>
      </c>
    </row>
    <row r="1372" spans="6:8" x14ac:dyDescent="0.2">
      <c r="F1372" s="83" t="s">
        <v>179</v>
      </c>
      <c r="G1372" s="84" t="s">
        <v>179</v>
      </c>
      <c r="H1372" s="85" t="s">
        <v>1433</v>
      </c>
    </row>
    <row r="1373" spans="6:8" x14ac:dyDescent="0.2">
      <c r="F1373" s="83" t="s">
        <v>179</v>
      </c>
      <c r="G1373" s="84" t="s">
        <v>179</v>
      </c>
      <c r="H1373" s="85" t="s">
        <v>1895</v>
      </c>
    </row>
    <row r="1374" spans="6:8" x14ac:dyDescent="0.2">
      <c r="F1374" s="83" t="s">
        <v>179</v>
      </c>
      <c r="G1374" s="84" t="s">
        <v>179</v>
      </c>
      <c r="H1374" s="85" t="s">
        <v>1896</v>
      </c>
    </row>
    <row r="1375" spans="6:8" x14ac:dyDescent="0.2">
      <c r="F1375" s="83" t="s">
        <v>179</v>
      </c>
      <c r="G1375" s="85" t="s">
        <v>405</v>
      </c>
      <c r="H1375" s="85" t="s">
        <v>1434</v>
      </c>
    </row>
    <row r="1376" spans="6:8" x14ac:dyDescent="0.2">
      <c r="F1376" s="83" t="s">
        <v>179</v>
      </c>
      <c r="G1376" s="85" t="s">
        <v>405</v>
      </c>
      <c r="H1376" s="85" t="s">
        <v>1435</v>
      </c>
    </row>
    <row r="1377" spans="6:8" x14ac:dyDescent="0.2">
      <c r="F1377" s="83" t="s">
        <v>179</v>
      </c>
      <c r="G1377" s="85" t="s">
        <v>405</v>
      </c>
      <c r="H1377" s="85" t="s">
        <v>1436</v>
      </c>
    </row>
    <row r="1378" spans="6:8" x14ac:dyDescent="0.2">
      <c r="F1378" s="83" t="s">
        <v>179</v>
      </c>
      <c r="G1378" s="85" t="s">
        <v>405</v>
      </c>
      <c r="H1378" s="85" t="s">
        <v>1437</v>
      </c>
    </row>
    <row r="1379" spans="6:8" x14ac:dyDescent="0.2">
      <c r="F1379" s="83" t="s">
        <v>179</v>
      </c>
      <c r="G1379" s="85" t="s">
        <v>405</v>
      </c>
      <c r="H1379" s="85" t="s">
        <v>405</v>
      </c>
    </row>
    <row r="1380" spans="6:8" x14ac:dyDescent="0.2">
      <c r="F1380" s="83" t="s">
        <v>179</v>
      </c>
      <c r="G1380" s="85" t="s">
        <v>405</v>
      </c>
      <c r="H1380" s="85" t="s">
        <v>1438</v>
      </c>
    </row>
    <row r="1381" spans="6:8" x14ac:dyDescent="0.2">
      <c r="F1381" s="83" t="s">
        <v>179</v>
      </c>
      <c r="G1381" s="84" t="s">
        <v>407</v>
      </c>
      <c r="H1381" s="85" t="s">
        <v>1439</v>
      </c>
    </row>
    <row r="1382" spans="6:8" x14ac:dyDescent="0.2">
      <c r="F1382" s="83" t="s">
        <v>179</v>
      </c>
      <c r="G1382" s="84" t="s">
        <v>407</v>
      </c>
      <c r="H1382" s="85" t="s">
        <v>1440</v>
      </c>
    </row>
    <row r="1383" spans="6:8" x14ac:dyDescent="0.2">
      <c r="F1383" s="83" t="s">
        <v>179</v>
      </c>
      <c r="G1383" s="84" t="s">
        <v>407</v>
      </c>
      <c r="H1383" s="85" t="s">
        <v>1441</v>
      </c>
    </row>
    <row r="1384" spans="6:8" x14ac:dyDescent="0.2">
      <c r="F1384" s="83" t="s">
        <v>179</v>
      </c>
      <c r="G1384" s="84" t="s">
        <v>407</v>
      </c>
      <c r="H1384" s="85" t="s">
        <v>443</v>
      </c>
    </row>
    <row r="1385" spans="6:8" x14ac:dyDescent="0.2">
      <c r="F1385" s="83" t="s">
        <v>179</v>
      </c>
      <c r="G1385" s="84" t="s">
        <v>407</v>
      </c>
      <c r="H1385" s="85" t="s">
        <v>1442</v>
      </c>
    </row>
    <row r="1386" spans="6:8" x14ac:dyDescent="0.2">
      <c r="F1386" s="83" t="s">
        <v>179</v>
      </c>
      <c r="G1386" s="84" t="s">
        <v>407</v>
      </c>
      <c r="H1386" s="85" t="s">
        <v>1443</v>
      </c>
    </row>
    <row r="1387" spans="6:8" x14ac:dyDescent="0.2">
      <c r="F1387" s="83" t="s">
        <v>179</v>
      </c>
      <c r="G1387" s="84" t="s">
        <v>407</v>
      </c>
      <c r="H1387" s="85" t="s">
        <v>1444</v>
      </c>
    </row>
    <row r="1388" spans="6:8" x14ac:dyDescent="0.2">
      <c r="F1388" s="83" t="s">
        <v>179</v>
      </c>
      <c r="G1388" s="84" t="s">
        <v>407</v>
      </c>
      <c r="H1388" s="85" t="s">
        <v>360</v>
      </c>
    </row>
    <row r="1389" spans="6:8" x14ac:dyDescent="0.2">
      <c r="F1389" s="83" t="s">
        <v>179</v>
      </c>
      <c r="G1389" s="84" t="s">
        <v>407</v>
      </c>
      <c r="H1389" s="85" t="s">
        <v>1445</v>
      </c>
    </row>
    <row r="1390" spans="6:8" x14ac:dyDescent="0.2">
      <c r="F1390" s="83" t="s">
        <v>179</v>
      </c>
      <c r="G1390" s="84" t="s">
        <v>407</v>
      </c>
      <c r="H1390" s="85" t="s">
        <v>1446</v>
      </c>
    </row>
    <row r="1391" spans="6:8" x14ac:dyDescent="0.2">
      <c r="F1391" s="83" t="s">
        <v>179</v>
      </c>
      <c r="G1391" s="84" t="s">
        <v>407</v>
      </c>
      <c r="H1391" s="85" t="s">
        <v>1447</v>
      </c>
    </row>
    <row r="1392" spans="6:8" x14ac:dyDescent="0.2">
      <c r="F1392" s="83" t="s">
        <v>179</v>
      </c>
      <c r="G1392" s="84" t="s">
        <v>407</v>
      </c>
      <c r="H1392" s="85" t="s">
        <v>1448</v>
      </c>
    </row>
    <row r="1393" spans="6:8" x14ac:dyDescent="0.2">
      <c r="F1393" s="83" t="s">
        <v>179</v>
      </c>
      <c r="G1393" s="84" t="s">
        <v>407</v>
      </c>
      <c r="H1393" s="85" t="s">
        <v>1449</v>
      </c>
    </row>
    <row r="1394" spans="6:8" x14ac:dyDescent="0.2">
      <c r="F1394" s="83" t="s">
        <v>179</v>
      </c>
      <c r="G1394" s="84" t="s">
        <v>407</v>
      </c>
      <c r="H1394" s="85" t="s">
        <v>1450</v>
      </c>
    </row>
    <row r="1395" spans="6:8" x14ac:dyDescent="0.2">
      <c r="F1395" s="83" t="s">
        <v>179</v>
      </c>
      <c r="G1395" s="84" t="s">
        <v>407</v>
      </c>
      <c r="H1395" s="85" t="s">
        <v>1451</v>
      </c>
    </row>
    <row r="1396" spans="6:8" x14ac:dyDescent="0.2">
      <c r="F1396" s="83" t="s">
        <v>179</v>
      </c>
      <c r="G1396" s="84" t="s">
        <v>407</v>
      </c>
      <c r="H1396" s="85" t="s">
        <v>1452</v>
      </c>
    </row>
    <row r="1397" spans="6:8" x14ac:dyDescent="0.2">
      <c r="F1397" s="83" t="s">
        <v>179</v>
      </c>
      <c r="G1397" s="84" t="s">
        <v>407</v>
      </c>
      <c r="H1397" s="85" t="s">
        <v>1378</v>
      </c>
    </row>
    <row r="1398" spans="6:8" x14ac:dyDescent="0.2">
      <c r="F1398" s="83" t="s">
        <v>179</v>
      </c>
      <c r="G1398" s="84" t="s">
        <v>407</v>
      </c>
      <c r="H1398" s="85" t="s">
        <v>1453</v>
      </c>
    </row>
    <row r="1399" spans="6:8" x14ac:dyDescent="0.2">
      <c r="F1399" s="83" t="s">
        <v>179</v>
      </c>
      <c r="G1399" s="84" t="s">
        <v>407</v>
      </c>
      <c r="H1399" s="85" t="s">
        <v>1454</v>
      </c>
    </row>
    <row r="1400" spans="6:8" x14ac:dyDescent="0.2">
      <c r="F1400" s="83" t="s">
        <v>179</v>
      </c>
      <c r="G1400" s="84" t="s">
        <v>407</v>
      </c>
      <c r="H1400" s="85" t="s">
        <v>620</v>
      </c>
    </row>
    <row r="1401" spans="6:8" x14ac:dyDescent="0.2">
      <c r="F1401" s="83" t="s">
        <v>179</v>
      </c>
      <c r="G1401" s="84" t="s">
        <v>407</v>
      </c>
      <c r="H1401" s="85" t="s">
        <v>1455</v>
      </c>
    </row>
    <row r="1402" spans="6:8" x14ac:dyDescent="0.2">
      <c r="F1402" s="83" t="s">
        <v>179</v>
      </c>
      <c r="G1402" s="84" t="s">
        <v>407</v>
      </c>
      <c r="H1402" s="85" t="s">
        <v>1456</v>
      </c>
    </row>
    <row r="1403" spans="6:8" x14ac:dyDescent="0.2">
      <c r="F1403" s="83" t="s">
        <v>179</v>
      </c>
      <c r="G1403" s="84" t="s">
        <v>407</v>
      </c>
      <c r="H1403" s="85" t="s">
        <v>1457</v>
      </c>
    </row>
    <row r="1404" spans="6:8" x14ac:dyDescent="0.2">
      <c r="F1404" s="83" t="s">
        <v>179</v>
      </c>
      <c r="G1404" s="84" t="s">
        <v>407</v>
      </c>
      <c r="H1404" s="85" t="s">
        <v>1458</v>
      </c>
    </row>
    <row r="1405" spans="6:8" x14ac:dyDescent="0.2">
      <c r="F1405" s="83" t="s">
        <v>179</v>
      </c>
      <c r="G1405" s="84" t="s">
        <v>407</v>
      </c>
      <c r="H1405" s="85" t="s">
        <v>1459</v>
      </c>
    </row>
    <row r="1406" spans="6:8" x14ac:dyDescent="0.2">
      <c r="F1406" s="83" t="s">
        <v>179</v>
      </c>
      <c r="G1406" s="84" t="s">
        <v>407</v>
      </c>
      <c r="H1406" s="85" t="s">
        <v>1460</v>
      </c>
    </row>
    <row r="1407" spans="6:8" x14ac:dyDescent="0.2">
      <c r="F1407" s="83" t="s">
        <v>179</v>
      </c>
      <c r="G1407" s="84" t="s">
        <v>407</v>
      </c>
      <c r="H1407" s="85" t="s">
        <v>1461</v>
      </c>
    </row>
    <row r="1408" spans="6:8" x14ac:dyDescent="0.2">
      <c r="F1408" s="83" t="s">
        <v>179</v>
      </c>
      <c r="G1408" s="84" t="s">
        <v>407</v>
      </c>
      <c r="H1408" s="85" t="s">
        <v>1462</v>
      </c>
    </row>
    <row r="1409" spans="6:8" x14ac:dyDescent="0.2">
      <c r="F1409" s="83" t="s">
        <v>179</v>
      </c>
      <c r="G1409" s="84" t="s">
        <v>407</v>
      </c>
      <c r="H1409" s="85" t="s">
        <v>1463</v>
      </c>
    </row>
    <row r="1410" spans="6:8" x14ac:dyDescent="0.2">
      <c r="F1410" s="83" t="s">
        <v>179</v>
      </c>
      <c r="G1410" s="84" t="s">
        <v>407</v>
      </c>
      <c r="H1410" s="85" t="s">
        <v>1464</v>
      </c>
    </row>
    <row r="1411" spans="6:8" x14ac:dyDescent="0.2">
      <c r="F1411" s="83" t="s">
        <v>179</v>
      </c>
      <c r="G1411" s="84" t="s">
        <v>407</v>
      </c>
      <c r="H1411" s="85" t="s">
        <v>1465</v>
      </c>
    </row>
    <row r="1412" spans="6:8" x14ac:dyDescent="0.2">
      <c r="F1412" s="83" t="s">
        <v>179</v>
      </c>
      <c r="G1412" s="84" t="s">
        <v>407</v>
      </c>
      <c r="H1412" s="85" t="s">
        <v>1466</v>
      </c>
    </row>
    <row r="1413" spans="6:8" x14ac:dyDescent="0.2">
      <c r="F1413" s="83" t="s">
        <v>179</v>
      </c>
      <c r="G1413" s="84" t="s">
        <v>407</v>
      </c>
      <c r="H1413" s="85" t="s">
        <v>407</v>
      </c>
    </row>
    <row r="1414" spans="6:8" x14ac:dyDescent="0.2">
      <c r="F1414" s="83" t="s">
        <v>182</v>
      </c>
      <c r="G1414" s="84" t="s">
        <v>409</v>
      </c>
      <c r="H1414" s="85" t="s">
        <v>1467</v>
      </c>
    </row>
    <row r="1415" spans="6:8" x14ac:dyDescent="0.2">
      <c r="F1415" s="83" t="s">
        <v>182</v>
      </c>
      <c r="G1415" s="84" t="s">
        <v>409</v>
      </c>
      <c r="H1415" s="85" t="s">
        <v>393</v>
      </c>
    </row>
    <row r="1416" spans="6:8" x14ac:dyDescent="0.2">
      <c r="F1416" s="83" t="s">
        <v>182</v>
      </c>
      <c r="G1416" s="84" t="s">
        <v>409</v>
      </c>
      <c r="H1416" s="85" t="s">
        <v>1468</v>
      </c>
    </row>
    <row r="1417" spans="6:8" x14ac:dyDescent="0.2">
      <c r="F1417" s="83" t="s">
        <v>182</v>
      </c>
      <c r="G1417" s="84" t="s">
        <v>409</v>
      </c>
      <c r="H1417" s="85" t="s">
        <v>1469</v>
      </c>
    </row>
    <row r="1418" spans="6:8" x14ac:dyDescent="0.2">
      <c r="F1418" s="83" t="s">
        <v>182</v>
      </c>
      <c r="G1418" s="84" t="s">
        <v>409</v>
      </c>
      <c r="H1418" s="85" t="s">
        <v>1311</v>
      </c>
    </row>
    <row r="1419" spans="6:8" x14ac:dyDescent="0.2">
      <c r="F1419" s="83" t="s">
        <v>182</v>
      </c>
      <c r="G1419" s="84" t="s">
        <v>409</v>
      </c>
      <c r="H1419" s="85" t="s">
        <v>1470</v>
      </c>
    </row>
    <row r="1420" spans="6:8" x14ac:dyDescent="0.2">
      <c r="F1420" s="83" t="s">
        <v>182</v>
      </c>
      <c r="G1420" s="84" t="s">
        <v>409</v>
      </c>
      <c r="H1420" s="85" t="s">
        <v>1471</v>
      </c>
    </row>
    <row r="1421" spans="6:8" x14ac:dyDescent="0.2">
      <c r="F1421" s="83" t="s">
        <v>182</v>
      </c>
      <c r="G1421" s="84" t="s">
        <v>409</v>
      </c>
      <c r="H1421" s="85" t="s">
        <v>1472</v>
      </c>
    </row>
    <row r="1422" spans="6:8" x14ac:dyDescent="0.2">
      <c r="F1422" s="83" t="s">
        <v>182</v>
      </c>
      <c r="G1422" s="84" t="s">
        <v>409</v>
      </c>
      <c r="H1422" s="85" t="s">
        <v>285</v>
      </c>
    </row>
    <row r="1423" spans="6:8" x14ac:dyDescent="0.2">
      <c r="F1423" s="83" t="s">
        <v>182</v>
      </c>
      <c r="G1423" s="84" t="s">
        <v>409</v>
      </c>
      <c r="H1423" s="85" t="s">
        <v>1473</v>
      </c>
    </row>
    <row r="1424" spans="6:8" x14ac:dyDescent="0.2">
      <c r="F1424" s="83" t="s">
        <v>182</v>
      </c>
      <c r="G1424" s="84" t="s">
        <v>409</v>
      </c>
      <c r="H1424" s="85" t="s">
        <v>1474</v>
      </c>
    </row>
    <row r="1425" spans="6:8" x14ac:dyDescent="0.2">
      <c r="F1425" s="83" t="s">
        <v>182</v>
      </c>
      <c r="G1425" s="84" t="s">
        <v>410</v>
      </c>
      <c r="H1425" s="85" t="s">
        <v>1475</v>
      </c>
    </row>
    <row r="1426" spans="6:8" x14ac:dyDescent="0.2">
      <c r="F1426" s="83" t="s">
        <v>182</v>
      </c>
      <c r="G1426" s="84" t="s">
        <v>182</v>
      </c>
      <c r="H1426" s="85" t="s">
        <v>1476</v>
      </c>
    </row>
    <row r="1427" spans="6:8" x14ac:dyDescent="0.2">
      <c r="F1427" s="83" t="s">
        <v>182</v>
      </c>
      <c r="G1427" s="84" t="s">
        <v>182</v>
      </c>
      <c r="H1427" s="85" t="s">
        <v>1477</v>
      </c>
    </row>
    <row r="1428" spans="6:8" x14ac:dyDescent="0.2">
      <c r="F1428" s="83" t="s">
        <v>182</v>
      </c>
      <c r="G1428" s="84" t="s">
        <v>182</v>
      </c>
      <c r="H1428" s="85" t="s">
        <v>1478</v>
      </c>
    </row>
    <row r="1429" spans="6:8" x14ac:dyDescent="0.2">
      <c r="F1429" s="83" t="s">
        <v>182</v>
      </c>
      <c r="G1429" s="84" t="s">
        <v>182</v>
      </c>
      <c r="H1429" s="85" t="s">
        <v>1479</v>
      </c>
    </row>
    <row r="1430" spans="6:8" x14ac:dyDescent="0.2">
      <c r="F1430" s="83" t="s">
        <v>182</v>
      </c>
      <c r="G1430" s="84" t="s">
        <v>182</v>
      </c>
      <c r="H1430" s="85" t="s">
        <v>1480</v>
      </c>
    </row>
    <row r="1431" spans="6:8" x14ac:dyDescent="0.2">
      <c r="F1431" s="83" t="s">
        <v>182</v>
      </c>
      <c r="G1431" s="85" t="s">
        <v>226</v>
      </c>
      <c r="H1431" s="85" t="s">
        <v>1481</v>
      </c>
    </row>
    <row r="1432" spans="6:8" x14ac:dyDescent="0.2">
      <c r="F1432" s="83" t="s">
        <v>182</v>
      </c>
      <c r="G1432" s="85" t="s">
        <v>226</v>
      </c>
      <c r="H1432" s="85" t="s">
        <v>1482</v>
      </c>
    </row>
    <row r="1433" spans="6:8" x14ac:dyDescent="0.2">
      <c r="F1433" s="83" t="s">
        <v>182</v>
      </c>
      <c r="G1433" s="85" t="s">
        <v>226</v>
      </c>
      <c r="H1433" s="85" t="s">
        <v>1483</v>
      </c>
    </row>
    <row r="1434" spans="6:8" x14ac:dyDescent="0.2">
      <c r="F1434" s="83" t="s">
        <v>182</v>
      </c>
      <c r="G1434" s="85" t="s">
        <v>414</v>
      </c>
      <c r="H1434" s="85" t="s">
        <v>1484</v>
      </c>
    </row>
    <row r="1435" spans="6:8" x14ac:dyDescent="0.2">
      <c r="F1435" s="83" t="s">
        <v>182</v>
      </c>
      <c r="G1435" s="85" t="s">
        <v>414</v>
      </c>
      <c r="H1435" s="85" t="s">
        <v>790</v>
      </c>
    </row>
    <row r="1436" spans="6:8" x14ac:dyDescent="0.2">
      <c r="F1436" s="83" t="s">
        <v>182</v>
      </c>
      <c r="G1436" s="85" t="s">
        <v>414</v>
      </c>
      <c r="H1436" s="85" t="s">
        <v>1485</v>
      </c>
    </row>
    <row r="1437" spans="6:8" x14ac:dyDescent="0.2">
      <c r="F1437" s="83" t="s">
        <v>182</v>
      </c>
      <c r="G1437" s="85" t="s">
        <v>414</v>
      </c>
      <c r="H1437" s="85" t="s">
        <v>1486</v>
      </c>
    </row>
    <row r="1438" spans="6:8" x14ac:dyDescent="0.2">
      <c r="F1438" s="83" t="s">
        <v>182</v>
      </c>
      <c r="G1438" s="85" t="s">
        <v>414</v>
      </c>
      <c r="H1438" s="85" t="s">
        <v>1487</v>
      </c>
    </row>
    <row r="1439" spans="6:8" x14ac:dyDescent="0.2">
      <c r="F1439" s="83" t="s">
        <v>182</v>
      </c>
      <c r="G1439" s="85" t="s">
        <v>414</v>
      </c>
      <c r="H1439" s="85" t="s">
        <v>1488</v>
      </c>
    </row>
    <row r="1440" spans="6:8" x14ac:dyDescent="0.2">
      <c r="F1440" s="83" t="s">
        <v>182</v>
      </c>
      <c r="G1440" s="85" t="s">
        <v>414</v>
      </c>
      <c r="H1440" s="85" t="s">
        <v>1489</v>
      </c>
    </row>
    <row r="1441" spans="6:8" x14ac:dyDescent="0.2">
      <c r="F1441" s="83" t="s">
        <v>182</v>
      </c>
      <c r="G1441" s="85" t="s">
        <v>414</v>
      </c>
      <c r="H1441" s="85" t="s">
        <v>1490</v>
      </c>
    </row>
    <row r="1442" spans="6:8" x14ac:dyDescent="0.2">
      <c r="F1442" s="83" t="s">
        <v>182</v>
      </c>
      <c r="G1442" s="85" t="s">
        <v>414</v>
      </c>
      <c r="H1442" s="85" t="s">
        <v>1491</v>
      </c>
    </row>
    <row r="1443" spans="6:8" x14ac:dyDescent="0.2">
      <c r="F1443" s="83" t="s">
        <v>182</v>
      </c>
      <c r="G1443" s="85" t="s">
        <v>414</v>
      </c>
      <c r="H1443" s="85" t="s">
        <v>1492</v>
      </c>
    </row>
    <row r="1444" spans="6:8" x14ac:dyDescent="0.2">
      <c r="F1444" s="83" t="s">
        <v>182</v>
      </c>
      <c r="G1444" s="85" t="s">
        <v>414</v>
      </c>
      <c r="H1444" s="85" t="s">
        <v>735</v>
      </c>
    </row>
    <row r="1445" spans="6:8" x14ac:dyDescent="0.2">
      <c r="F1445" s="83" t="s">
        <v>182</v>
      </c>
      <c r="G1445" s="85" t="s">
        <v>414</v>
      </c>
      <c r="H1445" s="85" t="s">
        <v>1493</v>
      </c>
    </row>
    <row r="1446" spans="6:8" x14ac:dyDescent="0.2">
      <c r="F1446" s="83" t="s">
        <v>182</v>
      </c>
      <c r="G1446" s="85" t="s">
        <v>414</v>
      </c>
      <c r="H1446" s="85" t="s">
        <v>1494</v>
      </c>
    </row>
    <row r="1447" spans="6:8" x14ac:dyDescent="0.2">
      <c r="F1447" s="83" t="s">
        <v>182</v>
      </c>
      <c r="G1447" s="84" t="s">
        <v>416</v>
      </c>
      <c r="H1447" s="85" t="s">
        <v>1495</v>
      </c>
    </row>
    <row r="1448" spans="6:8" x14ac:dyDescent="0.2">
      <c r="F1448" s="83" t="s">
        <v>182</v>
      </c>
      <c r="G1448" s="84" t="s">
        <v>416</v>
      </c>
      <c r="H1448" s="85" t="s">
        <v>1496</v>
      </c>
    </row>
    <row r="1449" spans="6:8" x14ac:dyDescent="0.2">
      <c r="F1449" s="83" t="s">
        <v>182</v>
      </c>
      <c r="G1449" s="84" t="s">
        <v>416</v>
      </c>
      <c r="H1449" s="85" t="s">
        <v>1497</v>
      </c>
    </row>
    <row r="1450" spans="6:8" x14ac:dyDescent="0.2">
      <c r="F1450" s="83" t="s">
        <v>182</v>
      </c>
      <c r="G1450" s="84" t="s">
        <v>416</v>
      </c>
      <c r="H1450" s="85" t="s">
        <v>1498</v>
      </c>
    </row>
    <row r="1451" spans="6:8" x14ac:dyDescent="0.2">
      <c r="F1451" s="83" t="s">
        <v>182</v>
      </c>
      <c r="G1451" s="84" t="s">
        <v>416</v>
      </c>
      <c r="H1451" s="85" t="s">
        <v>1499</v>
      </c>
    </row>
    <row r="1452" spans="6:8" x14ac:dyDescent="0.2">
      <c r="F1452" s="83" t="s">
        <v>182</v>
      </c>
      <c r="G1452" s="84" t="s">
        <v>416</v>
      </c>
      <c r="H1452" s="85" t="s">
        <v>416</v>
      </c>
    </row>
    <row r="1453" spans="6:8" x14ac:dyDescent="0.2">
      <c r="F1453" s="83" t="s">
        <v>182</v>
      </c>
      <c r="G1453" s="84" t="s">
        <v>416</v>
      </c>
      <c r="H1453" s="85" t="s">
        <v>1500</v>
      </c>
    </row>
    <row r="1454" spans="6:8" x14ac:dyDescent="0.2">
      <c r="F1454" s="83" t="s">
        <v>182</v>
      </c>
      <c r="G1454" s="84" t="s">
        <v>416</v>
      </c>
      <c r="H1454" s="85" t="s">
        <v>1501</v>
      </c>
    </row>
    <row r="1455" spans="6:8" x14ac:dyDescent="0.2">
      <c r="F1455" s="83" t="s">
        <v>182</v>
      </c>
      <c r="G1455" s="84" t="s">
        <v>416</v>
      </c>
      <c r="H1455" s="85" t="s">
        <v>1502</v>
      </c>
    </row>
    <row r="1456" spans="6:8" x14ac:dyDescent="0.2">
      <c r="F1456" s="83" t="s">
        <v>182</v>
      </c>
      <c r="G1456" s="84" t="s">
        <v>416</v>
      </c>
      <c r="H1456" s="85" t="s">
        <v>1503</v>
      </c>
    </row>
    <row r="1457" spans="6:8" x14ac:dyDescent="0.2">
      <c r="F1457" s="83" t="s">
        <v>182</v>
      </c>
      <c r="G1457" s="84" t="s">
        <v>207</v>
      </c>
      <c r="H1457" s="85" t="s">
        <v>1504</v>
      </c>
    </row>
    <row r="1458" spans="6:8" x14ac:dyDescent="0.2">
      <c r="F1458" s="83" t="s">
        <v>182</v>
      </c>
      <c r="G1458" s="84" t="s">
        <v>207</v>
      </c>
      <c r="H1458" s="85" t="s">
        <v>1505</v>
      </c>
    </row>
    <row r="1459" spans="6:8" x14ac:dyDescent="0.2">
      <c r="F1459" s="83" t="s">
        <v>182</v>
      </c>
      <c r="G1459" s="84" t="s">
        <v>207</v>
      </c>
      <c r="H1459" s="85" t="s">
        <v>1506</v>
      </c>
    </row>
    <row r="1460" spans="6:8" x14ac:dyDescent="0.2">
      <c r="F1460" s="83" t="s">
        <v>182</v>
      </c>
      <c r="G1460" s="84" t="s">
        <v>207</v>
      </c>
      <c r="H1460" s="85" t="s">
        <v>1507</v>
      </c>
    </row>
    <row r="1461" spans="6:8" x14ac:dyDescent="0.2">
      <c r="F1461" s="83" t="s">
        <v>182</v>
      </c>
      <c r="G1461" s="84" t="s">
        <v>207</v>
      </c>
      <c r="H1461" s="85" t="s">
        <v>1508</v>
      </c>
    </row>
    <row r="1462" spans="6:8" x14ac:dyDescent="0.2">
      <c r="F1462" s="83" t="s">
        <v>182</v>
      </c>
      <c r="G1462" s="84" t="s">
        <v>207</v>
      </c>
      <c r="H1462" s="85" t="s">
        <v>1509</v>
      </c>
    </row>
    <row r="1463" spans="6:8" x14ac:dyDescent="0.2">
      <c r="F1463" s="83" t="s">
        <v>185</v>
      </c>
      <c r="G1463" s="85" t="s">
        <v>418</v>
      </c>
      <c r="H1463" s="85" t="s">
        <v>1510</v>
      </c>
    </row>
    <row r="1464" spans="6:8" x14ac:dyDescent="0.2">
      <c r="F1464" s="83" t="s">
        <v>185</v>
      </c>
      <c r="G1464" s="85" t="s">
        <v>418</v>
      </c>
      <c r="H1464" s="85" t="s">
        <v>1511</v>
      </c>
    </row>
    <row r="1465" spans="6:8" x14ac:dyDescent="0.2">
      <c r="F1465" s="83" t="s">
        <v>185</v>
      </c>
      <c r="G1465" s="85" t="s">
        <v>418</v>
      </c>
      <c r="H1465" s="85" t="s">
        <v>185</v>
      </c>
    </row>
    <row r="1466" spans="6:8" x14ac:dyDescent="0.2">
      <c r="F1466" s="83" t="s">
        <v>185</v>
      </c>
      <c r="G1466" s="85" t="s">
        <v>418</v>
      </c>
      <c r="H1466" s="85" t="s">
        <v>418</v>
      </c>
    </row>
    <row r="1467" spans="6:8" x14ac:dyDescent="0.2">
      <c r="F1467" s="83" t="s">
        <v>185</v>
      </c>
      <c r="G1467" s="84" t="s">
        <v>420</v>
      </c>
      <c r="H1467" s="85" t="s">
        <v>1512</v>
      </c>
    </row>
    <row r="1468" spans="6:8" x14ac:dyDescent="0.2">
      <c r="F1468" s="83" t="s">
        <v>185</v>
      </c>
      <c r="G1468" s="84" t="s">
        <v>420</v>
      </c>
      <c r="H1468" s="85" t="s">
        <v>1513</v>
      </c>
    </row>
    <row r="1469" spans="6:8" x14ac:dyDescent="0.2">
      <c r="F1469" s="83" t="s">
        <v>185</v>
      </c>
      <c r="G1469" s="84" t="s">
        <v>420</v>
      </c>
      <c r="H1469" s="85" t="s">
        <v>420</v>
      </c>
    </row>
    <row r="1470" spans="6:8" x14ac:dyDescent="0.2">
      <c r="F1470" s="83" t="s">
        <v>185</v>
      </c>
      <c r="G1470" s="84" t="s">
        <v>1833</v>
      </c>
      <c r="H1470" s="85" t="s">
        <v>1514</v>
      </c>
    </row>
    <row r="1471" spans="6:8" x14ac:dyDescent="0.2">
      <c r="F1471" s="83" t="s">
        <v>185</v>
      </c>
      <c r="G1471" s="84" t="s">
        <v>1833</v>
      </c>
      <c r="H1471" s="85" t="s">
        <v>1515</v>
      </c>
    </row>
    <row r="1472" spans="6:8" x14ac:dyDescent="0.2">
      <c r="F1472" s="83" t="s">
        <v>185</v>
      </c>
      <c r="G1472" s="84" t="s">
        <v>1833</v>
      </c>
      <c r="H1472" s="85" t="s">
        <v>1833</v>
      </c>
    </row>
    <row r="1473" spans="6:8" x14ac:dyDescent="0.2">
      <c r="F1473" s="83" t="s">
        <v>188</v>
      </c>
      <c r="G1473" s="85" t="s">
        <v>422</v>
      </c>
      <c r="H1473" s="85" t="s">
        <v>1516</v>
      </c>
    </row>
    <row r="1474" spans="6:8" x14ac:dyDescent="0.2">
      <c r="F1474" s="83" t="s">
        <v>188</v>
      </c>
      <c r="G1474" s="85" t="s">
        <v>422</v>
      </c>
      <c r="H1474" s="85" t="s">
        <v>1517</v>
      </c>
    </row>
    <row r="1475" spans="6:8" x14ac:dyDescent="0.2">
      <c r="F1475" s="83" t="s">
        <v>188</v>
      </c>
      <c r="G1475" s="85" t="s">
        <v>422</v>
      </c>
      <c r="H1475" s="85" t="s">
        <v>1518</v>
      </c>
    </row>
    <row r="1476" spans="6:8" x14ac:dyDescent="0.2">
      <c r="F1476" s="83" t="s">
        <v>188</v>
      </c>
      <c r="G1476" s="85" t="s">
        <v>422</v>
      </c>
      <c r="H1476" s="85" t="s">
        <v>1519</v>
      </c>
    </row>
    <row r="1477" spans="6:8" x14ac:dyDescent="0.2">
      <c r="F1477" s="83" t="s">
        <v>188</v>
      </c>
      <c r="G1477" s="85" t="s">
        <v>422</v>
      </c>
      <c r="H1477" s="85" t="s">
        <v>1520</v>
      </c>
    </row>
    <row r="1478" spans="6:8" x14ac:dyDescent="0.2">
      <c r="F1478" s="83" t="s">
        <v>188</v>
      </c>
      <c r="G1478" s="85" t="s">
        <v>422</v>
      </c>
      <c r="H1478" s="85" t="s">
        <v>1521</v>
      </c>
    </row>
    <row r="1479" spans="6:8" x14ac:dyDescent="0.2">
      <c r="F1479" s="83" t="s">
        <v>188</v>
      </c>
      <c r="G1479" s="85" t="s">
        <v>422</v>
      </c>
      <c r="H1479" s="85" t="s">
        <v>1522</v>
      </c>
    </row>
    <row r="1480" spans="6:8" x14ac:dyDescent="0.2">
      <c r="F1480" s="83" t="s">
        <v>188</v>
      </c>
      <c r="G1480" s="85" t="s">
        <v>422</v>
      </c>
      <c r="H1480" s="85" t="s">
        <v>1523</v>
      </c>
    </row>
    <row r="1481" spans="6:8" x14ac:dyDescent="0.2">
      <c r="F1481" s="83" t="s">
        <v>188</v>
      </c>
      <c r="G1481" s="85" t="s">
        <v>422</v>
      </c>
      <c r="H1481" s="85" t="s">
        <v>1524</v>
      </c>
    </row>
    <row r="1482" spans="6:8" x14ac:dyDescent="0.2">
      <c r="F1482" s="83" t="s">
        <v>188</v>
      </c>
      <c r="G1482" s="85" t="s">
        <v>422</v>
      </c>
      <c r="H1482" s="85" t="s">
        <v>1525</v>
      </c>
    </row>
    <row r="1483" spans="6:8" x14ac:dyDescent="0.2">
      <c r="F1483" s="83" t="s">
        <v>188</v>
      </c>
      <c r="G1483" s="85" t="s">
        <v>422</v>
      </c>
      <c r="H1483" s="85" t="s">
        <v>1526</v>
      </c>
    </row>
    <row r="1484" spans="6:8" x14ac:dyDescent="0.2">
      <c r="F1484" s="83" t="s">
        <v>188</v>
      </c>
      <c r="G1484" s="84" t="s">
        <v>424</v>
      </c>
      <c r="H1484" s="85" t="s">
        <v>424</v>
      </c>
    </row>
    <row r="1485" spans="6:8" x14ac:dyDescent="0.2">
      <c r="F1485" s="83" t="s">
        <v>188</v>
      </c>
      <c r="G1485" s="84" t="s">
        <v>424</v>
      </c>
      <c r="H1485" s="85" t="s">
        <v>1527</v>
      </c>
    </row>
    <row r="1486" spans="6:8" x14ac:dyDescent="0.2">
      <c r="F1486" s="83" t="s">
        <v>188</v>
      </c>
      <c r="G1486" s="84" t="s">
        <v>424</v>
      </c>
      <c r="H1486" s="85" t="s">
        <v>1528</v>
      </c>
    </row>
    <row r="1487" spans="6:8" x14ac:dyDescent="0.2">
      <c r="F1487" s="83" t="s">
        <v>188</v>
      </c>
      <c r="G1487" s="85" t="s">
        <v>426</v>
      </c>
      <c r="H1487" s="85" t="s">
        <v>1529</v>
      </c>
    </row>
    <row r="1488" spans="6:8" x14ac:dyDescent="0.2">
      <c r="F1488" s="83" t="s">
        <v>188</v>
      </c>
      <c r="G1488" s="85" t="s">
        <v>426</v>
      </c>
      <c r="H1488" s="85" t="s">
        <v>1530</v>
      </c>
    </row>
    <row r="1489" spans="6:8" x14ac:dyDescent="0.2">
      <c r="F1489" s="83" t="s">
        <v>188</v>
      </c>
      <c r="G1489" s="85" t="s">
        <v>426</v>
      </c>
      <c r="H1489" s="85" t="s">
        <v>188</v>
      </c>
    </row>
    <row r="1490" spans="6:8" x14ac:dyDescent="0.2">
      <c r="F1490" s="83" t="s">
        <v>188</v>
      </c>
      <c r="G1490" s="85" t="s">
        <v>426</v>
      </c>
      <c r="H1490" s="85" t="s">
        <v>1531</v>
      </c>
    </row>
    <row r="1491" spans="6:8" x14ac:dyDescent="0.2">
      <c r="F1491" s="83" t="s">
        <v>188</v>
      </c>
      <c r="G1491" s="85" t="s">
        <v>426</v>
      </c>
      <c r="H1491" s="85" t="s">
        <v>769</v>
      </c>
    </row>
    <row r="1492" spans="6:8" x14ac:dyDescent="0.2">
      <c r="F1492" s="83" t="s">
        <v>188</v>
      </c>
      <c r="G1492" s="85" t="s">
        <v>426</v>
      </c>
      <c r="H1492" s="85" t="s">
        <v>1532</v>
      </c>
    </row>
    <row r="1493" spans="6:8" x14ac:dyDescent="0.2">
      <c r="F1493" s="85" t="s">
        <v>191</v>
      </c>
      <c r="G1493" s="85" t="s">
        <v>1835</v>
      </c>
      <c r="H1493" s="85" t="s">
        <v>1533</v>
      </c>
    </row>
    <row r="1494" spans="6:8" x14ac:dyDescent="0.2">
      <c r="F1494" s="85" t="s">
        <v>191</v>
      </c>
      <c r="G1494" s="85" t="s">
        <v>1835</v>
      </c>
      <c r="H1494" s="85" t="s">
        <v>1534</v>
      </c>
    </row>
    <row r="1495" spans="6:8" x14ac:dyDescent="0.2">
      <c r="F1495" s="85" t="s">
        <v>191</v>
      </c>
      <c r="G1495" s="85" t="s">
        <v>1835</v>
      </c>
      <c r="H1495" s="85" t="s">
        <v>1535</v>
      </c>
    </row>
    <row r="1496" spans="6:8" x14ac:dyDescent="0.2">
      <c r="F1496" s="85" t="s">
        <v>191</v>
      </c>
      <c r="G1496" s="85" t="s">
        <v>1835</v>
      </c>
      <c r="H1496" s="85" t="s">
        <v>1536</v>
      </c>
    </row>
    <row r="1497" spans="6:8" x14ac:dyDescent="0.2">
      <c r="F1497" s="85" t="s">
        <v>191</v>
      </c>
      <c r="G1497" s="85" t="s">
        <v>1835</v>
      </c>
      <c r="H1497" s="85" t="s">
        <v>1537</v>
      </c>
    </row>
    <row r="1498" spans="6:8" x14ac:dyDescent="0.2">
      <c r="F1498" s="85" t="s">
        <v>191</v>
      </c>
      <c r="G1498" s="85" t="s">
        <v>1835</v>
      </c>
      <c r="H1498" s="85" t="s">
        <v>1538</v>
      </c>
    </row>
    <row r="1499" spans="6:8" x14ac:dyDescent="0.2">
      <c r="F1499" s="85" t="s">
        <v>191</v>
      </c>
      <c r="G1499" s="85" t="s">
        <v>1835</v>
      </c>
      <c r="H1499" s="85" t="s">
        <v>612</v>
      </c>
    </row>
    <row r="1500" spans="6:8" x14ac:dyDescent="0.2">
      <c r="F1500" s="85" t="s">
        <v>191</v>
      </c>
      <c r="G1500" s="85" t="s">
        <v>1835</v>
      </c>
      <c r="H1500" s="85" t="s">
        <v>1539</v>
      </c>
    </row>
    <row r="1501" spans="6:8" x14ac:dyDescent="0.2">
      <c r="F1501" s="85" t="s">
        <v>191</v>
      </c>
      <c r="G1501" s="85" t="s">
        <v>429</v>
      </c>
      <c r="H1501" s="85" t="s">
        <v>1540</v>
      </c>
    </row>
    <row r="1502" spans="6:8" x14ac:dyDescent="0.2">
      <c r="F1502" s="85" t="s">
        <v>191</v>
      </c>
      <c r="G1502" s="85" t="s">
        <v>429</v>
      </c>
      <c r="H1502" s="85" t="s">
        <v>1541</v>
      </c>
    </row>
    <row r="1503" spans="6:8" x14ac:dyDescent="0.2">
      <c r="F1503" s="85" t="s">
        <v>191</v>
      </c>
      <c r="G1503" s="85" t="s">
        <v>429</v>
      </c>
      <c r="H1503" s="85" t="s">
        <v>433</v>
      </c>
    </row>
    <row r="1504" spans="6:8" x14ac:dyDescent="0.2">
      <c r="F1504" s="85" t="s">
        <v>191</v>
      </c>
      <c r="G1504" s="85" t="s">
        <v>429</v>
      </c>
      <c r="H1504" s="85" t="s">
        <v>429</v>
      </c>
    </row>
    <row r="1505" spans="6:8" x14ac:dyDescent="0.2">
      <c r="F1505" s="85" t="s">
        <v>191</v>
      </c>
      <c r="G1505" s="85" t="s">
        <v>429</v>
      </c>
      <c r="H1505" s="85" t="s">
        <v>1542</v>
      </c>
    </row>
    <row r="1506" spans="6:8" x14ac:dyDescent="0.2">
      <c r="F1506" s="85" t="s">
        <v>191</v>
      </c>
      <c r="G1506" s="85" t="s">
        <v>429</v>
      </c>
      <c r="H1506" s="85" t="s">
        <v>1543</v>
      </c>
    </row>
    <row r="1507" spans="6:8" x14ac:dyDescent="0.2">
      <c r="F1507" s="85" t="s">
        <v>191</v>
      </c>
      <c r="G1507" s="85" t="s">
        <v>429</v>
      </c>
      <c r="H1507" s="85" t="s">
        <v>1544</v>
      </c>
    </row>
    <row r="1508" spans="6:8" x14ac:dyDescent="0.2">
      <c r="F1508" s="85" t="s">
        <v>191</v>
      </c>
      <c r="G1508" s="85" t="s">
        <v>429</v>
      </c>
      <c r="H1508" s="85" t="s">
        <v>1545</v>
      </c>
    </row>
    <row r="1509" spans="6:8" x14ac:dyDescent="0.2">
      <c r="F1509" s="85" t="s">
        <v>191</v>
      </c>
      <c r="G1509" s="84" t="s">
        <v>1836</v>
      </c>
      <c r="H1509" s="85" t="s">
        <v>1546</v>
      </c>
    </row>
    <row r="1510" spans="6:8" x14ac:dyDescent="0.2">
      <c r="F1510" s="85" t="s">
        <v>191</v>
      </c>
      <c r="G1510" s="84" t="s">
        <v>1836</v>
      </c>
      <c r="H1510" s="85" t="s">
        <v>1547</v>
      </c>
    </row>
    <row r="1511" spans="6:8" x14ac:dyDescent="0.2">
      <c r="F1511" s="85" t="s">
        <v>191</v>
      </c>
      <c r="G1511" s="84" t="s">
        <v>1836</v>
      </c>
      <c r="H1511" s="85" t="s">
        <v>1548</v>
      </c>
    </row>
    <row r="1512" spans="6:8" x14ac:dyDescent="0.2">
      <c r="F1512" s="85" t="s">
        <v>191</v>
      </c>
      <c r="G1512" s="84" t="s">
        <v>1836</v>
      </c>
      <c r="H1512" s="85" t="s">
        <v>1549</v>
      </c>
    </row>
    <row r="1513" spans="6:8" x14ac:dyDescent="0.2">
      <c r="F1513" s="85" t="s">
        <v>191</v>
      </c>
      <c r="G1513" s="84" t="s">
        <v>1836</v>
      </c>
      <c r="H1513" s="85" t="s">
        <v>426</v>
      </c>
    </row>
    <row r="1514" spans="6:8" x14ac:dyDescent="0.2">
      <c r="F1514" s="85" t="s">
        <v>191</v>
      </c>
      <c r="G1514" s="84" t="s">
        <v>1836</v>
      </c>
      <c r="H1514" s="85" t="s">
        <v>1550</v>
      </c>
    </row>
    <row r="1515" spans="6:8" x14ac:dyDescent="0.2">
      <c r="F1515" s="85" t="s">
        <v>191</v>
      </c>
      <c r="G1515" s="84" t="s">
        <v>1836</v>
      </c>
      <c r="H1515" s="85" t="s">
        <v>1551</v>
      </c>
    </row>
    <row r="1516" spans="6:8" x14ac:dyDescent="0.2">
      <c r="F1516" s="85" t="s">
        <v>191</v>
      </c>
      <c r="G1516" s="84" t="s">
        <v>1836</v>
      </c>
      <c r="H1516" s="85" t="s">
        <v>306</v>
      </c>
    </row>
    <row r="1517" spans="6:8" x14ac:dyDescent="0.2">
      <c r="F1517" s="85" t="s">
        <v>191</v>
      </c>
      <c r="G1517" s="84" t="s">
        <v>1836</v>
      </c>
      <c r="H1517" s="85" t="s">
        <v>1552</v>
      </c>
    </row>
    <row r="1518" spans="6:8" x14ac:dyDescent="0.2">
      <c r="F1518" s="85" t="s">
        <v>191</v>
      </c>
      <c r="G1518" s="84" t="s">
        <v>1836</v>
      </c>
      <c r="H1518" s="85" t="s">
        <v>1897</v>
      </c>
    </row>
    <row r="1519" spans="6:8" x14ac:dyDescent="0.2">
      <c r="F1519" s="85" t="s">
        <v>191</v>
      </c>
      <c r="G1519" s="84" t="s">
        <v>1836</v>
      </c>
      <c r="H1519" s="85" t="s">
        <v>1553</v>
      </c>
    </row>
    <row r="1520" spans="6:8" x14ac:dyDescent="0.2">
      <c r="F1520" s="85" t="s">
        <v>191</v>
      </c>
      <c r="G1520" s="84" t="s">
        <v>1836</v>
      </c>
      <c r="H1520" s="85" t="s">
        <v>1554</v>
      </c>
    </row>
    <row r="1521" spans="6:8" x14ac:dyDescent="0.2">
      <c r="F1521" s="85" t="s">
        <v>191</v>
      </c>
      <c r="G1521" s="84" t="s">
        <v>1836</v>
      </c>
      <c r="H1521" s="85" t="s">
        <v>1555</v>
      </c>
    </row>
    <row r="1522" spans="6:8" x14ac:dyDescent="0.2">
      <c r="F1522" s="85" t="s">
        <v>191</v>
      </c>
      <c r="G1522" s="84" t="s">
        <v>1836</v>
      </c>
      <c r="H1522" s="85" t="s">
        <v>1162</v>
      </c>
    </row>
    <row r="1523" spans="6:8" x14ac:dyDescent="0.2">
      <c r="F1523" s="83" t="s">
        <v>194</v>
      </c>
      <c r="G1523" s="84" t="s">
        <v>431</v>
      </c>
      <c r="H1523" s="85" t="s">
        <v>431</v>
      </c>
    </row>
    <row r="1524" spans="6:8" x14ac:dyDescent="0.2">
      <c r="F1524" s="83" t="s">
        <v>194</v>
      </c>
      <c r="G1524" s="84" t="s">
        <v>431</v>
      </c>
      <c r="H1524" s="85" t="s">
        <v>1556</v>
      </c>
    </row>
    <row r="1525" spans="6:8" x14ac:dyDescent="0.2">
      <c r="F1525" s="83" t="s">
        <v>194</v>
      </c>
      <c r="G1525" s="84" t="s">
        <v>431</v>
      </c>
      <c r="H1525" s="85" t="s">
        <v>1557</v>
      </c>
    </row>
    <row r="1526" spans="6:8" x14ac:dyDescent="0.2">
      <c r="F1526" s="83" t="s">
        <v>194</v>
      </c>
      <c r="G1526" s="84" t="s">
        <v>431</v>
      </c>
      <c r="H1526" s="85" t="s">
        <v>1311</v>
      </c>
    </row>
    <row r="1527" spans="6:8" x14ac:dyDescent="0.2">
      <c r="F1527" s="83" t="s">
        <v>194</v>
      </c>
      <c r="G1527" s="84" t="s">
        <v>431</v>
      </c>
      <c r="H1527" s="85" t="s">
        <v>1558</v>
      </c>
    </row>
    <row r="1528" spans="6:8" x14ac:dyDescent="0.2">
      <c r="F1528" s="83" t="s">
        <v>194</v>
      </c>
      <c r="G1528" s="84" t="s">
        <v>431</v>
      </c>
      <c r="H1528" s="85" t="s">
        <v>1559</v>
      </c>
    </row>
    <row r="1529" spans="6:8" x14ac:dyDescent="0.2">
      <c r="F1529" s="83" t="s">
        <v>194</v>
      </c>
      <c r="G1529" s="84" t="s">
        <v>431</v>
      </c>
      <c r="H1529" s="85" t="s">
        <v>1560</v>
      </c>
    </row>
    <row r="1530" spans="6:8" x14ac:dyDescent="0.2">
      <c r="F1530" s="83" t="s">
        <v>194</v>
      </c>
      <c r="G1530" s="84" t="s">
        <v>431</v>
      </c>
      <c r="H1530" s="85" t="s">
        <v>1561</v>
      </c>
    </row>
    <row r="1531" spans="6:8" x14ac:dyDescent="0.2">
      <c r="F1531" s="83" t="s">
        <v>194</v>
      </c>
      <c r="G1531" s="84" t="s">
        <v>431</v>
      </c>
      <c r="H1531" s="85" t="s">
        <v>1562</v>
      </c>
    </row>
    <row r="1532" spans="6:8" x14ac:dyDescent="0.2">
      <c r="F1532" s="83" t="s">
        <v>194</v>
      </c>
      <c r="G1532" s="84" t="s">
        <v>431</v>
      </c>
      <c r="H1532" s="85" t="s">
        <v>1563</v>
      </c>
    </row>
    <row r="1533" spans="6:8" x14ac:dyDescent="0.2">
      <c r="F1533" s="83" t="s">
        <v>194</v>
      </c>
      <c r="G1533" s="84" t="s">
        <v>433</v>
      </c>
      <c r="H1533" s="85" t="s">
        <v>1564</v>
      </c>
    </row>
    <row r="1534" spans="6:8" x14ac:dyDescent="0.2">
      <c r="F1534" s="83" t="s">
        <v>194</v>
      </c>
      <c r="G1534" s="84" t="s">
        <v>433</v>
      </c>
      <c r="H1534" s="85" t="s">
        <v>989</v>
      </c>
    </row>
    <row r="1535" spans="6:8" x14ac:dyDescent="0.2">
      <c r="F1535" s="83" t="s">
        <v>194</v>
      </c>
      <c r="G1535" s="84" t="s">
        <v>433</v>
      </c>
      <c r="H1535" s="85" t="s">
        <v>433</v>
      </c>
    </row>
    <row r="1536" spans="6:8" x14ac:dyDescent="0.2">
      <c r="F1536" s="83" t="s">
        <v>194</v>
      </c>
      <c r="G1536" s="84" t="s">
        <v>433</v>
      </c>
      <c r="H1536" s="85" t="s">
        <v>1565</v>
      </c>
    </row>
    <row r="1537" spans="6:8" x14ac:dyDescent="0.2">
      <c r="F1537" s="83" t="s">
        <v>194</v>
      </c>
      <c r="G1537" s="84" t="s">
        <v>433</v>
      </c>
      <c r="H1537" s="85" t="s">
        <v>1566</v>
      </c>
    </row>
    <row r="1538" spans="6:8" x14ac:dyDescent="0.2">
      <c r="F1538" s="83" t="s">
        <v>194</v>
      </c>
      <c r="G1538" s="84" t="s">
        <v>433</v>
      </c>
      <c r="H1538" s="85" t="s">
        <v>1567</v>
      </c>
    </row>
    <row r="1539" spans="6:8" x14ac:dyDescent="0.2">
      <c r="F1539" s="83" t="s">
        <v>194</v>
      </c>
      <c r="G1539" s="84" t="s">
        <v>433</v>
      </c>
      <c r="H1539" s="85" t="s">
        <v>1568</v>
      </c>
    </row>
    <row r="1540" spans="6:8" x14ac:dyDescent="0.2">
      <c r="F1540" s="83" t="s">
        <v>194</v>
      </c>
      <c r="G1540" s="84" t="s">
        <v>433</v>
      </c>
      <c r="H1540" s="85" t="s">
        <v>1569</v>
      </c>
    </row>
    <row r="1541" spans="6:8" x14ac:dyDescent="0.2">
      <c r="F1541" s="83" t="s">
        <v>194</v>
      </c>
      <c r="G1541" s="84" t="s">
        <v>435</v>
      </c>
      <c r="H1541" s="85" t="s">
        <v>1570</v>
      </c>
    </row>
    <row r="1542" spans="6:8" x14ac:dyDescent="0.2">
      <c r="F1542" s="83" t="s">
        <v>194</v>
      </c>
      <c r="G1542" s="84" t="s">
        <v>435</v>
      </c>
      <c r="H1542" s="85" t="s">
        <v>1571</v>
      </c>
    </row>
    <row r="1543" spans="6:8" x14ac:dyDescent="0.2">
      <c r="F1543" s="83" t="s">
        <v>194</v>
      </c>
      <c r="G1543" s="84" t="s">
        <v>435</v>
      </c>
      <c r="H1543" s="85" t="s">
        <v>1572</v>
      </c>
    </row>
    <row r="1544" spans="6:8" x14ac:dyDescent="0.2">
      <c r="F1544" s="83" t="s">
        <v>194</v>
      </c>
      <c r="G1544" s="84" t="s">
        <v>435</v>
      </c>
      <c r="H1544" s="85" t="s">
        <v>1573</v>
      </c>
    </row>
    <row r="1545" spans="6:8" x14ac:dyDescent="0.2">
      <c r="F1545" s="83" t="s">
        <v>194</v>
      </c>
      <c r="G1545" s="84" t="s">
        <v>435</v>
      </c>
      <c r="H1545" s="85" t="s">
        <v>435</v>
      </c>
    </row>
    <row r="1546" spans="6:8" x14ac:dyDescent="0.2">
      <c r="F1546" s="83" t="s">
        <v>194</v>
      </c>
      <c r="G1546" s="84" t="s">
        <v>435</v>
      </c>
      <c r="H1546" s="85" t="s">
        <v>1574</v>
      </c>
    </row>
    <row r="1547" spans="6:8" x14ac:dyDescent="0.2">
      <c r="F1547" s="83" t="s">
        <v>194</v>
      </c>
      <c r="G1547" s="84" t="s">
        <v>435</v>
      </c>
      <c r="H1547" s="85" t="s">
        <v>1575</v>
      </c>
    </row>
    <row r="1548" spans="6:8" x14ac:dyDescent="0.2">
      <c r="F1548" s="83" t="s">
        <v>194</v>
      </c>
      <c r="G1548" s="84" t="s">
        <v>435</v>
      </c>
      <c r="H1548" s="85" t="s">
        <v>280</v>
      </c>
    </row>
    <row r="1549" spans="6:8" x14ac:dyDescent="0.2">
      <c r="F1549" s="83" t="s">
        <v>194</v>
      </c>
      <c r="G1549" s="84" t="s">
        <v>435</v>
      </c>
      <c r="H1549" s="85" t="s">
        <v>1576</v>
      </c>
    </row>
    <row r="1550" spans="6:8" x14ac:dyDescent="0.2">
      <c r="F1550" s="83" t="s">
        <v>194</v>
      </c>
      <c r="G1550" s="84" t="s">
        <v>435</v>
      </c>
      <c r="H1550" s="85" t="s">
        <v>1577</v>
      </c>
    </row>
    <row r="1551" spans="6:8" x14ac:dyDescent="0.2">
      <c r="F1551" s="83" t="s">
        <v>194</v>
      </c>
      <c r="G1551" s="84" t="s">
        <v>436</v>
      </c>
      <c r="H1551" s="85" t="s">
        <v>1578</v>
      </c>
    </row>
    <row r="1552" spans="6:8" x14ac:dyDescent="0.2">
      <c r="F1552" s="83" t="s">
        <v>194</v>
      </c>
      <c r="G1552" s="84" t="s">
        <v>436</v>
      </c>
      <c r="H1552" s="85" t="s">
        <v>1579</v>
      </c>
    </row>
    <row r="1553" spans="6:8" x14ac:dyDescent="0.2">
      <c r="F1553" s="83" t="s">
        <v>194</v>
      </c>
      <c r="G1553" s="84" t="s">
        <v>436</v>
      </c>
      <c r="H1553" s="85" t="s">
        <v>1580</v>
      </c>
    </row>
    <row r="1554" spans="6:8" x14ac:dyDescent="0.2">
      <c r="F1554" s="83" t="s">
        <v>194</v>
      </c>
      <c r="G1554" s="84" t="s">
        <v>436</v>
      </c>
      <c r="H1554" s="85" t="s">
        <v>1581</v>
      </c>
    </row>
    <row r="1555" spans="6:8" x14ac:dyDescent="0.2">
      <c r="F1555" s="83" t="s">
        <v>194</v>
      </c>
      <c r="G1555" s="84" t="s">
        <v>436</v>
      </c>
      <c r="H1555" s="85" t="s">
        <v>436</v>
      </c>
    </row>
    <row r="1556" spans="6:8" x14ac:dyDescent="0.2">
      <c r="F1556" s="83" t="s">
        <v>194</v>
      </c>
      <c r="G1556" s="84" t="s">
        <v>436</v>
      </c>
      <c r="H1556" s="85" t="s">
        <v>1582</v>
      </c>
    </row>
    <row r="1557" spans="6:8" x14ac:dyDescent="0.2">
      <c r="F1557" s="83" t="s">
        <v>194</v>
      </c>
      <c r="G1557" s="84" t="s">
        <v>436</v>
      </c>
      <c r="H1557" s="85" t="s">
        <v>1583</v>
      </c>
    </row>
    <row r="1558" spans="6:8" x14ac:dyDescent="0.2">
      <c r="F1558" s="83" t="s">
        <v>194</v>
      </c>
      <c r="G1558" s="84" t="s">
        <v>194</v>
      </c>
      <c r="H1558" s="85" t="s">
        <v>467</v>
      </c>
    </row>
    <row r="1559" spans="6:8" x14ac:dyDescent="0.2">
      <c r="F1559" s="83" t="s">
        <v>194</v>
      </c>
      <c r="G1559" s="84" t="s">
        <v>194</v>
      </c>
      <c r="H1559" s="85" t="s">
        <v>1584</v>
      </c>
    </row>
    <row r="1560" spans="6:8" x14ac:dyDescent="0.2">
      <c r="F1560" s="83" t="s">
        <v>194</v>
      </c>
      <c r="G1560" s="84" t="s">
        <v>194</v>
      </c>
      <c r="H1560" s="85" t="s">
        <v>231</v>
      </c>
    </row>
    <row r="1561" spans="6:8" x14ac:dyDescent="0.2">
      <c r="F1561" s="83" t="s">
        <v>194</v>
      </c>
      <c r="G1561" s="84" t="s">
        <v>194</v>
      </c>
      <c r="H1561" s="85" t="s">
        <v>1585</v>
      </c>
    </row>
    <row r="1562" spans="6:8" x14ac:dyDescent="0.2">
      <c r="F1562" s="83" t="s">
        <v>194</v>
      </c>
      <c r="G1562" s="84" t="s">
        <v>194</v>
      </c>
      <c r="H1562" s="85" t="s">
        <v>1586</v>
      </c>
    </row>
    <row r="1563" spans="6:8" x14ac:dyDescent="0.2">
      <c r="F1563" s="83" t="s">
        <v>194</v>
      </c>
      <c r="G1563" s="84" t="s">
        <v>194</v>
      </c>
      <c r="H1563" s="85" t="s">
        <v>1587</v>
      </c>
    </row>
    <row r="1564" spans="6:8" x14ac:dyDescent="0.2">
      <c r="F1564" s="83" t="s">
        <v>194</v>
      </c>
      <c r="G1564" s="84" t="s">
        <v>194</v>
      </c>
      <c r="H1564" s="85" t="s">
        <v>1588</v>
      </c>
    </row>
    <row r="1565" spans="6:8" x14ac:dyDescent="0.2">
      <c r="F1565" s="83" t="s">
        <v>194</v>
      </c>
      <c r="G1565" s="84" t="s">
        <v>194</v>
      </c>
      <c r="H1565" s="85" t="s">
        <v>1589</v>
      </c>
    </row>
    <row r="1566" spans="6:8" x14ac:dyDescent="0.2">
      <c r="F1566" s="83" t="s">
        <v>194</v>
      </c>
      <c r="G1566" s="84" t="s">
        <v>194</v>
      </c>
      <c r="H1566" s="85" t="s">
        <v>239</v>
      </c>
    </row>
    <row r="1567" spans="6:8" x14ac:dyDescent="0.2">
      <c r="F1567" s="83" t="s">
        <v>194</v>
      </c>
      <c r="G1567" s="84" t="s">
        <v>194</v>
      </c>
      <c r="H1567" s="85" t="s">
        <v>1590</v>
      </c>
    </row>
    <row r="1568" spans="6:8" x14ac:dyDescent="0.2">
      <c r="F1568" s="83" t="s">
        <v>194</v>
      </c>
      <c r="G1568" s="84" t="s">
        <v>194</v>
      </c>
      <c r="H1568" s="85" t="s">
        <v>194</v>
      </c>
    </row>
    <row r="1569" spans="6:8" x14ac:dyDescent="0.2">
      <c r="F1569" s="83" t="s">
        <v>194</v>
      </c>
      <c r="G1569" s="84" t="s">
        <v>194</v>
      </c>
      <c r="H1569" s="85" t="s">
        <v>1591</v>
      </c>
    </row>
    <row r="1570" spans="6:8" x14ac:dyDescent="0.2">
      <c r="F1570" s="83" t="s">
        <v>194</v>
      </c>
      <c r="G1570" s="84" t="s">
        <v>194</v>
      </c>
      <c r="H1570" s="85" t="s">
        <v>1592</v>
      </c>
    </row>
    <row r="1571" spans="6:8" x14ac:dyDescent="0.2">
      <c r="F1571" s="83" t="s">
        <v>194</v>
      </c>
      <c r="G1571" s="84" t="s">
        <v>194</v>
      </c>
      <c r="H1571" s="85" t="s">
        <v>1593</v>
      </c>
    </row>
    <row r="1572" spans="6:8" x14ac:dyDescent="0.2">
      <c r="F1572" s="83" t="s">
        <v>194</v>
      </c>
      <c r="G1572" s="84" t="s">
        <v>194</v>
      </c>
      <c r="H1572" s="85" t="s">
        <v>1594</v>
      </c>
    </row>
    <row r="1573" spans="6:8" x14ac:dyDescent="0.2">
      <c r="F1573" s="83" t="s">
        <v>194</v>
      </c>
      <c r="G1573" s="84" t="s">
        <v>194</v>
      </c>
      <c r="H1573" s="85" t="s">
        <v>1595</v>
      </c>
    </row>
    <row r="1574" spans="6:8" x14ac:dyDescent="0.2">
      <c r="F1574" s="83" t="s">
        <v>194</v>
      </c>
      <c r="G1574" s="84" t="s">
        <v>439</v>
      </c>
      <c r="H1574" s="85" t="s">
        <v>467</v>
      </c>
    </row>
    <row r="1575" spans="6:8" x14ac:dyDescent="0.2">
      <c r="F1575" s="83" t="s">
        <v>194</v>
      </c>
      <c r="G1575" s="84" t="s">
        <v>439</v>
      </c>
      <c r="H1575" s="85" t="s">
        <v>1596</v>
      </c>
    </row>
    <row r="1576" spans="6:8" x14ac:dyDescent="0.2">
      <c r="F1576" s="83" t="s">
        <v>194</v>
      </c>
      <c r="G1576" s="84" t="s">
        <v>439</v>
      </c>
      <c r="H1576" s="85" t="s">
        <v>1597</v>
      </c>
    </row>
    <row r="1577" spans="6:8" x14ac:dyDescent="0.2">
      <c r="F1577" s="83" t="s">
        <v>194</v>
      </c>
      <c r="G1577" s="84" t="s">
        <v>439</v>
      </c>
      <c r="H1577" s="85" t="s">
        <v>1598</v>
      </c>
    </row>
    <row r="1578" spans="6:8" x14ac:dyDescent="0.2">
      <c r="F1578" s="83" t="s">
        <v>194</v>
      </c>
      <c r="G1578" s="84" t="s">
        <v>439</v>
      </c>
      <c r="H1578" s="85" t="s">
        <v>1599</v>
      </c>
    </row>
    <row r="1579" spans="6:8" x14ac:dyDescent="0.2">
      <c r="F1579" s="83" t="s">
        <v>194</v>
      </c>
      <c r="G1579" s="84" t="s">
        <v>439</v>
      </c>
      <c r="H1579" s="85" t="s">
        <v>1600</v>
      </c>
    </row>
    <row r="1580" spans="6:8" x14ac:dyDescent="0.2">
      <c r="F1580" s="83" t="s">
        <v>194</v>
      </c>
      <c r="G1580" s="84" t="s">
        <v>439</v>
      </c>
      <c r="H1580" s="85" t="s">
        <v>1574</v>
      </c>
    </row>
    <row r="1581" spans="6:8" x14ac:dyDescent="0.2">
      <c r="F1581" s="83" t="s">
        <v>194</v>
      </c>
      <c r="G1581" s="84" t="s">
        <v>439</v>
      </c>
      <c r="H1581" s="85" t="s">
        <v>439</v>
      </c>
    </row>
    <row r="1582" spans="6:8" x14ac:dyDescent="0.2">
      <c r="F1582" s="83" t="s">
        <v>194</v>
      </c>
      <c r="G1582" s="84" t="s">
        <v>441</v>
      </c>
      <c r="H1582" s="85" t="s">
        <v>1601</v>
      </c>
    </row>
    <row r="1583" spans="6:8" x14ac:dyDescent="0.2">
      <c r="F1583" s="83" t="s">
        <v>194</v>
      </c>
      <c r="G1583" s="84" t="s">
        <v>441</v>
      </c>
      <c r="H1583" s="85" t="s">
        <v>1602</v>
      </c>
    </row>
    <row r="1584" spans="6:8" x14ac:dyDescent="0.2">
      <c r="F1584" s="83" t="s">
        <v>194</v>
      </c>
      <c r="G1584" s="84" t="s">
        <v>441</v>
      </c>
      <c r="H1584" s="85" t="s">
        <v>1603</v>
      </c>
    </row>
    <row r="1585" spans="6:8" x14ac:dyDescent="0.2">
      <c r="F1585" s="83" t="s">
        <v>194</v>
      </c>
      <c r="G1585" s="84" t="s">
        <v>441</v>
      </c>
      <c r="H1585" s="85" t="s">
        <v>1604</v>
      </c>
    </row>
    <row r="1586" spans="6:8" x14ac:dyDescent="0.2">
      <c r="F1586" s="83" t="s">
        <v>194</v>
      </c>
      <c r="G1586" s="84" t="s">
        <v>441</v>
      </c>
      <c r="H1586" s="85" t="s">
        <v>1605</v>
      </c>
    </row>
    <row r="1587" spans="6:8" x14ac:dyDescent="0.2">
      <c r="F1587" s="83" t="s">
        <v>194</v>
      </c>
      <c r="G1587" s="84" t="s">
        <v>441</v>
      </c>
      <c r="H1587" s="85" t="s">
        <v>1898</v>
      </c>
    </row>
    <row r="1588" spans="6:8" x14ac:dyDescent="0.2">
      <c r="F1588" s="84" t="s">
        <v>197</v>
      </c>
      <c r="G1588" s="84" t="s">
        <v>443</v>
      </c>
      <c r="H1588" s="85" t="s">
        <v>1606</v>
      </c>
    </row>
    <row r="1589" spans="6:8" x14ac:dyDescent="0.2">
      <c r="F1589" s="84" t="s">
        <v>197</v>
      </c>
      <c r="G1589" s="84" t="s">
        <v>443</v>
      </c>
      <c r="H1589" s="85" t="s">
        <v>1607</v>
      </c>
    </row>
    <row r="1590" spans="6:8" x14ac:dyDescent="0.2">
      <c r="F1590" s="84" t="s">
        <v>197</v>
      </c>
      <c r="G1590" s="84" t="s">
        <v>443</v>
      </c>
      <c r="H1590" s="85" t="s">
        <v>1608</v>
      </c>
    </row>
    <row r="1591" spans="6:8" x14ac:dyDescent="0.2">
      <c r="F1591" s="84" t="s">
        <v>197</v>
      </c>
      <c r="G1591" s="84" t="s">
        <v>443</v>
      </c>
      <c r="H1591" s="85" t="s">
        <v>443</v>
      </c>
    </row>
    <row r="1592" spans="6:8" x14ac:dyDescent="0.2">
      <c r="F1592" s="84" t="s">
        <v>197</v>
      </c>
      <c r="G1592" s="84" t="s">
        <v>443</v>
      </c>
      <c r="H1592" s="85" t="s">
        <v>1609</v>
      </c>
    </row>
    <row r="1593" spans="6:8" x14ac:dyDescent="0.2">
      <c r="F1593" s="84" t="s">
        <v>197</v>
      </c>
      <c r="G1593" s="84" t="s">
        <v>443</v>
      </c>
      <c r="H1593" s="85" t="s">
        <v>1610</v>
      </c>
    </row>
    <row r="1594" spans="6:8" x14ac:dyDescent="0.2">
      <c r="F1594" s="84" t="s">
        <v>197</v>
      </c>
      <c r="G1594" s="84" t="s">
        <v>443</v>
      </c>
      <c r="H1594" s="85" t="s">
        <v>1611</v>
      </c>
    </row>
    <row r="1595" spans="6:8" x14ac:dyDescent="0.2">
      <c r="F1595" s="84" t="s">
        <v>197</v>
      </c>
      <c r="G1595" s="84" t="s">
        <v>443</v>
      </c>
      <c r="H1595" s="85" t="s">
        <v>1612</v>
      </c>
    </row>
    <row r="1596" spans="6:8" x14ac:dyDescent="0.2">
      <c r="F1596" s="84" t="s">
        <v>197</v>
      </c>
      <c r="G1596" s="84" t="s">
        <v>443</v>
      </c>
      <c r="H1596" s="85" t="s">
        <v>1613</v>
      </c>
    </row>
    <row r="1597" spans="6:8" x14ac:dyDescent="0.2">
      <c r="F1597" s="84" t="s">
        <v>197</v>
      </c>
      <c r="G1597" s="84" t="s">
        <v>443</v>
      </c>
      <c r="H1597" s="85" t="s">
        <v>1614</v>
      </c>
    </row>
    <row r="1598" spans="6:8" x14ac:dyDescent="0.2">
      <c r="F1598" s="84" t="s">
        <v>197</v>
      </c>
      <c r="G1598" s="84" t="s">
        <v>443</v>
      </c>
      <c r="H1598" s="85" t="s">
        <v>1615</v>
      </c>
    </row>
    <row r="1599" spans="6:8" x14ac:dyDescent="0.2">
      <c r="F1599" s="84" t="s">
        <v>197</v>
      </c>
      <c r="G1599" s="84" t="s">
        <v>443</v>
      </c>
      <c r="H1599" s="85" t="s">
        <v>1616</v>
      </c>
    </row>
    <row r="1600" spans="6:8" x14ac:dyDescent="0.2">
      <c r="F1600" s="84" t="s">
        <v>197</v>
      </c>
      <c r="G1600" s="84" t="s">
        <v>443</v>
      </c>
      <c r="H1600" s="85" t="s">
        <v>1617</v>
      </c>
    </row>
    <row r="1601" spans="6:8" x14ac:dyDescent="0.2">
      <c r="F1601" s="84" t="s">
        <v>197</v>
      </c>
      <c r="G1601" s="84" t="s">
        <v>443</v>
      </c>
      <c r="H1601" s="85" t="s">
        <v>1618</v>
      </c>
    </row>
    <row r="1602" spans="6:8" x14ac:dyDescent="0.2">
      <c r="F1602" s="84" t="s">
        <v>197</v>
      </c>
      <c r="G1602" s="84" t="s">
        <v>443</v>
      </c>
      <c r="H1602" s="85" t="s">
        <v>1619</v>
      </c>
    </row>
    <row r="1603" spans="6:8" x14ac:dyDescent="0.2">
      <c r="F1603" s="84" t="s">
        <v>197</v>
      </c>
      <c r="G1603" s="84" t="s">
        <v>445</v>
      </c>
      <c r="H1603" s="85" t="s">
        <v>1620</v>
      </c>
    </row>
    <row r="1604" spans="6:8" x14ac:dyDescent="0.2">
      <c r="F1604" s="84" t="s">
        <v>197</v>
      </c>
      <c r="G1604" s="84" t="s">
        <v>445</v>
      </c>
      <c r="H1604" s="85" t="s">
        <v>1621</v>
      </c>
    </row>
    <row r="1605" spans="6:8" x14ac:dyDescent="0.2">
      <c r="F1605" s="84" t="s">
        <v>197</v>
      </c>
      <c r="G1605" s="84" t="s">
        <v>445</v>
      </c>
      <c r="H1605" s="85" t="s">
        <v>1622</v>
      </c>
    </row>
    <row r="1606" spans="6:8" x14ac:dyDescent="0.2">
      <c r="F1606" s="84" t="s">
        <v>197</v>
      </c>
      <c r="G1606" s="84" t="s">
        <v>445</v>
      </c>
      <c r="H1606" s="85" t="s">
        <v>1623</v>
      </c>
    </row>
    <row r="1607" spans="6:8" x14ac:dyDescent="0.2">
      <c r="F1607" s="84" t="s">
        <v>197</v>
      </c>
      <c r="G1607" s="84" t="s">
        <v>445</v>
      </c>
      <c r="H1607" s="85" t="s">
        <v>1624</v>
      </c>
    </row>
    <row r="1608" spans="6:8" x14ac:dyDescent="0.2">
      <c r="F1608" s="84" t="s">
        <v>197</v>
      </c>
      <c r="G1608" s="84" t="s">
        <v>445</v>
      </c>
      <c r="H1608" s="85" t="s">
        <v>1625</v>
      </c>
    </row>
    <row r="1609" spans="6:8" x14ac:dyDescent="0.2">
      <c r="F1609" s="84" t="s">
        <v>197</v>
      </c>
      <c r="G1609" s="84" t="s">
        <v>445</v>
      </c>
      <c r="H1609" s="85" t="s">
        <v>1626</v>
      </c>
    </row>
    <row r="1610" spans="6:8" x14ac:dyDescent="0.2">
      <c r="F1610" s="84" t="s">
        <v>197</v>
      </c>
      <c r="G1610" s="84" t="s">
        <v>445</v>
      </c>
      <c r="H1610" s="85" t="s">
        <v>1627</v>
      </c>
    </row>
    <row r="1611" spans="6:8" x14ac:dyDescent="0.2">
      <c r="F1611" s="84" t="s">
        <v>197</v>
      </c>
      <c r="G1611" s="84" t="s">
        <v>445</v>
      </c>
      <c r="H1611" s="85" t="s">
        <v>1628</v>
      </c>
    </row>
    <row r="1612" spans="6:8" x14ac:dyDescent="0.2">
      <c r="F1612" s="84" t="s">
        <v>197</v>
      </c>
      <c r="G1612" s="84" t="s">
        <v>445</v>
      </c>
      <c r="H1612" s="85" t="s">
        <v>1629</v>
      </c>
    </row>
    <row r="1613" spans="6:8" x14ac:dyDescent="0.2">
      <c r="F1613" s="84" t="s">
        <v>197</v>
      </c>
      <c r="G1613" s="84" t="s">
        <v>447</v>
      </c>
      <c r="H1613" s="85" t="s">
        <v>1630</v>
      </c>
    </row>
    <row r="1614" spans="6:8" x14ac:dyDescent="0.2">
      <c r="F1614" s="84" t="s">
        <v>197</v>
      </c>
      <c r="G1614" s="84" t="s">
        <v>447</v>
      </c>
      <c r="H1614" s="85" t="s">
        <v>1631</v>
      </c>
    </row>
    <row r="1615" spans="6:8" x14ac:dyDescent="0.2">
      <c r="F1615" s="84" t="s">
        <v>197</v>
      </c>
      <c r="G1615" s="84" t="s">
        <v>447</v>
      </c>
      <c r="H1615" s="85" t="s">
        <v>1632</v>
      </c>
    </row>
    <row r="1616" spans="6:8" x14ac:dyDescent="0.2">
      <c r="F1616" s="84" t="s">
        <v>197</v>
      </c>
      <c r="G1616" s="84" t="s">
        <v>447</v>
      </c>
      <c r="H1616" s="85" t="s">
        <v>1633</v>
      </c>
    </row>
    <row r="1617" spans="6:8" x14ac:dyDescent="0.2">
      <c r="F1617" s="84" t="s">
        <v>197</v>
      </c>
      <c r="G1617" s="84" t="s">
        <v>447</v>
      </c>
      <c r="H1617" s="85" t="s">
        <v>1634</v>
      </c>
    </row>
    <row r="1618" spans="6:8" x14ac:dyDescent="0.2">
      <c r="F1618" s="84" t="s">
        <v>197</v>
      </c>
      <c r="G1618" s="84" t="s">
        <v>447</v>
      </c>
      <c r="H1618" s="85" t="s">
        <v>1635</v>
      </c>
    </row>
    <row r="1619" spans="6:8" x14ac:dyDescent="0.2">
      <c r="F1619" s="84" t="s">
        <v>197</v>
      </c>
      <c r="G1619" s="84" t="s">
        <v>447</v>
      </c>
      <c r="H1619" s="85" t="s">
        <v>1636</v>
      </c>
    </row>
    <row r="1620" spans="6:8" x14ac:dyDescent="0.2">
      <c r="F1620" s="84" t="s">
        <v>197</v>
      </c>
      <c r="G1620" s="84" t="s">
        <v>447</v>
      </c>
      <c r="H1620" s="85" t="s">
        <v>1637</v>
      </c>
    </row>
    <row r="1621" spans="6:8" x14ac:dyDescent="0.2">
      <c r="F1621" s="84" t="s">
        <v>197</v>
      </c>
      <c r="G1621" s="84" t="s">
        <v>447</v>
      </c>
      <c r="H1621" s="85" t="s">
        <v>303</v>
      </c>
    </row>
    <row r="1622" spans="6:8" x14ac:dyDescent="0.2">
      <c r="F1622" s="84" t="s">
        <v>197</v>
      </c>
      <c r="G1622" s="84" t="s">
        <v>447</v>
      </c>
      <c r="H1622" s="85" t="s">
        <v>1638</v>
      </c>
    </row>
    <row r="1623" spans="6:8" x14ac:dyDescent="0.2">
      <c r="F1623" s="84" t="s">
        <v>197</v>
      </c>
      <c r="G1623" s="84" t="s">
        <v>449</v>
      </c>
      <c r="H1623" s="85" t="s">
        <v>1639</v>
      </c>
    </row>
    <row r="1624" spans="6:8" x14ac:dyDescent="0.2">
      <c r="F1624" s="84" t="s">
        <v>197</v>
      </c>
      <c r="G1624" s="84" t="s">
        <v>451</v>
      </c>
      <c r="H1624" s="85" t="s">
        <v>1640</v>
      </c>
    </row>
    <row r="1625" spans="6:8" x14ac:dyDescent="0.2">
      <c r="F1625" s="84" t="s">
        <v>197</v>
      </c>
      <c r="G1625" s="84" t="s">
        <v>451</v>
      </c>
      <c r="H1625" s="85" t="s">
        <v>451</v>
      </c>
    </row>
    <row r="1626" spans="6:8" x14ac:dyDescent="0.2">
      <c r="F1626" s="84" t="s">
        <v>197</v>
      </c>
      <c r="G1626" s="84" t="s">
        <v>451</v>
      </c>
      <c r="H1626" s="85" t="s">
        <v>1641</v>
      </c>
    </row>
    <row r="1627" spans="6:8" x14ac:dyDescent="0.2">
      <c r="F1627" s="84" t="s">
        <v>197</v>
      </c>
      <c r="G1627" s="84" t="s">
        <v>451</v>
      </c>
      <c r="H1627" s="85" t="s">
        <v>1642</v>
      </c>
    </row>
    <row r="1628" spans="6:8" x14ac:dyDescent="0.2">
      <c r="F1628" s="84" t="s">
        <v>197</v>
      </c>
      <c r="G1628" s="84" t="s">
        <v>451</v>
      </c>
      <c r="H1628" s="85" t="s">
        <v>1643</v>
      </c>
    </row>
    <row r="1629" spans="6:8" x14ac:dyDescent="0.2">
      <c r="F1629" s="84" t="s">
        <v>197</v>
      </c>
      <c r="G1629" s="84" t="s">
        <v>451</v>
      </c>
      <c r="H1629" s="85" t="s">
        <v>1644</v>
      </c>
    </row>
    <row r="1630" spans="6:8" x14ac:dyDescent="0.2">
      <c r="F1630" s="84" t="s">
        <v>197</v>
      </c>
      <c r="G1630" s="84" t="s">
        <v>451</v>
      </c>
      <c r="H1630" s="85" t="s">
        <v>1645</v>
      </c>
    </row>
    <row r="1631" spans="6:8" x14ac:dyDescent="0.2">
      <c r="F1631" s="84" t="s">
        <v>197</v>
      </c>
      <c r="G1631" s="84" t="s">
        <v>451</v>
      </c>
      <c r="H1631" s="85" t="s">
        <v>1646</v>
      </c>
    </row>
    <row r="1632" spans="6:8" x14ac:dyDescent="0.2">
      <c r="F1632" s="84" t="s">
        <v>197</v>
      </c>
      <c r="G1632" s="84" t="s">
        <v>453</v>
      </c>
      <c r="H1632" s="85" t="s">
        <v>1647</v>
      </c>
    </row>
    <row r="1633" spans="6:8" x14ac:dyDescent="0.2">
      <c r="F1633" s="84" t="s">
        <v>197</v>
      </c>
      <c r="G1633" s="84" t="s">
        <v>453</v>
      </c>
      <c r="H1633" s="85" t="s">
        <v>453</v>
      </c>
    </row>
    <row r="1634" spans="6:8" x14ac:dyDescent="0.2">
      <c r="F1634" s="84" t="s">
        <v>197</v>
      </c>
      <c r="G1634" s="84" t="s">
        <v>455</v>
      </c>
      <c r="H1634" s="85" t="s">
        <v>1648</v>
      </c>
    </row>
    <row r="1635" spans="6:8" x14ac:dyDescent="0.2">
      <c r="F1635" s="84" t="s">
        <v>197</v>
      </c>
      <c r="G1635" s="84" t="s">
        <v>455</v>
      </c>
      <c r="H1635" s="85" t="s">
        <v>1649</v>
      </c>
    </row>
    <row r="1636" spans="6:8" x14ac:dyDescent="0.2">
      <c r="F1636" s="84" t="s">
        <v>197</v>
      </c>
      <c r="G1636" s="84" t="s">
        <v>455</v>
      </c>
      <c r="H1636" s="85" t="s">
        <v>455</v>
      </c>
    </row>
    <row r="1637" spans="6:8" x14ac:dyDescent="0.2">
      <c r="F1637" s="84" t="s">
        <v>197</v>
      </c>
      <c r="G1637" s="84" t="s">
        <v>455</v>
      </c>
      <c r="H1637" s="85" t="s">
        <v>1650</v>
      </c>
    </row>
    <row r="1638" spans="6:8" x14ac:dyDescent="0.2">
      <c r="F1638" s="84" t="s">
        <v>197</v>
      </c>
      <c r="G1638" s="84" t="s">
        <v>455</v>
      </c>
      <c r="H1638" s="85" t="s">
        <v>1651</v>
      </c>
    </row>
    <row r="1639" spans="6:8" x14ac:dyDescent="0.2">
      <c r="F1639" s="84" t="s">
        <v>197</v>
      </c>
      <c r="G1639" s="84" t="s">
        <v>455</v>
      </c>
      <c r="H1639" s="85" t="s">
        <v>1009</v>
      </c>
    </row>
    <row r="1640" spans="6:8" x14ac:dyDescent="0.2">
      <c r="F1640" s="84" t="s">
        <v>197</v>
      </c>
      <c r="G1640" s="84" t="s">
        <v>455</v>
      </c>
      <c r="H1640" s="85" t="s">
        <v>1652</v>
      </c>
    </row>
    <row r="1641" spans="6:8" x14ac:dyDescent="0.2">
      <c r="F1641" s="84" t="s">
        <v>197</v>
      </c>
      <c r="G1641" s="84" t="s">
        <v>455</v>
      </c>
      <c r="H1641" s="85" t="s">
        <v>867</v>
      </c>
    </row>
    <row r="1642" spans="6:8" x14ac:dyDescent="0.2">
      <c r="F1642" s="84" t="s">
        <v>197</v>
      </c>
      <c r="G1642" s="84" t="s">
        <v>455</v>
      </c>
      <c r="H1642" s="85" t="s">
        <v>772</v>
      </c>
    </row>
    <row r="1643" spans="6:8" x14ac:dyDescent="0.2">
      <c r="F1643" s="84" t="s">
        <v>197</v>
      </c>
      <c r="G1643" s="84" t="s">
        <v>455</v>
      </c>
      <c r="H1643" s="85" t="s">
        <v>1653</v>
      </c>
    </row>
    <row r="1644" spans="6:8" x14ac:dyDescent="0.2">
      <c r="F1644" s="84" t="s">
        <v>197</v>
      </c>
      <c r="G1644" s="84" t="s">
        <v>457</v>
      </c>
      <c r="H1644" s="85" t="s">
        <v>1654</v>
      </c>
    </row>
    <row r="1645" spans="6:8" x14ac:dyDescent="0.2">
      <c r="F1645" s="84" t="s">
        <v>197</v>
      </c>
      <c r="G1645" s="84" t="s">
        <v>457</v>
      </c>
      <c r="H1645" s="85" t="s">
        <v>1441</v>
      </c>
    </row>
    <row r="1646" spans="6:8" x14ac:dyDescent="0.2">
      <c r="F1646" s="84" t="s">
        <v>197</v>
      </c>
      <c r="G1646" s="84" t="s">
        <v>457</v>
      </c>
      <c r="H1646" s="85" t="s">
        <v>1655</v>
      </c>
    </row>
    <row r="1647" spans="6:8" x14ac:dyDescent="0.2">
      <c r="F1647" s="84" t="s">
        <v>197</v>
      </c>
      <c r="G1647" s="84" t="s">
        <v>457</v>
      </c>
      <c r="H1647" s="85" t="s">
        <v>1656</v>
      </c>
    </row>
    <row r="1648" spans="6:8" x14ac:dyDescent="0.2">
      <c r="F1648" s="84" t="s">
        <v>197</v>
      </c>
      <c r="G1648" s="84" t="s">
        <v>457</v>
      </c>
      <c r="H1648" s="85" t="s">
        <v>1657</v>
      </c>
    </row>
    <row r="1649" spans="6:8" x14ac:dyDescent="0.2">
      <c r="F1649" s="84" t="s">
        <v>197</v>
      </c>
      <c r="G1649" s="84" t="s">
        <v>457</v>
      </c>
      <c r="H1649" s="85" t="s">
        <v>1658</v>
      </c>
    </row>
    <row r="1650" spans="6:8" x14ac:dyDescent="0.2">
      <c r="F1650" s="84" t="s">
        <v>197</v>
      </c>
      <c r="G1650" s="84" t="s">
        <v>457</v>
      </c>
      <c r="H1650" s="85" t="s">
        <v>1659</v>
      </c>
    </row>
    <row r="1651" spans="6:8" x14ac:dyDescent="0.2">
      <c r="F1651" s="84" t="s">
        <v>197</v>
      </c>
      <c r="G1651" s="84" t="s">
        <v>457</v>
      </c>
      <c r="H1651" s="85" t="s">
        <v>303</v>
      </c>
    </row>
    <row r="1652" spans="6:8" x14ac:dyDescent="0.2">
      <c r="F1652" s="84" t="s">
        <v>197</v>
      </c>
      <c r="G1652" s="84" t="s">
        <v>457</v>
      </c>
      <c r="H1652" s="85" t="s">
        <v>1660</v>
      </c>
    </row>
    <row r="1653" spans="6:8" x14ac:dyDescent="0.2">
      <c r="F1653" s="84" t="s">
        <v>197</v>
      </c>
      <c r="G1653" s="84" t="s">
        <v>197</v>
      </c>
      <c r="H1653" s="85" t="s">
        <v>1661</v>
      </c>
    </row>
    <row r="1654" spans="6:8" x14ac:dyDescent="0.2">
      <c r="F1654" s="84" t="s">
        <v>197</v>
      </c>
      <c r="G1654" s="84" t="s">
        <v>197</v>
      </c>
      <c r="H1654" s="85" t="s">
        <v>1662</v>
      </c>
    </row>
    <row r="1655" spans="6:8" x14ac:dyDescent="0.2">
      <c r="F1655" s="84" t="s">
        <v>197</v>
      </c>
      <c r="G1655" s="84" t="s">
        <v>197</v>
      </c>
      <c r="H1655" s="85" t="s">
        <v>1663</v>
      </c>
    </row>
    <row r="1656" spans="6:8" x14ac:dyDescent="0.2">
      <c r="F1656" s="84" t="s">
        <v>197</v>
      </c>
      <c r="G1656" s="84" t="s">
        <v>197</v>
      </c>
      <c r="H1656" s="85" t="s">
        <v>1664</v>
      </c>
    </row>
    <row r="1657" spans="6:8" x14ac:dyDescent="0.2">
      <c r="F1657" s="84" t="s">
        <v>197</v>
      </c>
      <c r="G1657" s="84" t="s">
        <v>197</v>
      </c>
      <c r="H1657" s="85" t="s">
        <v>1665</v>
      </c>
    </row>
    <row r="1658" spans="6:8" x14ac:dyDescent="0.2">
      <c r="F1658" s="84" t="s">
        <v>197</v>
      </c>
      <c r="G1658" s="84" t="s">
        <v>197</v>
      </c>
      <c r="H1658" s="85" t="s">
        <v>1666</v>
      </c>
    </row>
    <row r="1659" spans="6:8" x14ac:dyDescent="0.2">
      <c r="F1659" s="84" t="s">
        <v>197</v>
      </c>
      <c r="G1659" s="84" t="s">
        <v>197</v>
      </c>
      <c r="H1659" s="85" t="s">
        <v>1667</v>
      </c>
    </row>
    <row r="1660" spans="6:8" x14ac:dyDescent="0.2">
      <c r="F1660" s="84" t="s">
        <v>197</v>
      </c>
      <c r="G1660" s="84" t="s">
        <v>197</v>
      </c>
      <c r="H1660" s="85" t="s">
        <v>1668</v>
      </c>
    </row>
    <row r="1661" spans="6:8" x14ac:dyDescent="0.2">
      <c r="F1661" s="84" t="s">
        <v>197</v>
      </c>
      <c r="G1661" s="84" t="s">
        <v>197</v>
      </c>
      <c r="H1661" s="85" t="s">
        <v>1669</v>
      </c>
    </row>
    <row r="1662" spans="6:8" x14ac:dyDescent="0.2">
      <c r="F1662" s="84" t="s">
        <v>197</v>
      </c>
      <c r="G1662" s="84" t="s">
        <v>197</v>
      </c>
      <c r="H1662" s="85" t="s">
        <v>1670</v>
      </c>
    </row>
    <row r="1663" spans="6:8" x14ac:dyDescent="0.2">
      <c r="F1663" s="84" t="s">
        <v>197</v>
      </c>
      <c r="G1663" s="84" t="s">
        <v>197</v>
      </c>
      <c r="H1663" s="85" t="s">
        <v>1899</v>
      </c>
    </row>
    <row r="1664" spans="6:8" x14ac:dyDescent="0.2">
      <c r="F1664" s="84" t="s">
        <v>197</v>
      </c>
      <c r="G1664" s="84" t="s">
        <v>197</v>
      </c>
      <c r="H1664" s="85" t="s">
        <v>197</v>
      </c>
    </row>
    <row r="1665" spans="6:8" x14ac:dyDescent="0.2">
      <c r="F1665" s="84" t="s">
        <v>197</v>
      </c>
      <c r="G1665" s="84" t="s">
        <v>197</v>
      </c>
      <c r="H1665" s="85" t="s">
        <v>610</v>
      </c>
    </row>
    <row r="1666" spans="6:8" x14ac:dyDescent="0.2">
      <c r="F1666" s="84" t="s">
        <v>197</v>
      </c>
      <c r="G1666" s="84" t="s">
        <v>197</v>
      </c>
      <c r="H1666" s="85" t="s">
        <v>1671</v>
      </c>
    </row>
    <row r="1667" spans="6:8" x14ac:dyDescent="0.2">
      <c r="F1667" s="84" t="s">
        <v>197</v>
      </c>
      <c r="G1667" s="84" t="s">
        <v>197</v>
      </c>
      <c r="H1667" s="85" t="s">
        <v>1672</v>
      </c>
    </row>
    <row r="1668" spans="6:8" x14ac:dyDescent="0.2">
      <c r="F1668" s="84" t="s">
        <v>197</v>
      </c>
      <c r="G1668" s="84" t="s">
        <v>459</v>
      </c>
      <c r="H1668" s="85" t="s">
        <v>1673</v>
      </c>
    </row>
    <row r="1669" spans="6:8" x14ac:dyDescent="0.2">
      <c r="F1669" s="84" t="s">
        <v>197</v>
      </c>
      <c r="G1669" s="84" t="s">
        <v>459</v>
      </c>
      <c r="H1669" s="85" t="s">
        <v>1674</v>
      </c>
    </row>
    <row r="1670" spans="6:8" x14ac:dyDescent="0.2">
      <c r="F1670" s="84" t="s">
        <v>197</v>
      </c>
      <c r="G1670" s="84" t="s">
        <v>459</v>
      </c>
      <c r="H1670" s="85" t="s">
        <v>1675</v>
      </c>
    </row>
    <row r="1671" spans="6:8" x14ac:dyDescent="0.2">
      <c r="F1671" s="84" t="s">
        <v>197</v>
      </c>
      <c r="G1671" s="84" t="s">
        <v>459</v>
      </c>
      <c r="H1671" s="85" t="s">
        <v>1676</v>
      </c>
    </row>
    <row r="1672" spans="6:8" x14ac:dyDescent="0.2">
      <c r="F1672" s="84" t="s">
        <v>197</v>
      </c>
      <c r="G1672" s="84" t="s">
        <v>459</v>
      </c>
      <c r="H1672" s="85" t="s">
        <v>1677</v>
      </c>
    </row>
    <row r="1673" spans="6:8" x14ac:dyDescent="0.2">
      <c r="F1673" s="84" t="s">
        <v>197</v>
      </c>
      <c r="G1673" s="84" t="s">
        <v>459</v>
      </c>
      <c r="H1673" s="85" t="s">
        <v>459</v>
      </c>
    </row>
    <row r="1674" spans="6:8" x14ac:dyDescent="0.2">
      <c r="F1674" s="84" t="s">
        <v>197</v>
      </c>
      <c r="G1674" s="84" t="s">
        <v>459</v>
      </c>
      <c r="H1674" s="85" t="s">
        <v>1678</v>
      </c>
    </row>
    <row r="1675" spans="6:8" x14ac:dyDescent="0.2">
      <c r="F1675" s="84" t="s">
        <v>197</v>
      </c>
      <c r="G1675" s="84" t="s">
        <v>459</v>
      </c>
      <c r="H1675" s="85" t="s">
        <v>1679</v>
      </c>
    </row>
    <row r="1676" spans="6:8" x14ac:dyDescent="0.2">
      <c r="F1676" s="84" t="s">
        <v>197</v>
      </c>
      <c r="G1676" s="84" t="s">
        <v>459</v>
      </c>
      <c r="H1676" s="85" t="s">
        <v>1680</v>
      </c>
    </row>
    <row r="1677" spans="6:8" x14ac:dyDescent="0.2">
      <c r="F1677" s="84" t="s">
        <v>197</v>
      </c>
      <c r="G1677" s="85" t="s">
        <v>461</v>
      </c>
      <c r="H1677" s="85" t="s">
        <v>1681</v>
      </c>
    </row>
    <row r="1678" spans="6:8" x14ac:dyDescent="0.2">
      <c r="F1678" s="84" t="s">
        <v>197</v>
      </c>
      <c r="G1678" s="85" t="s">
        <v>461</v>
      </c>
      <c r="H1678" s="85" t="s">
        <v>1682</v>
      </c>
    </row>
    <row r="1679" spans="6:8" x14ac:dyDescent="0.2">
      <c r="F1679" s="84" t="s">
        <v>197</v>
      </c>
      <c r="G1679" s="85" t="s">
        <v>461</v>
      </c>
      <c r="H1679" s="85" t="s">
        <v>1683</v>
      </c>
    </row>
    <row r="1680" spans="6:8" x14ac:dyDescent="0.2">
      <c r="F1680" s="84" t="s">
        <v>197</v>
      </c>
      <c r="G1680" s="85" t="s">
        <v>461</v>
      </c>
      <c r="H1680" s="85" t="s">
        <v>1684</v>
      </c>
    </row>
    <row r="1681" spans="6:8" x14ac:dyDescent="0.2">
      <c r="F1681" s="84" t="s">
        <v>197</v>
      </c>
      <c r="G1681" s="85" t="s">
        <v>461</v>
      </c>
      <c r="H1681" s="85" t="s">
        <v>1685</v>
      </c>
    </row>
    <row r="1682" spans="6:8" x14ac:dyDescent="0.2">
      <c r="F1682" s="84" t="s">
        <v>197</v>
      </c>
      <c r="G1682" s="84" t="s">
        <v>463</v>
      </c>
      <c r="H1682" s="85" t="s">
        <v>502</v>
      </c>
    </row>
    <row r="1683" spans="6:8" x14ac:dyDescent="0.2">
      <c r="F1683" s="84" t="s">
        <v>197</v>
      </c>
      <c r="G1683" s="84" t="s">
        <v>463</v>
      </c>
      <c r="H1683" s="85" t="s">
        <v>1686</v>
      </c>
    </row>
    <row r="1684" spans="6:8" x14ac:dyDescent="0.2">
      <c r="F1684" s="84" t="s">
        <v>197</v>
      </c>
      <c r="G1684" s="84" t="s">
        <v>463</v>
      </c>
      <c r="H1684" s="85" t="s">
        <v>1687</v>
      </c>
    </row>
    <row r="1685" spans="6:8" x14ac:dyDescent="0.2">
      <c r="F1685" s="84" t="s">
        <v>197</v>
      </c>
      <c r="G1685" s="84" t="s">
        <v>463</v>
      </c>
      <c r="H1685" s="85" t="s">
        <v>1688</v>
      </c>
    </row>
    <row r="1686" spans="6:8" x14ac:dyDescent="0.2">
      <c r="F1686" s="84" t="s">
        <v>197</v>
      </c>
      <c r="G1686" s="84" t="s">
        <v>465</v>
      </c>
      <c r="H1686" s="85" t="s">
        <v>1689</v>
      </c>
    </row>
    <row r="1687" spans="6:8" x14ac:dyDescent="0.2">
      <c r="F1687" s="84" t="s">
        <v>197</v>
      </c>
      <c r="G1687" s="84" t="s">
        <v>465</v>
      </c>
      <c r="H1687" s="85" t="s">
        <v>1690</v>
      </c>
    </row>
    <row r="1688" spans="6:8" x14ac:dyDescent="0.2">
      <c r="F1688" s="84" t="s">
        <v>197</v>
      </c>
      <c r="G1688" s="84" t="s">
        <v>465</v>
      </c>
      <c r="H1688" s="85" t="s">
        <v>1691</v>
      </c>
    </row>
    <row r="1689" spans="6:8" x14ac:dyDescent="0.2">
      <c r="F1689" s="84" t="s">
        <v>197</v>
      </c>
      <c r="G1689" s="84" t="s">
        <v>465</v>
      </c>
      <c r="H1689" s="85" t="s">
        <v>1692</v>
      </c>
    </row>
    <row r="1690" spans="6:8" x14ac:dyDescent="0.2">
      <c r="F1690" s="84" t="s">
        <v>197</v>
      </c>
      <c r="G1690" s="84" t="s">
        <v>465</v>
      </c>
      <c r="H1690" s="85" t="s">
        <v>1693</v>
      </c>
    </row>
    <row r="1691" spans="6:8" x14ac:dyDescent="0.2">
      <c r="F1691" s="84" t="s">
        <v>197</v>
      </c>
      <c r="G1691" s="84" t="s">
        <v>465</v>
      </c>
      <c r="H1691" s="85" t="s">
        <v>1694</v>
      </c>
    </row>
    <row r="1692" spans="6:8" x14ac:dyDescent="0.2">
      <c r="F1692" s="84" t="s">
        <v>197</v>
      </c>
      <c r="G1692" s="84" t="s">
        <v>465</v>
      </c>
      <c r="H1692" s="85" t="s">
        <v>465</v>
      </c>
    </row>
    <row r="1693" spans="6:8" x14ac:dyDescent="0.2">
      <c r="F1693" s="85" t="s">
        <v>200</v>
      </c>
      <c r="G1693" s="84" t="s">
        <v>467</v>
      </c>
      <c r="H1693" s="85" t="s">
        <v>1695</v>
      </c>
    </row>
    <row r="1694" spans="6:8" x14ac:dyDescent="0.2">
      <c r="F1694" s="85" t="s">
        <v>200</v>
      </c>
      <c r="G1694" s="84" t="s">
        <v>467</v>
      </c>
      <c r="H1694" s="85" t="s">
        <v>1696</v>
      </c>
    </row>
    <row r="1695" spans="6:8" x14ac:dyDescent="0.2">
      <c r="F1695" s="85" t="s">
        <v>200</v>
      </c>
      <c r="G1695" s="84" t="s">
        <v>467</v>
      </c>
      <c r="H1695" s="85" t="s">
        <v>467</v>
      </c>
    </row>
    <row r="1696" spans="6:8" x14ac:dyDescent="0.2">
      <c r="F1696" s="85" t="s">
        <v>200</v>
      </c>
      <c r="G1696" s="84" t="s">
        <v>467</v>
      </c>
      <c r="H1696" s="85" t="s">
        <v>468</v>
      </c>
    </row>
    <row r="1697" spans="6:8" x14ac:dyDescent="0.2">
      <c r="F1697" s="85" t="s">
        <v>200</v>
      </c>
      <c r="G1697" s="84" t="s">
        <v>467</v>
      </c>
      <c r="H1697" s="85" t="s">
        <v>283</v>
      </c>
    </row>
    <row r="1698" spans="6:8" x14ac:dyDescent="0.2">
      <c r="F1698" s="85" t="s">
        <v>200</v>
      </c>
      <c r="G1698" s="84" t="s">
        <v>467</v>
      </c>
      <c r="H1698" s="85" t="s">
        <v>1043</v>
      </c>
    </row>
    <row r="1699" spans="6:8" x14ac:dyDescent="0.2">
      <c r="F1699" s="85" t="s">
        <v>200</v>
      </c>
      <c r="G1699" s="84" t="s">
        <v>468</v>
      </c>
      <c r="H1699" s="85" t="s">
        <v>1697</v>
      </c>
    </row>
    <row r="1700" spans="6:8" x14ac:dyDescent="0.2">
      <c r="F1700" s="85" t="s">
        <v>200</v>
      </c>
      <c r="G1700" s="84" t="s">
        <v>468</v>
      </c>
      <c r="H1700" s="85" t="s">
        <v>1698</v>
      </c>
    </row>
    <row r="1701" spans="6:8" x14ac:dyDescent="0.2">
      <c r="F1701" s="85" t="s">
        <v>200</v>
      </c>
      <c r="G1701" s="84" t="s">
        <v>468</v>
      </c>
      <c r="H1701" s="85" t="s">
        <v>1699</v>
      </c>
    </row>
    <row r="1702" spans="6:8" x14ac:dyDescent="0.2">
      <c r="F1702" s="85" t="s">
        <v>200</v>
      </c>
      <c r="G1702" s="84" t="s">
        <v>468</v>
      </c>
      <c r="H1702" s="85" t="s">
        <v>1700</v>
      </c>
    </row>
    <row r="1703" spans="6:8" x14ac:dyDescent="0.2">
      <c r="F1703" s="85" t="s">
        <v>200</v>
      </c>
      <c r="G1703" s="84" t="s">
        <v>468</v>
      </c>
      <c r="H1703" s="85" t="s">
        <v>1701</v>
      </c>
    </row>
    <row r="1704" spans="6:8" x14ac:dyDescent="0.2">
      <c r="F1704" s="85" t="s">
        <v>200</v>
      </c>
      <c r="G1704" s="84" t="s">
        <v>468</v>
      </c>
      <c r="H1704" s="85" t="s">
        <v>1702</v>
      </c>
    </row>
    <row r="1705" spans="6:8" x14ac:dyDescent="0.2">
      <c r="F1705" s="85" t="s">
        <v>200</v>
      </c>
      <c r="G1705" s="84" t="s">
        <v>470</v>
      </c>
      <c r="H1705" s="85" t="s">
        <v>1703</v>
      </c>
    </row>
    <row r="1706" spans="6:8" x14ac:dyDescent="0.2">
      <c r="F1706" s="85" t="s">
        <v>200</v>
      </c>
      <c r="G1706" s="84" t="s">
        <v>470</v>
      </c>
      <c r="H1706" s="85" t="s">
        <v>1704</v>
      </c>
    </row>
    <row r="1707" spans="6:8" x14ac:dyDescent="0.2">
      <c r="F1707" s="85" t="s">
        <v>200</v>
      </c>
      <c r="G1707" s="84" t="s">
        <v>470</v>
      </c>
      <c r="H1707" s="85" t="s">
        <v>1705</v>
      </c>
    </row>
    <row r="1708" spans="6:8" x14ac:dyDescent="0.2">
      <c r="F1708" s="85" t="s">
        <v>200</v>
      </c>
      <c r="G1708" s="84" t="s">
        <v>470</v>
      </c>
      <c r="H1708" s="85" t="s">
        <v>1706</v>
      </c>
    </row>
    <row r="1709" spans="6:8" x14ac:dyDescent="0.2">
      <c r="F1709" s="85" t="s">
        <v>200</v>
      </c>
      <c r="G1709" s="84" t="s">
        <v>470</v>
      </c>
      <c r="H1709" s="85" t="s">
        <v>1900</v>
      </c>
    </row>
    <row r="1710" spans="6:8" x14ac:dyDescent="0.2">
      <c r="F1710" s="85" t="s">
        <v>200</v>
      </c>
      <c r="G1710" s="84" t="s">
        <v>470</v>
      </c>
      <c r="H1710" s="85" t="s">
        <v>470</v>
      </c>
    </row>
    <row r="1711" spans="6:8" x14ac:dyDescent="0.2">
      <c r="F1711" s="85" t="s">
        <v>200</v>
      </c>
      <c r="G1711" s="84" t="s">
        <v>470</v>
      </c>
      <c r="H1711" s="85" t="s">
        <v>1707</v>
      </c>
    </row>
    <row r="1712" spans="6:8" x14ac:dyDescent="0.2">
      <c r="F1712" s="85" t="s">
        <v>200</v>
      </c>
      <c r="G1712" s="84" t="s">
        <v>470</v>
      </c>
      <c r="H1712" s="85" t="s">
        <v>1708</v>
      </c>
    </row>
    <row r="1713" spans="6:8" x14ac:dyDescent="0.2">
      <c r="F1713" s="85" t="s">
        <v>200</v>
      </c>
      <c r="G1713" s="84" t="s">
        <v>470</v>
      </c>
      <c r="H1713" s="85" t="s">
        <v>1709</v>
      </c>
    </row>
    <row r="1714" spans="6:8" x14ac:dyDescent="0.2">
      <c r="F1714" s="85" t="s">
        <v>200</v>
      </c>
      <c r="G1714" s="84" t="s">
        <v>470</v>
      </c>
      <c r="H1714" s="85" t="s">
        <v>200</v>
      </c>
    </row>
    <row r="1715" spans="6:8" x14ac:dyDescent="0.2">
      <c r="F1715" s="85" t="s">
        <v>200</v>
      </c>
      <c r="G1715" s="84" t="s">
        <v>470</v>
      </c>
      <c r="H1715" s="85" t="s">
        <v>1710</v>
      </c>
    </row>
    <row r="1716" spans="6:8" x14ac:dyDescent="0.2">
      <c r="F1716" s="85" t="s">
        <v>200</v>
      </c>
      <c r="G1716" s="84" t="s">
        <v>470</v>
      </c>
      <c r="H1716" s="85" t="s">
        <v>303</v>
      </c>
    </row>
    <row r="1717" spans="6:8" x14ac:dyDescent="0.2">
      <c r="F1717" s="85" t="s">
        <v>200</v>
      </c>
      <c r="G1717" s="84" t="s">
        <v>470</v>
      </c>
      <c r="H1717" s="85" t="s">
        <v>1711</v>
      </c>
    </row>
    <row r="1718" spans="6:8" x14ac:dyDescent="0.2">
      <c r="F1718" s="85" t="s">
        <v>200</v>
      </c>
      <c r="G1718" s="84" t="s">
        <v>470</v>
      </c>
      <c r="H1718" s="85" t="s">
        <v>1712</v>
      </c>
    </row>
    <row r="1719" spans="6:8" x14ac:dyDescent="0.2">
      <c r="F1719" s="85" t="s">
        <v>200</v>
      </c>
      <c r="G1719" s="84" t="s">
        <v>470</v>
      </c>
      <c r="H1719" s="85" t="s">
        <v>1713</v>
      </c>
    </row>
    <row r="1720" spans="6:8" x14ac:dyDescent="0.2">
      <c r="F1720" s="85" t="s">
        <v>200</v>
      </c>
      <c r="G1720" s="84" t="s">
        <v>470</v>
      </c>
      <c r="H1720" s="85" t="s">
        <v>1714</v>
      </c>
    </row>
    <row r="1721" spans="6:8" x14ac:dyDescent="0.2">
      <c r="F1721" s="85" t="s">
        <v>200</v>
      </c>
      <c r="G1721" s="85" t="s">
        <v>472</v>
      </c>
      <c r="H1721" s="85" t="s">
        <v>1715</v>
      </c>
    </row>
    <row r="1722" spans="6:8" x14ac:dyDescent="0.2">
      <c r="F1722" s="85" t="s">
        <v>200</v>
      </c>
      <c r="G1722" s="85" t="s">
        <v>472</v>
      </c>
      <c r="H1722" s="85" t="s">
        <v>1716</v>
      </c>
    </row>
    <row r="1723" spans="6:8" x14ac:dyDescent="0.2">
      <c r="F1723" s="85" t="s">
        <v>200</v>
      </c>
      <c r="G1723" s="85" t="s">
        <v>472</v>
      </c>
      <c r="H1723" s="85" t="s">
        <v>1717</v>
      </c>
    </row>
    <row r="1724" spans="6:8" x14ac:dyDescent="0.2">
      <c r="F1724" s="85" t="s">
        <v>200</v>
      </c>
      <c r="G1724" s="85" t="s">
        <v>472</v>
      </c>
      <c r="H1724" s="85" t="s">
        <v>1718</v>
      </c>
    </row>
    <row r="1725" spans="6:8" x14ac:dyDescent="0.2">
      <c r="F1725" s="85" t="s">
        <v>200</v>
      </c>
      <c r="G1725" s="85" t="s">
        <v>472</v>
      </c>
      <c r="H1725" s="85" t="s">
        <v>1719</v>
      </c>
    </row>
    <row r="1726" spans="6:8" x14ac:dyDescent="0.2">
      <c r="F1726" s="85" t="s">
        <v>200</v>
      </c>
      <c r="G1726" s="84" t="s">
        <v>474</v>
      </c>
      <c r="H1726" s="85" t="s">
        <v>1720</v>
      </c>
    </row>
    <row r="1727" spans="6:8" x14ac:dyDescent="0.2">
      <c r="F1727" s="85" t="s">
        <v>200</v>
      </c>
      <c r="G1727" s="84" t="s">
        <v>474</v>
      </c>
      <c r="H1727" s="85" t="s">
        <v>1721</v>
      </c>
    </row>
    <row r="1728" spans="6:8" x14ac:dyDescent="0.2">
      <c r="F1728" s="85" t="s">
        <v>200</v>
      </c>
      <c r="G1728" s="84" t="s">
        <v>474</v>
      </c>
      <c r="H1728" s="85" t="s">
        <v>1722</v>
      </c>
    </row>
    <row r="1729" spans="6:8" x14ac:dyDescent="0.2">
      <c r="F1729" s="85" t="s">
        <v>200</v>
      </c>
      <c r="G1729" s="84" t="s">
        <v>474</v>
      </c>
      <c r="H1729" s="85" t="s">
        <v>474</v>
      </c>
    </row>
    <row r="1730" spans="6:8" x14ac:dyDescent="0.2">
      <c r="F1730" s="85" t="s">
        <v>200</v>
      </c>
      <c r="G1730" s="84" t="s">
        <v>474</v>
      </c>
      <c r="H1730" s="85" t="s">
        <v>1723</v>
      </c>
    </row>
    <row r="1731" spans="6:8" x14ac:dyDescent="0.2">
      <c r="F1731" s="85" t="s">
        <v>200</v>
      </c>
      <c r="G1731" s="84" t="s">
        <v>474</v>
      </c>
      <c r="H1731" s="85" t="s">
        <v>1724</v>
      </c>
    </row>
    <row r="1732" spans="6:8" x14ac:dyDescent="0.2">
      <c r="F1732" s="85" t="s">
        <v>200</v>
      </c>
      <c r="G1732" s="84" t="s">
        <v>476</v>
      </c>
      <c r="H1732" s="85" t="s">
        <v>1570</v>
      </c>
    </row>
    <row r="1733" spans="6:8" x14ac:dyDescent="0.2">
      <c r="F1733" s="85" t="s">
        <v>200</v>
      </c>
      <c r="G1733" s="84" t="s">
        <v>476</v>
      </c>
      <c r="H1733" s="85" t="s">
        <v>1725</v>
      </c>
    </row>
    <row r="1734" spans="6:8" x14ac:dyDescent="0.2">
      <c r="F1734" s="85" t="s">
        <v>200</v>
      </c>
      <c r="G1734" s="84" t="s">
        <v>476</v>
      </c>
      <c r="H1734" s="85" t="s">
        <v>476</v>
      </c>
    </row>
    <row r="1735" spans="6:8" x14ac:dyDescent="0.2">
      <c r="F1735" s="85" t="s">
        <v>200</v>
      </c>
      <c r="G1735" s="84" t="s">
        <v>476</v>
      </c>
      <c r="H1735" s="85" t="s">
        <v>1726</v>
      </c>
    </row>
    <row r="1736" spans="6:8" x14ac:dyDescent="0.2">
      <c r="F1736" s="85" t="s">
        <v>200</v>
      </c>
      <c r="G1736" s="84" t="s">
        <v>476</v>
      </c>
      <c r="H1736" s="85" t="s">
        <v>1727</v>
      </c>
    </row>
    <row r="1737" spans="6:8" x14ac:dyDescent="0.2">
      <c r="F1737" s="85" t="s">
        <v>200</v>
      </c>
      <c r="G1737" s="84" t="s">
        <v>476</v>
      </c>
      <c r="H1737" s="85" t="s">
        <v>769</v>
      </c>
    </row>
    <row r="1738" spans="6:8" x14ac:dyDescent="0.2">
      <c r="F1738" s="85" t="s">
        <v>200</v>
      </c>
      <c r="G1738" s="84" t="s">
        <v>476</v>
      </c>
      <c r="H1738" s="85" t="s">
        <v>1728</v>
      </c>
    </row>
    <row r="1739" spans="6:8" x14ac:dyDescent="0.2">
      <c r="F1739" s="85" t="s">
        <v>200</v>
      </c>
      <c r="G1739" s="84" t="s">
        <v>476</v>
      </c>
      <c r="H1739" s="85" t="s">
        <v>1729</v>
      </c>
    </row>
    <row r="1740" spans="6:8" x14ac:dyDescent="0.2">
      <c r="F1740" s="85" t="s">
        <v>200</v>
      </c>
      <c r="G1740" s="84" t="s">
        <v>476</v>
      </c>
      <c r="H1740" s="85" t="s">
        <v>1730</v>
      </c>
    </row>
    <row r="1741" spans="6:8" x14ac:dyDescent="0.2">
      <c r="F1741" s="85" t="s">
        <v>200</v>
      </c>
      <c r="G1741" s="84" t="s">
        <v>476</v>
      </c>
      <c r="H1741" s="85" t="s">
        <v>1731</v>
      </c>
    </row>
    <row r="1742" spans="6:8" x14ac:dyDescent="0.2">
      <c r="F1742" s="85" t="s">
        <v>200</v>
      </c>
      <c r="G1742" s="84" t="s">
        <v>477</v>
      </c>
      <c r="H1742" s="85" t="s">
        <v>1732</v>
      </c>
    </row>
    <row r="1743" spans="6:8" x14ac:dyDescent="0.2">
      <c r="F1743" s="85" t="s">
        <v>200</v>
      </c>
      <c r="G1743" s="84" t="s">
        <v>477</v>
      </c>
      <c r="H1743" s="85" t="s">
        <v>1901</v>
      </c>
    </row>
    <row r="1744" spans="6:8" x14ac:dyDescent="0.2">
      <c r="F1744" s="85" t="s">
        <v>200</v>
      </c>
      <c r="G1744" s="84" t="s">
        <v>477</v>
      </c>
      <c r="H1744" s="85" t="s">
        <v>1902</v>
      </c>
    </row>
    <row r="1745" spans="6:8" x14ac:dyDescent="0.2">
      <c r="F1745" s="85" t="s">
        <v>200</v>
      </c>
      <c r="G1745" s="84" t="s">
        <v>477</v>
      </c>
      <c r="H1745" s="85" t="s">
        <v>1733</v>
      </c>
    </row>
    <row r="1746" spans="6:8" x14ac:dyDescent="0.2">
      <c r="F1746" s="85" t="s">
        <v>200</v>
      </c>
      <c r="G1746" s="84" t="s">
        <v>477</v>
      </c>
      <c r="H1746" s="85" t="s">
        <v>1734</v>
      </c>
    </row>
    <row r="1747" spans="6:8" x14ac:dyDescent="0.2">
      <c r="F1747" s="85" t="s">
        <v>200</v>
      </c>
      <c r="G1747" s="84" t="s">
        <v>477</v>
      </c>
      <c r="H1747" s="85" t="s">
        <v>477</v>
      </c>
    </row>
    <row r="1748" spans="6:8" x14ac:dyDescent="0.2">
      <c r="F1748" s="85" t="s">
        <v>200</v>
      </c>
      <c r="G1748" s="84" t="s">
        <v>477</v>
      </c>
      <c r="H1748" s="85" t="s">
        <v>1735</v>
      </c>
    </row>
    <row r="1749" spans="6:8" x14ac:dyDescent="0.2">
      <c r="F1749" s="85" t="s">
        <v>200</v>
      </c>
      <c r="G1749" s="84" t="s">
        <v>477</v>
      </c>
      <c r="H1749" s="85" t="s">
        <v>1736</v>
      </c>
    </row>
    <row r="1750" spans="6:8" x14ac:dyDescent="0.2">
      <c r="F1750" s="85" t="s">
        <v>200</v>
      </c>
      <c r="G1750" s="84" t="s">
        <v>477</v>
      </c>
      <c r="H1750" s="85" t="s">
        <v>1737</v>
      </c>
    </row>
    <row r="1751" spans="6:8" x14ac:dyDescent="0.2">
      <c r="F1751" s="85" t="s">
        <v>200</v>
      </c>
      <c r="G1751" s="84" t="s">
        <v>200</v>
      </c>
      <c r="H1751" s="85" t="s">
        <v>1903</v>
      </c>
    </row>
    <row r="1752" spans="6:8" x14ac:dyDescent="0.2">
      <c r="F1752" s="85" t="s">
        <v>200</v>
      </c>
      <c r="G1752" s="84" t="s">
        <v>200</v>
      </c>
      <c r="H1752" s="85" t="s">
        <v>1738</v>
      </c>
    </row>
    <row r="1753" spans="6:8" x14ac:dyDescent="0.2">
      <c r="F1753" s="85" t="s">
        <v>200</v>
      </c>
      <c r="G1753" s="84" t="s">
        <v>200</v>
      </c>
      <c r="H1753" s="85" t="s">
        <v>1739</v>
      </c>
    </row>
    <row r="1754" spans="6:8" x14ac:dyDescent="0.2">
      <c r="F1754" s="85" t="s">
        <v>200</v>
      </c>
      <c r="G1754" s="84" t="s">
        <v>200</v>
      </c>
      <c r="H1754" s="85" t="s">
        <v>1740</v>
      </c>
    </row>
    <row r="1755" spans="6:8" x14ac:dyDescent="0.2">
      <c r="F1755" s="85" t="s">
        <v>200</v>
      </c>
      <c r="G1755" s="84" t="s">
        <v>200</v>
      </c>
      <c r="H1755" s="85" t="s">
        <v>1741</v>
      </c>
    </row>
    <row r="1756" spans="6:8" x14ac:dyDescent="0.2">
      <c r="F1756" s="85" t="s">
        <v>200</v>
      </c>
      <c r="G1756" s="84" t="s">
        <v>200</v>
      </c>
      <c r="H1756" s="85" t="s">
        <v>1742</v>
      </c>
    </row>
    <row r="1757" spans="6:8" x14ac:dyDescent="0.2">
      <c r="F1757" s="85" t="s">
        <v>200</v>
      </c>
      <c r="G1757" s="84" t="s">
        <v>200</v>
      </c>
      <c r="H1757" s="85" t="s">
        <v>1743</v>
      </c>
    </row>
    <row r="1758" spans="6:8" x14ac:dyDescent="0.2">
      <c r="F1758" s="85" t="s">
        <v>200</v>
      </c>
      <c r="G1758" s="84" t="s">
        <v>200</v>
      </c>
      <c r="H1758" s="85" t="s">
        <v>1904</v>
      </c>
    </row>
    <row r="1759" spans="6:8" x14ac:dyDescent="0.2">
      <c r="F1759" s="85" t="s">
        <v>200</v>
      </c>
      <c r="G1759" s="84" t="s">
        <v>200</v>
      </c>
      <c r="H1759" s="85" t="s">
        <v>1744</v>
      </c>
    </row>
    <row r="1760" spans="6:8" x14ac:dyDescent="0.2">
      <c r="F1760" s="85" t="s">
        <v>200</v>
      </c>
      <c r="G1760" s="84" t="s">
        <v>200</v>
      </c>
      <c r="H1760" s="85" t="s">
        <v>1745</v>
      </c>
    </row>
    <row r="1761" spans="6:8" x14ac:dyDescent="0.2">
      <c r="F1761" s="85" t="s">
        <v>200</v>
      </c>
      <c r="G1761" s="84" t="s">
        <v>200</v>
      </c>
      <c r="H1761" s="85" t="s">
        <v>610</v>
      </c>
    </row>
    <row r="1762" spans="6:8" x14ac:dyDescent="0.2">
      <c r="F1762" s="85" t="s">
        <v>200</v>
      </c>
      <c r="G1762" s="84" t="s">
        <v>200</v>
      </c>
      <c r="H1762" s="85" t="s">
        <v>1746</v>
      </c>
    </row>
    <row r="1763" spans="6:8" x14ac:dyDescent="0.2">
      <c r="F1763" s="85" t="s">
        <v>200</v>
      </c>
      <c r="G1763" s="84" t="s">
        <v>200</v>
      </c>
      <c r="H1763" s="85" t="s">
        <v>1747</v>
      </c>
    </row>
    <row r="1764" spans="6:8" x14ac:dyDescent="0.2">
      <c r="F1764" s="85" t="s">
        <v>200</v>
      </c>
      <c r="G1764" s="84" t="s">
        <v>200</v>
      </c>
      <c r="H1764" s="85" t="s">
        <v>1748</v>
      </c>
    </row>
    <row r="1765" spans="6:8" x14ac:dyDescent="0.2">
      <c r="F1765" s="85" t="s">
        <v>200</v>
      </c>
      <c r="G1765" s="84" t="s">
        <v>480</v>
      </c>
      <c r="H1765" s="85" t="s">
        <v>1749</v>
      </c>
    </row>
    <row r="1766" spans="6:8" x14ac:dyDescent="0.2">
      <c r="F1766" s="85" t="s">
        <v>200</v>
      </c>
      <c r="G1766" s="84" t="s">
        <v>480</v>
      </c>
      <c r="H1766" s="85" t="s">
        <v>1750</v>
      </c>
    </row>
    <row r="1767" spans="6:8" x14ac:dyDescent="0.2">
      <c r="F1767" s="85" t="s">
        <v>200</v>
      </c>
      <c r="G1767" s="84" t="s">
        <v>480</v>
      </c>
      <c r="H1767" s="85" t="s">
        <v>1751</v>
      </c>
    </row>
    <row r="1768" spans="6:8" x14ac:dyDescent="0.2">
      <c r="F1768" s="85" t="s">
        <v>200</v>
      </c>
      <c r="G1768" s="84" t="s">
        <v>480</v>
      </c>
      <c r="H1768" s="85" t="s">
        <v>480</v>
      </c>
    </row>
    <row r="1769" spans="6:8" x14ac:dyDescent="0.2">
      <c r="F1769" s="85" t="s">
        <v>200</v>
      </c>
      <c r="G1769" s="84" t="s">
        <v>480</v>
      </c>
      <c r="H1769" s="85" t="s">
        <v>1752</v>
      </c>
    </row>
    <row r="1770" spans="6:8" x14ac:dyDescent="0.2">
      <c r="F1770" s="85" t="s">
        <v>202</v>
      </c>
      <c r="G1770" s="84" t="s">
        <v>482</v>
      </c>
      <c r="H1770" s="85" t="s">
        <v>1753</v>
      </c>
    </row>
    <row r="1771" spans="6:8" x14ac:dyDescent="0.2">
      <c r="F1771" s="85" t="s">
        <v>202</v>
      </c>
      <c r="G1771" s="84" t="s">
        <v>482</v>
      </c>
      <c r="H1771" s="85" t="s">
        <v>1754</v>
      </c>
    </row>
    <row r="1772" spans="6:8" x14ac:dyDescent="0.2">
      <c r="F1772" s="85" t="s">
        <v>202</v>
      </c>
      <c r="G1772" s="84" t="s">
        <v>482</v>
      </c>
      <c r="H1772" s="85" t="s">
        <v>482</v>
      </c>
    </row>
    <row r="1773" spans="6:8" x14ac:dyDescent="0.2">
      <c r="F1773" s="85" t="s">
        <v>202</v>
      </c>
      <c r="G1773" s="84" t="s">
        <v>482</v>
      </c>
      <c r="H1773" s="85" t="s">
        <v>1755</v>
      </c>
    </row>
    <row r="1774" spans="6:8" x14ac:dyDescent="0.2">
      <c r="F1774" s="85" t="s">
        <v>202</v>
      </c>
      <c r="G1774" s="84" t="s">
        <v>482</v>
      </c>
      <c r="H1774" s="85" t="s">
        <v>1756</v>
      </c>
    </row>
    <row r="1775" spans="6:8" x14ac:dyDescent="0.2">
      <c r="F1775" s="85" t="s">
        <v>202</v>
      </c>
      <c r="G1775" s="84" t="s">
        <v>482</v>
      </c>
      <c r="H1775" s="85" t="s">
        <v>1757</v>
      </c>
    </row>
    <row r="1776" spans="6:8" x14ac:dyDescent="0.2">
      <c r="F1776" s="85" t="s">
        <v>202</v>
      </c>
      <c r="G1776" s="85" t="s">
        <v>483</v>
      </c>
      <c r="H1776" s="85" t="s">
        <v>1758</v>
      </c>
    </row>
    <row r="1777" spans="6:8" x14ac:dyDescent="0.2">
      <c r="F1777" s="85" t="s">
        <v>202</v>
      </c>
      <c r="G1777" s="85" t="s">
        <v>483</v>
      </c>
      <c r="H1777" s="85" t="s">
        <v>1759</v>
      </c>
    </row>
    <row r="1778" spans="6:8" x14ac:dyDescent="0.2">
      <c r="F1778" s="85" t="s">
        <v>202</v>
      </c>
      <c r="G1778" s="85" t="s">
        <v>483</v>
      </c>
      <c r="H1778" s="85" t="s">
        <v>1760</v>
      </c>
    </row>
    <row r="1779" spans="6:8" x14ac:dyDescent="0.2">
      <c r="F1779" s="85" t="s">
        <v>202</v>
      </c>
      <c r="G1779" s="85" t="s">
        <v>202</v>
      </c>
      <c r="H1779" s="85" t="s">
        <v>1761</v>
      </c>
    </row>
    <row r="1780" spans="6:8" x14ac:dyDescent="0.2">
      <c r="F1780" s="85" t="s">
        <v>202</v>
      </c>
      <c r="G1780" s="85" t="s">
        <v>202</v>
      </c>
      <c r="H1780" s="85" t="s">
        <v>1762</v>
      </c>
    </row>
    <row r="1781" spans="6:8" x14ac:dyDescent="0.2">
      <c r="F1781" s="85" t="s">
        <v>202</v>
      </c>
      <c r="G1781" s="85" t="s">
        <v>202</v>
      </c>
      <c r="H1781" s="85" t="s">
        <v>1763</v>
      </c>
    </row>
    <row r="1782" spans="6:8" x14ac:dyDescent="0.2">
      <c r="F1782" s="85" t="s">
        <v>202</v>
      </c>
      <c r="G1782" s="85" t="s">
        <v>202</v>
      </c>
      <c r="H1782" s="85" t="s">
        <v>1905</v>
      </c>
    </row>
    <row r="1783" spans="6:8" x14ac:dyDescent="0.2">
      <c r="F1783" s="85" t="s">
        <v>202</v>
      </c>
      <c r="G1783" s="85" t="s">
        <v>202</v>
      </c>
      <c r="H1783" s="85" t="s">
        <v>1764</v>
      </c>
    </row>
    <row r="1784" spans="6:8" x14ac:dyDescent="0.2">
      <c r="F1784" s="85" t="s">
        <v>202</v>
      </c>
      <c r="G1784" s="85" t="s">
        <v>202</v>
      </c>
      <c r="H1784" s="85" t="s">
        <v>1765</v>
      </c>
    </row>
    <row r="1785" spans="6:8" x14ac:dyDescent="0.2">
      <c r="F1785" s="85" t="s">
        <v>202</v>
      </c>
      <c r="G1785" s="85" t="s">
        <v>202</v>
      </c>
      <c r="H1785" s="85" t="s">
        <v>1009</v>
      </c>
    </row>
    <row r="1786" spans="6:8" x14ac:dyDescent="0.2">
      <c r="F1786" s="85" t="s">
        <v>202</v>
      </c>
      <c r="G1786" s="85" t="s">
        <v>202</v>
      </c>
      <c r="H1786" s="85" t="s">
        <v>1766</v>
      </c>
    </row>
    <row r="1787" spans="6:8" x14ac:dyDescent="0.2">
      <c r="F1787" s="85" t="s">
        <v>202</v>
      </c>
      <c r="G1787" s="85" t="s">
        <v>202</v>
      </c>
      <c r="H1787" s="85" t="s">
        <v>1767</v>
      </c>
    </row>
    <row r="1788" spans="6:8" x14ac:dyDescent="0.2">
      <c r="F1788" s="85" t="s">
        <v>202</v>
      </c>
      <c r="G1788" s="85" t="s">
        <v>202</v>
      </c>
      <c r="H1788" s="85" t="s">
        <v>202</v>
      </c>
    </row>
    <row r="1789" spans="6:8" x14ac:dyDescent="0.2">
      <c r="F1789" s="85" t="s">
        <v>202</v>
      </c>
      <c r="G1789" s="85" t="s">
        <v>484</v>
      </c>
      <c r="H1789" s="85" t="s">
        <v>1768</v>
      </c>
    </row>
    <row r="1790" spans="6:8" x14ac:dyDescent="0.2">
      <c r="F1790" s="85" t="s">
        <v>202</v>
      </c>
      <c r="G1790" s="85" t="s">
        <v>484</v>
      </c>
      <c r="H1790" s="85" t="s">
        <v>1769</v>
      </c>
    </row>
    <row r="1791" spans="6:8" x14ac:dyDescent="0.2">
      <c r="F1791" s="85" t="s">
        <v>202</v>
      </c>
      <c r="G1791" s="85" t="s">
        <v>484</v>
      </c>
      <c r="H1791" s="85" t="s">
        <v>1770</v>
      </c>
    </row>
    <row r="1792" spans="6:8" x14ac:dyDescent="0.2">
      <c r="F1792" s="85" t="s">
        <v>202</v>
      </c>
      <c r="G1792" s="85" t="s">
        <v>484</v>
      </c>
      <c r="H1792" s="85" t="s">
        <v>1771</v>
      </c>
    </row>
    <row r="1793" spans="6:8" x14ac:dyDescent="0.2">
      <c r="F1793" s="85" t="s">
        <v>202</v>
      </c>
      <c r="G1793" s="85" t="s">
        <v>484</v>
      </c>
      <c r="H1793" s="85" t="s">
        <v>1772</v>
      </c>
    </row>
    <row r="1794" spans="6:8" x14ac:dyDescent="0.2">
      <c r="F1794" s="85" t="s">
        <v>202</v>
      </c>
      <c r="G1794" s="85" t="s">
        <v>484</v>
      </c>
      <c r="H1794" s="85" t="s">
        <v>484</v>
      </c>
    </row>
    <row r="1795" spans="6:8" x14ac:dyDescent="0.2">
      <c r="F1795" s="85" t="s">
        <v>202</v>
      </c>
      <c r="G1795" s="85" t="s">
        <v>484</v>
      </c>
      <c r="H1795" s="85" t="s">
        <v>1773</v>
      </c>
    </row>
    <row r="1796" spans="6:8" x14ac:dyDescent="0.2">
      <c r="F1796" s="85" t="s">
        <v>202</v>
      </c>
      <c r="G1796" s="85" t="s">
        <v>484</v>
      </c>
      <c r="H1796" s="85" t="s">
        <v>1774</v>
      </c>
    </row>
    <row r="1797" spans="6:8" x14ac:dyDescent="0.2">
      <c r="F1797" s="83" t="s">
        <v>205</v>
      </c>
      <c r="G1797" s="85" t="s">
        <v>486</v>
      </c>
      <c r="H1797" s="85" t="s">
        <v>1775</v>
      </c>
    </row>
    <row r="1798" spans="6:8" x14ac:dyDescent="0.2">
      <c r="F1798" s="83" t="s">
        <v>205</v>
      </c>
      <c r="G1798" s="85" t="s">
        <v>486</v>
      </c>
      <c r="H1798" s="85" t="s">
        <v>1776</v>
      </c>
    </row>
    <row r="1799" spans="6:8" x14ac:dyDescent="0.2">
      <c r="F1799" s="83" t="s">
        <v>205</v>
      </c>
      <c r="G1799" s="85" t="s">
        <v>486</v>
      </c>
      <c r="H1799" s="85" t="s">
        <v>1777</v>
      </c>
    </row>
    <row r="1800" spans="6:8" x14ac:dyDescent="0.2">
      <c r="F1800" s="83" t="s">
        <v>205</v>
      </c>
      <c r="G1800" s="84" t="s">
        <v>205</v>
      </c>
      <c r="H1800" s="85" t="s">
        <v>1778</v>
      </c>
    </row>
    <row r="1801" spans="6:8" x14ac:dyDescent="0.2">
      <c r="F1801" s="83" t="s">
        <v>205</v>
      </c>
      <c r="G1801" s="84" t="s">
        <v>205</v>
      </c>
      <c r="H1801" s="85" t="s">
        <v>1779</v>
      </c>
    </row>
    <row r="1802" spans="6:8" x14ac:dyDescent="0.2">
      <c r="F1802" s="83" t="s">
        <v>205</v>
      </c>
      <c r="G1802" s="84" t="s">
        <v>205</v>
      </c>
      <c r="H1802" s="85" t="s">
        <v>1780</v>
      </c>
    </row>
    <row r="1803" spans="6:8" x14ac:dyDescent="0.2">
      <c r="F1803" s="83" t="s">
        <v>205</v>
      </c>
      <c r="G1803" s="84" t="s">
        <v>205</v>
      </c>
      <c r="H1803" s="85" t="s">
        <v>1781</v>
      </c>
    </row>
    <row r="1804" spans="6:8" x14ac:dyDescent="0.2">
      <c r="F1804" s="83" t="s">
        <v>205</v>
      </c>
      <c r="G1804" s="84" t="s">
        <v>205</v>
      </c>
      <c r="H1804" s="85" t="s">
        <v>1161</v>
      </c>
    </row>
    <row r="1805" spans="6:8" x14ac:dyDescent="0.2">
      <c r="F1805" s="83" t="s">
        <v>205</v>
      </c>
      <c r="G1805" s="84" t="s">
        <v>205</v>
      </c>
      <c r="H1805" s="85" t="s">
        <v>205</v>
      </c>
    </row>
    <row r="1806" spans="6:8" x14ac:dyDescent="0.2">
      <c r="F1806" s="83" t="s">
        <v>205</v>
      </c>
      <c r="G1806" s="84" t="s">
        <v>489</v>
      </c>
      <c r="H1806" s="85" t="s">
        <v>1782</v>
      </c>
    </row>
    <row r="1807" spans="6:8" x14ac:dyDescent="0.2">
      <c r="F1807" s="83" t="s">
        <v>205</v>
      </c>
      <c r="G1807" s="84" t="s">
        <v>489</v>
      </c>
      <c r="H1807" s="85" t="s">
        <v>1783</v>
      </c>
    </row>
    <row r="1808" spans="6:8" x14ac:dyDescent="0.2">
      <c r="F1808" s="83" t="s">
        <v>205</v>
      </c>
      <c r="G1808" s="84" t="s">
        <v>489</v>
      </c>
      <c r="H1808" s="85" t="s">
        <v>1784</v>
      </c>
    </row>
    <row r="1809" spans="6:8" x14ac:dyDescent="0.2">
      <c r="F1809" s="83" t="s">
        <v>205</v>
      </c>
      <c r="G1809" s="84" t="s">
        <v>489</v>
      </c>
      <c r="H1809" s="85" t="s">
        <v>489</v>
      </c>
    </row>
    <row r="1810" spans="6:8" x14ac:dyDescent="0.2">
      <c r="F1810" s="83" t="s">
        <v>207</v>
      </c>
      <c r="G1810" s="84" t="s">
        <v>490</v>
      </c>
      <c r="H1810" s="85" t="s">
        <v>1785</v>
      </c>
    </row>
    <row r="1811" spans="6:8" x14ac:dyDescent="0.2">
      <c r="F1811" s="83" t="s">
        <v>207</v>
      </c>
      <c r="G1811" s="84" t="s">
        <v>490</v>
      </c>
      <c r="H1811" s="85" t="s">
        <v>1786</v>
      </c>
    </row>
    <row r="1812" spans="6:8" x14ac:dyDescent="0.2">
      <c r="F1812" s="83" t="s">
        <v>207</v>
      </c>
      <c r="G1812" s="84" t="s">
        <v>490</v>
      </c>
      <c r="H1812" s="85" t="s">
        <v>1787</v>
      </c>
    </row>
    <row r="1813" spans="6:8" x14ac:dyDescent="0.2">
      <c r="F1813" s="83" t="s">
        <v>207</v>
      </c>
      <c r="G1813" s="84" t="s">
        <v>490</v>
      </c>
      <c r="H1813" s="85" t="s">
        <v>1788</v>
      </c>
    </row>
    <row r="1814" spans="6:8" x14ac:dyDescent="0.2">
      <c r="F1814" s="83" t="s">
        <v>207</v>
      </c>
      <c r="G1814" s="85" t="s">
        <v>492</v>
      </c>
      <c r="H1814" s="85" t="s">
        <v>1789</v>
      </c>
    </row>
    <row r="1815" spans="6:8" x14ac:dyDescent="0.2">
      <c r="F1815" s="83" t="s">
        <v>207</v>
      </c>
      <c r="G1815" s="85" t="s">
        <v>492</v>
      </c>
      <c r="H1815" s="85" t="s">
        <v>1790</v>
      </c>
    </row>
    <row r="1816" spans="6:8" x14ac:dyDescent="0.2">
      <c r="F1816" s="83" t="s">
        <v>207</v>
      </c>
      <c r="G1816" s="85" t="s">
        <v>492</v>
      </c>
      <c r="H1816" s="85" t="s">
        <v>1791</v>
      </c>
    </row>
    <row r="1817" spans="6:8" x14ac:dyDescent="0.2">
      <c r="F1817" s="83" t="s">
        <v>207</v>
      </c>
      <c r="G1817" s="85" t="s">
        <v>492</v>
      </c>
      <c r="H1817" s="85" t="s">
        <v>1792</v>
      </c>
    </row>
    <row r="1818" spans="6:8" x14ac:dyDescent="0.2">
      <c r="F1818" s="83" t="s">
        <v>207</v>
      </c>
      <c r="G1818" s="85" t="s">
        <v>492</v>
      </c>
      <c r="H1818" s="85" t="s">
        <v>1793</v>
      </c>
    </row>
    <row r="1819" spans="6:8" x14ac:dyDescent="0.2">
      <c r="F1819" s="83" t="s">
        <v>207</v>
      </c>
      <c r="G1819" s="85" t="s">
        <v>492</v>
      </c>
      <c r="H1819" s="85" t="s">
        <v>1794</v>
      </c>
    </row>
    <row r="1820" spans="6:8" x14ac:dyDescent="0.2">
      <c r="F1820" s="83" t="s">
        <v>207</v>
      </c>
      <c r="G1820" s="85" t="s">
        <v>492</v>
      </c>
      <c r="H1820" s="85" t="s">
        <v>1795</v>
      </c>
    </row>
    <row r="1821" spans="6:8" x14ac:dyDescent="0.2">
      <c r="F1821" s="83" t="s">
        <v>207</v>
      </c>
      <c r="G1821" s="85" t="s">
        <v>494</v>
      </c>
      <c r="H1821" s="85" t="s">
        <v>1796</v>
      </c>
    </row>
    <row r="1822" spans="6:8" x14ac:dyDescent="0.2">
      <c r="F1822" s="83" t="s">
        <v>207</v>
      </c>
      <c r="G1822" s="85" t="s">
        <v>494</v>
      </c>
      <c r="H1822" s="85" t="s">
        <v>494</v>
      </c>
    </row>
    <row r="1823" spans="6:8" x14ac:dyDescent="0.2">
      <c r="F1823" s="83" t="s">
        <v>207</v>
      </c>
      <c r="G1823" s="85" t="s">
        <v>496</v>
      </c>
      <c r="H1823" s="85" t="s">
        <v>496</v>
      </c>
    </row>
  </sheetData>
  <mergeCells count="3">
    <mergeCell ref="A1:A2"/>
    <mergeCell ref="C1:D1"/>
    <mergeCell ref="F1:H1"/>
  </mergeCells>
  <hyperlinks>
    <hyperlink ref="D138" r:id="rId1" tooltip="Provincia de Datem del Marañón" display="http://es.wikipedia.org/wiki/Provincia_de_Datem_del_Mara%C3%B1%C3%B3n" xr:uid="{00000000-0004-0000-0500-000000000000}"/>
    <hyperlink ref="H524" r:id="rId2" tooltip="Distrito de San Javier de Alpabamba" display="http://es.wikipedia.org/wiki/Distrito_de_San_Javier_de_Alpabamba" xr:uid="{00000000-0004-0000-0500-000001000000}"/>
    <hyperlink ref="H534" r:id="rId3" display="http://www.ayacuchoperu.com/ayacucho/provincias/index.php?id=8" xr:uid="{00000000-0004-0000-0500-000002000000}"/>
    <hyperlink ref="H536" r:id="rId4" display="http://www.ayacuchoperu.com/ayacucho/provincias/index.php?id=8" xr:uid="{00000000-0004-0000-0500-000003000000}"/>
    <hyperlink ref="H593" r:id="rId5" tooltip="Distrito de Santo Domingo de la Capilla" display="http://es.wikipedia.org/wiki/Distrito_de_Santo_Domingo_de_la_Capilla" xr:uid="{00000000-0004-0000-0500-000004000000}"/>
    <hyperlink ref="H637" r:id="rId6" tooltip="Distrito de Eduardo Villanueva" display="http://es.wikipedia.org/wiki/Distrito_de_Eduardo_Villanueva" xr:uid="{00000000-0004-0000-0500-000005000000}"/>
    <hyperlink ref="G1425" r:id="rId7" tooltip="Provincia de Datem del Marañón" display="http://es.wikipedia.org/wiki/Provincia_de_Datem_del_Mara%C3%B1%C3%B3n" xr:uid="{00000000-0004-0000-0500-000006000000}"/>
  </hyperlinks>
  <pageMargins left="0.7" right="0.7" top="0.75" bottom="0.75" header="0.3" footer="0.3"/>
  <headerFooter>
    <oddFooter>&amp;C_x000D_&amp;1#&amp;"Calibri"&amp;8&amp;K0000FF Datos elaborados por BCP para uso Interno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267"/>
  <sheetViews>
    <sheetView workbookViewId="0">
      <selection activeCell="A2" sqref="A2"/>
    </sheetView>
  </sheetViews>
  <sheetFormatPr baseColWidth="10" defaultRowHeight="12.75" x14ac:dyDescent="0.2"/>
  <sheetData>
    <row r="1" spans="1:1" x14ac:dyDescent="0.2">
      <c r="A1">
        <v>1</v>
      </c>
    </row>
    <row r="2" spans="1:1" x14ac:dyDescent="0.2">
      <c r="A2">
        <v>1</v>
      </c>
    </row>
    <row r="3" spans="1:1" x14ac:dyDescent="0.2">
      <c r="A3">
        <v>1</v>
      </c>
    </row>
    <row r="4" spans="1:1" x14ac:dyDescent="0.2">
      <c r="A4">
        <v>1</v>
      </c>
    </row>
    <row r="5" spans="1:1" x14ac:dyDescent="0.2">
      <c r="A5">
        <v>1</v>
      </c>
    </row>
    <row r="6" spans="1:1" x14ac:dyDescent="0.2">
      <c r="A6">
        <v>1</v>
      </c>
    </row>
    <row r="7" spans="1:1" x14ac:dyDescent="0.2">
      <c r="A7">
        <v>1</v>
      </c>
    </row>
    <row r="8" spans="1:1" x14ac:dyDescent="0.2">
      <c r="A8">
        <v>1</v>
      </c>
    </row>
    <row r="9" spans="1:1" x14ac:dyDescent="0.2">
      <c r="A9">
        <v>1</v>
      </c>
    </row>
    <row r="10" spans="1:1" x14ac:dyDescent="0.2">
      <c r="A10">
        <v>1</v>
      </c>
    </row>
    <row r="11" spans="1:1" x14ac:dyDescent="0.2">
      <c r="A11">
        <v>1</v>
      </c>
    </row>
    <row r="12" spans="1:1" x14ac:dyDescent="0.2">
      <c r="A12">
        <v>1</v>
      </c>
    </row>
    <row r="13" spans="1:1" x14ac:dyDescent="0.2">
      <c r="A13">
        <v>1</v>
      </c>
    </row>
    <row r="14" spans="1:1" x14ac:dyDescent="0.2">
      <c r="A14">
        <v>1</v>
      </c>
    </row>
    <row r="15" spans="1:1" x14ac:dyDescent="0.2">
      <c r="A15">
        <v>1</v>
      </c>
    </row>
    <row r="16" spans="1:1" x14ac:dyDescent="0.2">
      <c r="A16">
        <v>1</v>
      </c>
    </row>
    <row r="17" spans="1:1" x14ac:dyDescent="0.2">
      <c r="A17">
        <v>1</v>
      </c>
    </row>
    <row r="18" spans="1:1" x14ac:dyDescent="0.2">
      <c r="A18">
        <v>1</v>
      </c>
    </row>
    <row r="19" spans="1:1" x14ac:dyDescent="0.2">
      <c r="A19">
        <v>1</v>
      </c>
    </row>
    <row r="20" spans="1:1" x14ac:dyDescent="0.2">
      <c r="A20">
        <v>1</v>
      </c>
    </row>
    <row r="21" spans="1:1" x14ac:dyDescent="0.2">
      <c r="A21">
        <v>1</v>
      </c>
    </row>
    <row r="22" spans="1:1" x14ac:dyDescent="0.2">
      <c r="A22">
        <v>1</v>
      </c>
    </row>
    <row r="23" spans="1:1" x14ac:dyDescent="0.2">
      <c r="A23">
        <v>1</v>
      </c>
    </row>
    <row r="24" spans="1:1" x14ac:dyDescent="0.2">
      <c r="A24">
        <v>1</v>
      </c>
    </row>
    <row r="25" spans="1:1" x14ac:dyDescent="0.2">
      <c r="A25">
        <v>1</v>
      </c>
    </row>
    <row r="26" spans="1:1" x14ac:dyDescent="0.2">
      <c r="A26">
        <v>0</v>
      </c>
    </row>
    <row r="27" spans="1:1" x14ac:dyDescent="0.2">
      <c r="A27">
        <v>0</v>
      </c>
    </row>
    <row r="28" spans="1:1" x14ac:dyDescent="0.2">
      <c r="A28">
        <v>0</v>
      </c>
    </row>
    <row r="29" spans="1:1" x14ac:dyDescent="0.2">
      <c r="A29">
        <v>0</v>
      </c>
    </row>
    <row r="30" spans="1:1" x14ac:dyDescent="0.2">
      <c r="A30">
        <v>0</v>
      </c>
    </row>
    <row r="31" spans="1:1" x14ac:dyDescent="0.2">
      <c r="A31">
        <v>0</v>
      </c>
    </row>
    <row r="32" spans="1:1" x14ac:dyDescent="0.2">
      <c r="A32">
        <v>0</v>
      </c>
    </row>
    <row r="33" spans="1:1" x14ac:dyDescent="0.2">
      <c r="A33">
        <v>0</v>
      </c>
    </row>
    <row r="34" spans="1:1" x14ac:dyDescent="0.2">
      <c r="A34">
        <v>0</v>
      </c>
    </row>
    <row r="35" spans="1:1" x14ac:dyDescent="0.2">
      <c r="A35">
        <v>0</v>
      </c>
    </row>
    <row r="36" spans="1:1" x14ac:dyDescent="0.2">
      <c r="A36">
        <v>0</v>
      </c>
    </row>
    <row r="37" spans="1:1" x14ac:dyDescent="0.2">
      <c r="A37">
        <v>0</v>
      </c>
    </row>
    <row r="38" spans="1:1" x14ac:dyDescent="0.2">
      <c r="A38">
        <v>0</v>
      </c>
    </row>
    <row r="39" spans="1:1" x14ac:dyDescent="0.2">
      <c r="A39">
        <v>0</v>
      </c>
    </row>
    <row r="40" spans="1:1" x14ac:dyDescent="0.2">
      <c r="A40">
        <v>0</v>
      </c>
    </row>
    <row r="41" spans="1:1" x14ac:dyDescent="0.2">
      <c r="A41">
        <v>0</v>
      </c>
    </row>
    <row r="42" spans="1:1" x14ac:dyDescent="0.2">
      <c r="A42">
        <v>0</v>
      </c>
    </row>
    <row r="43" spans="1:1" x14ac:dyDescent="0.2">
      <c r="A43">
        <v>0</v>
      </c>
    </row>
    <row r="44" spans="1:1" x14ac:dyDescent="0.2">
      <c r="A44">
        <v>0</v>
      </c>
    </row>
    <row r="45" spans="1:1" x14ac:dyDescent="0.2">
      <c r="A45">
        <v>0</v>
      </c>
    </row>
    <row r="46" spans="1:1" x14ac:dyDescent="0.2">
      <c r="A46">
        <v>0</v>
      </c>
    </row>
    <row r="47" spans="1:1" x14ac:dyDescent="0.2">
      <c r="A47">
        <v>0</v>
      </c>
    </row>
    <row r="48" spans="1:1" x14ac:dyDescent="0.2">
      <c r="A48">
        <v>0</v>
      </c>
    </row>
    <row r="49" spans="1:1" x14ac:dyDescent="0.2">
      <c r="A49">
        <v>0</v>
      </c>
    </row>
    <row r="50" spans="1:1" x14ac:dyDescent="0.2">
      <c r="A50">
        <v>0</v>
      </c>
    </row>
    <row r="51" spans="1:1" x14ac:dyDescent="0.2">
      <c r="A51">
        <v>0</v>
      </c>
    </row>
    <row r="52" spans="1:1" x14ac:dyDescent="0.2">
      <c r="A52">
        <v>0</v>
      </c>
    </row>
    <row r="53" spans="1:1" x14ac:dyDescent="0.2">
      <c r="A53">
        <v>0</v>
      </c>
    </row>
    <row r="54" spans="1:1" x14ac:dyDescent="0.2">
      <c r="A54">
        <v>0</v>
      </c>
    </row>
    <row r="55" spans="1:1" x14ac:dyDescent="0.2">
      <c r="A55">
        <v>0</v>
      </c>
    </row>
    <row r="56" spans="1:1" x14ac:dyDescent="0.2">
      <c r="A56">
        <v>0</v>
      </c>
    </row>
    <row r="57" spans="1:1" x14ac:dyDescent="0.2">
      <c r="A57">
        <v>0</v>
      </c>
    </row>
    <row r="58" spans="1:1" x14ac:dyDescent="0.2">
      <c r="A58">
        <v>0</v>
      </c>
    </row>
    <row r="59" spans="1:1" x14ac:dyDescent="0.2">
      <c r="A59">
        <v>0</v>
      </c>
    </row>
    <row r="60" spans="1:1" x14ac:dyDescent="0.2">
      <c r="A60">
        <v>0</v>
      </c>
    </row>
    <row r="61" spans="1:1" x14ac:dyDescent="0.2">
      <c r="A61">
        <v>0</v>
      </c>
    </row>
    <row r="62" spans="1:1" x14ac:dyDescent="0.2">
      <c r="A62">
        <v>0</v>
      </c>
    </row>
    <row r="63" spans="1:1" x14ac:dyDescent="0.2">
      <c r="A63">
        <v>0</v>
      </c>
    </row>
    <row r="64" spans="1:1" x14ac:dyDescent="0.2">
      <c r="A64">
        <v>0</v>
      </c>
    </row>
    <row r="65" spans="1:1" x14ac:dyDescent="0.2">
      <c r="A65">
        <v>0</v>
      </c>
    </row>
    <row r="66" spans="1:1" x14ac:dyDescent="0.2">
      <c r="A66">
        <v>0</v>
      </c>
    </row>
    <row r="67" spans="1:1" x14ac:dyDescent="0.2">
      <c r="A67">
        <v>0</v>
      </c>
    </row>
    <row r="68" spans="1:1" x14ac:dyDescent="0.2">
      <c r="A68">
        <v>0</v>
      </c>
    </row>
    <row r="69" spans="1:1" x14ac:dyDescent="0.2">
      <c r="A69">
        <v>0</v>
      </c>
    </row>
    <row r="70" spans="1:1" x14ac:dyDescent="0.2">
      <c r="A70">
        <v>0</v>
      </c>
    </row>
    <row r="71" spans="1:1" x14ac:dyDescent="0.2">
      <c r="A71">
        <v>0</v>
      </c>
    </row>
    <row r="72" spans="1:1" x14ac:dyDescent="0.2">
      <c r="A72">
        <v>0</v>
      </c>
    </row>
    <row r="73" spans="1:1" x14ac:dyDescent="0.2">
      <c r="A73">
        <v>0</v>
      </c>
    </row>
    <row r="74" spans="1:1" x14ac:dyDescent="0.2">
      <c r="A74">
        <v>0</v>
      </c>
    </row>
    <row r="75" spans="1:1" x14ac:dyDescent="0.2">
      <c r="A75">
        <v>0</v>
      </c>
    </row>
    <row r="76" spans="1:1" x14ac:dyDescent="0.2">
      <c r="A76">
        <v>0</v>
      </c>
    </row>
    <row r="77" spans="1:1" x14ac:dyDescent="0.2">
      <c r="A77">
        <v>0</v>
      </c>
    </row>
    <row r="78" spans="1:1" x14ac:dyDescent="0.2">
      <c r="A78">
        <v>0</v>
      </c>
    </row>
    <row r="79" spans="1:1" x14ac:dyDescent="0.2">
      <c r="A79">
        <v>0</v>
      </c>
    </row>
    <row r="80" spans="1:1" x14ac:dyDescent="0.2">
      <c r="A80">
        <v>0</v>
      </c>
    </row>
    <row r="81" spans="1:1" x14ac:dyDescent="0.2">
      <c r="A81">
        <v>0</v>
      </c>
    </row>
    <row r="82" spans="1:1" x14ac:dyDescent="0.2">
      <c r="A82">
        <v>0</v>
      </c>
    </row>
    <row r="83" spans="1:1" x14ac:dyDescent="0.2">
      <c r="A83">
        <v>0</v>
      </c>
    </row>
    <row r="84" spans="1:1" x14ac:dyDescent="0.2">
      <c r="A84">
        <v>0</v>
      </c>
    </row>
    <row r="85" spans="1:1" x14ac:dyDescent="0.2">
      <c r="A85">
        <v>0</v>
      </c>
    </row>
    <row r="86" spans="1:1" x14ac:dyDescent="0.2">
      <c r="A86">
        <v>0</v>
      </c>
    </row>
    <row r="87" spans="1:1" x14ac:dyDescent="0.2">
      <c r="A87">
        <v>0</v>
      </c>
    </row>
    <row r="88" spans="1:1" x14ac:dyDescent="0.2">
      <c r="A88">
        <v>0</v>
      </c>
    </row>
    <row r="89" spans="1:1" x14ac:dyDescent="0.2">
      <c r="A89">
        <v>0</v>
      </c>
    </row>
    <row r="90" spans="1:1" x14ac:dyDescent="0.2">
      <c r="A90">
        <v>0</v>
      </c>
    </row>
    <row r="91" spans="1:1" x14ac:dyDescent="0.2">
      <c r="A91">
        <v>0</v>
      </c>
    </row>
    <row r="92" spans="1:1" x14ac:dyDescent="0.2">
      <c r="A92">
        <v>0</v>
      </c>
    </row>
    <row r="93" spans="1:1" x14ac:dyDescent="0.2">
      <c r="A93">
        <v>0</v>
      </c>
    </row>
    <row r="94" spans="1:1" x14ac:dyDescent="0.2">
      <c r="A94">
        <v>0</v>
      </c>
    </row>
    <row r="95" spans="1:1" x14ac:dyDescent="0.2">
      <c r="A95">
        <v>0</v>
      </c>
    </row>
    <row r="96" spans="1:1" x14ac:dyDescent="0.2">
      <c r="A96">
        <v>0</v>
      </c>
    </row>
    <row r="97" spans="1:1" x14ac:dyDescent="0.2">
      <c r="A97">
        <v>0</v>
      </c>
    </row>
    <row r="98" spans="1:1" x14ac:dyDescent="0.2">
      <c r="A98">
        <v>0</v>
      </c>
    </row>
    <row r="99" spans="1:1" x14ac:dyDescent="0.2">
      <c r="A99">
        <v>0</v>
      </c>
    </row>
    <row r="100" spans="1:1" x14ac:dyDescent="0.2">
      <c r="A100">
        <v>0</v>
      </c>
    </row>
    <row r="101" spans="1:1" x14ac:dyDescent="0.2">
      <c r="A101">
        <v>0</v>
      </c>
    </row>
    <row r="102" spans="1:1" x14ac:dyDescent="0.2">
      <c r="A102">
        <v>0</v>
      </c>
    </row>
    <row r="103" spans="1:1" x14ac:dyDescent="0.2">
      <c r="A103">
        <v>0</v>
      </c>
    </row>
    <row r="104" spans="1:1" x14ac:dyDescent="0.2">
      <c r="A104">
        <v>0</v>
      </c>
    </row>
    <row r="105" spans="1:1" x14ac:dyDescent="0.2">
      <c r="A105">
        <v>0</v>
      </c>
    </row>
    <row r="106" spans="1:1" x14ac:dyDescent="0.2">
      <c r="A106">
        <v>0</v>
      </c>
    </row>
    <row r="107" spans="1:1" x14ac:dyDescent="0.2">
      <c r="A107">
        <v>0</v>
      </c>
    </row>
    <row r="108" spans="1:1" x14ac:dyDescent="0.2">
      <c r="A108">
        <v>0</v>
      </c>
    </row>
    <row r="109" spans="1:1" x14ac:dyDescent="0.2">
      <c r="A109">
        <v>0</v>
      </c>
    </row>
    <row r="110" spans="1:1" x14ac:dyDescent="0.2">
      <c r="A110">
        <v>0</v>
      </c>
    </row>
    <row r="111" spans="1:1" x14ac:dyDescent="0.2">
      <c r="A111">
        <v>0</v>
      </c>
    </row>
    <row r="112" spans="1:1" x14ac:dyDescent="0.2">
      <c r="A112">
        <v>0</v>
      </c>
    </row>
    <row r="113" spans="1:1" x14ac:dyDescent="0.2">
      <c r="A113">
        <v>0</v>
      </c>
    </row>
    <row r="114" spans="1:1" x14ac:dyDescent="0.2">
      <c r="A114">
        <v>0</v>
      </c>
    </row>
    <row r="115" spans="1:1" x14ac:dyDescent="0.2">
      <c r="A115">
        <v>0</v>
      </c>
    </row>
    <row r="116" spans="1:1" x14ac:dyDescent="0.2">
      <c r="A116">
        <v>0</v>
      </c>
    </row>
    <row r="117" spans="1:1" x14ac:dyDescent="0.2">
      <c r="A117">
        <v>0</v>
      </c>
    </row>
    <row r="118" spans="1:1" x14ac:dyDescent="0.2">
      <c r="A118">
        <v>0</v>
      </c>
    </row>
    <row r="119" spans="1:1" x14ac:dyDescent="0.2">
      <c r="A119">
        <v>0</v>
      </c>
    </row>
    <row r="120" spans="1:1" x14ac:dyDescent="0.2">
      <c r="A120">
        <v>0</v>
      </c>
    </row>
    <row r="121" spans="1:1" x14ac:dyDescent="0.2">
      <c r="A121">
        <v>0</v>
      </c>
    </row>
    <row r="122" spans="1:1" x14ac:dyDescent="0.2">
      <c r="A122">
        <v>0</v>
      </c>
    </row>
    <row r="123" spans="1:1" x14ac:dyDescent="0.2">
      <c r="A123">
        <v>0</v>
      </c>
    </row>
    <row r="124" spans="1:1" x14ac:dyDescent="0.2">
      <c r="A124">
        <v>0</v>
      </c>
    </row>
    <row r="125" spans="1:1" x14ac:dyDescent="0.2">
      <c r="A125">
        <v>0</v>
      </c>
    </row>
    <row r="126" spans="1:1" x14ac:dyDescent="0.2">
      <c r="A126">
        <v>0</v>
      </c>
    </row>
    <row r="127" spans="1:1" x14ac:dyDescent="0.2">
      <c r="A127">
        <v>0</v>
      </c>
    </row>
    <row r="128" spans="1:1" x14ac:dyDescent="0.2">
      <c r="A128">
        <v>0</v>
      </c>
    </row>
    <row r="129" spans="1:1" x14ac:dyDescent="0.2">
      <c r="A129">
        <v>0</v>
      </c>
    </row>
    <row r="130" spans="1:1" x14ac:dyDescent="0.2">
      <c r="A130">
        <v>0</v>
      </c>
    </row>
    <row r="131" spans="1:1" x14ac:dyDescent="0.2">
      <c r="A131">
        <v>0</v>
      </c>
    </row>
    <row r="132" spans="1:1" x14ac:dyDescent="0.2">
      <c r="A132">
        <v>0</v>
      </c>
    </row>
    <row r="133" spans="1:1" x14ac:dyDescent="0.2">
      <c r="A133">
        <v>0</v>
      </c>
    </row>
    <row r="134" spans="1:1" x14ac:dyDescent="0.2">
      <c r="A134">
        <v>0</v>
      </c>
    </row>
    <row r="135" spans="1:1" x14ac:dyDescent="0.2">
      <c r="A135">
        <v>0</v>
      </c>
    </row>
    <row r="136" spans="1:1" x14ac:dyDescent="0.2">
      <c r="A136">
        <v>0</v>
      </c>
    </row>
    <row r="137" spans="1:1" x14ac:dyDescent="0.2">
      <c r="A137">
        <v>0</v>
      </c>
    </row>
    <row r="138" spans="1:1" x14ac:dyDescent="0.2">
      <c r="A138">
        <v>0</v>
      </c>
    </row>
    <row r="139" spans="1:1" x14ac:dyDescent="0.2">
      <c r="A139">
        <v>0</v>
      </c>
    </row>
    <row r="140" spans="1:1" x14ac:dyDescent="0.2">
      <c r="A140">
        <v>0</v>
      </c>
    </row>
    <row r="141" spans="1:1" x14ac:dyDescent="0.2">
      <c r="A141">
        <v>0</v>
      </c>
    </row>
    <row r="142" spans="1:1" x14ac:dyDescent="0.2">
      <c r="A142">
        <v>0</v>
      </c>
    </row>
    <row r="143" spans="1:1" x14ac:dyDescent="0.2">
      <c r="A143">
        <v>0</v>
      </c>
    </row>
    <row r="144" spans="1:1" x14ac:dyDescent="0.2">
      <c r="A144">
        <v>0</v>
      </c>
    </row>
    <row r="145" spans="1:1" x14ac:dyDescent="0.2">
      <c r="A145">
        <v>0</v>
      </c>
    </row>
    <row r="146" spans="1:1" x14ac:dyDescent="0.2">
      <c r="A146">
        <v>0</v>
      </c>
    </row>
    <row r="147" spans="1:1" x14ac:dyDescent="0.2">
      <c r="A147">
        <v>0</v>
      </c>
    </row>
    <row r="148" spans="1:1" x14ac:dyDescent="0.2">
      <c r="A148">
        <v>0</v>
      </c>
    </row>
    <row r="149" spans="1:1" x14ac:dyDescent="0.2">
      <c r="A149">
        <v>0</v>
      </c>
    </row>
    <row r="150" spans="1:1" x14ac:dyDescent="0.2">
      <c r="A150">
        <v>0</v>
      </c>
    </row>
    <row r="151" spans="1:1" x14ac:dyDescent="0.2">
      <c r="A151">
        <v>0</v>
      </c>
    </row>
    <row r="152" spans="1:1" x14ac:dyDescent="0.2">
      <c r="A152">
        <v>0</v>
      </c>
    </row>
    <row r="153" spans="1:1" x14ac:dyDescent="0.2">
      <c r="A153">
        <v>0</v>
      </c>
    </row>
    <row r="154" spans="1:1" x14ac:dyDescent="0.2">
      <c r="A154">
        <v>0</v>
      </c>
    </row>
    <row r="155" spans="1:1" x14ac:dyDescent="0.2">
      <c r="A155">
        <v>0</v>
      </c>
    </row>
    <row r="156" spans="1:1" x14ac:dyDescent="0.2">
      <c r="A156">
        <v>0</v>
      </c>
    </row>
    <row r="157" spans="1:1" x14ac:dyDescent="0.2">
      <c r="A157">
        <v>0</v>
      </c>
    </row>
    <row r="158" spans="1:1" x14ac:dyDescent="0.2">
      <c r="A158">
        <v>0</v>
      </c>
    </row>
    <row r="159" spans="1:1" x14ac:dyDescent="0.2">
      <c r="A159">
        <v>0</v>
      </c>
    </row>
    <row r="160" spans="1:1" x14ac:dyDescent="0.2">
      <c r="A160">
        <v>0</v>
      </c>
    </row>
    <row r="161" spans="1:1" x14ac:dyDescent="0.2">
      <c r="A161">
        <v>0</v>
      </c>
    </row>
    <row r="162" spans="1:1" x14ac:dyDescent="0.2">
      <c r="A162">
        <v>0</v>
      </c>
    </row>
    <row r="163" spans="1:1" x14ac:dyDescent="0.2">
      <c r="A163">
        <v>0</v>
      </c>
    </row>
    <row r="164" spans="1:1" x14ac:dyDescent="0.2">
      <c r="A164">
        <v>0</v>
      </c>
    </row>
    <row r="165" spans="1:1" x14ac:dyDescent="0.2">
      <c r="A165">
        <v>0</v>
      </c>
    </row>
    <row r="166" spans="1:1" x14ac:dyDescent="0.2">
      <c r="A166">
        <v>0</v>
      </c>
    </row>
    <row r="167" spans="1:1" x14ac:dyDescent="0.2">
      <c r="A167">
        <v>0</v>
      </c>
    </row>
    <row r="168" spans="1:1" x14ac:dyDescent="0.2">
      <c r="A168">
        <v>0</v>
      </c>
    </row>
    <row r="169" spans="1:1" x14ac:dyDescent="0.2">
      <c r="A169">
        <v>0</v>
      </c>
    </row>
    <row r="170" spans="1:1" x14ac:dyDescent="0.2">
      <c r="A170">
        <v>0</v>
      </c>
    </row>
    <row r="171" spans="1:1" x14ac:dyDescent="0.2">
      <c r="A171">
        <v>0</v>
      </c>
    </row>
    <row r="172" spans="1:1" x14ac:dyDescent="0.2">
      <c r="A172">
        <v>0</v>
      </c>
    </row>
    <row r="173" spans="1:1" x14ac:dyDescent="0.2">
      <c r="A173">
        <v>0</v>
      </c>
    </row>
    <row r="174" spans="1:1" x14ac:dyDescent="0.2">
      <c r="A174">
        <v>0</v>
      </c>
    </row>
    <row r="175" spans="1:1" x14ac:dyDescent="0.2">
      <c r="A175">
        <v>0</v>
      </c>
    </row>
    <row r="176" spans="1:1" x14ac:dyDescent="0.2">
      <c r="A176">
        <v>0</v>
      </c>
    </row>
    <row r="177" spans="1:1" x14ac:dyDescent="0.2">
      <c r="A177">
        <v>0</v>
      </c>
    </row>
    <row r="178" spans="1:1" x14ac:dyDescent="0.2">
      <c r="A178">
        <v>0</v>
      </c>
    </row>
    <row r="179" spans="1:1" x14ac:dyDescent="0.2">
      <c r="A179">
        <v>0</v>
      </c>
    </row>
    <row r="180" spans="1:1" x14ac:dyDescent="0.2">
      <c r="A180">
        <v>0</v>
      </c>
    </row>
    <row r="181" spans="1:1" x14ac:dyDescent="0.2">
      <c r="A181">
        <v>0</v>
      </c>
    </row>
    <row r="182" spans="1:1" x14ac:dyDescent="0.2">
      <c r="A182">
        <v>0</v>
      </c>
    </row>
    <row r="183" spans="1:1" x14ac:dyDescent="0.2">
      <c r="A183">
        <v>0</v>
      </c>
    </row>
    <row r="184" spans="1:1" x14ac:dyDescent="0.2">
      <c r="A184">
        <v>0</v>
      </c>
    </row>
    <row r="185" spans="1:1" x14ac:dyDescent="0.2">
      <c r="A185">
        <v>0</v>
      </c>
    </row>
    <row r="186" spans="1:1" x14ac:dyDescent="0.2">
      <c r="A186">
        <v>0</v>
      </c>
    </row>
    <row r="187" spans="1:1" x14ac:dyDescent="0.2">
      <c r="A187">
        <v>0</v>
      </c>
    </row>
    <row r="188" spans="1:1" x14ac:dyDescent="0.2">
      <c r="A188">
        <v>0</v>
      </c>
    </row>
    <row r="189" spans="1:1" x14ac:dyDescent="0.2">
      <c r="A189">
        <v>0</v>
      </c>
    </row>
    <row r="190" spans="1:1" x14ac:dyDescent="0.2">
      <c r="A190">
        <v>0</v>
      </c>
    </row>
    <row r="191" spans="1:1" x14ac:dyDescent="0.2">
      <c r="A191">
        <v>0</v>
      </c>
    </row>
    <row r="192" spans="1:1" x14ac:dyDescent="0.2">
      <c r="A192">
        <v>0</v>
      </c>
    </row>
    <row r="193" spans="1:1" x14ac:dyDescent="0.2">
      <c r="A193">
        <v>0</v>
      </c>
    </row>
    <row r="194" spans="1:1" x14ac:dyDescent="0.2">
      <c r="A194">
        <v>0</v>
      </c>
    </row>
    <row r="195" spans="1:1" x14ac:dyDescent="0.2">
      <c r="A195">
        <v>0</v>
      </c>
    </row>
    <row r="196" spans="1:1" x14ac:dyDescent="0.2">
      <c r="A196">
        <v>0</v>
      </c>
    </row>
    <row r="197" spans="1:1" x14ac:dyDescent="0.2">
      <c r="A197">
        <v>0</v>
      </c>
    </row>
    <row r="198" spans="1:1" x14ac:dyDescent="0.2">
      <c r="A198">
        <v>0</v>
      </c>
    </row>
    <row r="199" spans="1:1" x14ac:dyDescent="0.2">
      <c r="A199">
        <v>0</v>
      </c>
    </row>
    <row r="200" spans="1:1" x14ac:dyDescent="0.2">
      <c r="A200">
        <v>0</v>
      </c>
    </row>
    <row r="201" spans="1:1" x14ac:dyDescent="0.2">
      <c r="A201">
        <v>0</v>
      </c>
    </row>
    <row r="202" spans="1:1" x14ac:dyDescent="0.2">
      <c r="A202">
        <v>0</v>
      </c>
    </row>
    <row r="203" spans="1:1" x14ac:dyDescent="0.2">
      <c r="A203">
        <v>0</v>
      </c>
    </row>
    <row r="204" spans="1:1" x14ac:dyDescent="0.2">
      <c r="A204">
        <v>0</v>
      </c>
    </row>
    <row r="205" spans="1:1" x14ac:dyDescent="0.2">
      <c r="A205">
        <v>0</v>
      </c>
    </row>
    <row r="206" spans="1:1" x14ac:dyDescent="0.2">
      <c r="A206">
        <v>0</v>
      </c>
    </row>
    <row r="207" spans="1:1" x14ac:dyDescent="0.2">
      <c r="A207">
        <v>0</v>
      </c>
    </row>
    <row r="208" spans="1:1" x14ac:dyDescent="0.2">
      <c r="A208">
        <v>0</v>
      </c>
    </row>
    <row r="209" spans="1:1" x14ac:dyDescent="0.2">
      <c r="A209">
        <v>0</v>
      </c>
    </row>
    <row r="210" spans="1:1" x14ac:dyDescent="0.2">
      <c r="A210">
        <v>0</v>
      </c>
    </row>
    <row r="211" spans="1:1" x14ac:dyDescent="0.2">
      <c r="A211">
        <v>0</v>
      </c>
    </row>
    <row r="212" spans="1:1" x14ac:dyDescent="0.2">
      <c r="A212">
        <v>0</v>
      </c>
    </row>
    <row r="213" spans="1:1" x14ac:dyDescent="0.2">
      <c r="A213">
        <v>0</v>
      </c>
    </row>
    <row r="214" spans="1:1" x14ac:dyDescent="0.2">
      <c r="A214">
        <v>0</v>
      </c>
    </row>
    <row r="215" spans="1:1" x14ac:dyDescent="0.2">
      <c r="A215">
        <v>0</v>
      </c>
    </row>
    <row r="216" spans="1:1" x14ac:dyDescent="0.2">
      <c r="A216">
        <v>0</v>
      </c>
    </row>
    <row r="217" spans="1:1" x14ac:dyDescent="0.2">
      <c r="A217">
        <v>0</v>
      </c>
    </row>
    <row r="218" spans="1:1" x14ac:dyDescent="0.2">
      <c r="A218">
        <v>0</v>
      </c>
    </row>
    <row r="219" spans="1:1" x14ac:dyDescent="0.2">
      <c r="A219">
        <v>0</v>
      </c>
    </row>
    <row r="220" spans="1:1" x14ac:dyDescent="0.2">
      <c r="A220">
        <v>0</v>
      </c>
    </row>
    <row r="221" spans="1:1" x14ac:dyDescent="0.2">
      <c r="A221">
        <v>0</v>
      </c>
    </row>
    <row r="222" spans="1:1" x14ac:dyDescent="0.2">
      <c r="A222">
        <v>0</v>
      </c>
    </row>
    <row r="223" spans="1:1" x14ac:dyDescent="0.2">
      <c r="A223">
        <v>0</v>
      </c>
    </row>
    <row r="224" spans="1:1" x14ac:dyDescent="0.2">
      <c r="A224">
        <v>0</v>
      </c>
    </row>
    <row r="225" spans="1:1" x14ac:dyDescent="0.2">
      <c r="A225">
        <v>0</v>
      </c>
    </row>
    <row r="226" spans="1:1" x14ac:dyDescent="0.2">
      <c r="A226">
        <v>0</v>
      </c>
    </row>
    <row r="227" spans="1:1" x14ac:dyDescent="0.2">
      <c r="A227">
        <v>0</v>
      </c>
    </row>
    <row r="228" spans="1:1" x14ac:dyDescent="0.2">
      <c r="A228">
        <v>0</v>
      </c>
    </row>
    <row r="229" spans="1:1" x14ac:dyDescent="0.2">
      <c r="A229">
        <v>0</v>
      </c>
    </row>
    <row r="230" spans="1:1" x14ac:dyDescent="0.2">
      <c r="A230">
        <v>0</v>
      </c>
    </row>
    <row r="231" spans="1:1" x14ac:dyDescent="0.2">
      <c r="A231">
        <v>0</v>
      </c>
    </row>
    <row r="232" spans="1:1" x14ac:dyDescent="0.2">
      <c r="A232">
        <v>0</v>
      </c>
    </row>
    <row r="233" spans="1:1" x14ac:dyDescent="0.2">
      <c r="A233">
        <v>0</v>
      </c>
    </row>
    <row r="234" spans="1:1" x14ac:dyDescent="0.2">
      <c r="A234">
        <v>0</v>
      </c>
    </row>
    <row r="235" spans="1:1" x14ac:dyDescent="0.2">
      <c r="A235">
        <v>0</v>
      </c>
    </row>
    <row r="236" spans="1:1" x14ac:dyDescent="0.2">
      <c r="A236">
        <v>0</v>
      </c>
    </row>
    <row r="237" spans="1:1" x14ac:dyDescent="0.2">
      <c r="A237">
        <v>0</v>
      </c>
    </row>
    <row r="238" spans="1:1" x14ac:dyDescent="0.2">
      <c r="A238">
        <v>0</v>
      </c>
    </row>
    <row r="239" spans="1:1" x14ac:dyDescent="0.2">
      <c r="A239">
        <v>0</v>
      </c>
    </row>
    <row r="240" spans="1:1" x14ac:dyDescent="0.2">
      <c r="A240">
        <v>0</v>
      </c>
    </row>
    <row r="241" spans="1:1" x14ac:dyDescent="0.2">
      <c r="A241">
        <v>0</v>
      </c>
    </row>
    <row r="242" spans="1:1" x14ac:dyDescent="0.2">
      <c r="A242">
        <v>0</v>
      </c>
    </row>
    <row r="243" spans="1:1" x14ac:dyDescent="0.2">
      <c r="A243">
        <v>0</v>
      </c>
    </row>
    <row r="244" spans="1:1" x14ac:dyDescent="0.2">
      <c r="A244">
        <v>0</v>
      </c>
    </row>
    <row r="245" spans="1:1" x14ac:dyDescent="0.2">
      <c r="A245">
        <v>0</v>
      </c>
    </row>
    <row r="246" spans="1:1" x14ac:dyDescent="0.2">
      <c r="A246">
        <v>0</v>
      </c>
    </row>
    <row r="247" spans="1:1" x14ac:dyDescent="0.2">
      <c r="A247">
        <v>0</v>
      </c>
    </row>
    <row r="248" spans="1:1" x14ac:dyDescent="0.2">
      <c r="A248">
        <v>0</v>
      </c>
    </row>
    <row r="249" spans="1:1" x14ac:dyDescent="0.2">
      <c r="A249">
        <v>0</v>
      </c>
    </row>
    <row r="250" spans="1:1" x14ac:dyDescent="0.2">
      <c r="A250">
        <v>0</v>
      </c>
    </row>
    <row r="251" spans="1:1" x14ac:dyDescent="0.2">
      <c r="A251">
        <v>0</v>
      </c>
    </row>
    <row r="252" spans="1:1" x14ac:dyDescent="0.2">
      <c r="A252">
        <v>0</v>
      </c>
    </row>
    <row r="253" spans="1:1" x14ac:dyDescent="0.2">
      <c r="A253">
        <v>0</v>
      </c>
    </row>
    <row r="254" spans="1:1" x14ac:dyDescent="0.2">
      <c r="A254">
        <v>0</v>
      </c>
    </row>
    <row r="255" spans="1:1" x14ac:dyDescent="0.2">
      <c r="A255">
        <v>0</v>
      </c>
    </row>
    <row r="256" spans="1:1" x14ac:dyDescent="0.2">
      <c r="A256">
        <v>0</v>
      </c>
    </row>
    <row r="257" spans="1:1" x14ac:dyDescent="0.2">
      <c r="A257">
        <v>0</v>
      </c>
    </row>
    <row r="258" spans="1:1" x14ac:dyDescent="0.2">
      <c r="A258">
        <v>0</v>
      </c>
    </row>
    <row r="259" spans="1:1" x14ac:dyDescent="0.2">
      <c r="A259">
        <v>0</v>
      </c>
    </row>
    <row r="260" spans="1:1" x14ac:dyDescent="0.2">
      <c r="A260">
        <v>0</v>
      </c>
    </row>
    <row r="261" spans="1:1" x14ac:dyDescent="0.2">
      <c r="A261">
        <v>0</v>
      </c>
    </row>
    <row r="262" spans="1:1" x14ac:dyDescent="0.2">
      <c r="A262">
        <v>0</v>
      </c>
    </row>
    <row r="263" spans="1:1" x14ac:dyDescent="0.2">
      <c r="A263">
        <v>0</v>
      </c>
    </row>
    <row r="264" spans="1:1" x14ac:dyDescent="0.2">
      <c r="A264">
        <v>0</v>
      </c>
    </row>
    <row r="265" spans="1:1" x14ac:dyDescent="0.2">
      <c r="A265">
        <v>0</v>
      </c>
    </row>
    <row r="266" spans="1:1" x14ac:dyDescent="0.2">
      <c r="A266">
        <v>0</v>
      </c>
    </row>
    <row r="267" spans="1:1" x14ac:dyDescent="0.2">
      <c r="A267">
        <v>0</v>
      </c>
    </row>
  </sheetData>
  <pageMargins left="0.7" right="0.7" top="0.75" bottom="0.75" header="0.3" footer="0.3"/>
  <headerFooter>
    <oddFooter>&amp;C_x000D_&amp;1#&amp;"Calibri"&amp;8&amp;K0000FF Datos elaborados por BCP para uso Interno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236"/>
  <sheetViews>
    <sheetView topLeftCell="A209" zoomScale="90" zoomScaleNormal="90" workbookViewId="0">
      <selection activeCell="D217" sqref="D217"/>
    </sheetView>
  </sheetViews>
  <sheetFormatPr baseColWidth="10" defaultRowHeight="12.75" x14ac:dyDescent="0.2"/>
  <cols>
    <col min="1" max="1" width="16.140625" bestFit="1" customWidth="1"/>
    <col min="2" max="2" width="33.85546875" bestFit="1" customWidth="1"/>
  </cols>
  <sheetData>
    <row r="1" spans="1:2" ht="15" x14ac:dyDescent="0.25">
      <c r="A1" s="107" t="s">
        <v>2018</v>
      </c>
      <c r="B1" s="107" t="s">
        <v>2019</v>
      </c>
    </row>
    <row r="2" spans="1:2" ht="15" x14ac:dyDescent="0.25">
      <c r="A2" s="108" t="s">
        <v>2020</v>
      </c>
      <c r="B2" s="108" t="s">
        <v>2021</v>
      </c>
    </row>
    <row r="3" spans="1:2" ht="15" x14ac:dyDescent="0.25">
      <c r="A3" s="108" t="s">
        <v>2022</v>
      </c>
      <c r="B3" s="108" t="s">
        <v>2023</v>
      </c>
    </row>
    <row r="4" spans="1:2" ht="15" x14ac:dyDescent="0.25">
      <c r="A4" s="108" t="s">
        <v>2024</v>
      </c>
      <c r="B4" s="108" t="s">
        <v>2025</v>
      </c>
    </row>
    <row r="5" spans="1:2" ht="15" x14ac:dyDescent="0.25">
      <c r="A5" s="108" t="s">
        <v>2026</v>
      </c>
      <c r="B5" s="108" t="s">
        <v>2027</v>
      </c>
    </row>
    <row r="6" spans="1:2" ht="15" x14ac:dyDescent="0.25">
      <c r="A6" s="108" t="s">
        <v>2028</v>
      </c>
      <c r="B6" s="108" t="s">
        <v>2029</v>
      </c>
    </row>
    <row r="7" spans="1:2" ht="15" x14ac:dyDescent="0.25">
      <c r="A7" s="108" t="s">
        <v>2030</v>
      </c>
      <c r="B7" s="108" t="s">
        <v>2031</v>
      </c>
    </row>
    <row r="8" spans="1:2" ht="15" x14ac:dyDescent="0.25">
      <c r="A8" s="108" t="s">
        <v>2032</v>
      </c>
      <c r="B8" s="108" t="s">
        <v>2033</v>
      </c>
    </row>
    <row r="9" spans="1:2" ht="15" x14ac:dyDescent="0.25">
      <c r="A9" s="108" t="s">
        <v>2034</v>
      </c>
      <c r="B9" s="108" t="s">
        <v>2035</v>
      </c>
    </row>
    <row r="10" spans="1:2" ht="15" x14ac:dyDescent="0.25">
      <c r="A10" s="108" t="s">
        <v>2036</v>
      </c>
      <c r="B10" s="108" t="s">
        <v>2037</v>
      </c>
    </row>
    <row r="11" spans="1:2" ht="15" x14ac:dyDescent="0.25">
      <c r="A11" s="108" t="s">
        <v>2038</v>
      </c>
      <c r="B11" s="108" t="s">
        <v>2039</v>
      </c>
    </row>
    <row r="12" spans="1:2" ht="15" x14ac:dyDescent="0.25">
      <c r="A12" s="108" t="s">
        <v>2040</v>
      </c>
      <c r="B12" s="108" t="s">
        <v>2041</v>
      </c>
    </row>
    <row r="13" spans="1:2" ht="15" x14ac:dyDescent="0.25">
      <c r="A13" s="108" t="s">
        <v>2042</v>
      </c>
      <c r="B13" s="108" t="s">
        <v>2043</v>
      </c>
    </row>
    <row r="14" spans="1:2" ht="15" x14ac:dyDescent="0.25">
      <c r="A14" s="108" t="s">
        <v>2044</v>
      </c>
      <c r="B14" s="108" t="s">
        <v>2045</v>
      </c>
    </row>
    <row r="15" spans="1:2" ht="15" x14ac:dyDescent="0.25">
      <c r="A15" s="108" t="s">
        <v>2046</v>
      </c>
      <c r="B15" s="108" t="s">
        <v>2047</v>
      </c>
    </row>
    <row r="16" spans="1:2" ht="15" x14ac:dyDescent="0.25">
      <c r="A16" s="108" t="s">
        <v>2048</v>
      </c>
      <c r="B16" s="108" t="s">
        <v>2049</v>
      </c>
    </row>
    <row r="17" spans="1:2" ht="15" x14ac:dyDescent="0.25">
      <c r="A17" s="108" t="s">
        <v>2050</v>
      </c>
      <c r="B17" s="108" t="s">
        <v>2051</v>
      </c>
    </row>
    <row r="18" spans="1:2" ht="15" x14ac:dyDescent="0.25">
      <c r="A18" s="108" t="s">
        <v>2052</v>
      </c>
      <c r="B18" s="108" t="s">
        <v>2053</v>
      </c>
    </row>
    <row r="19" spans="1:2" ht="15" x14ac:dyDescent="0.25">
      <c r="A19" s="108" t="s">
        <v>2054</v>
      </c>
      <c r="B19" s="108" t="s">
        <v>2055</v>
      </c>
    </row>
    <row r="20" spans="1:2" ht="15" x14ac:dyDescent="0.25">
      <c r="A20" s="108" t="s">
        <v>2056</v>
      </c>
      <c r="B20" s="108" t="s">
        <v>2057</v>
      </c>
    </row>
    <row r="21" spans="1:2" ht="15" x14ac:dyDescent="0.25">
      <c r="A21" s="108" t="s">
        <v>2058</v>
      </c>
      <c r="B21" s="108" t="s">
        <v>2059</v>
      </c>
    </row>
    <row r="22" spans="1:2" ht="15" x14ac:dyDescent="0.25">
      <c r="A22" s="108" t="s">
        <v>2060</v>
      </c>
      <c r="B22" s="108" t="s">
        <v>2061</v>
      </c>
    </row>
    <row r="23" spans="1:2" ht="15" x14ac:dyDescent="0.25">
      <c r="A23" s="108" t="s">
        <v>2062</v>
      </c>
      <c r="B23" s="108" t="s">
        <v>2063</v>
      </c>
    </row>
    <row r="24" spans="1:2" ht="15" x14ac:dyDescent="0.25">
      <c r="A24" s="108" t="s">
        <v>2064</v>
      </c>
      <c r="B24" s="108" t="s">
        <v>2065</v>
      </c>
    </row>
    <row r="25" spans="1:2" ht="15" x14ac:dyDescent="0.25">
      <c r="A25" s="108" t="s">
        <v>2066</v>
      </c>
      <c r="B25" s="108" t="s">
        <v>2067</v>
      </c>
    </row>
    <row r="26" spans="1:2" ht="15" x14ac:dyDescent="0.25">
      <c r="A26" s="108" t="s">
        <v>2068</v>
      </c>
      <c r="B26" s="108" t="s">
        <v>2069</v>
      </c>
    </row>
    <row r="27" spans="1:2" ht="15" x14ac:dyDescent="0.25">
      <c r="A27" s="108" t="s">
        <v>2070</v>
      </c>
      <c r="B27" s="108" t="s">
        <v>2071</v>
      </c>
    </row>
    <row r="28" spans="1:2" ht="15" x14ac:dyDescent="0.25">
      <c r="A28" s="108" t="s">
        <v>2072</v>
      </c>
      <c r="B28" s="108" t="s">
        <v>2073</v>
      </c>
    </row>
    <row r="29" spans="1:2" ht="15" x14ac:dyDescent="0.25">
      <c r="A29" s="108" t="s">
        <v>2074</v>
      </c>
      <c r="B29" s="108" t="s">
        <v>2075</v>
      </c>
    </row>
    <row r="30" spans="1:2" ht="15" x14ac:dyDescent="0.25">
      <c r="A30" s="108" t="s">
        <v>2076</v>
      </c>
      <c r="B30" s="108" t="s">
        <v>2077</v>
      </c>
    </row>
    <row r="31" spans="1:2" ht="15" x14ac:dyDescent="0.25">
      <c r="A31" s="108" t="s">
        <v>2078</v>
      </c>
      <c r="B31" s="108" t="s">
        <v>2079</v>
      </c>
    </row>
    <row r="32" spans="1:2" ht="15" x14ac:dyDescent="0.25">
      <c r="A32" s="108" t="s">
        <v>2080</v>
      </c>
      <c r="B32" s="108" t="s">
        <v>2081</v>
      </c>
    </row>
    <row r="33" spans="1:2" ht="15" x14ac:dyDescent="0.25">
      <c r="A33" s="108" t="s">
        <v>2082</v>
      </c>
      <c r="B33" s="108" t="s">
        <v>2083</v>
      </c>
    </row>
    <row r="34" spans="1:2" ht="15" x14ac:dyDescent="0.25">
      <c r="A34" s="108" t="s">
        <v>2084</v>
      </c>
      <c r="B34" s="108" t="s">
        <v>2085</v>
      </c>
    </row>
    <row r="35" spans="1:2" ht="15" x14ac:dyDescent="0.25">
      <c r="A35" s="108" t="s">
        <v>2086</v>
      </c>
      <c r="B35" s="108" t="s">
        <v>2087</v>
      </c>
    </row>
    <row r="36" spans="1:2" ht="15" x14ac:dyDescent="0.25">
      <c r="A36" s="108" t="s">
        <v>2088</v>
      </c>
      <c r="B36" s="108" t="s">
        <v>2089</v>
      </c>
    </row>
    <row r="37" spans="1:2" ht="15" x14ac:dyDescent="0.25">
      <c r="A37" s="108" t="s">
        <v>2090</v>
      </c>
      <c r="B37" s="108" t="s">
        <v>2091</v>
      </c>
    </row>
    <row r="38" spans="1:2" ht="15" x14ac:dyDescent="0.25">
      <c r="A38" s="108" t="s">
        <v>2092</v>
      </c>
      <c r="B38" s="108" t="s">
        <v>2093</v>
      </c>
    </row>
    <row r="39" spans="1:2" ht="15" x14ac:dyDescent="0.25">
      <c r="A39" s="108" t="s">
        <v>2094</v>
      </c>
      <c r="B39" s="108" t="s">
        <v>2095</v>
      </c>
    </row>
    <row r="40" spans="1:2" ht="15" x14ac:dyDescent="0.25">
      <c r="A40" s="108" t="s">
        <v>2096</v>
      </c>
      <c r="B40" s="108" t="s">
        <v>2097</v>
      </c>
    </row>
    <row r="41" spans="1:2" ht="15" x14ac:dyDescent="0.25">
      <c r="A41" s="108" t="s">
        <v>2098</v>
      </c>
      <c r="B41" s="108" t="s">
        <v>2099</v>
      </c>
    </row>
    <row r="42" spans="1:2" ht="15" x14ac:dyDescent="0.25">
      <c r="A42" s="108" t="s">
        <v>2100</v>
      </c>
      <c r="B42" s="108" t="s">
        <v>2101</v>
      </c>
    </row>
    <row r="43" spans="1:2" ht="15" x14ac:dyDescent="0.25">
      <c r="A43" s="108" t="s">
        <v>2102</v>
      </c>
      <c r="B43" s="108" t="s">
        <v>2103</v>
      </c>
    </row>
    <row r="44" spans="1:2" ht="15" x14ac:dyDescent="0.25">
      <c r="A44" s="108" t="s">
        <v>2104</v>
      </c>
      <c r="B44" s="108" t="s">
        <v>2105</v>
      </c>
    </row>
    <row r="45" spans="1:2" ht="15" x14ac:dyDescent="0.25">
      <c r="A45" s="108" t="s">
        <v>2106</v>
      </c>
      <c r="B45" s="108" t="s">
        <v>2107</v>
      </c>
    </row>
    <row r="46" spans="1:2" ht="15" x14ac:dyDescent="0.25">
      <c r="A46" s="108" t="s">
        <v>2108</v>
      </c>
      <c r="B46" s="108" t="s">
        <v>2109</v>
      </c>
    </row>
    <row r="47" spans="1:2" ht="15" x14ac:dyDescent="0.25">
      <c r="A47" s="108" t="s">
        <v>2110</v>
      </c>
      <c r="B47" s="108" t="s">
        <v>2111</v>
      </c>
    </row>
    <row r="48" spans="1:2" ht="15" x14ac:dyDescent="0.25">
      <c r="A48" s="108" t="s">
        <v>2112</v>
      </c>
      <c r="B48" s="108" t="s">
        <v>2113</v>
      </c>
    </row>
    <row r="49" spans="1:2" ht="15" x14ac:dyDescent="0.25">
      <c r="A49" s="108" t="s">
        <v>2114</v>
      </c>
      <c r="B49" s="108" t="s">
        <v>2115</v>
      </c>
    </row>
    <row r="50" spans="1:2" ht="15" x14ac:dyDescent="0.25">
      <c r="A50" s="108" t="s">
        <v>2116</v>
      </c>
      <c r="B50" s="108" t="s">
        <v>2117</v>
      </c>
    </row>
    <row r="51" spans="1:2" ht="15" x14ac:dyDescent="0.25">
      <c r="A51" s="108" t="s">
        <v>2118</v>
      </c>
      <c r="B51" s="108" t="s">
        <v>2119</v>
      </c>
    </row>
    <row r="52" spans="1:2" ht="30" x14ac:dyDescent="0.25">
      <c r="A52" s="108" t="s">
        <v>2120</v>
      </c>
      <c r="B52" s="108" t="s">
        <v>2121</v>
      </c>
    </row>
    <row r="53" spans="1:2" ht="15" x14ac:dyDescent="0.25">
      <c r="A53" s="108" t="s">
        <v>2122</v>
      </c>
      <c r="B53" s="108" t="s">
        <v>2123</v>
      </c>
    </row>
    <row r="54" spans="1:2" ht="15" x14ac:dyDescent="0.25">
      <c r="A54" s="108" t="s">
        <v>2124</v>
      </c>
      <c r="B54" s="108" t="s">
        <v>2125</v>
      </c>
    </row>
    <row r="55" spans="1:2" ht="15" x14ac:dyDescent="0.25">
      <c r="A55" s="108" t="s">
        <v>2126</v>
      </c>
      <c r="B55" s="108" t="s">
        <v>2127</v>
      </c>
    </row>
    <row r="56" spans="1:2" ht="15" x14ac:dyDescent="0.25">
      <c r="A56" s="108" t="s">
        <v>2128</v>
      </c>
      <c r="B56" s="108" t="s">
        <v>2129</v>
      </c>
    </row>
    <row r="57" spans="1:2" ht="15" x14ac:dyDescent="0.25">
      <c r="A57" s="108" t="s">
        <v>2130</v>
      </c>
      <c r="B57" s="108" t="s">
        <v>2131</v>
      </c>
    </row>
    <row r="58" spans="1:2" ht="15" x14ac:dyDescent="0.25">
      <c r="A58" s="108" t="s">
        <v>2132</v>
      </c>
      <c r="B58" s="108" t="s">
        <v>2133</v>
      </c>
    </row>
    <row r="59" spans="1:2" ht="15" x14ac:dyDescent="0.25">
      <c r="A59" s="108" t="s">
        <v>2134</v>
      </c>
      <c r="B59" s="108" t="s">
        <v>2135</v>
      </c>
    </row>
    <row r="60" spans="1:2" ht="15" x14ac:dyDescent="0.25">
      <c r="A60" s="108" t="s">
        <v>2136</v>
      </c>
      <c r="B60" s="108" t="s">
        <v>2137</v>
      </c>
    </row>
    <row r="61" spans="1:2" ht="15" x14ac:dyDescent="0.25">
      <c r="A61" s="108" t="s">
        <v>2138</v>
      </c>
      <c r="B61" s="108" t="s">
        <v>2139</v>
      </c>
    </row>
    <row r="62" spans="1:2" ht="15" x14ac:dyDescent="0.25">
      <c r="A62" s="108" t="s">
        <v>2140</v>
      </c>
      <c r="B62" s="108" t="s">
        <v>2141</v>
      </c>
    </row>
    <row r="63" spans="1:2" ht="15" x14ac:dyDescent="0.25">
      <c r="A63" s="108" t="s">
        <v>2142</v>
      </c>
      <c r="B63" s="108" t="s">
        <v>2143</v>
      </c>
    </row>
    <row r="64" spans="1:2" ht="15" x14ac:dyDescent="0.25">
      <c r="A64" s="108" t="s">
        <v>2144</v>
      </c>
      <c r="B64" s="108" t="s">
        <v>2145</v>
      </c>
    </row>
    <row r="65" spans="1:2" ht="15" x14ac:dyDescent="0.25">
      <c r="A65" s="108" t="s">
        <v>2146</v>
      </c>
      <c r="B65" s="108" t="s">
        <v>2147</v>
      </c>
    </row>
    <row r="66" spans="1:2" ht="15" x14ac:dyDescent="0.25">
      <c r="A66" s="108" t="s">
        <v>2148</v>
      </c>
      <c r="B66" s="108" t="s">
        <v>2149</v>
      </c>
    </row>
    <row r="67" spans="1:2" ht="15" x14ac:dyDescent="0.25">
      <c r="A67" s="108" t="s">
        <v>2150</v>
      </c>
      <c r="B67" s="108" t="s">
        <v>2151</v>
      </c>
    </row>
    <row r="68" spans="1:2" ht="15" x14ac:dyDescent="0.25">
      <c r="A68" s="108" t="s">
        <v>2152</v>
      </c>
      <c r="B68" s="108" t="s">
        <v>2153</v>
      </c>
    </row>
    <row r="69" spans="1:2" ht="15" x14ac:dyDescent="0.25">
      <c r="A69" s="108" t="s">
        <v>2154</v>
      </c>
      <c r="B69" s="108" t="s">
        <v>2155</v>
      </c>
    </row>
    <row r="70" spans="1:2" ht="15" x14ac:dyDescent="0.25">
      <c r="A70" s="108" t="s">
        <v>2156</v>
      </c>
      <c r="B70" s="108" t="s">
        <v>2157</v>
      </c>
    </row>
    <row r="71" spans="1:2" ht="15" x14ac:dyDescent="0.25">
      <c r="A71" s="108" t="s">
        <v>2158</v>
      </c>
      <c r="B71" s="108" t="s">
        <v>2159</v>
      </c>
    </row>
    <row r="72" spans="1:2" ht="15" x14ac:dyDescent="0.25">
      <c r="A72" s="108" t="s">
        <v>2160</v>
      </c>
      <c r="B72" s="108" t="s">
        <v>2161</v>
      </c>
    </row>
    <row r="73" spans="1:2" ht="15" x14ac:dyDescent="0.25">
      <c r="A73" s="108" t="s">
        <v>2162</v>
      </c>
      <c r="B73" s="108" t="s">
        <v>2163</v>
      </c>
    </row>
    <row r="74" spans="1:2" ht="15" x14ac:dyDescent="0.25">
      <c r="A74" s="108" t="s">
        <v>2164</v>
      </c>
      <c r="B74" s="108" t="s">
        <v>2165</v>
      </c>
    </row>
    <row r="75" spans="1:2" ht="15" x14ac:dyDescent="0.25">
      <c r="A75" s="108" t="s">
        <v>2166</v>
      </c>
      <c r="B75" s="108" t="s">
        <v>2167</v>
      </c>
    </row>
    <row r="76" spans="1:2" ht="15" x14ac:dyDescent="0.25">
      <c r="A76" s="108" t="s">
        <v>2168</v>
      </c>
      <c r="B76" s="108" t="s">
        <v>2169</v>
      </c>
    </row>
    <row r="77" spans="1:2" ht="15" x14ac:dyDescent="0.25">
      <c r="A77" s="108" t="s">
        <v>2170</v>
      </c>
      <c r="B77" s="108" t="s">
        <v>2171</v>
      </c>
    </row>
    <row r="78" spans="1:2" ht="15" x14ac:dyDescent="0.25">
      <c r="A78" s="108" t="s">
        <v>2172</v>
      </c>
      <c r="B78" s="108" t="s">
        <v>2173</v>
      </c>
    </row>
    <row r="79" spans="1:2" ht="15" x14ac:dyDescent="0.25">
      <c r="A79" s="108" t="s">
        <v>2174</v>
      </c>
      <c r="B79" s="108" t="s">
        <v>215</v>
      </c>
    </row>
    <row r="80" spans="1:2" ht="15" x14ac:dyDescent="0.25">
      <c r="A80" s="108" t="s">
        <v>2175</v>
      </c>
      <c r="B80" s="108" t="s">
        <v>2176</v>
      </c>
    </row>
    <row r="81" spans="1:2" ht="15" x14ac:dyDescent="0.25">
      <c r="A81" s="108" t="s">
        <v>2177</v>
      </c>
      <c r="B81" s="108" t="s">
        <v>2178</v>
      </c>
    </row>
    <row r="82" spans="1:2" ht="15" x14ac:dyDescent="0.25">
      <c r="A82" s="108" t="s">
        <v>2179</v>
      </c>
      <c r="B82" s="108" t="s">
        <v>1264</v>
      </c>
    </row>
    <row r="83" spans="1:2" ht="15" x14ac:dyDescent="0.25">
      <c r="A83" s="108" t="s">
        <v>2180</v>
      </c>
      <c r="B83" s="108" t="s">
        <v>2181</v>
      </c>
    </row>
    <row r="84" spans="1:2" ht="15" x14ac:dyDescent="0.25">
      <c r="A84" s="108" t="s">
        <v>2182</v>
      </c>
      <c r="B84" s="108" t="s">
        <v>2183</v>
      </c>
    </row>
    <row r="85" spans="1:2" ht="15" x14ac:dyDescent="0.25">
      <c r="A85" s="108" t="s">
        <v>2184</v>
      </c>
      <c r="B85" s="108" t="s">
        <v>2185</v>
      </c>
    </row>
    <row r="86" spans="1:2" ht="15" x14ac:dyDescent="0.25">
      <c r="A86" s="108" t="s">
        <v>2186</v>
      </c>
      <c r="B86" s="108" t="s">
        <v>2187</v>
      </c>
    </row>
    <row r="87" spans="1:2" ht="15" x14ac:dyDescent="0.25">
      <c r="A87" s="108" t="s">
        <v>2188</v>
      </c>
      <c r="B87" s="108" t="s">
        <v>2189</v>
      </c>
    </row>
    <row r="88" spans="1:2" ht="15" x14ac:dyDescent="0.25">
      <c r="A88" s="108" t="s">
        <v>2190</v>
      </c>
      <c r="B88" s="108" t="s">
        <v>2191</v>
      </c>
    </row>
    <row r="89" spans="1:2" ht="15" x14ac:dyDescent="0.25">
      <c r="A89" s="108" t="s">
        <v>2192</v>
      </c>
      <c r="B89" s="108" t="s">
        <v>2193</v>
      </c>
    </row>
    <row r="90" spans="1:2" ht="15" x14ac:dyDescent="0.25">
      <c r="A90" s="108" t="s">
        <v>2194</v>
      </c>
      <c r="B90" s="108" t="s">
        <v>2195</v>
      </c>
    </row>
    <row r="91" spans="1:2" ht="15" x14ac:dyDescent="0.25">
      <c r="A91" s="108" t="s">
        <v>2196</v>
      </c>
      <c r="B91" s="108" t="s">
        <v>2197</v>
      </c>
    </row>
    <row r="92" spans="1:2" ht="15" x14ac:dyDescent="0.25">
      <c r="A92" s="108" t="s">
        <v>2198</v>
      </c>
      <c r="B92" s="108" t="s">
        <v>2199</v>
      </c>
    </row>
    <row r="93" spans="1:2" ht="15" x14ac:dyDescent="0.25">
      <c r="A93" s="108" t="s">
        <v>2200</v>
      </c>
      <c r="B93" s="108" t="s">
        <v>2201</v>
      </c>
    </row>
    <row r="94" spans="1:2" ht="15" x14ac:dyDescent="0.25">
      <c r="A94" s="108" t="s">
        <v>2202</v>
      </c>
      <c r="B94" s="108" t="s">
        <v>2203</v>
      </c>
    </row>
    <row r="95" spans="1:2" ht="15" x14ac:dyDescent="0.25">
      <c r="A95" s="108" t="s">
        <v>2204</v>
      </c>
      <c r="B95" s="108" t="s">
        <v>2205</v>
      </c>
    </row>
    <row r="96" spans="1:2" ht="15" x14ac:dyDescent="0.25">
      <c r="A96" s="108" t="s">
        <v>2206</v>
      </c>
      <c r="B96" s="108" t="s">
        <v>2207</v>
      </c>
    </row>
    <row r="97" spans="1:2" ht="15" x14ac:dyDescent="0.25">
      <c r="A97" s="108" t="s">
        <v>2208</v>
      </c>
      <c r="B97" s="108" t="s">
        <v>2209</v>
      </c>
    </row>
    <row r="98" spans="1:2" ht="15" x14ac:dyDescent="0.25">
      <c r="A98" s="108" t="s">
        <v>2210</v>
      </c>
      <c r="B98" s="108" t="s">
        <v>2211</v>
      </c>
    </row>
    <row r="99" spans="1:2" ht="15" x14ac:dyDescent="0.25">
      <c r="A99" s="108" t="s">
        <v>2212</v>
      </c>
      <c r="B99" s="108" t="s">
        <v>2213</v>
      </c>
    </row>
    <row r="100" spans="1:2" ht="15" x14ac:dyDescent="0.25">
      <c r="A100" s="108" t="s">
        <v>2214</v>
      </c>
      <c r="B100" s="108" t="s">
        <v>2215</v>
      </c>
    </row>
    <row r="101" spans="1:2" ht="15" x14ac:dyDescent="0.25">
      <c r="A101" s="108" t="s">
        <v>2216</v>
      </c>
      <c r="B101" s="108" t="s">
        <v>2217</v>
      </c>
    </row>
    <row r="102" spans="1:2" ht="15" x14ac:dyDescent="0.25">
      <c r="A102" s="108" t="s">
        <v>2218</v>
      </c>
      <c r="B102" s="108" t="s">
        <v>2219</v>
      </c>
    </row>
    <row r="103" spans="1:2" ht="15" x14ac:dyDescent="0.25">
      <c r="A103" s="108" t="s">
        <v>2220</v>
      </c>
      <c r="B103" s="108" t="s">
        <v>2221</v>
      </c>
    </row>
    <row r="104" spans="1:2" ht="15" x14ac:dyDescent="0.25">
      <c r="A104" s="108" t="s">
        <v>2222</v>
      </c>
      <c r="B104" s="108" t="s">
        <v>2223</v>
      </c>
    </row>
    <row r="105" spans="1:2" ht="15" x14ac:dyDescent="0.25">
      <c r="A105" s="108" t="s">
        <v>2224</v>
      </c>
      <c r="B105" s="108" t="s">
        <v>2225</v>
      </c>
    </row>
    <row r="106" spans="1:2" ht="15" x14ac:dyDescent="0.25">
      <c r="A106" s="108" t="s">
        <v>2226</v>
      </c>
      <c r="B106" s="108" t="s">
        <v>2227</v>
      </c>
    </row>
    <row r="107" spans="1:2" ht="15" x14ac:dyDescent="0.25">
      <c r="A107" s="108" t="s">
        <v>2228</v>
      </c>
      <c r="B107" s="108" t="s">
        <v>2229</v>
      </c>
    </row>
    <row r="108" spans="1:2" ht="15" x14ac:dyDescent="0.25">
      <c r="A108" s="108" t="s">
        <v>2230</v>
      </c>
      <c r="B108" s="108" t="s">
        <v>2231</v>
      </c>
    </row>
    <row r="109" spans="1:2" ht="15" x14ac:dyDescent="0.25">
      <c r="A109" s="108" t="s">
        <v>2232</v>
      </c>
      <c r="B109" s="108" t="s">
        <v>2233</v>
      </c>
    </row>
    <row r="110" spans="1:2" ht="15" x14ac:dyDescent="0.25">
      <c r="A110" s="108" t="s">
        <v>2234</v>
      </c>
      <c r="B110" s="108" t="s">
        <v>2235</v>
      </c>
    </row>
    <row r="111" spans="1:2" ht="15" x14ac:dyDescent="0.25">
      <c r="A111" s="108" t="s">
        <v>2236</v>
      </c>
      <c r="B111" s="108" t="s">
        <v>2237</v>
      </c>
    </row>
    <row r="112" spans="1:2" ht="15" x14ac:dyDescent="0.25">
      <c r="A112" s="108" t="s">
        <v>2238</v>
      </c>
      <c r="B112" s="108" t="s">
        <v>2239</v>
      </c>
    </row>
    <row r="113" spans="1:2" ht="15" x14ac:dyDescent="0.25">
      <c r="A113" s="108" t="s">
        <v>2240</v>
      </c>
      <c r="B113" s="108" t="s">
        <v>2241</v>
      </c>
    </row>
    <row r="114" spans="1:2" ht="15" x14ac:dyDescent="0.25">
      <c r="A114" s="108" t="s">
        <v>2242</v>
      </c>
      <c r="B114" s="108" t="s">
        <v>2243</v>
      </c>
    </row>
    <row r="115" spans="1:2" ht="15" x14ac:dyDescent="0.25">
      <c r="A115" s="108" t="s">
        <v>2244</v>
      </c>
      <c r="B115" s="108" t="s">
        <v>2245</v>
      </c>
    </row>
    <row r="116" spans="1:2" ht="15" x14ac:dyDescent="0.25">
      <c r="A116" s="108" t="s">
        <v>2246</v>
      </c>
      <c r="B116" s="108" t="s">
        <v>2247</v>
      </c>
    </row>
    <row r="117" spans="1:2" ht="15" x14ac:dyDescent="0.25">
      <c r="A117" s="108" t="s">
        <v>2248</v>
      </c>
      <c r="B117" s="108" t="s">
        <v>2249</v>
      </c>
    </row>
    <row r="118" spans="1:2" ht="15" x14ac:dyDescent="0.25">
      <c r="A118" s="108" t="s">
        <v>2250</v>
      </c>
      <c r="B118" s="108" t="s">
        <v>2251</v>
      </c>
    </row>
    <row r="119" spans="1:2" ht="15" x14ac:dyDescent="0.25">
      <c r="A119" s="108" t="s">
        <v>2252</v>
      </c>
      <c r="B119" s="108" t="s">
        <v>2253</v>
      </c>
    </row>
    <row r="120" spans="1:2" ht="15" x14ac:dyDescent="0.25">
      <c r="A120" s="108" t="s">
        <v>2254</v>
      </c>
      <c r="B120" s="108" t="s">
        <v>2255</v>
      </c>
    </row>
    <row r="121" spans="1:2" ht="15" x14ac:dyDescent="0.25">
      <c r="A121" s="108" t="s">
        <v>2256</v>
      </c>
      <c r="B121" s="108" t="s">
        <v>2257</v>
      </c>
    </row>
    <row r="122" spans="1:2" ht="30" x14ac:dyDescent="0.25">
      <c r="A122" s="108" t="s">
        <v>2258</v>
      </c>
      <c r="B122" s="108" t="s">
        <v>2259</v>
      </c>
    </row>
    <row r="123" spans="1:2" ht="15" x14ac:dyDescent="0.25">
      <c r="A123" s="108" t="s">
        <v>2260</v>
      </c>
      <c r="B123" s="108" t="s">
        <v>2261</v>
      </c>
    </row>
    <row r="124" spans="1:2" ht="15" x14ac:dyDescent="0.25">
      <c r="A124" s="108" t="s">
        <v>2262</v>
      </c>
      <c r="B124" s="108" t="s">
        <v>2263</v>
      </c>
    </row>
    <row r="125" spans="1:2" ht="15" x14ac:dyDescent="0.25">
      <c r="A125" s="108" t="s">
        <v>2264</v>
      </c>
      <c r="B125" s="108" t="s">
        <v>2265</v>
      </c>
    </row>
    <row r="126" spans="1:2" ht="15" x14ac:dyDescent="0.25">
      <c r="A126" s="108" t="s">
        <v>2266</v>
      </c>
      <c r="B126" s="108" t="s">
        <v>2267</v>
      </c>
    </row>
    <row r="127" spans="1:2" ht="15" x14ac:dyDescent="0.25">
      <c r="A127" s="108" t="s">
        <v>2268</v>
      </c>
      <c r="B127" s="108" t="s">
        <v>2269</v>
      </c>
    </row>
    <row r="128" spans="1:2" ht="15" x14ac:dyDescent="0.25">
      <c r="A128" s="108" t="s">
        <v>2270</v>
      </c>
      <c r="B128" s="108" t="s">
        <v>2271</v>
      </c>
    </row>
    <row r="129" spans="1:2" ht="15" x14ac:dyDescent="0.25">
      <c r="A129" s="108" t="s">
        <v>2272</v>
      </c>
      <c r="B129" s="108" t="s">
        <v>2273</v>
      </c>
    </row>
    <row r="130" spans="1:2" ht="15" x14ac:dyDescent="0.25">
      <c r="A130" s="108" t="s">
        <v>2274</v>
      </c>
      <c r="B130" s="108" t="s">
        <v>2275</v>
      </c>
    </row>
    <row r="131" spans="1:2" ht="15" x14ac:dyDescent="0.25">
      <c r="A131" s="108" t="s">
        <v>2276</v>
      </c>
      <c r="B131" s="108" t="s">
        <v>2277</v>
      </c>
    </row>
    <row r="132" spans="1:2" ht="15" x14ac:dyDescent="0.25">
      <c r="A132" s="108" t="s">
        <v>2278</v>
      </c>
      <c r="B132" s="108" t="s">
        <v>2279</v>
      </c>
    </row>
    <row r="133" spans="1:2" ht="15" x14ac:dyDescent="0.25">
      <c r="A133" s="108" t="s">
        <v>2280</v>
      </c>
      <c r="B133" s="108" t="s">
        <v>2281</v>
      </c>
    </row>
    <row r="134" spans="1:2" ht="15" x14ac:dyDescent="0.25">
      <c r="A134" s="108" t="s">
        <v>2282</v>
      </c>
      <c r="B134" s="108" t="s">
        <v>2283</v>
      </c>
    </row>
    <row r="135" spans="1:2" ht="15" x14ac:dyDescent="0.25">
      <c r="A135" s="108" t="s">
        <v>2284</v>
      </c>
      <c r="B135" s="108" t="s">
        <v>2285</v>
      </c>
    </row>
    <row r="136" spans="1:2" ht="15" x14ac:dyDescent="0.25">
      <c r="A136" s="108" t="s">
        <v>2286</v>
      </c>
      <c r="B136" s="108" t="s">
        <v>2287</v>
      </c>
    </row>
    <row r="137" spans="1:2" ht="15" x14ac:dyDescent="0.25">
      <c r="A137" s="108" t="s">
        <v>2288</v>
      </c>
      <c r="B137" s="108" t="s">
        <v>2289</v>
      </c>
    </row>
    <row r="138" spans="1:2" ht="15" x14ac:dyDescent="0.25">
      <c r="A138" s="108" t="s">
        <v>2290</v>
      </c>
      <c r="B138" s="108" t="s">
        <v>2291</v>
      </c>
    </row>
    <row r="139" spans="1:2" ht="15" x14ac:dyDescent="0.25">
      <c r="A139" s="108" t="s">
        <v>2292</v>
      </c>
      <c r="B139" s="108" t="s">
        <v>2293</v>
      </c>
    </row>
    <row r="140" spans="1:2" ht="15" x14ac:dyDescent="0.25">
      <c r="A140" s="108" t="s">
        <v>2294</v>
      </c>
      <c r="B140" s="108" t="s">
        <v>2295</v>
      </c>
    </row>
    <row r="141" spans="1:2" ht="15" x14ac:dyDescent="0.25">
      <c r="A141" s="108" t="s">
        <v>2296</v>
      </c>
      <c r="B141" s="108" t="s">
        <v>2297</v>
      </c>
    </row>
    <row r="142" spans="1:2" ht="15" x14ac:dyDescent="0.25">
      <c r="A142" s="108" t="s">
        <v>2298</v>
      </c>
      <c r="B142" s="108" t="s">
        <v>2299</v>
      </c>
    </row>
    <row r="143" spans="1:2" ht="15" x14ac:dyDescent="0.25">
      <c r="A143" s="108" t="s">
        <v>2300</v>
      </c>
      <c r="B143" s="108" t="s">
        <v>2301</v>
      </c>
    </row>
    <row r="144" spans="1:2" ht="30" x14ac:dyDescent="0.25">
      <c r="A144" s="108" t="s">
        <v>2302</v>
      </c>
      <c r="B144" s="108" t="s">
        <v>2303</v>
      </c>
    </row>
    <row r="145" spans="1:2" ht="15" x14ac:dyDescent="0.25">
      <c r="A145" s="108" t="s">
        <v>2304</v>
      </c>
      <c r="B145" s="108" t="s">
        <v>2305</v>
      </c>
    </row>
    <row r="146" spans="1:2" ht="15" x14ac:dyDescent="0.25">
      <c r="A146" s="108" t="s">
        <v>2306</v>
      </c>
      <c r="B146" s="108" t="s">
        <v>2307</v>
      </c>
    </row>
    <row r="147" spans="1:2" ht="15" x14ac:dyDescent="0.25">
      <c r="A147" s="108" t="s">
        <v>2308</v>
      </c>
      <c r="B147" s="108" t="s">
        <v>2309</v>
      </c>
    </row>
    <row r="148" spans="1:2" ht="15" x14ac:dyDescent="0.25">
      <c r="A148" s="108" t="s">
        <v>2310</v>
      </c>
      <c r="B148" s="108" t="s">
        <v>2311</v>
      </c>
    </row>
    <row r="149" spans="1:2" ht="15" x14ac:dyDescent="0.25">
      <c r="A149" s="108" t="s">
        <v>2312</v>
      </c>
      <c r="B149" s="108" t="s">
        <v>2313</v>
      </c>
    </row>
    <row r="150" spans="1:2" ht="15" x14ac:dyDescent="0.25">
      <c r="A150" s="108" t="s">
        <v>2314</v>
      </c>
      <c r="B150" s="108" t="s">
        <v>2315</v>
      </c>
    </row>
    <row r="151" spans="1:2" ht="15" x14ac:dyDescent="0.25">
      <c r="A151" s="108" t="s">
        <v>2316</v>
      </c>
      <c r="B151" s="108" t="s">
        <v>2317</v>
      </c>
    </row>
    <row r="152" spans="1:2" ht="15" x14ac:dyDescent="0.25">
      <c r="A152" s="108" t="s">
        <v>2318</v>
      </c>
      <c r="B152" s="108" t="s">
        <v>2319</v>
      </c>
    </row>
    <row r="153" spans="1:2" ht="15" x14ac:dyDescent="0.25">
      <c r="A153" s="108" t="s">
        <v>2320</v>
      </c>
      <c r="B153" s="108" t="s">
        <v>2321</v>
      </c>
    </row>
    <row r="154" spans="1:2" ht="15" x14ac:dyDescent="0.25">
      <c r="A154" s="108" t="s">
        <v>2322</v>
      </c>
      <c r="B154" s="108" t="s">
        <v>2323</v>
      </c>
    </row>
    <row r="155" spans="1:2" ht="15" x14ac:dyDescent="0.25">
      <c r="A155" s="108" t="s">
        <v>2324</v>
      </c>
      <c r="B155" s="108" t="s">
        <v>2325</v>
      </c>
    </row>
    <row r="156" spans="1:2" ht="15" x14ac:dyDescent="0.25">
      <c r="A156" s="108" t="s">
        <v>2326</v>
      </c>
      <c r="B156" s="108" t="s">
        <v>2327</v>
      </c>
    </row>
    <row r="157" spans="1:2" ht="15" x14ac:dyDescent="0.25">
      <c r="A157" s="108" t="s">
        <v>2328</v>
      </c>
      <c r="B157" s="108" t="s">
        <v>2329</v>
      </c>
    </row>
    <row r="158" spans="1:2" ht="15" x14ac:dyDescent="0.25">
      <c r="A158" s="108" t="s">
        <v>2330</v>
      </c>
      <c r="B158" s="108" t="s">
        <v>2331</v>
      </c>
    </row>
    <row r="159" spans="1:2" ht="15" x14ac:dyDescent="0.25">
      <c r="A159" s="108" t="s">
        <v>2332</v>
      </c>
      <c r="B159" s="108" t="s">
        <v>2333</v>
      </c>
    </row>
    <row r="160" spans="1:2" ht="15" x14ac:dyDescent="0.25">
      <c r="A160" s="108" t="s">
        <v>2334</v>
      </c>
      <c r="B160" s="108" t="s">
        <v>2335</v>
      </c>
    </row>
    <row r="161" spans="1:2" ht="15" x14ac:dyDescent="0.25">
      <c r="A161" s="108" t="s">
        <v>2336</v>
      </c>
      <c r="B161" s="108" t="s">
        <v>2337</v>
      </c>
    </row>
    <row r="162" spans="1:2" ht="15" x14ac:dyDescent="0.25">
      <c r="A162" s="108" t="s">
        <v>2338</v>
      </c>
      <c r="B162" s="108" t="s">
        <v>2339</v>
      </c>
    </row>
    <row r="163" spans="1:2" ht="15" x14ac:dyDescent="0.25">
      <c r="A163" s="108" t="s">
        <v>2340</v>
      </c>
      <c r="B163" s="108" t="s">
        <v>2341</v>
      </c>
    </row>
    <row r="164" spans="1:2" ht="15" x14ac:dyDescent="0.25">
      <c r="A164" s="108" t="s">
        <v>2342</v>
      </c>
      <c r="B164" s="108" t="s">
        <v>2343</v>
      </c>
    </row>
    <row r="165" spans="1:2" ht="15" x14ac:dyDescent="0.25">
      <c r="A165" s="108" t="s">
        <v>2344</v>
      </c>
      <c r="B165" s="108" t="s">
        <v>2345</v>
      </c>
    </row>
    <row r="166" spans="1:2" ht="15" x14ac:dyDescent="0.25">
      <c r="A166" s="108" t="s">
        <v>2346</v>
      </c>
      <c r="B166" s="108" t="s">
        <v>2347</v>
      </c>
    </row>
    <row r="167" spans="1:2" ht="15" x14ac:dyDescent="0.25">
      <c r="A167" s="108" t="s">
        <v>2348</v>
      </c>
      <c r="B167" s="108" t="s">
        <v>2349</v>
      </c>
    </row>
    <row r="168" spans="1:2" ht="15" x14ac:dyDescent="0.25">
      <c r="A168" s="108" t="s">
        <v>2350</v>
      </c>
      <c r="B168" s="108" t="s">
        <v>2351</v>
      </c>
    </row>
    <row r="169" spans="1:2" ht="15" x14ac:dyDescent="0.25">
      <c r="A169" s="108" t="s">
        <v>2352</v>
      </c>
      <c r="B169" s="108" t="s">
        <v>2353</v>
      </c>
    </row>
    <row r="170" spans="1:2" ht="15" x14ac:dyDescent="0.25">
      <c r="A170" s="108" t="s">
        <v>2354</v>
      </c>
      <c r="B170" s="108" t="s">
        <v>2355</v>
      </c>
    </row>
    <row r="171" spans="1:2" ht="15" x14ac:dyDescent="0.25">
      <c r="A171" s="108" t="s">
        <v>2356</v>
      </c>
      <c r="B171" s="108" t="s">
        <v>2357</v>
      </c>
    </row>
    <row r="172" spans="1:2" ht="15" x14ac:dyDescent="0.25">
      <c r="A172" s="108" t="s">
        <v>2358</v>
      </c>
      <c r="B172" s="108" t="s">
        <v>2359</v>
      </c>
    </row>
    <row r="173" spans="1:2" ht="15" x14ac:dyDescent="0.25">
      <c r="A173" s="108" t="s">
        <v>2360</v>
      </c>
      <c r="B173" s="108" t="s">
        <v>2361</v>
      </c>
    </row>
    <row r="174" spans="1:2" ht="15" x14ac:dyDescent="0.25">
      <c r="A174" s="108" t="s">
        <v>2362</v>
      </c>
      <c r="B174" s="108" t="s">
        <v>2363</v>
      </c>
    </row>
    <row r="175" spans="1:2" ht="15" x14ac:dyDescent="0.25">
      <c r="A175" s="108" t="s">
        <v>2364</v>
      </c>
      <c r="B175" s="108" t="s">
        <v>2365</v>
      </c>
    </row>
    <row r="176" spans="1:2" ht="15" x14ac:dyDescent="0.25">
      <c r="A176" s="108" t="s">
        <v>2366</v>
      </c>
      <c r="B176" s="108" t="s">
        <v>2367</v>
      </c>
    </row>
    <row r="177" spans="1:2" ht="15" x14ac:dyDescent="0.25">
      <c r="A177" s="108" t="s">
        <v>2368</v>
      </c>
      <c r="B177" s="108" t="s">
        <v>2369</v>
      </c>
    </row>
    <row r="178" spans="1:2" ht="15" x14ac:dyDescent="0.25">
      <c r="A178" s="108" t="s">
        <v>2370</v>
      </c>
      <c r="B178" s="108" t="s">
        <v>2371</v>
      </c>
    </row>
    <row r="179" spans="1:2" ht="15" x14ac:dyDescent="0.25">
      <c r="A179" s="108" t="s">
        <v>2372</v>
      </c>
      <c r="B179" s="108" t="s">
        <v>2373</v>
      </c>
    </row>
    <row r="180" spans="1:2" ht="15" x14ac:dyDescent="0.25">
      <c r="A180" s="108" t="s">
        <v>2374</v>
      </c>
      <c r="B180" s="108" t="s">
        <v>2375</v>
      </c>
    </row>
    <row r="181" spans="1:2" ht="15" x14ac:dyDescent="0.25">
      <c r="A181" s="108" t="s">
        <v>2376</v>
      </c>
      <c r="B181" s="108" t="s">
        <v>2377</v>
      </c>
    </row>
    <row r="182" spans="1:2" ht="15" x14ac:dyDescent="0.25">
      <c r="A182" s="108" t="s">
        <v>2378</v>
      </c>
      <c r="B182" s="108" t="s">
        <v>2379</v>
      </c>
    </row>
    <row r="183" spans="1:2" ht="15" x14ac:dyDescent="0.25">
      <c r="A183" s="108" t="s">
        <v>2380</v>
      </c>
      <c r="B183" s="108" t="s">
        <v>2381</v>
      </c>
    </row>
    <row r="184" spans="1:2" ht="15" x14ac:dyDescent="0.25">
      <c r="A184" s="108" t="s">
        <v>2382</v>
      </c>
      <c r="B184" s="108" t="s">
        <v>2383</v>
      </c>
    </row>
    <row r="185" spans="1:2" ht="15" x14ac:dyDescent="0.25">
      <c r="A185" s="108" t="s">
        <v>2384</v>
      </c>
      <c r="B185" s="108" t="s">
        <v>2385</v>
      </c>
    </row>
    <row r="186" spans="1:2" ht="15" x14ac:dyDescent="0.25">
      <c r="A186" s="108" t="s">
        <v>2386</v>
      </c>
      <c r="B186" s="108" t="s">
        <v>2387</v>
      </c>
    </row>
    <row r="187" spans="1:2" ht="15" x14ac:dyDescent="0.25">
      <c r="A187" s="108" t="s">
        <v>2388</v>
      </c>
      <c r="B187" s="108" t="s">
        <v>2389</v>
      </c>
    </row>
    <row r="188" spans="1:2" ht="15" x14ac:dyDescent="0.25">
      <c r="A188" s="108" t="s">
        <v>2390</v>
      </c>
      <c r="B188" s="108" t="s">
        <v>2391</v>
      </c>
    </row>
    <row r="189" spans="1:2" ht="15" x14ac:dyDescent="0.25">
      <c r="A189" s="108" t="s">
        <v>2392</v>
      </c>
      <c r="B189" s="108" t="s">
        <v>2393</v>
      </c>
    </row>
    <row r="190" spans="1:2" ht="15" x14ac:dyDescent="0.25">
      <c r="A190" s="108" t="s">
        <v>2394</v>
      </c>
      <c r="B190" s="108" t="s">
        <v>2395</v>
      </c>
    </row>
    <row r="191" spans="1:2" ht="15" x14ac:dyDescent="0.25">
      <c r="A191" s="108" t="s">
        <v>2396</v>
      </c>
      <c r="B191" s="108" t="s">
        <v>2397</v>
      </c>
    </row>
    <row r="192" spans="1:2" ht="15" x14ac:dyDescent="0.25">
      <c r="A192" s="108" t="s">
        <v>2398</v>
      </c>
      <c r="B192" s="108" t="s">
        <v>2399</v>
      </c>
    </row>
    <row r="193" spans="1:2" ht="15" x14ac:dyDescent="0.25">
      <c r="A193" s="108" t="s">
        <v>2400</v>
      </c>
      <c r="B193" s="108" t="s">
        <v>2401</v>
      </c>
    </row>
    <row r="194" spans="1:2" ht="15" x14ac:dyDescent="0.25">
      <c r="A194" s="108" t="s">
        <v>2402</v>
      </c>
      <c r="B194" s="108" t="s">
        <v>2403</v>
      </c>
    </row>
    <row r="195" spans="1:2" ht="15" x14ac:dyDescent="0.25">
      <c r="A195" s="108" t="s">
        <v>2404</v>
      </c>
      <c r="B195" s="108" t="s">
        <v>772</v>
      </c>
    </row>
    <row r="196" spans="1:2" ht="15" x14ac:dyDescent="0.25">
      <c r="A196" s="108" t="s">
        <v>2405</v>
      </c>
      <c r="B196" s="108" t="s">
        <v>2406</v>
      </c>
    </row>
    <row r="197" spans="1:2" ht="15" x14ac:dyDescent="0.25">
      <c r="A197" s="108" t="s">
        <v>2407</v>
      </c>
      <c r="B197" s="108" t="s">
        <v>2408</v>
      </c>
    </row>
    <row r="198" spans="1:2" ht="15" x14ac:dyDescent="0.25">
      <c r="A198" s="108" t="s">
        <v>2409</v>
      </c>
      <c r="B198" s="108" t="s">
        <v>2410</v>
      </c>
    </row>
    <row r="199" spans="1:2" ht="15" x14ac:dyDescent="0.25">
      <c r="A199" s="108" t="s">
        <v>2411</v>
      </c>
      <c r="B199" s="108" t="s">
        <v>2412</v>
      </c>
    </row>
    <row r="200" spans="1:2" ht="15" x14ac:dyDescent="0.25">
      <c r="A200" s="108" t="s">
        <v>2413</v>
      </c>
      <c r="B200" s="108" t="s">
        <v>2414</v>
      </c>
    </row>
    <row r="201" spans="1:2" ht="15" x14ac:dyDescent="0.25">
      <c r="A201" s="108" t="s">
        <v>2415</v>
      </c>
      <c r="B201" s="108" t="s">
        <v>2416</v>
      </c>
    </row>
    <row r="202" spans="1:2" ht="15" x14ac:dyDescent="0.25">
      <c r="A202" s="108" t="s">
        <v>2417</v>
      </c>
      <c r="B202" s="108" t="s">
        <v>2418</v>
      </c>
    </row>
    <row r="203" spans="1:2" ht="15" x14ac:dyDescent="0.25">
      <c r="A203" s="108" t="s">
        <v>2419</v>
      </c>
      <c r="B203" s="108" t="s">
        <v>2420</v>
      </c>
    </row>
    <row r="204" spans="1:2" ht="15" x14ac:dyDescent="0.25">
      <c r="A204" s="108" t="s">
        <v>2421</v>
      </c>
      <c r="B204" s="108" t="s">
        <v>2422</v>
      </c>
    </row>
    <row r="205" spans="1:2" ht="15" x14ac:dyDescent="0.25">
      <c r="A205" s="108" t="s">
        <v>2423</v>
      </c>
      <c r="B205" s="108" t="s">
        <v>2424</v>
      </c>
    </row>
    <row r="206" spans="1:2" ht="15" x14ac:dyDescent="0.25">
      <c r="A206" s="108" t="s">
        <v>2425</v>
      </c>
      <c r="B206" s="108" t="s">
        <v>2426</v>
      </c>
    </row>
    <row r="207" spans="1:2" ht="15" x14ac:dyDescent="0.25">
      <c r="A207" s="108" t="s">
        <v>2427</v>
      </c>
      <c r="B207" s="108" t="s">
        <v>2428</v>
      </c>
    </row>
    <row r="208" spans="1:2" ht="15" x14ac:dyDescent="0.25">
      <c r="A208" s="108" t="s">
        <v>2429</v>
      </c>
      <c r="B208" s="108" t="s">
        <v>2430</v>
      </c>
    </row>
    <row r="209" spans="1:2" ht="15" x14ac:dyDescent="0.25">
      <c r="A209" s="108" t="s">
        <v>2431</v>
      </c>
      <c r="B209" s="108" t="s">
        <v>2432</v>
      </c>
    </row>
    <row r="210" spans="1:2" ht="15" x14ac:dyDescent="0.25">
      <c r="A210" s="108" t="s">
        <v>2433</v>
      </c>
      <c r="B210" s="108" t="s">
        <v>2434</v>
      </c>
    </row>
    <row r="211" spans="1:2" ht="15" x14ac:dyDescent="0.25">
      <c r="A211" s="108" t="s">
        <v>2435</v>
      </c>
      <c r="B211" s="108" t="s">
        <v>2436</v>
      </c>
    </row>
    <row r="212" spans="1:2" ht="15" x14ac:dyDescent="0.25">
      <c r="A212" s="108" t="s">
        <v>2437</v>
      </c>
      <c r="B212" s="108" t="s">
        <v>2438</v>
      </c>
    </row>
    <row r="213" spans="1:2" ht="15" x14ac:dyDescent="0.25">
      <c r="A213" s="108" t="s">
        <v>2439</v>
      </c>
      <c r="B213" s="108" t="s">
        <v>2440</v>
      </c>
    </row>
    <row r="214" spans="1:2" ht="15" x14ac:dyDescent="0.25">
      <c r="A214" s="108" t="s">
        <v>2441</v>
      </c>
      <c r="B214" s="108" t="s">
        <v>2442</v>
      </c>
    </row>
    <row r="215" spans="1:2" ht="15" x14ac:dyDescent="0.25">
      <c r="A215" s="108" t="s">
        <v>2443</v>
      </c>
      <c r="B215" s="108" t="s">
        <v>2444</v>
      </c>
    </row>
    <row r="216" spans="1:2" ht="15" x14ac:dyDescent="0.25">
      <c r="A216" s="108" t="s">
        <v>2445</v>
      </c>
      <c r="B216" s="108" t="s">
        <v>2446</v>
      </c>
    </row>
    <row r="217" spans="1:2" ht="15" x14ac:dyDescent="0.25">
      <c r="A217" s="108" t="s">
        <v>2447</v>
      </c>
      <c r="B217" s="108" t="s">
        <v>2448</v>
      </c>
    </row>
    <row r="218" spans="1:2" ht="15" x14ac:dyDescent="0.25">
      <c r="A218" s="108" t="s">
        <v>2449</v>
      </c>
      <c r="B218" s="108" t="s">
        <v>2450</v>
      </c>
    </row>
    <row r="219" spans="1:2" ht="15" x14ac:dyDescent="0.25">
      <c r="A219" s="108" t="s">
        <v>2451</v>
      </c>
      <c r="B219" s="108" t="s">
        <v>2452</v>
      </c>
    </row>
    <row r="220" spans="1:2" ht="15" x14ac:dyDescent="0.25">
      <c r="A220" s="108" t="s">
        <v>2453</v>
      </c>
      <c r="B220" s="108" t="s">
        <v>2454</v>
      </c>
    </row>
    <row r="221" spans="1:2" ht="15" x14ac:dyDescent="0.25">
      <c r="A221" s="108" t="s">
        <v>2455</v>
      </c>
      <c r="B221" s="108" t="s">
        <v>2456</v>
      </c>
    </row>
    <row r="222" spans="1:2" ht="15" x14ac:dyDescent="0.25">
      <c r="A222" s="108" t="s">
        <v>2457</v>
      </c>
      <c r="B222" s="108" t="s">
        <v>2458</v>
      </c>
    </row>
    <row r="223" spans="1:2" ht="15" x14ac:dyDescent="0.25">
      <c r="A223" s="108" t="s">
        <v>2459</v>
      </c>
      <c r="B223" s="108" t="s">
        <v>2460</v>
      </c>
    </row>
    <row r="224" spans="1:2" ht="15" x14ac:dyDescent="0.25">
      <c r="A224" s="108" t="s">
        <v>2461</v>
      </c>
      <c r="B224" s="108" t="s">
        <v>2462</v>
      </c>
    </row>
    <row r="225" spans="1:2" ht="15" x14ac:dyDescent="0.25">
      <c r="A225" s="108" t="s">
        <v>2463</v>
      </c>
      <c r="B225" s="108" t="s">
        <v>2464</v>
      </c>
    </row>
    <row r="226" spans="1:2" ht="15" x14ac:dyDescent="0.25">
      <c r="A226" s="108" t="s">
        <v>2465</v>
      </c>
      <c r="B226" s="108" t="s">
        <v>2466</v>
      </c>
    </row>
    <row r="227" spans="1:2" ht="15" x14ac:dyDescent="0.25">
      <c r="A227" s="108" t="s">
        <v>2467</v>
      </c>
      <c r="B227" s="108" t="s">
        <v>2468</v>
      </c>
    </row>
    <row r="228" spans="1:2" ht="15" x14ac:dyDescent="0.25">
      <c r="A228" s="108" t="s">
        <v>2469</v>
      </c>
      <c r="B228" s="108" t="s">
        <v>2470</v>
      </c>
    </row>
    <row r="229" spans="1:2" ht="15" x14ac:dyDescent="0.25">
      <c r="A229" s="108" t="s">
        <v>2471</v>
      </c>
      <c r="B229" s="108" t="s">
        <v>2472</v>
      </c>
    </row>
    <row r="230" spans="1:2" ht="15" x14ac:dyDescent="0.25">
      <c r="A230" s="108" t="s">
        <v>2473</v>
      </c>
      <c r="B230" s="108" t="s">
        <v>2474</v>
      </c>
    </row>
    <row r="231" spans="1:2" ht="15" x14ac:dyDescent="0.25">
      <c r="A231" s="108" t="s">
        <v>2475</v>
      </c>
      <c r="B231" s="108" t="s">
        <v>2476</v>
      </c>
    </row>
    <row r="232" spans="1:2" ht="15" x14ac:dyDescent="0.25">
      <c r="A232" s="108" t="s">
        <v>2477</v>
      </c>
      <c r="B232" s="108" t="s">
        <v>2478</v>
      </c>
    </row>
    <row r="233" spans="1:2" ht="15" x14ac:dyDescent="0.25">
      <c r="A233" s="108" t="s">
        <v>2479</v>
      </c>
      <c r="B233" s="108" t="s">
        <v>2480</v>
      </c>
    </row>
    <row r="234" spans="1:2" ht="15" x14ac:dyDescent="0.25">
      <c r="A234" s="108" t="s">
        <v>2481</v>
      </c>
      <c r="B234" s="108" t="s">
        <v>2482</v>
      </c>
    </row>
    <row r="235" spans="1:2" ht="15" x14ac:dyDescent="0.25">
      <c r="A235" s="108" t="s">
        <v>2483</v>
      </c>
      <c r="B235" s="108" t="s">
        <v>2484</v>
      </c>
    </row>
    <row r="236" spans="1:2" ht="15" x14ac:dyDescent="0.25">
      <c r="A236" s="108" t="s">
        <v>2485</v>
      </c>
      <c r="B236" s="108" t="s">
        <v>2486</v>
      </c>
    </row>
  </sheetData>
  <pageMargins left="0.7" right="0.7" top="0.75" bottom="0.75" header="0.3" footer="0.3"/>
  <headerFooter>
    <oddFooter>&amp;C_x000D_&amp;1#&amp;"Calibri"&amp;8&amp;K0000FF Datos elaborados por BCP para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13</vt:i4>
      </vt:variant>
    </vt:vector>
  </HeadingPairs>
  <TitlesOfParts>
    <vt:vector size="15" baseType="lpstr">
      <vt:lpstr>sucursal24</vt:lpstr>
      <vt:lpstr>Plantilla</vt:lpstr>
      <vt:lpstr>Departamento</vt:lpstr>
      <vt:lpstr>Departamentos</vt:lpstr>
      <vt:lpstr>Distrito</vt:lpstr>
      <vt:lpstr>EstadoCivil</vt:lpstr>
      <vt:lpstr>Nacionalidades</vt:lpstr>
      <vt:lpstr>Provincia</vt:lpstr>
      <vt:lpstr>Provincias</vt:lpstr>
      <vt:lpstr>Sexo</vt:lpstr>
      <vt:lpstr>sucursal</vt:lpstr>
      <vt:lpstr>sucursal24</vt:lpstr>
      <vt:lpstr>TipoDocumento</vt:lpstr>
      <vt:lpstr>Ubicaciones</vt:lpstr>
      <vt:lpstr>Vias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 Manzaneda Ramirez</dc:creator>
  <cp:lastModifiedBy>Miguel Silva Cajusol - SOFTEK</cp:lastModifiedBy>
  <cp:lastPrinted>2015-02-24T15:45:03Z</cp:lastPrinted>
  <dcterms:created xsi:type="dcterms:W3CDTF">2005-01-17T18:18:05Z</dcterms:created>
  <dcterms:modified xsi:type="dcterms:W3CDTF">2024-04-16T17:26:18Z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15ead3b-a842-409e-8059-3e3468c48585_Enabled">
    <vt:lpwstr>true</vt:lpwstr>
  </property>
  <property fmtid="{D5CDD505-2E9C-101B-9397-08002B2CF9AE}" pid="3" name="MSIP_Label_c15ead3b-a842-409e-8059-3e3468c48585_SetDate">
    <vt:lpwstr>2024-04-12T21:31:46Z</vt:lpwstr>
  </property>
  <property fmtid="{D5CDD505-2E9C-101B-9397-08002B2CF9AE}" pid="4" name="MSIP_Label_c15ead3b-a842-409e-8059-3e3468c48585_Method">
    <vt:lpwstr>Standard</vt:lpwstr>
  </property>
  <property fmtid="{D5CDD505-2E9C-101B-9397-08002B2CF9AE}" pid="5" name="MSIP_Label_c15ead3b-a842-409e-8059-3e3468c48585_Name">
    <vt:lpwstr>Interna BCP</vt:lpwstr>
  </property>
  <property fmtid="{D5CDD505-2E9C-101B-9397-08002B2CF9AE}" pid="6" name="MSIP_Label_c15ead3b-a842-409e-8059-3e3468c48585_SiteId">
    <vt:lpwstr>5d93ebcc-f769-4380-8b7e-289fc972da1b</vt:lpwstr>
  </property>
  <property fmtid="{D5CDD505-2E9C-101B-9397-08002B2CF9AE}" pid="7" name="MSIP_Label_c15ead3b-a842-409e-8059-3e3468c48585_ActionId">
    <vt:lpwstr>8f36065d-3ccf-41a5-a76e-a37a80a2c7c7</vt:lpwstr>
  </property>
  <property fmtid="{D5CDD505-2E9C-101B-9397-08002B2CF9AE}" pid="8" name="MSIP_Label_c15ead3b-a842-409e-8059-3e3468c48585_ContentBits">
    <vt:lpwstr>2</vt:lpwstr>
  </property>
</Properties>
</file>