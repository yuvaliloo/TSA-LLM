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937f6b5c6edb259/Purnartha/Materials/000_June 2024/"/>
    </mc:Choice>
  </mc:AlternateContent>
  <xr:revisionPtr revIDLastSave="3" documentId="13_ncr:1_{F8224135-4E74-4492-AD40-16E41EB48D17}" xr6:coauthVersionLast="47" xr6:coauthVersionMax="47" xr10:uidLastSave="{474BCA54-3E10-4BD7-9AC0-D7541C23D9E5}"/>
  <bookViews>
    <workbookView xWindow="-110" yWindow="-110" windowWidth="19420" windowHeight="10300" tabRatio="879" xr2:uid="{00000000-000D-0000-FFFF-FFFF00000000}"/>
  </bookViews>
  <sheets>
    <sheet name="Monthly Returns USD" sheetId="13" r:id="rId1"/>
    <sheet name="Model Portfolio PMS" sheetId="2" state="hidden" r:id="rId2"/>
    <sheet name="Client Monthly Returns" sheetId="11" state="hidden" r:id="rId3"/>
    <sheet name="Client Portfolio PMS" sheetId="12" state="hidden" r:id="rId4"/>
    <sheet name="Client Portfolio" sheetId="7" state="hidden" r:id="rId5"/>
    <sheet name="Client" sheetId="1" state="hidden" r:id="rId6"/>
    <sheet name="SIP Portfolio" sheetId="5" state="hidden" r:id="rId7"/>
    <sheet name="MF" sheetId="9" state="hidden" r:id="rId8"/>
  </sheets>
  <definedNames>
    <definedName name="_xlnm._FilterDatabase" localSheetId="3" hidden="1">'Client Portfolio PMS'!#REF!</definedName>
    <definedName name="_xlnm._FilterDatabase" localSheetId="1" hidden="1">'Model Portfolio PMS'!#REF!</definedName>
    <definedName name="_xlnm.Print_Area" localSheetId="5">Client!$A$1:$M$93</definedName>
    <definedName name="_xlnm.Print_Area" localSheetId="2">'Client Monthly Returns'!$A$1:$N$25</definedName>
    <definedName name="_xlnm.Print_Area" localSheetId="4">'Client Portfolio'!$A$1:$M$35</definedName>
    <definedName name="_xlnm.Print_Area" localSheetId="3">'Client Portfolio PMS'!$A$1:$J$49</definedName>
    <definedName name="_xlnm.Print_Area" localSheetId="7">MF!$A$1:$R$42</definedName>
    <definedName name="_xlnm.Print_Area" localSheetId="1">'Model Portfolio PMS'!$A$1:$J$49</definedName>
    <definedName name="_xlnm.Print_Area" localSheetId="0">'Monthly Returns USD'!$A$1:$N$39</definedName>
    <definedName name="_xlnm.Print_Area" localSheetId="6">'SIP Portfolio'!$A$1:$F$28</definedName>
    <definedName name="_xlnm.Print_Titles" localSheetId="5">Client!$1:$1</definedName>
  </definedNames>
  <calcPr calcId="181029"/>
</workbook>
</file>

<file path=xl/sharedStrings.xml><?xml version="1.0" encoding="utf-8"?>
<sst xmlns="http://schemas.openxmlformats.org/spreadsheetml/2006/main" count="389" uniqueCount="152">
  <si>
    <t>Absolute</t>
  </si>
  <si>
    <t>CAGR</t>
  </si>
  <si>
    <t>Scheme Name</t>
  </si>
  <si>
    <t>1 Month</t>
  </si>
  <si>
    <t>3 Months</t>
  </si>
  <si>
    <t>6 Months</t>
  </si>
  <si>
    <t>1 Year</t>
  </si>
  <si>
    <t>2 Years</t>
  </si>
  <si>
    <t>3 Years</t>
  </si>
  <si>
    <t>5 Years</t>
  </si>
  <si>
    <t>Date range</t>
  </si>
  <si>
    <t>Purnartha Portfolio</t>
  </si>
  <si>
    <t>Benchmark</t>
  </si>
  <si>
    <t>NIFTY 50</t>
  </si>
  <si>
    <t>Midcap 50</t>
  </si>
  <si>
    <t>FY</t>
  </si>
  <si>
    <t>Q1</t>
  </si>
  <si>
    <t>Q2</t>
  </si>
  <si>
    <t>Q3</t>
  </si>
  <si>
    <t>Q4</t>
  </si>
  <si>
    <t>Annual Growth</t>
  </si>
  <si>
    <t>2009 - 10</t>
  </si>
  <si>
    <t>2010 - 11</t>
  </si>
  <si>
    <t>2011 - 12</t>
  </si>
  <si>
    <t>2012 - 13</t>
  </si>
  <si>
    <t>2013 - 14</t>
  </si>
  <si>
    <t>2014 - 15</t>
  </si>
  <si>
    <t>2015 - 16</t>
  </si>
  <si>
    <t>Purnartha</t>
  </si>
  <si>
    <t>Nifty</t>
  </si>
  <si>
    <t xml:space="preserve">Jan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</si>
  <si>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</si>
  <si>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</si>
  <si>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</si>
  <si>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</si>
  <si>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</si>
  <si>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</si>
  <si>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</si>
  <si>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</si>
  <si>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</si>
  <si>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</si>
  <si>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</si>
  <si>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</si>
  <si>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Cash</t>
  </si>
  <si>
    <t>2016-17</t>
  </si>
  <si>
    <t>CY</t>
  </si>
  <si>
    <t>1st Client FY</t>
  </si>
  <si>
    <t>Large Cap</t>
  </si>
  <si>
    <t>Mid Cap</t>
  </si>
  <si>
    <t xml:space="preserve">Small Cap </t>
  </si>
  <si>
    <t>Total</t>
  </si>
  <si>
    <t>Description</t>
  </si>
  <si>
    <t>* FY is Financial Year i.e. April to March</t>
  </si>
  <si>
    <t>*CY is Calendar Year Jan to Dec</t>
  </si>
  <si>
    <t>* The performance shown is before charging any fees</t>
  </si>
  <si>
    <t>*Large cap companies are whose Market capitalization is more than Rs.25,000 crore</t>
  </si>
  <si>
    <t>*Small cap companies are those with Market capitalization less than Rs.2,500 crore</t>
  </si>
  <si>
    <t>*Mid cap companies are whose Market capitalization is between Rs.25,000 crore and Rs.2,500 Crores</t>
  </si>
  <si>
    <t>For the Period Ending</t>
  </si>
  <si>
    <t>Since Inception</t>
  </si>
  <si>
    <t>* Since Inception is from 1st April 2009</t>
  </si>
  <si>
    <t>Macro Index</t>
  </si>
  <si>
    <t>End NAV</t>
  </si>
  <si>
    <t>Beta</t>
  </si>
  <si>
    <t>+ve Rate</t>
  </si>
  <si>
    <t>-ve Rate</t>
  </si>
  <si>
    <t>Recovery(Days)</t>
  </si>
  <si>
    <t>Max. Drawdown</t>
  </si>
  <si>
    <t>Sharpe Ratio</t>
  </si>
  <si>
    <t>Annualized Vol.</t>
  </si>
  <si>
    <t>* Statistics for Purnartha &amp; Nifty</t>
  </si>
  <si>
    <t>Purnartha CAGR</t>
  </si>
  <si>
    <t>Nifty CAGR</t>
  </si>
  <si>
    <t>Date Range</t>
  </si>
  <si>
    <t>Purnartha Portfolio Post Fees</t>
  </si>
  <si>
    <t>FromDate</t>
  </si>
  <si>
    <t>ToDate</t>
  </si>
  <si>
    <t>NAV</t>
  </si>
  <si>
    <t>NAV ©</t>
  </si>
  <si>
    <t>Assumed Plan 1 2.5% initial fee &amp; 25% hurdle rate for all years</t>
  </si>
  <si>
    <t>Assumed Service tax 15.5% applicable from 1st June 2016</t>
  </si>
  <si>
    <t>NAV is Net Asset value starting from 100 every year</t>
  </si>
  <si>
    <t>NAV © is Cumulative NAV from the beginning of the period till the end of that period</t>
  </si>
  <si>
    <t>Yellow coloured are large cap schemes</t>
  </si>
  <si>
    <t>Green Coloured are mid &amp; small cap schemes</t>
  </si>
  <si>
    <t>2017-18</t>
  </si>
  <si>
    <t>1st Client (July 2014)</t>
  </si>
  <si>
    <t>Nifty (July 2014)</t>
  </si>
  <si>
    <t>SBI BlueChip Fund (G)</t>
  </si>
  <si>
    <t>ICICI Pru Value Discovery Fund (G)</t>
  </si>
  <si>
    <t>HDFC Mid-Cap Opportunities Fund (G)</t>
  </si>
  <si>
    <t>Port Returns</t>
  </si>
  <si>
    <t>NIFTY</t>
  </si>
  <si>
    <t>Nifty Returns as per Portfolio's Inception Date</t>
  </si>
  <si>
    <t>Assumed Invested in Purnartha Monthly portfolio's recommended to Clients from April 2014</t>
  </si>
  <si>
    <t xml:space="preserve">Nifty </t>
  </si>
  <si>
    <t>1st SIP Client (April 2014)</t>
  </si>
  <si>
    <t>2015 -16</t>
  </si>
  <si>
    <t>2014 -15</t>
  </si>
  <si>
    <t>2016 -17</t>
  </si>
  <si>
    <t>2017 -18</t>
  </si>
  <si>
    <t>*Assumed SIP of 1 Crore per month</t>
  </si>
  <si>
    <t>2018-19</t>
  </si>
  <si>
    <t xml:space="preserve"> </t>
  </si>
  <si>
    <t>1st Client CY</t>
  </si>
  <si>
    <t>HDFC Top 100 Fund (G)</t>
  </si>
  <si>
    <t>2018 -19</t>
  </si>
  <si>
    <t>Motilal Oswal Midcap 30 Fund (G)</t>
  </si>
  <si>
    <t>Motilal Oswal Focused 25 Fund (G)</t>
  </si>
  <si>
    <t>Aditya Birla SL Frontline Equity Fund (G)</t>
  </si>
  <si>
    <t>2019-20</t>
  </si>
  <si>
    <t>2019 -20</t>
  </si>
  <si>
    <t>2020-21</t>
  </si>
  <si>
    <t>2020 -21</t>
  </si>
  <si>
    <t>Inception Date</t>
  </si>
  <si>
    <t>IDFC Flexi Cap Fund (G)</t>
  </si>
  <si>
    <t>2021-22</t>
  </si>
  <si>
    <t>2021 -22</t>
  </si>
  <si>
    <t>1st Client Monthly returns since Inception</t>
  </si>
  <si>
    <t>1st Client VAMI since Inception (Value Added Monthly Index)</t>
  </si>
  <si>
    <t>Client Portfolio</t>
  </si>
  <si>
    <t>Client</t>
  </si>
  <si>
    <t>* Statistics for Client, Nifty &amp; Midcap</t>
  </si>
  <si>
    <t>* Since Inception is from 4th July 2014</t>
  </si>
  <si>
    <t>399 / 3119</t>
  </si>
  <si>
    <t>0.9690% (1752)</t>
  </si>
  <si>
    <t>-0.9136% (1353)</t>
  </si>
  <si>
    <t>234 / 3119</t>
  </si>
  <si>
    <t>0.8024% (1675)</t>
  </si>
  <si>
    <t>-0.7957% (1441)</t>
  </si>
  <si>
    <t>385 / 3119</t>
  </si>
  <si>
    <t>1.0227% (1751)</t>
  </si>
  <si>
    <t>-1.1390% (1366)</t>
  </si>
  <si>
    <t>174 / 1809</t>
  </si>
  <si>
    <t>1.1759% (987)</t>
  </si>
  <si>
    <t>-1.1075% (813)</t>
  </si>
  <si>
    <t>169 / 1809</t>
  </si>
  <si>
    <t>0.7091% (988)</t>
  </si>
  <si>
    <t>-0.7398% (819)</t>
  </si>
  <si>
    <t>278 / 1809</t>
  </si>
  <si>
    <t>0.9414% (1043)</t>
  </si>
  <si>
    <t>-1.1364% (765)</t>
  </si>
  <si>
    <t>CAGR FOR 12.58 years</t>
  </si>
  <si>
    <t>To 31-Oct-21</t>
  </si>
  <si>
    <t>Current Weightage as on 31-Oct-21</t>
  </si>
  <si>
    <t>*CAGR of 28.81% for the last 7.5 years</t>
  </si>
  <si>
    <t>Current Value: Rs.260.78 Crore</t>
  </si>
  <si>
    <t>Invested Value over period: Rs.90 Crore</t>
  </si>
  <si>
    <t>Purnartha USD Monthly returns since Inception</t>
  </si>
  <si>
    <t>Purnartha USD VAMI since Inception (Value Added Monthly Index)</t>
  </si>
  <si>
    <t>95.46%(9)</t>
  </si>
  <si>
    <t>17.30%(6)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</si>
</sst>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0.0%"/>
    <numFmt numFmtId="166" formatCode="_ * #,##0_ ;_ * \-#,##0_ ;_ * &quot;-&quot;??_ ;_ @_ "/>
    <numFmt numFmtId="167" formatCode="dd\-mmm\-yyyy"/>
    <numFmt numFmtId="168" formatCode="0.000000"/>
    <numFmt numFmtId="169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8"/>
      <color theme="9" tint="-0.499984740745262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2"/>
      <color theme="0"/>
      <name val="Times New Roman"/>
      <family val="1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1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7375D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</cellStyleXfs>
  <cellXfs count="177">
    <xf numFmtId="0" fontId="0" fillId="0" borderId="0" xfId="0"/>
    <xf numFmtId="10" fontId="0" fillId="0" borderId="0" xfId="1" applyNumberFormat="1" applyFont="1"/>
    <xf numFmtId="9" fontId="0" fillId="0" borderId="0" xfId="1" applyFont="1"/>
    <xf numFmtId="165" fontId="0" fillId="0" borderId="0" xfId="1" applyNumberFormat="1" applyFont="1"/>
    <xf numFmtId="0" fontId="4" fillId="3" borderId="5" xfId="0" applyFont="1" applyFill="1" applyBorder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3" fillId="0" borderId="0" xfId="0" applyFont="1"/>
    <xf numFmtId="14" fontId="0" fillId="0" borderId="0" xfId="0" applyNumberFormat="1"/>
    <xf numFmtId="0" fontId="4" fillId="0" borderId="17" xfId="0" applyFont="1" applyBorder="1" applyAlignment="1">
      <alignment vertical="center" wrapText="1"/>
    </xf>
    <xf numFmtId="10" fontId="4" fillId="0" borderId="18" xfId="0" applyNumberFormat="1" applyFont="1" applyBorder="1" applyAlignment="1">
      <alignment horizontal="right" vertical="center" wrapText="1"/>
    </xf>
    <xf numFmtId="10" fontId="4" fillId="0" borderId="15" xfId="0" applyNumberFormat="1" applyFont="1" applyBorder="1" applyAlignment="1">
      <alignment horizontal="right" vertical="center" wrapText="1"/>
    </xf>
    <xf numFmtId="0" fontId="4" fillId="0" borderId="19" xfId="0" applyFont="1" applyBorder="1" applyAlignment="1">
      <alignment vertical="center" wrapText="1"/>
    </xf>
    <xf numFmtId="10" fontId="4" fillId="0" borderId="20" xfId="0" applyNumberFormat="1" applyFont="1" applyBorder="1" applyAlignment="1">
      <alignment horizontal="right" vertical="center" wrapText="1"/>
    </xf>
    <xf numFmtId="10" fontId="4" fillId="0" borderId="21" xfId="0" applyNumberFormat="1" applyFont="1" applyBorder="1" applyAlignment="1">
      <alignment horizontal="right" vertical="center" wrapText="1"/>
    </xf>
    <xf numFmtId="0" fontId="4" fillId="0" borderId="11" xfId="0" applyFont="1" applyBorder="1" applyAlignment="1">
      <alignment vertical="center" wrapText="1"/>
    </xf>
    <xf numFmtId="0" fontId="7" fillId="2" borderId="16" xfId="0" applyFont="1" applyFill="1" applyBorder="1" applyAlignment="1">
      <alignment vertical="center" wrapText="1"/>
    </xf>
    <xf numFmtId="10" fontId="4" fillId="0" borderId="17" xfId="0" applyNumberFormat="1" applyFont="1" applyBorder="1" applyAlignment="1">
      <alignment horizontal="right" vertical="center" wrapText="1"/>
    </xf>
    <xf numFmtId="0" fontId="4" fillId="3" borderId="24" xfId="0" applyFont="1" applyFill="1" applyBorder="1" applyAlignment="1">
      <alignment vertical="center" wrapText="1"/>
    </xf>
    <xf numFmtId="0" fontId="4" fillId="3" borderId="23" xfId="0" applyFont="1" applyFill="1" applyBorder="1" applyAlignment="1">
      <alignment vertical="center" wrapText="1"/>
    </xf>
    <xf numFmtId="10" fontId="4" fillId="0" borderId="19" xfId="0" applyNumberFormat="1" applyFont="1" applyBorder="1" applyAlignment="1">
      <alignment horizontal="right" vertical="center" wrapText="1"/>
    </xf>
    <xf numFmtId="43" fontId="0" fillId="0" borderId="0" xfId="2" applyFont="1"/>
    <xf numFmtId="0" fontId="2" fillId="0" borderId="0" xfId="0" applyFont="1"/>
    <xf numFmtId="165" fontId="0" fillId="0" borderId="1" xfId="0" applyNumberFormat="1" applyBorder="1"/>
    <xf numFmtId="0" fontId="2" fillId="0" borderId="1" xfId="0" applyFont="1" applyBorder="1"/>
    <xf numFmtId="9" fontId="0" fillId="0" borderId="1" xfId="1" applyFont="1" applyBorder="1"/>
    <xf numFmtId="43" fontId="0" fillId="0" borderId="0" xfId="0" applyNumberFormat="1"/>
    <xf numFmtId="10" fontId="2" fillId="0" borderId="0" xfId="1" applyNumberFormat="1" applyFont="1"/>
    <xf numFmtId="10" fontId="0" fillId="0" borderId="0" xfId="0" applyNumberFormat="1"/>
    <xf numFmtId="0" fontId="8" fillId="0" borderId="0" xfId="0" applyFont="1" applyAlignment="1">
      <alignment horizontal="left" vertical="center"/>
    </xf>
    <xf numFmtId="0" fontId="6" fillId="2" borderId="14" xfId="0" applyFont="1" applyFill="1" applyBorder="1" applyAlignment="1">
      <alignment vertical="center"/>
    </xf>
    <xf numFmtId="0" fontId="5" fillId="2" borderId="17" xfId="0" applyFont="1" applyFill="1" applyBorder="1" applyAlignment="1">
      <alignment vertical="center" wrapText="1"/>
    </xf>
    <xf numFmtId="0" fontId="5" fillId="2" borderId="25" xfId="0" applyFont="1" applyFill="1" applyBorder="1" applyAlignment="1">
      <alignment vertical="center" wrapText="1"/>
    </xf>
    <xf numFmtId="0" fontId="0" fillId="0" borderId="1" xfId="0" applyBorder="1"/>
    <xf numFmtId="166" fontId="0" fillId="0" borderId="1" xfId="2" applyNumberFormat="1" applyFont="1" applyBorder="1"/>
    <xf numFmtId="167" fontId="0" fillId="0" borderId="1" xfId="1" applyNumberFormat="1" applyFont="1" applyBorder="1"/>
    <xf numFmtId="165" fontId="0" fillId="0" borderId="1" xfId="1" applyNumberFormat="1" applyFont="1" applyBorder="1"/>
    <xf numFmtId="0" fontId="2" fillId="0" borderId="1" xfId="0" applyFont="1" applyBorder="1" applyAlignment="1">
      <alignment horizontal="left" wrapText="1"/>
    </xf>
    <xf numFmtId="10" fontId="0" fillId="0" borderId="1" xfId="1" applyNumberFormat="1" applyFont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0" fontId="0" fillId="0" borderId="26" xfId="0" applyBorder="1"/>
    <xf numFmtId="0" fontId="0" fillId="0" borderId="26" xfId="0" applyBorder="1" applyAlignment="1">
      <alignment horizontal="right"/>
    </xf>
    <xf numFmtId="15" fontId="7" fillId="2" borderId="14" xfId="0" applyNumberFormat="1" applyFont="1" applyFill="1" applyBorder="1" applyAlignment="1">
      <alignment horizontal="center" vertical="center" wrapText="1"/>
    </xf>
    <xf numFmtId="15" fontId="4" fillId="3" borderId="17" xfId="0" applyNumberFormat="1" applyFont="1" applyFill="1" applyBorder="1" applyAlignment="1">
      <alignment horizontal="center" vertical="center" wrapText="1"/>
    </xf>
    <xf numFmtId="14" fontId="4" fillId="3" borderId="27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1" xfId="0" quotePrefix="1" applyBorder="1" applyAlignment="1">
      <alignment horizontal="right"/>
    </xf>
    <xf numFmtId="43" fontId="0" fillId="0" borderId="1" xfId="2" applyFont="1" applyBorder="1"/>
    <xf numFmtId="0" fontId="0" fillId="0" borderId="31" xfId="0" applyBorder="1"/>
    <xf numFmtId="0" fontId="0" fillId="0" borderId="32" xfId="0" applyBorder="1"/>
    <xf numFmtId="14" fontId="0" fillId="0" borderId="31" xfId="0" applyNumberFormat="1" applyBorder="1"/>
    <xf numFmtId="14" fontId="0" fillId="0" borderId="32" xfId="0" applyNumberFormat="1" applyBorder="1"/>
    <xf numFmtId="43" fontId="0" fillId="0" borderId="31" xfId="2" applyFont="1" applyBorder="1"/>
    <xf numFmtId="43" fontId="0" fillId="0" borderId="33" xfId="2" applyFont="1" applyBorder="1"/>
    <xf numFmtId="43" fontId="0" fillId="0" borderId="32" xfId="2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43" fontId="0" fillId="0" borderId="0" xfId="1" applyNumberFormat="1" applyFont="1"/>
    <xf numFmtId="0" fontId="16" fillId="0" borderId="0" xfId="0" quotePrefix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0" fontId="0" fillId="0" borderId="1" xfId="0" applyNumberFormat="1" applyBorder="1" applyAlignment="1">
      <alignment horizontal="right" vertical="center"/>
    </xf>
    <xf numFmtId="0" fontId="2" fillId="0" borderId="36" xfId="0" applyFont="1" applyBorder="1" applyAlignment="1">
      <alignment horizontal="left" wrapText="1"/>
    </xf>
    <xf numFmtId="44" fontId="14" fillId="0" borderId="37" xfId="0" applyNumberFormat="1" applyFont="1" applyBorder="1" applyAlignment="1">
      <alignment horizontal="right"/>
    </xf>
    <xf numFmtId="44" fontId="15" fillId="0" borderId="38" xfId="0" applyNumberFormat="1" applyFont="1" applyBorder="1" applyAlignment="1">
      <alignment horizontal="right" wrapText="1"/>
    </xf>
    <xf numFmtId="0" fontId="16" fillId="0" borderId="31" xfId="0" quotePrefix="1" applyFont="1" applyBorder="1" applyAlignment="1">
      <alignment horizontal="left" vertical="center"/>
    </xf>
    <xf numFmtId="40" fontId="0" fillId="0" borderId="32" xfId="0" applyNumberFormat="1" applyBorder="1" applyAlignment="1">
      <alignment horizontal="right" vertical="center"/>
    </xf>
    <xf numFmtId="40" fontId="17" fillId="0" borderId="32" xfId="0" applyNumberFormat="1" applyFont="1" applyBorder="1" applyAlignment="1">
      <alignment horizontal="right" vertical="center"/>
    </xf>
    <xf numFmtId="40" fontId="13" fillId="0" borderId="32" xfId="0" quotePrefix="1" applyNumberFormat="1" applyFont="1" applyBorder="1" applyAlignment="1">
      <alignment horizontal="right" vertical="center"/>
    </xf>
    <xf numFmtId="0" fontId="19" fillId="0" borderId="0" xfId="0" applyFont="1"/>
    <xf numFmtId="0" fontId="0" fillId="0" borderId="31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15" fontId="7" fillId="2" borderId="10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7" fillId="2" borderId="16" xfId="0" applyFont="1" applyFill="1" applyBorder="1" applyAlignment="1">
      <alignment horizontal="center" vertical="center" wrapText="1"/>
    </xf>
    <xf numFmtId="165" fontId="4" fillId="0" borderId="17" xfId="1" applyNumberFormat="1" applyFont="1" applyBorder="1" applyAlignment="1">
      <alignment vertical="center" wrapText="1"/>
    </xf>
    <xf numFmtId="0" fontId="9" fillId="4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/>
    </xf>
    <xf numFmtId="2" fontId="0" fillId="0" borderId="0" xfId="0" applyNumberFormat="1"/>
    <xf numFmtId="10" fontId="4" fillId="0" borderId="25" xfId="1" applyNumberFormat="1" applyFont="1" applyBorder="1" applyAlignment="1">
      <alignment horizontal="right" vertical="center" wrapText="1"/>
    </xf>
    <xf numFmtId="10" fontId="0" fillId="0" borderId="1" xfId="0" applyNumberFormat="1" applyBorder="1"/>
    <xf numFmtId="168" fontId="0" fillId="0" borderId="0" xfId="0" applyNumberFormat="1"/>
    <xf numFmtId="40" fontId="0" fillId="0" borderId="41" xfId="0" applyNumberFormat="1" applyBorder="1" applyAlignment="1">
      <alignment horizontal="right" vertical="center"/>
    </xf>
    <xf numFmtId="165" fontId="0" fillId="0" borderId="40" xfId="1" applyNumberFormat="1" applyFont="1" applyBorder="1"/>
    <xf numFmtId="0" fontId="9" fillId="0" borderId="0" xfId="0" applyFont="1" applyAlignment="1">
      <alignment vertical="center"/>
    </xf>
    <xf numFmtId="0" fontId="16" fillId="0" borderId="42" xfId="0" quotePrefix="1" applyFont="1" applyBorder="1" applyAlignment="1">
      <alignment horizontal="left" vertical="center"/>
    </xf>
    <xf numFmtId="43" fontId="13" fillId="0" borderId="0" xfId="2" applyFont="1"/>
    <xf numFmtId="43" fontId="12" fillId="0" borderId="0" xfId="2" applyFont="1"/>
    <xf numFmtId="169" fontId="0" fillId="0" borderId="1" xfId="0" applyNumberFormat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0" fontId="16" fillId="0" borderId="44" xfId="0" quotePrefix="1" applyFont="1" applyBorder="1" applyAlignment="1">
      <alignment horizontal="left" vertical="center"/>
    </xf>
    <xf numFmtId="40" fontId="0" fillId="0" borderId="45" xfId="0" applyNumberFormat="1" applyBorder="1" applyAlignment="1">
      <alignment horizontal="right" vertical="center"/>
    </xf>
    <xf numFmtId="43" fontId="0" fillId="0" borderId="45" xfId="2" applyFont="1" applyBorder="1"/>
    <xf numFmtId="14" fontId="0" fillId="0" borderId="46" xfId="0" applyNumberFormat="1" applyBorder="1"/>
    <xf numFmtId="43" fontId="0" fillId="0" borderId="44" xfId="2" applyFont="1" applyBorder="1"/>
    <xf numFmtId="43" fontId="0" fillId="0" borderId="47" xfId="2" applyFont="1" applyBorder="1"/>
    <xf numFmtId="43" fontId="0" fillId="5" borderId="46" xfId="2" applyFont="1" applyFill="1" applyBorder="1"/>
    <xf numFmtId="43" fontId="0" fillId="0" borderId="32" xfId="2" applyFont="1" applyFill="1" applyBorder="1"/>
    <xf numFmtId="43" fontId="0" fillId="0" borderId="40" xfId="2" applyFont="1" applyBorder="1"/>
    <xf numFmtId="43" fontId="13" fillId="0" borderId="41" xfId="2" applyFont="1" applyBorder="1" applyAlignment="1">
      <alignment horizontal="right" vertical="center"/>
    </xf>
    <xf numFmtId="43" fontId="12" fillId="0" borderId="41" xfId="2" applyFont="1" applyBorder="1" applyAlignment="1">
      <alignment horizontal="right" vertical="center"/>
    </xf>
    <xf numFmtId="165" fontId="4" fillId="0" borderId="17" xfId="1" applyNumberFormat="1" applyFont="1" applyBorder="1" applyAlignment="1">
      <alignment horizontal="right" vertical="center" wrapText="1"/>
    </xf>
    <xf numFmtId="2" fontId="0" fillId="0" borderId="1" xfId="2" applyNumberFormat="1" applyFont="1" applyBorder="1"/>
    <xf numFmtId="2" fontId="0" fillId="0" borderId="32" xfId="2" applyNumberFormat="1" applyFont="1" applyBorder="1"/>
    <xf numFmtId="43" fontId="17" fillId="0" borderId="32" xfId="2" applyFont="1" applyBorder="1"/>
    <xf numFmtId="43" fontId="17" fillId="0" borderId="43" xfId="2" applyFont="1" applyBorder="1" applyAlignment="1">
      <alignment horizontal="right" vertical="center"/>
    </xf>
    <xf numFmtId="14" fontId="19" fillId="0" borderId="0" xfId="0" applyNumberFormat="1" applyFont="1"/>
    <xf numFmtId="14" fontId="0" fillId="0" borderId="44" xfId="0" applyNumberFormat="1" applyBorder="1"/>
    <xf numFmtId="10" fontId="0" fillId="0" borderId="40" xfId="1" applyNumberFormat="1" applyFont="1" applyBorder="1"/>
    <xf numFmtId="2" fontId="0" fillId="0" borderId="45" xfId="2" applyNumberFormat="1" applyFont="1" applyBorder="1"/>
    <xf numFmtId="43" fontId="12" fillId="0" borderId="45" xfId="2" applyFont="1" applyBorder="1" applyAlignment="1">
      <alignment horizontal="right" vertical="center"/>
    </xf>
    <xf numFmtId="43" fontId="12" fillId="0" borderId="1" xfId="2" applyFont="1" applyBorder="1" applyAlignment="1">
      <alignment horizontal="right" vertical="center"/>
    </xf>
    <xf numFmtId="43" fontId="13" fillId="0" borderId="1" xfId="2" applyFont="1" applyBorder="1" applyAlignment="1">
      <alignment horizontal="right" vertical="center"/>
    </xf>
    <xf numFmtId="2" fontId="0" fillId="0" borderId="0" xfId="1" applyNumberFormat="1" applyFont="1"/>
    <xf numFmtId="43" fontId="13" fillId="0" borderId="1" xfId="2" applyFont="1" applyBorder="1"/>
    <xf numFmtId="2" fontId="0" fillId="0" borderId="46" xfId="2" applyNumberFormat="1" applyFont="1" applyBorder="1"/>
    <xf numFmtId="43" fontId="13" fillId="0" borderId="32" xfId="2" applyFont="1" applyBorder="1"/>
    <xf numFmtId="43" fontId="17" fillId="0" borderId="32" xfId="2" applyFont="1" applyBorder="1" applyAlignment="1">
      <alignment horizontal="right" vertical="center"/>
    </xf>
    <xf numFmtId="43" fontId="12" fillId="0" borderId="45" xfId="2" applyFont="1" applyBorder="1"/>
    <xf numFmtId="0" fontId="5" fillId="2" borderId="1" xfId="0" applyFont="1" applyFill="1" applyBorder="1" applyAlignment="1">
      <alignment vertical="center"/>
    </xf>
    <xf numFmtId="15" fontId="11" fillId="2" borderId="1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17" fontId="2" fillId="6" borderId="1" xfId="0" applyNumberFormat="1" applyFont="1" applyFill="1" applyBorder="1" applyAlignment="1">
      <alignment horizontal="center" wrapText="1"/>
    </xf>
    <xf numFmtId="43" fontId="17" fillId="0" borderId="46" xfId="2" applyFont="1" applyBorder="1"/>
    <xf numFmtId="43" fontId="17" fillId="0" borderId="46" xfId="2" applyFont="1" applyBorder="1" applyAlignment="1">
      <alignment horizontal="right" vertical="center"/>
    </xf>
    <xf numFmtId="43" fontId="1" fillId="0" borderId="45" xfId="2" applyFont="1" applyBorder="1" applyAlignment="1">
      <alignment horizontal="right" vertical="center"/>
    </xf>
    <xf numFmtId="43" fontId="12" fillId="0" borderId="1" xfId="2" applyFont="1" applyBorder="1"/>
    <xf numFmtId="0" fontId="21" fillId="0" borderId="17" xfId="0" applyFont="1" applyBorder="1" applyAlignment="1">
      <alignment vertical="center" wrapText="1"/>
    </xf>
    <xf numFmtId="0" fontId="21" fillId="0" borderId="19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165" fontId="0" fillId="0" borderId="1" xfId="1" applyNumberFormat="1" applyFont="1" applyFill="1" applyBorder="1"/>
    <xf numFmtId="10" fontId="0" fillId="0" borderId="49" xfId="1" applyNumberFormat="1" applyFont="1" applyFill="1" applyBorder="1"/>
    <xf numFmtId="9" fontId="0" fillId="0" borderId="0" xfId="1" applyFont="1" applyFill="1" applyBorder="1"/>
    <xf numFmtId="0" fontId="2" fillId="0" borderId="1" xfId="0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22" fillId="0" borderId="1" xfId="0" applyNumberFormat="1" applyFont="1" applyBorder="1" applyAlignment="1">
      <alignment horizontal="center" vertical="center"/>
    </xf>
    <xf numFmtId="10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/>
    </xf>
    <xf numFmtId="0" fontId="5" fillId="2" borderId="2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48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9" fillId="7" borderId="28" xfId="0" applyFont="1" applyFill="1" applyBorder="1" applyAlignment="1">
      <alignment horizontal="center"/>
    </xf>
    <xf numFmtId="0" fontId="19" fillId="7" borderId="29" xfId="0" applyFont="1" applyFill="1" applyBorder="1" applyAlignment="1">
      <alignment horizontal="center"/>
    </xf>
    <xf numFmtId="0" fontId="19" fillId="7" borderId="28" xfId="0" applyFont="1" applyFill="1" applyBorder="1" applyAlignment="1">
      <alignment horizontal="center" wrapText="1"/>
    </xf>
    <xf numFmtId="0" fontId="19" fillId="7" borderId="30" xfId="0" applyFont="1" applyFill="1" applyBorder="1" applyAlignment="1">
      <alignment horizontal="center" wrapText="1"/>
    </xf>
    <xf numFmtId="0" fontId="19" fillId="7" borderId="17" xfId="0" applyFont="1" applyFill="1" applyBorder="1" applyAlignment="1">
      <alignment horizontal="center" wrapText="1"/>
    </xf>
    <xf numFmtId="0" fontId="19" fillId="7" borderId="15" xfId="0" applyFont="1" applyFill="1" applyBorder="1" applyAlignment="1">
      <alignment horizontal="center" wrapText="1"/>
    </xf>
    <xf numFmtId="0" fontId="19" fillId="7" borderId="29" xfId="0" applyFont="1" applyFill="1" applyBorder="1" applyAlignment="1">
      <alignment horizontal="center" wrapText="1"/>
    </xf>
    <xf numFmtId="0" fontId="20" fillId="8" borderId="28" xfId="0" applyFont="1" applyFill="1" applyBorder="1" applyAlignment="1">
      <alignment vertical="center" wrapText="1"/>
    </xf>
    <xf numFmtId="0" fontId="20" fillId="8" borderId="30" xfId="0" applyFont="1" applyFill="1" applyBorder="1" applyAlignment="1">
      <alignment vertical="center" wrapText="1"/>
    </xf>
    <xf numFmtId="0" fontId="20" fillId="4" borderId="28" xfId="0" applyFont="1" applyFill="1" applyBorder="1" applyAlignment="1">
      <alignment vertical="center" wrapText="1"/>
    </xf>
    <xf numFmtId="0" fontId="20" fillId="4" borderId="30" xfId="0" applyFont="1" applyFill="1" applyBorder="1" applyAlignment="1">
      <alignment vertical="center" wrapText="1"/>
    </xf>
    <xf numFmtId="0" fontId="20" fillId="4" borderId="29" xfId="0" applyFont="1" applyFill="1" applyBorder="1" applyAlignment="1">
      <alignment vertical="center" wrapText="1"/>
    </xf>
  </cellXfs>
  <cellStyles count="5">
    <cellStyle name="Comma" xfId="2" builtinId="3"/>
    <cellStyle name="Normal" xfId="0" builtinId="0"/>
    <cellStyle name="Normal 2" xfId="3" xr:uid="{00000000-0005-0000-0000-000002000000}"/>
    <cellStyle name="Percent" xfId="1" builtinId="5"/>
    <cellStyle name="Percent 2" xfId="4" xr:uid="{FA80C03E-9C86-49A8-A12D-54F2B57BB69D}"/>
  </cellStyles>
  <dxfs count="75"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ill>
        <patternFill>
          <bgColor rgb="FF92D050"/>
        </patternFill>
      </fill>
    </dxf>
    <dxf>
      <fill>
        <patternFill>
          <bgColor rgb="FFFB3109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0000FF"/>
      <color rgb="FFFB31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78565-DD5F-4B09-AF27-32FD71AF3838}">
  <sheetPr codeName="Sheet8"/>
  <dimension ref="A2:AC40"/>
  <sheetViews>
    <sheetView showGridLines="0" tabSelected="1" zoomScaleNormal="100" workbookViewId="0">
      <selection activeCell="O13" sqref="O13"/>
    </sheetView>
  </sheetViews>
  <sheetFormatPr defaultRowHeight="14.5" x14ac:dyDescent="0.35"/>
  <cols>
    <col min="1" max="13" width="9.7265625" customWidth="1"/>
    <col min="14" max="14" width="11.54296875" customWidth="1"/>
  </cols>
  <sheetData>
    <row r="2" spans="1:29" ht="21" x14ac:dyDescent="0.5">
      <c r="B2" s="147" t="s">
        <v>148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</row>
    <row r="3" spans="1:29" x14ac:dyDescent="0.35">
      <c r="B3" s="24" t="s">
        <v>30</v>
      </c>
      <c r="C3" s="24" t="s">
        <v>31</v>
      </c>
      <c r="D3" s="24" t="s">
        <v>32</v>
      </c>
      <c r="E3" s="24" t="s">
        <v>33</v>
      </c>
      <c r="F3" s="24" t="s">
        <v>34</v>
      </c>
      <c r="G3" s="24" t="s">
        <v>35</v>
      </c>
      <c r="H3" s="24" t="s">
        <v>36</v>
      </c>
      <c r="I3" s="24" t="s">
        <v>37</v>
      </c>
      <c r="J3" s="24" t="s">
        <v>38</v>
      </c>
      <c r="K3" s="24" t="s">
        <v>39</v>
      </c>
      <c r="L3" s="24" t="s">
        <v>40</v>
      </c>
      <c r="M3" s="24" t="s">
        <v>41</v>
      </c>
      <c r="N3" s="141" t="s">
        <v>42</v>
      </c>
    </row>
    <row r="4" spans="1:29" x14ac:dyDescent="0.35">
      <c r="A4" s="22">
        <v>2009</v>
      </c>
      <c r="B4" s="88"/>
      <c r="C4" s="88"/>
      <c r="D4" s="88"/>
      <c r="E4" s="88">
        <v>0.15548890438673446</v>
      </c>
      <c r="F4" s="88">
        <v>0.37539158600189459</v>
      </c>
      <c r="G4" s="88">
        <v>8.81380611893956E-3</v>
      </c>
      <c r="H4" s="88">
        <v>2.9626775805343009E-2</v>
      </c>
      <c r="I4" s="88">
        <v>8.5564401169402338E-4</v>
      </c>
      <c r="J4" s="88">
        <v>7.587805087086541E-2</v>
      </c>
      <c r="K4" s="88">
        <v>-7.1216801267027785E-3</v>
      </c>
      <c r="L4" s="88">
        <v>3.7886326946431792E-2</v>
      </c>
      <c r="M4" s="88">
        <v>6.7058376590821034E-2</v>
      </c>
      <c r="N4" s="143" t="s">
        <v>150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</row>
    <row r="5" spans="1:29" x14ac:dyDescent="0.35">
      <c r="A5" s="22">
        <v>2010</v>
      </c>
      <c r="B5" s="88">
        <v>0.19536605258481887</v>
      </c>
      <c r="C5" s="88">
        <v>0.12578278215906535</v>
      </c>
      <c r="D5" s="88">
        <v>3.8073404473896844E-2</v>
      </c>
      <c r="E5" s="88">
        <v>2.6948201917865733E-2</v>
      </c>
      <c r="F5" s="88">
        <v>-5.9617256666198215E-2</v>
      </c>
      <c r="G5" s="88">
        <v>2.4557906121301931E-2</v>
      </c>
      <c r="H5" s="88">
        <v>4.5824295445295649E-2</v>
      </c>
      <c r="I5" s="88">
        <v>5.7880004142294217E-2</v>
      </c>
      <c r="J5" s="88">
        <v>0.17494350166197381</v>
      </c>
      <c r="K5" s="88">
        <v>4.2880172976109243E-2</v>
      </c>
      <c r="L5" s="88">
        <v>-9.710237330228455E-2</v>
      </c>
      <c r="M5" s="88">
        <v>1.8550959748622198E-3</v>
      </c>
      <c r="N5" s="142">
        <v>0.69497476182363793</v>
      </c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</row>
    <row r="6" spans="1:29" x14ac:dyDescent="0.35">
      <c r="A6" s="22">
        <v>2011</v>
      </c>
      <c r="B6" s="88">
        <v>-6.02511639659703E-2</v>
      </c>
      <c r="C6" s="88">
        <v>-1.7149555803988026E-2</v>
      </c>
      <c r="D6" s="88">
        <v>1.9538327666148048E-2</v>
      </c>
      <c r="E6" s="88">
        <v>4.8643093922657643E-2</v>
      </c>
      <c r="F6" s="88">
        <v>-4.0462583081057879E-4</v>
      </c>
      <c r="G6" s="88">
        <v>1.9546097979181054E-2</v>
      </c>
      <c r="H6" s="88">
        <v>4.7092298422791723E-2</v>
      </c>
      <c r="I6" s="88">
        <v>-6.9653379753095046E-2</v>
      </c>
      <c r="J6" s="88">
        <v>-7.7416338481051228E-2</v>
      </c>
      <c r="K6" s="88">
        <v>3.0867275152300255E-2</v>
      </c>
      <c r="L6" s="88">
        <v>-9.7583975196107842E-2</v>
      </c>
      <c r="M6" s="88">
        <v>-3.5799639951966333E-2</v>
      </c>
      <c r="N6" s="142">
        <v>-0.18871406418428827</v>
      </c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</row>
    <row r="7" spans="1:29" x14ac:dyDescent="0.35">
      <c r="A7" s="22">
        <v>2012</v>
      </c>
      <c r="B7" s="88">
        <v>0.10805188814489064</v>
      </c>
      <c r="C7" s="88">
        <v>3.9469508737513426E-2</v>
      </c>
      <c r="D7" s="88">
        <v>-2.2393757403555647E-2</v>
      </c>
      <c r="E7" s="88">
        <v>-5.1132008536658446E-4</v>
      </c>
      <c r="F7" s="88">
        <v>-6.4756854077151704E-2</v>
      </c>
      <c r="G7" s="88">
        <v>5.8642620935674739E-2</v>
      </c>
      <c r="H7" s="88">
        <v>1.8329997407726228E-2</v>
      </c>
      <c r="I7" s="88">
        <v>0.2151435062426108</v>
      </c>
      <c r="J7" s="88">
        <v>3.8384702973846441E-2</v>
      </c>
      <c r="K7" s="88">
        <v>8.9578909669790985E-2</v>
      </c>
      <c r="L7" s="88">
        <v>4.9001590821998953E-2</v>
      </c>
      <c r="M7" s="88">
        <v>-1.7970924823525913E-2</v>
      </c>
      <c r="N7" s="142">
        <v>0.60701961510826363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1:29" x14ac:dyDescent="0.35">
      <c r="A8" s="22">
        <v>2013</v>
      </c>
      <c r="B8" s="88">
        <v>3.5909195940943883E-2</v>
      </c>
      <c r="C8" s="88">
        <v>-6.5394978146242955E-2</v>
      </c>
      <c r="D8" s="88">
        <v>1.7545901771310879E-2</v>
      </c>
      <c r="E8" s="88">
        <v>2.0085920809029822E-2</v>
      </c>
      <c r="F8" s="88">
        <v>2.4545021567961012E-3</v>
      </c>
      <c r="G8" s="88">
        <v>-5.3826565022982997E-2</v>
      </c>
      <c r="H8" s="88">
        <v>-1.9803653882405348E-2</v>
      </c>
      <c r="I8" s="88">
        <v>-8.0959047255421135E-2</v>
      </c>
      <c r="J8" s="88">
        <v>0.1267414698166982</v>
      </c>
      <c r="K8" s="88">
        <v>0.14918189377992408</v>
      </c>
      <c r="L8" s="88">
        <v>5.3745096456605523E-2</v>
      </c>
      <c r="M8" s="88">
        <v>0.11914007016409811</v>
      </c>
      <c r="N8" s="142">
        <v>0.3111639263469903</v>
      </c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1:29" x14ac:dyDescent="0.35">
      <c r="A9" s="22">
        <v>2014</v>
      </c>
      <c r="B9" s="88">
        <v>-9.9678792121549176E-4</v>
      </c>
      <c r="C9" s="88">
        <v>0.13005214660446418</v>
      </c>
      <c r="D9" s="88">
        <v>0.25951121168216806</v>
      </c>
      <c r="E9" s="88">
        <v>-2.5044495268915945E-2</v>
      </c>
      <c r="F9" s="88">
        <v>0.21671055214638191</v>
      </c>
      <c r="G9" s="88">
        <v>2.7797297640283825E-2</v>
      </c>
      <c r="H9" s="88">
        <v>8.4322307667119789E-2</v>
      </c>
      <c r="I9" s="88">
        <v>0.12156107755724088</v>
      </c>
      <c r="J9" s="88">
        <v>-1.670029697162656E-2</v>
      </c>
      <c r="K9" s="88">
        <v>3.1849222733886684E-2</v>
      </c>
      <c r="L9" s="88">
        <v>4.2642819517855202E-3</v>
      </c>
      <c r="M9" s="88">
        <v>1.8179485723509137E-2</v>
      </c>
      <c r="N9" s="142">
        <v>1.1872719281515227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1:29" x14ac:dyDescent="0.35">
      <c r="A10" s="22">
        <v>2015</v>
      </c>
      <c r="B10" s="88">
        <v>0.14217284457253765</v>
      </c>
      <c r="C10" s="88">
        <v>8.7848766166555459E-2</v>
      </c>
      <c r="D10" s="88">
        <v>-2.2355642843992496E-2</v>
      </c>
      <c r="E10" s="88">
        <v>-0.10994081703673508</v>
      </c>
      <c r="F10" s="88">
        <v>4.8602120134915827E-2</v>
      </c>
      <c r="G10" s="88">
        <v>-6.7886552530553312E-2</v>
      </c>
      <c r="H10" s="88">
        <v>2.6646498112001815E-2</v>
      </c>
      <c r="I10" s="88">
        <v>-4.8838565144011414E-2</v>
      </c>
      <c r="J10" s="88">
        <v>1.8864050441475655E-2</v>
      </c>
      <c r="K10" s="88">
        <v>-2.1216894595204705E-2</v>
      </c>
      <c r="L10" s="88">
        <v>-3.2638901416237598E-3</v>
      </c>
      <c r="M10" s="88">
        <v>4.0531009062971135E-2</v>
      </c>
      <c r="N10" s="142">
        <v>6.7315283669812764E-2</v>
      </c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</row>
    <row r="11" spans="1:29" x14ac:dyDescent="0.35">
      <c r="A11" s="22">
        <v>2016</v>
      </c>
      <c r="B11" s="88">
        <v>-9.3965288508765954E-2</v>
      </c>
      <c r="C11" s="88">
        <v>-5.0235589970332395E-2</v>
      </c>
      <c r="D11" s="88">
        <v>0.13404022509810853</v>
      </c>
      <c r="E11" s="88">
        <v>6.7063717269655321E-3</v>
      </c>
      <c r="F11" s="88">
        <v>6.1463381765701763E-2</v>
      </c>
      <c r="G11" s="88">
        <v>0.10960802911460577</v>
      </c>
      <c r="H11" s="88">
        <v>7.6634489585546195E-2</v>
      </c>
      <c r="I11" s="88">
        <v>1.5250127585830109E-2</v>
      </c>
      <c r="J11" s="88">
        <v>8.2912396849399439E-3</v>
      </c>
      <c r="K11" s="88">
        <v>6.9736095354799632E-2</v>
      </c>
      <c r="L11" s="88">
        <v>-0.1792794827449965</v>
      </c>
      <c r="M11" s="88">
        <v>-2.8611728516585222E-2</v>
      </c>
      <c r="N11" s="142">
        <v>8.7573815657878695E-2</v>
      </c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</row>
    <row r="12" spans="1:29" x14ac:dyDescent="0.35">
      <c r="A12" s="22">
        <v>2017</v>
      </c>
      <c r="B12" s="88">
        <v>0.1062036428467843</v>
      </c>
      <c r="C12" s="88">
        <v>0.106205467918431</v>
      </c>
      <c r="D12" s="88">
        <v>0.13834054619228797</v>
      </c>
      <c r="E12" s="88">
        <v>6.0616328145774556E-2</v>
      </c>
      <c r="F12" s="88">
        <v>-2.6504968054061884E-3</v>
      </c>
      <c r="G12" s="88">
        <v>8.1073856866997751E-3</v>
      </c>
      <c r="H12" s="88">
        <v>9.2762889347673294E-2</v>
      </c>
      <c r="I12" s="88">
        <v>5.167988460078643E-2</v>
      </c>
      <c r="J12" s="88">
        <v>-1.7446248797126085E-3</v>
      </c>
      <c r="K12" s="88">
        <v>2.9297109140002053E-2</v>
      </c>
      <c r="L12" s="88">
        <v>6.8519630359395345E-2</v>
      </c>
      <c r="M12" s="88">
        <v>3.3729475547762844E-2</v>
      </c>
      <c r="N12" s="142">
        <v>0.93747849936285843</v>
      </c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</row>
    <row r="13" spans="1:29" x14ac:dyDescent="0.35">
      <c r="A13" s="22">
        <v>2018</v>
      </c>
      <c r="B13" s="88">
        <v>-3.7450486224729351E-2</v>
      </c>
      <c r="C13" s="88">
        <v>-2.4893879000002839E-2</v>
      </c>
      <c r="D13" s="88">
        <v>4.234042790683068E-3</v>
      </c>
      <c r="E13" s="88">
        <v>2.6973333014054246E-2</v>
      </c>
      <c r="F13" s="88">
        <v>-2.2051366455286381E-2</v>
      </c>
      <c r="G13" s="88">
        <v>-1.356861260966169E-2</v>
      </c>
      <c r="H13" s="88">
        <v>7.2632524172951074E-2</v>
      </c>
      <c r="I13" s="88">
        <v>-3.6754638391147232E-2</v>
      </c>
      <c r="J13" s="88">
        <v>-0.19660235251831437</v>
      </c>
      <c r="K13" s="88">
        <v>-3.9306553273400713E-2</v>
      </c>
      <c r="L13" s="88">
        <v>0.11313415329903176</v>
      </c>
      <c r="M13" s="88">
        <v>5.714625956641961E-2</v>
      </c>
      <c r="N13" s="142">
        <v>-0.12373018472702002</v>
      </c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</row>
    <row r="14" spans="1:29" x14ac:dyDescent="0.35">
      <c r="A14" s="22">
        <v>2019</v>
      </c>
      <c r="B14" s="88">
        <v>-6.3066714044598848E-2</v>
      </c>
      <c r="C14" s="88">
        <v>2.0900693218991906E-2</v>
      </c>
      <c r="D14" s="88">
        <v>0.17099774856733907</v>
      </c>
      <c r="E14" s="88">
        <v>-5.4271682551880307E-2</v>
      </c>
      <c r="F14" s="88">
        <v>7.8002950855010633E-2</v>
      </c>
      <c r="G14" s="88">
        <v>9.0753238421343863E-3</v>
      </c>
      <c r="H14" s="88">
        <v>-7.7388543828574519E-2</v>
      </c>
      <c r="I14" s="88">
        <v>9.4833443984643218E-4</v>
      </c>
      <c r="J14" s="88">
        <v>0.15159635199930666</v>
      </c>
      <c r="K14" s="88">
        <v>-1.4357383764957876E-2</v>
      </c>
      <c r="L14" s="88">
        <v>4.6011752688601693E-3</v>
      </c>
      <c r="M14" s="88">
        <v>3.8966662723977752E-2</v>
      </c>
      <c r="N14" s="142">
        <v>0.26067664622340625</v>
      </c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</row>
    <row r="15" spans="1:29" x14ac:dyDescent="0.35">
      <c r="A15" s="22">
        <v>2020</v>
      </c>
      <c r="B15" s="88">
        <v>6.7823198783960814E-2</v>
      </c>
      <c r="C15" s="88">
        <v>-2.8786687832312197E-2</v>
      </c>
      <c r="D15" s="88">
        <v>-0.34993730180548055</v>
      </c>
      <c r="E15" s="88">
        <v>0.1182688695818197</v>
      </c>
      <c r="F15" s="88">
        <v>-5.6219799474176102E-2</v>
      </c>
      <c r="G15" s="88">
        <v>0.16887314925015073</v>
      </c>
      <c r="H15" s="88">
        <v>5.1377630899724913E-2</v>
      </c>
      <c r="I15" s="88">
        <v>0.13851512932753662</v>
      </c>
      <c r="J15" s="88">
        <v>-6.2145037883588938E-2</v>
      </c>
      <c r="K15" s="88">
        <v>-9.4899723291703708E-3</v>
      </c>
      <c r="L15" s="88">
        <v>0.23320841244485457</v>
      </c>
      <c r="M15" s="88">
        <v>0.10945667933485081</v>
      </c>
      <c r="N15" s="142">
        <v>0.26529743572887265</v>
      </c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</row>
    <row r="16" spans="1:29" x14ac:dyDescent="0.35">
      <c r="A16" s="22">
        <v>2021</v>
      </c>
      <c r="B16" s="88">
        <v>-7.5596023123399192E-2</v>
      </c>
      <c r="C16" s="88">
        <v>7.3722025762694043E-2</v>
      </c>
      <c r="D16" s="88">
        <v>-1.3986593347966592E-2</v>
      </c>
      <c r="E16" s="88">
        <v>1.5428917480687865E-2</v>
      </c>
      <c r="F16" s="88">
        <v>5.7336963055244716E-2</v>
      </c>
      <c r="G16" s="88">
        <v>5.2965024283038842E-2</v>
      </c>
      <c r="H16" s="88">
        <v>4.9398623500107153E-2</v>
      </c>
      <c r="I16" s="88">
        <v>0.1196508146246924</v>
      </c>
      <c r="J16" s="88">
        <v>-4.2523224505842672E-3</v>
      </c>
      <c r="K16" s="88">
        <v>3.8222989814589159E-3</v>
      </c>
      <c r="L16" s="142">
        <v>-4.0119466839247497E-2</v>
      </c>
      <c r="M16" s="88">
        <v>-6.9485144783812958E-3</v>
      </c>
      <c r="N16" s="142">
        <v>0.23860137010941407</v>
      </c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</row>
    <row r="17" spans="1:28" x14ac:dyDescent="0.35">
      <c r="A17" s="22">
        <v>2022</v>
      </c>
      <c r="B17" s="88">
        <v>-4.0477670599209925E-2</v>
      </c>
      <c r="C17" s="88">
        <v>-1.4460884396628848E-2</v>
      </c>
      <c r="D17" s="88">
        <v>4.132167182069546E-3</v>
      </c>
      <c r="E17" s="88">
        <v>-2.7419130795018787E-2</v>
      </c>
      <c r="F17" s="88">
        <v>-6.7475868694367835E-2</v>
      </c>
      <c r="G17" s="88">
        <v>-0.11859798683088307</v>
      </c>
      <c r="H17" s="88">
        <v>0.23612505951134888</v>
      </c>
      <c r="I17" s="88">
        <v>2.6398758913220632E-2</v>
      </c>
      <c r="J17" s="88">
        <v>-3.007367437232622E-2</v>
      </c>
      <c r="K17" s="88">
        <v>-2.8311748646345447E-2</v>
      </c>
      <c r="L17" s="142">
        <v>-3.0798130683472147E-2</v>
      </c>
      <c r="M17" s="88">
        <v>-2.3050211442130153E-2</v>
      </c>
      <c r="N17" s="144">
        <v>-0.1405702451626849</v>
      </c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</row>
    <row r="18" spans="1:28" x14ac:dyDescent="0.35">
      <c r="A18" s="22">
        <v>2023</v>
      </c>
      <c r="B18" s="88">
        <v>-7.99411742687689E-2</v>
      </c>
      <c r="C18" s="88">
        <v>-2.3710501031947162E-3</v>
      </c>
      <c r="D18" s="88">
        <v>-2.67358236118449E-2</v>
      </c>
      <c r="E18" s="88">
        <v>7.6284545612815835E-2</v>
      </c>
      <c r="F18" s="88">
        <v>2.470397270485547E-2</v>
      </c>
      <c r="G18" s="88">
        <v>6.3037410244385361E-2</v>
      </c>
      <c r="H18" s="88">
        <v>2.8487456585599258E-2</v>
      </c>
      <c r="I18" s="88">
        <v>8.2668912593173438E-3</v>
      </c>
      <c r="J18" s="88">
        <v>3.4014068672404862E-2</v>
      </c>
      <c r="K18" s="88">
        <v>-2.0063570316675161E-2</v>
      </c>
      <c r="L18" s="142">
        <v>5.8172372440664644E-2</v>
      </c>
      <c r="M18" s="88">
        <v>4.8400134803063155E-2</v>
      </c>
      <c r="N18" s="145">
        <v>0.22087666541074835</v>
      </c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</row>
    <row r="19" spans="1:28" x14ac:dyDescent="0.35">
      <c r="A19" s="22">
        <v>2024</v>
      </c>
      <c r="B19" s="88">
        <v>-3.6725626543159251E-3</v>
      </c>
      <c r="C19" s="88">
        <v>-3.4191655130458853E-3</v>
      </c>
      <c r="D19" s="88">
        <v>2.5175568353422051E-2</v>
      </c>
      <c r="E19" s="88">
        <v>5.6813613100889615E-2</v>
      </c>
      <c r="F19" s="88">
        <v>1.6371011709634953E-3</v>
      </c>
      <c r="G19" s="88">
        <v>8.8642656896910976E-2</v>
      </c>
      <c r="H19" s="88"/>
      <c r="I19" s="88"/>
      <c r="J19" s="88"/>
      <c r="K19" s="88"/>
      <c r="L19" s="142"/>
      <c r="M19" s="88"/>
      <c r="N19" s="146" t="s">
        <v>151</v>
      </c>
    </row>
    <row r="20" spans="1:28" x14ac:dyDescent="0.35">
      <c r="A20" s="29" t="s">
        <v>54</v>
      </c>
    </row>
    <row r="22" spans="1:28" ht="21" x14ac:dyDescent="0.5">
      <c r="B22" s="147" t="s">
        <v>149</v>
      </c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</row>
    <row r="23" spans="1:28" x14ac:dyDescent="0.35">
      <c r="B23" s="24" t="s">
        <v>30</v>
      </c>
      <c r="C23" s="24" t="s">
        <v>31</v>
      </c>
      <c r="D23" s="24" t="s">
        <v>32</v>
      </c>
      <c r="E23" s="24" t="s">
        <v>33</v>
      </c>
      <c r="F23" s="24" t="s">
        <v>34</v>
      </c>
      <c r="G23" s="24" t="s">
        <v>35</v>
      </c>
      <c r="H23" s="24" t="s">
        <v>36</v>
      </c>
      <c r="I23" s="24" t="s">
        <v>37</v>
      </c>
      <c r="J23" s="24" t="s">
        <v>38</v>
      </c>
      <c r="K23" s="24" t="s">
        <v>39</v>
      </c>
      <c r="L23" s="24" t="s">
        <v>40</v>
      </c>
      <c r="M23" s="24" t="s">
        <v>41</v>
      </c>
    </row>
    <row r="24" spans="1:28" x14ac:dyDescent="0.35">
      <c r="A24" s="22">
        <v>2009</v>
      </c>
      <c r="B24" s="24"/>
      <c r="C24" s="24"/>
      <c r="D24" s="24">
        <v>1000</v>
      </c>
      <c r="E24" s="34">
        <v>1155.4889043867345</v>
      </c>
      <c r="F24" s="34">
        <v>1589.2497168120622</v>
      </c>
      <c r="G24" s="34">
        <v>1603.2570556906232</v>
      </c>
      <c r="H24" s="34">
        <v>1650.7563930379038</v>
      </c>
      <c r="I24" s="34">
        <v>1652.1688528603722</v>
      </c>
      <c r="J24" s="34">
        <v>1777.5322051249709</v>
      </c>
      <c r="K24" s="34">
        <v>1764.8731893451582</v>
      </c>
      <c r="L24" s="34">
        <v>1831.7377520156806</v>
      </c>
      <c r="M24" s="34">
        <v>1954.5711120059721</v>
      </c>
      <c r="N24" s="139"/>
      <c r="O24" s="1"/>
    </row>
    <row r="25" spans="1:28" x14ac:dyDescent="0.35">
      <c r="A25" s="22">
        <v>2010</v>
      </c>
      <c r="B25" s="34">
        <v>2336.4279546548987</v>
      </c>
      <c r="C25" s="34">
        <v>2630.3103631056065</v>
      </c>
      <c r="D25" s="34">
        <v>2730.4552334520085</v>
      </c>
      <c r="E25" s="34">
        <v>2804.0360924107663</v>
      </c>
      <c r="F25" s="34">
        <v>2636.8671529882299</v>
      </c>
      <c r="G25" s="34">
        <v>2701.6230889856597</v>
      </c>
      <c r="H25" s="34">
        <v>2825.4230635971708</v>
      </c>
      <c r="I25" s="34">
        <v>2988.9585622219088</v>
      </c>
      <c r="J25" s="34">
        <v>3511.857439419548</v>
      </c>
      <c r="K25" s="34">
        <v>3662.4464938892943</v>
      </c>
      <c r="L25" s="34">
        <v>3306.8142472400127</v>
      </c>
      <c r="M25" s="34">
        <v>3312.9487050396847</v>
      </c>
      <c r="N25" s="139"/>
    </row>
    <row r="26" spans="1:28" x14ac:dyDescent="0.35">
      <c r="A26" s="22">
        <v>2011</v>
      </c>
      <c r="B26" s="34">
        <v>3113.3396894014895</v>
      </c>
      <c r="C26" s="34">
        <v>3059.947296661328</v>
      </c>
      <c r="D26" s="34">
        <v>3119.733549584641</v>
      </c>
      <c r="E26" s="34">
        <v>3271.4870416507529</v>
      </c>
      <c r="F26" s="34">
        <v>3270.1633134885387</v>
      </c>
      <c r="G26" s="34">
        <v>3334.0822460219092</v>
      </c>
      <c r="H26" s="34">
        <v>3491.0918421177048</v>
      </c>
      <c r="I26" s="34">
        <v>3247.9254962857481</v>
      </c>
      <c r="J26" s="34">
        <v>2996.4829967040541</v>
      </c>
      <c r="K26" s="34">
        <v>3088.9762618525074</v>
      </c>
      <c r="L26" s="34">
        <v>2787.5416789345263</v>
      </c>
      <c r="M26" s="34">
        <v>2687.7486904775706</v>
      </c>
      <c r="N26" s="139"/>
    </row>
    <row r="27" spans="1:28" x14ac:dyDescent="0.35">
      <c r="A27" s="22">
        <v>2012</v>
      </c>
      <c r="B27" s="34">
        <v>2978.1650113426294</v>
      </c>
      <c r="C27" s="34">
        <v>3095.7117212795742</v>
      </c>
      <c r="D27" s="34">
        <v>3026.3871040018958</v>
      </c>
      <c r="E27" s="34">
        <v>3024.8396514895253</v>
      </c>
      <c r="F27" s="34">
        <v>2828.9605515712356</v>
      </c>
      <c r="G27" s="34">
        <v>2994.8582128390049</v>
      </c>
      <c r="H27" s="34">
        <v>3049.7539561168514</v>
      </c>
      <c r="I27" s="34">
        <v>3705.8887154131044</v>
      </c>
      <c r="J27" s="34">
        <v>3848.1381530083659</v>
      </c>
      <c r="K27" s="34">
        <v>4192.8501730135786</v>
      </c>
      <c r="L27" s="34">
        <v>4398.3065015695374</v>
      </c>
      <c r="M27" s="34">
        <v>4319.2648660790064</v>
      </c>
      <c r="N27" s="139"/>
    </row>
    <row r="28" spans="1:28" x14ac:dyDescent="0.35">
      <c r="A28" s="22">
        <v>2013</v>
      </c>
      <c r="B28" s="34">
        <v>4474.3661944758724</v>
      </c>
      <c r="C28" s="34">
        <v>4181.765114969834</v>
      </c>
      <c r="D28" s="34">
        <v>4255.1379549077892</v>
      </c>
      <c r="E28" s="34">
        <v>4340.606318901564</v>
      </c>
      <c r="F28" s="34">
        <v>4351.260346473111</v>
      </c>
      <c r="G28" s="34">
        <v>4117.0469485017484</v>
      </c>
      <c r="H28" s="34">
        <v>4035.5143757160067</v>
      </c>
      <c r="I28" s="34">
        <v>3708.8029766724831</v>
      </c>
      <c r="J28" s="34">
        <v>4178.8621171964987</v>
      </c>
      <c r="K28" s="34">
        <v>4802.2726816850554</v>
      </c>
      <c r="L28" s="34">
        <v>5060.3712901731406</v>
      </c>
      <c r="M28" s="34">
        <v>5663.2642807407565</v>
      </c>
      <c r="N28" s="139"/>
    </row>
    <row r="29" spans="1:28" x14ac:dyDescent="0.35">
      <c r="A29" s="22">
        <v>2014</v>
      </c>
      <c r="B29" s="34">
        <v>5657.6192073110633</v>
      </c>
      <c r="C29" s="34">
        <v>6393.4047298925143</v>
      </c>
      <c r="D29" s="34">
        <v>8052.5649381214253</v>
      </c>
      <c r="E29" s="34">
        <v>7850.892513626005</v>
      </c>
      <c r="F29" s="34">
        <v>9552.2637650957931</v>
      </c>
      <c r="G29" s="34">
        <v>9817.7908841126591</v>
      </c>
      <c r="H29" s="34">
        <v>10645.64966765425</v>
      </c>
      <c r="I29" s="34">
        <v>11939.746312551184</v>
      </c>
      <c r="J29" s="34">
        <v>11740.349003365696</v>
      </c>
      <c r="K29" s="34">
        <v>12114.269993747455</v>
      </c>
      <c r="L29" s="34">
        <v>12165.92865664085</v>
      </c>
      <c r="M29" s="34">
        <v>12387.098982967484</v>
      </c>
      <c r="N29" s="139"/>
    </row>
    <row r="30" spans="1:28" x14ac:dyDescent="0.35">
      <c r="A30" s="22">
        <v>2015</v>
      </c>
      <c r="B30" s="34">
        <v>14148.208081377559</v>
      </c>
      <c r="C30" s="34">
        <v>15391.110704794266</v>
      </c>
      <c r="D30" s="34">
        <v>15047.032530905535</v>
      </c>
      <c r="E30" s="34">
        <v>13392.74948047945</v>
      </c>
      <c r="F30" s="34">
        <v>14043.665499666544</v>
      </c>
      <c r="G30" s="34">
        <v>13090.289464001911</v>
      </c>
      <c r="H30" s="34">
        <v>13439.099837489995</v>
      </c>
      <c r="I30" s="34">
        <v>12782.753484599867</v>
      </c>
      <c r="J30" s="34">
        <v>13023.887991114309</v>
      </c>
      <c r="K30" s="34">
        <v>12747.561532387084</v>
      </c>
      <c r="L30" s="34">
        <v>12705.954891971784</v>
      </c>
      <c r="M30" s="34">
        <v>13220.940064851995</v>
      </c>
      <c r="N30" s="139"/>
    </row>
    <row r="31" spans="1:28" x14ac:dyDescent="0.35">
      <c r="A31" s="22">
        <v>2016</v>
      </c>
      <c r="B31" s="34">
        <v>11978.630617301074</v>
      </c>
      <c r="C31" s="34">
        <v>11376.877041204269</v>
      </c>
      <c r="D31" s="34">
        <v>12901.836200720792</v>
      </c>
      <c r="E31" s="34">
        <v>12988.360710243247</v>
      </c>
      <c r="F31" s="34">
        <v>13786.669283087569</v>
      </c>
      <c r="G31" s="34">
        <v>15297.798931261672</v>
      </c>
      <c r="H31" s="34">
        <v>16470.137944141225</v>
      </c>
      <c r="I31" s="34">
        <v>16721.309649145598</v>
      </c>
      <c r="J31" s="34">
        <v>16859.950035292764</v>
      </c>
      <c r="K31" s="34">
        <v>18035.697118631098</v>
      </c>
      <c r="L31" s="34">
        <v>14802.266668257491</v>
      </c>
      <c r="M31" s="34">
        <v>14378.74823291521</v>
      </c>
      <c r="N31" s="139"/>
    </row>
    <row r="32" spans="1:28" x14ac:dyDescent="0.35">
      <c r="A32" s="22">
        <v>2017</v>
      </c>
      <c r="B32" s="34">
        <v>15905.823674827569</v>
      </c>
      <c r="C32" s="34">
        <v>17595.109120840687</v>
      </c>
      <c r="D32" s="34">
        <v>20029.226126930695</v>
      </c>
      <c r="E32" s="34">
        <v>21243.324270346646</v>
      </c>
      <c r="F32" s="34">
        <v>21187.018907231883</v>
      </c>
      <c r="G32" s="34">
        <v>21358.790241064213</v>
      </c>
      <c r="H32" s="34">
        <v>23340.093336796217</v>
      </c>
      <c r="I32" s="34">
        <v>24546.306667013429</v>
      </c>
      <c r="J32" s="34">
        <v>24503.482569697102</v>
      </c>
      <c r="K32" s="34">
        <v>25221.363772851655</v>
      </c>
      <c r="L32" s="34">
        <v>26949.522295727296</v>
      </c>
      <c r="M32" s="34">
        <v>27858.51554902492</v>
      </c>
      <c r="N32" s="139"/>
    </row>
    <row r="33" spans="1:14" x14ac:dyDescent="0.35">
      <c r="A33" s="22">
        <v>2018</v>
      </c>
      <c r="B33" s="34">
        <v>26815.200596214752</v>
      </c>
      <c r="C33" s="34">
        <v>26147.666237211779</v>
      </c>
      <c r="D33" s="34">
        <v>26258.376574936632</v>
      </c>
      <c r="E33" s="34">
        <v>26966.652510700838</v>
      </c>
      <c r="F33" s="34">
        <v>26372.000974115006</v>
      </c>
      <c r="G33" s="34">
        <v>26014.169509155618</v>
      </c>
      <c r="H33" s="34">
        <v>27903.644304868609</v>
      </c>
      <c r="I33" s="34">
        <v>26878.055948647969</v>
      </c>
      <c r="J33" s="34">
        <v>21593.766918024903</v>
      </c>
      <c r="K33" s="34">
        <v>20744.99036828816</v>
      </c>
      <c r="L33" s="34">
        <v>23091.957288801008</v>
      </c>
      <c r="M33" s="34">
        <v>24411.576273923507</v>
      </c>
      <c r="N33" s="139"/>
    </row>
    <row r="34" spans="1:14" x14ac:dyDescent="0.35">
      <c r="A34" s="22">
        <v>2019</v>
      </c>
      <c r="B34" s="34">
        <v>22872.01837367806</v>
      </c>
      <c r="C34" s="34">
        <v>23350.059413005452</v>
      </c>
      <c r="D34" s="34">
        <v>27342.867001542989</v>
      </c>
      <c r="E34" s="34">
        <v>25858.923603576965</v>
      </c>
      <c r="F34" s="34">
        <v>27875.995950590252</v>
      </c>
      <c r="G34" s="34">
        <v>28128.979641263886</v>
      </c>
      <c r="H34" s="34">
        <v>25952.118867442856</v>
      </c>
      <c r="I34" s="34">
        <v>25976.730155551839</v>
      </c>
      <c r="J34" s="34">
        <v>29914.707684003879</v>
      </c>
      <c r="K34" s="34">
        <v>29485.2107455681</v>
      </c>
      <c r="L34" s="34">
        <v>29620.877368047739</v>
      </c>
      <c r="M34" s="34">
        <v>30775.104106036761</v>
      </c>
      <c r="N34" s="139"/>
    </row>
    <row r="35" spans="1:14" x14ac:dyDescent="0.35">
      <c r="A35" s="22">
        <v>2020</v>
      </c>
      <c r="B35" s="34">
        <v>32862.370109417578</v>
      </c>
      <c r="C35" s="34">
        <v>31916.371319647867</v>
      </c>
      <c r="D35" s="34">
        <v>20747.64245662847</v>
      </c>
      <c r="E35" s="34">
        <v>23201.442676461687</v>
      </c>
      <c r="F35" s="34">
        <v>21897.062221679418</v>
      </c>
      <c r="G35" s="34">
        <v>25594.888078380925</v>
      </c>
      <c r="H35" s="34">
        <v>26909.892790991751</v>
      </c>
      <c r="I35" s="34">
        <v>30637.32007112612</v>
      </c>
      <c r="J35" s="34">
        <v>28733.362654654346</v>
      </c>
      <c r="K35" s="34">
        <v>28460.683838137658</v>
      </c>
      <c r="L35" s="34">
        <v>35097.954733124672</v>
      </c>
      <c r="M35" s="34">
        <v>38939.660309657411</v>
      </c>
      <c r="N35" s="139"/>
    </row>
    <row r="36" spans="1:14" x14ac:dyDescent="0.35">
      <c r="A36" s="22">
        <v>2021</v>
      </c>
      <c r="B36" s="34">
        <v>35995.97684847124</v>
      </c>
      <c r="C36" s="34">
        <v>38649.673181047576</v>
      </c>
      <c r="D36" s="34">
        <v>38109.095919232452</v>
      </c>
      <c r="E36" s="34">
        <v>38697.078015433908</v>
      </c>
      <c r="F36" s="34">
        <v>40915.850947950763</v>
      </c>
      <c r="G36" s="34">
        <v>43082.959986970171</v>
      </c>
      <c r="H36" s="34">
        <v>45211.198906636695</v>
      </c>
      <c r="I36" s="34">
        <v>50620.755685974778</v>
      </c>
      <c r="J36" s="34">
        <v>50405.499910105769</v>
      </c>
      <c r="K36" s="34">
        <v>50598.164801072096</v>
      </c>
      <c r="L36" s="34">
        <v>48568.193406208702</v>
      </c>
      <c r="M36" s="34">
        <v>48230.716611136835</v>
      </c>
      <c r="N36" s="139"/>
    </row>
    <row r="37" spans="1:14" x14ac:dyDescent="0.35">
      <c r="A37" s="22">
        <v>2022</v>
      </c>
      <c r="B37" s="34">
        <v>46278.449551387399</v>
      </c>
      <c r="C37" s="34">
        <v>45609.222242369564</v>
      </c>
      <c r="D37" s="34">
        <v>45797.687173719198</v>
      </c>
      <c r="E37" s="34">
        <v>44541.954398993636</v>
      </c>
      <c r="F37" s="34">
        <v>41536.447332576623</v>
      </c>
      <c r="G37" s="34">
        <v>36610.308298826036</v>
      </c>
      <c r="H37" s="34">
        <v>45254.919524615165</v>
      </c>
      <c r="I37" s="34">
        <v>46449.593234782682</v>
      </c>
      <c r="J37" s="34">
        <v>45052.683293112823</v>
      </c>
      <c r="K37" s="34">
        <v>43777.163047874805</v>
      </c>
      <c r="L37" s="34">
        <v>42428.908259374686</v>
      </c>
      <c r="M37" s="34">
        <v>41450.912952737359</v>
      </c>
      <c r="N37" s="139"/>
    </row>
    <row r="38" spans="1:14" x14ac:dyDescent="0.35">
      <c r="A38" s="22">
        <v>2023</v>
      </c>
      <c r="B38" s="34">
        <v>38137.278296783014</v>
      </c>
      <c r="C38" s="34">
        <v>38046.852899141857</v>
      </c>
      <c r="D38" s="34">
        <v>37029.638951044588</v>
      </c>
      <c r="E38" s="34">
        <v>39854.428132631649</v>
      </c>
      <c r="F38" s="34">
        <v>40838.990837387806</v>
      </c>
      <c r="G38" s="34">
        <v>43413.375056770914</v>
      </c>
      <c r="H38" s="34">
        <v>44650.11169393501</v>
      </c>
      <c r="I38" s="34">
        <v>45019.229312025142</v>
      </c>
      <c r="J38" s="34">
        <v>46550.516469423106</v>
      </c>
      <c r="K38" s="34">
        <v>45616.546908961289</v>
      </c>
      <c r="L38" s="34">
        <v>48270.169665206435</v>
      </c>
      <c r="M38" s="34">
        <v>50606.452383969154</v>
      </c>
      <c r="N38" s="139"/>
    </row>
    <row r="39" spans="1:14" x14ac:dyDescent="0.35">
      <c r="A39" s="22">
        <v>2024</v>
      </c>
      <c r="B39" s="34">
        <v>50420.597016876374</v>
      </c>
      <c r="C39" s="34">
        <v>50248.20065040909</v>
      </c>
      <c r="D39" s="34">
        <v>51513.227660519929</v>
      </c>
      <c r="E39" s="34">
        <v>54439.880246402754</v>
      </c>
      <c r="F39" s="34">
        <v>54529.003838101249</v>
      </c>
      <c r="G39" s="34">
        <v>59362.599616252402</v>
      </c>
      <c r="H39" s="34"/>
      <c r="I39" s="34"/>
      <c r="J39" s="34"/>
      <c r="K39" s="34"/>
      <c r="L39" s="34"/>
      <c r="M39" s="34"/>
      <c r="N39" s="140"/>
    </row>
    <row r="40" spans="1:14" x14ac:dyDescent="0.35">
      <c r="A40" s="29" t="s">
        <v>54</v>
      </c>
    </row>
  </sheetData>
  <sortState xmlns:xlrd2="http://schemas.microsoft.com/office/spreadsheetml/2017/richdata2" ref="P4:Q17">
    <sortCondition descending="1" ref="Q4:Q17"/>
  </sortState>
  <mergeCells count="2">
    <mergeCell ref="B2:M2"/>
    <mergeCell ref="B22:M22"/>
  </mergeCells>
  <conditionalFormatting sqref="B4:M15 M16:M19 B16:K19">
    <cfRule type="cellIs" dxfId="74" priority="3" operator="lessThan">
      <formula>0</formula>
    </cfRule>
  </conditionalFormatting>
  <conditionalFormatting sqref="N4:N19">
    <cfRule type="cellIs" dxfId="73" priority="2" operator="lessThan">
      <formula>0</formula>
    </cfRule>
  </conditionalFormatting>
  <conditionalFormatting sqref="L16:L19">
    <cfRule type="cellIs" dxfId="72" priority="1" operator="lessThan">
      <formula>0</formula>
    </cfRule>
  </conditionalFormatting>
  <pageMargins left="0.7" right="0.7" top="0.75" bottom="0.75" header="0.3" footer="0.3"/>
  <pageSetup paperSize="9" scale="6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49"/>
  <sheetViews>
    <sheetView showGridLines="0" zoomScaleNormal="100" workbookViewId="0">
      <selection sqref="A1:A2"/>
    </sheetView>
  </sheetViews>
  <sheetFormatPr defaultRowHeight="14.5" x14ac:dyDescent="0.35"/>
  <cols>
    <col min="1" max="1" width="21.81640625" customWidth="1"/>
    <col min="2" max="2" width="14.1796875" bestFit="1" customWidth="1"/>
    <col min="3" max="4" width="12.1796875" customWidth="1"/>
    <col min="5" max="5" width="18.81640625" bestFit="1" customWidth="1"/>
    <col min="6" max="6" width="14.453125" bestFit="1" customWidth="1"/>
    <col min="7" max="8" width="12.1796875" customWidth="1"/>
    <col min="9" max="9" width="15.453125" bestFit="1" customWidth="1"/>
    <col min="10" max="10" width="14.1796875" bestFit="1" customWidth="1"/>
  </cols>
  <sheetData>
    <row r="1" spans="1:10" ht="15.75" customHeight="1" x14ac:dyDescent="0.35">
      <c r="A1" s="160" t="s">
        <v>2</v>
      </c>
      <c r="B1" s="156" t="s">
        <v>0</v>
      </c>
      <c r="C1" s="157"/>
      <c r="D1" s="158"/>
      <c r="E1" s="159" t="s">
        <v>1</v>
      </c>
      <c r="F1" s="159"/>
      <c r="G1" s="159"/>
      <c r="H1" s="159"/>
      <c r="I1" s="149"/>
    </row>
    <row r="2" spans="1:10" ht="15.5" thickBot="1" x14ac:dyDescent="0.4">
      <c r="A2" s="161"/>
      <c r="B2" s="75" t="s">
        <v>3</v>
      </c>
      <c r="C2" s="76" t="s">
        <v>4</v>
      </c>
      <c r="D2" s="77" t="s">
        <v>5</v>
      </c>
      <c r="E2" s="78" t="s">
        <v>6</v>
      </c>
      <c r="F2" s="78" t="s">
        <v>7</v>
      </c>
      <c r="G2" s="78" t="s">
        <v>8</v>
      </c>
      <c r="H2" s="78" t="s">
        <v>9</v>
      </c>
      <c r="I2" s="79" t="s">
        <v>59</v>
      </c>
    </row>
    <row r="3" spans="1:10" x14ac:dyDescent="0.35">
      <c r="A3" s="162" t="s">
        <v>10</v>
      </c>
      <c r="B3" s="43">
        <v>44470</v>
      </c>
      <c r="C3" s="43">
        <v>44409</v>
      </c>
      <c r="D3" s="43">
        <v>44317</v>
      </c>
      <c r="E3" s="80">
        <v>44136</v>
      </c>
      <c r="F3" s="43">
        <v>43770</v>
      </c>
      <c r="G3" s="43">
        <v>43405</v>
      </c>
      <c r="H3" s="43">
        <v>42675</v>
      </c>
      <c r="I3" s="43">
        <v>39904</v>
      </c>
    </row>
    <row r="4" spans="1:10" ht="15" thickBot="1" x14ac:dyDescent="0.4">
      <c r="A4" s="163"/>
      <c r="B4" s="16" t="s">
        <v>143</v>
      </c>
      <c r="C4" s="16" t="s">
        <v>143</v>
      </c>
      <c r="D4" s="16" t="s">
        <v>143</v>
      </c>
      <c r="E4" s="82" t="s">
        <v>143</v>
      </c>
      <c r="F4" s="16" t="s">
        <v>143</v>
      </c>
      <c r="G4" s="16" t="s">
        <v>143</v>
      </c>
      <c r="H4" s="16" t="s">
        <v>143</v>
      </c>
      <c r="I4" s="16" t="s">
        <v>143</v>
      </c>
    </row>
    <row r="5" spans="1:10" ht="16" thickBot="1" x14ac:dyDescent="0.4">
      <c r="A5" s="9" t="s">
        <v>11</v>
      </c>
      <c r="B5" s="17">
        <v>1.399397874096997E-2</v>
      </c>
      <c r="C5" s="10">
        <v>0.13714435750381004</v>
      </c>
      <c r="D5" s="11">
        <v>0.32282749076611994</v>
      </c>
      <c r="E5" s="10">
        <v>0.78644712869133993</v>
      </c>
      <c r="F5" s="10">
        <v>0.35065152695516305</v>
      </c>
      <c r="G5" s="10">
        <v>0.35963540034861302</v>
      </c>
      <c r="H5" s="10">
        <v>0.26302410914322399</v>
      </c>
      <c r="I5" s="11">
        <v>0.41736835768772301</v>
      </c>
      <c r="J5" s="2"/>
    </row>
    <row r="6" spans="1:10" ht="16" thickBot="1" x14ac:dyDescent="0.4">
      <c r="A6" s="4" t="s">
        <v>12</v>
      </c>
      <c r="B6" s="18"/>
      <c r="C6" s="5"/>
      <c r="D6" s="19"/>
      <c r="E6" s="5"/>
      <c r="F6" s="5"/>
      <c r="G6" s="5"/>
      <c r="H6" s="5"/>
      <c r="I6" s="6"/>
    </row>
    <row r="7" spans="1:10" ht="16" thickBot="1" x14ac:dyDescent="0.4">
      <c r="A7" s="12" t="s">
        <v>13</v>
      </c>
      <c r="B7" s="20">
        <v>3.0366411910400792E-3</v>
      </c>
      <c r="C7" s="13">
        <v>0.1210806284316801</v>
      </c>
      <c r="D7" s="14">
        <v>0.20781417665110991</v>
      </c>
      <c r="E7" s="13">
        <v>0.51787002679860006</v>
      </c>
      <c r="F7" s="13">
        <v>0.22269018662489301</v>
      </c>
      <c r="G7" s="13">
        <v>0.19780510708131299</v>
      </c>
      <c r="H7" s="13">
        <v>0.15705079251171</v>
      </c>
      <c r="I7" s="14">
        <v>0.15340187603855798</v>
      </c>
    </row>
    <row r="8" spans="1:10" ht="16" thickBot="1" x14ac:dyDescent="0.4">
      <c r="A8" s="15" t="s">
        <v>14</v>
      </c>
      <c r="B8" s="20">
        <v>2.8380573892770045E-2</v>
      </c>
      <c r="C8" s="13">
        <v>0.11165517601587993</v>
      </c>
      <c r="D8" s="14">
        <v>0.26591030750014988</v>
      </c>
      <c r="E8" s="13">
        <v>0.82456253147736991</v>
      </c>
      <c r="F8" s="13">
        <v>0.35955625323502</v>
      </c>
      <c r="G8" s="13">
        <v>0.22084238348774898</v>
      </c>
      <c r="H8" s="13">
        <v>0.159637174824206</v>
      </c>
      <c r="I8" s="14">
        <v>0.17432793883856898</v>
      </c>
    </row>
    <row r="9" spans="1:10" x14ac:dyDescent="0.35">
      <c r="A9" s="29"/>
      <c r="B9" s="7"/>
      <c r="C9" s="7"/>
      <c r="D9" s="7"/>
      <c r="E9" s="7"/>
      <c r="F9" s="7"/>
      <c r="G9" s="7"/>
      <c r="H9" s="7"/>
      <c r="I9" s="7"/>
    </row>
    <row r="10" spans="1:10" x14ac:dyDescent="0.35">
      <c r="A10" s="29" t="s">
        <v>54</v>
      </c>
    </row>
    <row r="11" spans="1:10" x14ac:dyDescent="0.35">
      <c r="B11" s="1"/>
      <c r="C11" s="1"/>
      <c r="D11" s="1"/>
      <c r="E11" s="1"/>
      <c r="F11" s="1"/>
      <c r="G11" s="1"/>
      <c r="H11" s="1"/>
      <c r="I11" s="1"/>
    </row>
    <row r="12" spans="1:10" x14ac:dyDescent="0.35">
      <c r="B12" s="1"/>
      <c r="C12" s="1"/>
      <c r="D12" s="1"/>
      <c r="E12" s="1"/>
      <c r="F12" s="1"/>
      <c r="G12" s="1"/>
      <c r="H12" s="1"/>
      <c r="I12" s="1"/>
    </row>
    <row r="13" spans="1:10" ht="30.75" customHeight="1" thickBot="1" x14ac:dyDescent="0.4">
      <c r="B13" s="1"/>
      <c r="C13" s="1"/>
      <c r="D13" s="1"/>
      <c r="E13" s="1"/>
      <c r="F13" s="1"/>
      <c r="G13" s="1"/>
      <c r="H13" s="1"/>
      <c r="I13" s="1"/>
    </row>
    <row r="14" spans="1:10" ht="15.75" customHeight="1" thickBot="1" x14ac:dyDescent="0.4">
      <c r="A14" s="30" t="s">
        <v>51</v>
      </c>
      <c r="B14" s="31" t="s">
        <v>47</v>
      </c>
      <c r="C14" s="31" t="s">
        <v>48</v>
      </c>
      <c r="D14" s="31" t="s">
        <v>49</v>
      </c>
      <c r="E14" s="31" t="s">
        <v>43</v>
      </c>
      <c r="F14" s="32" t="s">
        <v>50</v>
      </c>
    </row>
    <row r="15" spans="1:10" ht="31.5" thickBot="1" x14ac:dyDescent="0.4">
      <c r="A15" s="9" t="s">
        <v>144</v>
      </c>
      <c r="B15" s="109">
        <v>0.89329999999999998</v>
      </c>
      <c r="C15" s="83">
        <v>8.3000000000000004E-2</v>
      </c>
      <c r="D15" s="109">
        <v>1.49E-2</v>
      </c>
      <c r="E15" s="83">
        <v>8.8000000000000005E-3</v>
      </c>
      <c r="F15" s="87">
        <v>1</v>
      </c>
      <c r="H15" s="89"/>
    </row>
    <row r="17" spans="1:8" x14ac:dyDescent="0.35">
      <c r="A17" s="29" t="s">
        <v>55</v>
      </c>
    </row>
    <row r="18" spans="1:8" x14ac:dyDescent="0.35">
      <c r="A18" s="29" t="s">
        <v>57</v>
      </c>
    </row>
    <row r="19" spans="1:8" x14ac:dyDescent="0.35">
      <c r="A19" s="29" t="s">
        <v>56</v>
      </c>
    </row>
    <row r="22" spans="1:8" ht="15.5" x14ac:dyDescent="0.35">
      <c r="A22" s="127" t="s">
        <v>58</v>
      </c>
      <c r="B22" s="128">
        <v>44500</v>
      </c>
    </row>
    <row r="23" spans="1:8" ht="15" x14ac:dyDescent="0.35">
      <c r="A23" s="129" t="s">
        <v>3</v>
      </c>
      <c r="B23" s="88">
        <v>1.399397874096997E-2</v>
      </c>
      <c r="D23" s="28"/>
      <c r="F23" s="28"/>
      <c r="G23" s="28"/>
      <c r="H23" s="28"/>
    </row>
    <row r="24" spans="1:8" ht="15" x14ac:dyDescent="0.35">
      <c r="A24" s="129" t="s">
        <v>4</v>
      </c>
      <c r="B24" s="88">
        <v>0.13714435750381004</v>
      </c>
    </row>
    <row r="25" spans="1:8" ht="15" x14ac:dyDescent="0.35">
      <c r="A25" s="129" t="s">
        <v>5</v>
      </c>
      <c r="B25" s="88">
        <v>0.32282749076611994</v>
      </c>
    </row>
    <row r="26" spans="1:8" ht="15" x14ac:dyDescent="0.35">
      <c r="A26" s="129" t="s">
        <v>6</v>
      </c>
      <c r="B26" s="88">
        <v>0.78644712869133993</v>
      </c>
    </row>
    <row r="27" spans="1:8" ht="15" x14ac:dyDescent="0.35">
      <c r="A27" s="129" t="s">
        <v>7</v>
      </c>
      <c r="B27" s="88">
        <v>0.35065152695516305</v>
      </c>
    </row>
    <row r="28" spans="1:8" ht="15" x14ac:dyDescent="0.35">
      <c r="A28" s="129" t="s">
        <v>8</v>
      </c>
      <c r="B28" s="88">
        <v>0.35963540034861302</v>
      </c>
    </row>
    <row r="29" spans="1:8" ht="15" x14ac:dyDescent="0.35">
      <c r="A29" s="129" t="s">
        <v>9</v>
      </c>
      <c r="B29" s="88">
        <v>0.26302410914322399</v>
      </c>
    </row>
    <row r="30" spans="1:8" ht="15" x14ac:dyDescent="0.35">
      <c r="A30" s="129" t="s">
        <v>59</v>
      </c>
      <c r="B30" s="88">
        <v>0.41736835768772301</v>
      </c>
    </row>
    <row r="31" spans="1:8" x14ac:dyDescent="0.35">
      <c r="A31" s="29" t="s">
        <v>54</v>
      </c>
    </row>
    <row r="32" spans="1:8" x14ac:dyDescent="0.35">
      <c r="A32" s="29" t="s">
        <v>60</v>
      </c>
    </row>
    <row r="33" spans="1:10" ht="15" thickBot="1" x14ac:dyDescent="0.4"/>
    <row r="34" spans="1:10" ht="15" customHeight="1" x14ac:dyDescent="0.35">
      <c r="A34" s="148" t="s">
        <v>28</v>
      </c>
      <c r="B34" s="149"/>
      <c r="E34" s="152" t="s">
        <v>29</v>
      </c>
      <c r="F34" s="153"/>
      <c r="I34" s="152" t="s">
        <v>14</v>
      </c>
      <c r="J34" s="153"/>
    </row>
    <row r="35" spans="1:10" ht="15.75" customHeight="1" thickBot="1" x14ac:dyDescent="0.4">
      <c r="A35" s="150"/>
      <c r="B35" s="151"/>
      <c r="E35" s="154"/>
      <c r="F35" s="155"/>
      <c r="I35" s="154"/>
      <c r="J35" s="155"/>
    </row>
    <row r="36" spans="1:10" ht="17.25" customHeight="1" thickBot="1" x14ac:dyDescent="0.4">
      <c r="A36" s="43">
        <v>39904</v>
      </c>
      <c r="B36" s="16" t="s">
        <v>143</v>
      </c>
      <c r="E36" s="44">
        <v>39904</v>
      </c>
      <c r="F36" s="45" t="s">
        <v>143</v>
      </c>
      <c r="I36" s="44">
        <v>39904</v>
      </c>
      <c r="J36" s="45" t="s">
        <v>143</v>
      </c>
    </row>
    <row r="37" spans="1:10" x14ac:dyDescent="0.35">
      <c r="A37" s="33" t="s">
        <v>61</v>
      </c>
      <c r="B37" s="40" t="s">
        <v>124</v>
      </c>
      <c r="E37" s="41" t="s">
        <v>61</v>
      </c>
      <c r="F37" s="42" t="s">
        <v>127</v>
      </c>
      <c r="I37" s="41" t="s">
        <v>61</v>
      </c>
      <c r="J37" s="42" t="s">
        <v>130</v>
      </c>
    </row>
    <row r="38" spans="1:10" x14ac:dyDescent="0.35">
      <c r="A38" s="33" t="s">
        <v>62</v>
      </c>
      <c r="B38" s="96">
        <v>7497.2</v>
      </c>
      <c r="D38" s="28"/>
      <c r="E38" s="33" t="s">
        <v>62</v>
      </c>
      <c r="F38" s="96">
        <v>584.97</v>
      </c>
      <c r="H38" s="28"/>
      <c r="I38" s="33" t="s">
        <v>62</v>
      </c>
      <c r="J38" s="96">
        <v>730.77</v>
      </c>
    </row>
    <row r="39" spans="1:10" x14ac:dyDescent="0.35">
      <c r="A39" s="33" t="s">
        <v>63</v>
      </c>
      <c r="B39" s="96">
        <v>0.66979999999999995</v>
      </c>
      <c r="D39" s="28"/>
      <c r="E39" s="33" t="s">
        <v>63</v>
      </c>
      <c r="F39" s="40">
        <v>1</v>
      </c>
      <c r="H39" s="28"/>
      <c r="I39" s="33" t="s">
        <v>63</v>
      </c>
      <c r="J39" s="96">
        <v>1.0501</v>
      </c>
    </row>
    <row r="40" spans="1:10" x14ac:dyDescent="0.35">
      <c r="A40" s="33" t="s">
        <v>1</v>
      </c>
      <c r="B40" s="97">
        <v>0.41739999999999999</v>
      </c>
      <c r="D40" s="28"/>
      <c r="E40" s="33" t="s">
        <v>1</v>
      </c>
      <c r="F40" s="97">
        <v>0.15340000000000001</v>
      </c>
      <c r="H40" s="28"/>
      <c r="I40" s="33" t="s">
        <v>1</v>
      </c>
      <c r="J40" s="97">
        <v>0.17430000000000001</v>
      </c>
    </row>
    <row r="41" spans="1:10" x14ac:dyDescent="0.35">
      <c r="A41" s="39" t="s">
        <v>64</v>
      </c>
      <c r="B41" s="40" t="s">
        <v>125</v>
      </c>
      <c r="D41" s="28"/>
      <c r="E41" s="39" t="s">
        <v>64</v>
      </c>
      <c r="F41" s="40" t="s">
        <v>128</v>
      </c>
      <c r="H41" s="28"/>
      <c r="I41" s="39" t="s">
        <v>64</v>
      </c>
      <c r="J41" s="40" t="s">
        <v>131</v>
      </c>
    </row>
    <row r="42" spans="1:10" x14ac:dyDescent="0.35">
      <c r="A42" s="39" t="s">
        <v>65</v>
      </c>
      <c r="B42" s="47" t="s">
        <v>126</v>
      </c>
      <c r="D42" s="28"/>
      <c r="E42" s="39" t="s">
        <v>65</v>
      </c>
      <c r="F42" s="47" t="s">
        <v>129</v>
      </c>
      <c r="H42" s="28"/>
      <c r="I42" s="39" t="s">
        <v>65</v>
      </c>
      <c r="J42" s="47" t="s">
        <v>132</v>
      </c>
    </row>
    <row r="43" spans="1:10" x14ac:dyDescent="0.35">
      <c r="A43" s="33" t="s">
        <v>66</v>
      </c>
      <c r="B43" s="40">
        <v>167</v>
      </c>
      <c r="D43" s="28"/>
      <c r="E43" s="33" t="s">
        <v>66</v>
      </c>
      <c r="F43" s="40">
        <v>158</v>
      </c>
      <c r="H43" s="28"/>
      <c r="I43" s="33" t="s">
        <v>66</v>
      </c>
      <c r="J43" s="40">
        <v>177</v>
      </c>
    </row>
    <row r="44" spans="1:10" x14ac:dyDescent="0.35">
      <c r="A44" s="33" t="s">
        <v>67</v>
      </c>
      <c r="B44" s="97">
        <v>0.43969999999999998</v>
      </c>
      <c r="D44" s="28"/>
      <c r="E44" s="33" t="s">
        <v>67</v>
      </c>
      <c r="F44" s="97">
        <v>0.38440000000000002</v>
      </c>
      <c r="H44" s="28"/>
      <c r="I44" s="33" t="s">
        <v>67</v>
      </c>
      <c r="J44" s="97">
        <v>0.49059999999999998</v>
      </c>
    </row>
    <row r="45" spans="1:10" x14ac:dyDescent="0.35">
      <c r="A45" s="33" t="s">
        <v>68</v>
      </c>
      <c r="B45" s="96">
        <v>1.65</v>
      </c>
      <c r="D45" s="28"/>
      <c r="E45" s="33" t="s">
        <v>68</v>
      </c>
      <c r="F45" s="96">
        <v>0.48</v>
      </c>
      <c r="H45" s="28"/>
      <c r="I45" s="33" t="s">
        <v>68</v>
      </c>
      <c r="J45" s="96">
        <v>0.52</v>
      </c>
    </row>
    <row r="46" spans="1:10" x14ac:dyDescent="0.35">
      <c r="A46" s="33" t="s">
        <v>69</v>
      </c>
      <c r="B46" s="97">
        <v>0.2228</v>
      </c>
      <c r="D46" s="28"/>
      <c r="E46" s="33" t="s">
        <v>69</v>
      </c>
      <c r="F46" s="97">
        <v>0.18729999999999999</v>
      </c>
      <c r="H46" s="28"/>
      <c r="I46" s="33" t="s">
        <v>69</v>
      </c>
      <c r="J46" s="97">
        <v>0.23569999999999999</v>
      </c>
    </row>
    <row r="48" spans="1:10" x14ac:dyDescent="0.35">
      <c r="A48" s="29" t="s">
        <v>70</v>
      </c>
    </row>
    <row r="49" spans="1:1" x14ac:dyDescent="0.35">
      <c r="A49" s="29" t="s">
        <v>60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A34:B35"/>
    <mergeCell ref="E34:F35"/>
    <mergeCell ref="B1:D1"/>
    <mergeCell ref="E1:I1"/>
    <mergeCell ref="A1:A2"/>
    <mergeCell ref="A3:A4"/>
    <mergeCell ref="I34:J35"/>
  </mergeCells>
  <conditionalFormatting sqref="E30:J30">
    <cfRule type="dataBar" priority="204">
      <dataBar>
        <cfvo type="min"/>
        <cfvo type="max"/>
        <color rgb="FF008AEF"/>
      </dataBar>
    </cfRule>
  </conditionalFormatting>
  <pageMargins left="0.7" right="0.7" top="0.75" bottom="0.75" header="0.3" footer="0.3"/>
  <pageSetup scale="5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BC936-F1EB-4B61-9691-2CBBD1BAA90A}">
  <sheetPr codeName="Sheet9"/>
  <dimension ref="A2:N25"/>
  <sheetViews>
    <sheetView showGridLines="0" zoomScaleNormal="100" workbookViewId="0"/>
  </sheetViews>
  <sheetFormatPr defaultRowHeight="14.5" x14ac:dyDescent="0.35"/>
  <cols>
    <col min="1" max="13" width="9.7265625" customWidth="1"/>
  </cols>
  <sheetData>
    <row r="2" spans="1:14" ht="21" x14ac:dyDescent="0.5">
      <c r="B2" s="147" t="s">
        <v>118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</row>
    <row r="3" spans="1:14" x14ac:dyDescent="0.35">
      <c r="B3" s="24" t="s">
        <v>30</v>
      </c>
      <c r="C3" s="24" t="s">
        <v>31</v>
      </c>
      <c r="D3" s="24" t="s">
        <v>32</v>
      </c>
      <c r="E3" s="24" t="s">
        <v>33</v>
      </c>
      <c r="F3" s="24" t="s">
        <v>34</v>
      </c>
      <c r="G3" s="24" t="s">
        <v>35</v>
      </c>
      <c r="H3" s="24" t="s">
        <v>36</v>
      </c>
      <c r="I3" s="24" t="s">
        <v>37</v>
      </c>
      <c r="J3" s="24" t="s">
        <v>38</v>
      </c>
      <c r="K3" s="24" t="s">
        <v>39</v>
      </c>
      <c r="L3" s="24" t="s">
        <v>40</v>
      </c>
      <c r="M3" s="24" t="s">
        <v>41</v>
      </c>
    </row>
    <row r="4" spans="1:14" x14ac:dyDescent="0.35">
      <c r="A4" s="22">
        <v>2014</v>
      </c>
      <c r="B4" s="23"/>
      <c r="C4" s="23"/>
      <c r="D4" s="23"/>
      <c r="E4" s="23"/>
      <c r="F4" s="23"/>
      <c r="G4" s="23"/>
      <c r="H4" s="23">
        <v>1.7218459999999994E-2</v>
      </c>
      <c r="I4" s="23">
        <v>9.3968543394310017E-2</v>
      </c>
      <c r="J4" s="23">
        <v>4.4027512575950001E-2</v>
      </c>
      <c r="K4" s="23">
        <v>4.9663886232549997E-2</v>
      </c>
      <c r="L4" s="23">
        <v>3.5879564780569952E-2</v>
      </c>
      <c r="M4" s="23">
        <v>1.6505154317940054E-2</v>
      </c>
      <c r="N4" s="1"/>
    </row>
    <row r="5" spans="1:14" x14ac:dyDescent="0.35">
      <c r="A5" s="22">
        <v>2015</v>
      </c>
      <c r="B5" s="23">
        <v>0.10908836932162998</v>
      </c>
      <c r="C5" s="23">
        <v>3.8108639267830001E-2</v>
      </c>
      <c r="D5" s="23">
        <v>4.0376519844002699E-4</v>
      </c>
      <c r="E5" s="23">
        <v>-5.2011085552242944E-2</v>
      </c>
      <c r="F5" s="23">
        <v>3.4280662230000016E-2</v>
      </c>
      <c r="G5" s="23">
        <v>5.917166583458993E-2</v>
      </c>
      <c r="H5" s="23">
        <v>2.8027898256689953E-2</v>
      </c>
      <c r="I5" s="23">
        <v>-2.8048357828456005E-2</v>
      </c>
      <c r="J5" s="23">
        <v>3.8152508121140016E-2</v>
      </c>
      <c r="K5" s="23">
        <v>-4.5076306465230689E-3</v>
      </c>
      <c r="L5" s="23">
        <v>-1.4766981263229013E-2</v>
      </c>
      <c r="M5" s="23">
        <v>5.7734308966870033E-2</v>
      </c>
      <c r="N5" s="1"/>
    </row>
    <row r="6" spans="1:14" x14ac:dyDescent="0.35">
      <c r="A6" s="22">
        <v>2016</v>
      </c>
      <c r="B6" s="23">
        <v>-1.3359776750270953E-2</v>
      </c>
      <c r="C6" s="23">
        <v>-6.2835755954778985E-2</v>
      </c>
      <c r="D6" s="23">
        <v>0.10826794355914998</v>
      </c>
      <c r="E6" s="23">
        <v>-4.182412454978959E-3</v>
      </c>
      <c r="F6" s="23">
        <v>6.1218535895259975E-2</v>
      </c>
      <c r="G6" s="23">
        <v>2.3592918423919969E-2</v>
      </c>
      <c r="H6" s="23">
        <v>0.15730966973275998</v>
      </c>
      <c r="I6" s="23">
        <v>2.4253928751190017E-2</v>
      </c>
      <c r="J6" s="23">
        <v>-9.5552220298660024E-3</v>
      </c>
      <c r="K6" s="23">
        <v>2.7340670364419992E-2</v>
      </c>
      <c r="L6" s="23">
        <v>-0.11410017847736398</v>
      </c>
      <c r="M6" s="23">
        <v>-4.9116185764438998E-2</v>
      </c>
      <c r="N6" s="1"/>
    </row>
    <row r="7" spans="1:14" x14ac:dyDescent="0.35">
      <c r="A7" s="22">
        <v>2017</v>
      </c>
      <c r="B7" s="23">
        <v>0.11989547462953994</v>
      </c>
      <c r="C7" s="23">
        <v>6.1308397999680013E-2</v>
      </c>
      <c r="D7" s="23">
        <v>3.9371263818249957E-2</v>
      </c>
      <c r="E7" s="23">
        <v>7.8672522982650012E-2</v>
      </c>
      <c r="F7" s="23">
        <v>3.9532345139519975E-2</v>
      </c>
      <c r="G7" s="23">
        <v>2.6830995358299959E-2</v>
      </c>
      <c r="H7" s="23">
        <v>0.15740016964296002</v>
      </c>
      <c r="I7" s="23">
        <v>4.2917918727549992E-2</v>
      </c>
      <c r="J7" s="23">
        <v>3.0509506429550016E-2</v>
      </c>
      <c r="K7" s="23">
        <v>2.3902161637299455E-3</v>
      </c>
      <c r="L7" s="23">
        <v>-1.0039568308654054E-2</v>
      </c>
      <c r="M7" s="23">
        <v>4.341299409759998E-2</v>
      </c>
      <c r="N7" s="1"/>
    </row>
    <row r="8" spans="1:14" x14ac:dyDescent="0.35">
      <c r="A8" s="22">
        <v>2018</v>
      </c>
      <c r="B8" s="23">
        <v>-3.042355760324E-2</v>
      </c>
      <c r="C8" s="23">
        <v>-7.1500236126769319E-3</v>
      </c>
      <c r="D8" s="23">
        <v>3.4386453240250033E-2</v>
      </c>
      <c r="E8" s="23">
        <v>6.0880021538859949E-2</v>
      </c>
      <c r="F8" s="23">
        <v>5.3486743168080012E-2</v>
      </c>
      <c r="G8" s="23">
        <v>4.5601979368340012E-2</v>
      </c>
      <c r="H8" s="23">
        <v>0.13828951848695994</v>
      </c>
      <c r="I8" s="23">
        <v>2.3547677023509975E-2</v>
      </c>
      <c r="J8" s="23">
        <v>-0.211385942259917</v>
      </c>
      <c r="K8" s="23">
        <v>3.2831026570188798E-2</v>
      </c>
      <c r="L8" s="23">
        <v>8.2104071324975006E-2</v>
      </c>
      <c r="M8" s="23">
        <v>3.45339736204162E-2</v>
      </c>
      <c r="N8" s="1"/>
    </row>
    <row r="9" spans="1:14" x14ac:dyDescent="0.35">
      <c r="A9" s="22">
        <v>2019</v>
      </c>
      <c r="B9" s="23">
        <v>-5.3653875794987801E-2</v>
      </c>
      <c r="C9" s="23">
        <v>2.7698071019015301E-2</v>
      </c>
      <c r="D9" s="23">
        <v>9.8125418880122203E-2</v>
      </c>
      <c r="E9" s="23">
        <v>-4.7974414686495796E-3</v>
      </c>
      <c r="F9" s="23">
        <v>9.2480056990982301E-2</v>
      </c>
      <c r="G9" s="23">
        <v>4.5091860078421801E-2</v>
      </c>
      <c r="H9" s="23">
        <v>-8.2178873681496206E-2</v>
      </c>
      <c r="I9" s="23">
        <v>3.3272299646232698E-2</v>
      </c>
      <c r="J9" s="23">
        <v>0.18381864250749499</v>
      </c>
      <c r="K9" s="23">
        <v>6.5514559531012501E-3</v>
      </c>
      <c r="L9" s="23">
        <v>6.4462890604939397E-3</v>
      </c>
      <c r="M9" s="23">
        <v>3.6827361954537403E-2</v>
      </c>
      <c r="N9" s="1"/>
    </row>
    <row r="10" spans="1:14" x14ac:dyDescent="0.35">
      <c r="A10" s="22">
        <v>2020</v>
      </c>
      <c r="B10" s="23">
        <v>5.0188822924653403E-2</v>
      </c>
      <c r="C10" s="23">
        <v>8.6951634133771698E-3</v>
      </c>
      <c r="D10" s="23">
        <v>-0.40003152249796398</v>
      </c>
      <c r="E10" s="23">
        <v>7.1553023244216502E-2</v>
      </c>
      <c r="F10" s="23">
        <v>-0.102537134897801</v>
      </c>
      <c r="G10" s="23">
        <v>0.26371546833555798</v>
      </c>
      <c r="H10" s="23">
        <v>7.5327127361308102E-2</v>
      </c>
      <c r="I10" s="23">
        <v>7.6640953354209798E-2</v>
      </c>
      <c r="J10" s="23">
        <v>-4.9558054310447797E-2</v>
      </c>
      <c r="K10" s="23">
        <v>5.3318416458298899E-3</v>
      </c>
      <c r="L10" s="23">
        <v>0.33378337129053698</v>
      </c>
      <c r="M10" s="23">
        <v>9.7522950643744694E-2</v>
      </c>
      <c r="N10" s="1"/>
    </row>
    <row r="11" spans="1:14" x14ac:dyDescent="0.35">
      <c r="A11" s="22">
        <v>2021</v>
      </c>
      <c r="B11" s="23">
        <v>-8.9328814645384197E-2</v>
      </c>
      <c r="C11" s="23">
        <v>9.6596224968552302E-2</v>
      </c>
      <c r="D11" s="23">
        <v>-2.9278967244860898E-2</v>
      </c>
      <c r="E11" s="23">
        <v>4.1657746088185101E-2</v>
      </c>
      <c r="F11" s="23">
        <v>3.5276921396945701E-2</v>
      </c>
      <c r="G11" s="23">
        <v>6.8892229989694395E-2</v>
      </c>
      <c r="H11" s="23">
        <v>3.8603742244493602E-2</v>
      </c>
      <c r="I11" s="23">
        <v>0.16189999999999999</v>
      </c>
      <c r="J11" s="23">
        <v>2.4799999999999999E-2</v>
      </c>
      <c r="K11" s="23">
        <v>-1.04E-2</v>
      </c>
      <c r="L11" s="23"/>
      <c r="M11" s="23"/>
      <c r="N11" s="1"/>
    </row>
    <row r="12" spans="1:14" x14ac:dyDescent="0.35">
      <c r="A12" s="29" t="s">
        <v>54</v>
      </c>
      <c r="H12" s="3"/>
      <c r="N12" s="1"/>
    </row>
    <row r="13" spans="1:14" x14ac:dyDescent="0.35">
      <c r="N13" s="1"/>
    </row>
    <row r="14" spans="1:14" x14ac:dyDescent="0.35">
      <c r="N14" s="1"/>
    </row>
    <row r="15" spans="1:14" ht="21" x14ac:dyDescent="0.5">
      <c r="B15" s="147" t="s">
        <v>119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21"/>
    </row>
    <row r="16" spans="1:14" x14ac:dyDescent="0.35">
      <c r="B16" s="24" t="s">
        <v>30</v>
      </c>
      <c r="C16" s="24" t="s">
        <v>31</v>
      </c>
      <c r="D16" s="24" t="s">
        <v>32</v>
      </c>
      <c r="E16" s="24" t="s">
        <v>33</v>
      </c>
      <c r="F16" s="24" t="s">
        <v>34</v>
      </c>
      <c r="G16" s="24" t="s">
        <v>35</v>
      </c>
      <c r="H16" s="24" t="s">
        <v>36</v>
      </c>
      <c r="I16" s="24" t="s">
        <v>37</v>
      </c>
      <c r="J16" s="24" t="s">
        <v>38</v>
      </c>
      <c r="K16" s="24" t="s">
        <v>39</v>
      </c>
      <c r="L16" s="24" t="s">
        <v>40</v>
      </c>
      <c r="M16" s="24" t="s">
        <v>41</v>
      </c>
      <c r="N16" s="121"/>
    </row>
    <row r="17" spans="1:13" x14ac:dyDescent="0.35">
      <c r="A17" s="22">
        <v>2014</v>
      </c>
      <c r="B17" s="34"/>
      <c r="C17" s="34"/>
      <c r="D17" s="34"/>
      <c r="E17" s="34"/>
      <c r="F17" s="34"/>
      <c r="G17" s="34"/>
      <c r="H17" s="34">
        <v>1017.2184600000001</v>
      </c>
      <c r="I17" s="34">
        <v>1112.8049970000034</v>
      </c>
      <c r="J17" s="34">
        <v>1161.7990330000009</v>
      </c>
      <c r="K17" s="34">
        <v>1219.4984879999995</v>
      </c>
      <c r="L17" s="34">
        <v>1263.2535630000025</v>
      </c>
      <c r="M17" s="34">
        <v>1284.103758000005</v>
      </c>
    </row>
    <row r="18" spans="1:13" x14ac:dyDescent="0.35">
      <c r="A18" s="22">
        <v>2015</v>
      </c>
      <c r="B18" s="34">
        <v>1424.1845430000026</v>
      </c>
      <c r="C18" s="34">
        <v>1478.4582780000092</v>
      </c>
      <c r="D18" s="34">
        <v>1479.0552280000113</v>
      </c>
      <c r="E18" s="34">
        <v>1402.1279600000105</v>
      </c>
      <c r="F18" s="34">
        <v>1450.1938350000098</v>
      </c>
      <c r="G18" s="34">
        <v>1536.004220000013</v>
      </c>
      <c r="H18" s="34">
        <v>1579.0551900000198</v>
      </c>
      <c r="I18" s="34">
        <v>1534.7652850000186</v>
      </c>
      <c r="J18" s="34">
        <v>1593.3204300000257</v>
      </c>
      <c r="K18" s="34">
        <v>1586.1383300000264</v>
      </c>
      <c r="L18" s="34">
        <v>1562.7158550000265</v>
      </c>
      <c r="M18" s="34">
        <v>1652.9381750000246</v>
      </c>
    </row>
    <row r="19" spans="1:13" x14ac:dyDescent="0.35">
      <c r="A19" s="22">
        <v>2016</v>
      </c>
      <c r="B19" s="34">
        <v>1630.8552900000238</v>
      </c>
      <c r="C19" s="34">
        <v>1528.3792650000221</v>
      </c>
      <c r="D19" s="34">
        <v>1693.8537450000197</v>
      </c>
      <c r="E19" s="34">
        <v>1686.7693500000189</v>
      </c>
      <c r="F19" s="34">
        <v>1790.0309000000193</v>
      </c>
      <c r="G19" s="34">
        <v>1832.2629530000156</v>
      </c>
      <c r="H19" s="34">
        <v>2120.4956330000196</v>
      </c>
      <c r="I19" s="34">
        <v>2171.9259830000115</v>
      </c>
      <c r="J19" s="34">
        <v>2151.1727480000113</v>
      </c>
      <c r="K19" s="34">
        <v>2209.987253000003</v>
      </c>
      <c r="L19" s="34">
        <v>1957.8273130000032</v>
      </c>
      <c r="M19" s="34">
        <v>1861.6663030000027</v>
      </c>
    </row>
    <row r="20" spans="1:13" x14ac:dyDescent="0.35">
      <c r="A20" s="22">
        <v>2017</v>
      </c>
      <c r="B20" s="34">
        <v>2084.8716680000089</v>
      </c>
      <c r="C20" s="34">
        <v>2212.6918100000103</v>
      </c>
      <c r="D20" s="34">
        <v>2299.8082830000017</v>
      </c>
      <c r="E20" s="34">
        <v>2480.7400030000081</v>
      </c>
      <c r="F20" s="34">
        <v>2578.809473000018</v>
      </c>
      <c r="G20" s="34">
        <v>2648.0014980000215</v>
      </c>
      <c r="H20" s="34">
        <v>3064.7973830000374</v>
      </c>
      <c r="I20" s="34">
        <v>3196.3321080000405</v>
      </c>
      <c r="J20" s="34">
        <v>3293.8506230000448</v>
      </c>
      <c r="K20" s="34">
        <v>3301.7236380000513</v>
      </c>
      <c r="L20" s="34">
        <v>3268.5757580000522</v>
      </c>
      <c r="M20" s="34">
        <v>3410.4744180896669</v>
      </c>
    </row>
    <row r="21" spans="1:13" x14ac:dyDescent="0.35">
      <c r="A21" s="22">
        <v>2018</v>
      </c>
      <c r="B21" s="34">
        <v>3306.7156531765395</v>
      </c>
      <c r="C21" s="34">
        <v>3283.0725581759189</v>
      </c>
      <c r="D21" s="34">
        <v>3395.9657791819832</v>
      </c>
      <c r="E21" s="34">
        <v>3602.7122489638132</v>
      </c>
      <c r="F21" s="34">
        <v>3795.4095937326369</v>
      </c>
      <c r="G21" s="34">
        <v>3968.4877837204322</v>
      </c>
      <c r="H21" s="34">
        <v>4517.2880484525131</v>
      </c>
      <c r="I21" s="34">
        <v>4623.659688439634</v>
      </c>
      <c r="J21" s="34">
        <v>3646.2830285096275</v>
      </c>
      <c r="K21" s="34">
        <v>3765.9942435010553</v>
      </c>
      <c r="L21" s="34">
        <v>4075.1977034789111</v>
      </c>
      <c r="M21" s="34">
        <v>4215.9304734688321</v>
      </c>
    </row>
    <row r="22" spans="1:13" x14ac:dyDescent="0.35">
      <c r="A22" s="22">
        <v>2019</v>
      </c>
      <c r="B22" s="34">
        <v>3989.7294634850314</v>
      </c>
      <c r="C22" s="34">
        <v>4100.2372735112976</v>
      </c>
      <c r="D22" s="34">
        <v>4502.5747734824836</v>
      </c>
      <c r="E22" s="34">
        <v>4480.9739345484832</v>
      </c>
      <c r="F22" s="34">
        <v>4895.3746593906326</v>
      </c>
      <c r="G22" s="34">
        <v>5116.1162085633268</v>
      </c>
      <c r="H22" s="34">
        <v>4695.6795409199458</v>
      </c>
      <c r="I22" s="34">
        <v>4851.9155976481188</v>
      </c>
      <c r="J22" s="34">
        <v>5743.7881363687375</v>
      </c>
      <c r="K22" s="34">
        <v>5781.4183113481031</v>
      </c>
      <c r="L22" s="34">
        <v>5818.6870049626859</v>
      </c>
      <c r="M22" s="34">
        <v>6032.9738973946096</v>
      </c>
    </row>
    <row r="23" spans="1:13" x14ac:dyDescent="0.35">
      <c r="A23" s="22">
        <v>2020</v>
      </c>
      <c r="B23" s="34">
        <v>6335.761756040004</v>
      </c>
      <c r="C23" s="34">
        <v>6390.8522398569976</v>
      </c>
      <c r="D23" s="34">
        <v>3834.3098882874792</v>
      </c>
      <c r="E23" s="34">
        <v>4108.6663528496429</v>
      </c>
      <c r="F23" s="34">
        <v>3687.3754767774431</v>
      </c>
      <c r="G23" s="34">
        <v>4659.7934275648577</v>
      </c>
      <c r="H23" s="34">
        <v>5010.8022805604223</v>
      </c>
      <c r="I23" s="34">
        <v>5394.8349444120222</v>
      </c>
      <c r="J23" s="34">
        <v>5127.4774212409493</v>
      </c>
      <c r="K23" s="34">
        <v>5154.8163188935741</v>
      </c>
      <c r="L23" s="34">
        <v>6875.4082881973463</v>
      </c>
      <c r="M23" s="34">
        <v>7545.9183913428096</v>
      </c>
    </row>
    <row r="24" spans="1:13" x14ac:dyDescent="0.35">
      <c r="A24" s="22">
        <v>2021</v>
      </c>
      <c r="B24" s="34">
        <v>6871.8504460333515</v>
      </c>
      <c r="C24" s="34">
        <v>7535.6452576686361</v>
      </c>
      <c r="D24" s="34">
        <v>7315.0093470004649</v>
      </c>
      <c r="E24" s="34">
        <v>7619.7361490105104</v>
      </c>
      <c r="F24" s="34">
        <v>7888.5369822046205</v>
      </c>
      <c r="G24" s="34">
        <v>8431.9958862648709</v>
      </c>
      <c r="H24" s="34">
        <v>8757.5024820648705</v>
      </c>
      <c r="I24" s="34">
        <v>10175.342133911172</v>
      </c>
      <c r="J24" s="34">
        <v>10427.690618832168</v>
      </c>
      <c r="K24" s="34">
        <v>10319.242636396313</v>
      </c>
      <c r="L24" s="34"/>
      <c r="M24" s="34"/>
    </row>
    <row r="25" spans="1:13" x14ac:dyDescent="0.35">
      <c r="A25" s="29" t="s">
        <v>54</v>
      </c>
      <c r="F25" s="26"/>
    </row>
  </sheetData>
  <mergeCells count="2">
    <mergeCell ref="B2:M2"/>
    <mergeCell ref="B15:M15"/>
  </mergeCells>
  <pageMargins left="0.7" right="0.7" top="0.75" bottom="0.75" header="0.3" footer="0.3"/>
  <pageSetup paperSize="9" scale="4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CD01-A0E4-4A54-AA2B-19EF50DC1203}">
  <sheetPr codeName="Sheet10"/>
  <dimension ref="A1:J49"/>
  <sheetViews>
    <sheetView showGridLines="0" zoomScaleNormal="100" workbookViewId="0">
      <selection sqref="A1:A2"/>
    </sheetView>
  </sheetViews>
  <sheetFormatPr defaultRowHeight="14.5" x14ac:dyDescent="0.35"/>
  <cols>
    <col min="1" max="1" width="21.81640625" customWidth="1"/>
    <col min="2" max="2" width="14.1796875" bestFit="1" customWidth="1"/>
    <col min="3" max="4" width="12.1796875" customWidth="1"/>
    <col min="5" max="5" width="18.81640625" bestFit="1" customWidth="1"/>
    <col min="6" max="6" width="14.453125" bestFit="1" customWidth="1"/>
    <col min="7" max="8" width="12.1796875" customWidth="1"/>
    <col min="9" max="9" width="15.453125" bestFit="1" customWidth="1"/>
    <col min="10" max="10" width="14.1796875" bestFit="1" customWidth="1"/>
  </cols>
  <sheetData>
    <row r="1" spans="1:10" ht="15.75" customHeight="1" x14ac:dyDescent="0.35">
      <c r="A1" s="160" t="s">
        <v>2</v>
      </c>
      <c r="B1" s="156" t="s">
        <v>0</v>
      </c>
      <c r="C1" s="157"/>
      <c r="D1" s="158"/>
      <c r="E1" s="159" t="s">
        <v>1</v>
      </c>
      <c r="F1" s="159"/>
      <c r="G1" s="159"/>
      <c r="H1" s="159"/>
      <c r="I1" s="149"/>
    </row>
    <row r="2" spans="1:10" ht="15.5" thickBot="1" x14ac:dyDescent="0.4">
      <c r="A2" s="161"/>
      <c r="B2" s="75" t="s">
        <v>3</v>
      </c>
      <c r="C2" s="76" t="s">
        <v>4</v>
      </c>
      <c r="D2" s="77" t="s">
        <v>5</v>
      </c>
      <c r="E2" s="78" t="s">
        <v>6</v>
      </c>
      <c r="F2" s="78" t="s">
        <v>7</v>
      </c>
      <c r="G2" s="78" t="s">
        <v>8</v>
      </c>
      <c r="H2" s="78" t="s">
        <v>9</v>
      </c>
      <c r="I2" s="79" t="s">
        <v>59</v>
      </c>
    </row>
    <row r="3" spans="1:10" x14ac:dyDescent="0.35">
      <c r="A3" s="162" t="s">
        <v>10</v>
      </c>
      <c r="B3" s="43">
        <v>44470</v>
      </c>
      <c r="C3" s="43">
        <v>44409</v>
      </c>
      <c r="D3" s="43">
        <v>44317</v>
      </c>
      <c r="E3" s="80">
        <v>44136</v>
      </c>
      <c r="F3" s="43">
        <v>43770</v>
      </c>
      <c r="G3" s="43">
        <v>43405</v>
      </c>
      <c r="H3" s="43">
        <v>42675</v>
      </c>
      <c r="I3" s="43">
        <v>41824</v>
      </c>
    </row>
    <row r="4" spans="1:10" ht="15" thickBot="1" x14ac:dyDescent="0.4">
      <c r="A4" s="163"/>
      <c r="B4" s="16" t="s">
        <v>143</v>
      </c>
      <c r="C4" s="16" t="s">
        <v>143</v>
      </c>
      <c r="D4" s="16" t="s">
        <v>143</v>
      </c>
      <c r="E4" s="82" t="s">
        <v>143</v>
      </c>
      <c r="F4" s="16" t="s">
        <v>143</v>
      </c>
      <c r="G4" s="16" t="s">
        <v>143</v>
      </c>
      <c r="H4" s="16" t="s">
        <v>143</v>
      </c>
      <c r="I4" s="16" t="s">
        <v>143</v>
      </c>
    </row>
    <row r="5" spans="1:10" ht="16" thickBot="1" x14ac:dyDescent="0.4">
      <c r="A5" s="135" t="s">
        <v>120</v>
      </c>
      <c r="B5" s="17">
        <v>-1.0369329630662061E-2</v>
      </c>
      <c r="C5" s="10">
        <v>0.17844305860445009</v>
      </c>
      <c r="D5" s="11">
        <v>0.35440621678252993</v>
      </c>
      <c r="E5" s="10">
        <v>1.0020534915592503</v>
      </c>
      <c r="F5" s="10">
        <v>0.34073587375886905</v>
      </c>
      <c r="G5" s="10">
        <v>0.40828295772115702</v>
      </c>
      <c r="H5" s="10">
        <v>0.36813398513196804</v>
      </c>
      <c r="I5" s="11">
        <v>0.38448575741563196</v>
      </c>
      <c r="J5" s="2"/>
    </row>
    <row r="6" spans="1:10" ht="16" thickBot="1" x14ac:dyDescent="0.4">
      <c r="A6" s="4" t="s">
        <v>12</v>
      </c>
      <c r="B6" s="18"/>
      <c r="C6" s="5"/>
      <c r="D6" s="19"/>
      <c r="E6" s="5"/>
      <c r="F6" s="5"/>
      <c r="G6" s="5"/>
      <c r="H6" s="5"/>
      <c r="I6" s="6"/>
    </row>
    <row r="7" spans="1:10" ht="16" thickBot="1" x14ac:dyDescent="0.4">
      <c r="A7" s="136" t="s">
        <v>13</v>
      </c>
      <c r="B7" s="20">
        <v>3.0366411910400792E-3</v>
      </c>
      <c r="C7" s="13">
        <v>0.1210806284316801</v>
      </c>
      <c r="D7" s="14">
        <v>0.20781417665110991</v>
      </c>
      <c r="E7" s="13">
        <v>0.51787002679860006</v>
      </c>
      <c r="F7" s="13">
        <v>0.22269018662489301</v>
      </c>
      <c r="G7" s="13">
        <v>0.19780510708131299</v>
      </c>
      <c r="H7" s="13">
        <v>0.15705079251171</v>
      </c>
      <c r="I7" s="14">
        <v>0.122386997828011</v>
      </c>
    </row>
    <row r="8" spans="1:10" ht="16" thickBot="1" x14ac:dyDescent="0.4">
      <c r="A8" s="137" t="s">
        <v>14</v>
      </c>
      <c r="B8" s="20">
        <v>2.8380573892770045E-2</v>
      </c>
      <c r="C8" s="13">
        <v>0.11165517601587993</v>
      </c>
      <c r="D8" s="14">
        <v>0.26591030750014988</v>
      </c>
      <c r="E8" s="13">
        <v>0.82456253147736991</v>
      </c>
      <c r="F8" s="13">
        <v>0.35955625323502</v>
      </c>
      <c r="G8" s="13">
        <v>0.22084238348774898</v>
      </c>
      <c r="H8" s="13">
        <v>0.159637174824206</v>
      </c>
      <c r="I8" s="14">
        <v>0.13555775232860401</v>
      </c>
    </row>
    <row r="9" spans="1:10" x14ac:dyDescent="0.35">
      <c r="A9" s="29"/>
      <c r="B9" s="7"/>
      <c r="C9" s="7"/>
      <c r="D9" s="7"/>
      <c r="E9" s="7"/>
      <c r="F9" s="7"/>
      <c r="G9" s="7"/>
      <c r="H9" s="7"/>
      <c r="I9" s="7"/>
    </row>
    <row r="10" spans="1:10" x14ac:dyDescent="0.35">
      <c r="A10" s="29" t="s">
        <v>54</v>
      </c>
    </row>
    <row r="11" spans="1:10" x14ac:dyDescent="0.35">
      <c r="B11" s="1"/>
      <c r="C11" s="1"/>
      <c r="D11" s="1"/>
      <c r="E11" s="1"/>
      <c r="F11" s="1"/>
      <c r="G11" s="1"/>
      <c r="H11" s="1"/>
      <c r="I11" s="1"/>
    </row>
    <row r="12" spans="1:10" x14ac:dyDescent="0.35">
      <c r="B12" s="1"/>
      <c r="C12" s="1"/>
      <c r="D12" s="1"/>
      <c r="E12" s="1"/>
      <c r="F12" s="1"/>
      <c r="G12" s="1"/>
      <c r="H12" s="1"/>
      <c r="I12" s="1"/>
    </row>
    <row r="13" spans="1:10" ht="30.75" customHeight="1" thickBot="1" x14ac:dyDescent="0.4">
      <c r="B13" s="1"/>
      <c r="C13" s="1"/>
      <c r="D13" s="1"/>
      <c r="E13" s="1"/>
      <c r="F13" s="1"/>
      <c r="G13" s="1"/>
      <c r="H13" s="1"/>
      <c r="I13" s="1"/>
    </row>
    <row r="14" spans="1:10" ht="15.75" customHeight="1" thickBot="1" x14ac:dyDescent="0.4">
      <c r="A14" s="30" t="s">
        <v>51</v>
      </c>
      <c r="B14" s="31" t="s">
        <v>47</v>
      </c>
      <c r="C14" s="31" t="s">
        <v>48</v>
      </c>
      <c r="D14" s="31" t="s">
        <v>49</v>
      </c>
      <c r="E14" s="31" t="s">
        <v>43</v>
      </c>
      <c r="F14" s="32" t="s">
        <v>50</v>
      </c>
    </row>
    <row r="15" spans="1:10" ht="31.5" thickBot="1" x14ac:dyDescent="0.4">
      <c r="A15" s="9" t="s">
        <v>144</v>
      </c>
      <c r="B15" s="109">
        <v>0.92989999999999995</v>
      </c>
      <c r="C15" s="83">
        <v>6.0999999999999999E-2</v>
      </c>
      <c r="D15" s="109">
        <v>0</v>
      </c>
      <c r="E15" s="83">
        <v>9.1000000000000004E-3</v>
      </c>
      <c r="F15" s="87">
        <v>0.99999999999999989</v>
      </c>
      <c r="H15" s="89"/>
    </row>
    <row r="17" spans="1:8" x14ac:dyDescent="0.35">
      <c r="A17" s="29" t="s">
        <v>55</v>
      </c>
    </row>
    <row r="18" spans="1:8" x14ac:dyDescent="0.35">
      <c r="A18" s="29" t="s">
        <v>57</v>
      </c>
    </row>
    <row r="19" spans="1:8" x14ac:dyDescent="0.35">
      <c r="A19" s="29" t="s">
        <v>56</v>
      </c>
    </row>
    <row r="22" spans="1:8" ht="15.5" x14ac:dyDescent="0.35">
      <c r="A22" s="127" t="s">
        <v>58</v>
      </c>
      <c r="B22" s="128">
        <v>44500</v>
      </c>
    </row>
    <row r="23" spans="1:8" ht="15" x14ac:dyDescent="0.35">
      <c r="A23" s="129" t="s">
        <v>3</v>
      </c>
      <c r="B23" s="88">
        <v>-1.0369329630662061E-2</v>
      </c>
      <c r="D23" s="28"/>
      <c r="F23" s="28"/>
      <c r="G23" s="28"/>
      <c r="H23" s="28"/>
    </row>
    <row r="24" spans="1:8" ht="15" x14ac:dyDescent="0.35">
      <c r="A24" s="129" t="s">
        <v>4</v>
      </c>
      <c r="B24" s="88">
        <v>0.17844305860445009</v>
      </c>
    </row>
    <row r="25" spans="1:8" ht="15" x14ac:dyDescent="0.35">
      <c r="A25" s="129" t="s">
        <v>5</v>
      </c>
      <c r="B25" s="88">
        <v>0.35440621678252993</v>
      </c>
    </row>
    <row r="26" spans="1:8" ht="15" x14ac:dyDescent="0.35">
      <c r="A26" s="129" t="s">
        <v>6</v>
      </c>
      <c r="B26" s="88">
        <v>1.0020534915592503</v>
      </c>
    </row>
    <row r="27" spans="1:8" ht="15" x14ac:dyDescent="0.35">
      <c r="A27" s="129" t="s">
        <v>7</v>
      </c>
      <c r="B27" s="88">
        <v>0.34073587375886905</v>
      </c>
    </row>
    <row r="28" spans="1:8" ht="15" x14ac:dyDescent="0.35">
      <c r="A28" s="129" t="s">
        <v>8</v>
      </c>
      <c r="B28" s="88">
        <v>0.40828295772115702</v>
      </c>
    </row>
    <row r="29" spans="1:8" ht="15" x14ac:dyDescent="0.35">
      <c r="A29" s="129" t="s">
        <v>9</v>
      </c>
      <c r="B29" s="88">
        <v>0.36813398513196804</v>
      </c>
    </row>
    <row r="30" spans="1:8" ht="15" x14ac:dyDescent="0.35">
      <c r="A30" s="129" t="s">
        <v>59</v>
      </c>
      <c r="B30" s="88">
        <v>0.38448575741563196</v>
      </c>
    </row>
    <row r="31" spans="1:8" x14ac:dyDescent="0.35">
      <c r="A31" s="29" t="s">
        <v>54</v>
      </c>
    </row>
    <row r="32" spans="1:8" x14ac:dyDescent="0.35">
      <c r="A32" s="29" t="s">
        <v>123</v>
      </c>
    </row>
    <row r="33" spans="1:10" ht="15" thickBot="1" x14ac:dyDescent="0.4"/>
    <row r="34" spans="1:10" ht="15" customHeight="1" x14ac:dyDescent="0.35">
      <c r="A34" s="148" t="s">
        <v>121</v>
      </c>
      <c r="B34" s="149"/>
      <c r="E34" s="152" t="s">
        <v>29</v>
      </c>
      <c r="F34" s="153"/>
      <c r="I34" s="152" t="s">
        <v>14</v>
      </c>
      <c r="J34" s="153"/>
    </row>
    <row r="35" spans="1:10" ht="15.75" customHeight="1" thickBot="1" x14ac:dyDescent="0.4">
      <c r="A35" s="150"/>
      <c r="B35" s="151"/>
      <c r="E35" s="154"/>
      <c r="F35" s="155"/>
      <c r="I35" s="154"/>
      <c r="J35" s="155"/>
    </row>
    <row r="36" spans="1:10" ht="17.25" customHeight="1" thickBot="1" x14ac:dyDescent="0.4">
      <c r="A36" s="43">
        <v>41824</v>
      </c>
      <c r="B36" s="16" t="s">
        <v>143</v>
      </c>
      <c r="E36" s="44">
        <v>41824</v>
      </c>
      <c r="F36" s="45" t="s">
        <v>143</v>
      </c>
      <c r="I36" s="44">
        <v>41824</v>
      </c>
      <c r="J36" s="45" t="s">
        <v>143</v>
      </c>
    </row>
    <row r="37" spans="1:10" x14ac:dyDescent="0.35">
      <c r="A37" s="33" t="s">
        <v>61</v>
      </c>
      <c r="B37" s="40" t="s">
        <v>133</v>
      </c>
      <c r="E37" s="41" t="s">
        <v>61</v>
      </c>
      <c r="F37" s="42" t="s">
        <v>136</v>
      </c>
      <c r="I37" s="41" t="s">
        <v>61</v>
      </c>
      <c r="J37" s="42" t="s">
        <v>139</v>
      </c>
    </row>
    <row r="38" spans="1:10" x14ac:dyDescent="0.35">
      <c r="A38" s="33" t="s">
        <v>62</v>
      </c>
      <c r="B38" s="96">
        <v>1032.02</v>
      </c>
      <c r="D38" s="28"/>
      <c r="E38" s="33" t="s">
        <v>62</v>
      </c>
      <c r="F38" s="96">
        <v>229.06</v>
      </c>
      <c r="H38" s="28"/>
      <c r="I38" s="33" t="s">
        <v>62</v>
      </c>
      <c r="J38" s="96">
        <v>249.07</v>
      </c>
    </row>
    <row r="39" spans="1:10" x14ac:dyDescent="0.35">
      <c r="A39" s="33" t="s">
        <v>63</v>
      </c>
      <c r="B39" s="96">
        <v>1.1168</v>
      </c>
      <c r="D39" s="28"/>
      <c r="E39" s="33" t="s">
        <v>63</v>
      </c>
      <c r="F39" s="40">
        <v>1</v>
      </c>
      <c r="H39" s="28"/>
      <c r="I39" s="33" t="s">
        <v>63</v>
      </c>
      <c r="J39" s="96">
        <v>1.1044</v>
      </c>
    </row>
    <row r="40" spans="1:10" x14ac:dyDescent="0.35">
      <c r="A40" s="33" t="s">
        <v>1</v>
      </c>
      <c r="B40" s="97">
        <v>0.38450000000000001</v>
      </c>
      <c r="D40" s="28"/>
      <c r="E40" s="33" t="s">
        <v>1</v>
      </c>
      <c r="F40" s="97">
        <v>0.12239999999999999</v>
      </c>
      <c r="H40" s="28"/>
      <c r="I40" s="33" t="s">
        <v>1</v>
      </c>
      <c r="J40" s="97">
        <v>0.1356</v>
      </c>
    </row>
    <row r="41" spans="1:10" x14ac:dyDescent="0.35">
      <c r="A41" s="39" t="s">
        <v>64</v>
      </c>
      <c r="B41" s="40" t="s">
        <v>134</v>
      </c>
      <c r="D41" s="28"/>
      <c r="E41" s="39" t="s">
        <v>64</v>
      </c>
      <c r="F41" s="40" t="s">
        <v>137</v>
      </c>
      <c r="H41" s="28"/>
      <c r="I41" s="39" t="s">
        <v>64</v>
      </c>
      <c r="J41" s="40" t="s">
        <v>140</v>
      </c>
    </row>
    <row r="42" spans="1:10" x14ac:dyDescent="0.35">
      <c r="A42" s="39" t="s">
        <v>65</v>
      </c>
      <c r="B42" s="47" t="s">
        <v>135</v>
      </c>
      <c r="D42" s="28"/>
      <c r="E42" s="39" t="s">
        <v>65</v>
      </c>
      <c r="F42" s="47" t="s">
        <v>138</v>
      </c>
      <c r="H42" s="28"/>
      <c r="I42" s="39" t="s">
        <v>65</v>
      </c>
      <c r="J42" s="47" t="s">
        <v>141</v>
      </c>
    </row>
    <row r="43" spans="1:10" x14ac:dyDescent="0.35">
      <c r="A43" s="33" t="s">
        <v>66</v>
      </c>
      <c r="B43" s="40">
        <v>139</v>
      </c>
      <c r="D43" s="28"/>
      <c r="E43" s="33" t="s">
        <v>66</v>
      </c>
      <c r="F43" s="40">
        <v>158</v>
      </c>
      <c r="H43" s="28"/>
      <c r="I43" s="33" t="s">
        <v>66</v>
      </c>
      <c r="J43" s="40">
        <v>177</v>
      </c>
    </row>
    <row r="44" spans="1:10" x14ac:dyDescent="0.35">
      <c r="A44" s="33" t="s">
        <v>67</v>
      </c>
      <c r="B44" s="97">
        <v>0.49020000000000002</v>
      </c>
      <c r="D44" s="28"/>
      <c r="E44" s="33" t="s">
        <v>67</v>
      </c>
      <c r="F44" s="97">
        <v>0.38440000000000002</v>
      </c>
      <c r="H44" s="28"/>
      <c r="I44" s="33" t="s">
        <v>67</v>
      </c>
      <c r="J44" s="97">
        <v>0.49059999999999998</v>
      </c>
    </row>
    <row r="45" spans="1:10" x14ac:dyDescent="0.35">
      <c r="A45" s="33" t="s">
        <v>68</v>
      </c>
      <c r="B45" s="96">
        <v>1.3</v>
      </c>
      <c r="D45" s="28"/>
      <c r="E45" s="33" t="s">
        <v>68</v>
      </c>
      <c r="F45" s="96">
        <v>0.32</v>
      </c>
      <c r="H45" s="28"/>
      <c r="I45" s="33" t="s">
        <v>68</v>
      </c>
      <c r="J45" s="96">
        <v>0.36</v>
      </c>
    </row>
    <row r="46" spans="1:10" x14ac:dyDescent="0.35">
      <c r="A46" s="33" t="s">
        <v>69</v>
      </c>
      <c r="B46" s="97">
        <v>0.26929999999999998</v>
      </c>
      <c r="D46" s="28"/>
      <c r="E46" s="33" t="s">
        <v>69</v>
      </c>
      <c r="F46" s="97">
        <v>0.17299999999999999</v>
      </c>
      <c r="H46" s="28"/>
      <c r="I46" s="33" t="s">
        <v>69</v>
      </c>
      <c r="J46" s="97">
        <v>0.22889999999999999</v>
      </c>
    </row>
    <row r="48" spans="1:10" x14ac:dyDescent="0.35">
      <c r="A48" s="29" t="s">
        <v>122</v>
      </c>
    </row>
    <row r="49" spans="1:1" x14ac:dyDescent="0.35">
      <c r="A49" s="29" t="s">
        <v>123</v>
      </c>
    </row>
  </sheetData>
  <mergeCells count="7">
    <mergeCell ref="A1:A2"/>
    <mergeCell ref="B1:D1"/>
    <mergeCell ref="E1:I1"/>
    <mergeCell ref="A3:A4"/>
    <mergeCell ref="A34:B35"/>
    <mergeCell ref="E34:F35"/>
    <mergeCell ref="I34:J35"/>
  </mergeCells>
  <conditionalFormatting sqref="E30:J30">
    <cfRule type="dataBar" priority="205">
      <dataBar>
        <cfvo type="min"/>
        <cfvo type="max"/>
        <color rgb="FF008AEF"/>
      </dataBar>
    </cfRule>
  </conditionalFormatting>
  <pageMargins left="0.7" right="0.7" top="0.75" bottom="0.75" header="0.3" footer="0.3"/>
  <pageSetup paperSize="9" scale="5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35"/>
  <sheetViews>
    <sheetView showGridLines="0" zoomScaleNormal="100" workbookViewId="0">
      <selection sqref="A1:F1"/>
    </sheetView>
  </sheetViews>
  <sheetFormatPr defaultRowHeight="14.5" x14ac:dyDescent="0.35"/>
  <cols>
    <col min="1" max="6" width="9.7265625" customWidth="1"/>
    <col min="7" max="7" width="11.26953125" customWidth="1"/>
    <col min="8" max="13" width="9.7265625" customWidth="1"/>
  </cols>
  <sheetData>
    <row r="1" spans="1:13" ht="21.5" thickBot="1" x14ac:dyDescent="0.55000000000000004">
      <c r="A1" s="164" t="s">
        <v>86</v>
      </c>
      <c r="B1" s="164"/>
      <c r="C1" s="164"/>
      <c r="D1" s="164"/>
      <c r="E1" s="164"/>
      <c r="F1" s="164"/>
      <c r="H1" s="164" t="s">
        <v>86</v>
      </c>
      <c r="I1" s="164"/>
      <c r="J1" s="164"/>
      <c r="K1" s="164"/>
      <c r="L1" s="164"/>
      <c r="M1" s="164"/>
    </row>
    <row r="2" spans="1:13" ht="29" x14ac:dyDescent="0.35">
      <c r="A2" s="64" t="s">
        <v>46</v>
      </c>
      <c r="B2" s="65" t="s">
        <v>16</v>
      </c>
      <c r="C2" s="65" t="s">
        <v>17</v>
      </c>
      <c r="D2" s="65" t="s">
        <v>18</v>
      </c>
      <c r="E2" s="65" t="s">
        <v>19</v>
      </c>
      <c r="F2" s="66" t="s">
        <v>20</v>
      </c>
      <c r="H2" s="64" t="s">
        <v>104</v>
      </c>
      <c r="I2" s="65" t="s">
        <v>16</v>
      </c>
      <c r="J2" s="65" t="s">
        <v>17</v>
      </c>
      <c r="K2" s="65" t="s">
        <v>18</v>
      </c>
      <c r="L2" s="65" t="s">
        <v>19</v>
      </c>
      <c r="M2" s="66" t="s">
        <v>20</v>
      </c>
    </row>
    <row r="3" spans="1:13" x14ac:dyDescent="0.35">
      <c r="A3" s="67" t="s">
        <v>21</v>
      </c>
      <c r="B3" s="63"/>
      <c r="C3" s="63"/>
      <c r="D3" s="63"/>
      <c r="E3" s="63"/>
      <c r="F3" s="68"/>
      <c r="H3" s="67">
        <v>2009</v>
      </c>
      <c r="I3" s="63"/>
      <c r="J3" s="63"/>
      <c r="K3" s="63"/>
      <c r="L3" s="63"/>
      <c r="M3" s="68"/>
    </row>
    <row r="4" spans="1:13" x14ac:dyDescent="0.35">
      <c r="A4" s="67" t="s">
        <v>22</v>
      </c>
      <c r="B4" s="63"/>
      <c r="C4" s="63"/>
      <c r="D4" s="63"/>
      <c r="E4" s="63"/>
      <c r="F4" s="68"/>
      <c r="H4" s="67">
        <v>2010</v>
      </c>
      <c r="I4" s="63"/>
      <c r="J4" s="63"/>
      <c r="K4" s="63"/>
      <c r="L4" s="63"/>
      <c r="M4" s="68"/>
    </row>
    <row r="5" spans="1:13" x14ac:dyDescent="0.35">
      <c r="A5" s="67" t="s">
        <v>23</v>
      </c>
      <c r="B5" s="63"/>
      <c r="C5" s="63"/>
      <c r="D5" s="63"/>
      <c r="E5" s="63"/>
      <c r="F5" s="68"/>
      <c r="H5" s="67">
        <v>2011</v>
      </c>
      <c r="I5" s="63"/>
      <c r="J5" s="63"/>
      <c r="K5" s="63"/>
      <c r="L5" s="63"/>
      <c r="M5" s="68"/>
    </row>
    <row r="6" spans="1:13" x14ac:dyDescent="0.35">
      <c r="A6" s="67" t="s">
        <v>24</v>
      </c>
      <c r="B6" s="63"/>
      <c r="C6" s="63"/>
      <c r="D6" s="63"/>
      <c r="E6" s="63"/>
      <c r="F6" s="68"/>
      <c r="H6" s="67">
        <v>2012</v>
      </c>
      <c r="I6" s="63"/>
      <c r="J6" s="63"/>
      <c r="K6" s="63"/>
      <c r="L6" s="63"/>
      <c r="M6" s="68"/>
    </row>
    <row r="7" spans="1:13" x14ac:dyDescent="0.35">
      <c r="A7" s="67" t="s">
        <v>25</v>
      </c>
      <c r="B7" s="63"/>
      <c r="C7" s="63"/>
      <c r="D7" s="63"/>
      <c r="E7" s="63"/>
      <c r="F7" s="68"/>
      <c r="H7" s="67">
        <v>2013</v>
      </c>
      <c r="I7" s="63"/>
      <c r="J7" s="63"/>
      <c r="K7" s="63"/>
      <c r="L7" s="63"/>
      <c r="M7" s="68"/>
    </row>
    <row r="8" spans="1:13" x14ac:dyDescent="0.35">
      <c r="A8" s="67" t="s">
        <v>26</v>
      </c>
      <c r="B8" s="110"/>
      <c r="C8" s="110">
        <v>16.179903300000078</v>
      </c>
      <c r="D8" s="110">
        <v>10.527184265611634</v>
      </c>
      <c r="E8" s="110">
        <v>15.181909466852094</v>
      </c>
      <c r="F8" s="111">
        <v>47.905522800001108</v>
      </c>
      <c r="G8" s="26"/>
      <c r="H8" s="67">
        <v>2014</v>
      </c>
      <c r="I8" s="110"/>
      <c r="J8" s="110"/>
      <c r="K8" s="110">
        <v>16.179903300000078</v>
      </c>
      <c r="L8" s="110">
        <v>10.527184265611634</v>
      </c>
      <c r="M8" s="111">
        <v>28.410375800000498</v>
      </c>
    </row>
    <row r="9" spans="1:13" x14ac:dyDescent="0.35">
      <c r="A9" s="67" t="s">
        <v>27</v>
      </c>
      <c r="B9" s="110">
        <v>3.8503627803681439</v>
      </c>
      <c r="C9" s="110">
        <v>3.7315138365968892</v>
      </c>
      <c r="D9" s="110">
        <v>3.7417297787362136</v>
      </c>
      <c r="E9" s="110">
        <v>2.4753236762769193</v>
      </c>
      <c r="F9" s="111">
        <v>14.522684003521613</v>
      </c>
      <c r="G9" s="26"/>
      <c r="H9" s="67">
        <v>2015</v>
      </c>
      <c r="I9" s="110">
        <v>15.181909466852094</v>
      </c>
      <c r="J9" s="110">
        <v>3.8503627803681439</v>
      </c>
      <c r="K9" s="110">
        <v>3.7315138365968892</v>
      </c>
      <c r="L9" s="110">
        <v>3.7417297787362136</v>
      </c>
      <c r="M9" s="111">
        <v>28.723100816594393</v>
      </c>
    </row>
    <row r="10" spans="1:13" x14ac:dyDescent="0.35">
      <c r="A10" s="67" t="s">
        <v>44</v>
      </c>
      <c r="B10" s="110">
        <v>8.1712608546373744</v>
      </c>
      <c r="C10" s="110">
        <v>17.405241670025372</v>
      </c>
      <c r="D10" s="110">
        <v>-13.458075148505323</v>
      </c>
      <c r="E10" s="110">
        <v>23.534936378982117</v>
      </c>
      <c r="F10" s="111">
        <v>35.773722482750436</v>
      </c>
      <c r="G10" s="26"/>
      <c r="H10" s="67">
        <v>2016</v>
      </c>
      <c r="I10" s="110">
        <v>2.4753236762769193</v>
      </c>
      <c r="J10" s="110">
        <v>8.1712608546373744</v>
      </c>
      <c r="K10" s="110">
        <v>17.405241670025372</v>
      </c>
      <c r="L10" s="110">
        <v>-13.46</v>
      </c>
      <c r="M10" s="111">
        <v>12.627703271477507</v>
      </c>
    </row>
    <row r="11" spans="1:13" x14ac:dyDescent="0.35">
      <c r="A11" s="67" t="s">
        <v>85</v>
      </c>
      <c r="B11" s="110">
        <v>15.140097440896971</v>
      </c>
      <c r="C11" s="110">
        <v>24.390058898675846</v>
      </c>
      <c r="D11" s="110">
        <v>3.5406522164445065</v>
      </c>
      <c r="E11" s="110">
        <v>-0.43</v>
      </c>
      <c r="F11" s="111">
        <v>47.66</v>
      </c>
      <c r="H11" s="67">
        <v>2017</v>
      </c>
      <c r="I11" s="110">
        <v>23.534936378982117</v>
      </c>
      <c r="J11" s="110">
        <v>15.140097440896971</v>
      </c>
      <c r="K11" s="110">
        <v>24.390058898675846</v>
      </c>
      <c r="L11" s="110">
        <v>3.5406522164445065</v>
      </c>
      <c r="M11" s="111">
        <v>83.194722523248203</v>
      </c>
    </row>
    <row r="12" spans="1:13" x14ac:dyDescent="0.35">
      <c r="A12" s="93" t="s">
        <v>102</v>
      </c>
      <c r="B12" s="110">
        <v>16.86</v>
      </c>
      <c r="C12" s="110">
        <v>-8.1199999999999992</v>
      </c>
      <c r="D12" s="110">
        <v>15.62</v>
      </c>
      <c r="E12" s="110">
        <v>6.8</v>
      </c>
      <c r="F12" s="111">
        <v>32.590000000000003</v>
      </c>
      <c r="H12" s="67">
        <v>2018</v>
      </c>
      <c r="I12" s="110">
        <v>-0.43</v>
      </c>
      <c r="J12" s="110">
        <v>16.86</v>
      </c>
      <c r="K12" s="110">
        <v>-8.1199999999999992</v>
      </c>
      <c r="L12" s="110">
        <v>15.62</v>
      </c>
      <c r="M12" s="111">
        <v>23.62</v>
      </c>
    </row>
    <row r="13" spans="1:13" x14ac:dyDescent="0.35">
      <c r="A13" s="67" t="s">
        <v>110</v>
      </c>
      <c r="B13" s="110">
        <v>13.62</v>
      </c>
      <c r="C13" s="110">
        <v>12.26</v>
      </c>
      <c r="D13" s="110">
        <v>5.03</v>
      </c>
      <c r="E13" s="110">
        <v>-36.450000000000003</v>
      </c>
      <c r="F13" s="111">
        <v>-14.86</v>
      </c>
      <c r="H13" s="67">
        <v>2019</v>
      </c>
      <c r="I13" s="110">
        <v>6.8</v>
      </c>
      <c r="J13" s="110">
        <v>13.62</v>
      </c>
      <c r="K13" s="110">
        <v>12.26</v>
      </c>
      <c r="L13" s="110">
        <v>5.03</v>
      </c>
      <c r="M13" s="111">
        <v>43.1</v>
      </c>
    </row>
    <row r="14" spans="1:13" x14ac:dyDescent="0.35">
      <c r="A14" s="67" t="s">
        <v>112</v>
      </c>
      <c r="B14" s="110">
        <v>21.53</v>
      </c>
      <c r="C14" s="110">
        <v>10.039999999999999</v>
      </c>
      <c r="D14" s="110">
        <v>47.17</v>
      </c>
      <c r="E14" s="110">
        <v>-3.06</v>
      </c>
      <c r="F14" s="111">
        <v>90.78</v>
      </c>
      <c r="H14" s="67">
        <v>2020</v>
      </c>
      <c r="I14" s="110">
        <v>-36.450000000000003</v>
      </c>
      <c r="J14" s="110">
        <v>21.53</v>
      </c>
      <c r="K14" s="110">
        <v>10.039999999999999</v>
      </c>
      <c r="L14" s="110">
        <v>47.17</v>
      </c>
      <c r="M14" s="111">
        <v>25.08</v>
      </c>
    </row>
    <row r="15" spans="1:13" ht="15" thickBot="1" x14ac:dyDescent="0.4">
      <c r="A15" s="98" t="s">
        <v>116</v>
      </c>
      <c r="B15" s="117">
        <v>15.27</v>
      </c>
      <c r="C15" s="117">
        <v>23.68</v>
      </c>
      <c r="D15" s="117"/>
      <c r="E15" s="117"/>
      <c r="F15" s="123">
        <v>42.56</v>
      </c>
      <c r="H15" s="98">
        <v>2021</v>
      </c>
      <c r="I15" s="117">
        <v>-3.06</v>
      </c>
      <c r="J15" s="117">
        <v>15.27</v>
      </c>
      <c r="K15" s="117">
        <v>23.68</v>
      </c>
      <c r="L15" s="117"/>
      <c r="M15" s="123">
        <v>38.200000000000003</v>
      </c>
    </row>
    <row r="16" spans="1:13" x14ac:dyDescent="0.35">
      <c r="I16" s="26"/>
      <c r="J16" s="26"/>
      <c r="K16" s="26"/>
      <c r="L16" s="26"/>
    </row>
    <row r="17" spans="1:13" ht="21.5" thickBot="1" x14ac:dyDescent="0.55000000000000004">
      <c r="A17" s="164" t="s">
        <v>87</v>
      </c>
      <c r="B17" s="164"/>
      <c r="C17" s="164"/>
      <c r="D17" s="164"/>
      <c r="E17" s="164"/>
      <c r="F17" s="164"/>
      <c r="G17" s="1"/>
      <c r="H17" s="164" t="s">
        <v>87</v>
      </c>
      <c r="I17" s="164"/>
      <c r="J17" s="164"/>
      <c r="K17" s="164"/>
      <c r="L17" s="164"/>
      <c r="M17" s="164"/>
    </row>
    <row r="18" spans="1:13" ht="29" x14ac:dyDescent="0.35">
      <c r="A18" s="64" t="s">
        <v>15</v>
      </c>
      <c r="B18" s="65" t="s">
        <v>16</v>
      </c>
      <c r="C18" s="65" t="s">
        <v>17</v>
      </c>
      <c r="D18" s="65" t="s">
        <v>18</v>
      </c>
      <c r="E18" s="65" t="s">
        <v>19</v>
      </c>
      <c r="F18" s="66" t="s">
        <v>20</v>
      </c>
      <c r="H18" s="64" t="s">
        <v>45</v>
      </c>
      <c r="I18" s="65" t="s">
        <v>16</v>
      </c>
      <c r="J18" s="65" t="s">
        <v>17</v>
      </c>
      <c r="K18" s="65" t="s">
        <v>18</v>
      </c>
      <c r="L18" s="65" t="s">
        <v>19</v>
      </c>
      <c r="M18" s="66" t="s">
        <v>20</v>
      </c>
    </row>
    <row r="19" spans="1:13" x14ac:dyDescent="0.35">
      <c r="A19" s="67" t="s">
        <v>21</v>
      </c>
      <c r="B19" s="63"/>
      <c r="C19" s="63"/>
      <c r="D19" s="63"/>
      <c r="E19" s="63"/>
      <c r="F19" s="69"/>
      <c r="H19" s="67">
        <v>2009</v>
      </c>
      <c r="I19" s="63"/>
      <c r="J19" s="63"/>
      <c r="K19" s="63"/>
      <c r="L19" s="63"/>
      <c r="M19" s="69"/>
    </row>
    <row r="20" spans="1:13" x14ac:dyDescent="0.35">
      <c r="A20" s="67" t="s">
        <v>22</v>
      </c>
      <c r="B20" s="63"/>
      <c r="C20" s="63"/>
      <c r="D20" s="63"/>
      <c r="E20" s="63"/>
      <c r="F20" s="69"/>
      <c r="H20" s="67">
        <v>2010</v>
      </c>
      <c r="I20" s="63" t="s">
        <v>103</v>
      </c>
      <c r="J20" s="63"/>
      <c r="K20" s="63"/>
      <c r="L20" s="63"/>
      <c r="M20" s="69"/>
    </row>
    <row r="21" spans="1:13" x14ac:dyDescent="0.35">
      <c r="A21" s="67" t="s">
        <v>23</v>
      </c>
      <c r="B21" s="63"/>
      <c r="C21" s="63"/>
      <c r="D21" s="63"/>
      <c r="E21" s="63"/>
      <c r="F21" s="69"/>
      <c r="H21" s="67">
        <v>2011</v>
      </c>
      <c r="I21" s="63"/>
      <c r="J21" s="63"/>
      <c r="K21" s="63"/>
      <c r="L21" s="63"/>
      <c r="M21" s="69"/>
    </row>
    <row r="22" spans="1:13" x14ac:dyDescent="0.35">
      <c r="A22" s="67" t="s">
        <v>24</v>
      </c>
      <c r="B22" s="63"/>
      <c r="C22" s="63"/>
      <c r="D22" s="63"/>
      <c r="E22" s="63"/>
      <c r="F22" s="69"/>
      <c r="H22" s="67">
        <v>2012</v>
      </c>
      <c r="I22" s="63"/>
      <c r="J22" s="63"/>
      <c r="K22" s="63"/>
      <c r="L22" s="63"/>
      <c r="M22" s="69"/>
    </row>
    <row r="23" spans="1:13" x14ac:dyDescent="0.35">
      <c r="A23" s="67" t="s">
        <v>25</v>
      </c>
      <c r="B23" s="63"/>
      <c r="C23" s="63"/>
      <c r="D23" s="63"/>
      <c r="E23" s="63"/>
      <c r="F23" s="69"/>
      <c r="H23" s="67">
        <v>2013</v>
      </c>
      <c r="I23" s="63"/>
      <c r="J23" s="63"/>
      <c r="K23" s="63"/>
      <c r="L23" s="63"/>
      <c r="M23" s="69"/>
    </row>
    <row r="24" spans="1:13" x14ac:dyDescent="0.35">
      <c r="A24" s="67" t="s">
        <v>26</v>
      </c>
      <c r="B24" s="63"/>
      <c r="C24" s="63">
        <v>4.6399999999999997</v>
      </c>
      <c r="D24" s="63">
        <v>3.99</v>
      </c>
      <c r="E24" s="63">
        <v>2.5099999999999998</v>
      </c>
      <c r="F24" s="69">
        <v>11.54</v>
      </c>
      <c r="G24" s="26"/>
      <c r="H24" s="67">
        <v>2014</v>
      </c>
      <c r="I24" s="63"/>
      <c r="J24" s="63"/>
      <c r="K24" s="63">
        <v>4.6399999999999997</v>
      </c>
      <c r="L24" s="63">
        <v>3.99</v>
      </c>
      <c r="M24" s="69">
        <v>8.81</v>
      </c>
    </row>
    <row r="25" spans="1:13" x14ac:dyDescent="0.35">
      <c r="A25" s="67" t="s">
        <v>27</v>
      </c>
      <c r="B25" s="63">
        <v>-1.44</v>
      </c>
      <c r="C25" s="63">
        <v>-5.01</v>
      </c>
      <c r="D25" s="63">
        <v>-0.03</v>
      </c>
      <c r="E25" s="63">
        <v>-2.62</v>
      </c>
      <c r="F25" s="70">
        <v>-8.86</v>
      </c>
      <c r="G25" s="26"/>
      <c r="H25" s="67">
        <v>2015</v>
      </c>
      <c r="I25" s="63">
        <v>2.5099999999999998</v>
      </c>
      <c r="J25" s="63">
        <v>-1.44</v>
      </c>
      <c r="K25" s="63">
        <v>-5.01</v>
      </c>
      <c r="L25" s="63">
        <v>-0.03</v>
      </c>
      <c r="M25" s="70">
        <v>-4.0600000000000023</v>
      </c>
    </row>
    <row r="26" spans="1:13" x14ac:dyDescent="0.35">
      <c r="A26" s="67" t="s">
        <v>44</v>
      </c>
      <c r="B26" s="63">
        <v>7.1</v>
      </c>
      <c r="C26" s="63">
        <v>3.9021447316820002</v>
      </c>
      <c r="D26" s="63">
        <v>-4.9400000000000004</v>
      </c>
      <c r="E26" s="63">
        <v>12.07</v>
      </c>
      <c r="F26" s="69">
        <v>18.55</v>
      </c>
      <c r="G26" s="26"/>
      <c r="H26" s="67">
        <v>2016</v>
      </c>
      <c r="I26" s="63">
        <v>-2.62</v>
      </c>
      <c r="J26" s="63">
        <v>7.1</v>
      </c>
      <c r="K26" s="63">
        <v>3.9021447316820002</v>
      </c>
      <c r="L26" s="63">
        <v>-4.9400000000000004</v>
      </c>
      <c r="M26" s="69">
        <v>3.01</v>
      </c>
    </row>
    <row r="27" spans="1:13" x14ac:dyDescent="0.35">
      <c r="A27" s="67" t="s">
        <v>85</v>
      </c>
      <c r="B27" s="90">
        <v>3.78</v>
      </c>
      <c r="C27" s="63">
        <v>2.81</v>
      </c>
      <c r="D27" s="63">
        <v>7.58</v>
      </c>
      <c r="E27" s="63">
        <v>-3.96</v>
      </c>
      <c r="F27" s="69">
        <v>10.25</v>
      </c>
      <c r="H27" s="67">
        <v>2017</v>
      </c>
      <c r="I27" s="63">
        <v>12.07</v>
      </c>
      <c r="J27" s="63">
        <v>3.78</v>
      </c>
      <c r="K27" s="63">
        <v>2.81</v>
      </c>
      <c r="L27" s="63">
        <v>7.58</v>
      </c>
      <c r="M27" s="69">
        <v>28.65</v>
      </c>
    </row>
    <row r="28" spans="1:13" x14ac:dyDescent="0.35">
      <c r="A28" s="67" t="s">
        <v>102</v>
      </c>
      <c r="B28" s="106">
        <v>5.94</v>
      </c>
      <c r="C28" s="106">
        <v>2.02</v>
      </c>
      <c r="D28" s="63">
        <v>-0.62</v>
      </c>
      <c r="E28" s="63">
        <v>7.01</v>
      </c>
      <c r="F28" s="112">
        <v>14.93</v>
      </c>
      <c r="H28" s="67">
        <v>2018</v>
      </c>
      <c r="I28" s="107">
        <v>-3.96</v>
      </c>
      <c r="J28" s="108">
        <v>5.94</v>
      </c>
      <c r="K28" s="108">
        <v>2.02</v>
      </c>
      <c r="L28" s="63">
        <v>-0.62</v>
      </c>
      <c r="M28" s="113">
        <v>3.15</v>
      </c>
    </row>
    <row r="29" spans="1:13" x14ac:dyDescent="0.35">
      <c r="A29" s="67" t="s">
        <v>110</v>
      </c>
      <c r="B29" s="48">
        <v>1.42</v>
      </c>
      <c r="C29" s="122">
        <v>-2.6700000000000057</v>
      </c>
      <c r="D29" s="63">
        <v>6.05</v>
      </c>
      <c r="E29" s="63">
        <v>-29.34</v>
      </c>
      <c r="F29" s="124">
        <v>-26.029999999999998</v>
      </c>
      <c r="H29" s="67">
        <v>2019</v>
      </c>
      <c r="I29" s="119">
        <v>7.01</v>
      </c>
      <c r="J29" s="119">
        <v>1.42</v>
      </c>
      <c r="K29" s="120">
        <v>-2.6700000000000057</v>
      </c>
      <c r="L29" s="119">
        <v>6.05</v>
      </c>
      <c r="M29" s="125">
        <v>12.02</v>
      </c>
    </row>
    <row r="30" spans="1:13" x14ac:dyDescent="0.35">
      <c r="A30" s="67" t="s">
        <v>112</v>
      </c>
      <c r="B30" s="48">
        <v>19.82</v>
      </c>
      <c r="C30" s="134">
        <v>9.18</v>
      </c>
      <c r="D30" s="63">
        <v>24.31</v>
      </c>
      <c r="E30" s="63">
        <v>5.07</v>
      </c>
      <c r="F30" s="112">
        <v>70.87</v>
      </c>
      <c r="H30" s="67">
        <v>2020</v>
      </c>
      <c r="I30" s="120">
        <v>-29.34</v>
      </c>
      <c r="J30" s="119">
        <v>19.82</v>
      </c>
      <c r="K30" s="119">
        <v>9.18</v>
      </c>
      <c r="L30" s="119">
        <v>24.31</v>
      </c>
      <c r="M30" s="125">
        <v>14.9</v>
      </c>
    </row>
    <row r="31" spans="1:13" ht="15" thickBot="1" x14ac:dyDescent="0.4">
      <c r="A31" s="98" t="s">
        <v>116</v>
      </c>
      <c r="B31" s="100">
        <v>7.02</v>
      </c>
      <c r="C31" s="126">
        <v>12.06</v>
      </c>
      <c r="D31" s="99"/>
      <c r="E31" s="99"/>
      <c r="F31" s="131">
        <v>19.93</v>
      </c>
      <c r="H31" s="98">
        <v>2021</v>
      </c>
      <c r="I31" s="133">
        <v>5.07</v>
      </c>
      <c r="J31" s="118">
        <v>7.02</v>
      </c>
      <c r="K31" s="118">
        <v>12.06</v>
      </c>
      <c r="L31" s="118"/>
      <c r="M31" s="132">
        <v>26.01</v>
      </c>
    </row>
    <row r="32" spans="1:13" x14ac:dyDescent="0.35">
      <c r="D32" s="1"/>
      <c r="H32" s="61"/>
      <c r="I32" s="94"/>
      <c r="J32" s="95"/>
      <c r="K32" s="95"/>
      <c r="L32" s="95"/>
      <c r="M32" s="95"/>
    </row>
    <row r="33" spans="1:13" x14ac:dyDescent="0.35">
      <c r="A33" s="62" t="s">
        <v>52</v>
      </c>
      <c r="M33" s="1"/>
    </row>
    <row r="34" spans="1:13" x14ac:dyDescent="0.35">
      <c r="A34" s="62" t="s">
        <v>53</v>
      </c>
    </row>
    <row r="35" spans="1:13" x14ac:dyDescent="0.35">
      <c r="A35" s="62" t="s">
        <v>54</v>
      </c>
      <c r="B35" s="26"/>
      <c r="C35" s="26"/>
      <c r="D35" s="26"/>
      <c r="E35" s="26"/>
      <c r="K35" s="26"/>
      <c r="L35" s="26"/>
    </row>
  </sheetData>
  <mergeCells count="4">
    <mergeCell ref="A1:F1"/>
    <mergeCell ref="H1:M1"/>
    <mergeCell ref="A17:F17"/>
    <mergeCell ref="H17:M17"/>
  </mergeCells>
  <conditionalFormatting sqref="I8:M13 B8:F14">
    <cfRule type="cellIs" dxfId="71" priority="191" operator="lessThan">
      <formula>B24</formula>
    </cfRule>
    <cfRule type="cellIs" dxfId="70" priority="192" operator="greaterThan">
      <formula>B24</formula>
    </cfRule>
  </conditionalFormatting>
  <conditionalFormatting sqref="D8">
    <cfRule type="cellIs" dxfId="69" priority="179" operator="lessThan">
      <formula>D24</formula>
    </cfRule>
    <cfRule type="cellIs" dxfId="68" priority="180" operator="greaterThan">
      <formula>D24</formula>
    </cfRule>
  </conditionalFormatting>
  <conditionalFormatting sqref="E8">
    <cfRule type="cellIs" dxfId="67" priority="177" operator="lessThan">
      <formula>E24</formula>
    </cfRule>
    <cfRule type="cellIs" dxfId="66" priority="178" operator="greaterThan">
      <formula>E24</formula>
    </cfRule>
  </conditionalFormatting>
  <conditionalFormatting sqref="F8">
    <cfRule type="cellIs" dxfId="65" priority="175" operator="lessThan">
      <formula>F24</formula>
    </cfRule>
    <cfRule type="cellIs" dxfId="64" priority="176" operator="greaterThan">
      <formula>F24</formula>
    </cfRule>
  </conditionalFormatting>
  <conditionalFormatting sqref="B9">
    <cfRule type="cellIs" dxfId="63" priority="173" operator="lessThan">
      <formula>B25</formula>
    </cfRule>
    <cfRule type="cellIs" dxfId="62" priority="174" operator="greaterThan">
      <formula>B25</formula>
    </cfRule>
  </conditionalFormatting>
  <conditionalFormatting sqref="C9">
    <cfRule type="cellIs" dxfId="61" priority="171" operator="lessThan">
      <formula>C25</formula>
    </cfRule>
    <cfRule type="cellIs" dxfId="60" priority="172" operator="greaterThan">
      <formula>C25</formula>
    </cfRule>
  </conditionalFormatting>
  <conditionalFormatting sqref="D9">
    <cfRule type="cellIs" dxfId="59" priority="169" operator="lessThan">
      <formula>D25</formula>
    </cfRule>
    <cfRule type="cellIs" dxfId="58" priority="170" operator="greaterThan">
      <formula>D25</formula>
    </cfRule>
  </conditionalFormatting>
  <conditionalFormatting sqref="E9">
    <cfRule type="cellIs" dxfId="57" priority="167" operator="lessThan">
      <formula>E25</formula>
    </cfRule>
    <cfRule type="cellIs" dxfId="56" priority="168" operator="greaterThan">
      <formula>E25</formula>
    </cfRule>
  </conditionalFormatting>
  <conditionalFormatting sqref="F9">
    <cfRule type="cellIs" dxfId="55" priority="165" operator="lessThan">
      <formula>F25</formula>
    </cfRule>
    <cfRule type="cellIs" dxfId="54" priority="166" operator="greaterThan">
      <formula>F25</formula>
    </cfRule>
  </conditionalFormatting>
  <conditionalFormatting sqref="I9:L9">
    <cfRule type="cellIs" dxfId="53" priority="153" operator="lessThan">
      <formula>I25</formula>
    </cfRule>
    <cfRule type="cellIs" dxfId="52" priority="154" operator="greaterThan">
      <formula>I25</formula>
    </cfRule>
  </conditionalFormatting>
  <conditionalFormatting sqref="I10:K10">
    <cfRule type="cellIs" dxfId="51" priority="151" operator="lessThan">
      <formula>I26</formula>
    </cfRule>
    <cfRule type="cellIs" dxfId="50" priority="152" operator="greaterThan">
      <formula>I26</formula>
    </cfRule>
  </conditionalFormatting>
  <conditionalFormatting sqref="M9">
    <cfRule type="cellIs" dxfId="49" priority="157" operator="lessThan">
      <formula>M25</formula>
    </cfRule>
    <cfRule type="cellIs" dxfId="48" priority="158" operator="greaterThan">
      <formula>M25</formula>
    </cfRule>
  </conditionalFormatting>
  <conditionalFormatting sqref="B10">
    <cfRule type="cellIs" dxfId="47" priority="149" operator="lessThan">
      <formula>B26</formula>
    </cfRule>
    <cfRule type="cellIs" dxfId="46" priority="150" operator="greaterThan">
      <formula>B26</formula>
    </cfRule>
  </conditionalFormatting>
  <conditionalFormatting sqref="C10">
    <cfRule type="cellIs" dxfId="45" priority="139" operator="lessThan">
      <formula>C26</formula>
    </cfRule>
    <cfRule type="cellIs" dxfId="44" priority="140" operator="greaterThan">
      <formula>C26</formula>
    </cfRule>
  </conditionalFormatting>
  <conditionalFormatting sqref="L10">
    <cfRule type="cellIs" dxfId="43" priority="137" operator="lessThan">
      <formula>L26</formula>
    </cfRule>
    <cfRule type="cellIs" dxfId="42" priority="138" operator="greaterThan">
      <formula>L26</formula>
    </cfRule>
  </conditionalFormatting>
  <conditionalFormatting sqref="D10">
    <cfRule type="cellIs" dxfId="41" priority="135" operator="lessThan">
      <formula>D26</formula>
    </cfRule>
    <cfRule type="cellIs" dxfId="40" priority="136" operator="greaterThan">
      <formula>D26</formula>
    </cfRule>
  </conditionalFormatting>
  <conditionalFormatting sqref="E10">
    <cfRule type="cellIs" dxfId="39" priority="133" operator="lessThan">
      <formula>E26</formula>
    </cfRule>
    <cfRule type="cellIs" dxfId="38" priority="134" operator="greaterThan">
      <formula>E26</formula>
    </cfRule>
  </conditionalFormatting>
  <conditionalFormatting sqref="F10">
    <cfRule type="cellIs" dxfId="37" priority="131" operator="lessThan">
      <formula>F26</formula>
    </cfRule>
    <cfRule type="cellIs" dxfId="36" priority="132" operator="greaterThan">
      <formula>F26</formula>
    </cfRule>
  </conditionalFormatting>
  <conditionalFormatting sqref="C11">
    <cfRule type="cellIs" dxfId="35" priority="127" operator="lessThan">
      <formula>C27</formula>
    </cfRule>
    <cfRule type="cellIs" dxfId="34" priority="128" operator="greaterThan">
      <formula>C27</formula>
    </cfRule>
  </conditionalFormatting>
  <conditionalFormatting sqref="I11">
    <cfRule type="cellIs" dxfId="33" priority="117" operator="lessThan">
      <formula>I27</formula>
    </cfRule>
    <cfRule type="cellIs" dxfId="32" priority="118" operator="greaterThan">
      <formula>I27</formula>
    </cfRule>
  </conditionalFormatting>
  <conditionalFormatting sqref="B11">
    <cfRule type="cellIs" dxfId="31" priority="109" operator="lessThan">
      <formula>B27</formula>
    </cfRule>
    <cfRule type="cellIs" dxfId="30" priority="110" operator="greaterThan">
      <formula>B27</formula>
    </cfRule>
  </conditionalFormatting>
  <conditionalFormatting sqref="J11">
    <cfRule type="cellIs" dxfId="29" priority="105" operator="lessThan">
      <formula>J27</formula>
    </cfRule>
    <cfRule type="cellIs" dxfId="28" priority="106" operator="greaterThan">
      <formula>J27</formula>
    </cfRule>
  </conditionalFormatting>
  <conditionalFormatting sqref="F11">
    <cfRule type="cellIs" dxfId="27" priority="103" operator="lessThan">
      <formula>F27</formula>
    </cfRule>
    <cfRule type="cellIs" dxfId="26" priority="104" operator="greaterThan">
      <formula>F27</formula>
    </cfRule>
  </conditionalFormatting>
  <conditionalFormatting sqref="M10">
    <cfRule type="cellIs" dxfId="25" priority="101" operator="lessThan">
      <formula>M26</formula>
    </cfRule>
    <cfRule type="cellIs" dxfId="24" priority="102" operator="greaterThan">
      <formula>M26</formula>
    </cfRule>
  </conditionalFormatting>
  <conditionalFormatting sqref="M11">
    <cfRule type="cellIs" dxfId="23" priority="99" operator="lessThan">
      <formula>M27</formula>
    </cfRule>
    <cfRule type="cellIs" dxfId="22" priority="100" operator="greaterThan">
      <formula>M27</formula>
    </cfRule>
  </conditionalFormatting>
  <conditionalFormatting sqref="C11">
    <cfRule type="cellIs" dxfId="21" priority="97" operator="lessThan">
      <formula>C27</formula>
    </cfRule>
    <cfRule type="cellIs" dxfId="20" priority="98" operator="greaterThan">
      <formula>C27</formula>
    </cfRule>
  </conditionalFormatting>
  <conditionalFormatting sqref="J12:K12">
    <cfRule type="cellIs" dxfId="19" priority="75" operator="lessThan">
      <formula>J28</formula>
    </cfRule>
    <cfRule type="cellIs" dxfId="18" priority="76" operator="greaterThan">
      <formula>J28</formula>
    </cfRule>
  </conditionalFormatting>
  <conditionalFormatting sqref="M12">
    <cfRule type="cellIs" dxfId="17" priority="29" operator="lessThan">
      <formula>M28</formula>
    </cfRule>
    <cfRule type="cellIs" dxfId="16" priority="30" operator="greaterThan">
      <formula>M28</formula>
    </cfRule>
  </conditionalFormatting>
  <conditionalFormatting sqref="L12">
    <cfRule type="cellIs" dxfId="15" priority="27" operator="lessThan">
      <formula>L28</formula>
    </cfRule>
    <cfRule type="cellIs" dxfId="14" priority="28" operator="greaterThan">
      <formula>L28</formula>
    </cfRule>
  </conditionalFormatting>
  <conditionalFormatting sqref="D11">
    <cfRule type="cellIs" dxfId="13" priority="7" operator="lessThan">
      <formula>D27</formula>
    </cfRule>
    <cfRule type="cellIs" dxfId="12" priority="8" operator="greaterThan">
      <formula>D27</formula>
    </cfRule>
  </conditionalFormatting>
  <conditionalFormatting sqref="B24:F30">
    <cfRule type="cellIs" dxfId="11" priority="6" operator="equal">
      <formula>0</formula>
    </cfRule>
  </conditionalFormatting>
  <conditionalFormatting sqref="I14:M14">
    <cfRule type="cellIs" dxfId="10" priority="195" operator="lessThan">
      <formula>I30</formula>
    </cfRule>
    <cfRule type="cellIs" dxfId="9" priority="196" operator="greaterThan">
      <formula>I30</formula>
    </cfRule>
  </conditionalFormatting>
  <conditionalFormatting sqref="I15:M15">
    <cfRule type="cellIs" dxfId="8" priority="4" operator="lessThan">
      <formula>I31</formula>
    </cfRule>
    <cfRule type="cellIs" dxfId="7" priority="5" operator="greaterThan">
      <formula>I31</formula>
    </cfRule>
  </conditionalFormatting>
  <conditionalFormatting sqref="B15:F15">
    <cfRule type="cellIs" dxfId="6" priority="2" operator="lessThan">
      <formula>B31</formula>
    </cfRule>
    <cfRule type="cellIs" dxfId="5" priority="3" operator="greaterThan">
      <formula>B31</formula>
    </cfRule>
  </conditionalFormatting>
  <conditionalFormatting sqref="B31:F31">
    <cfRule type="cellIs" dxfId="4" priority="1" operator="equal">
      <formula>0</formula>
    </cfRule>
  </conditionalFormatting>
  <pageMargins left="0.7" right="0.7" top="0.75" bottom="0.75" header="0.3" footer="0.3"/>
  <pageSetup scale="7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93"/>
  <sheetViews>
    <sheetView showGridLines="0" zoomScaleNormal="100" workbookViewId="0">
      <pane xSplit="1" ySplit="1" topLeftCell="B2" activePane="bottomRight" state="frozen"/>
      <selection sqref="A1:M2"/>
      <selection pane="topRight" sqref="A1:M2"/>
      <selection pane="bottomLeft" sqref="A1:M2"/>
      <selection pane="bottomRight"/>
    </sheetView>
  </sheetViews>
  <sheetFormatPr defaultRowHeight="14.5" x14ac:dyDescent="0.35"/>
  <cols>
    <col min="1" max="1" width="12.1796875" bestFit="1" customWidth="1"/>
    <col min="11" max="11" width="24.1796875" customWidth="1"/>
    <col min="12" max="12" width="11" customWidth="1"/>
  </cols>
  <sheetData>
    <row r="1" spans="1:15" ht="43.5" customHeight="1" x14ac:dyDescent="0.35">
      <c r="A1" s="130" t="s">
        <v>114</v>
      </c>
      <c r="B1" s="130">
        <v>42094</v>
      </c>
      <c r="C1" s="130">
        <v>42460</v>
      </c>
      <c r="D1" s="130">
        <v>42825</v>
      </c>
      <c r="E1" s="130">
        <v>43190</v>
      </c>
      <c r="F1" s="130">
        <v>43553</v>
      </c>
      <c r="G1" s="130">
        <v>43921</v>
      </c>
      <c r="H1" s="130">
        <v>44286</v>
      </c>
      <c r="I1" s="130">
        <v>44498</v>
      </c>
      <c r="J1" s="130" t="s">
        <v>91</v>
      </c>
      <c r="K1" s="130" t="s">
        <v>93</v>
      </c>
      <c r="L1" s="130" t="s">
        <v>71</v>
      </c>
      <c r="M1" s="130" t="s">
        <v>72</v>
      </c>
    </row>
    <row r="2" spans="1:15" x14ac:dyDescent="0.35">
      <c r="A2" s="35">
        <v>41740</v>
      </c>
      <c r="B2" s="25">
        <v>0.7305370179999835</v>
      </c>
      <c r="C2" s="25">
        <v>0.11581739420496162</v>
      </c>
      <c r="D2" s="25">
        <v>0.40228380031163269</v>
      </c>
      <c r="E2" s="25">
        <v>0.45475846119017627</v>
      </c>
      <c r="F2" s="25">
        <v>0.33920673678176816</v>
      </c>
      <c r="G2" s="25">
        <v>-0.17190257729353486</v>
      </c>
      <c r="H2" s="25">
        <v>0.93045414836382023</v>
      </c>
      <c r="I2" s="36">
        <v>0.40144506604581065</v>
      </c>
      <c r="J2" s="91">
        <v>10.818584308320858</v>
      </c>
      <c r="K2" s="36">
        <v>1.6001486080866325</v>
      </c>
      <c r="L2" s="116">
        <v>0.38658262840843238</v>
      </c>
      <c r="M2" s="38">
        <v>0.1348064688996522</v>
      </c>
      <c r="N2" s="2"/>
      <c r="O2" s="2"/>
    </row>
    <row r="3" spans="1:15" x14ac:dyDescent="0.35">
      <c r="A3" s="35">
        <v>41765</v>
      </c>
      <c r="B3" s="25">
        <v>0.65867360499999905</v>
      </c>
      <c r="C3" s="25">
        <v>0.16480296194260413</v>
      </c>
      <c r="D3" s="25">
        <v>0.39926383662504672</v>
      </c>
      <c r="E3" s="25">
        <v>0.38567527378990829</v>
      </c>
      <c r="F3" s="25">
        <v>0.37891281025701939</v>
      </c>
      <c r="G3" s="25">
        <v>-0.19951377294581751</v>
      </c>
      <c r="H3" s="25">
        <v>0.99516711342976527</v>
      </c>
      <c r="I3" s="36">
        <v>0.39481894394263706</v>
      </c>
      <c r="J3" s="91">
        <v>10.507003969128522</v>
      </c>
      <c r="K3" s="36">
        <v>1.6378156089769873</v>
      </c>
      <c r="L3" s="116">
        <v>0.38578085656276739</v>
      </c>
      <c r="M3" s="38">
        <v>0.13830437248626803</v>
      </c>
      <c r="N3" s="2"/>
      <c r="O3" s="2"/>
    </row>
    <row r="4" spans="1:15" x14ac:dyDescent="0.35">
      <c r="A4" s="35">
        <v>41810</v>
      </c>
      <c r="B4" s="25">
        <v>0.5568022250000062</v>
      </c>
      <c r="C4" s="25">
        <v>9.9705327052700632E-2</v>
      </c>
      <c r="D4" s="25">
        <v>0.42000848294331417</v>
      </c>
      <c r="E4" s="25">
        <v>0.44667176800415609</v>
      </c>
      <c r="F4" s="25">
        <v>0.28940316153767198</v>
      </c>
      <c r="G4" s="25">
        <v>-0.16439088330539309</v>
      </c>
      <c r="H4" s="25">
        <v>0.8905577518979706</v>
      </c>
      <c r="I4" s="36">
        <v>0.38989799037888662</v>
      </c>
      <c r="J4" s="91">
        <v>8.9571601513983481</v>
      </c>
      <c r="K4" s="36">
        <v>1.3435025925975026</v>
      </c>
      <c r="L4" s="116">
        <v>0.36626678814864899</v>
      </c>
      <c r="M4" s="38">
        <v>0.12259613725524643</v>
      </c>
      <c r="N4" s="2"/>
      <c r="O4" s="2"/>
    </row>
    <row r="5" spans="1:15" x14ac:dyDescent="0.35">
      <c r="A5" s="35">
        <v>41824</v>
      </c>
      <c r="B5" s="25">
        <v>0.47905522800001155</v>
      </c>
      <c r="C5" s="25">
        <v>0.14522684003521635</v>
      </c>
      <c r="D5" s="25">
        <v>0.35773722482750436</v>
      </c>
      <c r="E5" s="25">
        <v>0.47662994532400393</v>
      </c>
      <c r="F5" s="25">
        <v>0.32585987794230986</v>
      </c>
      <c r="G5" s="25">
        <v>-0.14841838699285825</v>
      </c>
      <c r="H5" s="25">
        <v>0.90777729503432814</v>
      </c>
      <c r="I5" s="36">
        <v>0.41082772721833849</v>
      </c>
      <c r="J5" s="91">
        <v>9.3202180128593461</v>
      </c>
      <c r="K5" s="36">
        <v>1.2906167366619989</v>
      </c>
      <c r="L5" s="116">
        <v>0.37520724573028108</v>
      </c>
      <c r="M5" s="38">
        <v>0.11978171613808519</v>
      </c>
      <c r="N5" s="2"/>
      <c r="O5" s="2"/>
    </row>
    <row r="6" spans="1:15" x14ac:dyDescent="0.35">
      <c r="A6" s="35">
        <v>41852</v>
      </c>
      <c r="B6" s="25">
        <v>0.49306116999999561</v>
      </c>
      <c r="C6" s="25">
        <v>0.14429310287400843</v>
      </c>
      <c r="D6" s="25">
        <v>0.37940635946265133</v>
      </c>
      <c r="E6" s="25">
        <v>0.47911059069410533</v>
      </c>
      <c r="F6" s="25">
        <v>0.3255702070975639</v>
      </c>
      <c r="G6" s="25">
        <v>-0.15563790650834164</v>
      </c>
      <c r="H6" s="25">
        <v>0.91330384762509831</v>
      </c>
      <c r="I6" s="36">
        <v>0.40835138091583545</v>
      </c>
      <c r="J6" s="91">
        <v>9.5131820055886376</v>
      </c>
      <c r="K6" s="36">
        <v>1.2886884332949124</v>
      </c>
      <c r="L6" s="116">
        <v>0.38338215158850564</v>
      </c>
      <c r="M6" s="38">
        <v>0.12099286452301072</v>
      </c>
      <c r="N6" s="2"/>
      <c r="O6" s="2"/>
    </row>
    <row r="7" spans="1:15" x14ac:dyDescent="0.35">
      <c r="A7" s="35">
        <v>41887</v>
      </c>
      <c r="B7" s="25">
        <v>0.30961910299998929</v>
      </c>
      <c r="C7" s="25">
        <v>5.9443082207392806E-2</v>
      </c>
      <c r="D7" s="25">
        <v>0.3785397758883644</v>
      </c>
      <c r="E7" s="25">
        <v>0.49904457186223472</v>
      </c>
      <c r="F7" s="25">
        <v>0.25259827251591749</v>
      </c>
      <c r="G7" s="25">
        <v>-0.14131422962575446</v>
      </c>
      <c r="H7" s="25">
        <v>0.85398902630168161</v>
      </c>
      <c r="I7" s="36">
        <v>0.39040457748323298</v>
      </c>
      <c r="J7" s="91">
        <v>6.9497029705444362</v>
      </c>
      <c r="K7" s="36">
        <v>1.1827765734719224</v>
      </c>
      <c r="L7" s="116">
        <v>0.3361736966032467</v>
      </c>
      <c r="M7" s="38">
        <v>0.11529867637519398</v>
      </c>
      <c r="N7" s="2"/>
      <c r="O7" s="2"/>
    </row>
    <row r="8" spans="1:15" x14ac:dyDescent="0.35">
      <c r="A8" s="35">
        <v>41913</v>
      </c>
      <c r="B8" s="25">
        <v>0.25916940999999571</v>
      </c>
      <c r="C8" s="25">
        <v>4.9561899697039724E-2</v>
      </c>
      <c r="D8" s="25">
        <v>0.3489252921934054</v>
      </c>
      <c r="E8" s="25">
        <v>0.49954647125101936</v>
      </c>
      <c r="F8" s="25">
        <v>0.23734032951781114</v>
      </c>
      <c r="G8" s="25">
        <v>-0.12755408975943772</v>
      </c>
      <c r="H8" s="25">
        <v>0.82422350388083299</v>
      </c>
      <c r="I8" s="36">
        <v>0.39178890373126851</v>
      </c>
      <c r="J8" s="91">
        <v>6.3268810925134797</v>
      </c>
      <c r="K8" s="36">
        <v>1.2187186118923261</v>
      </c>
      <c r="L8" s="116">
        <v>0.32472555376882872</v>
      </c>
      <c r="M8" s="38">
        <v>0.11910121333482282</v>
      </c>
      <c r="N8" s="2"/>
      <c r="O8" s="2"/>
    </row>
    <row r="9" spans="1:15" x14ac:dyDescent="0.35">
      <c r="A9" s="35">
        <v>41943</v>
      </c>
      <c r="B9" s="25">
        <v>0.21434843657129798</v>
      </c>
      <c r="C9" s="25">
        <v>4.110939776156175E-2</v>
      </c>
      <c r="D9" s="25">
        <v>0.3633987372433638</v>
      </c>
      <c r="E9" s="25">
        <v>0.49961686056348698</v>
      </c>
      <c r="F9" s="25">
        <v>0.24115901837612408</v>
      </c>
      <c r="G9" s="25">
        <v>-0.1330612767800482</v>
      </c>
      <c r="H9" s="25">
        <v>0.83354167371717791</v>
      </c>
      <c r="I9" s="36">
        <v>0.38952450493734303</v>
      </c>
      <c r="J9" s="91">
        <v>6.0862376682987183</v>
      </c>
      <c r="K9" s="36">
        <v>1.1632044753464226</v>
      </c>
      <c r="L9" s="116">
        <v>0.32278103336600195</v>
      </c>
      <c r="M9" s="38">
        <v>0.11653176162814605</v>
      </c>
      <c r="N9" s="2"/>
      <c r="O9" s="2"/>
    </row>
    <row r="10" spans="1:15" x14ac:dyDescent="0.35">
      <c r="A10" s="35">
        <v>41974</v>
      </c>
      <c r="B10" s="25">
        <v>0.18486621699999306</v>
      </c>
      <c r="C10" s="25">
        <v>-4.9557172917433778E-3</v>
      </c>
      <c r="D10" s="25">
        <v>0.36711386289885706</v>
      </c>
      <c r="E10" s="25">
        <v>0.47901151099689976</v>
      </c>
      <c r="F10" s="25">
        <v>0.18212300487939581</v>
      </c>
      <c r="G10" s="25">
        <v>-0.12745057417455585</v>
      </c>
      <c r="H10" s="25">
        <v>0.77672515844453804</v>
      </c>
      <c r="I10" s="36">
        <v>0.37595144334715291</v>
      </c>
      <c r="J10" s="91">
        <v>5.0112395289625704</v>
      </c>
      <c r="K10" s="36">
        <v>1.0576543533315883</v>
      </c>
      <c r="L10" s="116">
        <v>0.29612633406288147</v>
      </c>
      <c r="M10" s="38">
        <v>0.10998555606100346</v>
      </c>
      <c r="N10" s="2"/>
      <c r="O10" s="2"/>
    </row>
    <row r="11" spans="1:15" x14ac:dyDescent="0.35">
      <c r="A11" s="35">
        <v>42009</v>
      </c>
      <c r="B11" s="25">
        <v>4.6286706999999705E-2</v>
      </c>
      <c r="C11" s="25">
        <v>1.936377941577172E-2</v>
      </c>
      <c r="D11" s="25">
        <v>0.3510531303731772</v>
      </c>
      <c r="E11" s="25">
        <v>0.37880288517543814</v>
      </c>
      <c r="F11" s="25">
        <v>0.10807917724525873</v>
      </c>
      <c r="G11" s="25">
        <v>-0.13218362734749145</v>
      </c>
      <c r="H11" s="25">
        <v>0.7077020545399646</v>
      </c>
      <c r="I11" s="36">
        <v>0.34851908267457032</v>
      </c>
      <c r="J11" s="91">
        <v>3.3996927417264997</v>
      </c>
      <c r="K11" s="36">
        <v>1.1049080156513345</v>
      </c>
      <c r="L11" s="116">
        <v>0.24266716761698159</v>
      </c>
      <c r="M11" s="38">
        <v>0.11532284642037993</v>
      </c>
      <c r="N11" s="2"/>
      <c r="O11" s="2"/>
    </row>
    <row r="12" spans="1:15" x14ac:dyDescent="0.35">
      <c r="A12" s="35">
        <v>42037</v>
      </c>
      <c r="B12" s="25">
        <v>-8.6177490000017842E-3</v>
      </c>
      <c r="C12" s="25">
        <v>2.5161630617080322E-2</v>
      </c>
      <c r="D12" s="25">
        <v>0.37348730594882551</v>
      </c>
      <c r="E12" s="25">
        <v>0.38733675706981696</v>
      </c>
      <c r="F12" s="25">
        <v>6.7415694820298411E-2</v>
      </c>
      <c r="G12" s="25">
        <v>-0.13271888958044131</v>
      </c>
      <c r="H12" s="25">
        <v>0.67935786964116418</v>
      </c>
      <c r="I12" s="36">
        <v>0.33158946426728275</v>
      </c>
      <c r="J12" s="91">
        <v>3.009102023229814</v>
      </c>
      <c r="K12" s="36">
        <v>1.0061131355787909</v>
      </c>
      <c r="L12" s="116">
        <v>0.22868383351742838</v>
      </c>
      <c r="M12" s="38">
        <v>0.10877506177942475</v>
      </c>
      <c r="N12" s="2"/>
      <c r="O12" s="2"/>
    </row>
    <row r="13" spans="1:15" x14ac:dyDescent="0.35">
      <c r="A13" s="35">
        <v>42065</v>
      </c>
      <c r="B13" s="25">
        <v>5.9417619999999616E-3</v>
      </c>
      <c r="C13" s="25">
        <v>3.1555437102948947E-2</v>
      </c>
      <c r="D13" s="25">
        <v>0.3943059865543137</v>
      </c>
      <c r="E13" s="25">
        <v>0.39173798656589653</v>
      </c>
      <c r="F13" s="25">
        <v>0.13117300786261232</v>
      </c>
      <c r="G13" s="25">
        <v>-0.13360805038471579</v>
      </c>
      <c r="H13" s="25">
        <v>0.7311736842211809</v>
      </c>
      <c r="I13" s="36">
        <v>0.34485970015270029</v>
      </c>
      <c r="J13" s="91">
        <v>3.5945407858679665</v>
      </c>
      <c r="K13" s="36">
        <v>0.98516600481922234</v>
      </c>
      <c r="L13" s="116">
        <v>0.25704239877124491</v>
      </c>
      <c r="M13" s="38">
        <v>0.1083467301829093</v>
      </c>
      <c r="N13" s="2"/>
      <c r="O13" s="2"/>
    </row>
    <row r="14" spans="1:15" x14ac:dyDescent="0.35">
      <c r="A14" s="35">
        <v>42100</v>
      </c>
      <c r="B14" s="25"/>
      <c r="C14" s="25">
        <v>4.4216249999998292E-2</v>
      </c>
      <c r="D14" s="25">
        <v>0.41362983960456567</v>
      </c>
      <c r="E14" s="25">
        <v>0.39045512903261148</v>
      </c>
      <c r="F14" s="25">
        <v>0.13658399118020781</v>
      </c>
      <c r="G14" s="25">
        <v>-0.14080907582076596</v>
      </c>
      <c r="H14" s="25">
        <v>0.74834599221083931</v>
      </c>
      <c r="I14" s="36">
        <v>0.34520288896399909</v>
      </c>
      <c r="J14" s="91">
        <v>3.7139993605034665</v>
      </c>
      <c r="K14" s="36">
        <v>1.0581336439074107</v>
      </c>
      <c r="L14" s="116">
        <v>0.26618375324986587</v>
      </c>
      <c r="M14" s="38">
        <v>0.1161276504972617</v>
      </c>
      <c r="N14" s="2"/>
      <c r="O14" s="2"/>
    </row>
    <row r="15" spans="1:15" x14ac:dyDescent="0.35">
      <c r="A15" s="35">
        <v>42128</v>
      </c>
      <c r="B15" s="25"/>
      <c r="C15" s="25">
        <v>7.216875700000247E-2</v>
      </c>
      <c r="D15" s="25">
        <v>0.37754430947292428</v>
      </c>
      <c r="E15" s="25">
        <v>0.38628499908704472</v>
      </c>
      <c r="F15" s="25">
        <v>0.13512538337187285</v>
      </c>
      <c r="G15" s="25">
        <v>-0.13288282686025488</v>
      </c>
      <c r="H15" s="25">
        <v>0.72786329995199739</v>
      </c>
      <c r="I15" s="36">
        <v>0.34703327975007592</v>
      </c>
      <c r="J15" s="91">
        <v>3.6906235253603459</v>
      </c>
      <c r="K15" s="36">
        <v>1.1599523314795568</v>
      </c>
      <c r="L15" s="116">
        <v>0.2687474234806988</v>
      </c>
      <c r="M15" s="38">
        <v>0.12591919710218158</v>
      </c>
      <c r="N15" s="2"/>
      <c r="O15" s="2"/>
    </row>
    <row r="16" spans="1:15" x14ac:dyDescent="0.35">
      <c r="A16" s="35">
        <v>42158</v>
      </c>
      <c r="B16" s="25"/>
      <c r="C16" s="25">
        <v>4.8083993000018532E-2</v>
      </c>
      <c r="D16" s="25">
        <v>0.42419827224671103</v>
      </c>
      <c r="E16" s="25">
        <v>0.38667047341499883</v>
      </c>
      <c r="F16" s="25">
        <v>9.2411629073195334E-2</v>
      </c>
      <c r="G16" s="25">
        <v>-0.13171898065751331</v>
      </c>
      <c r="H16" s="25">
        <v>0.70419282958920681</v>
      </c>
      <c r="I16" s="36">
        <v>0.33230822378920744</v>
      </c>
      <c r="J16" s="91">
        <v>3.4576903204714151</v>
      </c>
      <c r="K16" s="36">
        <v>1.1455420721305902</v>
      </c>
      <c r="L16" s="116">
        <v>0.26255424847650377</v>
      </c>
      <c r="M16" s="38">
        <v>0.12645568243353078</v>
      </c>
      <c r="N16" s="2"/>
      <c r="O16" s="2"/>
    </row>
    <row r="17" spans="1:15" x14ac:dyDescent="0.35">
      <c r="A17" s="35">
        <v>42191</v>
      </c>
      <c r="B17" s="25"/>
      <c r="C17" s="25">
        <v>2.8130342999993507E-2</v>
      </c>
      <c r="D17" s="25">
        <v>0.40173900596571888</v>
      </c>
      <c r="E17" s="25">
        <v>0.38827428472387759</v>
      </c>
      <c r="F17" s="25">
        <v>9.1752331196115922E-2</v>
      </c>
      <c r="G17" s="25">
        <v>-0.12400784344980831</v>
      </c>
      <c r="H17" s="25">
        <v>0.68611729478270078</v>
      </c>
      <c r="I17" s="36">
        <v>0.33304089143028914</v>
      </c>
      <c r="J17" s="91">
        <v>3.3007699593042474</v>
      </c>
      <c r="K17" s="36">
        <v>1.0827175335006909</v>
      </c>
      <c r="L17" s="116">
        <v>0.2596096047791121</v>
      </c>
      <c r="M17" s="38">
        <v>0.12308293315876084</v>
      </c>
      <c r="N17" s="2"/>
      <c r="O17" s="2"/>
    </row>
    <row r="18" spans="1:15" x14ac:dyDescent="0.35">
      <c r="A18" s="35">
        <v>42219</v>
      </c>
      <c r="B18" s="25"/>
      <c r="C18" s="25">
        <v>-5.2484575085410823E-3</v>
      </c>
      <c r="D18" s="25">
        <v>0.4133263906692517</v>
      </c>
      <c r="E18" s="25">
        <v>0.35795942807708014</v>
      </c>
      <c r="F18" s="25">
        <v>8.5578464186606196E-2</v>
      </c>
      <c r="G18" s="25">
        <v>-0.14117308003064055</v>
      </c>
      <c r="H18" s="25">
        <v>0.6995898632451083</v>
      </c>
      <c r="I18" s="36">
        <v>0.32676836413164256</v>
      </c>
      <c r="J18" s="91">
        <v>3.0138947264167717</v>
      </c>
      <c r="K18" s="36">
        <v>1.0710137878903292</v>
      </c>
      <c r="L18" s="116">
        <v>0.24929757846898792</v>
      </c>
      <c r="M18" s="38">
        <v>0.12367113287012077</v>
      </c>
      <c r="N18" s="2"/>
      <c r="O18" s="2"/>
    </row>
    <row r="19" spans="1:15" x14ac:dyDescent="0.35">
      <c r="A19" s="35">
        <v>42247</v>
      </c>
      <c r="B19" s="25"/>
      <c r="C19" s="25">
        <v>4.7914848761305029E-2</v>
      </c>
      <c r="D19" s="25">
        <v>0.46799257613565515</v>
      </c>
      <c r="E19" s="25">
        <v>0.36292042354800258</v>
      </c>
      <c r="F19" s="25">
        <v>0.14663392050134472</v>
      </c>
      <c r="G19" s="25">
        <v>-0.16440438082320319</v>
      </c>
      <c r="H19" s="25">
        <v>0.78429542987689405</v>
      </c>
      <c r="I19" s="36">
        <v>0.33872200538546404</v>
      </c>
      <c r="J19" s="91">
        <v>3.7984458427039938</v>
      </c>
      <c r="K19" s="36">
        <v>1.2084179481251436</v>
      </c>
      <c r="L19" s="116">
        <v>0.28955707288386856</v>
      </c>
      <c r="M19" s="38">
        <v>0.13708473973493018</v>
      </c>
      <c r="N19" s="2"/>
      <c r="O19" s="2"/>
    </row>
    <row r="20" spans="1:15" x14ac:dyDescent="0.35">
      <c r="A20" s="35">
        <v>42282</v>
      </c>
      <c r="B20" s="25"/>
      <c r="C20" s="25">
        <v>-4.0769625000006804E-2</v>
      </c>
      <c r="D20" s="25">
        <v>0.44055072588791755</v>
      </c>
      <c r="E20" s="25">
        <v>0.3230114791526435</v>
      </c>
      <c r="F20" s="25">
        <v>0.13469278168266152</v>
      </c>
      <c r="G20" s="25">
        <v>-0.19385850653302761</v>
      </c>
      <c r="H20" s="25">
        <v>0.81904776732383144</v>
      </c>
      <c r="I20" s="36">
        <v>0.32921339792775028</v>
      </c>
      <c r="J20" s="91">
        <v>3.043369886841826</v>
      </c>
      <c r="K20" s="36">
        <v>1.2225974417990413</v>
      </c>
      <c r="L20" s="116">
        <v>0.25874407747486883</v>
      </c>
      <c r="M20" s="38">
        <v>0.14059603429510559</v>
      </c>
      <c r="N20" s="2"/>
      <c r="O20" s="2"/>
    </row>
    <row r="21" spans="1:15" x14ac:dyDescent="0.35">
      <c r="A21" s="35">
        <v>42317</v>
      </c>
      <c r="B21" s="25"/>
      <c r="C21" s="25">
        <v>-2.1268391000003217E-2</v>
      </c>
      <c r="D21" s="25">
        <v>0.45775562971522366</v>
      </c>
      <c r="E21" s="25">
        <v>0.30128786729046064</v>
      </c>
      <c r="F21" s="25">
        <v>0.11524636545667355</v>
      </c>
      <c r="G21" s="25">
        <v>-0.19988920789571563</v>
      </c>
      <c r="H21" s="25">
        <v>0.78107547916633013</v>
      </c>
      <c r="I21" s="36">
        <v>0.31439547183936511</v>
      </c>
      <c r="J21" s="91">
        <v>2.8783861386564551</v>
      </c>
      <c r="K21" s="36">
        <v>1.2216474108343909</v>
      </c>
      <c r="L21" s="116">
        <v>0.2546233242163225</v>
      </c>
      <c r="M21" s="38">
        <v>0.14292469804537888</v>
      </c>
      <c r="N21" s="2"/>
      <c r="O21" s="2"/>
    </row>
    <row r="22" spans="1:15" x14ac:dyDescent="0.35">
      <c r="A22" s="35">
        <v>42339</v>
      </c>
      <c r="B22" s="25"/>
      <c r="C22" s="25">
        <v>-7.1751125999999998E-2</v>
      </c>
      <c r="D22" s="25">
        <v>0.44265429510233534</v>
      </c>
      <c r="E22" s="25">
        <v>0.31635231051744017</v>
      </c>
      <c r="F22" s="25">
        <v>0.11411861771843901</v>
      </c>
      <c r="G22" s="25">
        <v>-0.19447768537160659</v>
      </c>
      <c r="H22" s="25">
        <v>0.79052603858922765</v>
      </c>
      <c r="I22" s="36">
        <v>0.31785300748561252</v>
      </c>
      <c r="J22" s="91">
        <v>2.7329782949824222</v>
      </c>
      <c r="K22" s="36">
        <v>1.2269808764689194</v>
      </c>
      <c r="L22" s="116">
        <v>0.2494289189596175</v>
      </c>
      <c r="M22" s="38">
        <v>0.14494562631204078</v>
      </c>
      <c r="N22" s="2"/>
      <c r="O22" s="2"/>
    </row>
    <row r="23" spans="1:15" x14ac:dyDescent="0.35">
      <c r="A23" s="35">
        <v>42374</v>
      </c>
      <c r="B23" s="25"/>
      <c r="C23" s="25">
        <v>-5.3687257000002986E-2</v>
      </c>
      <c r="D23" s="25">
        <v>0.42075871739580717</v>
      </c>
      <c r="E23" s="25">
        <v>0.30794900771045897</v>
      </c>
      <c r="F23" s="25">
        <v>0.10130933556970967</v>
      </c>
      <c r="G23" s="25">
        <v>-0.19335767091187972</v>
      </c>
      <c r="H23" s="25">
        <v>0.77034342561742775</v>
      </c>
      <c r="I23" s="36">
        <v>0.31205637466559666</v>
      </c>
      <c r="J23" s="91">
        <v>2.6286591647296991</v>
      </c>
      <c r="K23" s="36">
        <v>1.2681259866774481</v>
      </c>
      <c r="L23" s="116">
        <v>0.2479290752303176</v>
      </c>
      <c r="M23" s="38">
        <v>0.15111795988700072</v>
      </c>
      <c r="N23" s="2"/>
      <c r="O23" s="2"/>
    </row>
    <row r="24" spans="1:15" x14ac:dyDescent="0.35">
      <c r="A24" s="35">
        <v>42401</v>
      </c>
      <c r="B24" s="25"/>
      <c r="C24" s="25"/>
      <c r="D24" s="25">
        <v>0.38162977100001338</v>
      </c>
      <c r="E24" s="25">
        <v>0.28863243038561892</v>
      </c>
      <c r="F24" s="25">
        <v>-1.1875144375072866E-2</v>
      </c>
      <c r="G24" s="25">
        <v>-0.11715647272459018</v>
      </c>
      <c r="H24" s="25">
        <v>0.54803417115302278</v>
      </c>
      <c r="I24" s="36">
        <v>0.29272839501980141</v>
      </c>
      <c r="J24" s="91">
        <v>2.1081654792365661</v>
      </c>
      <c r="K24" s="36">
        <v>1.3364227115574039</v>
      </c>
      <c r="L24" s="116">
        <v>0.21821620462915914</v>
      </c>
      <c r="M24" s="38">
        <v>0.15917602106179385</v>
      </c>
      <c r="N24" s="2"/>
      <c r="O24" s="2"/>
    </row>
    <row r="25" spans="1:15" x14ac:dyDescent="0.35">
      <c r="A25" s="35">
        <v>42437</v>
      </c>
      <c r="B25" s="25"/>
      <c r="C25" s="25"/>
      <c r="D25" s="25">
        <v>0.38151808700000744</v>
      </c>
      <c r="E25" s="25">
        <v>0.28867955264949385</v>
      </c>
      <c r="F25" s="25">
        <v>-1.2334678946136379E-2</v>
      </c>
      <c r="G25" s="25">
        <v>-0.11678350584306807</v>
      </c>
      <c r="H25" s="25">
        <v>0.54742291243393137</v>
      </c>
      <c r="I25" s="36">
        <v>0.29290222946449407</v>
      </c>
      <c r="J25" s="91">
        <v>2.1070854491432187</v>
      </c>
      <c r="K25" s="36">
        <v>1.3608314908454502</v>
      </c>
      <c r="L25" s="116">
        <v>0.22234840636467812</v>
      </c>
      <c r="M25" s="38">
        <v>0.16431166478859405</v>
      </c>
      <c r="N25" s="2"/>
      <c r="O25" s="2"/>
    </row>
    <row r="26" spans="1:15" x14ac:dyDescent="0.35">
      <c r="A26" s="35">
        <v>42464</v>
      </c>
      <c r="B26" s="25"/>
      <c r="C26" s="25"/>
      <c r="D26" s="25">
        <v>0.38071529700000317</v>
      </c>
      <c r="E26" s="25">
        <v>0.28872837126999373</v>
      </c>
      <c r="F26" s="25">
        <v>-1.4528152992785981E-2</v>
      </c>
      <c r="G26" s="25">
        <v>-0.11617381313605635</v>
      </c>
      <c r="H26" s="25">
        <v>0.5452698754384937</v>
      </c>
      <c r="I26" s="36">
        <v>0.2931802501701124</v>
      </c>
      <c r="J26" s="91">
        <v>2.0969914982512097</v>
      </c>
      <c r="K26" s="36">
        <v>1.2911364505610621</v>
      </c>
      <c r="L26" s="116">
        <v>0.22489502741168388</v>
      </c>
      <c r="M26" s="38">
        <v>0.16040853300799696</v>
      </c>
      <c r="N26" s="2"/>
      <c r="O26" s="2"/>
    </row>
    <row r="27" spans="1:15" x14ac:dyDescent="0.35">
      <c r="A27" s="35">
        <v>42492</v>
      </c>
      <c r="B27" s="25"/>
      <c r="C27" s="25"/>
      <c r="D27" s="25">
        <v>0.37789462600000223</v>
      </c>
      <c r="E27" s="25">
        <v>0.28869432104844694</v>
      </c>
      <c r="F27" s="25">
        <v>-1.362276851935651E-2</v>
      </c>
      <c r="G27" s="25">
        <v>-0.11638542398249296</v>
      </c>
      <c r="H27" s="25">
        <v>0.54606383194010832</v>
      </c>
      <c r="I27" s="36">
        <v>0.29323079778774042</v>
      </c>
      <c r="J27" s="91">
        <v>2.0943917215799766</v>
      </c>
      <c r="K27" s="36">
        <v>1.2512229610945496</v>
      </c>
      <c r="L27" s="116">
        <v>0.2281805174400382</v>
      </c>
      <c r="M27" s="38">
        <v>0.15910827413814466</v>
      </c>
      <c r="N27" s="2"/>
      <c r="O27" s="2"/>
    </row>
    <row r="28" spans="1:15" x14ac:dyDescent="0.35">
      <c r="A28" s="35">
        <v>42523</v>
      </c>
      <c r="B28" s="25"/>
      <c r="C28" s="25"/>
      <c r="D28" s="25">
        <v>0.25275373900001163</v>
      </c>
      <c r="E28" s="25">
        <v>0.29078876512821217</v>
      </c>
      <c r="F28" s="25">
        <v>-1.8449173464217705E-2</v>
      </c>
      <c r="G28" s="25">
        <v>-0.12496753868832278</v>
      </c>
      <c r="H28" s="25">
        <v>0.56414016365198782</v>
      </c>
      <c r="I28" s="36">
        <v>0.29134100598382906</v>
      </c>
      <c r="J28" s="91">
        <v>1.8052686082842415</v>
      </c>
      <c r="K28" s="36">
        <v>1.1603616159022976</v>
      </c>
      <c r="L28" s="116">
        <v>0.21001349841768646</v>
      </c>
      <c r="M28" s="38">
        <v>0.15298558067438739</v>
      </c>
      <c r="N28" s="2"/>
      <c r="O28" s="2"/>
    </row>
    <row r="29" spans="1:15" x14ac:dyDescent="0.35">
      <c r="A29" s="35">
        <v>42556</v>
      </c>
      <c r="B29" s="25"/>
      <c r="C29" s="25"/>
      <c r="D29" s="25">
        <v>0.1979931909999999</v>
      </c>
      <c r="E29" s="25">
        <v>0.29663362067409071</v>
      </c>
      <c r="F29" s="25">
        <v>-2.1272349972277005E-2</v>
      </c>
      <c r="G29" s="25">
        <v>-0.12007296928908584</v>
      </c>
      <c r="H29" s="25">
        <v>0.55603775094178065</v>
      </c>
      <c r="I29" s="36">
        <v>0.28426880141959754</v>
      </c>
      <c r="J29" s="91">
        <v>1.6733523690823793</v>
      </c>
      <c r="K29" s="36">
        <v>1.1111316855221189</v>
      </c>
      <c r="L29" s="116">
        <v>0.20299952486687722</v>
      </c>
      <c r="M29" s="38">
        <v>0.15078141367759557</v>
      </c>
      <c r="N29" s="2"/>
      <c r="O29" s="2"/>
    </row>
    <row r="30" spans="1:15" x14ac:dyDescent="0.35">
      <c r="A30" s="35">
        <v>42586</v>
      </c>
      <c r="B30" s="25"/>
      <c r="C30" s="25"/>
      <c r="D30" s="25">
        <v>0.11692939899999444</v>
      </c>
      <c r="E30" s="25">
        <v>0.29426089349959694</v>
      </c>
      <c r="F30" s="25">
        <v>-5.6833055050496961E-3</v>
      </c>
      <c r="G30" s="25">
        <v>-0.11539993815400562</v>
      </c>
      <c r="H30" s="25">
        <v>0.55377170410709664</v>
      </c>
      <c r="I30" s="36">
        <v>0.28931153050913339</v>
      </c>
      <c r="J30" s="91">
        <v>1.5472074939307716</v>
      </c>
      <c r="K30" s="36">
        <v>1.0681053500061428</v>
      </c>
      <c r="L30" s="116">
        <v>0.19541172026540132</v>
      </c>
      <c r="M30" s="38">
        <v>0.14879540129565805</v>
      </c>
      <c r="N30" s="2"/>
      <c r="O30" s="2"/>
    </row>
    <row r="31" spans="1:15" x14ac:dyDescent="0.35">
      <c r="A31" s="35">
        <v>42620</v>
      </c>
      <c r="B31" s="25"/>
      <c r="C31" s="25"/>
      <c r="D31" s="25">
        <v>7.2882352000011474E-2</v>
      </c>
      <c r="E31" s="25">
        <v>0.2923301028408305</v>
      </c>
      <c r="F31" s="25">
        <v>-5.0513117674868546E-3</v>
      </c>
      <c r="G31" s="25">
        <v>-0.10831214306307102</v>
      </c>
      <c r="H31" s="25">
        <v>0.54468128417059614</v>
      </c>
      <c r="I31" s="36">
        <v>0.29470931581215387</v>
      </c>
      <c r="J31" s="91">
        <v>1.4600858060357926</v>
      </c>
      <c r="K31" s="36">
        <v>0.97603153304260304</v>
      </c>
      <c r="L31" s="116">
        <v>0.19119650239770447</v>
      </c>
      <c r="M31" s="38">
        <v>0.14153497992578634</v>
      </c>
      <c r="N31" s="2"/>
      <c r="O31" s="2"/>
    </row>
    <row r="32" spans="1:15" x14ac:dyDescent="0.35">
      <c r="A32" s="35">
        <v>42647</v>
      </c>
      <c r="B32" s="25"/>
      <c r="C32" s="25"/>
      <c r="D32" s="25">
        <v>3.4931514999999802E-2</v>
      </c>
      <c r="E32" s="25">
        <v>0.28437653985108335</v>
      </c>
      <c r="F32" s="25">
        <v>3.7979509862307026E-3</v>
      </c>
      <c r="G32" s="25">
        <v>-0.11021061401273236</v>
      </c>
      <c r="H32" s="25">
        <v>0.54724700310991969</v>
      </c>
      <c r="I32" s="36">
        <v>0.29077078123034528</v>
      </c>
      <c r="J32" s="91">
        <v>1.3710803817303292</v>
      </c>
      <c r="K32" s="36">
        <v>1.0223675627424709</v>
      </c>
      <c r="L32" s="116">
        <v>0.1855938061101583</v>
      </c>
      <c r="M32" s="38">
        <v>0.14898079021707145</v>
      </c>
      <c r="N32" s="2"/>
      <c r="O32" s="2"/>
    </row>
    <row r="33" spans="1:15" x14ac:dyDescent="0.35">
      <c r="A33" s="35">
        <v>42676</v>
      </c>
      <c r="B33" s="25"/>
      <c r="C33" s="25"/>
      <c r="D33" s="25">
        <v>8.6686579000006869E-2</v>
      </c>
      <c r="E33" s="25">
        <v>0.27268954064954398</v>
      </c>
      <c r="F33" s="25">
        <v>5.5454947658822418E-2</v>
      </c>
      <c r="G33" s="25">
        <v>-0.1516347739005306</v>
      </c>
      <c r="H33" s="25">
        <v>0.64528778222327854</v>
      </c>
      <c r="I33" s="36">
        <v>0.30241673660528412</v>
      </c>
      <c r="J33" s="91">
        <v>1.6536349493844109</v>
      </c>
      <c r="K33" s="36">
        <v>1.0485900594116786</v>
      </c>
      <c r="L33" s="116">
        <v>0.21592786221320415</v>
      </c>
      <c r="M33" s="38">
        <v>0.15449904229177958</v>
      </c>
      <c r="N33" s="2"/>
      <c r="O33" s="2"/>
    </row>
    <row r="34" spans="1:15" x14ac:dyDescent="0.35">
      <c r="A34" s="35">
        <v>42710</v>
      </c>
      <c r="B34" s="25"/>
      <c r="C34" s="25"/>
      <c r="D34" s="25">
        <v>0.17940228700000627</v>
      </c>
      <c r="E34" s="25">
        <v>0.27933913472730643</v>
      </c>
      <c r="F34" s="25">
        <v>5.9233790341817416E-2</v>
      </c>
      <c r="G34" s="25">
        <v>-0.15672052086113264</v>
      </c>
      <c r="H34" s="25">
        <v>0.65531934044647056</v>
      </c>
      <c r="I34" s="36">
        <v>0.30371399820427736</v>
      </c>
      <c r="J34" s="91">
        <v>1.9085405740961119</v>
      </c>
      <c r="K34" s="36">
        <v>1.1739689374135014</v>
      </c>
      <c r="L34" s="116">
        <v>0.24352361957155266</v>
      </c>
      <c r="M34" s="38">
        <v>0.17178101695730419</v>
      </c>
      <c r="N34" s="2"/>
      <c r="O34" s="2"/>
    </row>
    <row r="35" spans="1:15" x14ac:dyDescent="0.35">
      <c r="A35" s="35">
        <v>42738</v>
      </c>
      <c r="B35" s="25"/>
      <c r="C35" s="25"/>
      <c r="D35" s="25">
        <v>0.16404779899999089</v>
      </c>
      <c r="E35" s="25">
        <v>0.27916830323610653</v>
      </c>
      <c r="F35" s="25">
        <v>5.7224484971382772E-2</v>
      </c>
      <c r="G35" s="25">
        <v>-0.15522769605036091</v>
      </c>
      <c r="H35" s="25">
        <v>0.65077695671855729</v>
      </c>
      <c r="I35" s="36">
        <v>0.30312702979750483</v>
      </c>
      <c r="J35" s="91">
        <v>1.8607541353360548</v>
      </c>
      <c r="K35" s="36">
        <v>1.1604804694663486</v>
      </c>
      <c r="L35" s="116">
        <v>0.24356313227573656</v>
      </c>
      <c r="M35" s="38">
        <v>0.1732246508170634</v>
      </c>
      <c r="N35" s="2"/>
      <c r="O35" s="2"/>
    </row>
    <row r="36" spans="1:15" x14ac:dyDescent="0.35">
      <c r="A36" s="35">
        <v>42773</v>
      </c>
      <c r="B36" s="25"/>
      <c r="C36" s="25"/>
      <c r="D36" s="25">
        <v>2.1142256000001858E-2</v>
      </c>
      <c r="E36" s="25">
        <v>0.30509994144832775</v>
      </c>
      <c r="F36" s="25">
        <v>4.8754312111624509E-2</v>
      </c>
      <c r="G36" s="25">
        <v>-0.12575725202137888</v>
      </c>
      <c r="H36" s="25">
        <v>0.61966135108967646</v>
      </c>
      <c r="I36" s="36">
        <v>0.31037321896808168</v>
      </c>
      <c r="J36" s="91">
        <v>1.5933136409651829</v>
      </c>
      <c r="K36" s="36">
        <v>1.0079024661830114</v>
      </c>
      <c r="L36" s="116">
        <v>0.22340240031488157</v>
      </c>
      <c r="M36" s="38">
        <v>0.15893367398389024</v>
      </c>
      <c r="N36" s="2"/>
      <c r="O36" s="2"/>
    </row>
    <row r="37" spans="1:15" x14ac:dyDescent="0.35">
      <c r="A37" s="35">
        <v>42801</v>
      </c>
      <c r="B37" s="25"/>
      <c r="C37" s="25"/>
      <c r="D37" s="25">
        <v>1.705469500000012E-2</v>
      </c>
      <c r="E37" s="25">
        <v>0.3135636701658433</v>
      </c>
      <c r="F37" s="25">
        <v>1.1376662314377173E-2</v>
      </c>
      <c r="G37" s="25">
        <v>-9.9596972742586054E-2</v>
      </c>
      <c r="H37" s="25">
        <v>0.56715986593405532</v>
      </c>
      <c r="I37" s="36">
        <v>0.31527729211144129</v>
      </c>
      <c r="J37" s="91">
        <v>1.5077020462487933</v>
      </c>
      <c r="K37" s="36">
        <v>0.97152324160897741</v>
      </c>
      <c r="L37" s="116">
        <v>0.21864845428682633</v>
      </c>
      <c r="M37" s="38">
        <v>0.15719779668228129</v>
      </c>
      <c r="N37" s="2"/>
      <c r="O37" s="2"/>
    </row>
    <row r="38" spans="1:15" x14ac:dyDescent="0.35">
      <c r="A38" s="35">
        <v>42830</v>
      </c>
      <c r="B38" s="25"/>
      <c r="C38" s="25"/>
      <c r="D38" s="25"/>
      <c r="E38" s="25">
        <v>0.30425237768573532</v>
      </c>
      <c r="F38" s="25">
        <v>3.7398899440390654E-3</v>
      </c>
      <c r="G38" s="25">
        <v>-9.8845920652531061E-2</v>
      </c>
      <c r="H38" s="25">
        <v>0.55384885938618189</v>
      </c>
      <c r="I38" s="36">
        <v>0.311983186529047</v>
      </c>
      <c r="J38" s="91">
        <v>1.4050212509827857</v>
      </c>
      <c r="K38" s="36">
        <v>0.91296134923169414</v>
      </c>
      <c r="L38" s="116">
        <v>0.21170897430153013</v>
      </c>
      <c r="M38" s="38">
        <v>0.15250904193822468</v>
      </c>
      <c r="N38" s="2"/>
      <c r="O38" s="2"/>
    </row>
    <row r="39" spans="1:15" x14ac:dyDescent="0.35">
      <c r="A39" s="35">
        <v>42858</v>
      </c>
      <c r="B39" s="25"/>
      <c r="C39" s="25"/>
      <c r="D39" s="25"/>
      <c r="E39" s="25">
        <v>0.24202504855259588</v>
      </c>
      <c r="F39" s="25">
        <v>1.3079848645203285E-2</v>
      </c>
      <c r="G39" s="25">
        <v>-0.12916891540214459</v>
      </c>
      <c r="H39" s="25">
        <v>0.55373183955995398</v>
      </c>
      <c r="I39" s="36">
        <v>0.28945661479699769</v>
      </c>
      <c r="J39" s="91">
        <v>1.195284216014739</v>
      </c>
      <c r="K39" s="36">
        <v>0.89736197899890491</v>
      </c>
      <c r="L39" s="116">
        <v>0.19124890807341521</v>
      </c>
      <c r="M39" s="38">
        <v>0.15320197750935027</v>
      </c>
      <c r="N39" s="2"/>
      <c r="O39" s="2"/>
    </row>
    <row r="40" spans="1:15" x14ac:dyDescent="0.35">
      <c r="A40" s="35">
        <v>42893</v>
      </c>
      <c r="B40" s="25"/>
      <c r="C40" s="25"/>
      <c r="D40" s="25"/>
      <c r="E40" s="25">
        <v>0.20959549107871522</v>
      </c>
      <c r="F40" s="25">
        <v>2.148690642457951E-2</v>
      </c>
      <c r="G40" s="25">
        <v>-0.14338878355271056</v>
      </c>
      <c r="H40" s="25">
        <v>0.56595820347896542</v>
      </c>
      <c r="I40" s="36">
        <v>0.27884256662821127</v>
      </c>
      <c r="J40" s="91">
        <v>1.119600284225454</v>
      </c>
      <c r="K40" s="36">
        <v>0.83370083479036738</v>
      </c>
      <c r="L40" s="116">
        <v>0.18630081252138297</v>
      </c>
      <c r="M40" s="38">
        <v>0.14784876296181615</v>
      </c>
      <c r="N40" s="2"/>
      <c r="O40" s="2"/>
    </row>
    <row r="41" spans="1:15" x14ac:dyDescent="0.35">
      <c r="A41" s="35">
        <v>42920</v>
      </c>
      <c r="B41" s="25"/>
      <c r="C41" s="25"/>
      <c r="D41" s="25"/>
      <c r="E41" s="25">
        <v>0.17855218726330757</v>
      </c>
      <c r="F41" s="25">
        <v>2.0717329783894955E-2</v>
      </c>
      <c r="G41" s="25">
        <v>-0.15144213570801091</v>
      </c>
      <c r="H41" s="25">
        <v>0.56997009347810401</v>
      </c>
      <c r="I41" s="36">
        <v>0.27311855783546046</v>
      </c>
      <c r="J41" s="91">
        <v>1.0403092406830972</v>
      </c>
      <c r="K41" s="36">
        <v>0.83792511700467998</v>
      </c>
      <c r="L41" s="116">
        <v>0.17932735368507124</v>
      </c>
      <c r="M41" s="38">
        <v>0.15117265203038266</v>
      </c>
      <c r="N41" s="2"/>
      <c r="O41" s="2"/>
    </row>
    <row r="42" spans="1:15" x14ac:dyDescent="0.35">
      <c r="A42" s="35">
        <v>42948</v>
      </c>
      <c r="B42" s="25"/>
      <c r="C42" s="25"/>
      <c r="D42" s="25"/>
      <c r="E42" s="25">
        <v>0.11900980316077647</v>
      </c>
      <c r="F42" s="25">
        <v>1.0033455088532595E-2</v>
      </c>
      <c r="G42" s="25">
        <v>-0.15805751059831363</v>
      </c>
      <c r="H42" s="25">
        <v>0.5592617148670489</v>
      </c>
      <c r="I42" s="36">
        <v>0.2618574489174712</v>
      </c>
      <c r="J42" s="91">
        <v>0.87232565760769387</v>
      </c>
      <c r="K42" s="36">
        <v>0.7536444016631767</v>
      </c>
      <c r="L42" s="116">
        <v>0.15915476224653435</v>
      </c>
      <c r="M42" s="38">
        <v>0.14141689478857145</v>
      </c>
      <c r="N42" s="2"/>
      <c r="O42" s="2"/>
    </row>
    <row r="43" spans="1:15" x14ac:dyDescent="0.35">
      <c r="A43" s="35">
        <v>42983</v>
      </c>
      <c r="B43" s="25"/>
      <c r="C43" s="25"/>
      <c r="D43" s="25"/>
      <c r="E43" s="25">
        <v>7.6174112382613179E-2</v>
      </c>
      <c r="F43" s="25">
        <v>5.8403054253242104E-3</v>
      </c>
      <c r="G43" s="25">
        <v>-0.16136879455995279</v>
      </c>
      <c r="H43" s="25">
        <v>0.5640285942802048</v>
      </c>
      <c r="I43" s="36">
        <v>0.25591107906605992</v>
      </c>
      <c r="J43" s="91">
        <v>0.78314300934708658</v>
      </c>
      <c r="K43" s="36">
        <v>0.78270124131808561</v>
      </c>
      <c r="L43" s="116">
        <v>0.14952071343083273</v>
      </c>
      <c r="M43" s="38">
        <v>0.14945209417867833</v>
      </c>
      <c r="N43" s="2"/>
      <c r="O43" s="2"/>
    </row>
    <row r="44" spans="1:15" x14ac:dyDescent="0.35">
      <c r="A44" s="35">
        <v>43012</v>
      </c>
      <c r="B44" s="25"/>
      <c r="C44" s="25"/>
      <c r="D44" s="25"/>
      <c r="E44" s="25">
        <v>7.8517309685569137E-2</v>
      </c>
      <c r="F44" s="25">
        <v>4.1539115565758511E-3</v>
      </c>
      <c r="G44" s="25">
        <v>-0.17685339128930333</v>
      </c>
      <c r="H44" s="25">
        <v>0.56675957790386278</v>
      </c>
      <c r="I44" s="36">
        <v>0.24620552431453469</v>
      </c>
      <c r="J44" s="91">
        <v>0.74059057451024346</v>
      </c>
      <c r="K44" s="36">
        <v>0.79234748212384098</v>
      </c>
      <c r="L44" s="116">
        <v>0.14583296255302458</v>
      </c>
      <c r="M44" s="38">
        <v>0.15410957337713937</v>
      </c>
      <c r="N44" s="2"/>
      <c r="O44" s="2"/>
    </row>
    <row r="45" spans="1:15" x14ac:dyDescent="0.35">
      <c r="A45" s="35">
        <v>43040</v>
      </c>
      <c r="B45" s="25"/>
      <c r="C45" s="25"/>
      <c r="D45" s="25"/>
      <c r="E45" s="25">
        <v>4.7544345989678716E-2</v>
      </c>
      <c r="F45" s="25">
        <v>9.4302070113740921E-3</v>
      </c>
      <c r="G45" s="25">
        <v>-0.17612861731685991</v>
      </c>
      <c r="H45" s="25">
        <v>0.57798057406859282</v>
      </c>
      <c r="I45" s="36">
        <v>0.2498906727044734</v>
      </c>
      <c r="J45" s="91">
        <v>0.71823203794881074</v>
      </c>
      <c r="K45" s="36">
        <v>0.70983425735102013</v>
      </c>
      <c r="L45" s="116">
        <v>0.14512018768331436</v>
      </c>
      <c r="M45" s="38">
        <v>0.14371651361959525</v>
      </c>
      <c r="N45" s="2"/>
      <c r="O45" s="2"/>
    </row>
    <row r="46" spans="1:15" x14ac:dyDescent="0.35">
      <c r="A46" s="35">
        <v>43074</v>
      </c>
      <c r="B46" s="25"/>
      <c r="C46" s="25"/>
      <c r="D46" s="25"/>
      <c r="E46" s="25">
        <v>7.7915513898945132E-3</v>
      </c>
      <c r="F46" s="25">
        <v>1.8405065085403294E-2</v>
      </c>
      <c r="G46" s="25">
        <v>-0.16922155182849008</v>
      </c>
      <c r="H46" s="25">
        <v>0.595808293345234</v>
      </c>
      <c r="I46" s="36">
        <v>0.25967106405026508</v>
      </c>
      <c r="J46" s="91">
        <v>0.71401395850443095</v>
      </c>
      <c r="K46" s="36">
        <v>0.74487423169015798</v>
      </c>
      <c r="L46" s="116">
        <v>0.1481076531360519</v>
      </c>
      <c r="M46" s="38">
        <v>0.15337102240050848</v>
      </c>
      <c r="N46" s="2"/>
      <c r="O46" s="2"/>
    </row>
    <row r="47" spans="1:15" x14ac:dyDescent="0.35">
      <c r="A47" s="35">
        <v>43103</v>
      </c>
      <c r="B47" s="25"/>
      <c r="C47" s="25"/>
      <c r="D47" s="25"/>
      <c r="E47" s="25">
        <v>-4.166077756127784E-2</v>
      </c>
      <c r="F47" s="25">
        <v>2.6890704054774561E-2</v>
      </c>
      <c r="G47" s="25">
        <v>-0.16959334663261316</v>
      </c>
      <c r="H47" s="25">
        <v>0.59468732451445705</v>
      </c>
      <c r="I47" s="36">
        <v>0.26279753316580057</v>
      </c>
      <c r="J47" s="91">
        <v>0.6456731071281121</v>
      </c>
      <c r="K47" s="36">
        <v>0.69233016031104611</v>
      </c>
      <c r="L47" s="116">
        <v>0.13921586454561719</v>
      </c>
      <c r="M47" s="38">
        <v>0.14757965003272022</v>
      </c>
      <c r="N47" s="2"/>
      <c r="O47" s="2"/>
    </row>
    <row r="48" spans="1:15" x14ac:dyDescent="0.35">
      <c r="A48" s="35">
        <v>43137</v>
      </c>
      <c r="B48" s="25"/>
      <c r="C48" s="25"/>
      <c r="D48" s="25"/>
      <c r="E48" s="25">
        <v>2.0740212151530102E-2</v>
      </c>
      <c r="F48" s="25">
        <v>2.6653981159599605E-2</v>
      </c>
      <c r="G48" s="25">
        <v>-0.17742524998296627</v>
      </c>
      <c r="H48" s="25">
        <v>0.59723467695466659</v>
      </c>
      <c r="I48" s="36">
        <v>0.26144611341321355</v>
      </c>
      <c r="J48" s="91">
        <v>0.73680926515119549</v>
      </c>
      <c r="K48" s="36">
        <v>0.65673530804243097</v>
      </c>
      <c r="L48" s="116">
        <v>0.15957264653272452</v>
      </c>
      <c r="M48" s="38">
        <v>0.14498668089021871</v>
      </c>
      <c r="N48" s="2"/>
      <c r="O48" s="2"/>
    </row>
    <row r="49" spans="1:15" x14ac:dyDescent="0.35">
      <c r="A49" s="35">
        <v>43165</v>
      </c>
      <c r="B49" s="25"/>
      <c r="C49" s="25"/>
      <c r="D49" s="25"/>
      <c r="E49" s="25">
        <v>5.9518620532199584E-3</v>
      </c>
      <c r="F49" s="25">
        <v>2.1405636650632998E-2</v>
      </c>
      <c r="G49" s="25">
        <v>-0.18158559659091977</v>
      </c>
      <c r="H49" s="25">
        <v>0.60308579631735704</v>
      </c>
      <c r="I49" s="36">
        <v>0.24967430340692554</v>
      </c>
      <c r="J49" s="91">
        <v>0.68462142170769247</v>
      </c>
      <c r="K49" s="36">
        <v>0.70594708872123801</v>
      </c>
      <c r="L49" s="116">
        <v>0.15350774519875876</v>
      </c>
      <c r="M49" s="38">
        <v>0.15748787498997285</v>
      </c>
      <c r="N49" s="2"/>
      <c r="O49" s="2"/>
    </row>
    <row r="50" spans="1:15" x14ac:dyDescent="0.35">
      <c r="A50" s="35">
        <v>43193</v>
      </c>
      <c r="B50" s="25"/>
      <c r="C50" s="25"/>
      <c r="D50" s="25"/>
      <c r="E50" s="25"/>
      <c r="F50" s="25">
        <v>-2.4559296197783631E-3</v>
      </c>
      <c r="G50" s="25">
        <v>-0.18923412519853533</v>
      </c>
      <c r="H50" s="25">
        <v>0.59410918845301119</v>
      </c>
      <c r="I50" s="36">
        <v>0.24292406484072204</v>
      </c>
      <c r="J50" s="91">
        <v>0.60247113502217431</v>
      </c>
      <c r="K50" s="36">
        <v>0.73051274016334</v>
      </c>
      <c r="L50" s="116">
        <v>0.14098120204762221</v>
      </c>
      <c r="M50" s="38">
        <v>0.16577822878537174</v>
      </c>
      <c r="N50" s="2"/>
      <c r="O50" s="2"/>
    </row>
    <row r="51" spans="1:15" x14ac:dyDescent="0.35">
      <c r="A51" s="35">
        <v>43222</v>
      </c>
      <c r="B51" s="25"/>
      <c r="C51" s="25"/>
      <c r="D51" s="25"/>
      <c r="E51" s="25"/>
      <c r="F51" s="25">
        <v>-5.3370343234858786E-2</v>
      </c>
      <c r="G51" s="25">
        <v>-0.16957796547628345</v>
      </c>
      <c r="H51" s="25">
        <v>0.59255378559289196</v>
      </c>
      <c r="I51" s="36">
        <v>0.23833857536073233</v>
      </c>
      <c r="J51" s="91">
        <v>0.55028834363236423</v>
      </c>
      <c r="K51" s="36">
        <v>0.64550461620116639</v>
      </c>
      <c r="L51" s="116">
        <v>0.13362005438095736</v>
      </c>
      <c r="M51" s="38">
        <v>0.15311439276225447</v>
      </c>
      <c r="N51" s="2"/>
      <c r="O51" s="2"/>
    </row>
    <row r="52" spans="1:15" x14ac:dyDescent="0.35">
      <c r="A52" s="35">
        <v>43256</v>
      </c>
      <c r="B52" s="25"/>
      <c r="C52" s="25"/>
      <c r="D52" s="25"/>
      <c r="E52" s="25"/>
      <c r="F52" s="25">
        <v>-5.2035692416994239E-2</v>
      </c>
      <c r="G52" s="25">
        <v>-0.17133323969198222</v>
      </c>
      <c r="H52" s="25">
        <v>0.57852857768962074</v>
      </c>
      <c r="I52" s="36">
        <v>0.23109529756089131</v>
      </c>
      <c r="J52" s="91">
        <v>0.52656754051848087</v>
      </c>
      <c r="K52" s="36">
        <v>0.66266641576892216</v>
      </c>
      <c r="L52" s="116">
        <v>0.13237590273280198</v>
      </c>
      <c r="M52" s="38">
        <v>0.16115553014117934</v>
      </c>
      <c r="N52" s="2"/>
      <c r="O52" s="2"/>
    </row>
    <row r="53" spans="1:15" x14ac:dyDescent="0.35">
      <c r="A53" s="35">
        <v>43284</v>
      </c>
      <c r="B53" s="25"/>
      <c r="C53" s="25"/>
      <c r="D53" s="25"/>
      <c r="E53" s="25"/>
      <c r="F53" s="25">
        <v>-6.6828011884765504E-2</v>
      </c>
      <c r="G53" s="25">
        <v>-0.17221638115603777</v>
      </c>
      <c r="H53" s="25">
        <v>0.5653669043865075</v>
      </c>
      <c r="I53" s="36">
        <v>0.22242300517764702</v>
      </c>
      <c r="J53" s="91">
        <v>0.47814208671693725</v>
      </c>
      <c r="K53" s="36">
        <v>0.6581732709035113</v>
      </c>
      <c r="L53" s="116">
        <v>0.12467410054010997</v>
      </c>
      <c r="M53" s="38">
        <v>0.16421637772298348</v>
      </c>
      <c r="N53" s="2"/>
      <c r="O53" s="2"/>
    </row>
    <row r="54" spans="1:15" x14ac:dyDescent="0.35">
      <c r="A54" s="35">
        <v>43319</v>
      </c>
      <c r="B54" s="25"/>
      <c r="C54" s="25"/>
      <c r="D54" s="25"/>
      <c r="E54" s="25"/>
      <c r="F54" s="25">
        <v>-0.12346668075317402</v>
      </c>
      <c r="G54" s="25">
        <v>-0.15784908934803998</v>
      </c>
      <c r="H54" s="25">
        <v>0.52448684691624248</v>
      </c>
      <c r="I54" s="36">
        <v>0.22089320193090511</v>
      </c>
      <c r="J54" s="91">
        <v>0.37391450693407391</v>
      </c>
      <c r="K54" s="36">
        <v>0.55190083515556942</v>
      </c>
      <c r="L54" s="116">
        <v>0.10334205713203826</v>
      </c>
      <c r="M54" s="38">
        <v>0.14574641077873962</v>
      </c>
      <c r="N54" s="2"/>
      <c r="O54" s="2"/>
    </row>
    <row r="55" spans="1:15" x14ac:dyDescent="0.35">
      <c r="A55" s="35">
        <v>43347</v>
      </c>
      <c r="B55" s="25"/>
      <c r="C55" s="25"/>
      <c r="D55" s="25"/>
      <c r="E55" s="25"/>
      <c r="F55" s="25">
        <v>-0.1176072845654299</v>
      </c>
      <c r="G55" s="25">
        <v>-0.15973662387416021</v>
      </c>
      <c r="H55" s="25">
        <v>0.53113201583791736</v>
      </c>
      <c r="I55" s="36">
        <v>0.22375864914026455</v>
      </c>
      <c r="J55" s="91">
        <v>0.3892671310803284</v>
      </c>
      <c r="K55" s="36">
        <v>0.52573959515987645</v>
      </c>
      <c r="L55" s="116">
        <v>0.10988909746681452</v>
      </c>
      <c r="M55" s="38">
        <v>0.14336394672628328</v>
      </c>
      <c r="N55" s="2"/>
      <c r="O55" s="2"/>
    </row>
    <row r="56" spans="1:15" x14ac:dyDescent="0.35">
      <c r="A56" s="35">
        <v>43376</v>
      </c>
      <c r="B56" s="25"/>
      <c r="C56" s="25"/>
      <c r="D56" s="25"/>
      <c r="E56" s="25"/>
      <c r="F56" s="25">
        <v>6.5405485239257377E-2</v>
      </c>
      <c r="G56" s="25">
        <v>-0.13818861297280982</v>
      </c>
      <c r="H56" s="25">
        <v>0.51046251438861212</v>
      </c>
      <c r="I56" s="36">
        <v>0.2233420908417274</v>
      </c>
      <c r="J56" s="91">
        <v>0.69662173809203742</v>
      </c>
      <c r="K56" s="36">
        <v>0.60530236276264215</v>
      </c>
      <c r="L56" s="116">
        <v>0.18764529137439423</v>
      </c>
      <c r="M56" s="38">
        <v>0.16646066060641984</v>
      </c>
      <c r="N56" s="2"/>
      <c r="O56" s="2"/>
    </row>
    <row r="57" spans="1:15" x14ac:dyDescent="0.35">
      <c r="A57" s="35">
        <v>43410</v>
      </c>
      <c r="B57" s="25"/>
      <c r="C57" s="25"/>
      <c r="D57" s="25"/>
      <c r="E57" s="25"/>
      <c r="F57" s="25">
        <v>4.1076631601562275E-2</v>
      </c>
      <c r="G57" s="25">
        <v>-0.12770637652202765</v>
      </c>
      <c r="H57" s="25">
        <v>0.50924365753807077</v>
      </c>
      <c r="I57" s="36">
        <v>0.21444311807659378</v>
      </c>
      <c r="J57" s="91">
        <v>0.66449285432027883</v>
      </c>
      <c r="K57" s="36">
        <v>0.67917616875712716</v>
      </c>
      <c r="L57" s="116">
        <v>0.18641111835840651</v>
      </c>
      <c r="M57" s="38">
        <v>0.18991196228948826</v>
      </c>
      <c r="N57" s="2"/>
      <c r="O57" s="2"/>
    </row>
    <row r="58" spans="1:15" x14ac:dyDescent="0.35">
      <c r="A58" s="35">
        <v>43438</v>
      </c>
      <c r="B58" s="25"/>
      <c r="C58" s="25"/>
      <c r="D58" s="25"/>
      <c r="E58" s="25"/>
      <c r="F58" s="25">
        <v>3.5968167915038762E-2</v>
      </c>
      <c r="G58" s="25">
        <v>-0.12757250059706493</v>
      </c>
      <c r="H58" s="25">
        <v>0.50633215712821644</v>
      </c>
      <c r="I58" s="36">
        <v>0.20957116522807406</v>
      </c>
      <c r="J58" s="91">
        <v>0.6467509891032952</v>
      </c>
      <c r="K58" s="36">
        <v>0.62367290685655208</v>
      </c>
      <c r="L58" s="116">
        <v>0.18739052942980505</v>
      </c>
      <c r="M58" s="38">
        <v>0.18163402841732212</v>
      </c>
      <c r="N58" s="2"/>
      <c r="O58" s="2"/>
    </row>
    <row r="59" spans="1:15" x14ac:dyDescent="0.35">
      <c r="A59" s="35">
        <v>43466</v>
      </c>
      <c r="B59" s="25"/>
      <c r="C59" s="25"/>
      <c r="D59" s="25"/>
      <c r="E59" s="25"/>
      <c r="F59" s="25">
        <v>2.1655839177245673E-2</v>
      </c>
      <c r="G59" s="25">
        <v>-0.13096735551289906</v>
      </c>
      <c r="H59" s="25">
        <v>0.50409027736139156</v>
      </c>
      <c r="I59" s="36">
        <v>0.20747713910155996</v>
      </c>
      <c r="J59" s="91">
        <v>0.61247700542862749</v>
      </c>
      <c r="K59" s="36">
        <v>0.6268417636742758</v>
      </c>
      <c r="L59" s="116">
        <v>0.18409558581200303</v>
      </c>
      <c r="M59" s="38">
        <v>0.1878157211282252</v>
      </c>
      <c r="N59" s="2"/>
      <c r="O59" s="2"/>
    </row>
    <row r="60" spans="1:15" x14ac:dyDescent="0.35">
      <c r="A60" s="35">
        <v>43502</v>
      </c>
      <c r="B60" s="25"/>
      <c r="C60" s="25"/>
      <c r="D60" s="25"/>
      <c r="E60" s="25"/>
      <c r="F60" s="25">
        <v>4.0329351247558654E-2</v>
      </c>
      <c r="G60" s="25">
        <v>-0.12796325962582644</v>
      </c>
      <c r="H60" s="25">
        <v>0.50119427933372451</v>
      </c>
      <c r="I60" s="36">
        <v>0.21364723953920661</v>
      </c>
      <c r="J60" s="91">
        <v>0.65285595542537789</v>
      </c>
      <c r="K60" s="36">
        <v>0.61615916812613425</v>
      </c>
      <c r="L60" s="116">
        <v>0.20219711175186728</v>
      </c>
      <c r="M60" s="38">
        <v>0.19234604858859439</v>
      </c>
      <c r="N60" s="2"/>
      <c r="O60" s="2"/>
    </row>
    <row r="61" spans="1:15" x14ac:dyDescent="0.35">
      <c r="A61" s="35">
        <v>43530</v>
      </c>
      <c r="B61" s="25"/>
      <c r="C61" s="25"/>
      <c r="D61" s="25"/>
      <c r="E61" s="25"/>
      <c r="F61" s="25">
        <v>1.0299686677856634E-2</v>
      </c>
      <c r="G61" s="25">
        <v>-0.12525706023350325</v>
      </c>
      <c r="H61" s="25">
        <v>0.50188032659933968</v>
      </c>
      <c r="I61" s="36">
        <v>0.21661171031525694</v>
      </c>
      <c r="J61" s="91">
        <v>0.61479719272643241</v>
      </c>
      <c r="K61" s="36">
        <v>0.60834861592089107</v>
      </c>
      <c r="L61" s="116">
        <v>0.19804806069605996</v>
      </c>
      <c r="M61" s="38">
        <v>0.19624180738486618</v>
      </c>
      <c r="N61" s="2"/>
      <c r="O61" s="2"/>
    </row>
    <row r="62" spans="1:15" x14ac:dyDescent="0.35">
      <c r="A62" s="35">
        <v>43557</v>
      </c>
      <c r="B62" s="25"/>
      <c r="C62" s="25"/>
      <c r="D62" s="25"/>
      <c r="E62" s="25"/>
      <c r="F62" s="25"/>
      <c r="G62" s="25">
        <v>-9.4101385598077236E-2</v>
      </c>
      <c r="H62" s="25">
        <v>0.47671889831174319</v>
      </c>
      <c r="I62" s="36">
        <v>0.21108820318440524</v>
      </c>
      <c r="J62" s="91">
        <v>0.62014245542371271</v>
      </c>
      <c r="K62" s="36">
        <v>0.51439050830608957</v>
      </c>
      <c r="L62" s="116">
        <v>0.20582030272302654</v>
      </c>
      <c r="M62" s="38">
        <v>0.17465845998395291</v>
      </c>
      <c r="N62" s="2"/>
      <c r="O62" s="2"/>
    </row>
    <row r="63" spans="1:15" x14ac:dyDescent="0.35">
      <c r="A63" s="35">
        <v>43592</v>
      </c>
      <c r="B63" s="25"/>
      <c r="C63" s="25"/>
      <c r="D63" s="25"/>
      <c r="E63" s="25"/>
      <c r="F63" s="25"/>
      <c r="G63" s="25">
        <v>-5.6012397015315241E-2</v>
      </c>
      <c r="H63" s="25">
        <v>0.46995566789039045</v>
      </c>
      <c r="I63" s="36">
        <v>0.21412412578674767</v>
      </c>
      <c r="J63" s="91">
        <v>0.68474283400647384</v>
      </c>
      <c r="K63" s="36">
        <v>0.52364796413251979</v>
      </c>
      <c r="L63" s="116">
        <v>0.23385334722825823</v>
      </c>
      <c r="M63" s="38">
        <v>0.18489178584170274</v>
      </c>
      <c r="N63" s="2"/>
      <c r="O63" s="2"/>
    </row>
    <row r="64" spans="1:15" x14ac:dyDescent="0.35">
      <c r="A64" s="35">
        <v>43620</v>
      </c>
      <c r="B64" s="25"/>
      <c r="C64" s="25"/>
      <c r="D64" s="25"/>
      <c r="E64" s="25"/>
      <c r="F64" s="25"/>
      <c r="G64" s="25">
        <v>-0.1089636921825502</v>
      </c>
      <c r="H64" s="25">
        <v>0.46299176680694454</v>
      </c>
      <c r="I64" s="36">
        <v>0.21052137210075283</v>
      </c>
      <c r="J64" s="91">
        <v>0.57800997882947347</v>
      </c>
      <c r="K64" s="36">
        <v>0.46185026326565204</v>
      </c>
      <c r="L64" s="116">
        <v>0.20880903087075353</v>
      </c>
      <c r="M64" s="38">
        <v>0.17098956201334192</v>
      </c>
      <c r="N64" s="2"/>
      <c r="O64" s="2"/>
    </row>
    <row r="65" spans="1:15" x14ac:dyDescent="0.35">
      <c r="A65" s="35">
        <v>43648</v>
      </c>
      <c r="B65" s="25"/>
      <c r="C65" s="25"/>
      <c r="D65" s="25"/>
      <c r="E65" s="25"/>
      <c r="F65" s="25"/>
      <c r="G65" s="25">
        <v>-0.12365610524136794</v>
      </c>
      <c r="H65" s="25">
        <v>0.46491412075207239</v>
      </c>
      <c r="I65" s="36">
        <v>0.20028881618117289</v>
      </c>
      <c r="J65" s="91">
        <v>0.54089301650847355</v>
      </c>
      <c r="K65" s="36">
        <v>0.48931786003236222</v>
      </c>
      <c r="L65" s="116">
        <v>0.20401449385021153</v>
      </c>
      <c r="M65" s="38">
        <v>0.18654120264138774</v>
      </c>
      <c r="N65" s="2"/>
      <c r="O65" s="2"/>
    </row>
    <row r="66" spans="1:15" x14ac:dyDescent="0.35">
      <c r="A66" s="35">
        <v>43683</v>
      </c>
      <c r="B66" s="25"/>
      <c r="C66" s="25"/>
      <c r="D66" s="25"/>
      <c r="E66" s="25"/>
      <c r="F66" s="25"/>
      <c r="G66" s="25">
        <v>-8.8386044363742977E-2</v>
      </c>
      <c r="H66" s="25">
        <v>0.42028466046835522</v>
      </c>
      <c r="I66" s="36">
        <v>0.1823511874373529</v>
      </c>
      <c r="J66" s="91">
        <v>0.53085075700968809</v>
      </c>
      <c r="K66" s="36">
        <v>0.62683427540367886</v>
      </c>
      <c r="L66" s="116">
        <v>0.21010397881196763</v>
      </c>
      <c r="M66" s="38">
        <v>0.24351402142517276</v>
      </c>
      <c r="N66" s="2"/>
      <c r="O66" s="2"/>
    </row>
    <row r="67" spans="1:15" x14ac:dyDescent="0.35">
      <c r="A67" s="35">
        <v>43712</v>
      </c>
      <c r="B67" s="25"/>
      <c r="C67" s="25"/>
      <c r="D67" s="25"/>
      <c r="E67" s="25"/>
      <c r="F67" s="25"/>
      <c r="G67" s="25">
        <v>-0.11498913134880451</v>
      </c>
      <c r="H67" s="25">
        <v>0.42208542527012805</v>
      </c>
      <c r="I67" s="36">
        <v>0.18573572262320437</v>
      </c>
      <c r="J67" s="91">
        <v>0.49232080562344627</v>
      </c>
      <c r="K67" s="36">
        <v>0.63658211318867619</v>
      </c>
      <c r="L67" s="116">
        <v>0.20430789316907583</v>
      </c>
      <c r="M67" s="38">
        <v>0.25703597311263571</v>
      </c>
      <c r="N67" s="2"/>
      <c r="O67" s="2"/>
    </row>
    <row r="68" spans="1:15" x14ac:dyDescent="0.35">
      <c r="A68" s="35">
        <v>43739</v>
      </c>
      <c r="B68" s="25"/>
      <c r="C68" s="25"/>
      <c r="D68" s="25"/>
      <c r="E68" s="25"/>
      <c r="F68" s="25"/>
      <c r="G68" s="25">
        <v>-0.19626067136750747</v>
      </c>
      <c r="H68" s="25">
        <v>0.4193107067454851</v>
      </c>
      <c r="I68" s="36">
        <v>0.17545156410892404</v>
      </c>
      <c r="J68" s="91">
        <v>0.34090323257971256</v>
      </c>
      <c r="K68" s="36">
        <v>0.54008688869619048</v>
      </c>
      <c r="L68" s="116">
        <v>0.15150255911429089</v>
      </c>
      <c r="M68" s="38">
        <v>0.2308063608269959</v>
      </c>
      <c r="N68" s="2"/>
      <c r="O68" s="2"/>
    </row>
    <row r="69" spans="1:15" x14ac:dyDescent="0.35">
      <c r="A69" s="35">
        <v>43774</v>
      </c>
      <c r="B69" s="25"/>
      <c r="C69" s="25"/>
      <c r="D69" s="25"/>
      <c r="E69" s="25"/>
      <c r="F69" s="25"/>
      <c r="G69" s="25">
        <v>-0.21318701069865442</v>
      </c>
      <c r="H69" s="25">
        <v>0.4256404751488998</v>
      </c>
      <c r="I69" s="36">
        <v>0.1709855193745895</v>
      </c>
      <c r="J69" s="91">
        <v>0.31350902873365061</v>
      </c>
      <c r="K69" s="36">
        <v>0.47987656285329083</v>
      </c>
      <c r="L69" s="116">
        <v>0.14738000131495954</v>
      </c>
      <c r="M69" s="38">
        <v>0.21847914495049303</v>
      </c>
      <c r="N69" s="2"/>
      <c r="O69" s="2"/>
    </row>
    <row r="70" spans="1:15" x14ac:dyDescent="0.35">
      <c r="A70" s="35">
        <v>43802</v>
      </c>
      <c r="B70" s="25"/>
      <c r="C70" s="25"/>
      <c r="D70" s="25"/>
      <c r="E70" s="25"/>
      <c r="F70" s="25"/>
      <c r="G70" s="25">
        <v>-0.22656877710897672</v>
      </c>
      <c r="H70" s="25">
        <v>0.42730483262559171</v>
      </c>
      <c r="I70" s="36">
        <v>0.18491212606635687</v>
      </c>
      <c r="J70" s="91">
        <v>0.30805071979256349</v>
      </c>
      <c r="K70" s="36">
        <v>0.46674606995235846</v>
      </c>
      <c r="L70" s="116">
        <v>0.15122677304684085</v>
      </c>
      <c r="M70" s="38">
        <v>0.22247710335439574</v>
      </c>
      <c r="N70" s="2"/>
      <c r="O70" s="2"/>
    </row>
    <row r="71" spans="1:15" x14ac:dyDescent="0.35">
      <c r="A71" s="35">
        <v>43837</v>
      </c>
      <c r="B71" s="25"/>
      <c r="C71" s="25"/>
      <c r="D71" s="25"/>
      <c r="E71" s="25"/>
      <c r="F71" s="25"/>
      <c r="G71" s="25">
        <v>-0.2286670186963391</v>
      </c>
      <c r="H71" s="25">
        <v>0.42828729486844996</v>
      </c>
      <c r="I71" s="36">
        <v>0.18700143567573058</v>
      </c>
      <c r="J71" s="91">
        <v>0.30770178893325206</v>
      </c>
      <c r="K71" s="36">
        <v>0.47349089681106959</v>
      </c>
      <c r="L71" s="116">
        <v>0.15967254031514977</v>
      </c>
      <c r="M71" s="38">
        <v>0.23868362428560674</v>
      </c>
      <c r="N71" s="2"/>
      <c r="O71" s="2"/>
    </row>
    <row r="72" spans="1:15" x14ac:dyDescent="0.35">
      <c r="A72" s="35">
        <v>43865</v>
      </c>
      <c r="B72" s="25"/>
      <c r="C72" s="25"/>
      <c r="D72" s="25"/>
      <c r="E72" s="25"/>
      <c r="F72" s="25"/>
      <c r="G72" s="25">
        <v>-0.27150942859587468</v>
      </c>
      <c r="H72" s="25">
        <v>0.43200760502014002</v>
      </c>
      <c r="I72" s="36">
        <v>0.18210364280807911</v>
      </c>
      <c r="J72" s="91">
        <v>0.23317529402750536</v>
      </c>
      <c r="K72" s="36">
        <v>0.50937828303965715</v>
      </c>
      <c r="L72" s="116">
        <v>0.12846128203307505</v>
      </c>
      <c r="M72" s="38">
        <v>0.26793919989844661</v>
      </c>
      <c r="N72" s="2"/>
      <c r="O72" s="2"/>
    </row>
    <row r="73" spans="1:15" x14ac:dyDescent="0.35">
      <c r="A73" s="35">
        <v>43893</v>
      </c>
      <c r="B73" s="25"/>
      <c r="C73" s="25"/>
      <c r="D73" s="25"/>
      <c r="E73" s="25"/>
      <c r="F73" s="25"/>
      <c r="G73" s="25">
        <v>-0.24923703509155304</v>
      </c>
      <c r="H73" s="25">
        <v>0.46247864374412906</v>
      </c>
      <c r="I73" s="36">
        <v>0.18202823443128668</v>
      </c>
      <c r="J73" s="91">
        <v>0.2978372174768058</v>
      </c>
      <c r="K73" s="36">
        <v>0.58735712200489654</v>
      </c>
      <c r="L73" s="116">
        <v>0.17032482166020224</v>
      </c>
      <c r="M73" s="38">
        <v>0.32150306330989142</v>
      </c>
      <c r="N73" s="2"/>
      <c r="O73" s="2"/>
    </row>
    <row r="74" spans="1:15" x14ac:dyDescent="0.35">
      <c r="A74" s="35">
        <v>43929</v>
      </c>
      <c r="B74" s="25"/>
      <c r="C74" s="25"/>
      <c r="D74" s="25"/>
      <c r="E74" s="25"/>
      <c r="F74" s="25"/>
      <c r="G74" s="25"/>
      <c r="H74" s="25">
        <v>0.57919993569262695</v>
      </c>
      <c r="I74" s="36">
        <v>0.19184815427420787</v>
      </c>
      <c r="J74" s="91">
        <v>0.88216652858520517</v>
      </c>
      <c r="K74" s="36">
        <v>1.0099235686176384</v>
      </c>
      <c r="L74" s="116">
        <v>0.50032940102605128</v>
      </c>
      <c r="M74" s="38">
        <v>0.5648852011736909</v>
      </c>
      <c r="N74" s="2"/>
      <c r="O74" s="2"/>
    </row>
    <row r="75" spans="1:15" x14ac:dyDescent="0.35">
      <c r="A75" s="35">
        <v>43956</v>
      </c>
      <c r="B75" s="25"/>
      <c r="C75" s="25"/>
      <c r="D75" s="25"/>
      <c r="E75" s="25"/>
      <c r="F75" s="25"/>
      <c r="G75" s="25"/>
      <c r="H75" s="25">
        <v>0.48954844080180782</v>
      </c>
      <c r="I75" s="36">
        <v>0.20213402658718849</v>
      </c>
      <c r="J75" s="91">
        <v>0.79063686493774554</v>
      </c>
      <c r="K75" s="36">
        <v>0.90150642922472701</v>
      </c>
      <c r="L75" s="116">
        <v>0.48041437634137818</v>
      </c>
      <c r="M75" s="38">
        <v>0.54153473229179894</v>
      </c>
      <c r="N75" s="2"/>
      <c r="O75" s="2"/>
    </row>
    <row r="76" spans="1:15" x14ac:dyDescent="0.35">
      <c r="A76" s="35">
        <v>43984</v>
      </c>
      <c r="B76" s="25"/>
      <c r="C76" s="25"/>
      <c r="D76" s="25"/>
      <c r="E76" s="25"/>
      <c r="F76" s="25"/>
      <c r="G76" s="25"/>
      <c r="H76" s="25">
        <v>0.37231831138214044</v>
      </c>
      <c r="I76" s="36">
        <v>0.23096308514731745</v>
      </c>
      <c r="J76" s="91">
        <v>0.68927318238311641</v>
      </c>
      <c r="K76" s="36">
        <v>0.79843071803300414</v>
      </c>
      <c r="L76" s="116">
        <v>0.45108716229164525</v>
      </c>
      <c r="M76" s="38">
        <v>0.51706535163214951</v>
      </c>
      <c r="N76" s="2"/>
      <c r="O76" s="2"/>
    </row>
    <row r="77" spans="1:15" x14ac:dyDescent="0.35">
      <c r="A77" s="35">
        <v>44019</v>
      </c>
      <c r="B77" s="25"/>
      <c r="C77" s="25"/>
      <c r="D77" s="25"/>
      <c r="E77" s="25"/>
      <c r="F77" s="25"/>
      <c r="G77" s="25"/>
      <c r="H77" s="25">
        <v>0.23731834527302187</v>
      </c>
      <c r="I77" s="36">
        <v>0.22975618921541252</v>
      </c>
      <c r="J77" s="91">
        <v>0.52159989312927135</v>
      </c>
      <c r="K77" s="36">
        <v>0.6417897274623392</v>
      </c>
      <c r="L77" s="116">
        <v>0.37693588555727553</v>
      </c>
      <c r="M77" s="38">
        <v>0.45905902052661074</v>
      </c>
      <c r="N77" s="2"/>
      <c r="O77" s="2"/>
    </row>
    <row r="78" spans="1:15" x14ac:dyDescent="0.35">
      <c r="A78" s="35">
        <v>44048</v>
      </c>
      <c r="B78" s="25"/>
      <c r="C78" s="25"/>
      <c r="D78" s="25"/>
      <c r="E78" s="25"/>
      <c r="F78" s="25"/>
      <c r="G78" s="25"/>
      <c r="H78" s="25">
        <v>0.22656926313092018</v>
      </c>
      <c r="I78" s="36">
        <v>0.22465466271039092</v>
      </c>
      <c r="J78" s="91">
        <v>0.50212376723052876</v>
      </c>
      <c r="K78" s="36">
        <v>0.59272211081318638</v>
      </c>
      <c r="L78" s="116">
        <v>0.39100269389898967</v>
      </c>
      <c r="M78" s="38">
        <v>0.45867321218978963</v>
      </c>
      <c r="N78" s="2"/>
      <c r="O78" s="2"/>
    </row>
    <row r="79" spans="1:15" x14ac:dyDescent="0.35">
      <c r="A79" s="35">
        <v>44075</v>
      </c>
      <c r="B79" s="25"/>
      <c r="C79" s="25"/>
      <c r="D79" s="25"/>
      <c r="E79" s="25"/>
      <c r="F79" s="25"/>
      <c r="G79" s="25"/>
      <c r="H79" s="25">
        <v>0.14504592383706116</v>
      </c>
      <c r="I79" s="36">
        <v>0.22134160686934523</v>
      </c>
      <c r="J79" s="91">
        <v>0.39849222855834943</v>
      </c>
      <c r="K79" s="36">
        <v>0.5518463227222834</v>
      </c>
      <c r="L79" s="116">
        <v>0.33563489301282567</v>
      </c>
      <c r="M79" s="38">
        <v>0.46110131024246348</v>
      </c>
      <c r="N79" s="2"/>
      <c r="O79" s="2"/>
    </row>
    <row r="80" spans="1:15" x14ac:dyDescent="0.35">
      <c r="A80" s="35">
        <v>44110</v>
      </c>
      <c r="B80" s="25"/>
      <c r="C80" s="25"/>
      <c r="D80" s="25"/>
      <c r="E80" s="25"/>
      <c r="F80" s="25"/>
      <c r="G80" s="25"/>
      <c r="H80" s="25">
        <v>0.17762820914674116</v>
      </c>
      <c r="I80" s="36">
        <v>0.22377124538786575</v>
      </c>
      <c r="J80" s="91">
        <v>0.44114754011138912</v>
      </c>
      <c r="K80" s="36">
        <v>0.5362177104930308</v>
      </c>
      <c r="L80" s="116">
        <v>0.41026416303136193</v>
      </c>
      <c r="M80" s="38">
        <v>0.49761490977448575</v>
      </c>
      <c r="N80" s="2"/>
      <c r="O80" s="2"/>
    </row>
    <row r="81" spans="1:15" x14ac:dyDescent="0.35">
      <c r="A81" s="35">
        <v>44138</v>
      </c>
      <c r="B81" s="25"/>
      <c r="C81" s="25"/>
      <c r="D81" s="25"/>
      <c r="E81" s="25"/>
      <c r="F81" s="25"/>
      <c r="G81" s="25"/>
      <c r="H81" s="25">
        <v>0.19775944927976141</v>
      </c>
      <c r="I81" s="36">
        <v>0.21614084258905319</v>
      </c>
      <c r="J81" s="91">
        <v>0.45664418586608924</v>
      </c>
      <c r="K81" s="36">
        <v>0.5143905083060889</v>
      </c>
      <c r="L81" s="116">
        <v>0.46427375398953141</v>
      </c>
      <c r="M81" s="38">
        <v>0.52314476732606097</v>
      </c>
      <c r="N81" s="2"/>
      <c r="O81" s="2"/>
    </row>
    <row r="82" spans="1:15" x14ac:dyDescent="0.35">
      <c r="A82" s="35">
        <v>44166</v>
      </c>
      <c r="B82" s="25"/>
      <c r="C82" s="25"/>
      <c r="D82" s="25"/>
      <c r="E82" s="25"/>
      <c r="F82" s="25"/>
      <c r="G82" s="25"/>
      <c r="H82" s="25">
        <v>2.5484903286377092E-2</v>
      </c>
      <c r="I82" s="36">
        <v>0.21077580617259062</v>
      </c>
      <c r="J82" s="91">
        <v>0.24163231049438427</v>
      </c>
      <c r="K82" s="36">
        <v>0.36261223923293739</v>
      </c>
      <c r="L82" s="116">
        <v>0.268632064084799</v>
      </c>
      <c r="M82" s="38">
        <v>0.40516902215357242</v>
      </c>
      <c r="N82" s="2"/>
      <c r="O82" s="2"/>
    </row>
    <row r="83" spans="1:15" x14ac:dyDescent="0.35">
      <c r="A83" s="35">
        <v>44201</v>
      </c>
      <c r="B83" s="25"/>
      <c r="C83" s="25"/>
      <c r="D83" s="25"/>
      <c r="E83" s="25"/>
      <c r="F83" s="25"/>
      <c r="G83" s="25"/>
      <c r="H83" s="25">
        <v>-6.6823452337744116E-2</v>
      </c>
      <c r="I83" s="36">
        <v>0.19762932136656697</v>
      </c>
      <c r="J83" s="91">
        <v>0.11759959549194332</v>
      </c>
      <c r="K83" s="36">
        <v>0.2503909317974371</v>
      </c>
      <c r="L83" s="38">
        <v>0.14641449990662037</v>
      </c>
      <c r="M83" s="38">
        <v>0.31602778737086545</v>
      </c>
      <c r="N83" s="2"/>
      <c r="O83" s="2"/>
    </row>
    <row r="84" spans="1:15" x14ac:dyDescent="0.35">
      <c r="A84" s="35">
        <v>44229</v>
      </c>
      <c r="B84" s="25"/>
      <c r="C84" s="25"/>
      <c r="D84" s="25"/>
      <c r="E84" s="25"/>
      <c r="F84" s="25"/>
      <c r="G84" s="25"/>
      <c r="H84" s="25">
        <v>-4.0657817646923555E-2</v>
      </c>
      <c r="I84" s="36">
        <v>0.18810795748471554</v>
      </c>
      <c r="J84" s="91">
        <v>0.13980208080444356</v>
      </c>
      <c r="K84" s="36">
        <v>0.2374065204604654</v>
      </c>
      <c r="L84" s="38">
        <v>0.19429217240765095</v>
      </c>
      <c r="M84" s="38">
        <v>0.33514359888587264</v>
      </c>
      <c r="N84" s="2"/>
      <c r="O84" s="2"/>
    </row>
    <row r="85" spans="1:15" x14ac:dyDescent="0.35">
      <c r="A85" s="35">
        <v>44257</v>
      </c>
      <c r="B85" s="25"/>
      <c r="C85" s="25"/>
      <c r="D85" s="25"/>
      <c r="E85" s="25"/>
      <c r="F85" s="25"/>
      <c r="G85" s="25"/>
      <c r="H85" s="25">
        <v>-4.0459116283398489E-2</v>
      </c>
      <c r="I85" s="36">
        <v>0.19078878405084843</v>
      </c>
      <c r="J85" s="91">
        <v>0.14261052216796855</v>
      </c>
      <c r="K85" s="36">
        <v>0.19714054418404614</v>
      </c>
      <c r="L85" s="38">
        <v>0.22373723368227516</v>
      </c>
      <c r="M85" s="38">
        <v>0.31326568713789937</v>
      </c>
      <c r="N85" s="2"/>
      <c r="O85" s="2"/>
    </row>
    <row r="86" spans="1:15" x14ac:dyDescent="0.35">
      <c r="A86" s="35">
        <v>44292</v>
      </c>
      <c r="B86" s="25"/>
      <c r="C86" s="25"/>
      <c r="D86" s="25"/>
      <c r="E86" s="25"/>
      <c r="F86" s="25"/>
      <c r="G86" s="25"/>
      <c r="H86" s="25"/>
      <c r="I86" s="36">
        <v>0.1852668895965579</v>
      </c>
      <c r="J86" s="91">
        <v>0.1852668895965579</v>
      </c>
      <c r="K86" s="36">
        <v>0.20726133708617422</v>
      </c>
      <c r="L86" s="38">
        <v>0.35142128792214256</v>
      </c>
      <c r="M86" s="38">
        <v>0.39617283313560536</v>
      </c>
      <c r="N86" s="2"/>
      <c r="O86" s="2"/>
    </row>
    <row r="87" spans="1:15" x14ac:dyDescent="0.35">
      <c r="A87" s="35">
        <v>44320</v>
      </c>
      <c r="B87" s="25"/>
      <c r="C87" s="25"/>
      <c r="D87" s="25"/>
      <c r="E87" s="25"/>
      <c r="F87" s="25"/>
      <c r="G87" s="25"/>
      <c r="H87" s="25"/>
      <c r="I87" s="36">
        <v>0.14584143587707477</v>
      </c>
      <c r="J87" s="91">
        <v>0.14584143587707499</v>
      </c>
      <c r="K87" s="36">
        <v>0.20756244810938806</v>
      </c>
      <c r="L87" s="38">
        <v>0.3220214096913514</v>
      </c>
      <c r="M87" s="38">
        <v>0.47217925949885209</v>
      </c>
      <c r="N87" s="2"/>
      <c r="O87" s="2"/>
    </row>
    <row r="88" spans="1:15" x14ac:dyDescent="0.35">
      <c r="A88" s="35">
        <v>44348</v>
      </c>
      <c r="B88" s="25"/>
      <c r="C88" s="25"/>
      <c r="D88" s="25"/>
      <c r="E88" s="25"/>
      <c r="F88" s="25"/>
      <c r="G88" s="25"/>
      <c r="H88" s="25"/>
      <c r="I88" s="36">
        <v>0.12336290036041309</v>
      </c>
      <c r="J88" s="91">
        <v>0.12336290036041286</v>
      </c>
      <c r="K88" s="36">
        <v>0.13404843802140864</v>
      </c>
      <c r="L88" s="38">
        <v>0.32718720858726913</v>
      </c>
      <c r="M88" s="38">
        <v>0.35811612260383208</v>
      </c>
      <c r="N88" s="2"/>
      <c r="O88" s="2"/>
    </row>
    <row r="89" spans="1:15" x14ac:dyDescent="0.35">
      <c r="A89" s="35">
        <v>44383</v>
      </c>
      <c r="B89" s="25"/>
      <c r="C89" s="25"/>
      <c r="D89" s="25"/>
      <c r="E89" s="25"/>
      <c r="F89" s="25"/>
      <c r="G89" s="25"/>
      <c r="H89" s="25"/>
      <c r="I89" s="36">
        <v>8.4623935000664119E-2</v>
      </c>
      <c r="J89" s="91">
        <v>8.4623935000664119E-2</v>
      </c>
      <c r="K89" s="36">
        <v>0.11603254948892738</v>
      </c>
      <c r="L89" s="38">
        <v>0.29411556980530751</v>
      </c>
      <c r="M89" s="38">
        <v>0.4168445744004341</v>
      </c>
      <c r="N89" s="2"/>
      <c r="O89" s="2"/>
    </row>
    <row r="90" spans="1:15" x14ac:dyDescent="0.35">
      <c r="A90" s="35">
        <v>44411</v>
      </c>
      <c r="B90" s="25"/>
      <c r="C90" s="25"/>
      <c r="D90" s="25"/>
      <c r="E90" s="25"/>
      <c r="F90" s="25"/>
      <c r="G90" s="25"/>
      <c r="H90" s="25"/>
      <c r="I90" s="36">
        <v>7.4019253662539031E-2</v>
      </c>
      <c r="J90" s="91">
        <v>7.4019253662539031E-2</v>
      </c>
      <c r="K90" s="36">
        <v>0.11246352725658881</v>
      </c>
      <c r="L90" s="38">
        <v>0.34929868415967769</v>
      </c>
      <c r="M90" s="38">
        <v>0.56382255713641727</v>
      </c>
      <c r="N90" s="2"/>
      <c r="O90" s="2"/>
    </row>
    <row r="91" spans="1:15" x14ac:dyDescent="0.35">
      <c r="A91" s="35">
        <v>44446</v>
      </c>
      <c r="B91" s="25"/>
      <c r="C91" s="25"/>
      <c r="D91" s="25"/>
      <c r="E91" s="25"/>
      <c r="F91" s="25"/>
      <c r="G91" s="25"/>
      <c r="H91" s="25"/>
      <c r="I91" s="36">
        <v>-3.2167927948906327E-2</v>
      </c>
      <c r="J91" s="91">
        <v>-3.2167927948906327E-2</v>
      </c>
      <c r="K91" s="36">
        <v>1.6909505230811916E-2</v>
      </c>
      <c r="L91" s="38">
        <v>-0.20507347080877869</v>
      </c>
      <c r="M91" s="38">
        <v>0.12490589277613617</v>
      </c>
      <c r="N91" s="2"/>
      <c r="O91" s="2"/>
    </row>
    <row r="92" spans="1:15" x14ac:dyDescent="0.35">
      <c r="A92" s="35">
        <v>44474</v>
      </c>
      <c r="B92" s="25"/>
      <c r="C92" s="25"/>
      <c r="D92" s="25"/>
      <c r="E92" s="25"/>
      <c r="F92" s="25"/>
      <c r="G92" s="25"/>
      <c r="H92" s="25"/>
      <c r="I92" s="36">
        <v>-3.6261934036669885E-2</v>
      </c>
      <c r="J92" s="91">
        <v>-3.6261934036669885E-2</v>
      </c>
      <c r="K92" s="36">
        <v>-1.1078923196494728E-3</v>
      </c>
      <c r="L92" s="38">
        <v>-0.42977884473467087</v>
      </c>
      <c r="M92" s="38">
        <v>-1.6717226228056936E-2</v>
      </c>
      <c r="N92" s="2"/>
      <c r="O92" s="2"/>
    </row>
    <row r="93" spans="1:15" x14ac:dyDescent="0.35">
      <c r="A93" s="37" t="s">
        <v>92</v>
      </c>
      <c r="B93" s="25">
        <v>0.24933788476252428</v>
      </c>
      <c r="C93" s="25">
        <v>-8.8635025320936589E-2</v>
      </c>
      <c r="D93" s="25">
        <v>0.18548407939624889</v>
      </c>
      <c r="E93" s="25">
        <v>0.10246082572556792</v>
      </c>
      <c r="F93" s="25">
        <v>0.14932220651195216</v>
      </c>
      <c r="G93" s="25">
        <v>-0.26033861268593161</v>
      </c>
      <c r="H93" s="25">
        <v>0.70866796545607902</v>
      </c>
      <c r="I93" s="36">
        <v>0.20291408850497272</v>
      </c>
      <c r="J93" s="138">
        <v>1.6001486080866325</v>
      </c>
      <c r="N93" s="2"/>
      <c r="O93" s="2"/>
    </row>
  </sheetData>
  <sheetProtection formatCells="0" formatColumns="0" formatRows="0" insertColumns="0" insertRows="0" insertHyperlinks="0" deleteColumns="0" deleteRows="0" sort="0" autoFilter="0" pivotTables="0"/>
  <conditionalFormatting sqref="J2">
    <cfRule type="cellIs" dxfId="3" priority="3" operator="lessThan">
      <formula>$K2</formula>
    </cfRule>
    <cfRule type="cellIs" dxfId="2" priority="4" operator="greaterThan">
      <formula>$K2</formula>
    </cfRule>
  </conditionalFormatting>
  <conditionalFormatting sqref="J3:J92">
    <cfRule type="cellIs" dxfId="1" priority="1" operator="lessThan">
      <formula>$K3</formula>
    </cfRule>
    <cfRule type="cellIs" dxfId="0" priority="2" operator="greaterThan">
      <formula>$K3</formula>
    </cfRule>
  </conditionalFormatting>
  <pageMargins left="0.70866141732283472" right="0.70866141732283472" top="0.74803149606299213" bottom="0.74803149606299213" header="0.31496062992125984" footer="0.31496062992125984"/>
  <pageSetup scale="49" orientation="portrait" r:id="rId1"/>
  <rowBreaks count="1" manualBreakCount="1">
    <brk id="51" max="12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8"/>
  <sheetViews>
    <sheetView showGridLines="0" zoomScaleNormal="100" workbookViewId="0">
      <selection sqref="A1:F1"/>
    </sheetView>
  </sheetViews>
  <sheetFormatPr defaultRowHeight="14.5" x14ac:dyDescent="0.35"/>
  <cols>
    <col min="6" max="6" width="15.26953125" customWidth="1"/>
  </cols>
  <sheetData>
    <row r="1" spans="1:6" ht="21" x14ac:dyDescent="0.5">
      <c r="A1" s="164" t="s">
        <v>96</v>
      </c>
      <c r="B1" s="164"/>
      <c r="C1" s="164"/>
      <c r="D1" s="164"/>
      <c r="E1" s="164"/>
      <c r="F1" s="164"/>
    </row>
    <row r="2" spans="1:6" x14ac:dyDescent="0.35">
      <c r="A2" s="84" t="s">
        <v>42</v>
      </c>
      <c r="B2" s="84" t="s">
        <v>16</v>
      </c>
      <c r="C2" s="84" t="s">
        <v>17</v>
      </c>
      <c r="D2" s="84" t="s">
        <v>18</v>
      </c>
      <c r="E2" s="84" t="s">
        <v>19</v>
      </c>
      <c r="F2" s="84" t="s">
        <v>20</v>
      </c>
    </row>
    <row r="3" spans="1:6" x14ac:dyDescent="0.35">
      <c r="A3" s="85" t="s">
        <v>98</v>
      </c>
      <c r="B3" s="25">
        <v>6.5600000000000006E-2</v>
      </c>
      <c r="C3" s="25">
        <v>0.19620000000000001</v>
      </c>
      <c r="D3" s="25">
        <v>0.11020000000000001</v>
      </c>
      <c r="E3" s="25">
        <v>0.13650000000000001</v>
      </c>
      <c r="F3" s="25">
        <v>0.60829999999999995</v>
      </c>
    </row>
    <row r="4" spans="1:6" x14ac:dyDescent="0.35">
      <c r="A4" s="85" t="s">
        <v>97</v>
      </c>
      <c r="B4" s="25">
        <v>2.0899999999999998E-2</v>
      </c>
      <c r="C4" s="25">
        <v>3.8300000000000001E-2</v>
      </c>
      <c r="D4" s="25">
        <v>1.34E-2</v>
      </c>
      <c r="E4" s="25">
        <v>-1.83E-2</v>
      </c>
      <c r="F4" s="25">
        <v>5.4600000000000003E-2</v>
      </c>
    </row>
    <row r="5" spans="1:6" x14ac:dyDescent="0.35">
      <c r="A5" s="85" t="s">
        <v>99</v>
      </c>
      <c r="B5" s="25">
        <v>9.7100000000000006E-2</v>
      </c>
      <c r="C5" s="25">
        <v>0.16819999999999999</v>
      </c>
      <c r="D5" s="25">
        <v>-0.1087</v>
      </c>
      <c r="E5" s="25">
        <v>0.20749999999999999</v>
      </c>
      <c r="F5" s="25">
        <v>0.37919999999999998</v>
      </c>
    </row>
    <row r="6" spans="1:6" x14ac:dyDescent="0.35">
      <c r="A6" s="85" t="s">
        <v>100</v>
      </c>
      <c r="B6" s="25">
        <v>9.5399999999999999E-2</v>
      </c>
      <c r="C6" s="25">
        <v>0.17949999999999999</v>
      </c>
      <c r="D6" s="25">
        <v>9.69E-2</v>
      </c>
      <c r="E6" s="25">
        <v>-3.8699999999999998E-2</v>
      </c>
      <c r="F6" s="25">
        <v>0.36230000000000001</v>
      </c>
    </row>
    <row r="7" spans="1:6" x14ac:dyDescent="0.35">
      <c r="A7" s="85" t="s">
        <v>106</v>
      </c>
      <c r="B7" s="25">
        <v>0.1004</v>
      </c>
      <c r="C7" s="25">
        <v>-0.13020000000000001</v>
      </c>
      <c r="D7" s="25">
        <v>0.1109</v>
      </c>
      <c r="E7" s="25">
        <v>5.0299999999999997E-2</v>
      </c>
      <c r="F7" s="25">
        <v>0.1168</v>
      </c>
    </row>
    <row r="8" spans="1:6" x14ac:dyDescent="0.35">
      <c r="A8" s="85" t="s">
        <v>111</v>
      </c>
      <c r="B8" s="25">
        <v>7.0499999999999993E-2</v>
      </c>
      <c r="C8" s="25">
        <v>0.1232</v>
      </c>
      <c r="D8" s="25">
        <v>7.17E-2</v>
      </c>
      <c r="E8" s="25">
        <v>-0.3533</v>
      </c>
      <c r="F8" s="25">
        <v>-0.1666</v>
      </c>
    </row>
    <row r="9" spans="1:6" x14ac:dyDescent="0.35">
      <c r="A9" s="85" t="s">
        <v>113</v>
      </c>
      <c r="B9" s="25">
        <v>0.22720000000000001</v>
      </c>
      <c r="C9" s="25">
        <v>8.1000000000000003E-2</v>
      </c>
      <c r="D9" s="25">
        <v>0.37540000000000001</v>
      </c>
      <c r="E9" s="25">
        <v>-5.6300000000000003E-2</v>
      </c>
      <c r="F9" s="25">
        <v>0.72199999999999998</v>
      </c>
    </row>
    <row r="10" spans="1:6" x14ac:dyDescent="0.35">
      <c r="A10" s="85" t="s">
        <v>117</v>
      </c>
      <c r="B10" s="25">
        <v>0.12520000000000001</v>
      </c>
      <c r="C10" s="25">
        <v>0.16209999999999999</v>
      </c>
      <c r="D10" s="25"/>
      <c r="E10" s="25"/>
      <c r="F10" s="25">
        <v>0.30769999999999997</v>
      </c>
    </row>
    <row r="11" spans="1:6" x14ac:dyDescent="0.35">
      <c r="A11" s="92"/>
      <c r="B11" s="2"/>
      <c r="C11" s="2"/>
      <c r="D11" s="2"/>
      <c r="E11" s="2"/>
      <c r="F11" s="2"/>
    </row>
    <row r="12" spans="1:6" ht="21" x14ac:dyDescent="0.5">
      <c r="A12" s="164" t="s">
        <v>95</v>
      </c>
      <c r="B12" s="164"/>
      <c r="C12" s="164"/>
      <c r="D12" s="164"/>
      <c r="E12" s="164"/>
      <c r="F12" s="164"/>
    </row>
    <row r="13" spans="1:6" x14ac:dyDescent="0.35">
      <c r="A13" s="84" t="s">
        <v>15</v>
      </c>
      <c r="B13" s="84" t="s">
        <v>16</v>
      </c>
      <c r="C13" s="84" t="s">
        <v>17</v>
      </c>
      <c r="D13" s="84" t="s">
        <v>18</v>
      </c>
      <c r="E13" s="84" t="s">
        <v>19</v>
      </c>
      <c r="F13" s="84" t="s">
        <v>20</v>
      </c>
    </row>
    <row r="14" spans="1:6" x14ac:dyDescent="0.35">
      <c r="A14" s="85" t="s">
        <v>98</v>
      </c>
      <c r="B14" s="25">
        <v>0.13531070075474999</v>
      </c>
      <c r="C14" s="25">
        <v>4.6399999999999997E-2</v>
      </c>
      <c r="D14" s="25">
        <v>3.9900000000000005E-2</v>
      </c>
      <c r="E14" s="25">
        <v>2.5099999999999997E-2</v>
      </c>
      <c r="F14" s="25">
        <v>0.26649999999999996</v>
      </c>
    </row>
    <row r="15" spans="1:6" x14ac:dyDescent="0.35">
      <c r="A15" s="85" t="s">
        <v>97</v>
      </c>
      <c r="B15" s="25">
        <v>-1.44E-2</v>
      </c>
      <c r="C15" s="25">
        <v>-5.0099999999999999E-2</v>
      </c>
      <c r="D15" s="25">
        <v>-2.9999999999999997E-4</v>
      </c>
      <c r="E15" s="25">
        <v>-2.6200000000000001E-2</v>
      </c>
      <c r="F15" s="25">
        <v>-8.8599999999999998E-2</v>
      </c>
    </row>
    <row r="16" spans="1:6" x14ac:dyDescent="0.35">
      <c r="A16" s="85" t="s">
        <v>99</v>
      </c>
      <c r="B16" s="25">
        <v>7.0999999999999994E-2</v>
      </c>
      <c r="C16" s="25">
        <v>3.9021447316820002E-2</v>
      </c>
      <c r="D16" s="25">
        <v>-4.9400000000000006E-2</v>
      </c>
      <c r="E16" s="25">
        <v>0.1207</v>
      </c>
      <c r="F16" s="25">
        <v>0.1855</v>
      </c>
    </row>
    <row r="17" spans="1:6" x14ac:dyDescent="0.35">
      <c r="A17" s="85" t="s">
        <v>100</v>
      </c>
      <c r="B17" s="25">
        <v>3.78E-2</v>
      </c>
      <c r="C17" s="25">
        <v>2.81E-2</v>
      </c>
      <c r="D17" s="25">
        <v>7.5800000000000006E-2</v>
      </c>
      <c r="E17" s="25">
        <v>-3.9599999999999969E-2</v>
      </c>
      <c r="F17" s="25">
        <v>0.10249999999999999</v>
      </c>
    </row>
    <row r="18" spans="1:6" x14ac:dyDescent="0.35">
      <c r="A18" s="85" t="s">
        <v>106</v>
      </c>
      <c r="B18" s="25">
        <v>5.9400000000000001E-2</v>
      </c>
      <c r="C18" s="25">
        <v>2.0199999999999999E-2</v>
      </c>
      <c r="D18" s="25">
        <v>-6.1999999999999998E-3</v>
      </c>
      <c r="E18" s="25">
        <v>7.0099999999999996E-2</v>
      </c>
      <c r="F18" s="25">
        <v>0.14929999999999999</v>
      </c>
    </row>
    <row r="19" spans="1:6" x14ac:dyDescent="0.35">
      <c r="A19" s="85" t="s">
        <v>111</v>
      </c>
      <c r="B19" s="25">
        <v>1.4200000000000001E-2</v>
      </c>
      <c r="C19" s="25">
        <v>-2.6700000000000057E-2</v>
      </c>
      <c r="D19" s="25">
        <v>6.0499999999999998E-2</v>
      </c>
      <c r="E19" s="25">
        <v>-0.29339999999999999</v>
      </c>
      <c r="F19" s="25">
        <v>-0.26029999999999998</v>
      </c>
    </row>
    <row r="20" spans="1:6" x14ac:dyDescent="0.35">
      <c r="A20" s="85" t="s">
        <v>113</v>
      </c>
      <c r="B20" s="25">
        <v>0.19819999999999999</v>
      </c>
      <c r="C20" s="25">
        <v>9.1800000000000007E-2</v>
      </c>
      <c r="D20" s="25">
        <v>0.24310000000000001</v>
      </c>
      <c r="E20" s="25">
        <v>5.0700000000000002E-2</v>
      </c>
      <c r="F20" s="25">
        <v>0.7087</v>
      </c>
    </row>
    <row r="21" spans="1:6" x14ac:dyDescent="0.35">
      <c r="A21" s="85" t="s">
        <v>117</v>
      </c>
      <c r="B21" s="25">
        <v>7.0199999999999999E-2</v>
      </c>
      <c r="C21" s="25">
        <v>0.1206</v>
      </c>
      <c r="D21" s="25"/>
      <c r="E21" s="25"/>
      <c r="F21" s="25">
        <v>0.1993</v>
      </c>
    </row>
    <row r="23" spans="1:6" x14ac:dyDescent="0.35">
      <c r="A23" s="62" t="s">
        <v>54</v>
      </c>
    </row>
    <row r="24" spans="1:6" x14ac:dyDescent="0.35">
      <c r="A24" s="62" t="s">
        <v>101</v>
      </c>
    </row>
    <row r="25" spans="1:6" x14ac:dyDescent="0.35">
      <c r="A25" s="62" t="s">
        <v>145</v>
      </c>
    </row>
    <row r="26" spans="1:6" x14ac:dyDescent="0.35">
      <c r="A26" s="62" t="s">
        <v>146</v>
      </c>
    </row>
    <row r="27" spans="1:6" x14ac:dyDescent="0.35">
      <c r="A27" s="62" t="s">
        <v>147</v>
      </c>
    </row>
    <row r="28" spans="1:6" x14ac:dyDescent="0.35">
      <c r="A28" s="62" t="s">
        <v>94</v>
      </c>
    </row>
  </sheetData>
  <mergeCells count="2">
    <mergeCell ref="A12:F12"/>
    <mergeCell ref="A1:F1"/>
  </mergeCells>
  <pageMargins left="0.7" right="0.7" top="0.75" bottom="0.75" header="0.3" footer="0.3"/>
  <pageSetup scale="84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42"/>
  <sheetViews>
    <sheetView showGridLines="0" zoomScale="90" zoomScaleNormal="90" workbookViewId="0">
      <selection sqref="A1:B1"/>
    </sheetView>
  </sheetViews>
  <sheetFormatPr defaultRowHeight="14.5" x14ac:dyDescent="0.35"/>
  <cols>
    <col min="1" max="1" width="12.26953125" customWidth="1"/>
    <col min="2" max="2" width="11.26953125" bestFit="1" customWidth="1"/>
    <col min="3" max="18" width="9.7265625" customWidth="1"/>
  </cols>
  <sheetData>
    <row r="1" spans="1:18" s="81" customFormat="1" ht="49.5" customHeight="1" x14ac:dyDescent="0.5">
      <c r="A1" s="167" t="s">
        <v>73</v>
      </c>
      <c r="B1" s="171"/>
      <c r="C1" s="172" t="s">
        <v>105</v>
      </c>
      <c r="D1" s="173"/>
      <c r="E1" s="172" t="s">
        <v>88</v>
      </c>
      <c r="F1" s="173"/>
      <c r="G1" s="172" t="s">
        <v>109</v>
      </c>
      <c r="H1" s="173"/>
      <c r="I1" s="176" t="s">
        <v>89</v>
      </c>
      <c r="J1" s="175"/>
      <c r="K1" s="174" t="s">
        <v>115</v>
      </c>
      <c r="L1" s="175"/>
      <c r="M1" s="174" t="s">
        <v>107</v>
      </c>
      <c r="N1" s="175"/>
      <c r="O1" s="174" t="s">
        <v>108</v>
      </c>
      <c r="P1" s="175"/>
      <c r="Q1" s="174" t="s">
        <v>90</v>
      </c>
      <c r="R1" s="175"/>
    </row>
    <row r="2" spans="1:18" x14ac:dyDescent="0.35">
      <c r="A2" s="49" t="s">
        <v>75</v>
      </c>
      <c r="B2" s="50" t="s">
        <v>76</v>
      </c>
      <c r="C2" s="72" t="s">
        <v>77</v>
      </c>
      <c r="D2" s="73" t="s">
        <v>78</v>
      </c>
      <c r="E2" s="72" t="s">
        <v>77</v>
      </c>
      <c r="F2" s="73" t="s">
        <v>78</v>
      </c>
      <c r="G2" s="72" t="s">
        <v>77</v>
      </c>
      <c r="H2" s="73" t="s">
        <v>78</v>
      </c>
      <c r="I2" s="72" t="s">
        <v>77</v>
      </c>
      <c r="J2" s="73" t="s">
        <v>78</v>
      </c>
      <c r="K2" s="72" t="s">
        <v>77</v>
      </c>
      <c r="L2" s="74" t="s">
        <v>78</v>
      </c>
      <c r="M2" s="72" t="s">
        <v>77</v>
      </c>
      <c r="N2" s="74" t="s">
        <v>78</v>
      </c>
      <c r="O2" s="72" t="s">
        <v>77</v>
      </c>
      <c r="P2" s="74" t="s">
        <v>78</v>
      </c>
      <c r="Q2" s="72" t="s">
        <v>77</v>
      </c>
      <c r="R2" s="73" t="s">
        <v>78</v>
      </c>
    </row>
    <row r="3" spans="1:18" x14ac:dyDescent="0.35">
      <c r="A3" s="51">
        <v>39904</v>
      </c>
      <c r="B3" s="52">
        <v>40268</v>
      </c>
      <c r="C3" s="53">
        <v>198.50786584838801</v>
      </c>
      <c r="D3" s="48">
        <v>198.50786584838801</v>
      </c>
      <c r="E3" s="53">
        <v>184.31372549019599</v>
      </c>
      <c r="F3" s="48">
        <v>184.31372549019599</v>
      </c>
      <c r="G3" s="53">
        <v>195.07246376811599</v>
      </c>
      <c r="H3" s="48">
        <v>195.07246376811599</v>
      </c>
      <c r="I3" s="53">
        <v>259.35057125676502</v>
      </c>
      <c r="J3" s="48">
        <v>259.35057125676502</v>
      </c>
      <c r="K3" s="53">
        <v>213.57473442256301</v>
      </c>
      <c r="L3" s="54">
        <v>213.57473442256301</v>
      </c>
      <c r="M3" s="53"/>
      <c r="N3" s="54"/>
      <c r="O3" s="53"/>
      <c r="P3" s="54"/>
      <c r="Q3" s="53">
        <v>222.75357385976901</v>
      </c>
      <c r="R3" s="48">
        <v>222.75357385976901</v>
      </c>
    </row>
    <row r="4" spans="1:18" x14ac:dyDescent="0.35">
      <c r="A4" s="51">
        <v>40269</v>
      </c>
      <c r="B4" s="52">
        <v>40633</v>
      </c>
      <c r="C4" s="53">
        <v>117.147553654142</v>
      </c>
      <c r="D4" s="48">
        <v>232.54710865243257</v>
      </c>
      <c r="E4" s="53">
        <v>103.262411347518</v>
      </c>
      <c r="F4" s="48">
        <v>190.32679738562132</v>
      </c>
      <c r="G4" s="53">
        <v>111.31748390292201</v>
      </c>
      <c r="H4" s="48">
        <v>217.14975845410586</v>
      </c>
      <c r="I4" s="53">
        <v>111.546487363784</v>
      </c>
      <c r="J4" s="48">
        <v>289.29645219482899</v>
      </c>
      <c r="K4" s="53">
        <v>113.79216312224401</v>
      </c>
      <c r="L4" s="54">
        <v>243.03131018202231</v>
      </c>
      <c r="M4" s="53"/>
      <c r="N4" s="54"/>
      <c r="O4" s="53"/>
      <c r="P4" s="54"/>
      <c r="Q4" s="53">
        <v>115.32584613033799</v>
      </c>
      <c r="R4" s="48">
        <v>256.89244383934596</v>
      </c>
    </row>
    <row r="5" spans="1:18" x14ac:dyDescent="0.35">
      <c r="A5" s="51">
        <v>40634</v>
      </c>
      <c r="B5" s="52">
        <v>40999</v>
      </c>
      <c r="C5" s="53">
        <v>93.567256896207297</v>
      </c>
      <c r="D5" s="48">
        <v>217.5879505575239</v>
      </c>
      <c r="E5" s="53">
        <v>94.642857142857096</v>
      </c>
      <c r="F5" s="48">
        <v>180.13071895424866</v>
      </c>
      <c r="G5" s="53">
        <v>92.402669632925495</v>
      </c>
      <c r="H5" s="48">
        <v>200.65217391304313</v>
      </c>
      <c r="I5" s="53">
        <v>100.12471419663299</v>
      </c>
      <c r="J5" s="48">
        <v>289.65724594107155</v>
      </c>
      <c r="K5" s="53">
        <v>105.23858821725</v>
      </c>
      <c r="L5" s="54">
        <v>255.76271976144605</v>
      </c>
      <c r="M5" s="53"/>
      <c r="N5" s="54"/>
      <c r="O5" s="53"/>
      <c r="P5" s="54"/>
      <c r="Q5" s="53">
        <v>108.50612785690601</v>
      </c>
      <c r="R5" s="48">
        <v>278.74404356705116</v>
      </c>
    </row>
    <row r="6" spans="1:18" x14ac:dyDescent="0.35">
      <c r="A6" s="51">
        <v>41000</v>
      </c>
      <c r="B6" s="52">
        <v>41364</v>
      </c>
      <c r="C6" s="53">
        <v>104.520264969064</v>
      </c>
      <c r="D6" s="48">
        <v>227.42350246347993</v>
      </c>
      <c r="E6" s="53">
        <v>117.20319303338199</v>
      </c>
      <c r="F6" s="48">
        <v>211.11895424836689</v>
      </c>
      <c r="G6" s="53">
        <v>113.964126640183</v>
      </c>
      <c r="H6" s="48">
        <v>228.67149758454073</v>
      </c>
      <c r="I6" s="53">
        <v>111.293336101308</v>
      </c>
      <c r="J6" s="48">
        <v>322.36921226698911</v>
      </c>
      <c r="K6" s="53">
        <v>110.83522335674201</v>
      </c>
      <c r="L6" s="54">
        <v>283.47518171087688</v>
      </c>
      <c r="M6" s="53"/>
      <c r="N6" s="54">
        <v>100</v>
      </c>
      <c r="O6" s="53"/>
      <c r="P6" s="54">
        <v>100</v>
      </c>
      <c r="Q6" s="53">
        <v>105.226204285976</v>
      </c>
      <c r="R6" s="48">
        <v>293.31177671885519</v>
      </c>
    </row>
    <row r="7" spans="1:18" x14ac:dyDescent="0.35">
      <c r="A7" s="51">
        <v>41365</v>
      </c>
      <c r="B7" s="52">
        <v>41729</v>
      </c>
      <c r="C7" s="53">
        <v>120.495997339478</v>
      </c>
      <c r="D7" s="48">
        <v>274.03621747774247</v>
      </c>
      <c r="E7" s="53">
        <v>118.47299790719801</v>
      </c>
      <c r="F7" s="48">
        <v>250.11895424836604</v>
      </c>
      <c r="G7" s="53">
        <v>122.71046794127</v>
      </c>
      <c r="H7" s="48">
        <v>280.60386473429986</v>
      </c>
      <c r="I7" s="53">
        <v>128.35291923148699</v>
      </c>
      <c r="J7" s="48">
        <v>413.77029464822942</v>
      </c>
      <c r="K7" s="53">
        <v>129.396134207008</v>
      </c>
      <c r="L7" s="54">
        <v>366.80592657016604</v>
      </c>
      <c r="M7" s="53">
        <v>107.327</v>
      </c>
      <c r="N7" s="54">
        <v>107.327</v>
      </c>
      <c r="O7" s="53">
        <v>110.581</v>
      </c>
      <c r="P7" s="54">
        <v>110.581</v>
      </c>
      <c r="Q7" s="53">
        <v>130.519292138091</v>
      </c>
      <c r="R7" s="48">
        <v>382.82845473110785</v>
      </c>
    </row>
    <row r="8" spans="1:18" x14ac:dyDescent="0.35">
      <c r="A8" s="51">
        <v>41730</v>
      </c>
      <c r="B8" s="52">
        <v>42094</v>
      </c>
      <c r="C8" s="53">
        <v>135.11154219204701</v>
      </c>
      <c r="D8" s="48">
        <v>370.25455959892975</v>
      </c>
      <c r="E8" s="53">
        <v>148.29858733883501</v>
      </c>
      <c r="F8" s="48">
        <v>370.92287581699389</v>
      </c>
      <c r="G8" s="53">
        <v>140.940001721615</v>
      </c>
      <c r="H8" s="48">
        <v>395.48309178744046</v>
      </c>
      <c r="I8" s="53">
        <v>166.022380467955</v>
      </c>
      <c r="J8" s="48">
        <v>686.95129284426196</v>
      </c>
      <c r="K8" s="53">
        <v>156.53804953022899</v>
      </c>
      <c r="L8" s="54">
        <v>574.19084301422185</v>
      </c>
      <c r="M8" s="53">
        <v>181.366291799827</v>
      </c>
      <c r="N8" s="54">
        <v>194.65500000000031</v>
      </c>
      <c r="O8" s="53">
        <v>146.12727322053499</v>
      </c>
      <c r="P8" s="54">
        <v>161.5889999999998</v>
      </c>
      <c r="Q8" s="53">
        <v>163.36074683262899</v>
      </c>
      <c r="R8" s="48">
        <v>625.39142273655079</v>
      </c>
    </row>
    <row r="9" spans="1:18" x14ac:dyDescent="0.35">
      <c r="A9" s="51">
        <v>42095</v>
      </c>
      <c r="B9" s="52">
        <v>42460</v>
      </c>
      <c r="C9" s="53">
        <v>90.203923216547295</v>
      </c>
      <c r="D9" s="48">
        <v>333.98413864638394</v>
      </c>
      <c r="E9" s="53">
        <v>98.397566923694995</v>
      </c>
      <c r="F9" s="48">
        <v>364.9790849673206</v>
      </c>
      <c r="G9" s="53">
        <v>94.942893788554301</v>
      </c>
      <c r="H9" s="48">
        <v>375.48309178744034</v>
      </c>
      <c r="I9" s="53">
        <v>95.229341736694707</v>
      </c>
      <c r="J9" s="48">
        <v>654.17919422730461</v>
      </c>
      <c r="K9" s="53">
        <v>92.178193719401705</v>
      </c>
      <c r="L9" s="54">
        <v>529.27874759271515</v>
      </c>
      <c r="M9" s="53">
        <v>98.003133749454193</v>
      </c>
      <c r="N9" s="54">
        <v>190.76800000000037</v>
      </c>
      <c r="O9" s="53">
        <v>90.383627598413298</v>
      </c>
      <c r="P9" s="54">
        <v>146.04999999999987</v>
      </c>
      <c r="Q9" s="53">
        <v>98.644824208120198</v>
      </c>
      <c r="R9" s="48">
        <v>616.91626957113237</v>
      </c>
    </row>
    <row r="10" spans="1:18" x14ac:dyDescent="0.35">
      <c r="A10" s="51">
        <v>42461</v>
      </c>
      <c r="B10" s="52">
        <v>42825</v>
      </c>
      <c r="C10" s="53">
        <v>130.00656726268099</v>
      </c>
      <c r="D10" s="48">
        <v>434.20131385599683</v>
      </c>
      <c r="E10" s="53">
        <v>120.240393397061</v>
      </c>
      <c r="F10" s="48">
        <v>438.85228758169984</v>
      </c>
      <c r="G10" s="53">
        <v>124.220006432937</v>
      </c>
      <c r="H10" s="48">
        <v>466.42512077294913</v>
      </c>
      <c r="I10" s="53">
        <v>120.672855961026</v>
      </c>
      <c r="J10" s="48">
        <v>789.41671677691579</v>
      </c>
      <c r="K10" s="53">
        <v>120.187387027865</v>
      </c>
      <c r="L10" s="54">
        <v>636.12629682549323</v>
      </c>
      <c r="M10" s="53">
        <v>127.068481086975</v>
      </c>
      <c r="N10" s="54">
        <v>242.40600000000092</v>
      </c>
      <c r="O10" s="53">
        <v>127.476891475522</v>
      </c>
      <c r="P10" s="54">
        <v>186.17999999999969</v>
      </c>
      <c r="Q10" s="53">
        <v>137.371034482759</v>
      </c>
      <c r="R10" s="48">
        <v>847.46426140231074</v>
      </c>
    </row>
    <row r="11" spans="1:18" x14ac:dyDescent="0.35">
      <c r="A11" s="51">
        <v>42826</v>
      </c>
      <c r="B11" s="52">
        <v>43190</v>
      </c>
      <c r="C11" s="53">
        <v>106.774216024406</v>
      </c>
      <c r="D11" s="48">
        <v>463.61504883741117</v>
      </c>
      <c r="E11" s="53">
        <v>110.873282060753</v>
      </c>
      <c r="F11" s="48">
        <v>486.56993464052499</v>
      </c>
      <c r="G11" s="53">
        <v>108.35318487830099</v>
      </c>
      <c r="H11" s="48">
        <v>505.38647342995222</v>
      </c>
      <c r="I11" s="53">
        <v>105.903412553321</v>
      </c>
      <c r="J11" s="48">
        <v>836.01924233313878</v>
      </c>
      <c r="K11" s="53">
        <v>110.181669917893</v>
      </c>
      <c r="L11" s="54">
        <v>700.89457662918119</v>
      </c>
      <c r="M11" s="53">
        <v>103.417407159889</v>
      </c>
      <c r="N11" s="54">
        <v>250.69000000000145</v>
      </c>
      <c r="O11" s="53">
        <v>110.17563648082501</v>
      </c>
      <c r="P11" s="54">
        <v>205.12499999999966</v>
      </c>
      <c r="Q11" s="53">
        <v>111.366146555013</v>
      </c>
      <c r="R11" s="48">
        <v>943.78829135465583</v>
      </c>
    </row>
    <row r="12" spans="1:18" x14ac:dyDescent="0.35">
      <c r="A12" s="51">
        <v>43191</v>
      </c>
      <c r="B12" s="52">
        <v>43555</v>
      </c>
      <c r="C12" s="53">
        <v>117.15697356001699</v>
      </c>
      <c r="D12" s="48">
        <v>543.15736018670566</v>
      </c>
      <c r="E12" s="53">
        <v>105.337080160977</v>
      </c>
      <c r="F12" s="48">
        <v>512.5385620915032</v>
      </c>
      <c r="G12" s="53">
        <v>108.368780767576</v>
      </c>
      <c r="H12" s="48">
        <v>547.68115942028862</v>
      </c>
      <c r="I12" s="53">
        <v>105.229087247357</v>
      </c>
      <c r="J12" s="48">
        <v>879.7354179194316</v>
      </c>
      <c r="K12" s="53">
        <v>103.97924182126</v>
      </c>
      <c r="L12" s="54">
        <v>728.7848667453527</v>
      </c>
      <c r="M12" s="53">
        <v>101.229007938091</v>
      </c>
      <c r="N12" s="54">
        <v>253.77100000000178</v>
      </c>
      <c r="O12" s="53">
        <v>104.43193174893401</v>
      </c>
      <c r="P12" s="54">
        <v>214.21600000000055</v>
      </c>
      <c r="Q12" s="53">
        <v>101.491245469463</v>
      </c>
      <c r="R12" s="48">
        <v>957.86249149080436</v>
      </c>
    </row>
    <row r="13" spans="1:18" x14ac:dyDescent="0.35">
      <c r="A13" s="51">
        <v>43556</v>
      </c>
      <c r="B13" s="52">
        <v>43921</v>
      </c>
      <c r="C13" s="53">
        <v>68.584034708366602</v>
      </c>
      <c r="D13" s="48">
        <v>372.51923243149804</v>
      </c>
      <c r="E13" s="53">
        <v>75.879130408169502</v>
      </c>
      <c r="F13" s="48">
        <v>388.90980392156854</v>
      </c>
      <c r="G13" s="53">
        <v>72.792625915145095</v>
      </c>
      <c r="H13" s="48">
        <v>398.67149758454013</v>
      </c>
      <c r="I13" s="53">
        <v>72.262474367737497</v>
      </c>
      <c r="J13" s="48">
        <v>635.7185808779376</v>
      </c>
      <c r="K13" s="53">
        <v>76.579648375066597</v>
      </c>
      <c r="L13" s="54">
        <v>558.10088836428872</v>
      </c>
      <c r="M13" s="53">
        <v>75.801017452742798</v>
      </c>
      <c r="N13" s="54">
        <v>192.3610000000013</v>
      </c>
      <c r="O13" s="53">
        <v>86.442189192217199</v>
      </c>
      <c r="P13" s="54">
        <v>185.17300000000048</v>
      </c>
      <c r="Q13" s="53">
        <v>69.325207874351506</v>
      </c>
      <c r="R13" s="48">
        <v>664.04016337644259</v>
      </c>
    </row>
    <row r="14" spans="1:18" x14ac:dyDescent="0.35">
      <c r="A14" s="51">
        <v>43922</v>
      </c>
      <c r="B14" s="52">
        <v>44286</v>
      </c>
      <c r="C14" s="53">
        <v>166.56186371362099</v>
      </c>
      <c r="D14" s="48">
        <v>620.47497622957871</v>
      </c>
      <c r="E14" s="53">
        <v>174.080049476331</v>
      </c>
      <c r="F14" s="48">
        <v>677.01437908496837</v>
      </c>
      <c r="G14" s="53">
        <v>170.18479248712501</v>
      </c>
      <c r="H14" s="48">
        <v>678.4782608695632</v>
      </c>
      <c r="I14" s="53">
        <v>182.207718501703</v>
      </c>
      <c r="J14" s="48">
        <v>1158.3283223090937</v>
      </c>
      <c r="K14" s="53">
        <v>156.323918185613</v>
      </c>
      <c r="L14" s="54">
        <v>872.44517611977005</v>
      </c>
      <c r="M14" s="53">
        <v>168.87622750973401</v>
      </c>
      <c r="N14" s="54">
        <v>324.85200000000162</v>
      </c>
      <c r="O14" s="53">
        <v>159.911002143941</v>
      </c>
      <c r="P14" s="54">
        <v>296.11200000000065</v>
      </c>
      <c r="Q14" s="53">
        <v>188.133986006817</v>
      </c>
      <c r="R14" s="48">
        <v>1249.2852280462812</v>
      </c>
    </row>
    <row r="15" spans="1:18" ht="15" thickBot="1" x14ac:dyDescent="0.4">
      <c r="A15" s="115">
        <v>44287</v>
      </c>
      <c r="B15" s="101">
        <v>44500</v>
      </c>
      <c r="C15" s="102">
        <v>121.359240207431</v>
      </c>
      <c r="D15" s="100">
        <v>753.0037168294549</v>
      </c>
      <c r="E15" s="102">
        <v>119.52922867801</v>
      </c>
      <c r="F15" s="100">
        <v>809.23006535948127</v>
      </c>
      <c r="G15" s="102">
        <v>123.16209192210501</v>
      </c>
      <c r="H15" s="100">
        <v>835.62801932367086</v>
      </c>
      <c r="I15" s="102">
        <v>127.103774074651</v>
      </c>
      <c r="J15" s="100">
        <v>1472.2790138304458</v>
      </c>
      <c r="K15" s="102">
        <v>122.056074766355</v>
      </c>
      <c r="L15" s="103">
        <v>1064.8723364602042</v>
      </c>
      <c r="M15" s="102">
        <v>133.042123797914</v>
      </c>
      <c r="N15" s="103">
        <v>432.19000000000176</v>
      </c>
      <c r="O15" s="102">
        <v>114.575903712109</v>
      </c>
      <c r="P15" s="103">
        <v>339.27300000000093</v>
      </c>
      <c r="Q15" s="102">
        <v>124.498692240628</v>
      </c>
      <c r="R15" s="100">
        <v>1555.3437712729672</v>
      </c>
    </row>
    <row r="17" spans="1:18" s="22" customFormat="1" x14ac:dyDescent="0.35">
      <c r="A17" s="22" t="s">
        <v>142</v>
      </c>
      <c r="D17" s="27">
        <v>0.177113197451786</v>
      </c>
      <c r="E17" s="27"/>
      <c r="F17" s="27">
        <v>0.18397975857152901</v>
      </c>
      <c r="G17" s="27"/>
      <c r="H17" s="27">
        <v>0.18698824820861801</v>
      </c>
      <c r="I17" s="27"/>
      <c r="J17" s="27">
        <v>0.24261806681835299</v>
      </c>
      <c r="L17" s="27">
        <v>0.21052575111081398</v>
      </c>
      <c r="M17" s="27"/>
      <c r="N17" s="27">
        <v>0.21462963623954001</v>
      </c>
      <c r="O17" s="27"/>
      <c r="P17" s="27">
        <v>0.15829148358518999</v>
      </c>
      <c r="R17" s="27">
        <v>0.248138849076872</v>
      </c>
    </row>
    <row r="18" spans="1:18" ht="15" thickBot="1" x14ac:dyDescent="0.4">
      <c r="C18" s="46"/>
    </row>
    <row r="19" spans="1:18" s="71" customFormat="1" ht="39.75" customHeight="1" thickBot="1" x14ac:dyDescent="0.55000000000000004">
      <c r="A19" s="165" t="s">
        <v>73</v>
      </c>
      <c r="B19" s="166"/>
      <c r="C19" s="167" t="s">
        <v>11</v>
      </c>
      <c r="D19" s="168"/>
      <c r="E19" s="169" t="s">
        <v>74</v>
      </c>
      <c r="F19" s="170"/>
      <c r="N19" s="114"/>
      <c r="P19" s="114"/>
    </row>
    <row r="20" spans="1:18" x14ac:dyDescent="0.35">
      <c r="A20" s="49" t="s">
        <v>75</v>
      </c>
      <c r="B20" s="50" t="s">
        <v>76</v>
      </c>
      <c r="C20" s="56" t="s">
        <v>77</v>
      </c>
      <c r="D20" s="57" t="s">
        <v>78</v>
      </c>
      <c r="E20" s="58" t="s">
        <v>77</v>
      </c>
      <c r="F20" s="59" t="s">
        <v>78</v>
      </c>
    </row>
    <row r="21" spans="1:18" x14ac:dyDescent="0.35">
      <c r="A21" s="51">
        <v>39904</v>
      </c>
      <c r="B21" s="52">
        <v>40268</v>
      </c>
      <c r="C21" s="53">
        <v>241.83</v>
      </c>
      <c r="D21" s="55">
        <v>241.83</v>
      </c>
      <c r="E21" s="53">
        <v>212.08410000000001</v>
      </c>
      <c r="F21" s="55">
        <v>212.08410000000001</v>
      </c>
      <c r="H21" s="26"/>
      <c r="I21" s="60"/>
      <c r="K21" s="26"/>
      <c r="M21" s="26"/>
    </row>
    <row r="22" spans="1:18" x14ac:dyDescent="0.35">
      <c r="A22" s="51">
        <v>40269</v>
      </c>
      <c r="B22" s="52">
        <v>40633</v>
      </c>
      <c r="C22" s="53">
        <v>113.54279597473</v>
      </c>
      <c r="D22" s="55">
        <v>274.5805435056896</v>
      </c>
      <c r="E22" s="53">
        <v>110.66779597473</v>
      </c>
      <c r="F22" s="55">
        <v>234.70879908284235</v>
      </c>
      <c r="H22" s="26"/>
      <c r="I22" s="60"/>
      <c r="K22" s="26"/>
      <c r="M22" s="26"/>
    </row>
    <row r="23" spans="1:18" x14ac:dyDescent="0.35">
      <c r="A23" s="51">
        <v>40634</v>
      </c>
      <c r="B23" s="52">
        <v>40999</v>
      </c>
      <c r="C23" s="53">
        <v>110.84434880183299</v>
      </c>
      <c r="D23" s="55">
        <v>304.35701538541542</v>
      </c>
      <c r="E23" s="53">
        <v>107.96934880183299</v>
      </c>
      <c r="F23" s="55">
        <v>253.41356195034746</v>
      </c>
      <c r="H23" s="26"/>
      <c r="I23" s="60"/>
      <c r="K23" s="26"/>
      <c r="M23" s="26"/>
    </row>
    <row r="24" spans="1:18" x14ac:dyDescent="0.35">
      <c r="A24" s="51">
        <v>41000</v>
      </c>
      <c r="B24" s="52">
        <v>41364</v>
      </c>
      <c r="C24" s="53">
        <v>150.02625502729401</v>
      </c>
      <c r="D24" s="55">
        <v>456.6154320955838</v>
      </c>
      <c r="E24" s="53">
        <v>141.3952163710164</v>
      </c>
      <c r="F24" s="55">
        <v>358.31465423319349</v>
      </c>
      <c r="H24" s="26"/>
      <c r="I24" s="60"/>
      <c r="K24" s="26"/>
      <c r="M24" s="26"/>
    </row>
    <row r="25" spans="1:18" x14ac:dyDescent="0.35">
      <c r="A25" s="51">
        <v>41365</v>
      </c>
      <c r="B25" s="52">
        <v>41729</v>
      </c>
      <c r="C25" s="53">
        <v>209.303136791947</v>
      </c>
      <c r="D25" s="55">
        <v>955.71042245215961</v>
      </c>
      <c r="E25" s="26">
        <v>187.03841532979919</v>
      </c>
      <c r="F25" s="55">
        <v>670.18605117221432</v>
      </c>
      <c r="H25" s="26"/>
      <c r="I25" s="60"/>
      <c r="K25" s="26"/>
      <c r="M25" s="26"/>
    </row>
    <row r="26" spans="1:18" x14ac:dyDescent="0.35">
      <c r="A26" s="51">
        <v>41730</v>
      </c>
      <c r="B26" s="52">
        <v>42094</v>
      </c>
      <c r="C26" s="53">
        <v>193.95</v>
      </c>
      <c r="D26" s="55">
        <v>1853.6003643459633</v>
      </c>
      <c r="E26" s="53">
        <v>175.2165</v>
      </c>
      <c r="F26" s="55">
        <v>1174.2765423521628</v>
      </c>
      <c r="H26" s="26"/>
      <c r="I26" s="60"/>
      <c r="K26" s="26"/>
      <c r="M26" s="26"/>
    </row>
    <row r="27" spans="1:18" x14ac:dyDescent="0.35">
      <c r="A27" s="51">
        <v>42095</v>
      </c>
      <c r="B27" s="52">
        <v>42460</v>
      </c>
      <c r="C27" s="53">
        <v>91.210000000000008</v>
      </c>
      <c r="D27" s="55">
        <v>1690.6688923199533</v>
      </c>
      <c r="E27" s="53">
        <v>88.322500000000005</v>
      </c>
      <c r="F27" s="55">
        <v>1037.1503991189891</v>
      </c>
      <c r="H27" s="26"/>
      <c r="I27" s="60"/>
      <c r="K27" s="26"/>
      <c r="M27" s="26"/>
    </row>
    <row r="28" spans="1:18" x14ac:dyDescent="0.35">
      <c r="A28" s="51">
        <v>42461</v>
      </c>
      <c r="B28" s="52">
        <v>42825</v>
      </c>
      <c r="C28" s="53">
        <v>151.96</v>
      </c>
      <c r="D28" s="55">
        <v>2568.9425807420785</v>
      </c>
      <c r="E28" s="53">
        <v>142.84474000000003</v>
      </c>
      <c r="F28" s="55">
        <v>1481.4102832925169</v>
      </c>
      <c r="H28" s="26"/>
      <c r="I28" s="60"/>
      <c r="K28" s="26"/>
      <c r="M28" s="26"/>
    </row>
    <row r="29" spans="1:18" x14ac:dyDescent="0.35">
      <c r="A29" s="51">
        <v>42826</v>
      </c>
      <c r="B29" s="52">
        <v>43190</v>
      </c>
      <c r="C29" s="53">
        <v>131.63</v>
      </c>
      <c r="D29" s="55">
        <v>3381.4991190307978</v>
      </c>
      <c r="E29" s="53">
        <v>127.17782000000001</v>
      </c>
      <c r="F29" s="55">
        <v>1884.0253035472474</v>
      </c>
      <c r="H29" s="86"/>
      <c r="I29" s="60"/>
      <c r="K29" s="26"/>
      <c r="M29" s="26"/>
    </row>
    <row r="30" spans="1:18" x14ac:dyDescent="0.35">
      <c r="A30" s="51">
        <v>43191</v>
      </c>
      <c r="B30" s="52">
        <v>43555</v>
      </c>
      <c r="C30" s="53">
        <v>110.64</v>
      </c>
      <c r="D30" s="105">
        <v>3741.290625295675</v>
      </c>
      <c r="E30" s="53">
        <v>107.69</v>
      </c>
      <c r="F30" s="105">
        <v>2028.9068493900306</v>
      </c>
      <c r="H30" s="86"/>
      <c r="I30" s="60"/>
      <c r="K30" s="26"/>
      <c r="M30" s="26"/>
    </row>
    <row r="31" spans="1:18" x14ac:dyDescent="0.35">
      <c r="A31" s="51">
        <v>43556</v>
      </c>
      <c r="B31" s="52">
        <v>43921</v>
      </c>
      <c r="C31" s="53">
        <v>82.63</v>
      </c>
      <c r="D31" s="105">
        <v>3091.4284436818161</v>
      </c>
      <c r="E31" s="53">
        <v>79.679999999999993</v>
      </c>
      <c r="F31" s="105">
        <v>1616.6329775939764</v>
      </c>
      <c r="H31" s="86"/>
      <c r="I31" s="60"/>
      <c r="K31" s="26"/>
      <c r="M31" s="26"/>
    </row>
    <row r="32" spans="1:18" x14ac:dyDescent="0.35">
      <c r="A32" s="51">
        <v>43922</v>
      </c>
      <c r="B32" s="52">
        <v>44286</v>
      </c>
      <c r="C32" s="53">
        <v>178.32</v>
      </c>
      <c r="D32" s="105">
        <v>5512.635200773414</v>
      </c>
      <c r="E32" s="53">
        <v>162.78648000000001</v>
      </c>
      <c r="F32" s="105">
        <v>2631.6599187444231</v>
      </c>
      <c r="H32" s="86"/>
      <c r="I32" s="60"/>
      <c r="K32" s="26"/>
      <c r="M32" s="26"/>
    </row>
    <row r="33" spans="1:13" ht="15" thickBot="1" x14ac:dyDescent="0.4">
      <c r="A33" s="115">
        <v>44287</v>
      </c>
      <c r="B33" s="101">
        <v>44500</v>
      </c>
      <c r="C33" s="102">
        <v>136</v>
      </c>
      <c r="D33" s="104">
        <v>7497.1838730518439</v>
      </c>
      <c r="E33" s="102">
        <v>130.45400000000001</v>
      </c>
      <c r="F33" s="104">
        <v>3433.1056303988498</v>
      </c>
      <c r="H33" s="86"/>
      <c r="I33" s="60"/>
      <c r="K33" s="26"/>
      <c r="M33" s="26"/>
    </row>
    <row r="34" spans="1:13" x14ac:dyDescent="0.35">
      <c r="A34" s="8"/>
      <c r="B34" s="8"/>
      <c r="C34" s="21"/>
      <c r="D34" s="21"/>
      <c r="E34" s="21"/>
      <c r="F34" s="21"/>
    </row>
    <row r="35" spans="1:13" s="22" customFormat="1" x14ac:dyDescent="0.35">
      <c r="A35" s="22" t="s">
        <v>142</v>
      </c>
      <c r="D35" s="27">
        <v>0.41736835768772301</v>
      </c>
      <c r="E35" s="27"/>
      <c r="F35" s="27">
        <v>0.32456630058244174</v>
      </c>
    </row>
    <row r="36" spans="1:13" x14ac:dyDescent="0.35">
      <c r="F36" s="1"/>
    </row>
    <row r="37" spans="1:13" x14ac:dyDescent="0.35">
      <c r="A37" s="29" t="s">
        <v>79</v>
      </c>
    </row>
    <row r="38" spans="1:13" x14ac:dyDescent="0.35">
      <c r="A38" s="29" t="s">
        <v>80</v>
      </c>
    </row>
    <row r="39" spans="1:13" x14ac:dyDescent="0.35">
      <c r="A39" s="29" t="s">
        <v>81</v>
      </c>
    </row>
    <row r="40" spans="1:13" x14ac:dyDescent="0.35">
      <c r="A40" s="29" t="s">
        <v>82</v>
      </c>
    </row>
    <row r="41" spans="1:13" x14ac:dyDescent="0.35">
      <c r="A41" s="29" t="s">
        <v>83</v>
      </c>
    </row>
    <row r="42" spans="1:13" x14ac:dyDescent="0.35">
      <c r="A42" s="29" t="s">
        <v>84</v>
      </c>
    </row>
  </sheetData>
  <mergeCells count="12">
    <mergeCell ref="M1:N1"/>
    <mergeCell ref="O1:P1"/>
    <mergeCell ref="Q1:R1"/>
    <mergeCell ref="G1:H1"/>
    <mergeCell ref="I1:J1"/>
    <mergeCell ref="K1:L1"/>
    <mergeCell ref="A19:B19"/>
    <mergeCell ref="C19:D19"/>
    <mergeCell ref="E19:F19"/>
    <mergeCell ref="A1:B1"/>
    <mergeCell ref="C1:D1"/>
    <mergeCell ref="E1:F1"/>
  </mergeCells>
  <pageMargins left="0.7" right="0.7" top="0.75" bottom="0.75" header="0.3" footer="0.3"/>
  <pageSetup scale="4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Monthly Returns USD</vt:lpstr>
      <vt:lpstr>Model Portfolio PMS</vt:lpstr>
      <vt:lpstr>Client Monthly Returns</vt:lpstr>
      <vt:lpstr>Client Portfolio PMS</vt:lpstr>
      <vt:lpstr>Client Portfolio</vt:lpstr>
      <vt:lpstr>Client</vt:lpstr>
      <vt:lpstr>SIP Portfolio</vt:lpstr>
      <vt:lpstr>MF</vt:lpstr>
      <vt:lpstr>Client!Print_Area</vt:lpstr>
      <vt:lpstr>'Client Monthly Returns'!Print_Area</vt:lpstr>
      <vt:lpstr>'Client Portfolio'!Print_Area</vt:lpstr>
      <vt:lpstr>'Client Portfolio PMS'!Print_Area</vt:lpstr>
      <vt:lpstr>MF!Print_Area</vt:lpstr>
      <vt:lpstr>'Model Portfolio PMS'!Print_Area</vt:lpstr>
      <vt:lpstr>'Monthly Returns USD'!Print_Area</vt:lpstr>
      <vt:lpstr>'SIP Portfolio'!Print_Area</vt:lpstr>
      <vt:lpstr>Client!Print_Titles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SNigade</dc:creator>
  <cp:lastModifiedBy>Manjula Gambhir</cp:lastModifiedBy>
  <cp:lastPrinted>2021-11-10T10:48:08Z</cp:lastPrinted>
  <dcterms:created xsi:type="dcterms:W3CDTF">2016-01-27T09:53:32Z</dcterms:created>
  <dcterms:modified xsi:type="dcterms:W3CDTF">2024-07-17T03:18:36Z</dcterms:modified>
</cp:coreProperties>
</file>