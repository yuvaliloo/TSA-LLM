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gif" ContentType="image/gif"/>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updateLinks="never" codeName="ThisWorkbook"/>
  <bookViews>
    <workbookView xWindow="0" yWindow="0" windowWidth="19440" windowHeight="9735" tabRatio="906" firstSheet="3" activeTab="11"/>
  </bookViews>
  <sheets>
    <sheet name="Read Me" sheetId="511" r:id="rId1"/>
    <sheet name="Home" sheetId="19" r:id="rId2"/>
    <sheet name="PT II (5)" sheetId="20" r:id="rId3"/>
    <sheet name="PT II (6)" sheetId="726" r:id="rId4"/>
    <sheet name="PT II (7)" sheetId="24" r:id="rId5"/>
    <sheet name="PT II (8)" sheetId="727" r:id="rId6"/>
    <sheet name="PT III (9)" sheetId="29" r:id="rId7"/>
    <sheet name="PT III (10)" sheetId="728" r:id="rId8"/>
    <sheet name="PT III (11)" sheetId="30" r:id="rId9"/>
    <sheet name="PT IV (12)" sheetId="31" r:id="rId10"/>
    <sheet name="PT IV(13)" sheetId="729" r:id="rId11"/>
    <sheet name="PT IV (14)" sheetId="32" r:id="rId12"/>
    <sheet name="PT IV (15)" sheetId="730" r:id="rId13"/>
    <sheet name="PT IV (16)" sheetId="33" r:id="rId14"/>
    <sheet name="PT V" sheetId="35" r:id="rId15"/>
    <sheet name="Part B (i)" sheetId="731" state="hidden" r:id="rId16"/>
    <sheet name="Part B (ii)" sheetId="104" r:id="rId17"/>
    <sheet name="Table 3" sheetId="185" state="veryHidden" r:id="rId18"/>
    <sheet name="Table 2" sheetId="116" state="veryHidden" r:id="rId19"/>
    <sheet name="Master" sheetId="51" state="veryHidden" r:id="rId20"/>
    <sheet name="State dropdown" sheetId="59" state="hidden" r:id="rId21"/>
    <sheet name="Table 1" sheetId="855" state="veryHidden" r:id="rId22"/>
    <sheet name="Table 4" sheetId="856" state="veryHidden" r:id="rId23"/>
    <sheet name="Sheet3" sheetId="852" r:id="rId24"/>
  </sheets>
  <functionGroups/>
  <externalReferences>
    <externalReference r:id="rId25"/>
    <externalReference r:id="rId26"/>
    <externalReference r:id="rId27"/>
  </externalReferences>
  <definedNames>
    <definedName name="flag" localSheetId="20">[1]master!$W$2:$W$3</definedName>
    <definedName name="flag">[1]master!$W$2:$W$3</definedName>
    <definedName name="goods_type_with_invoice" localSheetId="20">[2]Master_table!$X$2:$X$4</definedName>
    <definedName name="goods_type_with_invoice">[2]Master_table!$X$2:$X$4</definedName>
    <definedName name="HashChkBi">'Part B (i)'!$G$66:$G$80</definedName>
    <definedName name="HashChkBii">'Part B (ii)'!$G$54:$G$68</definedName>
    <definedName name="HashChkEgt">'PT II (8)'!$C$5:$I$21</definedName>
    <definedName name="HashChkFtn">'PT IV (15)'!$C$5:$I$20</definedName>
    <definedName name="HashChkSix">'PT II (6)'!$C$5:$I$21</definedName>
    <definedName name="HashChkTen">'PT III (10)'!$C$5:$I$21</definedName>
    <definedName name="HashChkTtn">'PT IV(13)'!$C$5:$I$29</definedName>
    <definedName name="inv_typ" localSheetId="20">[1]master!$N$2:$N$2</definedName>
    <definedName name="inv_typ">[1]master!$N$2:$N$2</definedName>
    <definedName name="invoice_typ" localSheetId="20">[1]master!$AF$2:$AF$3</definedName>
    <definedName name="invoice_typ">[1]master!$AF$2:$AF$3</definedName>
    <definedName name="ntty" localSheetId="20">[1]master!$F$2:$F$3</definedName>
    <definedName name="ntty">[1]master!$F$2:$F$3</definedName>
    <definedName name="p_gst" localSheetId="20">[1]master!$C$2:$C$3</definedName>
    <definedName name="p_gst">[1]master!$C$2:$C$3</definedName>
    <definedName name="pos" localSheetId="20">[1]master!$K$2:$K$38</definedName>
    <definedName name="pos">[1]master!$K$2:$K$38</definedName>
    <definedName name="retq" localSheetId="20">[1]master!$AA$2:$AA$5</definedName>
    <definedName name="retq">[1]master!$AA$2:$AA$5</definedName>
    <definedName name="rt" localSheetId="20">[1]master!$H$2:$H$8</definedName>
    <definedName name="rt">[1]master!$H$2:$H$8</definedName>
    <definedName name="sply_ty" localSheetId="20">[1]master!$T$2:$T$3</definedName>
    <definedName name="sply_ty">[1]master!$T$2:$T$3</definedName>
    <definedName name="Year" localSheetId="20">[1]master!$AD$2:$AD$5</definedName>
    <definedName name="Year">[1]master!$AD$2:$AD$5</definedName>
    <definedName name="year2" localSheetId="20">[3]master!$AD$2:$AD$5</definedName>
    <definedName name="year2">[3]master!$AD$2:$AD$5</definedName>
    <definedName name="ZeroRange">'PT III (11)'!$E$7:$I$17</definedName>
    <definedName name="ZeroRangeTV">'PT III (11)'!$C$7:$D$13</definedName>
  </definedNames>
  <calcPr calcId="125725" fullPrecision="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5" i="32"/>
  <c r="H23"/>
  <c r="F20"/>
  <c r="D20"/>
  <c r="D21"/>
  <c r="F10"/>
  <c r="D10"/>
  <c r="F19"/>
  <c r="D19"/>
  <c r="F18"/>
  <c r="D18"/>
  <c r="F17"/>
  <c r="D17"/>
  <c r="D22"/>
  <c r="F21"/>
  <c r="F22"/>
  <c r="F7"/>
  <c r="D7"/>
  <c r="F16"/>
  <c r="D16"/>
  <c r="F15"/>
  <c r="D15"/>
  <c r="F6"/>
  <c r="D6"/>
  <c r="F11" i="29"/>
  <c r="E11"/>
  <c r="F9"/>
  <c r="E9"/>
  <c r="G9"/>
  <c r="C9"/>
  <c r="G8"/>
  <c r="J226" i="856"/>
  <c r="F226"/>
  <c r="J225"/>
  <c r="F225"/>
  <c r="J224"/>
  <c r="F224"/>
  <c r="J223"/>
  <c r="F223"/>
  <c r="F222"/>
  <c r="F221"/>
  <c r="F220"/>
  <c r="F219"/>
  <c r="C209"/>
  <c r="F208"/>
  <c r="B208"/>
  <c r="A201"/>
  <c r="B200"/>
  <c r="H197"/>
  <c r="E195"/>
  <c r="E194"/>
  <c r="E191"/>
  <c r="E190"/>
  <c r="E189"/>
  <c r="E187"/>
  <c r="D185"/>
  <c r="G184"/>
  <c r="A184"/>
  <c r="J181"/>
  <c r="F181"/>
  <c r="J180"/>
  <c r="F180"/>
  <c r="J179"/>
  <c r="F179"/>
  <c r="J178"/>
  <c r="F178"/>
  <c r="E176"/>
  <c r="C176"/>
  <c r="J172"/>
  <c r="F172"/>
  <c r="J171"/>
  <c r="F171"/>
  <c r="J170"/>
  <c r="F170"/>
  <c r="J169"/>
  <c r="F169"/>
  <c r="E167"/>
  <c r="C167"/>
  <c r="A165"/>
  <c r="F161"/>
  <c r="J159"/>
  <c r="F159"/>
  <c r="J158"/>
  <c r="F158"/>
  <c r="J157"/>
  <c r="F157"/>
  <c r="J156"/>
  <c r="F156"/>
  <c r="F155"/>
  <c r="F154"/>
  <c r="F153"/>
  <c r="F152"/>
  <c r="J246" i="855"/>
  <c r="F246"/>
  <c r="J245"/>
  <c r="F245"/>
  <c r="J244"/>
  <c r="F244"/>
  <c r="J243"/>
  <c r="F243"/>
  <c r="F242"/>
  <c r="F241"/>
  <c r="F240"/>
  <c r="F239"/>
  <c r="C229"/>
  <c r="F228"/>
  <c r="B228"/>
  <c r="B221"/>
  <c r="A220"/>
  <c r="E218"/>
  <c r="F216"/>
  <c r="G215"/>
  <c r="A203"/>
  <c r="J200"/>
  <c r="F200"/>
  <c r="J199"/>
  <c r="F199"/>
  <c r="J198"/>
  <c r="F198"/>
  <c r="J197"/>
  <c r="F197"/>
  <c r="J194"/>
  <c r="F194"/>
  <c r="J193"/>
  <c r="F193"/>
  <c r="J192"/>
  <c r="F192"/>
  <c r="J191"/>
  <c r="F191"/>
  <c r="C188"/>
  <c r="J186"/>
  <c r="F186"/>
  <c r="J185"/>
  <c r="F185"/>
  <c r="J184"/>
  <c r="F184"/>
  <c r="J183"/>
  <c r="F183"/>
  <c r="E181"/>
  <c r="C181"/>
  <c r="E178"/>
  <c r="E177"/>
  <c r="E174"/>
  <c r="E173"/>
  <c r="E172"/>
  <c r="G217" s="1"/>
  <c r="E170"/>
  <c r="A168"/>
  <c r="B215" s="1"/>
  <c r="F161"/>
  <c r="J159"/>
  <c r="F159"/>
  <c r="J158"/>
  <c r="F158"/>
  <c r="J157"/>
  <c r="F157"/>
  <c r="J156"/>
  <c r="F156"/>
  <c r="F155"/>
  <c r="F154"/>
  <c r="F153"/>
  <c r="F152"/>
  <c r="B207" l="1"/>
  <c r="B217"/>
  <c r="K211"/>
  <c r="D202"/>
  <c r="B211"/>
  <c r="D213"/>
  <c r="B210"/>
  <c r="J172" i="185" l="1"/>
  <c r="J246" i="116" l="1"/>
  <c r="J245"/>
  <c r="J244"/>
  <c r="J243"/>
  <c r="F246"/>
  <c r="F245"/>
  <c r="F244"/>
  <c r="F243"/>
  <c r="F242"/>
  <c r="F241"/>
  <c r="F240"/>
  <c r="F239"/>
  <c r="E218" l="1"/>
  <c r="G215"/>
  <c r="A203" l="1"/>
  <c r="J200"/>
  <c r="F200"/>
  <c r="J199"/>
  <c r="F199"/>
  <c r="J198"/>
  <c r="F198"/>
  <c r="J197"/>
  <c r="F197"/>
  <c r="J194"/>
  <c r="F194"/>
  <c r="J193"/>
  <c r="F193"/>
  <c r="J192"/>
  <c r="F192"/>
  <c r="J191"/>
  <c r="F191"/>
  <c r="C188"/>
  <c r="J186"/>
  <c r="F186"/>
  <c r="J185"/>
  <c r="F185"/>
  <c r="J184"/>
  <c r="F184"/>
  <c r="J183"/>
  <c r="F183"/>
  <c r="E181"/>
  <c r="C181"/>
  <c r="E178"/>
  <c r="E177"/>
  <c r="E174"/>
  <c r="E173"/>
  <c r="E172"/>
  <c r="E170"/>
  <c r="A168"/>
  <c r="H59" i="731" l="1"/>
  <c r="E59"/>
  <c r="C59"/>
  <c r="C54"/>
  <c r="F53"/>
  <c r="F52"/>
  <c r="C52"/>
  <c r="J50"/>
  <c r="D50"/>
  <c r="F48"/>
  <c r="G47"/>
  <c r="C47"/>
  <c r="B46"/>
  <c r="B44"/>
  <c r="D40"/>
  <c r="B228" i="116" l="1"/>
  <c r="B221"/>
  <c r="F228"/>
  <c r="A220"/>
  <c r="C229"/>
  <c r="J156" i="185"/>
  <c r="F161" i="116"/>
  <c r="F161" i="185"/>
  <c r="F157" l="1"/>
  <c r="F157" i="116"/>
  <c r="J156"/>
  <c r="F155"/>
  <c r="F154"/>
  <c r="F153"/>
  <c r="F152"/>
  <c r="F224" i="185"/>
  <c r="J223"/>
  <c r="F156"/>
  <c r="F179"/>
  <c r="J178"/>
  <c r="J157"/>
  <c r="F155"/>
  <c r="F154"/>
  <c r="F153"/>
  <c r="F152"/>
  <c r="F170"/>
  <c r="J169"/>
  <c r="J170"/>
  <c r="J179"/>
  <c r="H21" i="20" l="1"/>
  <c r="H23" l="1"/>
  <c r="G6" i="24" l="1"/>
  <c r="H9" i="31" l="1"/>
  <c r="H11" s="1"/>
  <c r="I22" i="29"/>
  <c r="I24" s="1"/>
  <c r="G22"/>
  <c r="G24" s="1"/>
  <c r="F22"/>
  <c r="F24" s="1"/>
  <c r="E22"/>
  <c r="E24" s="1"/>
  <c r="G10" i="24"/>
  <c r="G12" s="1"/>
  <c r="J226" i="185" l="1"/>
  <c r="F226"/>
  <c r="J225"/>
  <c r="F225"/>
  <c r="J224"/>
  <c r="F223"/>
  <c r="F222"/>
  <c r="F221"/>
  <c r="F220"/>
  <c r="F219"/>
  <c r="A201"/>
  <c r="E195"/>
  <c r="E194"/>
  <c r="E191"/>
  <c r="E190"/>
  <c r="E189"/>
  <c r="E187"/>
  <c r="D185"/>
  <c r="A184"/>
  <c r="J181"/>
  <c r="F181"/>
  <c r="J180"/>
  <c r="F180"/>
  <c r="F178"/>
  <c r="E176"/>
  <c r="C176"/>
  <c r="F172"/>
  <c r="J171"/>
  <c r="F171"/>
  <c r="F169"/>
  <c r="E167"/>
  <c r="C167"/>
  <c r="A165"/>
  <c r="J159"/>
  <c r="F159"/>
  <c r="J158"/>
  <c r="F158"/>
  <c r="F216" i="116" l="1"/>
  <c r="G217"/>
  <c r="B217"/>
  <c r="J159"/>
  <c r="F159"/>
  <c r="J158"/>
  <c r="F158"/>
  <c r="J157"/>
  <c r="F156"/>
  <c r="B207" l="1"/>
  <c r="D213"/>
  <c r="B210"/>
  <c r="B215"/>
  <c r="D202"/>
  <c r="B211"/>
  <c r="K211"/>
  <c r="H47" i="104" l="1"/>
  <c r="E47"/>
  <c r="C47"/>
  <c r="B40"/>
  <c r="E37"/>
  <c r="H23"/>
  <c r="H197" i="185" l="1"/>
  <c r="B200"/>
  <c r="G184"/>
  <c r="F208"/>
  <c r="C209"/>
  <c r="B208"/>
</calcChain>
</file>

<file path=xl/sharedStrings.xml><?xml version="1.0" encoding="utf-8"?>
<sst xmlns="http://schemas.openxmlformats.org/spreadsheetml/2006/main" count="2483" uniqueCount="684">
  <si>
    <t>Deemed Supply under Schedule I</t>
  </si>
  <si>
    <t>Credit Notes issued after the end of the financial year but reflected in the annual return</t>
  </si>
  <si>
    <t>Credit notes accounted for in the audited Annual Financial Statement but are not permissible under GST</t>
  </si>
  <si>
    <t>Adjustments on account of supply of goods by SEZ units to DTA Units</t>
  </si>
  <si>
    <t>Turnover for the period under composition scheme</t>
  </si>
  <si>
    <t>Adjustments in turnover under section 15 and rules thereunder</t>
  </si>
  <si>
    <t>A</t>
  </si>
  <si>
    <t>B</t>
  </si>
  <si>
    <t>C</t>
  </si>
  <si>
    <t>D</t>
  </si>
  <si>
    <t>E</t>
  </si>
  <si>
    <t>F</t>
  </si>
  <si>
    <t>G</t>
  </si>
  <si>
    <t xml:space="preserve">Unbilled revenue as at the end of the Financial Year </t>
  </si>
  <si>
    <t>H</t>
  </si>
  <si>
    <t xml:space="preserve">Unadjusted Advances as at the beginning of the Financial Year </t>
  </si>
  <si>
    <t>I</t>
  </si>
  <si>
    <t>J</t>
  </si>
  <si>
    <t>K</t>
  </si>
  <si>
    <t xml:space="preserve">Adjustment in Turnover due to reasons not listed above </t>
  </si>
  <si>
    <t>L</t>
  </si>
  <si>
    <t>M</t>
  </si>
  <si>
    <t>N</t>
  </si>
  <si>
    <t>Reconciliation of rate wise liability and amount payable thereon</t>
  </si>
  <si>
    <t>Description</t>
  </si>
  <si>
    <t>Cess</t>
  </si>
  <si>
    <t>Interest</t>
  </si>
  <si>
    <t>Late Fee</t>
  </si>
  <si>
    <t>Penalty</t>
  </si>
  <si>
    <t>O</t>
  </si>
  <si>
    <t xml:space="preserve">Others </t>
  </si>
  <si>
    <t>P</t>
  </si>
  <si>
    <t>Q</t>
  </si>
  <si>
    <t>R</t>
  </si>
  <si>
    <t>Value of Exempted, Nil Rated, Non-GST Turnover, No supply turnover</t>
  </si>
  <si>
    <t>Rent and Insurance Expense</t>
  </si>
  <si>
    <t>Goods lost, stolen, destroyed, written off or disposed of by way of gift or free samples</t>
  </si>
  <si>
    <t>Royalties</t>
  </si>
  <si>
    <t>Conveyance charges</t>
  </si>
  <si>
    <t>Bank Charges</t>
  </si>
  <si>
    <t>Entertainment charges</t>
  </si>
  <si>
    <t>Stationery Expenses (including postage etc.)</t>
  </si>
  <si>
    <t>Repair and Maintenance</t>
  </si>
  <si>
    <t>Capital goods</t>
  </si>
  <si>
    <t>Any other expense 1</t>
  </si>
  <si>
    <t>Any other expense 2</t>
  </si>
  <si>
    <t>S</t>
  </si>
  <si>
    <t>T</t>
  </si>
  <si>
    <t>Integrated Tax</t>
  </si>
  <si>
    <t>Central Tax</t>
  </si>
  <si>
    <t>Adjustments in Turnover due to foreign exchange fluctuation</t>
  </si>
  <si>
    <t>Reasons for Un - Reconciled difference in Annual Gross Turnover</t>
  </si>
  <si>
    <t>Zero rated supplies without payment of tax</t>
  </si>
  <si>
    <t>Supplies on which tax is to be paid by the recipient on reverse charge basis</t>
  </si>
  <si>
    <t>Additional amount payable but not paid (due to reasons specified under Tables 6,8 and 10 above)</t>
  </si>
  <si>
    <t>Reconciliation of ITC declared in Annual Return (GSTR9) with ITC availed on expenses as per audited Annual Financial Statement or books of account</t>
  </si>
  <si>
    <t xml:space="preserve">Freight / Carriage </t>
  </si>
  <si>
    <r>
      <t>Trade Discounts</t>
    </r>
    <r>
      <rPr>
        <sz val="10"/>
        <color theme="1"/>
        <rFont val="Times New Roman"/>
        <family val="1"/>
      </rPr>
      <t>  accounted for in the audited Annual Financial Statement but are not permissible under GST</t>
    </r>
  </si>
  <si>
    <t>State Tax/UT Tax</t>
  </si>
  <si>
    <t>Cess, if applicable</t>
  </si>
  <si>
    <r>
      <t>GSTIN</t>
    </r>
    <r>
      <rPr>
        <b/>
        <sz val="11"/>
        <color rgb="FFFF0000"/>
        <rFont val="Calibri"/>
        <family val="2"/>
        <scheme val="minor"/>
      </rPr>
      <t>*</t>
    </r>
  </si>
  <si>
    <r>
      <t xml:space="preserve">     </t>
    </r>
    <r>
      <rPr>
        <sz val="10"/>
        <color indexed="8"/>
        <rFont val="Arial"/>
        <family val="2"/>
      </rPr>
      <t xml:space="preserve"> </t>
    </r>
    <r>
      <rPr>
        <b/>
        <i/>
        <u/>
        <sz val="10"/>
        <color indexed="8"/>
        <rFont val="Arial"/>
        <family val="2"/>
      </rPr>
      <t>Please Note :</t>
    </r>
    <r>
      <rPr>
        <i/>
        <sz val="10"/>
        <color indexed="8"/>
        <rFont val="Arial"/>
        <family val="2"/>
      </rPr>
      <t xml:space="preserve"> Fields marked with </t>
    </r>
    <r>
      <rPr>
        <b/>
        <i/>
        <sz val="10"/>
        <color indexed="10"/>
        <rFont val="Arial"/>
        <family val="2"/>
      </rPr>
      <t>*</t>
    </r>
    <r>
      <rPr>
        <i/>
        <sz val="10"/>
        <color indexed="8"/>
        <rFont val="Arial"/>
        <family val="2"/>
      </rPr>
      <t xml:space="preserve"> (red asterisk) are mandatory fields and need to be filled up</t>
    </r>
  </si>
  <si>
    <t xml:space="preserve">    Goods and Services Tax - GSTR 9C Offline tool</t>
  </si>
  <si>
    <r>
      <t>Financial Year</t>
    </r>
    <r>
      <rPr>
        <b/>
        <sz val="11"/>
        <color rgb="FFFF0000"/>
        <rFont val="Calibri"/>
        <family val="2"/>
        <scheme val="minor"/>
      </rPr>
      <t>*</t>
    </r>
  </si>
  <si>
    <r>
      <t>Are you liable to audit under any Act</t>
    </r>
    <r>
      <rPr>
        <b/>
        <sz val="8"/>
        <color theme="1"/>
        <rFont val="Calibri"/>
        <family val="2"/>
        <scheme val="minor"/>
      </rPr>
      <t> </t>
    </r>
    <r>
      <rPr>
        <b/>
        <sz val="10"/>
        <color theme="0"/>
        <rFont val="Times New Roman"/>
        <family val="1"/>
      </rPr>
      <t xml:space="preserve"> ?</t>
    </r>
    <r>
      <rPr>
        <b/>
        <sz val="10"/>
        <color rgb="FFFF0000"/>
        <rFont val="Times New Roman"/>
        <family val="1"/>
      </rPr>
      <t xml:space="preserve"> *</t>
    </r>
  </si>
  <si>
    <t>No</t>
  </si>
  <si>
    <t>Reasons for Un - Reconciled difference in ITC</t>
  </si>
  <si>
    <r>
      <t>Reconciliation of Taxable Turnover</t>
    </r>
    <r>
      <rPr>
        <b/>
        <sz val="11"/>
        <color rgb="FFFF0000"/>
        <rFont val="Times New Roman"/>
        <family val="1"/>
      </rPr>
      <t>*</t>
    </r>
  </si>
  <si>
    <t>Reasons for Un - Reconciled difference in Taxable Turnover</t>
  </si>
  <si>
    <t>Reasons for Un - Reconciled Payment of Tax</t>
  </si>
  <si>
    <t xml:space="preserve">PART -A - Reconciliation Statement </t>
  </si>
  <si>
    <t>2017-18</t>
  </si>
  <si>
    <t>(c) the cash flow statement for the period beginning:</t>
  </si>
  <si>
    <t>attached herewith, of</t>
  </si>
  <si>
    <t>S.No.</t>
  </si>
  <si>
    <t>Qualification Type</t>
  </si>
  <si>
    <t>Observation/Qualification</t>
  </si>
  <si>
    <t>2. List of Documents not maintained</t>
  </si>
  <si>
    <t>3(a). observations/ comments / discrepancies / inconsistencies in accounts and records maintained</t>
  </si>
  <si>
    <t>5.Observation/qualification in Form 9C</t>
  </si>
  <si>
    <t>Auditor's details</t>
  </si>
  <si>
    <t>Qualifications</t>
  </si>
  <si>
    <t>have examined the—</t>
  </si>
  <si>
    <t>M/S</t>
  </si>
  <si>
    <t xml:space="preserve"> Additional place of business </t>
  </si>
  <si>
    <t xml:space="preserve">Based on our audit  </t>
  </si>
  <si>
    <t xml:space="preserve">report that the said registered person </t>
  </si>
  <si>
    <t>has not maintained books of accounts/records/documents specified below</t>
  </si>
  <si>
    <t>report the below mentioned observations/ comments / discrepancies / inconsistencies; if any</t>
  </si>
  <si>
    <t>3(a)</t>
  </si>
  <si>
    <t>3(b)</t>
  </si>
  <si>
    <t xml:space="preserve">further report that, - </t>
  </si>
  <si>
    <t>(A)</t>
  </si>
  <si>
    <t>have obtained all the information and explanations which, to the best of</t>
  </si>
  <si>
    <t xml:space="preserve"> knowledge and belief, were necessary for the </t>
  </si>
  <si>
    <t xml:space="preserve">purpose of the audit/ information and explanations which, to the best of </t>
  </si>
  <si>
    <t xml:space="preserve">made/issued thereunder </t>
  </si>
  <si>
    <t>(B)</t>
  </si>
  <si>
    <t>knowledge and belief, were necessary for the purpose of the audit</t>
  </si>
  <si>
    <t xml:space="preserve"> were not provided/partially provided to us.</t>
  </si>
  <si>
    <t>In</t>
  </si>
  <si>
    <t>examination of the books.</t>
  </si>
  <si>
    <t xml:space="preserve">(C) </t>
  </si>
  <si>
    <t>certify that the balance sheet, the</t>
  </si>
  <si>
    <t>and the cash flow Statement are</t>
  </si>
  <si>
    <t>with the books of account maintained at the Principal place of business at</t>
  </si>
  <si>
    <t xml:space="preserve">and </t>
  </si>
  <si>
    <t xml:space="preserve">The documents required to be furnished under section 35 (5) of the CGST Act and Reconciliation Statement required to be furnished under section 44(2) of the CGST Act is annexed </t>
  </si>
  <si>
    <t>herewith in Form No. GSTR-9C</t>
  </si>
  <si>
    <t>opinion and to the best of</t>
  </si>
  <si>
    <t>information and according to explanations given to</t>
  </si>
  <si>
    <t>the particulars given</t>
  </si>
  <si>
    <t>in the said Form No.GSTR-9C are true and correct subject to  observations/qualifications, if any specified below</t>
  </si>
  <si>
    <t xml:space="preserve">as required by the IGST/CGST/SGST/UTGST Act, 2017 and the rules/notifications </t>
  </si>
  <si>
    <t>report that the audit of the books of accounts and the financial statements of</t>
  </si>
  <si>
    <t>was conducted by</t>
  </si>
  <si>
    <t>bearing membership number in pursuance of the provisions of the</t>
  </si>
  <si>
    <t>Institute of Chartered Accountants of India</t>
  </si>
  <si>
    <t>Institute of Cost Accountants of India</t>
  </si>
  <si>
    <t>and</t>
  </si>
  <si>
    <t>annex hereto a copy of their audit report dated</t>
  </si>
  <si>
    <t>along with a copy of each of:</t>
  </si>
  <si>
    <t>(d) documents declared by the said Act to be part of, or annexed to, the</t>
  </si>
  <si>
    <t>and balance sheet</t>
  </si>
  <si>
    <t>additional place of business within the State.</t>
  </si>
  <si>
    <t>Others</t>
  </si>
  <si>
    <t>State tax /UT tax</t>
  </si>
  <si>
    <t>Tax payable on un-reconciled difference in ITC (due to reasons specified in 13 &amp; 15 above)</t>
  </si>
  <si>
    <t xml:space="preserve">has maintained the books of accounts, records and documents </t>
  </si>
  <si>
    <t>Institute of Company Secretary of India</t>
  </si>
  <si>
    <t>Verification: I hereby solemnly affirm and declare that the information given herein above is true and correct to the best of my knowledge and belief and nothing has been concealed there from.</t>
  </si>
  <si>
    <t>Reconciliation of Gross Turnover</t>
  </si>
  <si>
    <r>
      <t>Turnover (including exports) as per Audited Financial Statement  for the State / UT (For multi-GSTIN units under same PAN, the turnover shall as be derived from the Audited Annual Financial Statements</t>
    </r>
    <r>
      <rPr>
        <sz val="10"/>
        <color theme="1"/>
        <rFont val="Times New Roman"/>
        <family val="1"/>
      </rPr>
      <t> </t>
    </r>
    <r>
      <rPr>
        <sz val="10"/>
        <color rgb="FF000000"/>
        <rFont val="Times New Roman"/>
        <family val="1"/>
      </rPr>
      <t>)</t>
    </r>
    <r>
      <rPr>
        <sz val="10"/>
        <color rgb="FFFF0000"/>
        <rFont val="Times New Roman"/>
        <family val="1"/>
      </rPr>
      <t>*</t>
    </r>
  </si>
  <si>
    <r>
      <t xml:space="preserve">Turnover from April 2017 to June 2017 </t>
    </r>
    <r>
      <rPr>
        <sz val="10"/>
        <color rgb="FFFF0000"/>
        <rFont val="Times New Roman"/>
        <family val="1"/>
      </rPr>
      <t>*</t>
    </r>
  </si>
  <si>
    <r>
      <t>Turnover as declared in Annual return (GSTR9)</t>
    </r>
    <r>
      <rPr>
        <sz val="10"/>
        <color rgb="FFFF0000"/>
        <rFont val="Times New Roman"/>
        <family val="1"/>
      </rPr>
      <t>*</t>
    </r>
  </si>
  <si>
    <r>
      <t>Taxable turnover as per liability declared in Annual Return (GSTR9)</t>
    </r>
    <r>
      <rPr>
        <sz val="10"/>
        <color rgb="FFFF0000"/>
        <rFont val="Times New Roman"/>
        <family val="1"/>
      </rPr>
      <t>*</t>
    </r>
  </si>
  <si>
    <r>
      <t>Reconciliation of Net Input Tax Credit (ITC)</t>
    </r>
    <r>
      <rPr>
        <b/>
        <sz val="11"/>
        <color rgb="FFFF0000"/>
        <rFont val="Times New Roman"/>
        <family val="1"/>
      </rPr>
      <t xml:space="preserve"> </t>
    </r>
  </si>
  <si>
    <r>
      <t>ITC availed as per audited Annual Financial Statement for the State/ UT (For multi-GSTIN units under same PAN, this should be derived from books of accounts)</t>
    </r>
    <r>
      <rPr>
        <sz val="10"/>
        <color rgb="FFFF0000"/>
        <rFont val="Times New Roman"/>
        <family val="1"/>
      </rPr>
      <t>*</t>
    </r>
  </si>
  <si>
    <r>
      <t>ITC booked in earlier Financial Years claimed in current Financial Year</t>
    </r>
    <r>
      <rPr>
        <sz val="10"/>
        <color rgb="FFFF0000"/>
        <rFont val="Times New Roman"/>
        <family val="1"/>
      </rPr>
      <t>*</t>
    </r>
  </si>
  <si>
    <r>
      <t>ITC booked in current Financial Year to be claimed in subsequent Financial Years</t>
    </r>
    <r>
      <rPr>
        <sz val="10"/>
        <color rgb="FFFF0000"/>
        <rFont val="Times New Roman"/>
        <family val="1"/>
      </rPr>
      <t>*</t>
    </r>
  </si>
  <si>
    <r>
      <t>ITC claimed in Annual Return (GSTR9)</t>
    </r>
    <r>
      <rPr>
        <sz val="10"/>
        <color rgb="FFFF0000"/>
        <rFont val="Times New Roman"/>
        <family val="1"/>
      </rPr>
      <t>*</t>
    </r>
  </si>
  <si>
    <r>
      <t>Is the person making reconciliation statement (FORM GSTR-9C) is same person who had conducted the audit of mentioned GSTIN</t>
    </r>
    <r>
      <rPr>
        <b/>
        <sz val="11"/>
        <color rgb="FFFF0000"/>
        <rFont val="Calibri"/>
        <family val="2"/>
        <scheme val="minor"/>
      </rPr>
      <t>*</t>
    </r>
  </si>
  <si>
    <t>Yes</t>
  </si>
  <si>
    <t>S.No</t>
  </si>
  <si>
    <t>Amount (₹)</t>
  </si>
  <si>
    <t>To be paid through Cash (₹)</t>
  </si>
  <si>
    <t>Taxable Value (₹)</t>
  </si>
  <si>
    <t>Tax payable (₹)</t>
  </si>
  <si>
    <t>Value (₹)</t>
  </si>
  <si>
    <t>Amount of Total ITC (₹)</t>
  </si>
  <si>
    <t>Amount of eligible ITC availed (₹)</t>
  </si>
  <si>
    <t>Amount payable (₹)</t>
  </si>
  <si>
    <t>Trade Name (If any)</t>
  </si>
  <si>
    <t>Legal Name</t>
  </si>
  <si>
    <t xml:space="preserve">Unbilled revenue at the beginning of the Financial Year </t>
  </si>
  <si>
    <r>
      <t>Unadjusted advances at the end of the Financial Year</t>
    </r>
    <r>
      <rPr>
        <sz val="10"/>
        <color theme="1"/>
        <rFont val="Times New Roman"/>
        <family val="1"/>
      </rPr>
      <t> </t>
    </r>
  </si>
  <si>
    <t>Power and Fuel Costs</t>
  </si>
  <si>
    <t>Imported goods (Including received from SEZ)</t>
  </si>
  <si>
    <t>Floor Number</t>
  </si>
  <si>
    <t>Name of the Premises/Buildig</t>
  </si>
  <si>
    <t>2018-19</t>
  </si>
  <si>
    <t>Name of the Premises/Building</t>
  </si>
  <si>
    <t>Sheet validation error</t>
  </si>
  <si>
    <t>Portal validation error</t>
  </si>
  <si>
    <r>
      <rPr>
        <sz val="12"/>
        <rFont val="Times New Roman"/>
        <family val="1"/>
      </rPr>
      <t xml:space="preserve">Financial
</t>
    </r>
    <r>
      <rPr>
        <sz val="12"/>
        <rFont val="Times New Roman"/>
        <family val="1"/>
      </rPr>
      <t>Year</t>
    </r>
  </si>
  <si>
    <r>
      <rPr>
        <sz val="12"/>
        <rFont val="Times New Roman"/>
        <family val="1"/>
      </rPr>
      <t>GSTIN</t>
    </r>
  </si>
  <si>
    <r>
      <rPr>
        <sz val="12"/>
        <rFont val="Times New Roman"/>
        <family val="1"/>
      </rPr>
      <t>Legal Name</t>
    </r>
  </si>
  <si>
    <r>
      <rPr>
        <sz val="12"/>
        <rFont val="Times New Roman"/>
        <family val="1"/>
      </rPr>
      <t xml:space="preserve">Trade Name
</t>
    </r>
    <r>
      <rPr>
        <sz val="12"/>
        <rFont val="Times New Roman"/>
        <family val="1"/>
      </rPr>
      <t>(if any)</t>
    </r>
  </si>
  <si>
    <r>
      <rPr>
        <sz val="12"/>
        <rFont val="Times New Roman"/>
        <family val="1"/>
      </rPr>
      <t>(Amount in ₹ in all tables)</t>
    </r>
  </si>
  <si>
    <r>
      <rPr>
        <b/>
        <sz val="12"/>
        <rFont val="Times New Roman"/>
        <family val="1"/>
      </rPr>
      <t>Reconciliation of Gross Turnover</t>
    </r>
  </si>
  <si>
    <r>
      <rPr>
        <sz val="12"/>
        <rFont val="Times New Roman"/>
        <family val="1"/>
      </rPr>
      <t>A</t>
    </r>
  </si>
  <si>
    <r>
      <rPr>
        <sz val="12"/>
        <rFont val="Times New Roman"/>
        <family val="1"/>
      </rPr>
      <t xml:space="preserve">Turnover (including exports) as per audited financial statements for the State / UT (For multi-GSTIN units under
</t>
    </r>
    <r>
      <rPr>
        <sz val="12"/>
        <rFont val="Times New Roman"/>
        <family val="1"/>
      </rPr>
      <t>same PAN the turnover shall be derived from the audited Annual Financial Statement)</t>
    </r>
  </si>
  <si>
    <r>
      <rPr>
        <sz val="12"/>
        <rFont val="Times New Roman"/>
        <family val="1"/>
      </rPr>
      <t>B</t>
    </r>
  </si>
  <si>
    <r>
      <rPr>
        <sz val="12"/>
        <rFont val="Times New Roman"/>
        <family val="1"/>
      </rPr>
      <t>Unbilled revenue at the beginning of Financial Year</t>
    </r>
  </si>
  <si>
    <r>
      <rPr>
        <sz val="12"/>
        <rFont val="Times New Roman"/>
        <family val="1"/>
      </rPr>
      <t>C</t>
    </r>
  </si>
  <si>
    <r>
      <rPr>
        <sz val="12"/>
        <rFont val="Times New Roman"/>
        <family val="1"/>
      </rPr>
      <t>Unadjusted advances at the end of the Financial Year</t>
    </r>
  </si>
  <si>
    <r>
      <rPr>
        <sz val="12"/>
        <rFont val="Times New Roman"/>
        <family val="1"/>
      </rPr>
      <t>D</t>
    </r>
  </si>
  <si>
    <r>
      <rPr>
        <sz val="12"/>
        <rFont val="Times New Roman"/>
        <family val="1"/>
      </rPr>
      <t>Deemed Supply under Schedule I</t>
    </r>
  </si>
  <si>
    <r>
      <rPr>
        <sz val="12"/>
        <rFont val="Times New Roman"/>
        <family val="1"/>
      </rPr>
      <t>E</t>
    </r>
  </si>
  <si>
    <r>
      <rPr>
        <sz val="12"/>
        <rFont val="Times New Roman"/>
        <family val="1"/>
      </rPr>
      <t xml:space="preserve">Credit Notes issued after the end of the financial year
</t>
    </r>
    <r>
      <rPr>
        <sz val="12"/>
        <rFont val="Times New Roman"/>
        <family val="1"/>
      </rPr>
      <t>but reflected in the annual return</t>
    </r>
  </si>
  <si>
    <r>
      <rPr>
        <sz val="12"/>
        <rFont val="Times New Roman"/>
        <family val="1"/>
      </rPr>
      <t>F</t>
    </r>
  </si>
  <si>
    <r>
      <rPr>
        <sz val="12"/>
        <rFont val="Times New Roman"/>
        <family val="1"/>
      </rPr>
      <t>G</t>
    </r>
  </si>
  <si>
    <r>
      <rPr>
        <sz val="12"/>
        <rFont val="Times New Roman"/>
        <family val="1"/>
      </rPr>
      <t>Turnover from April 2017 to June 2017</t>
    </r>
  </si>
  <si>
    <r>
      <rPr>
        <sz val="12"/>
        <rFont val="Times New Roman"/>
        <family val="1"/>
      </rPr>
      <t>H</t>
    </r>
  </si>
  <si>
    <r>
      <rPr>
        <sz val="12"/>
        <rFont val="Times New Roman"/>
        <family val="1"/>
      </rPr>
      <t>Unbilled revenue at the end of Financial Year</t>
    </r>
  </si>
  <si>
    <r>
      <rPr>
        <sz val="12"/>
        <rFont val="Times New Roman"/>
        <family val="1"/>
      </rPr>
      <t>I</t>
    </r>
  </si>
  <si>
    <r>
      <rPr>
        <sz val="12"/>
        <rFont val="Times New Roman"/>
        <family val="1"/>
      </rPr>
      <t xml:space="preserve">Unadjusted Advances at the beginning of the Financial
</t>
    </r>
    <r>
      <rPr>
        <sz val="12"/>
        <rFont val="Times New Roman"/>
        <family val="1"/>
      </rPr>
      <t>Year</t>
    </r>
  </si>
  <si>
    <r>
      <rPr>
        <sz val="12"/>
        <rFont val="Times New Roman"/>
        <family val="1"/>
      </rPr>
      <t>J</t>
    </r>
  </si>
  <si>
    <r>
      <rPr>
        <sz val="12"/>
        <rFont val="Times New Roman"/>
        <family val="1"/>
      </rPr>
      <t xml:space="preserve">Credit notes accounted for in the audited Annual
</t>
    </r>
    <r>
      <rPr>
        <sz val="12"/>
        <rFont val="Times New Roman"/>
        <family val="1"/>
      </rPr>
      <t>Financial Statement but are not permissible under GST</t>
    </r>
  </si>
  <si>
    <r>
      <rPr>
        <sz val="12"/>
        <rFont val="Times New Roman"/>
        <family val="1"/>
      </rPr>
      <t>K</t>
    </r>
  </si>
  <si>
    <r>
      <rPr>
        <sz val="12"/>
        <rFont val="Times New Roman"/>
        <family val="1"/>
      </rPr>
      <t xml:space="preserve">Adjustments on account of supply of goods by SEZ
</t>
    </r>
    <r>
      <rPr>
        <sz val="12"/>
        <rFont val="Times New Roman"/>
        <family val="1"/>
      </rPr>
      <t>units to DTA Units</t>
    </r>
  </si>
  <si>
    <r>
      <rPr>
        <sz val="12"/>
        <rFont val="Times New Roman"/>
        <family val="1"/>
      </rPr>
      <t>L</t>
    </r>
  </si>
  <si>
    <r>
      <rPr>
        <sz val="12"/>
        <rFont val="Times New Roman"/>
        <family val="1"/>
      </rPr>
      <t>Turnover for the period under composition scheme</t>
    </r>
  </si>
  <si>
    <r>
      <rPr>
        <sz val="12"/>
        <rFont val="Times New Roman"/>
        <family val="1"/>
      </rPr>
      <t>M</t>
    </r>
  </si>
  <si>
    <r>
      <rPr>
        <sz val="12"/>
        <rFont val="Times New Roman"/>
        <family val="1"/>
      </rPr>
      <t xml:space="preserve">Adjustments in turnover under section 15 and rules
</t>
    </r>
    <r>
      <rPr>
        <sz val="12"/>
        <rFont val="Times New Roman"/>
        <family val="1"/>
      </rPr>
      <t>thereunder</t>
    </r>
  </si>
  <si>
    <r>
      <rPr>
        <sz val="12"/>
        <rFont val="Times New Roman"/>
        <family val="1"/>
      </rPr>
      <t>N</t>
    </r>
  </si>
  <si>
    <r>
      <rPr>
        <sz val="12"/>
        <rFont val="Times New Roman"/>
        <family val="1"/>
      </rPr>
      <t xml:space="preserve">Adjustments in turnover due to foreign exchange
</t>
    </r>
    <r>
      <rPr>
        <sz val="12"/>
        <rFont val="Times New Roman"/>
        <family val="1"/>
      </rPr>
      <t>fluctuations</t>
    </r>
  </si>
  <si>
    <r>
      <rPr>
        <sz val="12"/>
        <rFont val="Times New Roman"/>
        <family val="1"/>
      </rPr>
      <t>O</t>
    </r>
  </si>
  <si>
    <r>
      <rPr>
        <sz val="12"/>
        <rFont val="Times New Roman"/>
        <family val="1"/>
      </rPr>
      <t>Adjustments in turnover due to reasons not listed above</t>
    </r>
  </si>
  <si>
    <r>
      <rPr>
        <sz val="12"/>
        <rFont val="Times New Roman"/>
        <family val="1"/>
      </rPr>
      <t>P</t>
    </r>
  </si>
  <si>
    <r>
      <rPr>
        <sz val="12"/>
        <rFont val="Times New Roman"/>
        <family val="1"/>
      </rPr>
      <t>Q</t>
    </r>
  </si>
  <si>
    <r>
      <rPr>
        <sz val="12"/>
        <rFont val="Times New Roman"/>
        <family val="1"/>
      </rPr>
      <t>Turnover as declared in Annual Return (GSTR9)</t>
    </r>
  </si>
  <si>
    <r>
      <rPr>
        <sz val="12"/>
        <rFont val="Times New Roman"/>
        <family val="1"/>
      </rPr>
      <t>R</t>
    </r>
  </si>
  <si>
    <r>
      <rPr>
        <sz val="12"/>
        <rFont val="Times New Roman"/>
        <family val="1"/>
      </rPr>
      <t>Un-Reconciled turnover (Q - P)</t>
    </r>
  </si>
  <si>
    <r>
      <rPr>
        <b/>
        <sz val="12"/>
        <rFont val="Times New Roman"/>
        <family val="1"/>
      </rPr>
      <t>Reasons for Un - Reconciled difference in Annual Gross Turnover</t>
    </r>
  </si>
  <si>
    <r>
      <rPr>
        <b/>
        <sz val="12"/>
        <rFont val="Times New Roman"/>
        <family val="1"/>
      </rPr>
      <t>Reconciliation of Taxable Turnover</t>
    </r>
  </si>
  <si>
    <r>
      <rPr>
        <sz val="12"/>
        <rFont val="Times New Roman"/>
        <family val="1"/>
      </rPr>
      <t>Annual turnover after adjustments (from 5P above)</t>
    </r>
  </si>
  <si>
    <r>
      <rPr>
        <sz val="12"/>
        <rFont val="Times New Roman"/>
        <family val="1"/>
      </rPr>
      <t xml:space="preserve">Value of Exempted, Nil Rated, Non-GST supplies, No-Supply
</t>
    </r>
    <r>
      <rPr>
        <sz val="12"/>
        <rFont val="Times New Roman"/>
        <family val="1"/>
      </rPr>
      <t>turnover</t>
    </r>
  </si>
  <si>
    <r>
      <rPr>
        <sz val="12"/>
        <rFont val="Times New Roman"/>
        <family val="1"/>
      </rPr>
      <t>Zero rated supplies without payment of tax</t>
    </r>
  </si>
  <si>
    <r>
      <rPr>
        <sz val="12"/>
        <rFont val="Times New Roman"/>
        <family val="1"/>
      </rPr>
      <t xml:space="preserve">Supplies on which tax is to be paid by the recipient on reverse
</t>
    </r>
    <r>
      <rPr>
        <sz val="12"/>
        <rFont val="Times New Roman"/>
        <family val="1"/>
      </rPr>
      <t>charge basis</t>
    </r>
  </si>
  <si>
    <r>
      <rPr>
        <sz val="12"/>
        <rFont val="Times New Roman"/>
        <family val="1"/>
      </rPr>
      <t>Taxable turnover as per adjustments above (A-B-C-D)</t>
    </r>
  </si>
  <si>
    <r>
      <rPr>
        <sz val="12"/>
        <rFont val="Times New Roman"/>
        <family val="1"/>
      </rPr>
      <t xml:space="preserve">Taxable turnover as per liability declared in Annual Return
</t>
    </r>
    <r>
      <rPr>
        <sz val="12"/>
        <rFont val="Times New Roman"/>
        <family val="1"/>
      </rPr>
      <t>(GSTR9)</t>
    </r>
  </si>
  <si>
    <r>
      <rPr>
        <sz val="12"/>
        <rFont val="Times New Roman"/>
        <family val="1"/>
      </rPr>
      <t>Unreconciled taxable turnover (F-E)</t>
    </r>
  </si>
  <si>
    <r>
      <rPr>
        <b/>
        <sz val="12"/>
        <rFont val="Times New Roman"/>
        <family val="1"/>
      </rPr>
      <t>Reasons for Un - Reconciled difference in taxable turnover</t>
    </r>
  </si>
  <si>
    <r>
      <rPr>
        <b/>
        <sz val="12"/>
        <rFont val="Times New Roman"/>
        <family val="1"/>
      </rPr>
      <t>Reconciliation of rate wise liability and amount payable thereon</t>
    </r>
  </si>
  <si>
    <r>
      <rPr>
        <sz val="12"/>
        <rFont val="Times New Roman"/>
        <family val="1"/>
      </rPr>
      <t>Tax payable</t>
    </r>
  </si>
  <si>
    <r>
      <rPr>
        <sz val="12"/>
        <rFont val="Times New Roman"/>
        <family val="1"/>
      </rPr>
      <t>Description</t>
    </r>
  </si>
  <si>
    <r>
      <rPr>
        <sz val="12"/>
        <rFont val="Times New Roman"/>
        <family val="1"/>
      </rPr>
      <t>Taxable Value</t>
    </r>
  </si>
  <si>
    <r>
      <rPr>
        <sz val="12"/>
        <rFont val="Times New Roman"/>
        <family val="1"/>
      </rPr>
      <t>Integrated Tax</t>
    </r>
  </si>
  <si>
    <r>
      <rPr>
        <sz val="12"/>
        <rFont val="Times New Roman"/>
        <family val="1"/>
      </rPr>
      <t>5% (RC)</t>
    </r>
  </si>
  <si>
    <r>
      <rPr>
        <sz val="12"/>
        <rFont val="Times New Roman"/>
        <family val="1"/>
      </rPr>
      <t>12% (RC)</t>
    </r>
  </si>
  <si>
    <r>
      <rPr>
        <sz val="12"/>
        <rFont val="Times New Roman"/>
        <family val="1"/>
      </rPr>
      <t>18% (RC)</t>
    </r>
  </si>
  <si>
    <r>
      <rPr>
        <sz val="12"/>
        <rFont val="Times New Roman"/>
        <family val="1"/>
      </rPr>
      <t>28% (RC)</t>
    </r>
  </si>
  <si>
    <r>
      <rPr>
        <sz val="12"/>
        <rFont val="Times New Roman"/>
        <family val="1"/>
      </rPr>
      <t>Interest</t>
    </r>
  </si>
  <si>
    <r>
      <rPr>
        <sz val="12"/>
        <rFont val="Times New Roman"/>
        <family val="1"/>
      </rPr>
      <t>Late Fee</t>
    </r>
  </si>
  <si>
    <r>
      <rPr>
        <sz val="12"/>
        <rFont val="Times New Roman"/>
        <family val="1"/>
      </rPr>
      <t>Penalty</t>
    </r>
  </si>
  <si>
    <r>
      <rPr>
        <sz val="12"/>
        <rFont val="Times New Roman"/>
        <family val="1"/>
      </rPr>
      <t>Others</t>
    </r>
  </si>
  <si>
    <r>
      <rPr>
        <sz val="12"/>
        <rFont val="Times New Roman"/>
        <family val="1"/>
      </rPr>
      <t xml:space="preserve">Total amount to be paid as per
</t>
    </r>
    <r>
      <rPr>
        <sz val="12"/>
        <rFont val="Times New Roman"/>
        <family val="1"/>
      </rPr>
      <t>tables above</t>
    </r>
  </si>
  <si>
    <r>
      <rPr>
        <sz val="12"/>
        <rFont val="Times New Roman"/>
        <family val="1"/>
      </rPr>
      <t xml:space="preserve">Total amount paid as declared in
</t>
    </r>
    <r>
      <rPr>
        <sz val="12"/>
        <rFont val="Times New Roman"/>
        <family val="1"/>
      </rPr>
      <t>Annual Return (GSTR 9)</t>
    </r>
  </si>
  <si>
    <t>Un-reconciled payment of Amount</t>
  </si>
  <si>
    <t>Reasons for un-reconciled payment of amount</t>
  </si>
  <si>
    <r>
      <rPr>
        <b/>
        <sz val="12"/>
        <rFont val="Times New Roman"/>
        <family val="1"/>
      </rPr>
      <t>Additional amount payable but not paid (due to reasons specified under Tables 6,8 and 10 above)</t>
    </r>
  </si>
  <si>
    <r>
      <rPr>
        <sz val="12"/>
        <rFont val="Times New Roman"/>
        <family val="1"/>
      </rPr>
      <t>To be paid through Cash</t>
    </r>
  </si>
  <si>
    <r>
      <rPr>
        <sz val="12"/>
        <rFont val="Times New Roman"/>
        <family val="1"/>
      </rPr>
      <t xml:space="preserve">Others
</t>
    </r>
    <r>
      <rPr>
        <sz val="12"/>
        <rFont val="Times New Roman"/>
        <family val="1"/>
      </rPr>
      <t>(please specify)</t>
    </r>
  </si>
  <si>
    <r>
      <rPr>
        <b/>
        <sz val="12"/>
        <rFont val="Times New Roman"/>
        <family val="1"/>
      </rPr>
      <t>Reconciliation of Net Input Tax Credit (ITC)</t>
    </r>
  </si>
  <si>
    <r>
      <rPr>
        <sz val="12"/>
        <rFont val="Times New Roman"/>
        <family val="1"/>
      </rPr>
      <t xml:space="preserve">ITC availed as per audited Annual Financial Statement for the State/ UT (For multi-GSTIN units under same PAN this should
</t>
    </r>
    <r>
      <rPr>
        <sz val="12"/>
        <rFont val="Times New Roman"/>
        <family val="1"/>
      </rPr>
      <t>be derived from books of accounts)</t>
    </r>
  </si>
  <si>
    <r>
      <rPr>
        <sz val="12"/>
        <rFont val="Times New Roman"/>
        <family val="1"/>
      </rPr>
      <t xml:space="preserve">ITC booked in earlier Financial Years claimed in current
</t>
    </r>
    <r>
      <rPr>
        <sz val="12"/>
        <rFont val="Times New Roman"/>
        <family val="1"/>
      </rPr>
      <t>Financial Year</t>
    </r>
  </si>
  <si>
    <r>
      <rPr>
        <sz val="12"/>
        <rFont val="Times New Roman"/>
        <family val="1"/>
      </rPr>
      <t xml:space="preserve">ITC booked in current Financial Year to be claimed in
</t>
    </r>
    <r>
      <rPr>
        <sz val="12"/>
        <rFont val="Times New Roman"/>
        <family val="1"/>
      </rPr>
      <t>subsequent Financial Years</t>
    </r>
  </si>
  <si>
    <r>
      <rPr>
        <sz val="12"/>
        <rFont val="Times New Roman"/>
        <family val="1"/>
      </rPr>
      <t xml:space="preserve">ITC availed as per audited financial statements or books of
</t>
    </r>
    <r>
      <rPr>
        <sz val="12"/>
        <rFont val="Times New Roman"/>
        <family val="1"/>
      </rPr>
      <t>account</t>
    </r>
  </si>
  <si>
    <r>
      <rPr>
        <sz val="12"/>
        <rFont val="Times New Roman"/>
        <family val="1"/>
      </rPr>
      <t>ITC claimed in Annual Return (GSTR9)</t>
    </r>
  </si>
  <si>
    <r>
      <rPr>
        <sz val="12"/>
        <rFont val="Times New Roman"/>
        <family val="1"/>
      </rPr>
      <t>Un-reconciled ITC</t>
    </r>
  </si>
  <si>
    <r>
      <rPr>
        <b/>
        <sz val="12"/>
        <rFont val="Times New Roman"/>
        <family val="1"/>
      </rPr>
      <t>Reasons for un-reconciled difference in ITC</t>
    </r>
  </si>
  <si>
    <r>
      <rPr>
        <b/>
        <sz val="12"/>
        <rFont val="Times New Roman"/>
        <family val="1"/>
      </rPr>
      <t>Reconciliation of ITC declared in Annual Return (GSTR9) with ITC availed on expenses as per audited Annual Financial Statement or books of account</t>
    </r>
  </si>
  <si>
    <r>
      <rPr>
        <sz val="12"/>
        <rFont val="Times New Roman"/>
        <family val="1"/>
      </rPr>
      <t>Value</t>
    </r>
  </si>
  <si>
    <r>
      <rPr>
        <sz val="12"/>
        <rFont val="Times New Roman"/>
        <family val="1"/>
      </rPr>
      <t>Amount of Total ITC</t>
    </r>
  </si>
  <si>
    <r>
      <rPr>
        <sz val="12"/>
        <rFont val="Times New Roman"/>
        <family val="1"/>
      </rPr>
      <t>Amount of eligible ITC availed</t>
    </r>
  </si>
  <si>
    <r>
      <rPr>
        <sz val="12"/>
        <rFont val="Times New Roman"/>
        <family val="1"/>
      </rPr>
      <t>S</t>
    </r>
  </si>
  <si>
    <r>
      <rPr>
        <sz val="12"/>
        <rFont val="Times New Roman"/>
        <family val="1"/>
      </rPr>
      <t>T</t>
    </r>
  </si>
  <si>
    <r>
      <rPr>
        <b/>
        <sz val="12"/>
        <rFont val="Times New Roman"/>
        <family val="1"/>
      </rPr>
      <t>Reasons for un - reconciled difference in ITC</t>
    </r>
  </si>
  <si>
    <r>
      <rPr>
        <b/>
        <sz val="12"/>
        <rFont val="Times New Roman"/>
        <family val="1"/>
      </rPr>
      <t xml:space="preserve">Tax payable on un-reconciled difference in ITC (due to reasons specified in 13
</t>
    </r>
    <r>
      <rPr>
        <b/>
        <sz val="12"/>
        <rFont val="Times New Roman"/>
        <family val="1"/>
      </rPr>
      <t>and 15 above)</t>
    </r>
  </si>
  <si>
    <r>
      <rPr>
        <sz val="12"/>
        <rFont val="Times New Roman"/>
        <family val="1"/>
      </rPr>
      <t>Amount Payable</t>
    </r>
  </si>
  <si>
    <r>
      <rPr>
        <sz val="12"/>
        <rFont val="Times New Roman"/>
        <family val="1"/>
      </rPr>
      <t>Central Tax</t>
    </r>
  </si>
  <si>
    <r>
      <rPr>
        <sz val="12"/>
        <rFont val="Times New Roman"/>
        <family val="1"/>
      </rPr>
      <t xml:space="preserve">State/UT
</t>
    </r>
    <r>
      <rPr>
        <sz val="12"/>
        <rFont val="Times New Roman"/>
        <family val="1"/>
      </rPr>
      <t>Tax</t>
    </r>
  </si>
  <si>
    <r>
      <rPr>
        <sz val="12"/>
        <rFont val="Times New Roman"/>
        <family val="1"/>
      </rPr>
      <t xml:space="preserve">Integrated
</t>
    </r>
    <r>
      <rPr>
        <sz val="12"/>
        <rFont val="Times New Roman"/>
        <family val="1"/>
      </rPr>
      <t>Tax</t>
    </r>
  </si>
  <si>
    <r>
      <rPr>
        <sz val="12"/>
        <rFont val="Times New Roman"/>
        <family val="1"/>
      </rPr>
      <t>Cess</t>
    </r>
  </si>
  <si>
    <r>
      <rPr>
        <sz val="12"/>
        <rFont val="Times New Roman"/>
        <family val="1"/>
      </rPr>
      <t xml:space="preserve">Input Tax
</t>
    </r>
    <r>
      <rPr>
        <sz val="12"/>
        <rFont val="Times New Roman"/>
        <family val="1"/>
      </rPr>
      <t>Credit</t>
    </r>
  </si>
  <si>
    <r>
      <rPr>
        <sz val="12"/>
        <rFont val="Times New Roman"/>
        <family val="1"/>
      </rPr>
      <t xml:space="preserve">Erroneous refund to be
</t>
    </r>
    <r>
      <rPr>
        <sz val="12"/>
        <rFont val="Times New Roman"/>
        <family val="1"/>
      </rPr>
      <t>paid back</t>
    </r>
  </si>
  <si>
    <r>
      <rPr>
        <sz val="12"/>
        <rFont val="Times New Roman"/>
        <family val="1"/>
      </rPr>
      <t xml:space="preserve">Outstanding demands to
</t>
    </r>
    <r>
      <rPr>
        <sz val="12"/>
        <rFont val="Times New Roman"/>
        <family val="1"/>
      </rPr>
      <t>be settled</t>
    </r>
  </si>
  <si>
    <r>
      <rPr>
        <sz val="12"/>
        <rFont val="Times New Roman"/>
        <family val="1"/>
      </rPr>
      <t xml:space="preserve">Other (Pl.
</t>
    </r>
    <r>
      <rPr>
        <sz val="12"/>
        <rFont val="Times New Roman"/>
        <family val="1"/>
      </rPr>
      <t>specify)</t>
    </r>
  </si>
  <si>
    <t>Purchases</t>
  </si>
  <si>
    <t>Other Miscellaneous expenses</t>
  </si>
  <si>
    <t>Other Territory</t>
  </si>
  <si>
    <t>Uttarakhand</t>
  </si>
  <si>
    <t>Tripura</t>
  </si>
  <si>
    <t>Telangana</t>
  </si>
  <si>
    <t>Sikkim</t>
  </si>
  <si>
    <t>Rajasthan</t>
  </si>
  <si>
    <t>Punjab</t>
  </si>
  <si>
    <t>Puducherry</t>
  </si>
  <si>
    <t>Odisha</t>
  </si>
  <si>
    <t>Nagaland</t>
  </si>
  <si>
    <t>Mizoram</t>
  </si>
  <si>
    <t>Meghalaya</t>
  </si>
  <si>
    <t>Manipur</t>
  </si>
  <si>
    <t>Maharashtra</t>
  </si>
  <si>
    <t>Lakshadweep</t>
  </si>
  <si>
    <t>Kerala</t>
  </si>
  <si>
    <t>Karnataka</t>
  </si>
  <si>
    <t>Jharkhand</t>
  </si>
  <si>
    <t>Haryana</t>
  </si>
  <si>
    <t>Gujarat</t>
  </si>
  <si>
    <t>Goa</t>
  </si>
  <si>
    <t>Delhi</t>
  </si>
  <si>
    <t>Chhattisgarh</t>
  </si>
  <si>
    <t>Chandigarh</t>
  </si>
  <si>
    <t>Bihar</t>
  </si>
  <si>
    <t>Assam</t>
  </si>
  <si>
    <r>
      <t>ITC availed as per audited financial statements or books of accounts (A + B - C)</t>
    </r>
    <r>
      <rPr>
        <sz val="10"/>
        <color rgb="FFFF0000"/>
        <rFont val="Times New Roman"/>
        <family val="1"/>
      </rPr>
      <t xml:space="preserve">* </t>
    </r>
  </si>
  <si>
    <t>4A</t>
  </si>
  <si>
    <t>Trade Discounts accounted for in the audited Annual Financial Statement but are not permissible under GST</t>
  </si>
  <si>
    <t>Introduction to Excel based GSTR-9C offline tool</t>
  </si>
  <si>
    <t>Reason Number 01</t>
  </si>
  <si>
    <t>subject to observations/qualifications, if any specified below</t>
  </si>
  <si>
    <t xml:space="preserve">the particulars given in the said Form No.GSTR-9C are true and correct </t>
  </si>
  <si>
    <t xml:space="preserve"> given to</t>
  </si>
  <si>
    <t>information and according to explanations</t>
  </si>
  <si>
    <t>4. In</t>
  </si>
  <si>
    <t xml:space="preserve"> Reconciliation Statement required to be furnished under section 44(2) of the CGST Act is annexed </t>
  </si>
  <si>
    <t>3. The documents required to be furnished under section 35 (5) of the CGST Act and</t>
  </si>
  <si>
    <t xml:space="preserve"> IGST/CGST/SGST/UTGST Act, 2017 and the rules/notifications,made/issued thereunder </t>
  </si>
  <si>
    <t>as required by the</t>
  </si>
  <si>
    <t xml:space="preserve"> audit report dated</t>
  </si>
  <si>
    <t xml:space="preserve">annex hereto a copy of their </t>
  </si>
  <si>
    <t>5. In</t>
  </si>
  <si>
    <t>4. The documents required to be furnished under section 35 (5) of the CGST Act and</t>
  </si>
  <si>
    <t>maintained at the Principal place of business at</t>
  </si>
  <si>
    <t xml:space="preserve">with the books of account </t>
  </si>
  <si>
    <t xml:space="preserve"> ( C )</t>
  </si>
  <si>
    <t>(B) In</t>
  </si>
  <si>
    <t>the audit  were not provided/partially provided to us.</t>
  </si>
  <si>
    <t xml:space="preserve">knowledge and belief, were necessary for the purpose of </t>
  </si>
  <si>
    <t xml:space="preserve"> which, to the best of </t>
  </si>
  <si>
    <t xml:space="preserve"> / inconsistencies; if any</t>
  </si>
  <si>
    <t>report the below mentioned observations/ comments / discrepancies</t>
  </si>
  <si>
    <t xml:space="preserve">2.Based on our audit  </t>
  </si>
  <si>
    <t>PART – B- CERTIFICATION
I. Certification in cases where the reconciliation statement (FORM GSTR-9C)
is drawn up by the person who had conducted the audit:</t>
  </si>
  <si>
    <t>Verification: 
I hereby solemnly affirm and declare that the information given herein above is true
 and correct to the best of my knowledge and belief and nothing has been concealed there from.</t>
  </si>
  <si>
    <t>Reason Number 1</t>
  </si>
  <si>
    <t>Auditor's recommendation on additional Liability due to non-reconciliation</t>
  </si>
  <si>
    <t>(d)documents declared by the said Act to be part of,or annexed to, the</t>
  </si>
  <si>
    <t>Basic Details</t>
  </si>
  <si>
    <t>Form GSTR - 9C
[See rule 80(3)] 
PART – A - Reconciliation Statement</t>
  </si>
  <si>
    <t>Reconciliation of turnover declared in audited Annual Financial Statement with turnover declared in Annual Return (GSTR9)</t>
  </si>
  <si>
    <t>Reconciliation of tax paid</t>
  </si>
  <si>
    <r>
      <rPr>
        <sz val="12"/>
        <rFont val="Times New Roman"/>
        <family val="1"/>
      </rPr>
      <t xml:space="preserve">Cess, if
</t>
    </r>
    <r>
      <rPr>
        <sz val="12"/>
        <rFont val="Times New Roman"/>
        <family val="1"/>
      </rPr>
      <t>applicable</t>
    </r>
  </si>
  <si>
    <t>Reconciliation of 
Input Tax Credit (ITC)</t>
  </si>
  <si>
    <t>Any other amount paid for supplies not included
in Annual Return
(GSTR 9)</t>
  </si>
  <si>
    <t>Employee's Cost (Salaries, Wages, Bonus etc)</t>
  </si>
  <si>
    <r>
      <t>Place</t>
    </r>
    <r>
      <rPr>
        <sz val="11"/>
        <color rgb="FFFF0000"/>
        <rFont val="Calibri"/>
        <family val="2"/>
        <scheme val="minor"/>
      </rPr>
      <t>*</t>
    </r>
  </si>
  <si>
    <r>
      <t>Name of the signatory</t>
    </r>
    <r>
      <rPr>
        <sz val="11"/>
        <color rgb="FFFF0000"/>
        <rFont val="Calibri"/>
        <family val="2"/>
        <scheme val="minor"/>
      </rPr>
      <t>*</t>
    </r>
  </si>
  <si>
    <r>
      <t>Membership No</t>
    </r>
    <r>
      <rPr>
        <sz val="11"/>
        <color rgb="FFFF0000"/>
        <rFont val="Calibri"/>
        <family val="2"/>
        <scheme val="minor"/>
      </rPr>
      <t>*</t>
    </r>
  </si>
  <si>
    <r>
      <t>Date</t>
    </r>
    <r>
      <rPr>
        <sz val="11"/>
        <color rgb="FFFF0000"/>
        <rFont val="Calibri"/>
        <family val="2"/>
        <scheme val="minor"/>
      </rPr>
      <t>*</t>
    </r>
  </si>
  <si>
    <r>
      <t>Full address</t>
    </r>
    <r>
      <rPr>
        <sz val="11"/>
        <color rgb="FFFF0000"/>
        <rFont val="Calibri"/>
        <family val="2"/>
        <scheme val="minor"/>
      </rPr>
      <t>*</t>
    </r>
  </si>
  <si>
    <r>
      <t>Building No /Flat No</t>
    </r>
    <r>
      <rPr>
        <sz val="11"/>
        <color rgb="FFFF0000"/>
        <rFont val="Calibri"/>
        <family val="2"/>
        <scheme val="minor"/>
      </rPr>
      <t>*</t>
    </r>
  </si>
  <si>
    <r>
      <t>Road/Street</t>
    </r>
    <r>
      <rPr>
        <sz val="11"/>
        <color rgb="FFFF0000"/>
        <rFont val="Calibri"/>
        <family val="2"/>
        <scheme val="minor"/>
      </rPr>
      <t>*</t>
    </r>
  </si>
  <si>
    <r>
      <t>City/Town/Locality/Village</t>
    </r>
    <r>
      <rPr>
        <sz val="11"/>
        <color rgb="FFFF0000"/>
        <rFont val="Calibri"/>
        <family val="2"/>
        <scheme val="minor"/>
      </rPr>
      <t>*</t>
    </r>
  </si>
  <si>
    <r>
      <t>District</t>
    </r>
    <r>
      <rPr>
        <sz val="11"/>
        <color rgb="FFFF0000"/>
        <rFont val="Calibri"/>
        <family val="2"/>
        <scheme val="minor"/>
      </rPr>
      <t>*</t>
    </r>
  </si>
  <si>
    <r>
      <t>State</t>
    </r>
    <r>
      <rPr>
        <sz val="11"/>
        <color rgb="FFFF0000"/>
        <rFont val="Calibri"/>
        <family val="2"/>
        <scheme val="minor"/>
      </rPr>
      <t>*</t>
    </r>
  </si>
  <si>
    <r>
      <t>Pin Code</t>
    </r>
    <r>
      <rPr>
        <sz val="11"/>
        <color rgb="FFFF0000"/>
        <rFont val="Calibri"/>
        <family val="2"/>
        <scheme val="minor"/>
      </rPr>
      <t>*</t>
    </r>
  </si>
  <si>
    <r>
      <t>(a) balance sheet as on</t>
    </r>
    <r>
      <rPr>
        <sz val="11"/>
        <color rgb="FFFF0000"/>
        <rFont val="Calibri"/>
        <family val="2"/>
        <scheme val="minor"/>
      </rPr>
      <t>*</t>
    </r>
  </si>
  <si>
    <r>
      <t xml:space="preserve">(b) the </t>
    </r>
    <r>
      <rPr>
        <sz val="11"/>
        <color rgb="FFFF0000"/>
        <rFont val="Calibri"/>
        <family val="2"/>
        <scheme val="minor"/>
      </rPr>
      <t>*</t>
    </r>
    <r>
      <rPr>
        <sz val="11"/>
        <color theme="1"/>
        <rFont val="Calibri"/>
        <family val="2"/>
        <scheme val="minor"/>
      </rPr>
      <t xml:space="preserve">                                                                                                        </t>
    </r>
  </si>
  <si>
    <r>
      <t>for the period beginning from</t>
    </r>
    <r>
      <rPr>
        <sz val="11"/>
        <color rgb="FFFF0000"/>
        <rFont val="Calibri"/>
        <family val="2"/>
        <scheme val="minor"/>
      </rPr>
      <t>*</t>
    </r>
  </si>
  <si>
    <r>
      <t>to ending on</t>
    </r>
    <r>
      <rPr>
        <sz val="11"/>
        <color rgb="FFFF0000"/>
        <rFont val="Calibri"/>
        <family val="2"/>
        <scheme val="minor"/>
      </rPr>
      <t>*</t>
    </r>
  </si>
  <si>
    <r>
      <t xml:space="preserve">from </t>
    </r>
    <r>
      <rPr>
        <sz val="11"/>
        <color rgb="FFFF0000"/>
        <rFont val="Calibri"/>
        <family val="2"/>
        <scheme val="minor"/>
      </rPr>
      <t>*</t>
    </r>
  </si>
  <si>
    <r>
      <t xml:space="preserve"> to ending on</t>
    </r>
    <r>
      <rPr>
        <sz val="11"/>
        <color rgb="FFFF0000"/>
        <rFont val="Calibri"/>
        <family val="2"/>
        <scheme val="minor"/>
      </rPr>
      <t>*</t>
    </r>
  </si>
  <si>
    <r>
      <t xml:space="preserve"> Name</t>
    </r>
    <r>
      <rPr>
        <sz val="11"/>
        <color rgb="FFFF0000"/>
        <rFont val="Calibri"/>
        <family val="2"/>
        <scheme val="minor"/>
      </rPr>
      <t>*</t>
    </r>
  </si>
  <si>
    <r>
      <t>Address</t>
    </r>
    <r>
      <rPr>
        <sz val="11"/>
        <color rgb="FFFF0000"/>
        <rFont val="Calibri"/>
        <family val="2"/>
        <scheme val="minor"/>
      </rPr>
      <t>*</t>
    </r>
  </si>
  <si>
    <r>
      <t>Principal place of business</t>
    </r>
    <r>
      <rPr>
        <sz val="11"/>
        <color rgb="FFFF0000"/>
        <rFont val="Calibri"/>
        <family val="2"/>
        <scheme val="minor"/>
      </rPr>
      <t>*</t>
    </r>
  </si>
  <si>
    <r>
      <t>Building No/Flat No</t>
    </r>
    <r>
      <rPr>
        <sz val="11"/>
        <color rgb="FFFF0000"/>
        <rFont val="Calibri"/>
        <family val="2"/>
        <scheme val="minor"/>
      </rPr>
      <t>*</t>
    </r>
  </si>
  <si>
    <t>Andaman Nicobar</t>
  </si>
  <si>
    <t>Andhra Pradesh</t>
  </si>
  <si>
    <t>Arunachal Pradesh</t>
  </si>
  <si>
    <t>Daman and Diu</t>
  </si>
  <si>
    <t>Himachal Pradesh</t>
  </si>
  <si>
    <t>Jammu and Kashmir</t>
  </si>
  <si>
    <t>Madhya Pradesh</t>
  </si>
  <si>
    <t>Tamil Nadu</t>
  </si>
  <si>
    <t>Uttar Pradesh</t>
  </si>
  <si>
    <t>West Bengal</t>
  </si>
  <si>
    <r>
      <t>PAN details for digital signature</t>
    </r>
    <r>
      <rPr>
        <sz val="11"/>
        <color rgb="FFFF0000"/>
        <rFont val="Calibri"/>
        <family val="2"/>
        <scheme val="minor"/>
      </rPr>
      <t>*</t>
    </r>
  </si>
  <si>
    <r>
      <t>GSTIN</t>
    </r>
    <r>
      <rPr>
        <sz val="11"/>
        <color rgb="FFFF0000"/>
        <rFont val="Calibri"/>
        <family val="2"/>
        <scheme val="minor"/>
      </rPr>
      <t>*</t>
    </r>
  </si>
  <si>
    <r>
      <t xml:space="preserve">Annual Turnover after adjustments as above(A+B+C+D-E+F-G-H-I+J-K-L+M+N+O) </t>
    </r>
    <r>
      <rPr>
        <sz val="10"/>
        <color rgb="FFFF0000"/>
        <rFont val="Times New Roman"/>
        <family val="1"/>
      </rPr>
      <t>*</t>
    </r>
  </si>
  <si>
    <r>
      <t xml:space="preserve">Un-Reconciled turnover  (Q- P) </t>
    </r>
    <r>
      <rPr>
        <b/>
        <sz val="10"/>
        <color rgb="FFFF0000"/>
        <rFont val="Times New Roman"/>
        <family val="1"/>
      </rPr>
      <t>*</t>
    </r>
  </si>
  <si>
    <r>
      <t>Taxable turnover as per adjustments above (A-B-C-D)</t>
    </r>
    <r>
      <rPr>
        <sz val="10"/>
        <color rgb="FFFF0000"/>
        <rFont val="Times New Roman"/>
        <family val="1"/>
      </rPr>
      <t>*</t>
    </r>
  </si>
  <si>
    <r>
      <t>Unreconciled Taxable Turnover (F-E)</t>
    </r>
    <r>
      <rPr>
        <b/>
        <sz val="10"/>
        <color rgb="FFFF0000"/>
        <rFont val="Times New Roman"/>
        <family val="1"/>
      </rPr>
      <t>*</t>
    </r>
  </si>
  <si>
    <r>
      <t>Un-reconciled payment (Q-P)</t>
    </r>
    <r>
      <rPr>
        <b/>
        <sz val="10"/>
        <color rgb="FFFF0000"/>
        <rFont val="Times New Roman"/>
        <family val="1"/>
      </rPr>
      <t>*</t>
    </r>
  </si>
  <si>
    <r>
      <t>Total amount to be paid as per tables above (A to O)</t>
    </r>
    <r>
      <rPr>
        <sz val="10"/>
        <color rgb="FFFF0000"/>
        <rFont val="Times New Roman"/>
        <family val="1"/>
      </rPr>
      <t>*</t>
    </r>
  </si>
  <si>
    <r>
      <t>Total amount paid as declared in Annual Return (GSTR 9)</t>
    </r>
    <r>
      <rPr>
        <sz val="10"/>
        <color rgb="FFFF0000"/>
        <rFont val="Times New Roman"/>
        <family val="1"/>
      </rPr>
      <t>*</t>
    </r>
  </si>
  <si>
    <r>
      <t>Un-reconciled ITC (E-D)</t>
    </r>
    <r>
      <rPr>
        <b/>
        <sz val="10"/>
        <color rgb="FFFF0000"/>
        <rFont val="Times New Roman"/>
        <family val="1"/>
      </rPr>
      <t>*</t>
    </r>
  </si>
  <si>
    <r>
      <t>Un-reconciled ITC (S-R)</t>
    </r>
    <r>
      <rPr>
        <b/>
        <sz val="10"/>
        <color rgb="FFFF0000"/>
        <rFont val="Times New Roman"/>
        <family val="1"/>
      </rPr>
      <t>*</t>
    </r>
  </si>
  <si>
    <r>
      <t>Total amount of eligible ITC availed (A to Q)</t>
    </r>
    <r>
      <rPr>
        <sz val="10"/>
        <color rgb="FFFF0000"/>
        <rFont val="Times New Roman"/>
        <family val="1"/>
      </rPr>
      <t>*</t>
    </r>
  </si>
  <si>
    <t>opinion, proper books of accounts</t>
  </si>
  <si>
    <t>kept by the registered person so far as appears from</t>
  </si>
  <si>
    <t>4.Observation/qualification in Form 9C</t>
  </si>
  <si>
    <t>State Tax / Union territory Tax</t>
  </si>
  <si>
    <t xml:space="preserve"> Integrated Tax </t>
  </si>
  <si>
    <t>Employee's Cost (Salaries, Wages, Bonus etc .)</t>
  </si>
  <si>
    <t>Sheet Validation Error</t>
  </si>
  <si>
    <t>5% (RC)</t>
  </si>
  <si>
    <t>12% (RC)</t>
  </si>
  <si>
    <t>18% (RC)</t>
  </si>
  <si>
    <t>28% (RC)</t>
  </si>
  <si>
    <t xml:space="preserve">Input tax credit </t>
  </si>
  <si>
    <t xml:space="preserve">Interest </t>
  </si>
  <si>
    <t xml:space="preserve">Penalty </t>
  </si>
  <si>
    <t xml:space="preserve">Any other amount paid for supplies not included in annual return (GSTR9) </t>
  </si>
  <si>
    <t xml:space="preserve">Erroneous refund to be paid back) </t>
  </si>
  <si>
    <t>Outstanding demands to be settled</t>
  </si>
  <si>
    <t xml:space="preserve">Late Fee </t>
  </si>
  <si>
    <t>5RC</t>
  </si>
  <si>
    <t>12RC</t>
  </si>
  <si>
    <t>18RC</t>
  </si>
  <si>
    <t>28RC</t>
  </si>
  <si>
    <t>5</t>
  </si>
  <si>
    <t>18</t>
  </si>
  <si>
    <t>28</t>
  </si>
  <si>
    <t>3</t>
  </si>
  <si>
    <t>0.25</t>
  </si>
  <si>
    <t>0.25%</t>
  </si>
  <si>
    <t>0.10%</t>
  </si>
  <si>
    <t>3%</t>
  </si>
  <si>
    <t>28%</t>
  </si>
  <si>
    <t>18%</t>
  </si>
  <si>
    <t>12%</t>
  </si>
  <si>
    <t>5%</t>
  </si>
  <si>
    <t>12</t>
  </si>
  <si>
    <t>INP</t>
  </si>
  <si>
    <t>INT</t>
  </si>
  <si>
    <t>LAT</t>
  </si>
  <si>
    <t>PEN</t>
  </si>
  <si>
    <t>ANO</t>
  </si>
  <si>
    <t>ERP</t>
  </si>
  <si>
    <t>OUD</t>
  </si>
  <si>
    <t>OTH</t>
  </si>
  <si>
    <t>0.1</t>
  </si>
  <si>
    <t>Other</t>
  </si>
  <si>
    <t>0.10</t>
  </si>
  <si>
    <t>Any other expense 3</t>
  </si>
  <si>
    <t>Any other expense 4</t>
  </si>
  <si>
    <t>Any other expense 5</t>
  </si>
  <si>
    <t>PURCHS</t>
  </si>
  <si>
    <t>FRTCAR</t>
  </si>
  <si>
    <t>POFUEL</t>
  </si>
  <si>
    <t>IMPGDS</t>
  </si>
  <si>
    <t>RNTEXP</t>
  </si>
  <si>
    <t>GDSLST</t>
  </si>
  <si>
    <t>RYLTES</t>
  </si>
  <si>
    <t>EMPCST</t>
  </si>
  <si>
    <t>CONCHR</t>
  </si>
  <si>
    <t>BNKCHR</t>
  </si>
  <si>
    <t>ENTCHR</t>
  </si>
  <si>
    <t>STNEXP</t>
  </si>
  <si>
    <t>RPRMNT</t>
  </si>
  <si>
    <t>OTRMIS</t>
  </si>
  <si>
    <t>CAPGDS</t>
  </si>
  <si>
    <t>ANEXP1</t>
  </si>
  <si>
    <t>ANEXP2</t>
  </si>
  <si>
    <t>ANEXP3</t>
  </si>
  <si>
    <t>ANEXP4</t>
  </si>
  <si>
    <t>ANEXP5</t>
  </si>
  <si>
    <t>2</t>
  </si>
  <si>
    <t>4</t>
  </si>
  <si>
    <t>Name of Act, if you are liable to audit under any Act.</t>
  </si>
  <si>
    <r>
      <t>Building N/Flat No</t>
    </r>
    <r>
      <rPr>
        <sz val="11"/>
        <color rgb="FFFF0000"/>
        <rFont val="Calibri"/>
        <family val="2"/>
        <scheme val="minor"/>
      </rPr>
      <t>*</t>
    </r>
  </si>
  <si>
    <t>Dadar And Nagar Haveli</t>
  </si>
  <si>
    <r>
      <t>Annual Turnover after adjustments [from 5(P) above]</t>
    </r>
    <r>
      <rPr>
        <sz val="10"/>
        <color rgb="FFFF0000"/>
        <rFont val="Times New Roman"/>
        <family val="1"/>
      </rPr>
      <t>*</t>
    </r>
  </si>
  <si>
    <t>Any amount which is payable due to reasons specified in Table 13 and 15 above shall be declared here.</t>
  </si>
  <si>
    <t>Amount payable</t>
  </si>
  <si>
    <t xml:space="preserve">Tax payable on un-reconciled difference in ITC (due to reasons specified in 13 and 15 above) </t>
  </si>
  <si>
    <t>PT II(16)</t>
  </si>
  <si>
    <t>Reasons for non-reconciliation between ITC availed on the various expenses declared in Table 14R and ITC declared in Table 14S shall be specified here.</t>
  </si>
  <si>
    <t>Reasons</t>
  </si>
  <si>
    <t xml:space="preserve">Reasons for un - reconciled difference in ITC </t>
  </si>
  <si>
    <t>PT II(15)</t>
  </si>
  <si>
    <t>Net ITC availed as declared in the Annual Return (GSTR9) shall be declared here. Table 7J of the Annual Return (GSTR9) may be used for filing this Table. Auditor can use the 'system generated summary based on GSTR 9' PDF to fill this field.</t>
  </si>
  <si>
    <t>14S. ITC claimed in Annual Return (GSTR9)</t>
  </si>
  <si>
    <t>Total ITC declared in Table 14A to 14Q above shall be auto populated here and non-editable</t>
  </si>
  <si>
    <t xml:space="preserve">14R. Total amount of eligible ITC availed </t>
  </si>
  <si>
    <t>This table is for reconciliation of ITC declared in the Annual Return (GSTR9) against the expenses booked in the audited Annual Financial Statement or books of account. The various sub-heads specified under this table are general expenses in the audited Annual Financial Statement or books of account on which ITC may or may not be available. Further, this is only an indicative list of heads under which expenses are generally booked. Taxpayers may add or delete any of these heads but all heads of expenses on which GST has been paid / was payable are to be declared here.
Any other expenses which are not specifically covered under table no 14A to 14Q then you can click on 'Add' button to add new rows to provide the expense details</t>
  </si>
  <si>
    <t>14A to 14Q</t>
  </si>
  <si>
    <t xml:space="preserve">Reconciliation of ITC declared in Annual Return (GSTR9) with ITC availed on expenses as per audited Annual Financial Statement or books of account </t>
  </si>
  <si>
    <t>PT II(14)</t>
  </si>
  <si>
    <t>Please provide reasons if any.</t>
  </si>
  <si>
    <t xml:space="preserve">Reasons for un-reconciled difference in ITC </t>
  </si>
  <si>
    <t>PT II(13)</t>
  </si>
  <si>
    <t>12F. Un-reconciled ITC</t>
  </si>
  <si>
    <t>Net ITC available for utilization as declared in Table 7J of Annual Return (GSTR9) shall be declared here.
Auditor can use the 'system generated summary based on GSTR 9' PDF to fill this field.</t>
  </si>
  <si>
    <t xml:space="preserve">12E. ITC claimed in Annual Return (GSTR9) </t>
  </si>
  <si>
    <t>ITC availed as per audited Annual Financial Statement or books of accounts as derived from values declared in Table 12A, 12B and 12C above will be autopopulated here. This field is non-editable</t>
  </si>
  <si>
    <t xml:space="preserve">12D. ITC availed as per audited financial statements or books of account </t>
  </si>
  <si>
    <t>Any ITC which has been booked in the audited Annual Financial Statement of the current financial year but the same has not been credited to the ITC ledger for the said financial year shall be declared here.
Only positive values are allowed in this field but while calculating 12D, this shall be considered as negative</t>
  </si>
  <si>
    <t xml:space="preserve">12C. ITC booked in current Financial Year to be claimed in subsequent Financial Years </t>
  </si>
  <si>
    <t>Any ITC which was booked in the audited Annual Financial Statement of earlier financial year(s) but availed in the ITC ledger in the financial year for which the reconciliation statement is being filed for shall be declared here. This shall include transitional credit which was booked in earlier years but availed during Financial Year 2017-18..
Only positive values are allowed in this field</t>
  </si>
  <si>
    <t xml:space="preserve">12B. ITC booked in earlier Financial Years claimed in current Financial Year </t>
  </si>
  <si>
    <t>ITC availed (after reversals)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ITC for each individual GSTIN and declare the same here. It may be noted that reference to audited Annual Financial Statement includes reference to books of accounts in case of persons / entities having presence over multiple States.
Only positive values are allowed in this field</t>
  </si>
  <si>
    <t xml:space="preserve">12A. ITC availed as per audited Annual Financial Statement for the State/ UT (For multi-GSTIN units under same PAN this should be derived from books of accounts) </t>
  </si>
  <si>
    <t xml:space="preserve">Reconciliation of Net Input Tax Credit (ITC) </t>
  </si>
  <si>
    <t>PT II(12)</t>
  </si>
  <si>
    <t>Any amount which is payable due to reasons specified under Table 6, 8 and 10 above shall be declared here.</t>
  </si>
  <si>
    <t xml:space="preserve">Additional amount payable but not paid (due to reasons specified under Tables 6,8 and 10 above) </t>
  </si>
  <si>
    <t>PT II(11)</t>
  </si>
  <si>
    <t xml:space="preserve">Reasons for non-reconciliation between payable / liability declared in Table 9P above and the amount payable in Table 9Q shall be specified here. </t>
  </si>
  <si>
    <t xml:space="preserve">Reasons for un-reconciled payment of amount </t>
  </si>
  <si>
    <t>PT II(10)</t>
  </si>
  <si>
    <t>This shall be the difference between the table no 9Q and 9P</t>
  </si>
  <si>
    <t>9R. Unreconciled payment of amount (PT1)</t>
  </si>
  <si>
    <t>The amount payable as declared in Table 9 of the Annual Return (GSTR9) shall be declared here. It should also contain any differential tax paid on Table 10 or 11 of the Annual Return (GSTR9). Auditor can use the 'system generated summary based on GSTR 9' PDF to fill this field.</t>
  </si>
  <si>
    <t>9Q. Total amount paid as declared in Annual Return (GSTR 9)</t>
  </si>
  <si>
    <t>The total amount to be paid as per liability declared in Table 9A to 9O is auto populated here. This field is non-editable.</t>
  </si>
  <si>
    <t>9P. Total amount to be paid as per tables above</t>
  </si>
  <si>
    <t>The table provides for reconciliation of tax paid as per reconciliation statement and amount of tax paid as declared in Annual Return (GSTR 9). Under the head labelled "RC", supplies where tax was paid on reverse charge basis by the recipient (i.e. the person for whom reconciliation statement has been prepared) shall be declared.</t>
  </si>
  <si>
    <t>9A to 9O tax rates, interest, penalty, late fee and others</t>
  </si>
  <si>
    <t xml:space="preserve">Reconciliation of rate wise liability and amount payable thereon </t>
  </si>
  <si>
    <t>PT II(9)</t>
  </si>
  <si>
    <t>Please provide reason if un-reconcilied difference in taxable turnover</t>
  </si>
  <si>
    <t>Reason</t>
  </si>
  <si>
    <t xml:space="preserve">Reasons for Un - Reconciled difference in taxable turnover </t>
  </si>
  <si>
    <t>PT II(8)</t>
  </si>
  <si>
    <t>Reasons for non-reconciliation between adjusted annual taxable turnover as derived from Table 7E above and the taxable turnover declared in Table 7F shall be specified here. This field shall be auto calcualted and non-editable</t>
  </si>
  <si>
    <t xml:space="preserve">7G. Unreconciled taxable turnover (F-E) </t>
  </si>
  <si>
    <t>Taxable turnover as declared in Table (4N – 4G) + (10-11) of the Annual Return (GSTR9) shall be declared here. 
Auditor can use the 'system generated summary based on GSTR 9' PDF to fill this field.</t>
  </si>
  <si>
    <t xml:space="preserve">7F. Taxable turnover as per liability declared in Annual Return (GSTR9) </t>
  </si>
  <si>
    <t>The taxable turnover is derived as the difference between the annual turnover after adjustments declared in Table 7A above and the sum of all supplies (exempted, nonGST, reverse charge etc.) declared in Table 7B, 7C and 7D above. This field shall be auto calculated and non-editable</t>
  </si>
  <si>
    <t>7E. Taxable turnover as per adjustments above (A-B-C-D)</t>
  </si>
  <si>
    <t>Value of reverse charge supplies on which tax is to be paid by the recipient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</si>
  <si>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7D. Supplies on which tax is to be paid by the recipient on reverse charge basis </t>
  </si>
  <si>
    <t>Value of zero rated supplies (including supplies to SEZs) on which tax is not paid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</si>
  <si>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7C. Zero rated supplies without payment of tax </t>
  </si>
  <si>
    <t>Value of exempted, nil rated, non-GST and no-supply turnover shall be declared here. This shall be reported net of credit notes, debit notes and amendments if any.
Positive or negative values are allowed in this field. 
If positive values are entered in this field, then it shall be reduced while calculating the taxable turnover as per table no 7(E)
If negative values are entered in this field, then it shall be added while calculating the taxable turnover as per table no 7(E)</t>
  </si>
  <si>
    <t xml:space="preserve">7B. Value of Exempted, Nil Rated, Non-GST supplies, No-Supply turnover </t>
  </si>
  <si>
    <t>Annual turnover as derived in Table 5P above would be auto-populated here. This field is non-editable.</t>
  </si>
  <si>
    <t>7A. Annual turnover after adjustments (from 5P above)</t>
  </si>
  <si>
    <t>The table provides for reconciliation of taxable turnover from the audited annual turnover after adjustments with the taxable turnover declared in annual return (GSTR-9).</t>
  </si>
  <si>
    <t xml:space="preserve">Reconciliation of Taxable Turnover </t>
  </si>
  <si>
    <t>PT II(7)</t>
  </si>
  <si>
    <t>Reasons for non-reconciliation between the annual turnover declared in the audited Annual Financial Statement and turnover as declared in the Annual Return (GSTR 9) shall be specified here</t>
  </si>
  <si>
    <t xml:space="preserve">Reasons for Un - Reconciled difference in Annual Gross Turnover </t>
  </si>
  <si>
    <t>PT II(6)</t>
  </si>
  <si>
    <t>This shall be the difference between the table no 5Q and 5P</t>
  </si>
  <si>
    <t xml:space="preserve">5R. Un-Reconciled turnover (Q - P) </t>
  </si>
  <si>
    <t>Annual turnover as declared in the Annual Return (GSTR 9) shall be declared here. This turnover may be derived from Sr. No. 5N, 10 and 11 of Annual Return (GSTR 9). Auditor can use the 'system generated summary based on GSTR 9' PDF to fill this field.</t>
  </si>
  <si>
    <t xml:space="preserve">5Q.Turnover as declared in Annual Return (GSTR9) </t>
  </si>
  <si>
    <t>This field shall be auto calculated basd on the details filled in table no 5A to 5O and the same is non-editable</t>
  </si>
  <si>
    <t xml:space="preserve">5P. Annual turnover after adjustments as above </t>
  </si>
  <si>
    <t>Any difference between the turnover reported in the Annual Return (GSTR9) and turnover reported in the audited Annual Financial Statement due to reasons not listed above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</si>
  <si>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5O. Adjustments in turnover due to reasons not listed above </t>
  </si>
  <si>
    <t>Any difference between the turnover reported in the Annual Return (GSTR9) and turnover reported in the audited Annual Financial Statement due to foreign exchange fluctuations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</si>
  <si>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 xml:space="preserve">5N. Adjustments in turnover due to foreign exchange fluctuations </t>
  </si>
  <si>
    <t>There may be cases where the taxable value and the invoice value differ due to valuation principles under section 15 of the CGST Act, 2017 and rules thereunder. Therefore, any difference between the turnover reported in the Annual Return (GSTR 9) and turnover reported in the audited Annual Financial Statement due to difference in valuation of supplies shall be declared here. 
Positive or negative values are allowed in this field. 
If positive values are entered in this field, then it shall be added while calculating the turnover as per 5(P).
If negative values are entered in this field, then it shall be reduced while calculating the turnover as per 5(P)</t>
  </si>
  <si>
    <t>5M. Adjustments in turnover under section 15 and rules thereunder</t>
  </si>
  <si>
    <t>There may be cases where registered persons might have opted out of the composition scheme during the current financial year. Their turnover as per the audited Annual Financial Statement would include turnover both as composition taxpayer as well as normal taxpayer. Therefore, the turnover for which GST was paid under the composition scheme shall be declared here. 
Only positive values are allowed in this field but while calculating 5(P), this field shall be considered as negative</t>
  </si>
  <si>
    <t xml:space="preserve">5L. Turnover for the period under composition scheme </t>
  </si>
  <si>
    <t>Aggregate value of all goods supplied by SEZs to DTA units for which the DTA units have filed bill of entry shall be declared here. 
Only positive values are allowed in this field but while calculating 5(P), this field shall be considered as negative</t>
  </si>
  <si>
    <t xml:space="preserve">5K. Adjustments on account of supply of goods by SEZ units to DTA Units </t>
  </si>
  <si>
    <t>Aggregate value of credit notes which have been accounted for in the audited Annual Financial Statement but were not admissible under Section 34 of the CGST Act shall be declared here.
Only positive values are allowed in this field</t>
  </si>
  <si>
    <t>5J. Credit notes accounted for in the audited Annual Financial Statement but are not permissible under GST</t>
  </si>
  <si>
    <t>Value of all advances for which GST has not been paid but the same has been recognized as revenue in the audited Annual Financial Statement shall be declared here.
Only positive values are allowed in this field but while calculating 5(P) this shall be considered as negative</t>
  </si>
  <si>
    <t xml:space="preserve">5I. Unadjusted Advances at the beginning of the Financial Year </t>
  </si>
  <si>
    <t>Unbilled revenue which was recorded in the books of accounts on the basis of accrual system of accounting during the current financial year but GST was not payable on such revenue in the same financial year shall be declared here.
Only positive values are allowed in this field but while calculating 5(P) this shall be considered as negative.</t>
  </si>
  <si>
    <t>5H. Unbilled revenue at the end of Financial Year</t>
  </si>
  <si>
    <t>Turnover included in the audited Annual Financial Statement for April 2017 to June 2017 shall be declared here.
Positive or negative values are allowed in this field. 
If positive values are entered in this field then it shall be reduced while calculating the turnover as per 5(P).
If negative values are entered in this field then it shall be added while calculating the turnover as per 5(P)</t>
  </si>
  <si>
    <t xml:space="preserve">5G. Turnover from April 2017 to June 2017 </t>
  </si>
  <si>
    <t>Trade discounts which are accounted for in the audited Annual Financial Statement but on which GST was leviable (being not permissible) shall be declared here.
Only positive values are allowed in this field</t>
  </si>
  <si>
    <t>5F. Trade Discounts accounted for in the audited Annual Financial Statement but are not permissible under GST</t>
  </si>
  <si>
    <t>Aggregate value of credit notes which were issued after 31st of March for any supply accounted in the current financial year but such credit notes were reflected in the annual return (GSTR-9) shall be declared here.
Only positive values are allowed in this field but while calculating 5(P) this shall be considered as negative.</t>
  </si>
  <si>
    <t xml:space="preserve">5E. Credit Notes issued after the end of the financial year but reflected in the annual return </t>
  </si>
  <si>
    <t>Aggregate value of deemed supplies under Schedule I of the CGST Act, 2017 shall be declared here. Any deemed supply which is already part of the turnover in the audited Annual Financial Statement is not required to be included here.
Only positive values are allowed in this field.</t>
  </si>
  <si>
    <t xml:space="preserve">5D. Deemed Supply under Schedule I </t>
  </si>
  <si>
    <t>Value of all advances for which GST has been paid but the same has not been recognized as revenue in the audited Annual Financial Statement shall be declared here.
Only positive values are allowed in this field</t>
  </si>
  <si>
    <t>5C. Unadjusted advances at the end of the Financial Year</t>
  </si>
  <si>
    <t>Unbilled revenue which was recorded in the books of accounts on the basis of accrual system of accounting in the last financial year and was carried forward to the current financial year shall be declared here. In other words, when GST is payable during the financial year on such revenue (which was recognized earlier), the value of such revenue shall be declared here.  (For example, if rupees Ten  Crores of unbilled revenue existed for the financial year 2016-17, and during the current financial year, GST was paid on rupees Four  Crores of such revenue, then value of rupees Four Crores rupees shall be declared here).
Only positive values are allowed in this field.</t>
  </si>
  <si>
    <t xml:space="preserve">5B. Unbilled revenue at the beginning of Financial Year </t>
  </si>
  <si>
    <t>The turnover as per the audited Annual Financial Statement shall be declared here. There may be cases where multiple GSTINs (State-wise) registrations exist on the same PAN. This is common for persons / entities with presence over multiple States. Such persons / entities, will have to internally derive their GSTIN wise turnover and declare the same here. This shall include export turnover (if any). It may be noted that reference to audited Annual Financial Statement includes reference to books of accounts in case of persons / entities having presence over multiple States.
Only positive values are allowed in this field.</t>
  </si>
  <si>
    <t>5A. Turnover (including exports) as per audited financial statements for the State / UT (For multi-GSTIN units under same PAN the turnover shall be derived from the audited Annual Financial Statement)</t>
  </si>
  <si>
    <t xml:space="preserve">Reconciliation of Gross Turnover </t>
  </si>
  <si>
    <t>PT II(5)</t>
  </si>
  <si>
    <t>Help Instruction</t>
  </si>
  <si>
    <t>Field Name</t>
  </si>
  <si>
    <t>GSTR-9C Table Reference</t>
  </si>
  <si>
    <t>Worksheet Name</t>
  </si>
  <si>
    <t>GSTR 9C Data Entry Instruction</t>
  </si>
  <si>
    <t xml:space="preserve">1. Auditor shall pass this signed GSTR 9C JSON file to taxpayer for upload
2. Taxpayer login to GST Portal and select 'Returns Dashboard'
3. Select applicable Financial Year and Tax-period. Click on Prepare Offline 
4. Upload the JSON prepared using offline Tool using upload option 
5. The uploaded JSON file would be validated and processed. 
6. In case of validation failure of one or more details in the uploaded JSON; an error file (returns_&lt;Date&gt;_R9C_&lt;GSTIN&gt;error Report. json) would be generated with status of uploaded JSON file as 
     'Processed with Error' .
7. Taxpayer shall share this error file to auditor to correct the error and resign the same.
8. Auditor to open the error file in offline tool using 'Open GSTR-9C JSON Error file downloaded from GST Portal'. All  records along with errors to be populated in respective worksheets with errors 
    description in column ‘GST Portal Validation error(s)’ for the records which have error. Post correction of errors, sign the statement using DSC and generate the JSON file and send it to the taxpayer 
    to upload the same in GST portal.
9. Post successful upload of data on GST portal ; Taxpayer to Preview the form and file GSTR-9C
</t>
  </si>
  <si>
    <t xml:space="preserve">Preparing GSTR-9C Statement Using Offline Tool </t>
  </si>
  <si>
    <t>4. The high level process flow for GSTR-9C statement preparation is as follows  
     a. Validate the details filled in various  tables using 'validate' button at the top of every sheet.
     b. Generate Json using 'Generate JSON File to Upload' option
     c. Upload the generated JSON on GST Portal. Preview the details uploaded and File return on the GST portal
     d. Open saved version (Yes/No):- If you select 'No' option then previously saved data not visible and if you select 'Yes' then saved data will be available in the respective worksheets</t>
  </si>
  <si>
    <r>
      <t xml:space="preserve">3. The Offline tool has following features to help taxpayer in Return Preparation 
     a. </t>
    </r>
    <r>
      <rPr>
        <b/>
        <sz val="10"/>
        <color theme="1"/>
        <rFont val="Arial"/>
        <family val="2"/>
      </rPr>
      <t>Open GSTR-9C JSON file downloaded from GST Portal</t>
    </r>
    <r>
      <rPr>
        <sz val="10"/>
        <color theme="1"/>
        <rFont val="Arial"/>
        <family val="2"/>
      </rPr>
      <t xml:space="preserve">: To open Form GSTR-9C details (uploaded earlier) file - downloaded from GST portal into the Offline Tool. Upon successful import of file, 
         the details wouldbe populated to respective tables of Excel workbook.
     b. </t>
    </r>
    <r>
      <rPr>
        <b/>
        <sz val="10"/>
        <color theme="1"/>
        <rFont val="Arial"/>
        <family val="2"/>
      </rPr>
      <t>Open GSTR-9C JSON Error File Downloaded from GST Portal:</t>
    </r>
    <r>
      <rPr>
        <sz val="10"/>
        <color theme="1"/>
        <rFont val="Arial"/>
        <family val="2"/>
      </rPr>
      <t xml:space="preserve"> To open file downloaded from GST portal from the ‘Processed with error’ link. Upon successful import of the file details ‘processed 
          with error’ records would be populated to respective tables of Excel workbook. The GST portal errors would be marked as red and can be shown in hover at red marked field.
     c. </t>
    </r>
    <r>
      <rPr>
        <b/>
        <sz val="10"/>
        <color theme="1"/>
        <rFont val="Arial"/>
        <family val="2"/>
      </rPr>
      <t>Generate JSON File to Upload GSTR-9C details on GST Portal:</t>
    </r>
    <r>
      <rPr>
        <sz val="10"/>
        <color theme="1"/>
        <rFont val="Arial"/>
        <family val="2"/>
      </rPr>
      <t xml:space="preserve"> To generate JSON file for upload of Form GSTR-9C details prepared offline on GST portal. The error file will also require to be signed  
          by auditor again.
     d. </t>
    </r>
    <r>
      <rPr>
        <b/>
        <sz val="10"/>
        <color theme="1"/>
        <rFont val="Arial"/>
        <family val="2"/>
      </rPr>
      <t>Generate Preview PDF file to view Draft GSTR-9C form:</t>
    </r>
    <r>
      <rPr>
        <sz val="10"/>
        <color theme="1"/>
        <rFont val="Arial"/>
        <family val="2"/>
      </rPr>
      <t xml:space="preserve"> To preview in PDF format, Form GSTR-9C details as prepared offline on GST portal. </t>
    </r>
    <r>
      <rPr>
        <b/>
        <sz val="10"/>
        <color theme="1"/>
        <rFont val="Arial"/>
        <family val="2"/>
      </rPr>
      <t xml:space="preserve">
</t>
    </r>
    <r>
      <rPr>
        <sz val="10"/>
        <color theme="1"/>
        <rFont val="Arial"/>
        <family val="2"/>
      </rPr>
      <t xml:space="preserve">     e. </t>
    </r>
    <r>
      <rPr>
        <b/>
        <sz val="10"/>
        <color theme="1"/>
        <rFont val="Arial"/>
        <family val="2"/>
      </rPr>
      <t>Validate Sheet:</t>
    </r>
    <r>
      <rPr>
        <sz val="10"/>
        <color theme="1"/>
        <rFont val="Arial"/>
        <family val="2"/>
      </rPr>
      <t xml:space="preserve"> To Validate the data entered in respective worksheet of this offline Tool. Successful validation is notified to Taxpayer via pop-up while on failure of validation the cells that fail 
           validation would be marked in Red.               
    </t>
    </r>
  </si>
  <si>
    <r>
      <t xml:space="preserve">2. Details for following Tables of Form GSTR-9C statement can be added by auditor using the offline Tool. 
   </t>
    </r>
    <r>
      <rPr>
        <b/>
        <sz val="10"/>
        <color theme="1"/>
        <rFont val="Arial"/>
        <family val="2"/>
      </rPr>
      <t xml:space="preserve">Pt. II- Reconciliation of turnover declared in audited Annual Financial Statement with turnover declared in Annual Return (GSTR9).
</t>
    </r>
    <r>
      <rPr>
        <sz val="10"/>
        <color theme="1"/>
        <rFont val="Arial"/>
        <family val="2"/>
      </rPr>
      <t xml:space="preserve">   Pt. II(5)- Reconciliation of Gross Turnover.
   Pt. II(6)- Reasons for Un - Reconciled difference in Annual Gross Turnover.
   Pt. II(7)- Reconciliation of Taxable Turnover.
   Pt. II(8)- Reasons for Un - Reconciled difference in taxable turnover.
   </t>
    </r>
    <r>
      <rPr>
        <b/>
        <sz val="10"/>
        <color theme="1"/>
        <rFont val="Arial"/>
        <family val="2"/>
      </rPr>
      <t xml:space="preserve">Pt. III- Reconciliation of tax paid
   </t>
    </r>
    <r>
      <rPr>
        <sz val="10"/>
        <color theme="1"/>
        <rFont val="Arial"/>
        <family val="2"/>
      </rPr>
      <t xml:space="preserve">Pt. III(9)- Reconciliation of rate wise liability and amount payable thereon.
   Pt. III(10)- Reasons for un-reconciled payment of amount.
   Pt. III(11)- Additional amount payable but not paid (due to reasons specified under Tables 6,8 and 10 above).
   </t>
    </r>
    <r>
      <rPr>
        <b/>
        <sz val="10"/>
        <color theme="1"/>
        <rFont val="Arial"/>
        <family val="2"/>
      </rPr>
      <t xml:space="preserve">Pt. IV- Reconciliation of Input Tax Credit (ITC)
   </t>
    </r>
    <r>
      <rPr>
        <sz val="10"/>
        <color theme="1"/>
        <rFont val="Arial"/>
        <family val="2"/>
      </rPr>
      <t xml:space="preserve">Pt. IV(12)- Reconciliation of Net Input Tax Credit (ITC).
   Pt. IV(13)- Reasons for un-reconciled difference in ITC.
   Pt. IV(14)- Reconciliation of ITC declared in Annual Return (GSTR9) with ITC availed on expenses as per audited Annual Financial Statement or books of account.
   Pt. IV(15)- Reasons for un - reconciled difference in ITC
   Pt. IV(16)- Tax payable on un-reconciled difference in ITC (due to reasons specified in 13 and 15 above) 
   </t>
    </r>
    <r>
      <rPr>
        <b/>
        <sz val="10"/>
        <color theme="1"/>
        <rFont val="Arial"/>
        <family val="2"/>
      </rPr>
      <t>Pt. V- Auditor's recommendation on additional Liability due to non-reconciliation .
   PART – B- Certification</t>
    </r>
  </si>
  <si>
    <t>1. The Excel based Form GSTR-9C Offline Tool is designed to help auditor to prepare taxpayer's GSTR-9C statement offline.</t>
  </si>
  <si>
    <t>PT. I</t>
  </si>
  <si>
    <t>PT.
II</t>
  </si>
  <si>
    <t>PT.
III</t>
  </si>
  <si>
    <t>PT. 
IV</t>
  </si>
  <si>
    <t>PT. V</t>
  </si>
  <si>
    <t>profit and loss account</t>
  </si>
  <si>
    <t>Part V consists of the auditor‘s recommendation on the additional liability to be discharged by the taxpayer due to non-reconciliation of turnover or non-reconciliation of input tax credit. The auditor shall also recommend if there is any other amount to be paid for supplies not included in the Annual Return. Any refund which has been erroneously taken and shall be paid back to the Government shall also be declared in this table. Lastly, any other outstanding demands which is recommended to be settled by the auditor shall be declared in this Table</t>
  </si>
  <si>
    <t xml:space="preserve">Auditor's recommendation on additional Liability due to non-reconciliation </t>
  </si>
  <si>
    <t>PT V</t>
  </si>
  <si>
    <t>This shall be difference between 14S and 14R</t>
  </si>
  <si>
    <t>14T. Unreconciled ITC</t>
  </si>
  <si>
    <t>This shall be the difference between table no 12E and 12D. This field is auto filled and non-editable</t>
  </si>
  <si>
    <t>income and expenditure account</t>
  </si>
  <si>
    <t xml:space="preserve">3(c)  </t>
  </si>
  <si>
    <t>3(d)</t>
  </si>
  <si>
    <t>ARN</t>
  </si>
  <si>
    <t>ARN Date</t>
  </si>
  <si>
    <t>Is the person making reconcilation statement (FORM
GSTR-9C) is same person who had conducted the
audit of mentioned GSTIN</t>
  </si>
  <si>
    <t>-</t>
  </si>
  <si>
    <t>Name of Act. If you are liable to audit under any Act</t>
  </si>
  <si>
    <t>Sr.No.</t>
  </si>
  <si>
    <t>GSTIN</t>
  </si>
  <si>
    <t>(+)</t>
  </si>
  <si>
    <t>(-)</t>
  </si>
  <si>
    <t>(+/-)</t>
  </si>
  <si>
    <t>State Tax
/ UT Tax</t>
  </si>
  <si>
    <t>Place</t>
  </si>
  <si>
    <t>Name of the signatory</t>
  </si>
  <si>
    <t>Membership No</t>
  </si>
  <si>
    <t>Date</t>
  </si>
  <si>
    <t>Building No/Flat No</t>
  </si>
  <si>
    <t>Full address</t>
  </si>
  <si>
    <t>State</t>
  </si>
  <si>
    <t>District</t>
  </si>
  <si>
    <t>Road/Street</t>
  </si>
  <si>
    <t>Pin Code</t>
  </si>
  <si>
    <t>(a) balance sheet as on</t>
  </si>
  <si>
    <t xml:space="preserve">(b) the                                                                                              </t>
  </si>
  <si>
    <t>for the period beginning from</t>
  </si>
  <si>
    <t>to ending on</t>
  </si>
  <si>
    <t xml:space="preserve">from </t>
  </si>
  <si>
    <t xml:space="preserve"> to ending on</t>
  </si>
  <si>
    <t>Name</t>
  </si>
  <si>
    <t>Address</t>
  </si>
  <si>
    <t>City/Town/Locality/Village</t>
  </si>
  <si>
    <t xml:space="preserve">(b) the                                                                                                       </t>
  </si>
  <si>
    <t xml:space="preserve">  PART – B- CERTIFICATION
II. Certification in cases where the reconciliation statement (FORM GSTR-9C) is drawn up by a person other than the person who had conducted the audit of the accounts:</t>
  </si>
  <si>
    <t>Name of the Premises/
Building</t>
  </si>
  <si>
    <t>Amount</t>
  </si>
  <si>
    <t>Cess, if
applicable</t>
  </si>
  <si>
    <t>Cess, if 
applicable</t>
  </si>
  <si>
    <t>Total amount of eligible ITC availed</t>
  </si>
  <si>
    <t>ITC claimed in Annual Return (GSTR9)</t>
  </si>
  <si>
    <t>Un-reconciled ITC</t>
  </si>
  <si>
    <t>Principal place of business</t>
  </si>
  <si>
    <t xml:space="preserve">  </t>
  </si>
  <si>
    <t>Additional place of business</t>
  </si>
  <si>
    <t>Name of the Premises/ Building</t>
  </si>
  <si>
    <t>in agreement</t>
  </si>
  <si>
    <t>has maintained the books of accounts, records and documents</t>
  </si>
  <si>
    <t>Annual turnover after adjustments as above(A+B+C+D-E+F-G-H-I+J-K-L+M+N+O)</t>
  </si>
  <si>
    <t>PAN details for digital signature</t>
  </si>
  <si>
    <t xml:space="preserve">opinion proper books of account </t>
  </si>
  <si>
    <t>kept by the</t>
  </si>
  <si>
    <t>registered person so far as appears from</t>
  </si>
  <si>
    <t xml:space="preserve"> knowledge and belief, were necessary for the purpose of the audit/ information and explanations</t>
  </si>
  <si>
    <t>have been</t>
  </si>
  <si>
    <t>Adjustments in turnover due to reasons not listed above</t>
  </si>
  <si>
    <r>
      <t xml:space="preserve">Pt. II. Reconciliation of turnover declared in audited Annual Financial Statement with turnover declared in Annual Return (GSTR9)
</t>
    </r>
    <r>
      <rPr>
        <b/>
        <i/>
        <u/>
        <sz val="10"/>
        <color indexed="8"/>
        <rFont val="Arial"/>
        <family val="2"/>
      </rPr>
      <t xml:space="preserve">Please Note </t>
    </r>
    <r>
      <rPr>
        <i/>
        <sz val="10"/>
        <color indexed="8"/>
        <rFont val="Arial"/>
        <family val="2"/>
      </rPr>
      <t xml:space="preserve">: Fields marked with </t>
    </r>
    <r>
      <rPr>
        <i/>
        <sz val="10"/>
        <color rgb="FFFF0000"/>
        <rFont val="Arial"/>
        <family val="2"/>
      </rPr>
      <t>*</t>
    </r>
    <r>
      <rPr>
        <i/>
        <sz val="10"/>
        <color indexed="8"/>
        <rFont val="Arial"/>
        <family val="2"/>
      </rPr>
      <t xml:space="preserve"> (red asterisk) are mandatory fields and need to be filled up</t>
    </r>
  </si>
  <si>
    <r>
      <t xml:space="preserve">Pt. III. Reconciliation of tax paid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</si>
  <si>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 </t>
    </r>
    <r>
      <rPr>
        <i/>
        <sz val="11"/>
        <color theme="1"/>
        <rFont val="Arial"/>
        <family val="2"/>
      </rPr>
      <t xml:space="preserve">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</si>
  <si>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theme="1"/>
        <rFont val="Arial"/>
        <family val="2"/>
      </rPr>
      <t>Please Note</t>
    </r>
    <r>
      <rPr>
        <i/>
        <sz val="11"/>
        <color theme="1"/>
        <rFont val="Arial"/>
        <family val="2"/>
      </rPr>
      <t xml:space="preserve"> : Fields marked with </t>
    </r>
    <r>
      <rPr>
        <i/>
        <sz val="11"/>
        <color rgb="FFFF0000"/>
        <rFont val="Arial"/>
        <family val="2"/>
      </rPr>
      <t>*</t>
    </r>
    <r>
      <rPr>
        <i/>
        <sz val="11"/>
        <color theme="1"/>
        <rFont val="Arial"/>
        <family val="2"/>
      </rPr>
      <t xml:space="preserve"> (red asterisk) are mandatory fields and need to be filled up
</t>
    </r>
  </si>
  <si>
    <r>
      <t xml:space="preserve">Pt. IV. Reconciliation of Input Tax Credit (ITC)  
</t>
    </r>
    <r>
      <rPr>
        <b/>
        <i/>
        <sz val="11"/>
        <color theme="1"/>
        <rFont val="Arial"/>
        <family val="2"/>
      </rPr>
      <t xml:space="preserve">Please Note </t>
    </r>
    <r>
      <rPr>
        <i/>
        <sz val="11"/>
        <color theme="1"/>
        <rFont val="Arial"/>
        <family val="2"/>
      </rPr>
      <t xml:space="preserve">: Fields marked with </t>
    </r>
    <r>
      <rPr>
        <i/>
        <sz val="11"/>
        <color rgb="FFFF0000"/>
        <rFont val="Arial"/>
        <family val="2"/>
      </rPr>
      <t>*</t>
    </r>
    <r>
      <rPr>
        <i/>
        <sz val="11"/>
        <color theme="1"/>
        <rFont val="Arial"/>
        <family val="2"/>
      </rPr>
      <t xml:space="preserve"> (red asterisk) are mandatory fields and need to be filled up</t>
    </r>
  </si>
  <si>
    <r>
      <t xml:space="preserve">Pt. IV. Reconciliation of Input Tax Credit (ITC)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</si>
  <si>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Pt. V.  Auditor's recommendation on  due to non-reconciliation
</t>
    </r>
    <r>
      <rPr>
        <b/>
        <i/>
        <sz val="11"/>
        <color indexed="8"/>
        <rFont val="Arial"/>
        <family val="2"/>
      </rPr>
      <t xml:space="preserve">Please Note </t>
    </r>
    <r>
      <rPr>
        <i/>
        <sz val="11"/>
        <color indexed="8"/>
        <rFont val="Arial"/>
        <family val="2"/>
      </rPr>
      <t xml:space="preserve">: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</si>
  <si>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II.  Certification in cases where the reconciliation statement (FORM GSTR-9C) is drawn
up by a person other than the person who had conducted the audit of the accounts::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</si>
  <si>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r>
      <t xml:space="preserve">Certification
I. Certification in cases where the reconciliation statement (FORM GSTR-9C) is drawn up by the person who had conducted the audit:
</t>
    </r>
    <r>
      <rPr>
        <b/>
        <i/>
        <sz val="11"/>
        <color indexed="8"/>
        <rFont val="Arial"/>
        <family val="2"/>
      </rPr>
      <t>Please Note</t>
    </r>
    <r>
      <rPr>
        <i/>
        <sz val="11"/>
        <color indexed="8"/>
        <rFont val="Arial"/>
        <family val="2"/>
      </rPr>
      <t xml:space="preserve"> : Fields marked with </t>
    </r>
    <r>
      <rPr>
        <i/>
        <sz val="11"/>
        <color rgb="FFFF0000"/>
        <rFont val="Arial"/>
        <family val="2"/>
      </rPr>
      <t>*</t>
    </r>
    <r>
      <rPr>
        <i/>
        <sz val="11"/>
        <color indexed="8"/>
        <rFont val="Arial"/>
        <family val="2"/>
      </rPr>
      <t xml:space="preserve"> (red asterisk) are mandatory fields and need to be filled up</t>
    </r>
  </si>
  <si>
    <t>DD/MM/YYYY</t>
  </si>
  <si>
    <t>audited_data=act_name=INFOSYS LIMITED BANGALORE%^&amp;,add_liab=audit_addr=bno=IGAH HAD JH,building=y UDYu,city=fsdfsdfsdf,district=dfsdfsdfsee 454,fno=errt,pin_code=950256,road=sdfsdfsdf,state=Assam,date=21/02/2018,mem_no=11223344,pan_no=AJIPA1572E,place=BANGALORE,signatory=MOHAMMED SAMEER TAMBOLI,tax_pay=cess=0,cgst=0,desc=5,igst=0,sgst=0,val=0,cess=0,cgst=0,desc=12,igst=0,sgst=0,val=0,cess=0,cgst=0,desc=18,igst=0,sgst=0,val=0,cess=0,cgst=0,desc=28,igst=0,sgst=0,val=0,cess=0,cgst=0,desc=3,igst=0,sgst=0,val=0,cess=0,cgst=0,desc=0.25,igst=0,sgst=0,val=0,cess=0,cgst=0,desc=0.1,igst=0,sgst=0,val=0,cess=0,cgst=0,desc=INP,igst=0,sgst=0,val=0,cess=0,cgst=0,desc=INT,igst=0,sgst=0,val=0,cess=0,cgst=0,desc=LAT,igst=0,sgst=0,val=0,cess=0,cgst=0,desc=PEN,igst=0,sgst=0,val=0,cess=0,cgst=0,desc=ANO,igst=0,sgst=0,val=0,cess=0,cgst=0,desc=ERP,igst=0,sgst=0,val=0,cess=0,cgst=0,desc=OUD,igst=0,sgst=0,val=0,cess=0,cgst=0,desc=OTH,igst=0,sgst=0,val=0,fp=032018,gstin=09AABCT1332LAZ3,isauditor=Y,table10=rsn=desc=This is (&amp;*^*(()&amp; Reason Number 21,number=RSN1,table11=inter=cess=0,cgst=0,igst=0,sgst=0,late_fee=cess=0,cgst=0,igst=0,sgst=0,oth=cess=0,cgst=0,igst=0,sgst=0,pen=cess=0,cgst=0,igst=0,sgst=0,rate=cess=50.55,cgst=652.65,desc=5,igst=23.66,sgst=62.66,tax_val=56.62,cess=0,cgst=0,desc=12,igst=0,sgst=0,tax_val=0,cess=0,cgst=0,desc=18,igst=0,sgst=0,tax_val=0,cess=0,cgst=0,desc=28,igst=0,sgst=0,tax_val=0,cess=0,cgst=0,desc=3,igst=0,sgst=0,tax_val=0,cess=0,cgst=0,desc=0.25,igst=0,sgst=0,tax_val=0,cess=0,cgst=0,desc=0.1,igst=0,sgst=0,tax_val=0,table12=itc_avail=56.55,itc_avail_audited=117.2,itc_book_curr=5,itc_book_earl=65.65,itc_claim=188,unrec_itc=70.8,table13=rsn=desc=This is (&amp;*^*(()&amp; Reason Number 31,number=RSN1,table14=itc_claim=itc_avail=188,items=desc=PURCHS,itc_amt=56,itc_avail=0,val=0,desc=FRTCAR,itc_amt=67,itc_avail=0,val=0,desc=POFUEL,itc_amt=77,itc_avail=0,val=78,desc=IMPGDS,itc_amt=78,itc_avail=0,val=78,desc=RNTEXP,itc_amt=87,itc_avail=0,val=32,desc=GDSLST,itc_amt=0,itc_avail=0,val=0,desc=RYLTES,itc_amt=0,itc_avail=0,val=0,desc=EMPCST,itc_amt=0,itc_avail=0,val=0,desc=CONCHR,itc_amt=0,itc_avail=0,val=0,desc=BNKCHR,itc_amt=0,itc_avail=0,val=0,desc=ENTCHR,itc_amt=0,itc_avail=0,val=0,desc=STNEXP,itc_amt=0,itc_avail=0,val=0,desc=RPRMNT,itc_amt=0,itc_avail=0,val=0,desc=OTRMIS,itc_amt=0,itc_avail=0,val=0,desc=CAPGDS,itc_amt=0,itc_avail=0,val=0,desc=ANEXP1,itc_amt=0,itc_avail=0,val=0,desc=ANEXP2,itc_amt=0,itc_avail=0,val=0,tot_elig_itc=itc_avail=0,unrec_itc=itc_avail=188,table15=rsn=desc=This is (&amp;*^*(()&amp; Reason Number 41,number=RSN1,table16=cess=0,cgst=0,igst=0,inter=0,pen=0,sgst=0,table5=adj_dta=56,adj_turn_fef=78,adj_turn_othrsn=56,adj_turn_sec=78,annul_turn_adj=-2283.35,annul_turn_decl=9917.33,crd_note_acc=45,crd_nts_issued=34,dmd_sup=23,trd_dis=6,turnovr=5000.65,turnovr_apr_jun=665,turnovr_comp=67,unadj_adv_beg=6,unadj_adv_end=2,unbil_rev_beg=1,unbil_rev_end=6745,unrec_turnovr=12200.68,table6=rsn=desc=This is (&amp;*^*(()&amp; Reason Number 1,number=RSN1,desc=This is (&amp;*^*(()&amp; Reason Number 2,number=RSN2,desc=This is (&amp;*^*(()&amp; Reason Number 3,number=RSN3,desc=This is (&amp;*^*(()&amp; Reason Number 4,number=RSN4,desc=This is (&amp;*^*""(()&amp; Reason Number 5,number=RSN5,desc=This is (&amp;*^"*(()&amp; Reason Number 6,number=RSN6,desc=This is (&amp;*^*(()&amp; Reason Number 7,number=RSN7,desc=This is (&amp;*^*(()&amp; Reason Number 8,number=RSN8,desc=This is (&amp;*^*(()&amp; Reason Number 9,number=RSN9,desc=This is (&amp;*^*(()&amp; Reason Number 10,number=RSN10,table7=annul_turn_adj=-2283.35,othr_turnovr=522.65,rev_sup=656.65,tax_turn_adj=-6897.1,tax_turn_annul=9917.33,unrec_tax_turn=16814.43,zero_sup=3434.45,table8=rsn=desc=This is (&amp;*^*(()&amp; Reason Number 11,number=RSN1,table9=inter=cess=505.65,cgst=10,igst=63.64,sgst=5.36,late_fee=cess=505.65,cgst=10,igst=63.64,sgst=5.36,oth=cess=505.65,cgst=10,igst=63.64,sgst=5.36,pen=cess=505.65,cgst=10,igst=63.64,sgst=5.36,rate=cess=505.65,cgst=10,desc=5,igst=63.64,sgst=5.36,tax_val=100,cess=505.65,cgst=10,desc=5RC,igst=63.64,sgst=5.36,tax_val=100,cess=505.65,cgst=10,desc=12,igst=63.64,sgst=5.36,tax_val=100,cess=505.65,cgst=10,desc=12RC,igst=63.64,sgst=5.36,tax_val=100,cess=505.65,cgst=10,desc=18,igst=63.64,sgst=5.36,tax_val=100,cess=505.65,cgst=10,desc=18RC,igst=63.64,sgst=5.36,tax_val=100,cess=505.65,cgst=10,desc=28,igst=63.64,sgst=5.36,tax_val=100,cess=505.65,cgst=10,desc=28RC,igst=63.64,sgst=5.36,tax_val=100,cess=505.65,cgst=10,desc=3,igst=63.64,sgst=5.36,tax_val=100,cess=505.65,cgst=10,desc=0.25,igst=63.64,sgst=5.36,tax_val=100,cess=505.65,cgst=10,desc=0.10,igst=63.64,sgst=5.36,tax_val=100,tot_amt_paid=cess=0,cgst=16,igst=81,sgst=16,tot_amt_payable=cess=7584.75,cgst=150,igst=954.6,sgst=80.4,unrec_amt=cess=-7584.75,cgst=-134,igst=-873.6,sgst=-64.4,certificate=cert_data=acc_typ=profit and loss account,addr=bno=JFGD H7*(^&amp;*(^,building=JH Dfi,city=Hdauil,district=hsdfgh,fno=BD jh&amp;*^,pin_code=569256,road=K JDHGi,state=Assam,audit_addr=bno=34235245354,building=56345635,city=J HG,district=HG DGHKDGU,fno=3453464,pin_code=562025,road=6767GDUJ,state=Chandigarh,bal_sheet_date=11/02/2018,beg_date=11/02/2018,cash_from_date=11/02/2018,cash_to_date=11/02/2018,cert_textpartb1=add_addr=bno=35647,building=tyetye,city=rturu,district=tyerty,fno=35656,pin_code=566256,road=yhdfg,state=Chhattisgarh,gstin=09AABCT1332LAZ3,isagree=in agreement,ishave=have been,principal_addr=bno=IGBYG786*,building=dfasdfsg,city=ghdgh,district=dghdgh,fno=dghgh,pin_code=566256,road=hdgdgh,state=Dadar And Nagar Haveli,qualifications=qual_type=2,value=jdgfja gdg gfajdgf gdfuadfhkagfuya jhadghagdhad jgadfj dfjgdfg jafgjhfgadhfg jfg adf vfjhg dhklfag adkhlfgadfhgakhdfg ajfhag kdhlfgadfih adkfjg adhkfgadufadhkfg ahkfg ahdfg ahfgahkldfg ahkdfgahhdgf ahdfg h&amp;^&amp;*(^ 78^AADhk sb 89^ 6"h a97A^d" uayd97ad679,qual_type=3(a),value=jdgfja gdg gfajdgf gdfuadfhkagfuya jhadghagdhad jgadfj dfjgdfg jafgjhfgadhfg jfg adf vfjhg dhklfag adkhlfgadfhgakhdfg ajfhag kdhlfgadfih adkfjg adhkfgadufadhkfg ahkfg ahdfg ahfgahkldfg ahkdfgahhdgf ahdfg h&amp;^&amp;*(^ 78^AADhk sb 89^ 6"h a97A^d" uayd97ad679,qual_type=5,value=jdgfja gdg gfajdgf gdfuadfhkagfuya jhadghagdhad jgadfj dfjgdfg jafgjhfgadhfg jfg adf vfjhg dhklfag adkhlfgadfhgakhdfg ajfhag kdhlfgadfih adkfjg adhkfgadufadhkfg ahkfg ahdfg ahfgahkldfg ahkdfgahhdgf ahdfg h&amp;^&amp;*(^ 78^AADhk sb 89^ 6"h a97A^d" uayd97ad679,qual_type=2,value=jdgfja gdg gfajdgf gdfuadfhkagfuya jhadghagdhad jgadfj dfjgdfg jafgjhfgadhfg jfg adf vfjhg dhklfag adkhlfgadfhgakhdfg ajfhag kdhlfgadfih adkfjg adhkfgadufadhkfg ahkfg ahdfg ahfgahkldfg ahkdfgahhdgf ahdfg h&amp;^&amp;*(^ 78^AADhk sb 89^ 6"h a97A^d" uayd97ad679,date=11/12/2018,doc_stat=has maintained the books of accounts, records and documents,end_date=11/02/2018,mem_no=12345625,place=BANGLORE,pronoun=I,signatory=SAMEER,taxpayer_name=SAMEER,cert_text=cert_text_partb1=qualifications=qual_type=2,value=jdgfja gdg gfajdgf gdfuadfhkagfuya jhadghagdhad jgadfj dfjgdfg jafgjhfgadhfg jfg adf vfjhg dhklfag adkhlfgadfhgakhdfg ajfhag kdhlfgadfih adkfjg adhkfgadufadhkfg ahkfg ahdfg ahfgahkldfg ahkdfgahhdgf ahdfg h&amp;^&amp;*(^ 78^AADhk sb 89^ 6"h a97A^d" uayd97ad679,qual_type=3(a),value=jdgfja gdg gfajdgf gdfuadfhkagfuya jhadghagdhad jgadfj dfjgdfg jafgjhfgadhfg jfg adf vfjhg dhklfag adkhlfgadfhgakhdfg ajfhag kdhlfgadfih adkfjg adhkfgadufadhkfg ahkfg ahdfg ahfgahkldfg ahkdfgahhdgf ahdfg h&amp;^&amp;*(^ 78^AADhk sb 89^ 6"h a97A^d" uayd97ad679,qual_type=5,value=jdgfja gdg gfajdgf gdfuadfhkagfuya jhadghagdhad jgadfj dfjgdfg jafgjhfgadhfg jfg adf vfjhg dhklfag adkhlfgadfhgakhdfg ajfhag kdhlfgadfih adkfjg adhkfgadufadhkfg ahkfg ahdfg ahfgahkldfg ahkdfgahhdgf ahdfg h&amp;^&amp;*(^ 78^AADhk sb 89^ 6"h a97A^d" uayd97ad679,qual_type=2,value=jdgfja gdg gfajdgf gdfuadfhkagfuya jhadghagdhad jgadfj dfjgdfg jafgjhfgadhfg jfg adf vfjhg dhklfag adkhlfgadfhgakhdfg ajfhag kdhlfgadfih adkfjg adhkfgadufadhkfg ahkfg ahdfg ahfgahkldfg ahkdfgahhdgf ahdfg h&amp;^&amp;*(^ 78^AADhk sb 89^ 6"h a97A^d" uayd97ad679,section1=line0=1. I have examined the-,line1=(a) balance sheet as on 11/02/2018,line2=(b) the profit and loss account for the period beginning from 11/02/2018 to ending on 11/02/2018 and,line3=(c) the cash flow statement for the period beginning from 11/02/2018 to ending on 11/02/2018, attached herewith, of M/s SAMEER (Name), JFGD H7*(^&amp;*(^, BD jh&amp;*^, JH Dfi, K JDHGi, Hdauil, hsdfgh, Assam, 569256 (Address), 09AABCT1332LAZ3 (GSTIN).,section2=line0=2. Based on my audit I report that the said registered person-,line1=has maintained the books of accounts, records and documents as required by the IGST/CGST/State/UTGST Act, 2017 and the rules/notifications made/issued thereunder:,section3=sec_3a=line0=3.(a) I report the following observations/ comments / discrepancies /inconsistencies; if any:,sec_3b=line0=3.(b) I further report that, -,line1=(A) I have obtained all the information and explanations which, to the best of my knowledge and belief, were necessary for the purpose of the audit/ information and explanations which, to the best of my knowledge and belief, were necessary for the purpose of the audit were not provided/partially provided to me.,line2=(B) In my opinion, proper books of account have been kept by the registered person so far as appears from my examination of the books.,line3=(C) I certify that the balance sheet, the profit and loss account and the cash flow Statement are in agreement with the books of account maintained at the Principal place of business at IGBYG786*, dghgh, dfasdfsg, hdgdgh, ghdgh, dghdgh, Dadar And Nagar Haveli, 566256 and 35647, 35656, tyetye, yhdfg, rturu, tyerty, Chhattisgarh, 566256 additional place of business within the State.,section4=line0=4. The documents required to be furnished under section 35 (5) of the CGST Act/SGST Act and Reconciliation Statement required to be furnished under section 44(2) of the CGST Act/SGST Act is annexed herewith in Form No. GSTR-9C,section5=line0=5. In my opinion and to the best of my information and according to explanations given to me, the particulars given in the said Form No.GSTR-9C are true and correct subject to following observations/qualifications, if any:,signature=date=11/12/2018,fullAddress=34235245354, 3453464, 56345635, 6767GDUJ, J HG, HG DGHKDGU, Chandigarh, 562025,line0=(Signature and stamp/Seal of the Auditor),membershipNo=12345625,nameOfTheSignatory=SAMEER,place=BANGLORE</t>
  </si>
  <si>
    <t>0bc8911da8f80c97a89beddb5e5bce06a0bb5e978fb6526afb05f1da36dd04d2</t>
  </si>
  <si>
    <t xml:space="preserve"> MIAGCSqGSIb3DQEHAqCAMIACAQExCzAJBgUrDgMCGgUAMIAGCSqGSIb3DQEHAaCAJIAEQDBiYzg5MTFkYThmODBjOTdhODliZWRkYjVlNWJjZTA2YTBiYjVlOTc4ZmI2NTI2YWZiMDVmMWRhMzZkZDA0ZDIAAAAAAACggDCCBbQwggScoAMCAQICBRdId4_5MA0GCSqGSIb3DQEBCwUAMIGDMQswCQYDVQQGEwJJTjEYMBYGA1UEChMPZU11ZGhyYSBMaW1pdGVkMR0wGwYDVQQLExRDZXJ0aWZ5aW5nIEF1dGhvcml0eTE7MDkGA1UEAxMyZS1NdWRocmEgU3ViIENBIGZvciBDbGFzcyAyIEdvbGQgT3JnYW5pc2F0aW9uIDIwMTQwHhcNMTgwOTE3MDYyODU1WhcNMjAwOTE2MDYyODU1WjCBrTELMAkGA1UEBhMCSU4xEDAOBgNVBAoTB2VNdWRocmExCzAJBgNVBAsTAkNBMQ8wDQYDVQQREwY1NjAxMDMxEjAQBgNVBAgTCUthcm5hdGFrYTFJMEcGA1UEBRNAMzg4NDk4ZmNiZjg1N2VhNzIyODg4MzdmNjE5ZWVmOTkzMWQxYjA0ZjYwMjcxNTlkOWQzZDlkZTJkNjYzOGUwMTEPMA0GA1UEAxMGVGVzdDQ3MIIBIjANBgkqhkiG9w0BAQEFAAOCAQ8AMIIBCgKCAQEAwPsswpXUBDkx2dhWHr3DgZt6SsjL58O6drAC-D1V-yYM2unpUx4W-0yreknTBDfuqpbZaZwP8rD7yopfct5Pf-7GAXKrk-z4EVftkWaOzoopfQs-zJi6NIkhjyuK1U5t8El6lyDHCmxC5KfttHlU5UwSkjVt3rqTqHo01dxqC9aw7dBlSch1Op2-ruhdwhwxxj6rzSTVcNg98TcbPVTVPj0IzmuCcE0AcGfkSVIL8cb9p_ei-v9bMAGoa3r3dJxOzdgCo-jXXQ_Max3G5FN1Aqa4k1IDt-t67fb21nMV-1BYuoNTsLtAYc1zBhwcVithXn67uG0HZNxmXr0AyHYYfwIDAQABo4ICATCCAf0wEwYDVR0jBAwwCoAIRci492HjoLkwHQYDVR0OBBYEFFOPHK4YBjFIt082H00l_J219GwdMA4GA1UdDwEB_wQEAwIGwDAbBgNVHREEFDASgRB0ZXN0QGVtdWRocmEuY29tMB0GA1UdJQQWMBQGCCsGAQUFBwMEBggrBgEFBQcDAjCBkgYDVR0gBIGKMIGHMC0GBmCCZGQCAjAjMCEGCCsGAQUFBwICMBUaE0NsYXNzIDIgQ2VydGlmaWNhdGUwVgYHYIJkZAEIAjBLMEkGCCsGAQUFBwIBFj1odHRwOi8vdWF0c2VydmVyLmUtbXVkaHJhLmNvbS9SZXBvc2l0b3J5L2Nwcy9lLU11ZGhyYV9DUFMucGRmMIGWBggrBgEFBQcBAQSBiTCBhjA3BggrBgEFBQcwAYYraHR0cDovL3VhdHNlcnZlci5lLW11ZGhyYS5jb20vT0NTUFJlc3BvbmRlcjBLBggrBgEFBQcwAoY_aHR0cDovL3VhdHNlcnZlci5lLW11ZGhyYS5jb20vcmVwb3NpdG9yeS9jYWNlcnRzL2NsMm9yZzIwMTQuY3J0ME0GA1UdHwRGMEQwQqBAoD6GPGh0dHA6Ly91YXRzZXJ2ZXIuZS1tdWRocmEuY29tL3JlcG9zaXRvcnkvY3Jscy9jbDJvcmcyMDE0LmNybDANBgkqhkiG9w0BAQsFAAOCAQEAIwuQwk8CvQClOSPpBxhs5Qv_c7BpiPKRKIRaAXl6zGmnU41IU0_WGmPyMnBdjBS79YaSFIzkCCUw7IeOffKiWC__E1OGIHXk5dj0WoNnFCB0R82eVUBdIkTAc5_Hmj9PokdmS2sWRYx_IEQiCnNgz3vmtIhY8yHbWIP9WuGQTPEKK2XBb8nD4jLJ9SWBlyRs_gW3A6gFnsnv0F5c7Oyt-yAeWFB2Lw4WhmVk_eUaDYhDkajimdo0iZQgbE4csZna7TT7ArYW7LDtcLU6KELj3bv6d-etHaQwKgWLw4LHSAoC9ref1D0Mn3nnBeLeWAdS-qwivGPYU0idTxGVo8KovgAAMYICFDCCAhACAQEwgY0wgYMxCzAJBgNVBAYTAklOMRgwFgYDVQQKEw9lTXVkaHJhIExpbWl0ZWQxHTAbBgNVBAsTFENlcnRpZnlpbmcgQXV0aG9yaXR5MTswOQYDVQQDEzJlLU11ZGhyYSBTdWIgQ0EgZm9yIENsYXNzIDIgR29sZCBPcmdhbmlzYXRpb24gMjAxNAIFF0h3j_kwCQYFKw4DAhoFAKBdMBgGCSqGSIb3DQEJAzELBgkqhkiG9w0BBwEwHAYJKoZIhvcNAQkFMQ8XDTE5MDQwMjEwMDYwNlowIwYJKoZIhvcNAQkEMRYEFI30a4yv4K53_uizpqPNp2XPKApwMA0GCSqGSIb3DQEBAQUABIIBAJwAhQeg7j6KzgS_EhieABvWGSzmcjN76W2m6emX9pnGun1TuJX1-M_qcFXFTwr9eCzMY-hZmoY3lGCIXuVaDmn3ABVlvNG8UQVTzLcScf3w7jx5KjZtueqt79OzFqPHIjOYWmFeQedp_p-ZJpXAL2eflL4VQy-axjzsQRvCPyz0npkNxJ-AbuuIINDk5HyZQ7bO2vk4VynTtB9jfGpCCF9ticZ3ZE8RaJGWLNmIjQkTtyj_l3TyZnZRIGxwvKknsKYTKDFu_xy5E7MU58Zw5qZOpC7wc9wWoKgyflBRZY8LwY16EQQG_VWAyfOwmPiil89r1-7yaFljzy8em1J9GpQAAAAAAAA</t>
  </si>
  <si>
    <r>
      <t xml:space="preserve">1. Please ensure you download the latest version of  GSTR-9C Offline Tool from the GST portal. https://www.gst.gov.in/download/returns
2. Launch the GSTR-9C Excel based Offline Tool and navigate to worksheet named 'Home' 
3. If you want to open the Offline tool with the previous values you entered, Click "Yes" when the dialogue box prompts "Open Saved Version?". Else clicking "No" will clear all values in all the sheets.
4. Enter your/taxpayer's GSTIN in home sheet. Entered GSTIN would be validated only for correct structure 
5. Select the applicable Financial Year from the drop-down. It is a mandatory field
6. Enter details as applicable in various worksheets. It is not Mandatory to fill data in all worksheet. The worksheet for which no details need to be declared can be left blank
7. Click Validate Sheet to check the status of validation. In case of validation failure; please check for cells that have failed validation and correct errors as per help text
8.Click on 'Generate JSON File to Upload ' to generate JSON file and sign using DSC (Digital Signature Certificate) 
</t>
    </r>
    <r>
      <rPr>
        <b/>
        <sz val="12"/>
        <color theme="1"/>
        <rFont val="Arial"/>
        <family val="2"/>
      </rPr>
      <t>NOTE:</t>
    </r>
    <r>
      <rPr>
        <sz val="12"/>
        <color theme="1"/>
        <rFont val="Arial"/>
        <family val="2"/>
      </rPr>
      <t xml:space="preserve"> Please ensure HTML file name '</t>
    </r>
    <r>
      <rPr>
        <b/>
        <sz val="12"/>
        <color theme="1"/>
        <rFont val="Arial"/>
        <family val="2"/>
      </rPr>
      <t>wsweb</t>
    </r>
    <r>
      <rPr>
        <sz val="12"/>
        <color theme="1"/>
        <rFont val="Arial"/>
        <family val="2"/>
      </rPr>
      <t>' and '</t>
    </r>
    <r>
      <rPr>
        <b/>
        <sz val="12"/>
        <color theme="1"/>
        <rFont val="Arial"/>
        <family val="2"/>
      </rPr>
      <t>GSTR_9C_Offline_Utility</t>
    </r>
    <r>
      <rPr>
        <sz val="12"/>
        <color theme="1"/>
        <rFont val="Arial"/>
        <family val="2"/>
      </rPr>
      <t>' should be in Same folder to generate the JSON.</t>
    </r>
  </si>
  <si>
    <t>{"gstr9cdata":{"audited_data":{"gstin":"01ALYPD6528P2ZI","fp":"032018","act_name":"","isauditor":"N","table5":{_x000D_
   "turnovr": 16345.6,_x000D_
   "turnovr_apr_jun": 0,_x000D_
   "annul_turn_adj": 16345.6,_x000D_
   "annul_turn_decl": 16345.6,_x000D_
   "unrec_turnovr": 0_x000D_
}_x000D_
,"table7":{_x000D_
   "annul_turn_adj": 16345.6,_x000D_
   "othr_turnovr": 10,_x000D_
   "tax_turn_adj": 16335.6,_x000D_
   "tax_turn_annul": 16345.6,_x000D_
   "unrec_tax_turn": 10_x000D_
}_x000D_
,"table9":{"rate":[_x000D_
   {_x000D_
      "tax_val": 1200,_x000D_
      "cgst": 5370,_x000D_
      "sgst": 9070,_x000D_
      "igst": 2370,_x000D_
      "cess": 3270,_x000D_
      "desc": "5"_x000D_
   }_x000D_
]_x000D_
,"tot_amt_payable":{_x000D_
   "cgst": 5370,_x000D_
   "sgst": 9070,_x000D_
   "igst": 2370,_x000D_
   "cess": 3270_x000D_
}_x000D_
,"tot_amt_paid":{_x000D_
   "cgst": 2870,_x000D_
   "sgst": 4870,_x000D_
   "igst": 1370,_x000D_
   "cess": 2070_x000D_
}_x000D_
,"unrec_amt":{_x000D_
   "cgst": -2500,_x000D_
   "sgst": -4200,_x000D_
   "igst": -1000,_x000D_
   "cess": -1200_x000D_
}_x000D_
},"table12":{_x000D_
   "itc_avail": 10,_x000D_
   "itc_book_earl": 10,_x000D_
   "itc_book_curr": 10,_x000D_
   "itc_avail_audited": 10,_x000D_
   "itc_claim": 0,_x000D_
   "unrec_itc": -10_x000D_
}_x000D_
,"table14":{"tot_elig_itc":{_x000D_
   "itc_avail": 0_x000D_
}_x000D_
,"itc_claim":{_x000D_
   "itc_avail": 0_x000D_
}_x000D_
,"unrec_itc":{_x000D_
   "itc_avail": 0_x000D_
}_x000D_
},"add_liab":{"place":"BANGALORE","signatory":"MUKESH KUMAR","mem_no":"112345","date":"11/12/2018","pan_no":"AJIPA1572E","audit_addr":{_x000D_
   "bno": "1454/1",_x000D_
   "building": "XYA COLONY",_x000D_
   "city": "Electronic City",_x000D_
   "state": "Karnataka",_x000D_
   "fno": "12",_x000D_
   "road": "ABG HSY",_x000D_
   "district": "Bangalore",_x000D_
   "pin_code": 560001_x000D_
}_x000D_
}},"certificate":{"cert_data":{"pronoun":"I","taxpayer_name":"11","addr":{_x000D_
   "bno": "1454/1",_x000D_
   "building": "XYA COLONY",_x000D_
   "city": "Electronic City",_x000D_
   "state": "Karnataka",_x000D_
   "fno": "12",_x000D_
   "road": "ABG HSY",_x000D_
   "district": "Bangalore",_x000D_
   "pin_code": 560001_x000D_
}_x000D_
,"cert_textpartb2":{"conducted_by":{"name":"22","addr":{_x000D_
   "bno": "1454/1",_x000D_
   "building": "XYA COLONY",_x000D_
   "city": "Electronic City",_x000D_
   "state": "Karnataka",_x000D_
   "fno": "12",_x000D_
   "road": "ABG HSY",_x000D_
   "district": "Bangalore",_x000D_
   "pin_code": 560001_x000D_
}_x000D_
},"audit_date":"11/12/2018","audit_typ":"Institute of Chartered Accountants of India","qualifications":[_x000D_
   {_x000D_
      "qual_type": "2",_x000D_
      "value": "NA"_x000D_
   }_x000D_
]_x000D_
},"bal_sheet_date":"11/12/2018","acc_typ":"profit and loss account","beg_date":"11/12/2018","end_date":"11/12/2018","cash_from_date":"11/12/2018","cash_to_date":"11/12/2018","doc_stat":"has not maintained books of accounts/records/documents specified below","place":"MYSORE","signatory":"SANTHOSH KUMAR","mem_no":"11425745","date":"11/12/2018","audit_addr":{_x000D_
   "bno": "1454/1",_x000D_
   "building": "XYA COLONY",_x000D_
   "city": "Electronic City",_x000D_
   "state": "Karnataka",_x000D_
   "fno": "12",_x000D_
   "road": "ABG HSY",_x000D_
   "district": "Bangalore",_x000D_
   "pin_code": 560001_x000D_
}_x000D_
},"cert_text":{"cert_text_partb2":{"section1":{_x000D_
   "line0": "I report that the audit of the books of accounts and the financial statements of M/s. 11, 1454/1, 12, XYA COLONY, ABG HSY, Electronic City, Bangalore, Karnataka, 560001 (Name and address of the assessee with GSTIN) was conducted by M/s. 22, 1454/1, 12, XYA COLONY, ABG HSY, Electronic City, Bangalore, Karnataka, 560001 (full name and address of auditor along with status), bearing membership number in pursuance of the provisions of the Institute of Chartered Accountants of India Act, and I annex hereto a copy of their audit report dated 11/12/2018 along with a copy of each of :-",_x000D_
   "line1": "(a) balance sheet as on 11/12/2018",_x000D_
   "line2": "(b) the profit and loss account for the period beginning from 11/12/2018 to ending on 11/12/2018",_x000D_
   "line3": "(c) the cash flow statement for the period beginning from 11/12/2018 to ending on 11/12/2018 and",_x000D_
   "line4": "(d) documents declared by the said Act to be part of, or annexed to, the profit and loss account and balance sheet."_x000D_
}_x000D_
,"section2":{_x000D_
   "line0": "2. I report that the said registered person-",_x000D_
   "line1": "has not maintained books of accounts/records/documents specified below as required by the IGST/CGST/State/UTGST Act, 2017 and the rules/notifications made/issued thereunder"_x000D_
}_x000D_
,"section3":{_x000D_
   "line0": "3. The documents required to be furnished under section 35 (5) of the CGST Act/SGST Act and Reconciliation Statement required to be furnished under section 44(2) of the CGST Act/SGST Act is annexed herewith in Form No.GSTR-9C."_x000D_
}_x000D_
,"section4":{_x000D_
   "line0": "4. In my opinion and to the best of my information and according to examination of books of account including other relevant documents and explanations given to me, the particulars given in the said Form No.9C are true and correct subject to the following observations/qualifications, if any:"_x000D_
}_x000D_
,"qualifications":[_x000D_
   {_x000D_
      "qual_type": "2",_x000D_
      "value": "NA"_x000D_
   }_x000D_
]_x000D_
,"signature":{_x000D_
   "line0": "(Signature and stamp/Seal of the Auditor)",_x000D_
   "place": "MYSORE",_x000D_
   "nameOfTheSignatory": "SANTHOSH KUMAR",_x000D_
   "membershipNo": "11425745",_x000D_
   "date": "11/12/2018",_x000D_
   "fullAddress": "1454/1, 12, XYA COLONY, ABG HSY, Electronic City, Bangalore, Karnataka, 560001"_x000D_
}_x000D_
}}}}}</t>
  </si>
  <si>
    <t xml:space="preserve"> Goods and Services Tax - GST GSTR-9C Offline Tool (v1.3)</t>
  </si>
  <si>
    <t xml:space="preserve"> Goods and Services Tax - Form GSTR-9C Offline Tool (V1.3)</t>
  </si>
  <si>
    <t>Reason Number 2</t>
  </si>
  <si>
    <t xml:space="preserve">Mandatory field cannot be left blank. </t>
  </si>
  <si>
    <t xml:space="preserve">Mandatory field cannot be left blank. Mandatory field cannot be left blank. </t>
  </si>
  <si>
    <t/>
  </si>
  <si>
    <t>FARIDABAD</t>
  </si>
  <si>
    <t>GYAN BHARDWAJ</t>
  </si>
  <si>
    <t>81488</t>
  </si>
  <si>
    <t>24/08/2019</t>
  </si>
  <si>
    <t>2ND</t>
  </si>
  <si>
    <t>NEHRU GROUND</t>
  </si>
  <si>
    <t>HARYANA</t>
  </si>
  <si>
    <t>B-545</t>
  </si>
  <si>
    <t>AMCO DIGITAL SCALES PRIVATE LIMITED</t>
  </si>
  <si>
    <t>1B/6A</t>
  </si>
  <si>
    <t>SIDANA MARKET</t>
  </si>
  <si>
    <t>1ST FLOOR</t>
  </si>
  <si>
    <t>NIT</t>
  </si>
  <si>
    <t>BHARDWAJ AND COMPANY</t>
  </si>
  <si>
    <t>2ND FLOOR</t>
  </si>
  <si>
    <t>NEHRU GROUND NIT</t>
  </si>
  <si>
    <t>31/03/2018</t>
  </si>
  <si>
    <t>04/09/2018</t>
  </si>
  <si>
    <t>01/04/2017</t>
  </si>
  <si>
    <t>ABXPB5439M</t>
  </si>
  <si>
    <t>Reason Number 3</t>
  </si>
  <si>
    <t>Reason Number 4</t>
  </si>
  <si>
    <t>Reason Number 5</t>
  </si>
  <si>
    <t>Reason Number 6</t>
  </si>
  <si>
    <t>Reason Number 7</t>
  </si>
  <si>
    <t>Reason Number 8</t>
  </si>
  <si>
    <t>Reason Number 9</t>
  </si>
  <si>
    <t>Reason Number 10</t>
  </si>
</sst>
</file>

<file path=xl/styles.xml><?xml version="1.0" encoding="utf-8"?>
<styleSheet xmlns="http://schemas.openxmlformats.org/spreadsheetml/2006/main">
  <numFmts count="1">
    <numFmt numFmtId="164" formatCode="&quot;₹&quot;\ #,##0.00"/>
  </numFmts>
  <fonts count="70">
    <font>
      <sz val="11"/>
      <color theme="1"/>
      <name val="Calibri"/>
      <family val="2"/>
      <scheme val="minor"/>
    </font>
    <font>
      <b/>
      <sz val="11"/>
      <color theme="0"/>
      <name val="Calibri"/>
      <family val="2"/>
      <scheme val="minor"/>
    </font>
    <font>
      <sz val="10"/>
      <color rgb="FF000000"/>
      <name val="Times New Roman"/>
      <family val="1"/>
    </font>
    <font>
      <sz val="10"/>
      <color rgb="FFFF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theme="1"/>
      <name val="Times New Roman"/>
      <family val="1"/>
    </font>
    <font>
      <b/>
      <sz val="10"/>
      <color theme="0"/>
      <name val="Times New Roman"/>
      <family val="1"/>
    </font>
    <font>
      <b/>
      <sz val="10"/>
      <color rgb="FFFFFFFF"/>
      <name val="Times New Roman"/>
      <family val="1"/>
    </font>
    <font>
      <b/>
      <sz val="8"/>
      <color theme="1"/>
      <name val="Calibri"/>
      <family val="2"/>
      <scheme val="minor"/>
    </font>
    <font>
      <sz val="22"/>
      <color theme="0"/>
      <name val="Arial"/>
      <family val="2"/>
    </font>
    <font>
      <b/>
      <sz val="11"/>
      <color rgb="FFFF0000"/>
      <name val="Calibri"/>
      <family val="2"/>
      <scheme val="minor"/>
    </font>
    <font>
      <sz val="10"/>
      <color theme="1"/>
      <name val="Arial"/>
      <family val="2"/>
    </font>
    <font>
      <sz val="10"/>
      <color indexed="8"/>
      <name val="Arial"/>
      <family val="2"/>
    </font>
    <font>
      <b/>
      <i/>
      <u/>
      <sz val="10"/>
      <color indexed="8"/>
      <name val="Arial"/>
      <family val="2"/>
    </font>
    <font>
      <i/>
      <sz val="10"/>
      <color indexed="8"/>
      <name val="Arial"/>
      <family val="2"/>
    </font>
    <font>
      <b/>
      <i/>
      <sz val="10"/>
      <color indexed="10"/>
      <name val="Arial"/>
      <family val="2"/>
    </font>
    <font>
      <sz val="11"/>
      <color theme="1"/>
      <name val="Arial"/>
      <family val="2"/>
    </font>
    <font>
      <b/>
      <u/>
      <sz val="11"/>
      <color indexed="8"/>
      <name val="Arial"/>
      <family val="2"/>
    </font>
    <font>
      <b/>
      <sz val="10"/>
      <color rgb="FFFF0000"/>
      <name val="Times New Roman"/>
      <family val="1"/>
    </font>
    <font>
      <b/>
      <u/>
      <sz val="11"/>
      <color theme="1"/>
      <name val="Arial"/>
      <family val="2"/>
    </font>
    <font>
      <sz val="10"/>
      <name val="Arial"/>
      <family val="2"/>
    </font>
    <font>
      <b/>
      <sz val="11"/>
      <color theme="1"/>
      <name val="Times New Roman"/>
      <family val="1"/>
    </font>
    <font>
      <b/>
      <sz val="11"/>
      <color rgb="FFFF0000"/>
      <name val="Times New Roman"/>
      <family val="1"/>
    </font>
    <font>
      <b/>
      <sz val="11"/>
      <color rgb="FF000000"/>
      <name val="Times New Roman"/>
      <family val="1"/>
    </font>
    <font>
      <i/>
      <sz val="11"/>
      <color theme="1"/>
      <name val="Arial"/>
      <family val="2"/>
    </font>
    <font>
      <sz val="16"/>
      <color theme="0"/>
      <name val="Calibri"/>
      <family val="2"/>
      <scheme val="minor"/>
    </font>
    <font>
      <sz val="11"/>
      <color rgb="FFFF0000"/>
      <name val="Calibri"/>
      <family val="2"/>
      <scheme val="minor"/>
    </font>
    <font>
      <b/>
      <sz val="18"/>
      <color theme="0"/>
      <name val="Calibri"/>
      <family val="2"/>
      <scheme val="minor"/>
    </font>
    <font>
      <b/>
      <sz val="18"/>
      <color theme="8" tint="-0.249977111117893"/>
      <name val="Calibri"/>
      <family val="2"/>
      <scheme val="minor"/>
    </font>
    <font>
      <sz val="16"/>
      <color theme="8" tint="-0.249977111117893"/>
      <name val="Calibri"/>
      <family val="2"/>
      <scheme val="minor"/>
    </font>
    <font>
      <b/>
      <i/>
      <sz val="11"/>
      <color theme="1"/>
      <name val="Arial"/>
      <family val="2"/>
    </font>
    <font>
      <b/>
      <u/>
      <sz val="11"/>
      <color theme="1"/>
      <name val="Calibri"/>
      <family val="2"/>
      <scheme val="minor"/>
    </font>
    <font>
      <sz val="11"/>
      <color rgb="FFAEAAAA"/>
      <name val="Calibri"/>
      <family val="2"/>
      <scheme val="minor"/>
    </font>
    <font>
      <i/>
      <sz val="11"/>
      <color indexed="8"/>
      <name val="Arial"/>
      <family val="2"/>
    </font>
    <font>
      <b/>
      <i/>
      <sz val="11"/>
      <color indexed="8"/>
      <name val="Arial"/>
      <family val="2"/>
    </font>
    <font>
      <b/>
      <u/>
      <sz val="11"/>
      <color theme="4" tint="-0.249977111117893"/>
      <name val="Calibri"/>
      <family val="2"/>
      <scheme val="minor"/>
    </font>
    <font>
      <b/>
      <sz val="11"/>
      <color theme="1"/>
      <name val="Calibri"/>
      <family val="2"/>
      <scheme val="minor"/>
    </font>
    <font>
      <i/>
      <sz val="11"/>
      <color theme="0" tint="-0.499984740745262"/>
      <name val="Calibri"/>
      <family val="2"/>
      <scheme val="minor"/>
    </font>
    <font>
      <sz val="11"/>
      <color theme="0" tint="-0.499984740745262"/>
      <name val="Calibri"/>
      <family val="2"/>
      <scheme val="minor"/>
    </font>
    <font>
      <sz val="11"/>
      <name val="Calibri"/>
      <family val="2"/>
      <scheme val="minor"/>
    </font>
    <font>
      <sz val="23"/>
      <color theme="0"/>
      <name val="Arial"/>
      <family val="2"/>
    </font>
    <font>
      <i/>
      <sz val="10"/>
      <color theme="3" tint="-0.249977111117893"/>
      <name val="Times New Roman"/>
      <family val="1"/>
    </font>
    <font>
      <sz val="10"/>
      <color rgb="FF000000"/>
      <name val="Times New Roman"/>
      <family val="1"/>
    </font>
    <font>
      <sz val="12"/>
      <name val="Times New Roman"/>
      <family val="1"/>
    </font>
    <font>
      <sz val="12"/>
      <color rgb="FF000000"/>
      <name val="Times New Roman"/>
      <family val="2"/>
    </font>
    <font>
      <b/>
      <sz val="12"/>
      <name val="Times New Roman"/>
      <family val="1"/>
    </font>
    <font>
      <sz val="11"/>
      <color theme="1"/>
      <name val="Calibri"/>
      <family val="2"/>
      <scheme val="minor"/>
    </font>
    <font>
      <sz val="11"/>
      <color rgb="FF000000"/>
      <name val="Calibri"/>
      <family val="2"/>
      <scheme val="minor"/>
    </font>
    <font>
      <sz val="12"/>
      <color rgb="FF000000"/>
      <name val="Times New Roman"/>
      <family val="1"/>
    </font>
    <font>
      <sz val="10"/>
      <name val="Times New Roman"/>
      <family val="1"/>
    </font>
    <font>
      <sz val="8"/>
      <name val="Times New Roman"/>
      <family val="1"/>
    </font>
    <font>
      <b/>
      <sz val="8"/>
      <name val="Times New Roman"/>
      <family val="1"/>
    </font>
    <font>
      <u/>
      <sz val="11"/>
      <color theme="10"/>
      <name val="Calibri"/>
      <family val="2"/>
      <scheme val="minor"/>
    </font>
    <font>
      <b/>
      <sz val="10"/>
      <color theme="0"/>
      <name val="Arial"/>
      <family val="2"/>
    </font>
    <font>
      <b/>
      <sz val="11"/>
      <color theme="0"/>
      <name val="Arial"/>
      <family val="2"/>
    </font>
    <font>
      <b/>
      <sz val="10"/>
      <color theme="1"/>
      <name val="Arial"/>
      <family val="2"/>
    </font>
    <font>
      <sz val="10"/>
      <color rgb="FF000000"/>
      <name val="Courier New"/>
      <family val="3"/>
    </font>
    <font>
      <sz val="11"/>
      <color rgb="FF000000"/>
      <name val="Times New Roman"/>
      <family val="1"/>
    </font>
    <font>
      <sz val="12"/>
      <color theme="1"/>
      <name val="Times New Roman"/>
      <family val="1"/>
    </font>
    <font>
      <b/>
      <sz val="12"/>
      <color rgb="FF000000"/>
      <name val="Times New Roman"/>
      <family val="1"/>
    </font>
    <font>
      <b/>
      <u/>
      <sz val="12"/>
      <color rgb="FF000000"/>
      <name val="Times New Roman"/>
      <family val="1"/>
    </font>
    <font>
      <b/>
      <sz val="12"/>
      <color theme="1"/>
      <name val="Times New Roman"/>
      <family val="1"/>
    </font>
    <font>
      <b/>
      <u/>
      <sz val="12"/>
      <color theme="1"/>
      <name val="Times New Roman"/>
      <family val="1"/>
    </font>
    <font>
      <sz val="11"/>
      <name val="Times New Roman"/>
      <family val="1"/>
    </font>
    <font>
      <i/>
      <sz val="10"/>
      <color rgb="FFFF0000"/>
      <name val="Arial"/>
      <family val="2"/>
    </font>
    <font>
      <i/>
      <sz val="11"/>
      <color rgb="FFFF0000"/>
      <name val="Arial"/>
      <family val="2"/>
    </font>
    <font>
      <b/>
      <sz val="12"/>
      <color theme="1"/>
      <name val="Arial"/>
      <family val="2"/>
    </font>
    <font>
      <sz val="12"/>
      <color theme="1"/>
      <name val="Arial"/>
      <family val="2"/>
    </font>
  </fonts>
  <fills count="29">
    <fill>
      <patternFill patternType="none"/>
    </fill>
    <fill>
      <patternFill patternType="gray125"/>
    </fill>
    <fill>
      <patternFill patternType="solid">
        <fgColor rgb="FFDDD9C4"/>
        <bgColor indexed="64"/>
      </patternFill>
    </fill>
    <fill>
      <patternFill patternType="solid">
        <fgColor rgb="FF538DD5"/>
        <bgColor indexed="64"/>
      </patternFill>
    </fill>
    <fill>
      <patternFill patternType="solid">
        <fgColor rgb="FFDCE6F1"/>
        <bgColor indexed="64"/>
      </patternFill>
    </fill>
    <fill>
      <patternFill patternType="solid">
        <fgColor rgb="FF92CDDC"/>
        <bgColor indexed="64"/>
      </patternFill>
    </fill>
    <fill>
      <patternFill patternType="solid">
        <fgColor rgb="FFF2DCDB"/>
        <bgColor indexed="64"/>
      </patternFill>
    </fill>
    <fill>
      <patternFill patternType="solid">
        <fgColor rgb="FFE6B8B7"/>
        <bgColor indexed="64"/>
      </patternFill>
    </fill>
    <fill>
      <patternFill patternType="solid">
        <fgColor rgb="FF8DB4E2"/>
        <bgColor indexed="64"/>
      </patternFill>
    </fill>
    <fill>
      <patternFill patternType="solid">
        <fgColor rgb="FF808080"/>
        <bgColor indexed="64"/>
      </patternFill>
    </fill>
    <fill>
      <patternFill patternType="solid">
        <fgColor rgb="FFFFFFFF"/>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002060"/>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4"/>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indexed="10"/>
        <bgColor indexed="64"/>
      </patternFill>
    </fill>
    <fill>
      <patternFill patternType="solid">
        <fgColor indexed="22"/>
        <bgColor indexed="64"/>
      </patternFill>
    </fill>
  </fills>
  <borders count="78">
    <border>
      <left/>
      <right/>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indexed="64"/>
      </top>
      <bottom/>
      <diagonal/>
    </border>
    <border>
      <left/>
      <right style="thin">
        <color theme="0"/>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5">
    <xf numFmtId="0" fontId="0" fillId="0" borderId="0"/>
    <xf numFmtId="0" fontId="44" fillId="0" borderId="0"/>
    <xf numFmtId="0" fontId="2" fillId="0" borderId="0"/>
    <xf numFmtId="0" fontId="48" fillId="0" borderId="0"/>
    <xf numFmtId="0" fontId="54" fillId="0" borderId="0" applyNumberFormat="0" applyFill="0" applyBorder="0" applyAlignment="0" applyProtection="0"/>
  </cellStyleXfs>
  <cellXfs count="665">
    <xf numFmtId="0" fontId="0" fillId="0" borderId="0" xfId="0"/>
    <xf numFmtId="0" fontId="0" fillId="11" borderId="0" xfId="0" applyFill="1"/>
    <xf numFmtId="0" fontId="2" fillId="4" borderId="15" xfId="0" applyFont="1" applyFill="1" applyBorder="1" applyAlignment="1">
      <alignment horizontal="center" vertical="center"/>
    </xf>
    <xf numFmtId="0" fontId="0" fillId="0" borderId="21" xfId="0" applyBorder="1"/>
    <xf numFmtId="0" fontId="0" fillId="0" borderId="22" xfId="0" applyBorder="1"/>
    <xf numFmtId="0" fontId="19" fillId="18" borderId="23" xfId="0" applyFont="1" applyFill="1" applyBorder="1" applyAlignment="1">
      <alignment vertical="center" wrapText="1"/>
    </xf>
    <xf numFmtId="49" fontId="11" fillId="16" borderId="0" xfId="0" applyNumberFormat="1" applyFont="1" applyFill="1" applyAlignment="1">
      <alignment vertical="center" readingOrder="1"/>
    </xf>
    <xf numFmtId="0" fontId="0" fillId="18" borderId="0" xfId="0" applyFill="1"/>
    <xf numFmtId="0" fontId="19" fillId="18" borderId="0" xfId="0" applyFont="1" applyFill="1" applyAlignment="1">
      <alignment vertical="center" wrapText="1"/>
    </xf>
    <xf numFmtId="0" fontId="2" fillId="2" borderId="10" xfId="0" applyFont="1" applyFill="1" applyBorder="1" applyAlignment="1">
      <alignment vertical="center" wrapText="1"/>
    </xf>
    <xf numFmtId="0" fontId="25" fillId="4" borderId="12" xfId="0" applyFont="1" applyFill="1" applyBorder="1" applyAlignment="1">
      <alignment horizontal="center" vertical="center"/>
    </xf>
    <xf numFmtId="0" fontId="1" fillId="11" borderId="0" xfId="0" applyFont="1" applyFill="1" applyAlignment="1">
      <alignment horizontal="left" wrapText="1"/>
    </xf>
    <xf numFmtId="0" fontId="0" fillId="0" borderId="31" xfId="0" applyBorder="1"/>
    <xf numFmtId="0" fontId="0" fillId="0" borderId="32" xfId="0" applyBorder="1"/>
    <xf numFmtId="0" fontId="0" fillId="0" borderId="33" xfId="0" applyBorder="1"/>
    <xf numFmtId="0" fontId="0" fillId="11" borderId="33" xfId="0" applyFill="1" applyBorder="1"/>
    <xf numFmtId="0" fontId="0" fillId="15" borderId="18" xfId="0" applyFill="1" applyBorder="1"/>
    <xf numFmtId="0" fontId="0" fillId="15" borderId="20" xfId="0" applyFill="1" applyBorder="1"/>
    <xf numFmtId="0" fontId="0" fillId="15" borderId="19" xfId="0" applyFill="1" applyBorder="1"/>
    <xf numFmtId="0" fontId="0" fillId="0" borderId="8" xfId="0" applyBorder="1"/>
    <xf numFmtId="0" fontId="0" fillId="0" borderId="9" xfId="0" applyBorder="1"/>
    <xf numFmtId="0" fontId="0" fillId="0" borderId="11" xfId="0" applyBorder="1"/>
    <xf numFmtId="0" fontId="0" fillId="0" borderId="5" xfId="0" applyBorder="1"/>
    <xf numFmtId="0" fontId="0" fillId="0" borderId="2" xfId="0" applyBorder="1"/>
    <xf numFmtId="0" fontId="0" fillId="0" borderId="4" xfId="0" applyBorder="1"/>
    <xf numFmtId="49" fontId="22" fillId="11" borderId="0" xfId="0" applyNumberFormat="1" applyFont="1" applyFill="1" applyAlignment="1" applyProtection="1">
      <alignment horizontal="left" vertical="top"/>
      <protection locked="0"/>
    </xf>
    <xf numFmtId="0" fontId="0" fillId="11" borderId="0" xfId="0" applyFill="1" applyAlignment="1">
      <alignment horizontal="center"/>
    </xf>
    <xf numFmtId="0" fontId="1" fillId="11" borderId="34" xfId="0" applyFont="1" applyFill="1" applyBorder="1" applyAlignment="1">
      <alignment horizontal="left" wrapText="1"/>
    </xf>
    <xf numFmtId="0" fontId="1" fillId="11" borderId="29" xfId="0" applyFont="1" applyFill="1" applyBorder="1" applyAlignment="1">
      <alignment horizontal="left" wrapText="1"/>
    </xf>
    <xf numFmtId="0" fontId="0" fillId="11" borderId="29" xfId="0" applyFill="1" applyBorder="1"/>
    <xf numFmtId="0" fontId="0" fillId="11" borderId="35" xfId="0" applyFill="1" applyBorder="1"/>
    <xf numFmtId="0" fontId="38" fillId="0" borderId="11" xfId="0" applyFont="1" applyBorder="1"/>
    <xf numFmtId="0" fontId="38" fillId="0" borderId="11" xfId="0" applyFont="1" applyBorder="1" applyAlignment="1">
      <alignment horizontal="right"/>
    </xf>
    <xf numFmtId="0" fontId="34" fillId="0" borderId="9" xfId="0" applyFont="1" applyBorder="1" applyAlignment="1">
      <alignment vertical="center"/>
    </xf>
    <xf numFmtId="0" fontId="0" fillId="18" borderId="7" xfId="0" applyFill="1" applyBorder="1"/>
    <xf numFmtId="0" fontId="19" fillId="18" borderId="1" xfId="0" applyFont="1" applyFill="1" applyBorder="1" applyAlignment="1">
      <alignment vertical="center" wrapText="1"/>
    </xf>
    <xf numFmtId="0" fontId="19" fillId="18" borderId="3" xfId="0" applyFont="1" applyFill="1" applyBorder="1" applyAlignment="1">
      <alignment vertical="center" wrapText="1"/>
    </xf>
    <xf numFmtId="0" fontId="38" fillId="20" borderId="11" xfId="0" applyFont="1" applyFill="1" applyBorder="1"/>
    <xf numFmtId="0" fontId="38" fillId="20" borderId="11" xfId="0" applyFont="1" applyFill="1" applyBorder="1" applyAlignment="1">
      <alignment horizontal="right"/>
    </xf>
    <xf numFmtId="0" fontId="2" fillId="2" borderId="10" xfId="0" applyFont="1" applyFill="1" applyBorder="1" applyAlignment="1">
      <alignment horizontal="left" vertical="center" wrapText="1"/>
    </xf>
    <xf numFmtId="10" fontId="2" fillId="2" borderId="10" xfId="0" applyNumberFormat="1" applyFont="1" applyFill="1" applyBorder="1" applyAlignment="1">
      <alignment horizontal="left" vertical="center" wrapText="1"/>
    </xf>
    <xf numFmtId="0" fontId="2" fillId="4" borderId="10" xfId="0" applyFont="1" applyFill="1" applyBorder="1" applyAlignment="1">
      <alignment horizontal="center" vertical="center"/>
    </xf>
    <xf numFmtId="0" fontId="2" fillId="4" borderId="15" xfId="0" applyFont="1" applyFill="1" applyBorder="1" applyAlignment="1">
      <alignment horizontal="center"/>
    </xf>
    <xf numFmtId="0" fontId="2" fillId="4" borderId="16" xfId="0" applyFont="1" applyFill="1" applyBorder="1" applyAlignment="1">
      <alignment horizontal="center"/>
    </xf>
    <xf numFmtId="0" fontId="25" fillId="4" borderId="15" xfId="0" applyFont="1" applyFill="1" applyBorder="1" applyAlignment="1">
      <alignment horizontal="center" vertical="center"/>
    </xf>
    <xf numFmtId="0" fontId="7" fillId="6" borderId="10" xfId="0" applyFont="1" applyFill="1" applyBorder="1" applyAlignment="1">
      <alignment horizontal="center" vertical="center" wrapText="1"/>
    </xf>
    <xf numFmtId="0" fontId="7" fillId="6" borderId="10" xfId="0" applyFont="1" applyFill="1" applyBorder="1" applyAlignment="1">
      <alignment horizontal="center" vertical="center"/>
    </xf>
    <xf numFmtId="0" fontId="2" fillId="4" borderId="15" xfId="0" applyFont="1" applyFill="1" applyBorder="1" applyAlignment="1">
      <alignment horizontal="center" vertical="center" wrapText="1"/>
    </xf>
    <xf numFmtId="0" fontId="2" fillId="4" borderId="16" xfId="0" applyFont="1" applyFill="1" applyBorder="1" applyAlignment="1">
      <alignment horizontal="center" vertical="center"/>
    </xf>
    <xf numFmtId="0" fontId="4" fillId="2" borderId="10" xfId="0" applyFont="1" applyFill="1" applyBorder="1" applyAlignment="1">
      <alignment vertical="center" wrapText="1"/>
    </xf>
    <xf numFmtId="0" fontId="5" fillId="4" borderId="15" xfId="0" applyFont="1" applyFill="1" applyBorder="1" applyAlignment="1">
      <alignment horizontal="center" vertical="center"/>
    </xf>
    <xf numFmtId="0" fontId="5" fillId="0" borderId="10" xfId="0" applyFont="1" applyBorder="1" applyAlignment="1">
      <alignment horizontal="center" vertical="center" wrapText="1"/>
    </xf>
    <xf numFmtId="0" fontId="9" fillId="3" borderId="12" xfId="0" applyFont="1" applyFill="1" applyBorder="1" applyAlignment="1">
      <alignment horizontal="center" vertical="center"/>
    </xf>
    <xf numFmtId="0" fontId="2" fillId="2" borderId="40" xfId="0" applyFont="1" applyFill="1" applyBorder="1" applyAlignment="1">
      <alignment vertical="center" wrapText="1"/>
    </xf>
    <xf numFmtId="0" fontId="5" fillId="4" borderId="12" xfId="0" applyFont="1" applyFill="1" applyBorder="1" applyAlignment="1">
      <alignment horizontal="center" vertical="center"/>
    </xf>
    <xf numFmtId="0" fontId="4" fillId="4" borderId="15" xfId="0" applyFont="1" applyFill="1" applyBorder="1" applyAlignment="1">
      <alignment horizontal="center" vertical="center"/>
    </xf>
    <xf numFmtId="0" fontId="23" fillId="12" borderId="12" xfId="0" applyFont="1" applyFill="1" applyBorder="1" applyAlignment="1">
      <alignment horizontal="center" vertical="center"/>
    </xf>
    <xf numFmtId="0" fontId="23" fillId="12" borderId="15" xfId="0" applyFont="1" applyFill="1" applyBorder="1" applyAlignment="1">
      <alignment horizontal="center" vertical="center"/>
    </xf>
    <xf numFmtId="0" fontId="25" fillId="4" borderId="10" xfId="0" applyFont="1" applyFill="1" applyBorder="1" applyAlignment="1">
      <alignment horizontal="center" vertical="center"/>
    </xf>
    <xf numFmtId="0" fontId="7" fillId="6" borderId="39" xfId="0" applyFont="1" applyFill="1" applyBorder="1" applyAlignment="1">
      <alignment horizontal="center" vertical="center"/>
    </xf>
    <xf numFmtId="0" fontId="25" fillId="4" borderId="12" xfId="0" applyFont="1" applyFill="1" applyBorder="1" applyAlignment="1">
      <alignment horizontal="center"/>
    </xf>
    <xf numFmtId="0" fontId="7" fillId="2" borderId="10" xfId="0" applyFont="1" applyFill="1" applyBorder="1" applyAlignment="1">
      <alignment vertical="center" wrapText="1"/>
    </xf>
    <xf numFmtId="0" fontId="45" fillId="0" borderId="0" xfId="2" applyFont="1" applyAlignment="1">
      <alignment horizontal="left" vertical="top"/>
    </xf>
    <xf numFmtId="0" fontId="3" fillId="0" borderId="0" xfId="2" applyFont="1" applyAlignment="1">
      <alignment horizontal="left" vertical="top"/>
    </xf>
    <xf numFmtId="0" fontId="48" fillId="12" borderId="48" xfId="3" applyFill="1" applyBorder="1" applyAlignment="1">
      <alignment vertical="center"/>
    </xf>
    <xf numFmtId="0" fontId="0" fillId="12" borderId="48" xfId="3" applyFont="1" applyFill="1" applyBorder="1" applyAlignment="1">
      <alignment vertical="center"/>
    </xf>
    <xf numFmtId="0" fontId="48" fillId="0" borderId="0" xfId="3" applyAlignment="1">
      <alignment wrapText="1"/>
    </xf>
    <xf numFmtId="0" fontId="49" fillId="0" borderId="0" xfId="2" applyFont="1" applyAlignment="1">
      <alignment horizontal="left" vertical="top"/>
    </xf>
    <xf numFmtId="0" fontId="45" fillId="0" borderId="0" xfId="2" applyFont="1" applyAlignment="1">
      <alignment vertical="top"/>
    </xf>
    <xf numFmtId="0" fontId="43" fillId="2" borderId="10" xfId="0" applyFont="1" applyFill="1" applyBorder="1" applyAlignment="1" applyProtection="1">
      <alignment vertical="center" wrapText="1"/>
      <protection locked="0"/>
    </xf>
    <xf numFmtId="0" fontId="54" fillId="0" borderId="0" xfId="4"/>
    <xf numFmtId="164" fontId="4" fillId="22" borderId="19" xfId="0" applyNumberFormat="1" applyFont="1" applyFill="1" applyBorder="1" applyAlignment="1">
      <alignment horizontal="center" vertical="center" wrapText="1"/>
    </xf>
    <xf numFmtId="0" fontId="4" fillId="23" borderId="18" xfId="0" applyFont="1" applyFill="1" applyBorder="1" applyAlignment="1">
      <alignment horizontal="center" vertical="center" wrapText="1"/>
    </xf>
    <xf numFmtId="0" fontId="4" fillId="4" borderId="54" xfId="0" applyFont="1" applyFill="1" applyBorder="1" applyAlignment="1">
      <alignment horizontal="center" vertical="center"/>
    </xf>
    <xf numFmtId="0" fontId="0" fillId="0" borderId="0" xfId="0" applyAlignment="1">
      <alignment wrapText="1"/>
    </xf>
    <xf numFmtId="164" fontId="0" fillId="0" borderId="0" xfId="0" applyNumberFormat="1"/>
    <xf numFmtId="49" fontId="0" fillId="0" borderId="0" xfId="0" applyNumberFormat="1"/>
    <xf numFmtId="49" fontId="2" fillId="2" borderId="10" xfId="0" applyNumberFormat="1" applyFont="1" applyFill="1" applyBorder="1" applyAlignment="1">
      <alignment horizontal="left" vertical="center" wrapText="1"/>
    </xf>
    <xf numFmtId="9" fontId="2" fillId="2" borderId="10" xfId="0" quotePrefix="1" applyNumberFormat="1" applyFont="1" applyFill="1" applyBorder="1" applyAlignment="1">
      <alignment horizontal="left" vertical="center" wrapText="1"/>
    </xf>
    <xf numFmtId="10" fontId="2" fillId="2" borderId="10" xfId="0" quotePrefix="1" applyNumberFormat="1" applyFont="1" applyFill="1" applyBorder="1" applyAlignment="1">
      <alignment horizontal="left" vertical="center" wrapText="1"/>
    </xf>
    <xf numFmtId="49" fontId="0" fillId="0" borderId="0" xfId="0" quotePrefix="1" applyNumberFormat="1"/>
    <xf numFmtId="49" fontId="49" fillId="0" borderId="44" xfId="0" quotePrefix="1" applyNumberFormat="1" applyFont="1" applyBorder="1" applyAlignment="1">
      <alignment horizontal="left" vertical="center" wrapText="1"/>
    </xf>
    <xf numFmtId="0" fontId="0" fillId="0" borderId="0" xfId="0" quotePrefix="1"/>
    <xf numFmtId="0" fontId="2" fillId="2" borderId="44" xfId="0" applyFont="1" applyFill="1" applyBorder="1" applyAlignment="1">
      <alignment vertical="center" wrapText="1"/>
    </xf>
    <xf numFmtId="49" fontId="2" fillId="2" borderId="10" xfId="0" quotePrefix="1" applyNumberFormat="1" applyFont="1" applyFill="1" applyBorder="1" applyAlignment="1">
      <alignment horizontal="left" vertical="center" wrapText="1"/>
    </xf>
    <xf numFmtId="0" fontId="4" fillId="2" borderId="58" xfId="0" applyFont="1" applyFill="1" applyBorder="1" applyAlignment="1">
      <alignment vertical="center" wrapText="1"/>
    </xf>
    <xf numFmtId="0" fontId="4" fillId="2" borderId="36" xfId="0" applyFont="1" applyFill="1" applyBorder="1" applyAlignment="1">
      <alignment vertical="center" wrapText="1"/>
    </xf>
    <xf numFmtId="0" fontId="4" fillId="2" borderId="59" xfId="0" applyFont="1" applyFill="1" applyBorder="1" applyAlignment="1">
      <alignment vertical="center" wrapText="1"/>
    </xf>
    <xf numFmtId="0" fontId="2" fillId="2" borderId="59" xfId="0" applyFont="1" applyFill="1" applyBorder="1" applyAlignment="1">
      <alignment vertical="center" wrapText="1"/>
    </xf>
    <xf numFmtId="0" fontId="4" fillId="2" borderId="30" xfId="0" applyFont="1" applyFill="1" applyBorder="1" applyAlignment="1">
      <alignment vertical="center" wrapText="1"/>
    </xf>
    <xf numFmtId="4" fontId="7" fillId="28" borderId="10" xfId="0" applyNumberFormat="1" applyFont="1" applyFill="1" applyBorder="1" applyAlignment="1">
      <alignment horizontal="right" vertical="center"/>
    </xf>
    <xf numFmtId="0" fontId="13" fillId="0" borderId="0" xfId="0" applyFont="1"/>
    <xf numFmtId="0" fontId="13" fillId="25" borderId="0" xfId="0" applyFont="1" applyFill="1"/>
    <xf numFmtId="0" fontId="58" fillId="0" borderId="0" xfId="0" applyFont="1"/>
    <xf numFmtId="0" fontId="13" fillId="0" borderId="64" xfId="0" applyFont="1" applyBorder="1" applyAlignment="1">
      <alignment horizontal="center" vertical="top" wrapText="1"/>
    </xf>
    <xf numFmtId="0" fontId="13" fillId="0" borderId="64" xfId="0" applyFont="1" applyBorder="1" applyAlignment="1">
      <alignment vertical="top" wrapText="1"/>
    </xf>
    <xf numFmtId="0" fontId="13" fillId="0" borderId="64" xfId="0" applyFont="1" applyBorder="1" applyAlignment="1">
      <alignment horizontal="center" vertical="center" wrapText="1"/>
    </xf>
    <xf numFmtId="0" fontId="13" fillId="0" borderId="64" xfId="0" applyFont="1" applyBorder="1" applyAlignment="1">
      <alignment horizontal="center" vertical="center"/>
    </xf>
    <xf numFmtId="0" fontId="13" fillId="0" borderId="64" xfId="0" applyFont="1" applyBorder="1" applyAlignment="1">
      <alignment horizontal="left" vertical="top" wrapText="1"/>
    </xf>
    <xf numFmtId="0" fontId="13" fillId="0" borderId="64" xfId="0" applyFont="1" applyBorder="1" applyAlignment="1">
      <alignment horizontal="left" vertical="top"/>
    </xf>
    <xf numFmtId="0" fontId="13" fillId="0" borderId="64" xfId="0" applyFont="1" applyBorder="1" applyAlignment="1">
      <alignment horizontal="left" vertical="center" wrapText="1"/>
    </xf>
    <xf numFmtId="0" fontId="55" fillId="16" borderId="64" xfId="0" applyFont="1" applyFill="1" applyBorder="1" applyAlignment="1">
      <alignment horizontal="center" vertical="center"/>
    </xf>
    <xf numFmtId="0" fontId="55" fillId="16" borderId="64" xfId="0" applyFont="1" applyFill="1" applyBorder="1" applyAlignment="1">
      <alignment vertical="center"/>
    </xf>
    <xf numFmtId="0" fontId="2" fillId="0" borderId="0" xfId="2" applyAlignment="1">
      <alignment horizontal="center" wrapText="1"/>
    </xf>
    <xf numFmtId="0" fontId="50" fillId="0" borderId="0" xfId="2" applyFont="1" applyAlignment="1">
      <alignment horizontal="left" vertical="top"/>
    </xf>
    <xf numFmtId="0" fontId="50" fillId="0" borderId="0" xfId="2" applyFont="1"/>
    <xf numFmtId="0" fontId="50" fillId="0" borderId="51" xfId="2" applyFont="1" applyBorder="1" applyAlignment="1">
      <alignment horizontal="left" vertical="top"/>
    </xf>
    <xf numFmtId="0" fontId="45" fillId="0" borderId="0" xfId="2" applyFont="1"/>
    <xf numFmtId="0" fontId="50" fillId="0" borderId="0" xfId="2" applyFont="1" applyAlignment="1">
      <alignment horizontal="left" vertical="top" wrapText="1"/>
    </xf>
    <xf numFmtId="0" fontId="50" fillId="0" borderId="0" xfId="2" applyFont="1" applyAlignment="1">
      <alignment horizontal="center" vertical="top"/>
    </xf>
    <xf numFmtId="0" fontId="50" fillId="0" borderId="0" xfId="2" applyFont="1" applyAlignment="1">
      <alignment vertical="center"/>
    </xf>
    <xf numFmtId="0" fontId="50" fillId="0" borderId="0" xfId="2" applyFont="1" applyAlignment="1">
      <alignment horizontal="left"/>
    </xf>
    <xf numFmtId="0" fontId="50" fillId="0" borderId="0" xfId="2" applyFont="1" applyAlignment="1">
      <alignment vertical="top"/>
    </xf>
    <xf numFmtId="0" fontId="62" fillId="0" borderId="0" xfId="2" applyFont="1" applyAlignment="1">
      <alignment horizontal="left" vertical="top"/>
    </xf>
    <xf numFmtId="0" fontId="63" fillId="0" borderId="51" xfId="2" applyFont="1" applyBorder="1"/>
    <xf numFmtId="0" fontId="64" fillId="0" borderId="0" xfId="0" applyFont="1"/>
    <xf numFmtId="0" fontId="62" fillId="0" borderId="0" xfId="2" applyFont="1" applyAlignment="1">
      <alignment horizontal="center" vertical="top" wrapText="1"/>
    </xf>
    <xf numFmtId="0" fontId="45" fillId="0" borderId="0" xfId="2" applyFont="1" applyAlignment="1">
      <alignment horizontal="left"/>
    </xf>
    <xf numFmtId="0" fontId="50" fillId="0" borderId="0" xfId="2" applyFont="1" applyAlignment="1">
      <alignment vertical="center" wrapText="1"/>
    </xf>
    <xf numFmtId="0" fontId="50" fillId="0" borderId="0" xfId="2" applyFont="1" applyAlignment="1">
      <alignment vertical="top" wrapText="1"/>
    </xf>
    <xf numFmtId="0" fontId="41" fillId="0" borderId="10" xfId="0" applyFont="1" applyBorder="1" applyAlignment="1">
      <alignment vertical="top"/>
    </xf>
    <xf numFmtId="0" fontId="45" fillId="0" borderId="66" xfId="2" applyFont="1" applyBorder="1" applyAlignment="1">
      <alignment horizontal="center" vertical="top" wrapText="1"/>
    </xf>
    <xf numFmtId="1" fontId="46" fillId="0" borderId="66" xfId="2" applyNumberFormat="1" applyFont="1" applyBorder="1" applyAlignment="1">
      <alignment horizontal="center" vertical="center" shrinkToFit="1"/>
    </xf>
    <xf numFmtId="1" fontId="46" fillId="0" borderId="66" xfId="2" applyNumberFormat="1" applyFont="1" applyBorder="1" applyAlignment="1">
      <alignment horizontal="center" vertical="top" shrinkToFit="1"/>
    </xf>
    <xf numFmtId="0" fontId="45" fillId="0" borderId="66" xfId="2" applyFont="1" applyBorder="1" applyAlignment="1">
      <alignment horizontal="center" vertical="center" wrapText="1"/>
    </xf>
    <xf numFmtId="0" fontId="47" fillId="0" borderId="66" xfId="2" applyFont="1" applyBorder="1" applyAlignment="1">
      <alignment horizontal="left" vertical="top" wrapText="1" indent="1"/>
    </xf>
    <xf numFmtId="0" fontId="47" fillId="0" borderId="66" xfId="2" applyFont="1" applyBorder="1" applyAlignment="1">
      <alignment horizontal="center" vertical="top" wrapText="1"/>
    </xf>
    <xf numFmtId="2" fontId="2" fillId="0" borderId="66" xfId="2" applyNumberFormat="1" applyBorder="1" applyAlignment="1">
      <alignment horizontal="right" vertical="top" wrapText="1"/>
    </xf>
    <xf numFmtId="0" fontId="50" fillId="0" borderId="66" xfId="2" applyFont="1" applyBorder="1" applyAlignment="1">
      <alignment horizontal="center" vertical="top" wrapText="1"/>
    </xf>
    <xf numFmtId="0" fontId="2" fillId="0" borderId="66" xfId="2" applyBorder="1" applyAlignment="1">
      <alignment horizontal="center" vertical="top" wrapText="1"/>
    </xf>
    <xf numFmtId="2" fontId="52" fillId="0" borderId="66" xfId="2" applyNumberFormat="1" applyFont="1" applyBorder="1" applyAlignment="1">
      <alignment horizontal="right" vertical="top" wrapText="1"/>
    </xf>
    <xf numFmtId="0" fontId="59" fillId="0" borderId="66" xfId="2" applyFont="1" applyBorder="1" applyAlignment="1">
      <alignment horizontal="center" vertical="top" wrapText="1"/>
    </xf>
    <xf numFmtId="0" fontId="0" fillId="0" borderId="0" xfId="0" applyAlignment="1">
      <alignment horizontal="left" vertical="top"/>
    </xf>
    <xf numFmtId="0" fontId="49" fillId="0" borderId="49" xfId="0" applyFont="1" applyBorder="1" applyAlignment="1">
      <alignment vertical="top" wrapText="1"/>
    </xf>
    <xf numFmtId="0" fontId="0" fillId="0" borderId="50" xfId="0" applyBorder="1" applyAlignment="1">
      <alignment vertical="top"/>
    </xf>
    <xf numFmtId="0" fontId="49" fillId="0" borderId="49" xfId="0" applyFont="1" applyBorder="1" applyAlignment="1">
      <alignment horizontal="left" vertical="top" wrapText="1"/>
    </xf>
    <xf numFmtId="0" fontId="0" fillId="0" borderId="15" xfId="0" applyBorder="1" applyAlignment="1">
      <alignment vertical="top"/>
    </xf>
    <xf numFmtId="0" fontId="0" fillId="0" borderId="0" xfId="0" applyAlignment="1" applyProtection="1">
      <alignment vertical="top"/>
      <protection locked="0"/>
    </xf>
    <xf numFmtId="0" fontId="0" fillId="0" borderId="53" xfId="0" applyBorder="1" applyAlignment="1">
      <alignment vertical="top"/>
    </xf>
    <xf numFmtId="0" fontId="2" fillId="5" borderId="50" xfId="0" applyFont="1" applyFill="1" applyBorder="1" applyAlignment="1">
      <alignment horizontal="center" vertical="center" wrapText="1"/>
    </xf>
    <xf numFmtId="0" fontId="0" fillId="0" borderId="10" xfId="0" applyBorder="1" applyAlignment="1">
      <alignment horizontal="left" vertical="top"/>
    </xf>
    <xf numFmtId="0" fontId="0" fillId="0" borderId="55" xfId="0" applyBorder="1" applyAlignment="1">
      <alignment horizontal="left" vertical="top"/>
    </xf>
    <xf numFmtId="0" fontId="0" fillId="0" borderId="47" xfId="0" applyBorder="1" applyAlignment="1">
      <alignment horizontal="left" vertical="top"/>
    </xf>
    <xf numFmtId="0" fontId="0" fillId="0" borderId="60" xfId="0" applyBorder="1" applyAlignment="1">
      <alignment horizontal="left" vertical="top"/>
    </xf>
    <xf numFmtId="0" fontId="0" fillId="0" borderId="10" xfId="0" applyBorder="1" applyAlignment="1">
      <alignment horizontal="left" vertical="top" wrapText="1"/>
    </xf>
    <xf numFmtId="0" fontId="37" fillId="0" borderId="55" xfId="0" applyFont="1" applyBorder="1" applyAlignment="1">
      <alignment horizontal="left" vertical="top" wrapText="1"/>
    </xf>
    <xf numFmtId="0" fontId="37" fillId="0" borderId="55" xfId="0" applyFont="1" applyBorder="1" applyAlignment="1">
      <alignment horizontal="left" vertical="top"/>
    </xf>
    <xf numFmtId="0" fontId="0" fillId="0" borderId="54" xfId="0" applyBorder="1" applyAlignment="1">
      <alignment horizontal="left" vertical="top" wrapText="1"/>
    </xf>
    <xf numFmtId="0" fontId="0" fillId="0" borderId="19" xfId="0" applyBorder="1" applyAlignment="1">
      <alignment horizontal="left" vertical="top"/>
    </xf>
    <xf numFmtId="0" fontId="0" fillId="0" borderId="52" xfId="0" applyBorder="1" applyAlignment="1">
      <alignment horizontal="left" vertical="top" wrapText="1"/>
    </xf>
    <xf numFmtId="0" fontId="0" fillId="0" borderId="52" xfId="0" applyBorder="1" applyAlignment="1">
      <alignment horizontal="left" vertical="top"/>
    </xf>
    <xf numFmtId="0" fontId="0" fillId="0" borderId="70" xfId="0" applyBorder="1" applyAlignment="1">
      <alignment horizontal="left" vertical="top"/>
    </xf>
    <xf numFmtId="49" fontId="11" fillId="16" borderId="0" xfId="0" applyNumberFormat="1" applyFont="1" applyFill="1" applyAlignment="1">
      <alignment horizontal="left" vertical="center" readingOrder="1"/>
    </xf>
    <xf numFmtId="49" fontId="11" fillId="16" borderId="2" xfId="0" applyNumberFormat="1" applyFont="1" applyFill="1" applyBorder="1" applyAlignment="1">
      <alignment horizontal="left" vertical="center" readingOrder="1"/>
    </xf>
    <xf numFmtId="0" fontId="25" fillId="4" borderId="70" xfId="0" applyFont="1" applyFill="1" applyBorder="1" applyAlignment="1">
      <alignment horizontal="center" vertical="center"/>
    </xf>
    <xf numFmtId="0" fontId="2" fillId="5" borderId="70" xfId="0" applyFont="1" applyFill="1" applyBorder="1" applyAlignment="1">
      <alignment horizontal="center" vertical="center" wrapText="1"/>
    </xf>
    <xf numFmtId="49" fontId="11" fillId="16" borderId="70" xfId="0" applyNumberFormat="1" applyFont="1" applyFill="1" applyBorder="1" applyAlignment="1">
      <alignment vertical="center" readingOrder="1"/>
    </xf>
    <xf numFmtId="0" fontId="0" fillId="0" borderId="70" xfId="0" applyBorder="1"/>
    <xf numFmtId="49" fontId="11" fillId="16" borderId="67" xfId="0" applyNumberFormat="1" applyFont="1" applyFill="1" applyBorder="1" applyAlignment="1">
      <alignment vertical="center" readingOrder="1"/>
    </xf>
    <xf numFmtId="0" fontId="2" fillId="5" borderId="70" xfId="0" applyFont="1" applyFill="1" applyBorder="1" applyAlignment="1">
      <alignment vertical="center" wrapText="1"/>
    </xf>
    <xf numFmtId="11" fontId="0" fillId="0" borderId="0" xfId="0" applyNumberFormat="1"/>
    <xf numFmtId="0" fontId="0" fillId="0" borderId="66" xfId="0" applyFill="1" applyBorder="1" applyProtection="1">
      <protection locked="0"/>
    </xf>
    <xf numFmtId="49" fontId="0" fillId="0" borderId="66" xfId="0" applyNumberFormat="1" applyFill="1" applyBorder="1" applyAlignment="1" applyProtection="1">
      <alignment horizontal="left" vertical="top" wrapText="1"/>
      <protection locked="0"/>
    </xf>
    <xf numFmtId="0" fontId="0" fillId="0" borderId="29" xfId="0" applyFill="1" applyBorder="1"/>
    <xf numFmtId="4" fontId="2" fillId="0" borderId="56" xfId="0" applyNumberFormat="1" applyFont="1" applyFill="1" applyBorder="1" applyAlignment="1" applyProtection="1">
      <alignment horizontal="right" vertical="center"/>
      <protection locked="0"/>
    </xf>
    <xf numFmtId="49" fontId="0" fillId="0" borderId="10" xfId="0" applyNumberFormat="1" applyFill="1" applyBorder="1" applyAlignment="1" applyProtection="1">
      <alignment horizontal="left" vertical="top" wrapText="1"/>
      <protection locked="0"/>
    </xf>
    <xf numFmtId="0" fontId="41" fillId="0" borderId="10" xfId="0" applyFont="1" applyFill="1" applyBorder="1" applyAlignment="1" applyProtection="1">
      <alignment vertical="top" wrapText="1"/>
      <protection locked="0"/>
    </xf>
    <xf numFmtId="0" fontId="0" fillId="0" borderId="0" xfId="0" applyFill="1"/>
    <xf numFmtId="0" fontId="0" fillId="0" borderId="10" xfId="0" applyFill="1" applyBorder="1" applyAlignment="1" applyProtection="1">
      <alignment horizontal="left" vertical="top" wrapText="1"/>
      <protection locked="0"/>
    </xf>
    <xf numFmtId="0" fontId="0" fillId="0" borderId="50" xfId="0" applyFill="1" applyBorder="1" applyAlignment="1" applyProtection="1">
      <alignment vertical="center"/>
      <protection locked="0"/>
    </xf>
    <xf numFmtId="0" fontId="0" fillId="0" borderId="6" xfId="0" applyFill="1" applyBorder="1"/>
    <xf numFmtId="0" fontId="34" fillId="0" borderId="0" xfId="0" applyFont="1" applyFill="1" applyAlignment="1">
      <alignment vertical="center"/>
    </xf>
    <xf numFmtId="0" fontId="0" fillId="0" borderId="0" xfId="0" applyFill="1" applyAlignment="1">
      <alignment vertical="center"/>
    </xf>
    <xf numFmtId="0" fontId="39" fillId="0" borderId="18" xfId="0" applyFont="1" applyFill="1" applyBorder="1" applyAlignment="1">
      <alignment horizontal="left" vertical="top"/>
    </xf>
    <xf numFmtId="49" fontId="41" fillId="0" borderId="50" xfId="0" applyNumberFormat="1" applyFont="1" applyFill="1" applyBorder="1" applyAlignment="1" applyProtection="1">
      <alignment horizontal="left" vertical="top" wrapText="1"/>
      <protection locked="0"/>
    </xf>
    <xf numFmtId="0" fontId="39" fillId="0" borderId="0" xfId="0" applyFont="1" applyFill="1" applyAlignment="1">
      <alignment horizontal="center"/>
    </xf>
    <xf numFmtId="0" fontId="40" fillId="0" borderId="0" xfId="0" applyFont="1" applyFill="1"/>
    <xf numFmtId="0" fontId="41" fillId="0" borderId="50" xfId="0" applyFont="1" applyFill="1" applyBorder="1" applyAlignment="1">
      <alignment vertical="top"/>
    </xf>
    <xf numFmtId="0" fontId="0" fillId="0" borderId="50" xfId="0" applyFill="1" applyBorder="1"/>
    <xf numFmtId="0" fontId="0" fillId="0" borderId="0" xfId="0" applyFill="1" applyAlignment="1">
      <alignment horizontal="left"/>
    </xf>
    <xf numFmtId="49" fontId="40" fillId="0" borderId="50" xfId="0" applyNumberFormat="1" applyFont="1" applyFill="1" applyBorder="1" applyAlignment="1" applyProtection="1">
      <alignment horizontal="left"/>
      <protection locked="0"/>
    </xf>
    <xf numFmtId="0" fontId="0" fillId="0" borderId="50" xfId="0" applyFill="1" applyBorder="1" applyProtection="1">
      <protection locked="0"/>
    </xf>
    <xf numFmtId="0" fontId="0" fillId="0" borderId="0" xfId="0" applyFill="1" applyAlignment="1">
      <alignment horizontal="left" wrapText="1"/>
    </xf>
    <xf numFmtId="0" fontId="0" fillId="0" borderId="0" xfId="0" applyFill="1" applyAlignment="1">
      <alignment horizontal="center"/>
    </xf>
    <xf numFmtId="0" fontId="33" fillId="0" borderId="0" xfId="0" applyFont="1" applyFill="1"/>
    <xf numFmtId="0" fontId="38" fillId="0" borderId="50" xfId="0" applyFont="1" applyFill="1" applyBorder="1"/>
    <xf numFmtId="0" fontId="0" fillId="0" borderId="71" xfId="0" applyFill="1" applyBorder="1" applyAlignment="1" applyProtection="1">
      <alignment horizontal="left"/>
      <protection locked="0"/>
    </xf>
    <xf numFmtId="0" fontId="37" fillId="0" borderId="0" xfId="0" applyFont="1" applyFill="1" applyAlignment="1">
      <alignment horizontal="center"/>
    </xf>
    <xf numFmtId="14" fontId="41" fillId="0" borderId="50" xfId="0" applyNumberFormat="1" applyFont="1" applyFill="1" applyBorder="1" applyAlignment="1">
      <alignment vertical="top"/>
    </xf>
    <xf numFmtId="0" fontId="2" fillId="0" borderId="15" xfId="0" applyFont="1" applyFill="1" applyBorder="1" applyAlignment="1">
      <alignment horizontal="center" vertical="center"/>
    </xf>
    <xf numFmtId="0" fontId="2" fillId="0" borderId="10" xfId="0" applyFont="1" applyFill="1" applyBorder="1" applyAlignment="1">
      <alignment vertical="center" wrapText="1"/>
    </xf>
    <xf numFmtId="0" fontId="0" fillId="0" borderId="10" xfId="0" applyFill="1" applyBorder="1" applyAlignment="1">
      <alignment horizontal="left" vertical="top"/>
    </xf>
    <xf numFmtId="0" fontId="2" fillId="0" borderId="16" xfId="0" applyFont="1" applyFill="1" applyBorder="1" applyAlignment="1">
      <alignment horizontal="center" vertical="center"/>
    </xf>
    <xf numFmtId="0" fontId="2" fillId="0" borderId="40" xfId="0" applyFont="1" applyFill="1" applyBorder="1" applyAlignment="1">
      <alignment vertical="center" wrapText="1"/>
    </xf>
    <xf numFmtId="0" fontId="0" fillId="0" borderId="70" xfId="0" applyFill="1" applyBorder="1" applyAlignment="1" applyProtection="1">
      <alignment vertical="center"/>
      <protection locked="0"/>
    </xf>
    <xf numFmtId="49" fontId="40" fillId="0" borderId="70" xfId="0" applyNumberFormat="1" applyFont="1" applyFill="1" applyBorder="1" applyProtection="1">
      <protection locked="0"/>
    </xf>
    <xf numFmtId="0" fontId="0" fillId="0" borderId="70" xfId="0" applyFill="1" applyBorder="1" applyProtection="1">
      <protection locked="0"/>
    </xf>
    <xf numFmtId="0" fontId="39" fillId="0" borderId="67" xfId="0" applyFont="1" applyFill="1" applyBorder="1" applyAlignment="1">
      <alignment horizontal="left" vertical="top"/>
    </xf>
    <xf numFmtId="49" fontId="41" fillId="0" borderId="70" xfId="0" applyNumberFormat="1" applyFont="1" applyFill="1" applyBorder="1" applyAlignment="1" applyProtection="1">
      <alignment horizontal="left" vertical="top" wrapText="1"/>
      <protection locked="0"/>
    </xf>
    <xf numFmtId="0" fontId="41" fillId="0" borderId="70" xfId="0" applyFont="1" applyFill="1" applyBorder="1" applyAlignment="1">
      <alignment vertical="top"/>
    </xf>
    <xf numFmtId="0" fontId="41" fillId="0" borderId="70" xfId="0" applyFont="1" applyFill="1" applyBorder="1" applyAlignment="1" applyProtection="1">
      <alignment horizontal="left" vertical="top" wrapText="1"/>
      <protection locked="0"/>
    </xf>
    <xf numFmtId="0" fontId="0" fillId="0" borderId="70" xfId="0" applyFill="1" applyBorder="1" applyAlignment="1" applyProtection="1">
      <alignment horizontal="left" vertical="top" wrapText="1"/>
      <protection locked="0"/>
    </xf>
    <xf numFmtId="0" fontId="41" fillId="0" borderId="70" xfId="0" applyFont="1" applyFill="1" applyBorder="1" applyAlignment="1">
      <alignment horizontal="left" vertical="top"/>
    </xf>
    <xf numFmtId="0" fontId="0" fillId="0" borderId="0" xfId="0" applyFill="1" applyAlignment="1">
      <alignment vertical="center" wrapText="1"/>
    </xf>
    <xf numFmtId="0" fontId="0" fillId="0" borderId="36" xfId="0" applyFill="1" applyBorder="1"/>
    <xf numFmtId="0" fontId="0" fillId="0" borderId="70" xfId="0" applyFill="1" applyBorder="1"/>
    <xf numFmtId="0" fontId="0" fillId="0" borderId="70" xfId="0" applyFill="1" applyBorder="1" applyAlignment="1">
      <alignment horizontal="left"/>
    </xf>
    <xf numFmtId="0" fontId="0" fillId="0" borderId="0" xfId="0" applyFill="1" applyAlignment="1" applyProtection="1">
      <alignment wrapText="1"/>
      <protection locked="0"/>
    </xf>
    <xf numFmtId="0" fontId="0" fillId="0" borderId="36" xfId="0" applyFill="1" applyBorder="1" applyAlignment="1">
      <alignment horizontal="left" wrapText="1"/>
    </xf>
    <xf numFmtId="0" fontId="0" fillId="0" borderId="0" xfId="0" applyFill="1" applyAlignment="1">
      <alignment horizontal="center" wrapText="1"/>
    </xf>
    <xf numFmtId="0" fontId="38" fillId="0" borderId="70" xfId="0" applyFont="1" applyFill="1" applyBorder="1"/>
    <xf numFmtId="49" fontId="0" fillId="0" borderId="71" xfId="0" applyNumberFormat="1" applyFill="1" applyBorder="1" applyAlignment="1" applyProtection="1">
      <alignment horizontal="left" vertical="top" wrapText="1"/>
      <protection locked="0"/>
    </xf>
    <xf numFmtId="49" fontId="40" fillId="0" borderId="70" xfId="0" applyNumberFormat="1" applyFont="1" applyFill="1" applyBorder="1" applyAlignment="1" applyProtection="1">
      <alignment horizontal="left" vertical="top" wrapText="1"/>
      <protection locked="0"/>
    </xf>
    <xf numFmtId="14" fontId="41" fillId="0" borderId="70" xfId="0" applyNumberFormat="1" applyFont="1" applyFill="1" applyBorder="1" applyAlignment="1">
      <alignment horizontal="left" vertical="top"/>
    </xf>
    <xf numFmtId="4" fontId="2" fillId="0" borderId="10" xfId="0" applyNumberFormat="1" applyFont="1" applyFill="1" applyBorder="1" applyAlignment="1" applyProtection="1">
      <alignment horizontal="right" vertical="center"/>
      <protection locked="0"/>
    </xf>
    <xf numFmtId="4" fontId="2" fillId="0" borderId="39" xfId="0" applyNumberFormat="1" applyFont="1" applyFill="1" applyBorder="1" applyAlignment="1" applyProtection="1">
      <alignment horizontal="right" vertical="center"/>
      <protection locked="0"/>
    </xf>
    <xf numFmtId="4" fontId="2" fillId="0" borderId="40" xfId="0" applyNumberFormat="1" applyFont="1" applyFill="1" applyBorder="1" applyAlignment="1" applyProtection="1">
      <alignment horizontal="right" vertical="center"/>
      <protection locked="0"/>
    </xf>
    <xf numFmtId="0" fontId="0" fillId="0" borderId="0" xfId="0"/>
    <xf numFmtId="0" fontId="2" fillId="4" borderId="72" xfId="0" applyFont="1" applyFill="1" applyBorder="1" applyAlignment="1">
      <alignment horizontal="center" vertical="center"/>
    </xf>
    <xf numFmtId="0" fontId="2" fillId="2" borderId="72" xfId="0" applyFont="1" applyFill="1" applyBorder="1" applyAlignment="1">
      <alignment vertical="center"/>
    </xf>
    <xf numFmtId="0" fontId="0" fillId="0" borderId="72" xfId="0" applyBorder="1" applyAlignment="1">
      <alignment vertical="top"/>
    </xf>
    <xf numFmtId="0" fontId="0" fillId="0" borderId="72" xfId="0" applyBorder="1" applyAlignment="1">
      <alignment horizontal="left" vertical="top"/>
    </xf>
    <xf numFmtId="4" fontId="2" fillId="0" borderId="10" xfId="0" applyNumberFormat="1" applyFont="1" applyFill="1" applyBorder="1" applyAlignment="1" applyProtection="1">
      <alignment horizontal="right" vertical="center"/>
      <protection locked="0"/>
    </xf>
    <xf numFmtId="4" fontId="5" fillId="28" borderId="10" xfId="0" applyNumberFormat="1" applyFont="1" applyFill="1" applyBorder="1" applyAlignment="1">
      <alignment horizontal="right" vertical="center"/>
    </xf>
    <xf numFmtId="4" fontId="2" fillId="28" borderId="10" xfId="0" applyNumberFormat="1" applyFont="1" applyFill="1" applyBorder="1" applyAlignment="1">
      <alignment horizontal="right" vertical="center"/>
    </xf>
    <xf numFmtId="0" fontId="0" fillId="0" borderId="0" xfId="0"/>
    <xf numFmtId="49" fontId="0" fillId="27" borderId="10" xfId="0" applyNumberFormat="1" applyFill="1" applyBorder="1" applyAlignment="1" applyProtection="1">
      <alignment horizontal="left" vertical="top" wrapText="1"/>
      <protection locked="0"/>
    </xf>
    <xf numFmtId="0" fontId="41" fillId="27" borderId="10" xfId="0" applyFont="1" applyFill="1" applyBorder="1" applyAlignment="1" applyProtection="1">
      <alignment vertical="top" wrapText="1"/>
      <protection locked="0"/>
    </xf>
    <xf numFmtId="0" fontId="0" fillId="27" borderId="10" xfId="0" applyFill="1" applyBorder="1" applyAlignment="1" applyProtection="1">
      <alignment horizontal="left" vertical="top" wrapText="1"/>
      <protection locked="0"/>
    </xf>
    <xf numFmtId="49" fontId="40" fillId="27" borderId="50" xfId="0" applyNumberFormat="1" applyFont="1" applyFill="1" applyBorder="1" applyAlignment="1" applyProtection="1">
      <alignment horizontal="left" vertical="top" wrapText="1"/>
      <protection locked="0"/>
    </xf>
    <xf numFmtId="0" fontId="0" fillId="0" borderId="0" xfId="0" applyFill="1" applyAlignment="1">
      <alignment horizontal="left"/>
    </xf>
    <xf numFmtId="0" fontId="0" fillId="0" borderId="0" xfId="0" applyFill="1" applyAlignment="1">
      <alignment horizontal="center"/>
    </xf>
    <xf numFmtId="0" fontId="2" fillId="4" borderId="73" xfId="0" applyFont="1" applyFill="1" applyBorder="1" applyAlignment="1">
      <alignment horizontal="center" vertical="center"/>
    </xf>
    <xf numFmtId="0" fontId="2" fillId="2" borderId="73" xfId="0" applyFont="1" applyFill="1" applyBorder="1" applyAlignment="1">
      <alignment vertical="center"/>
    </xf>
    <xf numFmtId="0" fontId="0" fillId="0" borderId="73" xfId="0" applyBorder="1" applyAlignment="1">
      <alignment horizontal="left" vertical="top"/>
    </xf>
    <xf numFmtId="0" fontId="0" fillId="0" borderId="73" xfId="0" applyFill="1" applyBorder="1" applyAlignment="1" applyProtection="1">
      <alignment horizontal="left"/>
      <protection locked="0"/>
    </xf>
    <xf numFmtId="49" fontId="41" fillId="27" borderId="73" xfId="0" applyNumberFormat="1" applyFont="1" applyFill="1" applyBorder="1" applyAlignment="1" applyProtection="1">
      <alignment horizontal="left" vertical="top" wrapText="1"/>
      <protection locked="0"/>
    </xf>
    <xf numFmtId="0" fontId="0" fillId="0" borderId="0" xfId="0"/>
    <xf numFmtId="0" fontId="49" fillId="0" borderId="73" xfId="0" applyFont="1" applyBorder="1" applyAlignment="1">
      <alignment horizontal="left" vertical="top"/>
    </xf>
    <xf numFmtId="0" fontId="49" fillId="0" borderId="73" xfId="0" applyFont="1" applyBorder="1" applyAlignment="1">
      <alignment horizontal="left" vertical="top" wrapText="1"/>
    </xf>
    <xf numFmtId="0" fontId="0" fillId="0" borderId="73" xfId="0" applyBorder="1" applyAlignment="1">
      <alignment vertical="top"/>
    </xf>
    <xf numFmtId="0" fontId="41" fillId="0" borderId="73" xfId="0" applyFont="1" applyBorder="1" applyAlignment="1">
      <alignment horizontal="left" vertical="top" wrapText="1"/>
    </xf>
    <xf numFmtId="0" fontId="37" fillId="0" borderId="73" xfId="0" applyFont="1" applyBorder="1" applyAlignment="1">
      <alignment horizontal="left" vertical="top"/>
    </xf>
    <xf numFmtId="0" fontId="2" fillId="4" borderId="77" xfId="0" applyFont="1" applyFill="1" applyBorder="1" applyAlignment="1">
      <alignment horizontal="center" vertical="center"/>
    </xf>
    <xf numFmtId="0" fontId="2" fillId="2" borderId="77" xfId="0" applyFont="1" applyFill="1" applyBorder="1" applyAlignment="1">
      <alignment vertical="center"/>
    </xf>
    <xf numFmtId="0" fontId="0" fillId="0" borderId="77" xfId="0" applyBorder="1" applyAlignment="1">
      <alignment vertical="top"/>
    </xf>
    <xf numFmtId="0" fontId="0" fillId="0" borderId="77" xfId="0" applyBorder="1" applyAlignment="1">
      <alignment horizontal="left" vertical="top"/>
    </xf>
    <xf numFmtId="0" fontId="49" fillId="0" borderId="77" xfId="0" applyFont="1" applyBorder="1" applyAlignment="1">
      <alignment horizontal="left" vertical="top"/>
    </xf>
    <xf numFmtId="0" fontId="49" fillId="0" borderId="77" xfId="0" applyFont="1" applyBorder="1" applyAlignment="1">
      <alignment horizontal="left" vertical="top" wrapText="1"/>
    </xf>
    <xf numFmtId="49" fontId="11" fillId="16" borderId="0" xfId="0" applyNumberFormat="1" applyFont="1" applyFill="1" applyAlignment="1">
      <alignment horizontal="left" vertical="center" readingOrder="1"/>
    </xf>
    <xf numFmtId="0" fontId="0" fillId="0" borderId="0" xfId="0" applyFill="1" applyAlignment="1">
      <alignment horizontal="left"/>
    </xf>
    <xf numFmtId="0" fontId="0" fillId="0" borderId="6" xfId="0" applyFill="1" applyBorder="1" applyAlignment="1">
      <alignment horizontal="left"/>
    </xf>
    <xf numFmtId="0" fontId="0" fillId="0" borderId="17" xfId="0" applyFill="1" applyBorder="1" applyAlignment="1">
      <alignment horizontal="center"/>
    </xf>
    <xf numFmtId="0" fontId="0" fillId="0" borderId="0" xfId="0" applyFill="1" applyAlignment="1">
      <alignment horizontal="center"/>
    </xf>
    <xf numFmtId="0" fontId="0" fillId="0" borderId="17" xfId="0" applyFill="1" applyBorder="1" applyAlignment="1">
      <alignment horizontal="left"/>
    </xf>
    <xf numFmtId="0" fontId="19" fillId="18" borderId="1" xfId="0" applyFont="1" applyFill="1" applyBorder="1" applyAlignment="1">
      <alignment horizontal="center" vertical="center" wrapText="1"/>
    </xf>
    <xf numFmtId="0" fontId="0" fillId="0" borderId="73" xfId="0" applyFill="1" applyBorder="1" applyAlignment="1" applyProtection="1">
      <alignment horizontal="center"/>
      <protection locked="0"/>
    </xf>
    <xf numFmtId="49" fontId="11" fillId="16" borderId="2" xfId="0" applyNumberFormat="1" applyFont="1" applyFill="1" applyBorder="1" applyAlignment="1">
      <alignment horizontal="left" vertical="center" readingOrder="1"/>
    </xf>
    <xf numFmtId="0" fontId="0" fillId="0" borderId="18"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49" fillId="0" borderId="36" xfId="0" applyFont="1" applyBorder="1" applyAlignment="1">
      <alignment horizontal="center" vertical="top" wrapText="1"/>
    </xf>
    <xf numFmtId="0" fontId="49" fillId="0" borderId="44" xfId="0" applyFont="1" applyBorder="1" applyAlignment="1">
      <alignment horizontal="center" vertical="top" wrapText="1"/>
    </xf>
    <xf numFmtId="0" fontId="49" fillId="0" borderId="42" xfId="0" applyFont="1" applyBorder="1" applyAlignment="1">
      <alignment horizontal="center" vertical="top" wrapText="1"/>
    </xf>
    <xf numFmtId="0" fontId="0" fillId="0" borderId="50" xfId="0" applyFill="1" applyBorder="1" applyAlignment="1">
      <alignment horizontal="left"/>
    </xf>
    <xf numFmtId="0" fontId="0" fillId="0" borderId="34" xfId="0" applyFill="1" applyBorder="1" applyAlignment="1">
      <alignment horizontal="left"/>
    </xf>
    <xf numFmtId="0" fontId="0" fillId="0" borderId="29" xfId="0" applyFill="1" applyBorder="1" applyAlignment="1">
      <alignment horizontal="left"/>
    </xf>
    <xf numFmtId="0" fontId="0" fillId="0" borderId="18" xfId="0" applyFill="1" applyBorder="1" applyAlignment="1" applyProtection="1">
      <alignment horizontal="left"/>
      <protection locked="0"/>
    </xf>
    <xf numFmtId="0" fontId="0" fillId="0" borderId="20" xfId="0" applyFill="1" applyBorder="1" applyAlignment="1" applyProtection="1">
      <alignment horizontal="left"/>
      <protection locked="0"/>
    </xf>
    <xf numFmtId="0" fontId="0" fillId="0" borderId="19" xfId="0" applyFill="1" applyBorder="1" applyAlignment="1" applyProtection="1">
      <alignment horizontal="left"/>
      <protection locked="0"/>
    </xf>
    <xf numFmtId="0" fontId="38" fillId="0" borderId="18" xfId="0" applyFont="1" applyFill="1" applyBorder="1" applyAlignment="1">
      <alignment horizontal="center"/>
    </xf>
    <xf numFmtId="0" fontId="38" fillId="0" borderId="20" xfId="0" applyFont="1" applyFill="1" applyBorder="1" applyAlignment="1">
      <alignment horizontal="center"/>
    </xf>
    <xf numFmtId="0" fontId="38" fillId="0" borderId="19" xfId="0" applyFont="1" applyFill="1" applyBorder="1" applyAlignment="1">
      <alignment horizontal="center"/>
    </xf>
    <xf numFmtId="0" fontId="2" fillId="0" borderId="66" xfId="2" applyBorder="1" applyAlignment="1">
      <alignment horizontal="left" vertical="top" wrapText="1"/>
    </xf>
    <xf numFmtId="2" fontId="2" fillId="0" borderId="66" xfId="2" applyNumberFormat="1" applyBorder="1" applyAlignment="1">
      <alignment horizontal="right" vertical="top" wrapText="1"/>
    </xf>
    <xf numFmtId="0" fontId="45" fillId="0" borderId="66" xfId="2" applyFont="1" applyBorder="1" applyAlignment="1">
      <alignment horizontal="left" vertical="top" wrapText="1"/>
    </xf>
    <xf numFmtId="10" fontId="46" fillId="0" borderId="66" xfId="2" applyNumberFormat="1" applyFont="1" applyBorder="1" applyAlignment="1">
      <alignment horizontal="left" vertical="top" shrinkToFit="1"/>
    </xf>
    <xf numFmtId="9" fontId="46" fillId="0" borderId="66" xfId="2" applyNumberFormat="1" applyFont="1" applyBorder="1" applyAlignment="1">
      <alignment horizontal="left" vertical="top" shrinkToFit="1"/>
    </xf>
    <xf numFmtId="0" fontId="45" fillId="0" borderId="66" xfId="2" applyFont="1" applyBorder="1" applyAlignment="1">
      <alignment horizontal="center" vertical="center" wrapText="1"/>
    </xf>
    <xf numFmtId="0" fontId="45" fillId="0" borderId="66" xfId="2" applyFont="1" applyBorder="1" applyAlignment="1">
      <alignment horizontal="center" vertical="top" wrapText="1"/>
    </xf>
    <xf numFmtId="0" fontId="45" fillId="0" borderId="18" xfId="2" applyFont="1" applyBorder="1" applyAlignment="1">
      <alignment horizontal="left" vertical="top"/>
    </xf>
    <xf numFmtId="0" fontId="45" fillId="0" borderId="20" xfId="2" applyFont="1" applyBorder="1" applyAlignment="1">
      <alignment horizontal="left" vertical="top"/>
    </xf>
    <xf numFmtId="0" fontId="45" fillId="0" borderId="19" xfId="2" applyFont="1" applyBorder="1" applyAlignment="1">
      <alignment horizontal="left" vertical="top"/>
    </xf>
    <xf numFmtId="0" fontId="50" fillId="0" borderId="51" xfId="2" applyFont="1" applyBorder="1" applyAlignment="1">
      <alignment horizontal="left" vertical="top" wrapText="1"/>
    </xf>
    <xf numFmtId="0" fontId="45" fillId="0" borderId="51" xfId="2" applyFont="1" applyBorder="1" applyAlignment="1">
      <alignment horizontal="left" vertical="top"/>
    </xf>
    <xf numFmtId="0" fontId="45" fillId="0" borderId="51" xfId="2" applyFont="1" applyBorder="1" applyAlignment="1">
      <alignment horizontal="left" vertical="top" wrapText="1"/>
    </xf>
    <xf numFmtId="0" fontId="50" fillId="0" borderId="0" xfId="2" applyFont="1" applyAlignment="1">
      <alignment horizontal="left" vertical="top"/>
    </xf>
    <xf numFmtId="14" fontId="50" fillId="0" borderId="51" xfId="2" applyNumberFormat="1" applyFont="1" applyBorder="1" applyAlignment="1">
      <alignment horizontal="left" vertical="top"/>
    </xf>
    <xf numFmtId="0" fontId="50" fillId="0" borderId="51" xfId="2" applyFont="1" applyBorder="1" applyAlignment="1">
      <alignment horizontal="left" vertical="top"/>
    </xf>
    <xf numFmtId="0" fontId="50" fillId="0" borderId="0" xfId="2" applyFont="1" applyAlignment="1">
      <alignment vertical="center"/>
    </xf>
    <xf numFmtId="14" fontId="50" fillId="0" borderId="0" xfId="2" applyNumberFormat="1" applyFont="1" applyAlignment="1">
      <alignment horizontal="center" vertical="top"/>
    </xf>
    <xf numFmtId="0" fontId="50" fillId="0" borderId="0" xfId="2" applyFont="1" applyAlignment="1">
      <alignment horizontal="center" vertical="top"/>
    </xf>
    <xf numFmtId="0" fontId="50" fillId="0" borderId="0" xfId="2" applyFont="1" applyAlignment="1">
      <alignment horizontal="left"/>
    </xf>
    <xf numFmtId="0" fontId="63" fillId="0" borderId="51" xfId="2" applyFont="1" applyBorder="1" applyAlignment="1">
      <alignment horizontal="center"/>
    </xf>
    <xf numFmtId="0" fontId="63" fillId="0" borderId="51" xfId="2" applyFont="1" applyBorder="1"/>
    <xf numFmtId="0" fontId="50" fillId="0" borderId="0" xfId="2" applyFont="1" applyAlignment="1">
      <alignment horizontal="left" vertical="center"/>
    </xf>
    <xf numFmtId="14" fontId="50" fillId="0" borderId="0" xfId="2" applyNumberFormat="1" applyFont="1" applyAlignment="1">
      <alignment vertical="top"/>
    </xf>
    <xf numFmtId="0" fontId="50" fillId="0" borderId="0" xfId="2" applyFont="1" applyAlignment="1">
      <alignment vertical="top"/>
    </xf>
    <xf numFmtId="49" fontId="50" fillId="0" borderId="51" xfId="2" applyNumberFormat="1" applyFont="1" applyBorder="1" applyAlignment="1">
      <alignment horizontal="left" vertical="top" wrapText="1"/>
    </xf>
    <xf numFmtId="0" fontId="61" fillId="0" borderId="0" xfId="2" applyFont="1" applyAlignment="1">
      <alignment horizontal="center" vertical="top" wrapText="1"/>
    </xf>
    <xf numFmtId="0" fontId="50" fillId="0" borderId="65" xfId="2" applyFont="1" applyBorder="1" applyAlignment="1">
      <alignment horizontal="left" vertical="top"/>
    </xf>
    <xf numFmtId="0" fontId="60" fillId="0" borderId="0" xfId="3" applyFont="1" applyAlignment="1">
      <alignment horizontal="left" wrapText="1"/>
    </xf>
    <xf numFmtId="0" fontId="2" fillId="0" borderId="66" xfId="2" applyBorder="1" applyAlignment="1">
      <alignment horizontal="left" wrapText="1"/>
    </xf>
    <xf numFmtId="0" fontId="2" fillId="0" borderId="66" xfId="2" applyBorder="1" applyAlignment="1">
      <alignment horizontal="center" vertical="top" wrapText="1"/>
    </xf>
    <xf numFmtId="0" fontId="47" fillId="0" borderId="66" xfId="2" applyFont="1" applyBorder="1" applyAlignment="1">
      <alignment horizontal="left" vertical="center" wrapText="1" indent="2"/>
    </xf>
    <xf numFmtId="0" fontId="45" fillId="0" borderId="66" xfId="2" applyFont="1" applyBorder="1" applyAlignment="1">
      <alignment horizontal="left" vertical="top" wrapText="1" indent="9"/>
    </xf>
    <xf numFmtId="0" fontId="45" fillId="0" borderId="66" xfId="2" applyFont="1" applyBorder="1" applyAlignment="1">
      <alignment vertical="top" wrapText="1"/>
    </xf>
    <xf numFmtId="0" fontId="47" fillId="0" borderId="66" xfId="2" applyFont="1" applyBorder="1" applyAlignment="1">
      <alignment horizontal="left" vertical="top" wrapText="1" indent="13"/>
    </xf>
    <xf numFmtId="0" fontId="45" fillId="26" borderId="66" xfId="2" applyFont="1" applyFill="1" applyBorder="1" applyAlignment="1">
      <alignment horizontal="right" vertical="top" wrapText="1"/>
    </xf>
    <xf numFmtId="2" fontId="51" fillId="0" borderId="66" xfId="2" applyNumberFormat="1" applyFont="1" applyBorder="1" applyAlignment="1">
      <alignment horizontal="right" vertical="top" wrapText="1"/>
    </xf>
    <xf numFmtId="0" fontId="50" fillId="0" borderId="66" xfId="2" applyFont="1" applyBorder="1" applyAlignment="1">
      <alignment vertical="top" wrapText="1"/>
    </xf>
    <xf numFmtId="0" fontId="45" fillId="0" borderId="66" xfId="2" applyFont="1" applyBorder="1" applyAlignment="1">
      <alignment horizontal="left" vertical="top" wrapText="1" indent="2"/>
    </xf>
    <xf numFmtId="0" fontId="45" fillId="0" borderId="66" xfId="2" applyFont="1" applyBorder="1" applyAlignment="1">
      <alignment horizontal="left" vertical="top" wrapText="1" indent="1"/>
    </xf>
    <xf numFmtId="0" fontId="47" fillId="0" borderId="66" xfId="2" applyFont="1" applyBorder="1" applyAlignment="1">
      <alignment horizontal="left" vertical="top" wrapText="1" indent="1"/>
    </xf>
    <xf numFmtId="0" fontId="2" fillId="26" borderId="66" xfId="2" applyFill="1" applyBorder="1" applyAlignment="1">
      <alignment horizontal="right" vertical="top" wrapText="1"/>
    </xf>
    <xf numFmtId="0" fontId="47" fillId="0" borderId="66" xfId="2" applyFont="1" applyBorder="1" applyAlignment="1">
      <alignment horizontal="center" vertical="top" wrapText="1"/>
    </xf>
    <xf numFmtId="2" fontId="53" fillId="0" borderId="66" xfId="2" applyNumberFormat="1" applyFont="1" applyBorder="1" applyAlignment="1">
      <alignment horizontal="right" vertical="top" wrapText="1"/>
    </xf>
    <xf numFmtId="2" fontId="52" fillId="0" borderId="66" xfId="2" applyNumberFormat="1" applyFont="1" applyBorder="1" applyAlignment="1">
      <alignment horizontal="right" vertical="top" wrapText="1"/>
    </xf>
    <xf numFmtId="0" fontId="50" fillId="0" borderId="66" xfId="2" applyFont="1" applyBorder="1" applyAlignment="1">
      <alignment horizontal="center" vertical="top" wrapText="1"/>
    </xf>
    <xf numFmtId="0" fontId="47" fillId="0" borderId="66" xfId="2" applyFont="1" applyBorder="1" applyAlignment="1">
      <alignment horizontal="left" vertical="top" wrapText="1" indent="8"/>
    </xf>
    <xf numFmtId="0" fontId="2" fillId="0" borderId="66" xfId="2" applyBorder="1" applyAlignment="1">
      <alignment vertical="top" wrapText="1"/>
    </xf>
    <xf numFmtId="0" fontId="47" fillId="0" borderId="66" xfId="2" applyFont="1" applyBorder="1" applyAlignment="1">
      <alignment horizontal="center" vertical="center" wrapText="1"/>
    </xf>
    <xf numFmtId="0" fontId="47" fillId="0" borderId="66" xfId="2" applyFont="1" applyBorder="1" applyAlignment="1">
      <alignment horizontal="left" vertical="top" wrapText="1" indent="6"/>
    </xf>
    <xf numFmtId="0" fontId="45" fillId="0" borderId="66" xfId="2" applyFont="1" applyBorder="1" applyAlignment="1">
      <alignment vertical="center" wrapText="1"/>
    </xf>
    <xf numFmtId="0" fontId="65" fillId="0" borderId="66" xfId="2" applyFont="1" applyBorder="1" applyAlignment="1">
      <alignment vertical="top" wrapText="1"/>
    </xf>
    <xf numFmtId="2" fontId="45" fillId="0" borderId="66" xfId="2" applyNumberFormat="1" applyFont="1" applyBorder="1" applyAlignment="1">
      <alignment horizontal="right" vertical="top" wrapText="1"/>
    </xf>
    <xf numFmtId="0" fontId="47" fillId="0" borderId="66" xfId="2" applyFont="1" applyBorder="1" applyAlignment="1">
      <alignment horizontal="left" vertical="top" wrapText="1" indent="16"/>
    </xf>
    <xf numFmtId="0" fontId="2" fillId="0" borderId="0" xfId="2" applyAlignment="1">
      <alignment horizontal="left" wrapText="1"/>
    </xf>
    <xf numFmtId="0" fontId="45" fillId="0" borderId="0" xfId="2" applyFont="1" applyAlignment="1">
      <alignment horizontal="right" vertical="top" wrapText="1" indent="4"/>
    </xf>
    <xf numFmtId="0" fontId="50" fillId="0" borderId="0" xfId="2" applyFont="1" applyAlignment="1">
      <alignment horizontal="center" vertical="top" wrapText="1"/>
    </xf>
    <xf numFmtId="0" fontId="2" fillId="0" borderId="66" xfId="2" applyBorder="1" applyAlignment="1">
      <alignment horizontal="center" vertical="center" wrapText="1"/>
    </xf>
    <xf numFmtId="0" fontId="2" fillId="0" borderId="66" xfId="2" applyBorder="1" applyAlignment="1">
      <alignment horizontal="center" wrapText="1"/>
    </xf>
    <xf numFmtId="49" fontId="50" fillId="0" borderId="51" xfId="2" applyNumberFormat="1" applyFont="1" applyBorder="1" applyAlignment="1">
      <alignment horizontal="left" vertical="top"/>
    </xf>
    <xf numFmtId="0" fontId="50" fillId="0" borderId="0" xfId="2" applyFont="1"/>
    <xf numFmtId="0" fontId="45" fillId="0" borderId="18" xfId="2" applyFont="1" applyBorder="1" applyAlignment="1">
      <alignment vertical="top"/>
    </xf>
    <xf numFmtId="0" fontId="45" fillId="0" borderId="20" xfId="2" applyFont="1" applyBorder="1" applyAlignment="1">
      <alignment vertical="top"/>
    </xf>
    <xf numFmtId="0" fontId="45" fillId="0" borderId="19" xfId="2" applyFont="1" applyBorder="1" applyAlignment="1">
      <alignment vertical="top"/>
    </xf>
    <xf numFmtId="0" fontId="45" fillId="0" borderId="51" xfId="2" applyFont="1" applyBorder="1" applyAlignment="1">
      <alignment vertical="top"/>
    </xf>
    <xf numFmtId="0" fontId="50" fillId="0" borderId="0" xfId="2" applyFont="1" applyAlignment="1">
      <alignment horizontal="left" vertical="top" wrapText="1"/>
    </xf>
    <xf numFmtId="0" fontId="50" fillId="0" borderId="33" xfId="2" applyFont="1" applyBorder="1" applyAlignment="1">
      <alignment horizontal="left" vertical="top" wrapText="1"/>
    </xf>
    <xf numFmtId="49" fontId="50" fillId="0" borderId="51" xfId="2" applyNumberFormat="1" applyFont="1" applyBorder="1" applyAlignment="1">
      <alignment vertical="top" wrapText="1"/>
    </xf>
    <xf numFmtId="0" fontId="50" fillId="0" borderId="51" xfId="2" applyFont="1" applyBorder="1" applyAlignment="1">
      <alignment vertical="top" wrapText="1"/>
    </xf>
    <xf numFmtId="0" fontId="50" fillId="0" borderId="18" xfId="2" applyFont="1" applyBorder="1" applyAlignment="1">
      <alignment horizontal="left" vertical="top"/>
    </xf>
    <xf numFmtId="0" fontId="50" fillId="0" borderId="20" xfId="2" applyFont="1" applyBorder="1" applyAlignment="1">
      <alignment horizontal="left" vertical="top"/>
    </xf>
    <xf numFmtId="0" fontId="50" fillId="0" borderId="19" xfId="2" applyFont="1" applyBorder="1" applyAlignment="1">
      <alignment horizontal="left" vertical="top"/>
    </xf>
    <xf numFmtId="49" fontId="50" fillId="0" borderId="0" xfId="2" applyNumberFormat="1" applyFont="1" applyAlignment="1">
      <alignment horizontal="center" vertical="top"/>
    </xf>
    <xf numFmtId="0" fontId="62" fillId="0" borderId="0" xfId="2" applyFont="1" applyAlignment="1">
      <alignment horizontal="center" vertical="top" wrapText="1"/>
    </xf>
    <xf numFmtId="0" fontId="50" fillId="0" borderId="65" xfId="2" applyFont="1" applyBorder="1" applyAlignment="1">
      <alignment horizontal="left" vertical="top" wrapText="1"/>
    </xf>
    <xf numFmtId="0" fontId="45" fillId="0" borderId="51" xfId="2" applyFont="1" applyBorder="1" applyAlignment="1">
      <alignment horizontal="left" vertical="top"/>
    </xf>
    <xf numFmtId="49" fontId="50" fillId="0" borderId="51" xfId="2" applyNumberFormat="1" applyFont="1" applyBorder="1" applyAlignment="1">
      <alignment horizontal="left" vertical="top" wrapText="1"/>
    </xf>
    <xf numFmtId="0" fontId="50" fillId="0" borderId="51" xfId="2" applyFont="1" applyBorder="1" applyAlignment="1">
      <alignment horizontal="left" vertical="top" wrapText="1"/>
    </xf>
    <xf numFmtId="0" fontId="45" fillId="0" borderId="18" xfId="2" applyFont="1" applyBorder="1" applyAlignment="1">
      <alignment horizontal="left" vertical="top"/>
    </xf>
    <xf numFmtId="0" fontId="45" fillId="0" borderId="20" xfId="2" applyFont="1" applyBorder="1" applyAlignment="1">
      <alignment horizontal="left" vertical="top"/>
    </xf>
    <xf numFmtId="0" fontId="45" fillId="0" borderId="19" xfId="2" applyFont="1" applyBorder="1" applyAlignment="1">
      <alignment horizontal="left" vertical="top"/>
    </xf>
    <xf numFmtId="0" fontId="45" fillId="0" borderId="51" xfId="2" applyFont="1" applyBorder="1" applyAlignment="1">
      <alignment horizontal="left" vertical="top" wrapText="1"/>
    </xf>
    <xf numFmtId="0" fontId="50" fillId="0" borderId="0" xfId="2" applyFont="1" applyAlignment="1">
      <alignment horizontal="left" vertical="top"/>
    </xf>
    <xf numFmtId="49" fontId="50" fillId="0" borderId="51" xfId="2" applyNumberFormat="1" applyFont="1" applyBorder="1" applyAlignment="1">
      <alignment horizontal="left" vertical="top"/>
    </xf>
    <xf numFmtId="0" fontId="50" fillId="0" borderId="51" xfId="2" applyFont="1" applyBorder="1" applyAlignment="1">
      <alignment horizontal="left" vertical="top"/>
    </xf>
    <xf numFmtId="0" fontId="63" fillId="0" borderId="51" xfId="2" applyFont="1" applyBorder="1" applyAlignment="1">
      <alignment horizontal="center"/>
    </xf>
    <xf numFmtId="0" fontId="63" fillId="0" borderId="51" xfId="2" applyFont="1" applyBorder="1"/>
    <xf numFmtId="0" fontId="50" fillId="0" borderId="0" xfId="2" applyFont="1" applyAlignment="1">
      <alignment horizontal="center" vertical="top"/>
    </xf>
    <xf numFmtId="0" fontId="50" fillId="0" borderId="0" xfId="2" applyFont="1" applyAlignment="1">
      <alignment horizontal="left"/>
    </xf>
    <xf numFmtId="0" fontId="50" fillId="0" borderId="0" xfId="2" applyFont="1"/>
    <xf numFmtId="0" fontId="45" fillId="0" borderId="18" xfId="2" applyFont="1" applyBorder="1" applyAlignment="1">
      <alignment vertical="top"/>
    </xf>
    <xf numFmtId="0" fontId="45" fillId="0" borderId="20" xfId="2" applyFont="1" applyBorder="1" applyAlignment="1">
      <alignment vertical="top"/>
    </xf>
    <xf numFmtId="0" fontId="45" fillId="0" borderId="19" xfId="2" applyFont="1" applyBorder="1" applyAlignment="1">
      <alignment vertical="top"/>
    </xf>
    <xf numFmtId="0" fontId="45" fillId="0" borderId="51" xfId="2" applyFont="1" applyBorder="1" applyAlignment="1">
      <alignment vertical="top"/>
    </xf>
    <xf numFmtId="0" fontId="50" fillId="0" borderId="0" xfId="2" applyFont="1" applyAlignment="1">
      <alignment horizontal="left" vertical="top" wrapText="1"/>
    </xf>
    <xf numFmtId="0" fontId="50" fillId="0" borderId="33" xfId="2" applyFont="1" applyBorder="1" applyAlignment="1">
      <alignment horizontal="left" vertical="top" wrapText="1"/>
    </xf>
    <xf numFmtId="49" fontId="50" fillId="0" borderId="51" xfId="2" applyNumberFormat="1" applyFont="1" applyBorder="1" applyAlignment="1">
      <alignment vertical="top" wrapText="1"/>
    </xf>
    <xf numFmtId="0" fontId="50" fillId="0" borderId="51" xfId="2" applyFont="1" applyBorder="1" applyAlignment="1">
      <alignment vertical="top" wrapText="1"/>
    </xf>
    <xf numFmtId="0" fontId="50" fillId="0" borderId="18" xfId="2" applyFont="1" applyBorder="1" applyAlignment="1">
      <alignment horizontal="left" vertical="top"/>
    </xf>
    <xf numFmtId="0" fontId="50" fillId="0" borderId="20" xfId="2" applyFont="1" applyBorder="1" applyAlignment="1">
      <alignment horizontal="left" vertical="top"/>
    </xf>
    <xf numFmtId="0" fontId="50" fillId="0" borderId="19" xfId="2" applyFont="1" applyBorder="1" applyAlignment="1">
      <alignment horizontal="left" vertical="top"/>
    </xf>
    <xf numFmtId="0" fontId="50" fillId="0" borderId="0" xfId="2" applyFont="1" applyAlignment="1">
      <alignment vertical="center"/>
    </xf>
    <xf numFmtId="0" fontId="50" fillId="0" borderId="0" xfId="2" applyFont="1" applyAlignment="1">
      <alignment horizontal="left" vertical="center"/>
    </xf>
    <xf numFmtId="49" fontId="50" fillId="0" borderId="0" xfId="2" applyNumberFormat="1" applyFont="1" applyAlignment="1">
      <alignment horizontal="center" vertical="top"/>
    </xf>
    <xf numFmtId="0" fontId="50" fillId="0" borderId="65" xfId="2" applyFont="1" applyBorder="1" applyAlignment="1">
      <alignment horizontal="left" vertical="top" wrapText="1"/>
    </xf>
    <xf numFmtId="0" fontId="62" fillId="0" borderId="0" xfId="2" applyFont="1" applyAlignment="1">
      <alignment horizontal="center" vertical="top" wrapText="1"/>
    </xf>
    <xf numFmtId="0" fontId="60" fillId="0" borderId="0" xfId="3" applyFont="1" applyAlignment="1">
      <alignment horizontal="left" wrapText="1"/>
    </xf>
    <xf numFmtId="0" fontId="2" fillId="0" borderId="66" xfId="2" applyBorder="1" applyAlignment="1">
      <alignment horizontal="left" vertical="top" wrapText="1"/>
    </xf>
    <xf numFmtId="2" fontId="2" fillId="0" borderId="66" xfId="2" applyNumberFormat="1" applyBorder="1" applyAlignment="1">
      <alignment horizontal="right" vertical="top" wrapText="1"/>
    </xf>
    <xf numFmtId="0" fontId="45" fillId="0" borderId="66" xfId="2" applyFont="1" applyBorder="1" applyAlignment="1">
      <alignment horizontal="left" vertical="top" wrapText="1"/>
    </xf>
    <xf numFmtId="10" fontId="46" fillId="0" borderId="66" xfId="2" applyNumberFormat="1" applyFont="1" applyBorder="1" applyAlignment="1">
      <alignment horizontal="left" vertical="top" shrinkToFit="1"/>
    </xf>
    <xf numFmtId="9" fontId="46" fillId="0" borderId="66" xfId="2" applyNumberFormat="1" applyFont="1" applyBorder="1" applyAlignment="1">
      <alignment horizontal="left" vertical="top" shrinkToFit="1"/>
    </xf>
    <xf numFmtId="0" fontId="45" fillId="0" borderId="66" xfId="2" applyFont="1" applyBorder="1" applyAlignment="1">
      <alignment horizontal="center" vertical="top" wrapText="1"/>
    </xf>
    <xf numFmtId="0" fontId="2" fillId="0" borderId="66" xfId="2" applyBorder="1" applyAlignment="1">
      <alignment horizontal="center" vertical="top" wrapText="1"/>
    </xf>
    <xf numFmtId="0" fontId="47" fillId="0" borderId="66" xfId="2" applyFont="1" applyBorder="1" applyAlignment="1">
      <alignment horizontal="left" vertical="center" wrapText="1" indent="2"/>
    </xf>
    <xf numFmtId="0" fontId="2" fillId="0" borderId="66" xfId="2" applyBorder="1" applyAlignment="1">
      <alignment horizontal="left" wrapText="1"/>
    </xf>
    <xf numFmtId="0" fontId="45" fillId="0" borderId="66" xfId="2" applyFont="1" applyBorder="1" applyAlignment="1">
      <alignment horizontal="left" vertical="top" wrapText="1" indent="9"/>
    </xf>
    <xf numFmtId="0" fontId="45" fillId="0" borderId="66" xfId="2" applyFont="1" applyBorder="1" applyAlignment="1">
      <alignment vertical="top" wrapText="1"/>
    </xf>
    <xf numFmtId="0" fontId="45" fillId="26" borderId="66" xfId="2" applyFont="1" applyFill="1" applyBorder="1" applyAlignment="1">
      <alignment horizontal="right" vertical="top" wrapText="1"/>
    </xf>
    <xf numFmtId="2" fontId="51" fillId="0" borderId="66" xfId="2" applyNumberFormat="1" applyFont="1" applyBorder="1" applyAlignment="1">
      <alignment horizontal="right" vertical="top" wrapText="1"/>
    </xf>
    <xf numFmtId="0" fontId="47" fillId="0" borderId="66" xfId="2" applyFont="1" applyBorder="1" applyAlignment="1">
      <alignment horizontal="left" vertical="top" wrapText="1" indent="13"/>
    </xf>
    <xf numFmtId="0" fontId="50" fillId="0" borderId="66" xfId="2" applyFont="1" applyBorder="1" applyAlignment="1">
      <alignment vertical="top" wrapText="1"/>
    </xf>
    <xf numFmtId="0" fontId="47" fillId="0" borderId="66" xfId="2" applyFont="1" applyBorder="1" applyAlignment="1">
      <alignment horizontal="left" vertical="top" wrapText="1" indent="1"/>
    </xf>
    <xf numFmtId="0" fontId="45" fillId="0" borderId="66" xfId="2" applyFont="1" applyBorder="1" applyAlignment="1">
      <alignment horizontal="left" vertical="top" wrapText="1" indent="2"/>
    </xf>
    <xf numFmtId="0" fontId="45" fillId="0" borderId="66" xfId="2" applyFont="1" applyBorder="1" applyAlignment="1">
      <alignment horizontal="left" vertical="top" wrapText="1" indent="1"/>
    </xf>
    <xf numFmtId="0" fontId="47" fillId="0" borderId="66" xfId="2" applyFont="1" applyBorder="1" applyAlignment="1">
      <alignment horizontal="center" vertical="top" wrapText="1"/>
    </xf>
    <xf numFmtId="0" fontId="2" fillId="0" borderId="66" xfId="2" applyBorder="1" applyAlignment="1">
      <alignment vertical="top" wrapText="1"/>
    </xf>
    <xf numFmtId="0" fontId="2" fillId="26" borderId="66" xfId="2" applyFill="1" applyBorder="1" applyAlignment="1">
      <alignment horizontal="right" vertical="top" wrapText="1"/>
    </xf>
    <xf numFmtId="2" fontId="52" fillId="0" borderId="66" xfId="2" applyNumberFormat="1" applyFont="1" applyBorder="1" applyAlignment="1">
      <alignment horizontal="right" vertical="top" wrapText="1"/>
    </xf>
    <xf numFmtId="0" fontId="47" fillId="0" borderId="66" xfId="2" applyFont="1" applyBorder="1" applyAlignment="1">
      <alignment horizontal="left" vertical="top" wrapText="1" indent="6"/>
    </xf>
    <xf numFmtId="0" fontId="50" fillId="0" borderId="66" xfId="2" applyFont="1" applyBorder="1" applyAlignment="1">
      <alignment horizontal="center" vertical="top" wrapText="1"/>
    </xf>
    <xf numFmtId="0" fontId="47" fillId="0" borderId="66" xfId="2" applyFont="1" applyBorder="1" applyAlignment="1">
      <alignment horizontal="left" vertical="top" wrapText="1" indent="8"/>
    </xf>
    <xf numFmtId="0" fontId="47" fillId="0" borderId="66" xfId="2" applyFont="1" applyBorder="1" applyAlignment="1">
      <alignment horizontal="center" vertical="center" wrapText="1"/>
    </xf>
    <xf numFmtId="0" fontId="45" fillId="0" borderId="66" xfId="2" applyFont="1" applyBorder="1" applyAlignment="1">
      <alignment vertical="center" wrapText="1"/>
    </xf>
    <xf numFmtId="0" fontId="47" fillId="0" borderId="66" xfId="2" applyFont="1" applyBorder="1" applyAlignment="1">
      <alignment horizontal="left" vertical="top" wrapText="1" indent="16"/>
    </xf>
    <xf numFmtId="0" fontId="65" fillId="0" borderId="66" xfId="2" applyFont="1" applyBorder="1" applyAlignment="1">
      <alignment vertical="top" wrapText="1"/>
    </xf>
    <xf numFmtId="0" fontId="2" fillId="0" borderId="0" xfId="2" applyAlignment="1">
      <alignment horizontal="left" wrapText="1"/>
    </xf>
    <xf numFmtId="0" fontId="45" fillId="0" borderId="0" xfId="2" applyFont="1" applyAlignment="1">
      <alignment horizontal="right" vertical="top" wrapText="1" indent="4"/>
    </xf>
    <xf numFmtId="0" fontId="45" fillId="0" borderId="66" xfId="2" applyFont="1" applyBorder="1" applyAlignment="1">
      <alignment horizontal="center" vertical="center" wrapText="1"/>
    </xf>
    <xf numFmtId="0" fontId="50" fillId="0" borderId="0" xfId="2" applyFont="1" applyAlignment="1">
      <alignment horizontal="center" vertical="top" wrapText="1"/>
    </xf>
    <xf numFmtId="0" fontId="2" fillId="0" borderId="66" xfId="2" applyBorder="1" applyAlignment="1">
      <alignment horizontal="center" vertical="center" wrapText="1"/>
    </xf>
    <xf numFmtId="0" fontId="2" fillId="0" borderId="66" xfId="2" applyBorder="1" applyAlignment="1">
      <alignment horizontal="center" wrapText="1"/>
    </xf>
    <xf numFmtId="14" fontId="50" fillId="0" borderId="51" xfId="2" applyNumberFormat="1" applyFont="1" applyBorder="1" applyAlignment="1">
      <alignment horizontal="left" vertical="top"/>
    </xf>
    <xf numFmtId="14" fontId="50" fillId="0" borderId="0" xfId="2" applyNumberFormat="1" applyFont="1" applyAlignment="1">
      <alignment horizontal="center" vertical="top"/>
    </xf>
    <xf numFmtId="14" fontId="50" fillId="0" borderId="0" xfId="2" applyNumberFormat="1" applyFont="1" applyAlignment="1">
      <alignment vertical="top"/>
    </xf>
    <xf numFmtId="0" fontId="50" fillId="0" borderId="0" xfId="2" applyFont="1" applyAlignment="1">
      <alignment vertical="top"/>
    </xf>
    <xf numFmtId="0" fontId="61" fillId="0" borderId="0" xfId="2" applyFont="1" applyAlignment="1">
      <alignment horizontal="center" vertical="top" wrapText="1"/>
    </xf>
    <xf numFmtId="0" fontId="50" fillId="0" borderId="65" xfId="2" applyFont="1" applyBorder="1" applyAlignment="1">
      <alignment horizontal="left" vertical="top"/>
    </xf>
    <xf numFmtId="2" fontId="53" fillId="0" borderId="66" xfId="2" applyNumberFormat="1" applyFont="1" applyBorder="1" applyAlignment="1">
      <alignment horizontal="right" vertical="top" wrapText="1"/>
    </xf>
    <xf numFmtId="2" fontId="45" fillId="0" borderId="66" xfId="2" applyNumberFormat="1" applyFont="1" applyBorder="1" applyAlignment="1">
      <alignment horizontal="right" vertical="top" wrapText="1"/>
    </xf>
    <xf numFmtId="4" fontId="2" fillId="0" borderId="10" xfId="0" applyNumberFormat="1" applyFont="1" applyFill="1" applyBorder="1" applyAlignment="1" applyProtection="1">
      <alignment horizontal="right" vertical="center"/>
      <protection locked="0"/>
    </xf>
    <xf numFmtId="0" fontId="0" fillId="0" borderId="0" xfId="0"/>
    <xf numFmtId="0" fontId="13" fillId="25" borderId="0" xfId="0" applyFont="1" applyFill="1" applyAlignment="1">
      <alignment horizontal="left" vertical="top" wrapText="1"/>
    </xf>
    <xf numFmtId="0" fontId="13" fillId="25" borderId="0" xfId="0" applyFont="1" applyFill="1" applyAlignment="1">
      <alignment horizontal="left" vertical="top"/>
    </xf>
    <xf numFmtId="0" fontId="56" fillId="16" borderId="0" xfId="0" applyFont="1" applyFill="1" applyAlignment="1">
      <alignment horizontal="left" vertical="center"/>
    </xf>
    <xf numFmtId="0" fontId="42" fillId="16" borderId="0" xfId="0" applyFont="1" applyFill="1" applyAlignment="1">
      <alignment horizontal="center" vertical="center" wrapText="1"/>
    </xf>
    <xf numFmtId="0" fontId="56" fillId="24" borderId="0" xfId="0" applyFont="1" applyFill="1" applyAlignment="1">
      <alignment horizontal="left" vertical="center"/>
    </xf>
    <xf numFmtId="0" fontId="13" fillId="25" borderId="0" xfId="0" applyFont="1" applyFill="1" applyAlignment="1">
      <alignment vertical="top" wrapText="1"/>
    </xf>
    <xf numFmtId="0" fontId="55" fillId="16" borderId="64" xfId="0" applyFont="1" applyFill="1" applyBorder="1" applyAlignment="1">
      <alignment horizontal="center" vertical="center"/>
    </xf>
    <xf numFmtId="0" fontId="13" fillId="0" borderId="36" xfId="0" applyFont="1" applyBorder="1" applyAlignment="1">
      <alignment horizontal="center" vertical="center"/>
    </xf>
    <xf numFmtId="0" fontId="13" fillId="0" borderId="44" xfId="0" applyFont="1" applyBorder="1" applyAlignment="1">
      <alignment horizontal="center" vertical="center"/>
    </xf>
    <xf numFmtId="0" fontId="13" fillId="0" borderId="42" xfId="0" applyFont="1" applyBorder="1" applyAlignment="1">
      <alignment horizontal="center" vertical="center"/>
    </xf>
    <xf numFmtId="0" fontId="13" fillId="0" borderId="36" xfId="0" applyFont="1" applyBorder="1" applyAlignment="1">
      <alignment horizontal="center" vertical="center" wrapText="1"/>
    </xf>
    <xf numFmtId="0" fontId="13" fillId="0" borderId="44" xfId="0" applyFont="1" applyBorder="1" applyAlignment="1">
      <alignment horizontal="center" vertical="center" wrapText="1"/>
    </xf>
    <xf numFmtId="0" fontId="13" fillId="0" borderId="42" xfId="0" applyFont="1" applyBorder="1" applyAlignment="1">
      <alignment horizontal="center" vertical="center" wrapText="1"/>
    </xf>
    <xf numFmtId="0" fontId="13" fillId="0" borderId="64" xfId="0" applyFont="1" applyBorder="1" applyAlignment="1">
      <alignment horizontal="left" vertical="top" wrapText="1"/>
    </xf>
    <xf numFmtId="0" fontId="56" fillId="16" borderId="64" xfId="0" applyFont="1" applyFill="1" applyBorder="1" applyAlignment="1">
      <alignment horizontal="center" vertical="center"/>
    </xf>
    <xf numFmtId="0" fontId="13" fillId="0" borderId="64" xfId="0" applyFont="1" applyBorder="1" applyAlignment="1">
      <alignment horizontal="center" vertical="center" wrapText="1"/>
    </xf>
    <xf numFmtId="0" fontId="13" fillId="0" borderId="64" xfId="0" applyFont="1" applyBorder="1" applyAlignment="1">
      <alignment horizontal="left" vertical="top"/>
    </xf>
    <xf numFmtId="0" fontId="13" fillId="0" borderId="61" xfId="0" applyFont="1" applyBorder="1" applyAlignment="1">
      <alignment horizontal="left" vertical="top"/>
    </xf>
    <xf numFmtId="0" fontId="13" fillId="0" borderId="62" xfId="0" applyFont="1" applyBorder="1" applyAlignment="1">
      <alignment horizontal="left" vertical="top"/>
    </xf>
    <xf numFmtId="0" fontId="13" fillId="0" borderId="63" xfId="0" applyFont="1" applyBorder="1" applyAlignment="1">
      <alignment horizontal="left" vertical="top"/>
    </xf>
    <xf numFmtId="0" fontId="13" fillId="0" borderId="61" xfId="0" applyFont="1" applyBorder="1" applyAlignment="1">
      <alignment horizontal="left" vertical="top" wrapText="1"/>
    </xf>
    <xf numFmtId="0" fontId="13" fillId="0" borderId="62" xfId="0" applyFont="1" applyBorder="1" applyAlignment="1">
      <alignment horizontal="left" vertical="top" wrapText="1"/>
    </xf>
    <xf numFmtId="0" fontId="13" fillId="0" borderId="63" xfId="0" applyFont="1" applyBorder="1" applyAlignment="1">
      <alignment horizontal="left" vertical="top" wrapText="1"/>
    </xf>
    <xf numFmtId="0" fontId="1" fillId="11" borderId="0" xfId="0" applyFont="1" applyFill="1" applyAlignment="1">
      <alignment horizontal="left"/>
    </xf>
    <xf numFmtId="0" fontId="13" fillId="18" borderId="18" xfId="0" applyFont="1" applyFill="1" applyBorder="1" applyAlignment="1">
      <alignment horizontal="center" vertical="center" wrapText="1"/>
    </xf>
    <xf numFmtId="0" fontId="13" fillId="18" borderId="20" xfId="0" applyFont="1" applyFill="1" applyBorder="1" applyAlignment="1">
      <alignment horizontal="center" vertical="center" wrapText="1"/>
    </xf>
    <xf numFmtId="0" fontId="13" fillId="18" borderId="19" xfId="0" applyFont="1" applyFill="1" applyBorder="1" applyAlignment="1">
      <alignment horizontal="center" vertical="center" wrapText="1"/>
    </xf>
    <xf numFmtId="0" fontId="1" fillId="17" borderId="10" xfId="0" applyFont="1" applyFill="1" applyBorder="1" applyAlignment="1">
      <alignment horizontal="left" wrapText="1"/>
    </xf>
    <xf numFmtId="0" fontId="18" fillId="18" borderId="30" xfId="0" applyFont="1" applyFill="1" applyBorder="1" applyAlignment="1">
      <alignment horizontal="center" vertical="center" wrapText="1"/>
    </xf>
    <xf numFmtId="0" fontId="18" fillId="18" borderId="31" xfId="0" applyFont="1" applyFill="1" applyBorder="1" applyAlignment="1">
      <alignment horizontal="center" vertical="center" wrapText="1"/>
    </xf>
    <xf numFmtId="0" fontId="18" fillId="18" borderId="32" xfId="0" applyFont="1" applyFill="1" applyBorder="1" applyAlignment="1">
      <alignment horizontal="center" vertical="center" wrapText="1"/>
    </xf>
    <xf numFmtId="0" fontId="18" fillId="18" borderId="17" xfId="0" applyFont="1" applyFill="1" applyBorder="1" applyAlignment="1">
      <alignment horizontal="center" vertical="center" wrapText="1"/>
    </xf>
    <xf numFmtId="0" fontId="18" fillId="18" borderId="0" xfId="0" applyFont="1" applyFill="1" applyAlignment="1">
      <alignment horizontal="center" vertical="center" wrapText="1"/>
    </xf>
    <xf numFmtId="0" fontId="18" fillId="18" borderId="33" xfId="0" applyFont="1" applyFill="1" applyBorder="1" applyAlignment="1">
      <alignment horizontal="center" vertical="center" wrapText="1"/>
    </xf>
    <xf numFmtId="0" fontId="18" fillId="18" borderId="34" xfId="0" applyFont="1" applyFill="1" applyBorder="1" applyAlignment="1">
      <alignment horizontal="center" vertical="center" wrapText="1"/>
    </xf>
    <xf numFmtId="0" fontId="18" fillId="18" borderId="29" xfId="0" applyFont="1" applyFill="1" applyBorder="1" applyAlignment="1">
      <alignment horizontal="center" vertical="center" wrapText="1"/>
    </xf>
    <xf numFmtId="0" fontId="18" fillId="18" borderId="35" xfId="0" applyFont="1" applyFill="1" applyBorder="1" applyAlignment="1">
      <alignment horizontal="center" vertical="center" wrapText="1"/>
    </xf>
    <xf numFmtId="0" fontId="29" fillId="17" borderId="30" xfId="0" applyFont="1" applyFill="1" applyBorder="1" applyAlignment="1">
      <alignment horizontal="center" vertical="center"/>
    </xf>
    <xf numFmtId="0" fontId="30" fillId="17" borderId="31" xfId="0" applyFont="1" applyFill="1" applyBorder="1" applyAlignment="1">
      <alignment horizontal="center" vertical="center"/>
    </xf>
    <xf numFmtId="0" fontId="30" fillId="17" borderId="34" xfId="0" applyFont="1" applyFill="1" applyBorder="1" applyAlignment="1">
      <alignment horizontal="center" vertical="center"/>
    </xf>
    <xf numFmtId="0" fontId="30" fillId="17" borderId="29" xfId="0" applyFont="1" applyFill="1" applyBorder="1" applyAlignment="1">
      <alignment horizontal="center" vertical="center"/>
    </xf>
    <xf numFmtId="0" fontId="28" fillId="15" borderId="37" xfId="0" applyFont="1" applyFill="1" applyBorder="1" applyAlignment="1">
      <alignment horizontal="center"/>
    </xf>
    <xf numFmtId="0" fontId="28" fillId="15" borderId="31" xfId="0" applyFont="1" applyFill="1" applyBorder="1" applyAlignment="1">
      <alignment horizontal="center"/>
    </xf>
    <xf numFmtId="0" fontId="28" fillId="15" borderId="38" xfId="0" applyFont="1" applyFill="1" applyBorder="1" applyAlignment="1">
      <alignment horizontal="center"/>
    </xf>
    <xf numFmtId="0" fontId="27" fillId="11" borderId="31" xfId="0" applyFont="1" applyFill="1" applyBorder="1" applyAlignment="1">
      <alignment horizontal="center" vertical="center"/>
    </xf>
    <xf numFmtId="0" fontId="31" fillId="11" borderId="31" xfId="0" applyFont="1" applyFill="1" applyBorder="1" applyAlignment="1">
      <alignment horizontal="center" vertical="center"/>
    </xf>
    <xf numFmtId="0" fontId="31" fillId="11" borderId="0" xfId="0" applyFont="1" applyFill="1" applyAlignment="1">
      <alignment horizontal="center" vertical="center"/>
    </xf>
    <xf numFmtId="0" fontId="2" fillId="5" borderId="19" xfId="0" applyFont="1" applyFill="1" applyBorder="1" applyAlignment="1">
      <alignment horizontal="center" vertical="center" wrapText="1"/>
    </xf>
    <xf numFmtId="0" fontId="2" fillId="5" borderId="52" xfId="0" applyFont="1" applyFill="1" applyBorder="1" applyAlignment="1">
      <alignment horizontal="center" vertical="center" wrapText="1"/>
    </xf>
    <xf numFmtId="0" fontId="1" fillId="17" borderId="10" xfId="0" applyFont="1" applyFill="1" applyBorder="1" applyAlignment="1">
      <alignment horizontal="left"/>
    </xf>
    <xf numFmtId="0" fontId="2" fillId="15" borderId="18" xfId="0" applyFont="1" applyFill="1" applyBorder="1" applyAlignment="1">
      <alignment vertical="center" wrapText="1"/>
    </xf>
    <xf numFmtId="0" fontId="2" fillId="15" borderId="20" xfId="0" applyFont="1" applyFill="1" applyBorder="1" applyAlignment="1">
      <alignment vertical="center" wrapText="1"/>
    </xf>
    <xf numFmtId="0" fontId="2" fillId="15" borderId="19" xfId="0" applyFont="1" applyFill="1" applyBorder="1" applyAlignment="1">
      <alignment vertical="center" wrapText="1"/>
    </xf>
    <xf numFmtId="0" fontId="4" fillId="15" borderId="18" xfId="0" applyFont="1" applyFill="1" applyBorder="1" applyAlignment="1">
      <alignment horizontal="left" wrapText="1"/>
    </xf>
    <xf numFmtId="0" fontId="4" fillId="15" borderId="20" xfId="0" applyFont="1" applyFill="1" applyBorder="1" applyAlignment="1">
      <alignment horizontal="left" wrapText="1"/>
    </xf>
    <xf numFmtId="0" fontId="4" fillId="15" borderId="19" xfId="0" applyFont="1" applyFill="1" applyBorder="1" applyAlignment="1">
      <alignment horizontal="left" wrapText="1"/>
    </xf>
    <xf numFmtId="49" fontId="11" fillId="16" borderId="0" xfId="0" applyNumberFormat="1" applyFont="1" applyFill="1" applyAlignment="1">
      <alignment horizontal="left" vertical="center" readingOrder="1"/>
    </xf>
    <xf numFmtId="0" fontId="2" fillId="21" borderId="10" xfId="0" applyFont="1" applyFill="1" applyBorder="1" applyAlignment="1">
      <alignment vertical="center" wrapText="1"/>
    </xf>
    <xf numFmtId="4" fontId="5" fillId="0" borderId="10" xfId="0" applyNumberFormat="1" applyFont="1" applyFill="1" applyBorder="1" applyAlignment="1" applyProtection="1">
      <alignment horizontal="right" vertical="center"/>
      <protection locked="0"/>
    </xf>
    <xf numFmtId="4" fontId="5" fillId="0" borderId="18" xfId="0" applyNumberFormat="1" applyFont="1" applyBorder="1" applyAlignment="1" applyProtection="1">
      <alignment horizontal="right" vertical="center"/>
      <protection locked="0"/>
    </xf>
    <xf numFmtId="0" fontId="19" fillId="18" borderId="0" xfId="0" applyFont="1" applyFill="1" applyAlignment="1">
      <alignment horizontal="center" vertical="center" wrapText="1"/>
    </xf>
    <xf numFmtId="0" fontId="23" fillId="13" borderId="13" xfId="0" applyFont="1" applyFill="1" applyBorder="1" applyAlignment="1">
      <alignment horizontal="center"/>
    </xf>
    <xf numFmtId="0" fontId="7" fillId="13" borderId="13" xfId="0" applyFont="1" applyFill="1" applyBorder="1" applyAlignment="1">
      <alignment horizontal="center"/>
    </xf>
    <xf numFmtId="0" fontId="7" fillId="13" borderId="26" xfId="0" applyFont="1" applyFill="1" applyBorder="1" applyAlignment="1">
      <alignment horizontal="center"/>
    </xf>
    <xf numFmtId="0" fontId="2" fillId="5" borderId="10" xfId="0" applyFont="1" applyFill="1" applyBorder="1" applyAlignment="1">
      <alignment vertical="center" wrapText="1"/>
    </xf>
    <xf numFmtId="4" fontId="2" fillId="0" borderId="10" xfId="0" applyNumberFormat="1" applyFont="1" applyFill="1" applyBorder="1" applyAlignment="1" applyProtection="1">
      <alignment horizontal="right" vertical="center"/>
      <protection locked="0"/>
    </xf>
    <xf numFmtId="4" fontId="2" fillId="0" borderId="18" xfId="0" applyNumberFormat="1" applyFont="1" applyBorder="1" applyAlignment="1" applyProtection="1">
      <alignment horizontal="right" vertical="center"/>
      <protection locked="0"/>
    </xf>
    <xf numFmtId="4" fontId="2" fillId="0" borderId="18" xfId="0" applyNumberFormat="1" applyFont="1" applyFill="1" applyBorder="1" applyAlignment="1" applyProtection="1">
      <alignment horizontal="right" vertical="center"/>
      <protection locked="0"/>
    </xf>
    <xf numFmtId="4" fontId="2" fillId="0" borderId="20" xfId="0" applyNumberFormat="1" applyFont="1" applyBorder="1" applyAlignment="1" applyProtection="1">
      <alignment horizontal="right" vertical="center"/>
      <protection locked="0"/>
    </xf>
    <xf numFmtId="0" fontId="5" fillId="19" borderId="40" xfId="0" applyFont="1" applyFill="1" applyBorder="1" applyAlignment="1">
      <alignment vertical="center" wrapText="1"/>
    </xf>
    <xf numFmtId="4" fontId="5" fillId="28" borderId="40" xfId="0" applyNumberFormat="1" applyFont="1" applyFill="1" applyBorder="1" applyAlignment="1">
      <alignment horizontal="right" vertical="center"/>
    </xf>
    <xf numFmtId="4" fontId="5" fillId="15" borderId="24" xfId="0" applyNumberFormat="1" applyFont="1" applyFill="1" applyBorder="1" applyAlignment="1">
      <alignment horizontal="right" vertical="center"/>
    </xf>
    <xf numFmtId="4" fontId="5" fillId="28" borderId="10" xfId="0" applyNumberFormat="1" applyFont="1" applyFill="1" applyBorder="1" applyAlignment="1">
      <alignment horizontal="right" vertical="center"/>
    </xf>
    <xf numFmtId="4" fontId="5" fillId="15" borderId="18" xfId="0" applyNumberFormat="1" applyFont="1" applyFill="1" applyBorder="1" applyAlignment="1">
      <alignment horizontal="right" vertical="center"/>
    </xf>
    <xf numFmtId="0" fontId="4" fillId="15" borderId="18" xfId="0" applyFont="1" applyFill="1" applyBorder="1" applyAlignment="1">
      <alignment horizontal="left"/>
    </xf>
    <xf numFmtId="0" fontId="4" fillId="15" borderId="20" xfId="0" applyFont="1" applyFill="1" applyBorder="1" applyAlignment="1">
      <alignment horizontal="left"/>
    </xf>
    <xf numFmtId="0" fontId="4" fillId="15" borderId="19" xfId="0" applyFont="1" applyFill="1" applyBorder="1" applyAlignment="1">
      <alignment horizontal="left"/>
    </xf>
    <xf numFmtId="0" fontId="4" fillId="15" borderId="18" xfId="0" applyFont="1" applyFill="1" applyBorder="1" applyAlignment="1">
      <alignment vertical="center" wrapText="1"/>
    </xf>
    <xf numFmtId="0" fontId="4" fillId="15" borderId="20" xfId="0" applyFont="1" applyFill="1" applyBorder="1" applyAlignment="1">
      <alignment vertical="center" wrapText="1"/>
    </xf>
    <xf numFmtId="0" fontId="4" fillId="15" borderId="19" xfId="0" applyFont="1" applyFill="1" applyBorder="1" applyAlignment="1">
      <alignment vertical="center" wrapText="1"/>
    </xf>
    <xf numFmtId="0" fontId="2" fillId="5" borderId="10" xfId="0" applyFont="1" applyFill="1" applyBorder="1" applyAlignment="1">
      <alignment horizontal="center" vertical="center" wrapText="1"/>
    </xf>
    <xf numFmtId="0" fontId="23" fillId="13" borderId="10" xfId="0" applyFont="1" applyFill="1" applyBorder="1" applyAlignment="1">
      <alignment horizontal="center" vertical="center"/>
    </xf>
    <xf numFmtId="0" fontId="7" fillId="13" borderId="10" xfId="0" applyFont="1" applyFill="1" applyBorder="1" applyAlignment="1">
      <alignment horizontal="center" vertical="center"/>
    </xf>
    <xf numFmtId="0" fontId="7" fillId="13" borderId="18" xfId="0" applyFont="1" applyFill="1" applyBorder="1" applyAlignment="1">
      <alignment horizontal="center" vertical="center"/>
    </xf>
    <xf numFmtId="4" fontId="2" fillId="27" borderId="10" xfId="0" applyNumberFormat="1" applyFont="1" applyFill="1" applyBorder="1" applyAlignment="1" applyProtection="1">
      <alignment horizontal="right" vertical="center"/>
      <protection locked="0"/>
    </xf>
    <xf numFmtId="0" fontId="4" fillId="15" borderId="18" xfId="0" applyFont="1" applyFill="1" applyBorder="1" applyAlignment="1">
      <alignment wrapText="1"/>
    </xf>
    <xf numFmtId="0" fontId="4" fillId="15" borderId="20" xfId="0" applyFont="1" applyFill="1" applyBorder="1" applyAlignment="1">
      <alignment wrapText="1"/>
    </xf>
    <xf numFmtId="0" fontId="4" fillId="15" borderId="19" xfId="0" applyFont="1" applyFill="1" applyBorder="1" applyAlignment="1">
      <alignment wrapText="1"/>
    </xf>
    <xf numFmtId="49" fontId="11" fillId="16" borderId="70" xfId="0" applyNumberFormat="1" applyFont="1" applyFill="1" applyBorder="1" applyAlignment="1">
      <alignment horizontal="left" vertical="center" readingOrder="1"/>
    </xf>
    <xf numFmtId="0" fontId="19" fillId="18" borderId="23" xfId="0" applyFont="1" applyFill="1" applyBorder="1" applyAlignment="1">
      <alignment horizontal="center" vertical="center" wrapText="1"/>
    </xf>
    <xf numFmtId="0" fontId="23" fillId="6" borderId="70" xfId="0" applyFont="1" applyFill="1" applyBorder="1" applyAlignment="1">
      <alignment horizontal="center" vertical="center" wrapText="1"/>
    </xf>
    <xf numFmtId="49" fontId="2" fillId="0" borderId="74" xfId="0" applyNumberFormat="1" applyFont="1" applyFill="1" applyBorder="1" applyAlignment="1" applyProtection="1">
      <alignment horizontal="left" vertical="top" wrapText="1"/>
      <protection locked="0"/>
    </xf>
    <xf numFmtId="49" fontId="2" fillId="0" borderId="75" xfId="0" applyNumberFormat="1" applyFont="1" applyFill="1" applyBorder="1" applyAlignment="1" applyProtection="1">
      <alignment horizontal="left" vertical="top" wrapText="1"/>
      <protection locked="0"/>
    </xf>
    <xf numFmtId="49" fontId="2" fillId="0" borderId="76" xfId="0" applyNumberFormat="1" applyFont="1" applyFill="1" applyBorder="1" applyAlignment="1" applyProtection="1">
      <alignment horizontal="left" vertical="top" wrapText="1"/>
      <protection locked="0"/>
    </xf>
    <xf numFmtId="49" fontId="2" fillId="0" borderId="77" xfId="0" applyNumberFormat="1" applyFont="1" applyFill="1" applyBorder="1" applyAlignment="1" applyProtection="1">
      <alignment horizontal="left" vertical="top" wrapText="1"/>
      <protection locked="0"/>
    </xf>
    <xf numFmtId="0" fontId="2" fillId="21" borderId="18" xfId="0" applyFont="1" applyFill="1" applyBorder="1" applyAlignment="1">
      <alignment vertical="center" wrapText="1"/>
    </xf>
    <xf numFmtId="0" fontId="2" fillId="21" borderId="20" xfId="0" applyFont="1" applyFill="1" applyBorder="1" applyAlignment="1">
      <alignment vertical="center" wrapText="1"/>
    </xf>
    <xf numFmtId="0" fontId="2" fillId="21" borderId="19" xfId="0" applyFont="1" applyFill="1" applyBorder="1" applyAlignment="1">
      <alignment vertical="center" wrapText="1"/>
    </xf>
    <xf numFmtId="4" fontId="5" fillId="0" borderId="18" xfId="0" applyNumberFormat="1" applyFont="1" applyFill="1" applyBorder="1" applyAlignment="1" applyProtection="1">
      <alignment horizontal="right" vertical="center"/>
      <protection locked="0"/>
    </xf>
    <xf numFmtId="4" fontId="5" fillId="0" borderId="25" xfId="0" applyNumberFormat="1" applyFont="1" applyBorder="1" applyAlignment="1" applyProtection="1">
      <alignment horizontal="right" vertical="center"/>
      <protection locked="0"/>
    </xf>
    <xf numFmtId="0" fontId="5" fillId="19" borderId="24" xfId="0" applyFont="1" applyFill="1" applyBorder="1" applyAlignment="1">
      <alignment vertical="center" wrapText="1"/>
    </xf>
    <xf numFmtId="0" fontId="5" fillId="19" borderId="46" xfId="0" applyFont="1" applyFill="1" applyBorder="1" applyAlignment="1">
      <alignment vertical="center" wrapText="1"/>
    </xf>
    <xf numFmtId="0" fontId="5" fillId="19" borderId="43" xfId="0" applyFont="1" applyFill="1" applyBorder="1" applyAlignment="1">
      <alignment vertical="center" wrapText="1"/>
    </xf>
    <xf numFmtId="4" fontId="5" fillId="28" borderId="24" xfId="0" applyNumberFormat="1" applyFont="1" applyFill="1" applyBorder="1" applyAlignment="1">
      <alignment horizontal="right" vertical="center"/>
    </xf>
    <xf numFmtId="4" fontId="5" fillId="0" borderId="45" xfId="0" applyNumberFormat="1" applyFont="1" applyBorder="1" applyAlignment="1">
      <alignment horizontal="right" vertical="center"/>
    </xf>
    <xf numFmtId="0" fontId="2" fillId="5" borderId="18" xfId="0" applyFont="1" applyFill="1" applyBorder="1" applyAlignment="1">
      <alignment vertical="center" wrapText="1"/>
    </xf>
    <xf numFmtId="0" fontId="2" fillId="5" borderId="20" xfId="0" applyFont="1" applyFill="1" applyBorder="1" applyAlignment="1">
      <alignment vertical="center" wrapText="1"/>
    </xf>
    <xf numFmtId="0" fontId="2" fillId="5" borderId="19" xfId="0" applyFont="1" applyFill="1" applyBorder="1" applyAlignment="1">
      <alignment vertical="center" wrapText="1"/>
    </xf>
    <xf numFmtId="4" fontId="5" fillId="28" borderId="18" xfId="0" applyNumberFormat="1" applyFont="1" applyFill="1" applyBorder="1" applyAlignment="1">
      <alignment horizontal="right" vertical="center"/>
    </xf>
    <xf numFmtId="4" fontId="5" fillId="0" borderId="25" xfId="0" applyNumberFormat="1" applyFont="1" applyBorder="1" applyAlignment="1">
      <alignment horizontal="right" vertical="center"/>
    </xf>
    <xf numFmtId="0" fontId="23" fillId="6" borderId="26" xfId="0" applyFont="1" applyFill="1" applyBorder="1" applyAlignment="1">
      <alignment horizontal="center" vertical="center" wrapText="1"/>
    </xf>
    <xf numFmtId="0" fontId="23" fillId="6" borderId="27" xfId="0" applyFont="1" applyFill="1" applyBorder="1" applyAlignment="1">
      <alignment horizontal="center" vertical="center" wrapText="1"/>
    </xf>
    <xf numFmtId="0" fontId="23" fillId="6" borderId="28" xfId="0" applyFont="1" applyFill="1" applyBorder="1" applyAlignment="1">
      <alignment horizontal="center" vertical="center" wrapText="1"/>
    </xf>
    <xf numFmtId="4" fontId="5" fillId="15" borderId="25" xfId="0" applyNumberFormat="1" applyFont="1" applyFill="1" applyBorder="1" applyAlignment="1">
      <alignment horizontal="right" vertical="center"/>
    </xf>
    <xf numFmtId="0" fontId="23" fillId="6" borderId="18" xfId="0" applyFont="1" applyFill="1" applyBorder="1" applyAlignment="1">
      <alignment horizontal="center" vertical="center" wrapText="1"/>
    </xf>
    <xf numFmtId="0" fontId="23" fillId="6" borderId="20" xfId="0" applyFont="1" applyFill="1" applyBorder="1" applyAlignment="1">
      <alignment horizontal="center" vertical="center" wrapText="1"/>
    </xf>
    <xf numFmtId="0" fontId="23" fillId="6" borderId="19" xfId="0" applyFont="1" applyFill="1" applyBorder="1" applyAlignment="1">
      <alignment horizontal="center" vertical="center" wrapText="1"/>
    </xf>
    <xf numFmtId="0" fontId="23" fillId="6" borderId="25" xfId="0" applyFont="1" applyFill="1" applyBorder="1" applyAlignment="1">
      <alignment horizontal="center" vertical="center" wrapText="1"/>
    </xf>
    <xf numFmtId="0" fontId="0" fillId="0" borderId="36" xfId="0" applyBorder="1" applyAlignment="1">
      <alignment horizontal="left" vertical="top" wrapText="1"/>
    </xf>
    <xf numFmtId="0" fontId="0" fillId="0" borderId="44" xfId="0" applyBorder="1" applyAlignment="1">
      <alignment horizontal="left" vertical="top" wrapText="1"/>
    </xf>
    <xf numFmtId="0" fontId="0" fillId="0" borderId="42" xfId="0" applyBorder="1" applyAlignment="1">
      <alignment horizontal="left" vertical="top" wrapText="1"/>
    </xf>
    <xf numFmtId="4" fontId="2" fillId="28" borderId="10" xfId="0" applyNumberFormat="1" applyFont="1" applyFill="1" applyBorder="1" applyAlignment="1">
      <alignment horizontal="right" vertical="center"/>
    </xf>
    <xf numFmtId="164" fontId="4" fillId="22" borderId="18" xfId="0" applyNumberFormat="1" applyFont="1" applyFill="1" applyBorder="1" applyAlignment="1">
      <alignment horizontal="center" vertical="center"/>
    </xf>
    <xf numFmtId="164" fontId="4" fillId="22" borderId="19" xfId="0" applyNumberFormat="1" applyFont="1" applyFill="1" applyBorder="1" applyAlignment="1">
      <alignment horizontal="center" vertical="center"/>
    </xf>
    <xf numFmtId="164" fontId="7" fillId="22" borderId="18" xfId="0" applyNumberFormat="1" applyFont="1" applyFill="1" applyBorder="1" applyAlignment="1">
      <alignment horizontal="center" vertical="center"/>
    </xf>
    <xf numFmtId="164" fontId="7" fillId="22" borderId="19" xfId="0" applyNumberFormat="1" applyFont="1" applyFill="1" applyBorder="1" applyAlignment="1">
      <alignment horizontal="center" vertical="center"/>
    </xf>
    <xf numFmtId="0" fontId="6" fillId="9" borderId="10" xfId="0" applyFont="1" applyFill="1" applyBorder="1" applyAlignment="1">
      <alignment horizontal="center" vertical="center"/>
    </xf>
    <xf numFmtId="4" fontId="2" fillId="0" borderId="10" xfId="0" applyNumberFormat="1" applyFont="1" applyBorder="1" applyAlignment="1" applyProtection="1">
      <alignment horizontal="right" vertical="center"/>
      <protection locked="0"/>
    </xf>
    <xf numFmtId="0" fontId="21" fillId="18" borderId="0" xfId="0" applyFont="1" applyFill="1" applyAlignment="1">
      <alignment horizontal="center" vertical="center" wrapText="1"/>
    </xf>
    <xf numFmtId="0" fontId="23" fillId="6" borderId="10"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5" fillId="8" borderId="10" xfId="0" applyFont="1" applyFill="1" applyBorder="1" applyAlignment="1">
      <alignment horizontal="center" vertical="center" wrapText="1"/>
    </xf>
    <xf numFmtId="0" fontId="2" fillId="5" borderId="36" xfId="0" applyFont="1" applyFill="1" applyBorder="1" applyAlignment="1">
      <alignment horizontal="center" vertical="center" wrapText="1"/>
    </xf>
    <xf numFmtId="0" fontId="2" fillId="5" borderId="44" xfId="0" applyFont="1" applyFill="1" applyBorder="1" applyAlignment="1">
      <alignment horizontal="center" vertical="center" wrapText="1"/>
    </xf>
    <xf numFmtId="0" fontId="2" fillId="5" borderId="42" xfId="0" applyFont="1" applyFill="1" applyBorder="1" applyAlignment="1">
      <alignment horizontal="center" vertical="center" wrapText="1"/>
    </xf>
    <xf numFmtId="0" fontId="5" fillId="4" borderId="36" xfId="0" applyFont="1" applyFill="1" applyBorder="1" applyAlignment="1">
      <alignment horizontal="center" vertical="center"/>
    </xf>
    <xf numFmtId="0" fontId="5" fillId="4" borderId="42" xfId="0" applyFont="1" applyFill="1" applyBorder="1" applyAlignment="1">
      <alignment horizontal="center" vertical="center"/>
    </xf>
    <xf numFmtId="0" fontId="7" fillId="6" borderId="10" xfId="0" applyFont="1" applyFill="1" applyBorder="1" applyAlignment="1">
      <alignment horizontal="center" vertical="center" wrapText="1"/>
    </xf>
    <xf numFmtId="49" fontId="2" fillId="0" borderId="73" xfId="0" applyNumberFormat="1" applyFont="1" applyFill="1" applyBorder="1" applyAlignment="1" applyProtection="1">
      <alignment horizontal="left" vertical="top" wrapText="1"/>
      <protection locked="0"/>
    </xf>
    <xf numFmtId="0" fontId="21" fillId="18" borderId="23" xfId="0" applyFont="1" applyFill="1" applyBorder="1" applyAlignment="1">
      <alignment horizontal="center" vertical="center" wrapText="1"/>
    </xf>
    <xf numFmtId="4" fontId="2" fillId="0" borderId="24" xfId="0" applyNumberFormat="1" applyFont="1" applyFill="1" applyBorder="1" applyAlignment="1" applyProtection="1">
      <alignment horizontal="right" vertical="center"/>
      <protection locked="0"/>
    </xf>
    <xf numFmtId="4" fontId="2" fillId="0" borderId="43" xfId="0" applyNumberFormat="1" applyFont="1" applyFill="1" applyBorder="1" applyAlignment="1" applyProtection="1">
      <alignment horizontal="right" vertical="center"/>
      <protection locked="0"/>
    </xf>
    <xf numFmtId="0" fontId="6" fillId="14" borderId="40" xfId="0" applyFont="1" applyFill="1" applyBorder="1" applyAlignment="1">
      <alignment horizontal="center" vertical="center"/>
    </xf>
    <xf numFmtId="0" fontId="5" fillId="4" borderId="15" xfId="0" applyFont="1" applyFill="1" applyBorder="1" applyAlignment="1">
      <alignment horizontal="center" vertical="center"/>
    </xf>
    <xf numFmtId="0" fontId="6" fillId="14" borderId="18" xfId="0" applyFont="1" applyFill="1" applyBorder="1" applyAlignment="1">
      <alignment horizontal="center" vertical="center"/>
    </xf>
    <xf numFmtId="0" fontId="6" fillId="14" borderId="19" xfId="0" applyFont="1" applyFill="1" applyBorder="1" applyAlignment="1">
      <alignment horizontal="center" vertical="center"/>
    </xf>
    <xf numFmtId="4" fontId="2" fillId="0" borderId="19" xfId="0" applyNumberFormat="1" applyFont="1" applyFill="1" applyBorder="1" applyAlignment="1" applyProtection="1">
      <alignment horizontal="right" vertical="center"/>
      <protection locked="0"/>
    </xf>
    <xf numFmtId="0" fontId="7" fillId="8" borderId="10" xfId="0" applyFont="1" applyFill="1" applyBorder="1" applyAlignment="1">
      <alignment horizontal="center" vertical="center" wrapText="1"/>
    </xf>
    <xf numFmtId="0" fontId="7" fillId="0" borderId="10" xfId="0" applyFont="1" applyBorder="1" applyAlignment="1">
      <alignment horizontal="center" vertical="center" wrapText="1"/>
    </xf>
    <xf numFmtId="0" fontId="23" fillId="6" borderId="13" xfId="0" applyFont="1" applyFill="1" applyBorder="1" applyAlignment="1">
      <alignment horizontal="center" vertical="center" wrapText="1"/>
    </xf>
    <xf numFmtId="0" fontId="23" fillId="6" borderId="14" xfId="0" applyFont="1" applyFill="1" applyBorder="1" applyAlignment="1">
      <alignment horizontal="center" vertical="center" wrapText="1"/>
    </xf>
    <xf numFmtId="0" fontId="5" fillId="7" borderId="39" xfId="0" applyFont="1" applyFill="1" applyBorder="1" applyAlignment="1">
      <alignment horizontal="center" vertical="center" wrapText="1"/>
    </xf>
    <xf numFmtId="0" fontId="7" fillId="19" borderId="40" xfId="0" applyFont="1" applyFill="1" applyBorder="1" applyAlignment="1">
      <alignment horizontal="left" vertical="center"/>
    </xf>
    <xf numFmtId="4" fontId="7" fillId="28" borderId="40" xfId="0" applyNumberFormat="1" applyFont="1" applyFill="1" applyBorder="1" applyAlignment="1">
      <alignment horizontal="right" vertical="center"/>
    </xf>
    <xf numFmtId="4" fontId="7" fillId="15" borderId="41" xfId="0" applyNumberFormat="1" applyFont="1" applyFill="1" applyBorder="1" applyAlignment="1">
      <alignment horizontal="right" vertical="center"/>
    </xf>
    <xf numFmtId="0" fontId="4" fillId="2" borderId="10" xfId="0" applyFont="1" applyFill="1" applyBorder="1" applyAlignment="1">
      <alignment horizontal="left" vertical="center" wrapText="1"/>
    </xf>
    <xf numFmtId="4" fontId="2" fillId="0" borderId="39" xfId="0" applyNumberFormat="1" applyFont="1" applyBorder="1" applyAlignment="1" applyProtection="1">
      <alignment horizontal="right" vertical="center"/>
      <protection locked="0"/>
    </xf>
    <xf numFmtId="4" fontId="2" fillId="0" borderId="10" xfId="0" applyNumberFormat="1" applyFont="1" applyFill="1" applyBorder="1" applyAlignment="1">
      <alignment horizontal="right" vertical="center"/>
    </xf>
    <xf numFmtId="4" fontId="2" fillId="15" borderId="39" xfId="0" applyNumberFormat="1" applyFont="1" applyFill="1" applyBorder="1" applyAlignment="1">
      <alignment horizontal="right" vertical="center"/>
    </xf>
    <xf numFmtId="0" fontId="4" fillId="21" borderId="10" xfId="0" applyFont="1" applyFill="1" applyBorder="1" applyAlignment="1">
      <alignment horizontal="left" vertical="center" wrapText="1"/>
    </xf>
    <xf numFmtId="0" fontId="23" fillId="13" borderId="10" xfId="0" applyFont="1" applyFill="1" applyBorder="1" applyAlignment="1">
      <alignment horizontal="center" vertical="center" wrapText="1"/>
    </xf>
    <xf numFmtId="0" fontId="23" fillId="13" borderId="13" xfId="0" applyFont="1" applyFill="1" applyBorder="1" applyAlignment="1">
      <alignment horizontal="center" vertical="center" wrapText="1"/>
    </xf>
    <xf numFmtId="0" fontId="7" fillId="13" borderId="13" xfId="0" applyFont="1" applyFill="1" applyBorder="1" applyAlignment="1">
      <alignment horizontal="center" vertical="center" wrapText="1"/>
    </xf>
    <xf numFmtId="0" fontId="7" fillId="13" borderId="14" xfId="0" applyFont="1" applyFill="1" applyBorder="1" applyAlignment="1">
      <alignment horizontal="center" vertical="center" wrapText="1"/>
    </xf>
    <xf numFmtId="0" fontId="7" fillId="13" borderId="10" xfId="0" applyFont="1" applyFill="1" applyBorder="1" applyAlignment="1">
      <alignment horizontal="center" vertical="center" wrapText="1"/>
    </xf>
    <xf numFmtId="0" fontId="7" fillId="13" borderId="39" xfId="0" applyFont="1" applyFill="1" applyBorder="1" applyAlignment="1">
      <alignment horizontal="center" vertical="center" wrapText="1"/>
    </xf>
    <xf numFmtId="0" fontId="4" fillId="2" borderId="18" xfId="0" applyFont="1" applyFill="1" applyBorder="1" applyAlignment="1">
      <alignment horizontal="left" vertical="center" wrapText="1"/>
    </xf>
    <xf numFmtId="0" fontId="4" fillId="2" borderId="20" xfId="0" applyFont="1" applyFill="1" applyBorder="1" applyAlignment="1">
      <alignment horizontal="left" vertical="center" wrapText="1"/>
    </xf>
    <xf numFmtId="0" fontId="4" fillId="2" borderId="19" xfId="0" applyFont="1" applyFill="1" applyBorder="1" applyAlignment="1">
      <alignment horizontal="left" vertical="center" wrapText="1"/>
    </xf>
    <xf numFmtId="0" fontId="4" fillId="2" borderId="10" xfId="0" applyFont="1" applyFill="1" applyBorder="1" applyAlignment="1">
      <alignment vertical="center" wrapText="1"/>
    </xf>
    <xf numFmtId="4" fontId="2" fillId="0" borderId="10" xfId="0" applyNumberFormat="1" applyFont="1" applyFill="1" applyBorder="1" applyAlignment="1" applyProtection="1">
      <alignment vertical="center" wrapText="1"/>
      <protection locked="0"/>
    </xf>
    <xf numFmtId="4" fontId="2" fillId="0" borderId="10" xfId="0" applyNumberFormat="1" applyFont="1" applyBorder="1" applyAlignment="1" applyProtection="1">
      <alignment vertical="center" wrapText="1"/>
      <protection locked="0"/>
    </xf>
    <xf numFmtId="4" fontId="7" fillId="28" borderId="54" xfId="0" applyNumberFormat="1" applyFont="1" applyFill="1" applyBorder="1" applyAlignment="1">
      <alignment horizontal="right" vertical="center"/>
    </xf>
    <xf numFmtId="4" fontId="7" fillId="15" borderId="54" xfId="0" applyNumberFormat="1" applyFont="1" applyFill="1" applyBorder="1" applyAlignment="1">
      <alignment horizontal="right" vertical="center"/>
    </xf>
    <xf numFmtId="0" fontId="4" fillId="21" borderId="18" xfId="0" applyFont="1" applyFill="1" applyBorder="1" applyAlignment="1">
      <alignment horizontal="left" vertical="center" wrapText="1"/>
    </xf>
    <xf numFmtId="0" fontId="4" fillId="21" borderId="19" xfId="0" applyFont="1" applyFill="1" applyBorder="1" applyAlignment="1">
      <alignment horizontal="left" vertical="center" wrapText="1"/>
    </xf>
    <xf numFmtId="0" fontId="7" fillId="19" borderId="54" xfId="0" applyFont="1" applyFill="1" applyBorder="1" applyAlignment="1">
      <alignment horizontal="left" vertical="center"/>
    </xf>
    <xf numFmtId="4" fontId="2" fillId="0" borderId="19" xfId="0" applyNumberFormat="1" applyFont="1" applyBorder="1" applyAlignment="1" applyProtection="1">
      <alignment horizontal="right" vertical="center"/>
      <protection locked="0"/>
    </xf>
    <xf numFmtId="0" fontId="4" fillId="2" borderId="57" xfId="0" applyFont="1" applyFill="1" applyBorder="1" applyAlignment="1">
      <alignment horizontal="left" vertical="center" wrapText="1"/>
    </xf>
    <xf numFmtId="164" fontId="4" fillId="22" borderId="56" xfId="0" applyNumberFormat="1" applyFont="1" applyFill="1" applyBorder="1" applyAlignment="1">
      <alignment horizontal="center" vertical="center" wrapText="1"/>
    </xf>
    <xf numFmtId="164" fontId="4" fillId="22" borderId="19" xfId="0" applyNumberFormat="1" applyFont="1" applyFill="1" applyBorder="1" applyAlignment="1">
      <alignment horizontal="center" vertical="center" wrapText="1"/>
    </xf>
    <xf numFmtId="164" fontId="4" fillId="22" borderId="18" xfId="0" applyNumberFormat="1" applyFont="1" applyFill="1" applyBorder="1" applyAlignment="1">
      <alignment horizontal="center" vertical="center" wrapText="1"/>
    </xf>
    <xf numFmtId="4" fontId="2" fillId="28" borderId="18" xfId="0" applyNumberFormat="1" applyFont="1" applyFill="1" applyBorder="1" applyAlignment="1">
      <alignment horizontal="right" vertical="center"/>
    </xf>
    <xf numFmtId="4" fontId="2" fillId="15" borderId="19" xfId="0" applyNumberFormat="1" applyFont="1" applyFill="1" applyBorder="1" applyAlignment="1">
      <alignment horizontal="right" vertical="center"/>
    </xf>
    <xf numFmtId="0" fontId="4" fillId="2" borderId="73" xfId="0" applyFont="1" applyFill="1" applyBorder="1" applyAlignment="1">
      <alignment vertical="center" wrapText="1"/>
    </xf>
    <xf numFmtId="4" fontId="4" fillId="0" borderId="73" xfId="0" applyNumberFormat="1" applyFont="1" applyFill="1" applyBorder="1" applyAlignment="1" applyProtection="1">
      <alignment vertical="center" wrapText="1"/>
      <protection locked="0"/>
    </xf>
    <xf numFmtId="0" fontId="2" fillId="2" borderId="10" xfId="0" applyFont="1" applyFill="1" applyBorder="1" applyAlignment="1">
      <alignment vertical="center" wrapText="1"/>
    </xf>
    <xf numFmtId="0" fontId="5" fillId="0" borderId="10" xfId="0" applyFont="1" applyBorder="1" applyAlignment="1">
      <alignment horizontal="center" vertical="center"/>
    </xf>
    <xf numFmtId="0" fontId="5" fillId="0" borderId="18" xfId="0" applyFont="1" applyBorder="1" applyAlignment="1">
      <alignment horizontal="center" vertical="center"/>
    </xf>
    <xf numFmtId="4" fontId="2" fillId="0" borderId="10" xfId="0" applyNumberFormat="1" applyFont="1" applyFill="1" applyBorder="1" applyAlignment="1" applyProtection="1">
      <alignment horizontal="right" vertical="center" wrapText="1"/>
      <protection locked="0"/>
    </xf>
    <xf numFmtId="4" fontId="2" fillId="10" borderId="18" xfId="0" applyNumberFormat="1" applyFont="1" applyFill="1" applyBorder="1" applyAlignment="1" applyProtection="1">
      <alignment horizontal="right" vertical="center" wrapText="1"/>
      <protection locked="0"/>
    </xf>
    <xf numFmtId="4" fontId="51" fillId="0" borderId="10" xfId="0" applyNumberFormat="1" applyFont="1" applyFill="1" applyBorder="1" applyAlignment="1" applyProtection="1">
      <alignment vertical="center" wrapText="1"/>
      <protection locked="0"/>
    </xf>
    <xf numFmtId="4" fontId="4" fillId="0" borderId="10" xfId="0" applyNumberFormat="1" applyFont="1" applyFill="1" applyBorder="1" applyAlignment="1" applyProtection="1">
      <alignment vertical="center" wrapText="1"/>
      <protection locked="0"/>
    </xf>
    <xf numFmtId="4" fontId="4" fillId="0" borderId="10" xfId="0" applyNumberFormat="1" applyFont="1" applyBorder="1" applyAlignment="1" applyProtection="1">
      <alignment vertical="center" wrapText="1"/>
      <protection locked="0"/>
    </xf>
    <xf numFmtId="4" fontId="4" fillId="0" borderId="73" xfId="0" applyNumberFormat="1" applyFont="1" applyBorder="1" applyAlignment="1" applyProtection="1">
      <alignment vertical="center" wrapText="1"/>
      <protection locked="0"/>
    </xf>
    <xf numFmtId="4" fontId="2" fillId="0" borderId="73" xfId="0" applyNumberFormat="1" applyFont="1" applyFill="1" applyBorder="1" applyAlignment="1" applyProtection="1">
      <alignment horizontal="right" vertical="center" wrapText="1"/>
      <protection locked="0"/>
    </xf>
    <xf numFmtId="4" fontId="2" fillId="10" borderId="73" xfId="0" applyNumberFormat="1" applyFont="1" applyFill="1" applyBorder="1" applyAlignment="1" applyProtection="1">
      <alignment horizontal="right" vertical="center" wrapText="1"/>
      <protection locked="0"/>
    </xf>
    <xf numFmtId="49" fontId="2" fillId="0" borderId="72" xfId="0" applyNumberFormat="1" applyFont="1" applyFill="1" applyBorder="1" applyAlignment="1" applyProtection="1">
      <alignment horizontal="left" vertical="top" wrapText="1"/>
      <protection locked="0"/>
    </xf>
    <xf numFmtId="4" fontId="2" fillId="0" borderId="40" xfId="0" applyNumberFormat="1" applyFont="1" applyFill="1" applyBorder="1" applyAlignment="1" applyProtection="1">
      <alignment horizontal="right" vertical="center"/>
      <protection locked="0"/>
    </xf>
    <xf numFmtId="4" fontId="2" fillId="0" borderId="41" xfId="0" applyNumberFormat="1" applyFont="1" applyFill="1" applyBorder="1" applyAlignment="1" applyProtection="1">
      <alignment horizontal="right" vertical="center"/>
      <protection locked="0"/>
    </xf>
    <xf numFmtId="0" fontId="5" fillId="0" borderId="39" xfId="0" applyFont="1" applyBorder="1" applyAlignment="1">
      <alignment horizontal="center" vertical="center"/>
    </xf>
    <xf numFmtId="4" fontId="2" fillId="0" borderId="39" xfId="0" applyNumberFormat="1" applyFont="1" applyFill="1" applyBorder="1" applyAlignment="1" applyProtection="1">
      <alignment horizontal="right" vertical="center"/>
      <protection locked="0"/>
    </xf>
    <xf numFmtId="0" fontId="19" fillId="18" borderId="2" xfId="0" applyFont="1" applyFill="1" applyBorder="1" applyAlignment="1">
      <alignment horizontal="center" vertical="center" wrapText="1"/>
    </xf>
    <xf numFmtId="49" fontId="41" fillId="0" borderId="10" xfId="0" applyNumberFormat="1" applyFont="1" applyFill="1" applyBorder="1" applyAlignment="1" applyProtection="1">
      <alignment horizontal="left" vertical="top" wrapText="1"/>
      <protection locked="0"/>
    </xf>
    <xf numFmtId="49" fontId="41" fillId="0" borderId="10" xfId="0" applyNumberFormat="1" applyFont="1" applyBorder="1" applyAlignment="1" applyProtection="1">
      <alignment horizontal="left" vertical="top" wrapText="1"/>
      <protection locked="0"/>
    </xf>
    <xf numFmtId="0" fontId="0" fillId="0" borderId="0" xfId="0" applyAlignment="1">
      <alignment horizontal="left"/>
    </xf>
    <xf numFmtId="0" fontId="7" fillId="8" borderId="30" xfId="0" applyFont="1" applyFill="1" applyBorder="1" applyAlignment="1">
      <alignment horizontal="center" vertical="center" wrapText="1"/>
    </xf>
    <xf numFmtId="0" fontId="7" fillId="8" borderId="32" xfId="0" applyFont="1" applyFill="1" applyBorder="1" applyAlignment="1">
      <alignment horizontal="center" vertical="center" wrapText="1"/>
    </xf>
    <xf numFmtId="0" fontId="7" fillId="8" borderId="34" xfId="0" applyFont="1" applyFill="1" applyBorder="1" applyAlignment="1">
      <alignment horizontal="center" vertical="center" wrapText="1"/>
    </xf>
    <xf numFmtId="0" fontId="7" fillId="8" borderId="35" xfId="0" applyFont="1" applyFill="1" applyBorder="1" applyAlignment="1">
      <alignment horizontal="center" vertical="center" wrapText="1"/>
    </xf>
    <xf numFmtId="0" fontId="5" fillId="8" borderId="36" xfId="0" applyFont="1" applyFill="1" applyBorder="1" applyAlignment="1">
      <alignment horizontal="center" vertical="center" wrapText="1"/>
    </xf>
    <xf numFmtId="0" fontId="5" fillId="8" borderId="42" xfId="0" applyFont="1" applyFill="1" applyBorder="1" applyAlignment="1">
      <alignment horizontal="center" vertical="center" wrapText="1"/>
    </xf>
    <xf numFmtId="0" fontId="5" fillId="4" borderId="44" xfId="0" applyFont="1" applyFill="1" applyBorder="1" applyAlignment="1">
      <alignment horizontal="center" vertical="center"/>
    </xf>
    <xf numFmtId="0" fontId="7" fillId="6" borderId="18" xfId="0" applyFont="1" applyFill="1" applyBorder="1" applyAlignment="1">
      <alignment horizontal="center" vertical="center" wrapText="1"/>
    </xf>
    <xf numFmtId="0" fontId="7" fillId="6" borderId="19" xfId="0" applyFont="1" applyFill="1" applyBorder="1" applyAlignment="1">
      <alignment horizontal="center" vertical="center" wrapText="1"/>
    </xf>
    <xf numFmtId="0" fontId="0" fillId="0" borderId="0" xfId="0"/>
    <xf numFmtId="0" fontId="5" fillId="7" borderId="18" xfId="0" applyFont="1" applyFill="1" applyBorder="1" applyAlignment="1">
      <alignment horizontal="center" vertical="center" wrapText="1"/>
    </xf>
    <xf numFmtId="0" fontId="5" fillId="7" borderId="2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19" fillId="18" borderId="1" xfId="0" applyFont="1" applyFill="1" applyBorder="1" applyAlignment="1">
      <alignment horizontal="center" vertical="center" wrapText="1"/>
    </xf>
    <xf numFmtId="0" fontId="19" fillId="27" borderId="1" xfId="0" applyFont="1" applyFill="1" applyBorder="1" applyAlignment="1">
      <alignment horizontal="center" vertical="center" wrapText="1"/>
    </xf>
    <xf numFmtId="0" fontId="49" fillId="0" borderId="36" xfId="0" applyFont="1" applyBorder="1" applyAlignment="1">
      <alignment horizontal="center" vertical="center" wrapText="1"/>
    </xf>
    <xf numFmtId="0" fontId="49" fillId="0" borderId="44" xfId="0" applyFont="1" applyBorder="1" applyAlignment="1">
      <alignment horizontal="center" vertical="center" wrapText="1"/>
    </xf>
    <xf numFmtId="0" fontId="49" fillId="0" borderId="42" xfId="0" applyFont="1" applyBorder="1" applyAlignment="1">
      <alignment horizontal="center" vertical="center" wrapText="1"/>
    </xf>
    <xf numFmtId="0" fontId="40" fillId="0" borderId="67" xfId="0" applyFont="1" applyFill="1" applyBorder="1" applyAlignment="1">
      <alignment horizontal="left" vertical="top"/>
    </xf>
    <xf numFmtId="0" fontId="40" fillId="0" borderId="68" xfId="0" applyFont="1" applyFill="1" applyBorder="1" applyAlignment="1">
      <alignment horizontal="left" vertical="top"/>
    </xf>
    <xf numFmtId="0" fontId="40" fillId="0" borderId="69" xfId="0" applyFont="1" applyFill="1" applyBorder="1" applyAlignment="1">
      <alignment horizontal="left" vertical="top"/>
    </xf>
    <xf numFmtId="0" fontId="0" fillId="0" borderId="0" xfId="0" applyFill="1" applyAlignment="1">
      <alignment horizontal="left"/>
    </xf>
    <xf numFmtId="0" fontId="0" fillId="0" borderId="33" xfId="0" applyFill="1" applyBorder="1" applyAlignment="1">
      <alignment horizontal="left"/>
    </xf>
    <xf numFmtId="0" fontId="0" fillId="0" borderId="70" xfId="0" applyFill="1" applyBorder="1" applyAlignment="1" applyProtection="1">
      <alignment horizontal="left"/>
      <protection locked="0"/>
    </xf>
    <xf numFmtId="0" fontId="0" fillId="0" borderId="6" xfId="0" applyFill="1" applyBorder="1" applyAlignment="1">
      <alignment horizontal="left"/>
    </xf>
    <xf numFmtId="0" fontId="0" fillId="0" borderId="17" xfId="0" applyFill="1" applyBorder="1" applyAlignment="1">
      <alignment horizontal="left"/>
    </xf>
    <xf numFmtId="0" fontId="0" fillId="0" borderId="17" xfId="0" applyFill="1" applyBorder="1" applyAlignment="1">
      <alignment horizontal="center"/>
    </xf>
    <xf numFmtId="0" fontId="0" fillId="0" borderId="0" xfId="0" applyFill="1" applyAlignment="1">
      <alignment horizontal="center"/>
    </xf>
    <xf numFmtId="0" fontId="0" fillId="0" borderId="70" xfId="0" applyFill="1" applyBorder="1" applyAlignment="1" applyProtection="1">
      <alignment horizontal="center" wrapText="1"/>
      <protection locked="0"/>
    </xf>
    <xf numFmtId="0" fontId="0" fillId="0" borderId="39" xfId="0" applyFill="1" applyBorder="1" applyAlignment="1" applyProtection="1">
      <alignment horizontal="center" wrapText="1"/>
      <protection locked="0"/>
    </xf>
    <xf numFmtId="0" fontId="39" fillId="0" borderId="70" xfId="0" applyFont="1" applyFill="1" applyBorder="1" applyAlignment="1">
      <alignment horizontal="center" wrapText="1"/>
    </xf>
    <xf numFmtId="0" fontId="0" fillId="0" borderId="71" xfId="0" applyFill="1" applyBorder="1" applyAlignment="1" applyProtection="1">
      <alignment horizontal="center"/>
      <protection locked="0"/>
    </xf>
    <xf numFmtId="0" fontId="38" fillId="0" borderId="70" xfId="0" applyFont="1" applyFill="1" applyBorder="1" applyAlignment="1">
      <alignment horizontal="center"/>
    </xf>
    <xf numFmtId="0" fontId="4" fillId="0" borderId="0" xfId="0" applyFont="1" applyAlignment="1">
      <alignment vertical="center" wrapText="1"/>
    </xf>
    <xf numFmtId="0" fontId="2" fillId="0" borderId="0" xfId="0" applyFont="1" applyAlignment="1">
      <alignment vertical="center" wrapText="1"/>
    </xf>
  </cellXfs>
  <cellStyles count="5">
    <cellStyle name="Hyperlink" xfId="4" builtinId="8"/>
    <cellStyle name="Normal" xfId="0" builtinId="0"/>
    <cellStyle name="Normal 2" xfId="1"/>
    <cellStyle name="Normal 2 2" xfId="3"/>
    <cellStyle name="Normal 3" xfId="2"/>
  </cellStyles>
  <dxfs count="0"/>
  <tableStyles count="0" defaultTableStyle="TableStyleMedium2" defaultPivotStyle="PivotStyleLight16"/>
  <colors>
    <mruColors>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838200" y="95250"/>
          <a:ext cx="282087" cy="5238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228600</xdr:colOff>
      <xdr:row>0</xdr:row>
      <xdr:rowOff>95250</xdr:rowOff>
    </xdr:from>
    <xdr:to>
      <xdr:col>1</xdr:col>
      <xdr:colOff>510687</xdr:colOff>
      <xdr:row>0</xdr:row>
      <xdr:rowOff>619125</xdr:rowOff>
    </xdr:to>
    <xdr:pic>
      <xdr:nvPicPr>
        <xdr:cNvPr id="2" name="Picture 1">
          <a:extLst>
            <a:ext uri="{FF2B5EF4-FFF2-40B4-BE49-F238E27FC236}">
              <a16:creationId xmlns=""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81000" y="95250"/>
          <a:ext cx="282087" cy="5238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3</xdr:col>
      <xdr:colOff>180975</xdr:colOff>
      <xdr:row>3</xdr:row>
      <xdr:rowOff>104774</xdr:rowOff>
    </xdr:from>
    <xdr:to>
      <xdr:col>4</xdr:col>
      <xdr:colOff>552450</xdr:colOff>
      <xdr:row>4</xdr:row>
      <xdr:rowOff>752475</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3800475" y="1200149"/>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file downloaded from GST portal to edit/add details .</a:t>
          </a:r>
        </a:p>
      </xdr:txBody>
    </xdr:sp>
    <xdr:clientData/>
  </xdr:twoCellAnchor>
  <xdr:twoCellAnchor>
    <xdr:from>
      <xdr:col>7</xdr:col>
      <xdr:colOff>66675</xdr:colOff>
      <xdr:row>2</xdr:row>
      <xdr:rowOff>161925</xdr:rowOff>
    </xdr:from>
    <xdr:to>
      <xdr:col>8</xdr:col>
      <xdr:colOff>371474</xdr:colOff>
      <xdr:row>4</xdr:row>
      <xdr:rowOff>638175</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9582150" y="1066800"/>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a:t>
          </a:r>
          <a:r>
            <a:rPr lang="en-US" sz="1100" baseline="0"/>
            <a:t>to </a:t>
          </a:r>
          <a:r>
            <a:rPr lang="en-US" sz="1100"/>
            <a:t>upload GSTR-9C details</a:t>
          </a:r>
          <a:r>
            <a:rPr lang="en-US" sz="1100" baseline="0"/>
            <a:t> added in offine tool </a:t>
          </a:r>
          <a:r>
            <a:rPr lang="en-US" sz="1100"/>
            <a:t>on GST Portal </a:t>
          </a:r>
        </a:p>
      </xdr:txBody>
    </xdr:sp>
    <xdr:clientData/>
  </xdr:twoCellAnchor>
  <xdr:twoCellAnchor>
    <xdr:from>
      <xdr:col>6</xdr:col>
      <xdr:colOff>285750</xdr:colOff>
      <xdr:row>3</xdr:row>
      <xdr:rowOff>161924</xdr:rowOff>
    </xdr:from>
    <xdr:to>
      <xdr:col>7</xdr:col>
      <xdr:colOff>38101</xdr:colOff>
      <xdr:row>4</xdr:row>
      <xdr:rowOff>323849</xdr:rowOff>
    </xdr:to>
    <xdr:sp macro="" textlink="">
      <xdr:nvSpPr>
        <xdr:cNvPr id="5" name="Left Arrow 4">
          <a:extLst>
            <a:ext uri="{FF2B5EF4-FFF2-40B4-BE49-F238E27FC236}">
              <a16:creationId xmlns="" xmlns:a16="http://schemas.microsoft.com/office/drawing/2014/main" id="{00000000-0008-0000-0100-000005000000}"/>
            </a:ext>
          </a:extLst>
        </xdr:cNvPr>
        <xdr:cNvSpPr/>
      </xdr:nvSpPr>
      <xdr:spPr>
        <a:xfrm>
          <a:off x="9029700" y="12572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57148</xdr:colOff>
      <xdr:row>4</xdr:row>
      <xdr:rowOff>409575</xdr:rowOff>
    </xdr:from>
    <xdr:to>
      <xdr:col>4</xdr:col>
      <xdr:colOff>333375</xdr:colOff>
      <xdr:row>4</xdr:row>
      <xdr:rowOff>676275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209548" y="3810000"/>
          <a:ext cx="58959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twoCellAnchor>
    <xdr:from>
      <xdr:col>1</xdr:col>
      <xdr:colOff>171450</xdr:colOff>
      <xdr:row>3</xdr:row>
      <xdr:rowOff>38101</xdr:rowOff>
    </xdr:from>
    <xdr:to>
      <xdr:col>2</xdr:col>
      <xdr:colOff>952500</xdr:colOff>
      <xdr:row>4</xdr:row>
      <xdr:rowOff>628651</xdr:rowOff>
    </xdr:to>
    <xdr:sp macro="[0]!Import_JSON" textlink="">
      <xdr:nvSpPr>
        <xdr:cNvPr id="11" name="Rounded Rectangle 10">
          <a:extLst>
            <a:ext uri="{FF2B5EF4-FFF2-40B4-BE49-F238E27FC236}">
              <a16:creationId xmlns="" xmlns:a16="http://schemas.microsoft.com/office/drawing/2014/main" id="{00000000-0008-0000-0100-00000B000000}"/>
            </a:ext>
          </a:extLst>
        </xdr:cNvPr>
        <xdr:cNvSpPr/>
      </xdr:nvSpPr>
      <xdr:spPr>
        <a:xfrm>
          <a:off x="323850" y="1133476"/>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200024</xdr:colOff>
      <xdr:row>3</xdr:row>
      <xdr:rowOff>123825</xdr:rowOff>
    </xdr:from>
    <xdr:to>
      <xdr:col>2</xdr:col>
      <xdr:colOff>847725</xdr:colOff>
      <xdr:row>4</xdr:row>
      <xdr:rowOff>520701</xdr:rowOff>
    </xdr:to>
    <xdr:grpSp>
      <xdr:nvGrpSpPr>
        <xdr:cNvPr id="13" name="Group 12">
          <a:extLst>
            <a:ext uri="{FF2B5EF4-FFF2-40B4-BE49-F238E27FC236}">
              <a16:creationId xmlns="" xmlns:a16="http://schemas.microsoft.com/office/drawing/2014/main" id="{00000000-0008-0000-0100-00000D000000}"/>
            </a:ext>
          </a:extLst>
        </xdr:cNvPr>
        <xdr:cNvGrpSpPr/>
      </xdr:nvGrpSpPr>
      <xdr:grpSpPr>
        <a:xfrm>
          <a:off x="2305049" y="1219200"/>
          <a:ext cx="647701" cy="587376"/>
          <a:chOff x="4518026" y="3082926"/>
          <a:chExt cx="1162050" cy="977900"/>
        </a:xfrm>
      </xdr:grpSpPr>
      <xdr:sp macro="" textlink="">
        <xdr:nvSpPr>
          <xdr:cNvPr id="15" name="Freeform 14">
            <a:extLst>
              <a:ext uri="{FF2B5EF4-FFF2-40B4-BE49-F238E27FC236}">
                <a16:creationId xmlns="" xmlns:a16="http://schemas.microsoft.com/office/drawing/2014/main" id="{00000000-0008-0000-0100-00000F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6" name="Freeform 15">
            <a:extLst>
              <a:ext uri="{FF2B5EF4-FFF2-40B4-BE49-F238E27FC236}">
                <a16:creationId xmlns="" xmlns:a16="http://schemas.microsoft.com/office/drawing/2014/main" id="{00000000-0008-0000-0100-000010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7" name="Freeform 16">
            <a:extLst>
              <a:ext uri="{FF2B5EF4-FFF2-40B4-BE49-F238E27FC236}">
                <a16:creationId xmlns="" xmlns:a16="http://schemas.microsoft.com/office/drawing/2014/main" id="{00000000-0008-0000-0100-000011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18" name="Freeform 17">
            <a:extLst>
              <a:ext uri="{FF2B5EF4-FFF2-40B4-BE49-F238E27FC236}">
                <a16:creationId xmlns="" xmlns:a16="http://schemas.microsoft.com/office/drawing/2014/main" id="{00000000-0008-0000-0100-000012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4</xdr:col>
      <xdr:colOff>819151</xdr:colOff>
      <xdr:row>2</xdr:row>
      <xdr:rowOff>161925</xdr:rowOff>
    </xdr:from>
    <xdr:to>
      <xdr:col>6</xdr:col>
      <xdr:colOff>219076</xdr:colOff>
      <xdr:row>4</xdr:row>
      <xdr:rowOff>561975</xdr:rowOff>
    </xdr:to>
    <xdr:sp macro="[0]!Export_JSON" textlink="">
      <xdr:nvSpPr>
        <xdr:cNvPr id="19" name="Rounded Rectangle 18">
          <a:extLst>
            <a:ext uri="{FF2B5EF4-FFF2-40B4-BE49-F238E27FC236}">
              <a16:creationId xmlns="" xmlns:a16="http://schemas.microsoft.com/office/drawing/2014/main" id="{00000000-0008-0000-0100-000013000000}"/>
            </a:ext>
          </a:extLst>
        </xdr:cNvPr>
        <xdr:cNvSpPr/>
      </xdr:nvSpPr>
      <xdr:spPr>
        <a:xfrm>
          <a:off x="6200776" y="1066800"/>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JSON</a:t>
          </a:r>
          <a:r>
            <a:rPr lang="en-US" sz="1100" b="1" baseline="0">
              <a:solidFill>
                <a:schemeClr val="tx2">
                  <a:lumMod val="50000"/>
                </a:schemeClr>
              </a:solidFill>
            </a:rPr>
            <a:t> file to </a:t>
          </a:r>
        </a:p>
        <a:p>
          <a:pPr algn="l"/>
          <a:r>
            <a:rPr lang="en-US" sz="1100" b="1" baseline="0">
              <a:solidFill>
                <a:schemeClr val="tx2">
                  <a:lumMod val="50000"/>
                </a:schemeClr>
              </a:solidFill>
            </a:rPr>
            <a:t>upload GSTR-9C details </a:t>
          </a:r>
        </a:p>
        <a:p>
          <a:pPr algn="l"/>
          <a:r>
            <a:rPr lang="en-US" sz="1100" b="1" baseline="0">
              <a:solidFill>
                <a:schemeClr val="tx2">
                  <a:lumMod val="50000"/>
                </a:schemeClr>
              </a:solidFill>
            </a:rPr>
            <a:t>on GST Portal</a:t>
          </a:r>
          <a:endParaRPr lang="en-US" sz="1100" b="1">
            <a:solidFill>
              <a:schemeClr val="tx2">
                <a:lumMod val="50000"/>
              </a:schemeClr>
            </a:solidFill>
          </a:endParaRPr>
        </a:p>
      </xdr:txBody>
    </xdr:sp>
    <xdr:clientData/>
  </xdr:twoCellAnchor>
  <xdr:twoCellAnchor>
    <xdr:from>
      <xdr:col>5</xdr:col>
      <xdr:colOff>885825</xdr:colOff>
      <xdr:row>3</xdr:row>
      <xdr:rowOff>76199</xdr:rowOff>
    </xdr:from>
    <xdr:to>
      <xdr:col>6</xdr:col>
      <xdr:colOff>84138</xdr:colOff>
      <xdr:row>4</xdr:row>
      <xdr:rowOff>427036</xdr:rowOff>
    </xdr:to>
    <xdr:grpSp>
      <xdr:nvGrpSpPr>
        <xdr:cNvPr id="26" name="Group 25">
          <a:extLst>
            <a:ext uri="{FF2B5EF4-FFF2-40B4-BE49-F238E27FC236}">
              <a16:creationId xmlns="" xmlns:a16="http://schemas.microsoft.com/office/drawing/2014/main" id="{00000000-0008-0000-0100-00001A000000}"/>
            </a:ext>
          </a:extLst>
        </xdr:cNvPr>
        <xdr:cNvGrpSpPr/>
      </xdr:nvGrpSpPr>
      <xdr:grpSpPr>
        <a:xfrm>
          <a:off x="9382125" y="1171574"/>
          <a:ext cx="712788" cy="541337"/>
          <a:chOff x="6496050" y="3119438"/>
          <a:chExt cx="1160463" cy="989012"/>
        </a:xfrm>
      </xdr:grpSpPr>
      <xdr:sp macro="" textlink="">
        <xdr:nvSpPr>
          <xdr:cNvPr id="27" name="AutoShape 19">
            <a:extLst>
              <a:ext uri="{FF2B5EF4-FFF2-40B4-BE49-F238E27FC236}">
                <a16:creationId xmlns="" xmlns:a16="http://schemas.microsoft.com/office/drawing/2014/main" id="{00000000-0008-0000-0100-00001B000000}"/>
              </a:ext>
            </a:extLst>
          </xdr:cNvPr>
          <xdr:cNvSpPr>
            <a:spLocks noChangeAspect="1" noChangeArrowheads="1" noTextEdit="1"/>
          </xdr:cNvSpPr>
        </xdr:nvSpPr>
        <xdr:spPr bwMode="auto">
          <a:xfrm>
            <a:off x="6496050" y="3119438"/>
            <a:ext cx="1158875" cy="98901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8" name="Freeform 27">
            <a:extLst>
              <a:ext uri="{FF2B5EF4-FFF2-40B4-BE49-F238E27FC236}">
                <a16:creationId xmlns="" xmlns:a16="http://schemas.microsoft.com/office/drawing/2014/main" id="{00000000-0008-0000-0100-00001C000000}"/>
              </a:ext>
            </a:extLst>
          </xdr:cNvPr>
          <xdr:cNvSpPr>
            <a:spLocks/>
          </xdr:cNvSpPr>
        </xdr:nvSpPr>
        <xdr:spPr bwMode="auto">
          <a:xfrm>
            <a:off x="6497638" y="3119438"/>
            <a:ext cx="1158875" cy="989012"/>
          </a:xfrm>
          <a:custGeom>
            <a:avLst/>
            <a:gdLst>
              <a:gd name="T0" fmla="*/ 730 w 730"/>
              <a:gd name="T1" fmla="*/ 479 h 623"/>
              <a:gd name="T2" fmla="*/ 376 w 730"/>
              <a:gd name="T3" fmla="*/ 623 h 623"/>
              <a:gd name="T4" fmla="*/ 0 w 730"/>
              <a:gd name="T5" fmla="*/ 479 h 623"/>
              <a:gd name="T6" fmla="*/ 0 w 730"/>
              <a:gd name="T7" fmla="*/ 322 h 623"/>
              <a:gd name="T8" fmla="*/ 283 w 730"/>
              <a:gd name="T9" fmla="*/ 262 h 623"/>
              <a:gd name="T10" fmla="*/ 283 w 730"/>
              <a:gd name="T11" fmla="*/ 183 h 623"/>
              <a:gd name="T12" fmla="*/ 183 w 730"/>
              <a:gd name="T13" fmla="*/ 169 h 623"/>
              <a:gd name="T14" fmla="*/ 375 w 730"/>
              <a:gd name="T15" fmla="*/ 3 h 623"/>
              <a:gd name="T16" fmla="*/ 429 w 730"/>
              <a:gd name="T17" fmla="*/ 0 h 623"/>
              <a:gd name="T18" fmla="*/ 609 w 730"/>
              <a:gd name="T19" fmla="*/ 209 h 623"/>
              <a:gd name="T20" fmla="*/ 561 w 730"/>
              <a:gd name="T21" fmla="*/ 219 h 623"/>
              <a:gd name="T22" fmla="*/ 483 w 730"/>
              <a:gd name="T23" fmla="*/ 209 h 623"/>
              <a:gd name="T24" fmla="*/ 483 w 730"/>
              <a:gd name="T25" fmla="*/ 284 h 623"/>
              <a:gd name="T26" fmla="*/ 730 w 730"/>
              <a:gd name="T27" fmla="*/ 322 h 623"/>
              <a:gd name="T28" fmla="*/ 730 w 730"/>
              <a:gd name="T29" fmla="*/ 479 h 6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730" h="623">
                <a:moveTo>
                  <a:pt x="730" y="479"/>
                </a:moveTo>
                <a:lnTo>
                  <a:pt x="376" y="623"/>
                </a:lnTo>
                <a:lnTo>
                  <a:pt x="0" y="479"/>
                </a:lnTo>
                <a:lnTo>
                  <a:pt x="0" y="322"/>
                </a:lnTo>
                <a:lnTo>
                  <a:pt x="283" y="262"/>
                </a:lnTo>
                <a:lnTo>
                  <a:pt x="283" y="183"/>
                </a:lnTo>
                <a:lnTo>
                  <a:pt x="183" y="169"/>
                </a:lnTo>
                <a:lnTo>
                  <a:pt x="375" y="3"/>
                </a:lnTo>
                <a:lnTo>
                  <a:pt x="429" y="0"/>
                </a:lnTo>
                <a:lnTo>
                  <a:pt x="609" y="209"/>
                </a:lnTo>
                <a:lnTo>
                  <a:pt x="561" y="219"/>
                </a:lnTo>
                <a:lnTo>
                  <a:pt x="483" y="209"/>
                </a:lnTo>
                <a:lnTo>
                  <a:pt x="483" y="284"/>
                </a:lnTo>
                <a:lnTo>
                  <a:pt x="730" y="322"/>
                </a:lnTo>
                <a:lnTo>
                  <a:pt x="730" y="479"/>
                </a:lnTo>
                <a:close/>
              </a:path>
            </a:pathLst>
          </a:custGeom>
          <a:solidFill>
            <a:schemeClr val="accent5">
              <a:lumMod val="50000"/>
            </a:schemeClr>
          </a:solidFill>
          <a:ln>
            <a:noFill/>
          </a:ln>
          <a:extLst>
            <a:ext uri="{91240B29-F687-4F45-9708-019B960494DF}">
              <a14:hiddenLine xmlns:a14="http://schemas.microsoft.com/office/drawing/2010/main" xmlns=""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29" name="Freeform 28">
            <a:extLst>
              <a:ext uri="{FF2B5EF4-FFF2-40B4-BE49-F238E27FC236}">
                <a16:creationId xmlns="" xmlns:a16="http://schemas.microsoft.com/office/drawing/2014/main" id="{00000000-0008-0000-0100-00001D000000}"/>
              </a:ext>
            </a:extLst>
          </xdr:cNvPr>
          <xdr:cNvSpPr>
            <a:spLocks/>
          </xdr:cNvSpPr>
        </xdr:nvSpPr>
        <xdr:spPr bwMode="auto">
          <a:xfrm>
            <a:off x="6562725" y="3552825"/>
            <a:ext cx="1028700" cy="319087"/>
          </a:xfrm>
          <a:custGeom>
            <a:avLst/>
            <a:gdLst>
              <a:gd name="T0" fmla="*/ 648 w 648"/>
              <a:gd name="T1" fmla="*/ 57 h 201"/>
              <a:gd name="T2" fmla="*/ 442 w 648"/>
              <a:gd name="T3" fmla="*/ 23 h 201"/>
              <a:gd name="T4" fmla="*/ 442 w 648"/>
              <a:gd name="T5" fmla="*/ 99 h 201"/>
              <a:gd name="T6" fmla="*/ 391 w 648"/>
              <a:gd name="T7" fmla="*/ 111 h 201"/>
              <a:gd name="T8" fmla="*/ 242 w 648"/>
              <a:gd name="T9" fmla="*/ 79 h 201"/>
              <a:gd name="T10" fmla="*/ 242 w 648"/>
              <a:gd name="T11" fmla="*/ 0 h 201"/>
              <a:gd name="T12" fmla="*/ 0 w 648"/>
              <a:gd name="T13" fmla="*/ 51 h 201"/>
              <a:gd name="T14" fmla="*/ 335 w 648"/>
              <a:gd name="T15" fmla="*/ 134 h 201"/>
              <a:gd name="T16" fmla="*/ 400 w 648"/>
              <a:gd name="T17" fmla="*/ 119 h 201"/>
              <a:gd name="T18" fmla="*/ 419 w 648"/>
              <a:gd name="T19" fmla="*/ 124 h 201"/>
              <a:gd name="T20" fmla="*/ 458 w 648"/>
              <a:gd name="T21" fmla="*/ 201 h 201"/>
              <a:gd name="T22" fmla="*/ 583 w 648"/>
              <a:gd name="T23" fmla="*/ 163 h 201"/>
              <a:gd name="T24" fmla="*/ 596 w 648"/>
              <a:gd name="T25" fmla="*/ 69 h 201"/>
              <a:gd name="T26" fmla="*/ 648 w 648"/>
              <a:gd name="T27" fmla="*/ 57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48" h="201">
                <a:moveTo>
                  <a:pt x="648" y="57"/>
                </a:moveTo>
                <a:lnTo>
                  <a:pt x="442" y="23"/>
                </a:lnTo>
                <a:lnTo>
                  <a:pt x="442" y="99"/>
                </a:lnTo>
                <a:lnTo>
                  <a:pt x="391" y="111"/>
                </a:lnTo>
                <a:lnTo>
                  <a:pt x="242" y="79"/>
                </a:lnTo>
                <a:lnTo>
                  <a:pt x="242" y="0"/>
                </a:lnTo>
                <a:lnTo>
                  <a:pt x="0" y="51"/>
                </a:lnTo>
                <a:lnTo>
                  <a:pt x="335" y="134"/>
                </a:lnTo>
                <a:lnTo>
                  <a:pt x="400" y="119"/>
                </a:lnTo>
                <a:lnTo>
                  <a:pt x="419" y="124"/>
                </a:lnTo>
                <a:lnTo>
                  <a:pt x="458" y="201"/>
                </a:lnTo>
                <a:lnTo>
                  <a:pt x="583" y="163"/>
                </a:lnTo>
                <a:lnTo>
                  <a:pt x="596" y="69"/>
                </a:lnTo>
                <a:lnTo>
                  <a:pt x="648" y="57"/>
                </a:lnTo>
                <a:close/>
              </a:path>
            </a:pathLst>
          </a:custGeom>
          <a:solidFill>
            <a:srgbClr val="FFFFFF"/>
          </a:solidFill>
          <a:ln>
            <a:noFill/>
          </a:ln>
          <a:extLst>
            <a:ext uri="{91240B29-F687-4F45-9708-019B960494DF}">
              <a14:hiddenLine xmlns:a14="http://schemas.microsoft.com/office/drawing/2010/main" xmlns=""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0" name="Freeform 29">
            <a:extLst>
              <a:ext uri="{FF2B5EF4-FFF2-40B4-BE49-F238E27FC236}">
                <a16:creationId xmlns="" xmlns:a16="http://schemas.microsoft.com/office/drawing/2014/main" id="{00000000-0008-0000-0100-00001E000000}"/>
              </a:ext>
            </a:extLst>
          </xdr:cNvPr>
          <xdr:cNvSpPr>
            <a:spLocks/>
          </xdr:cNvSpPr>
        </xdr:nvSpPr>
        <xdr:spPr bwMode="auto">
          <a:xfrm>
            <a:off x="7102475" y="3125788"/>
            <a:ext cx="350838" cy="331787"/>
          </a:xfrm>
          <a:custGeom>
            <a:avLst/>
            <a:gdLst>
              <a:gd name="T0" fmla="*/ 221 w 221"/>
              <a:gd name="T1" fmla="*/ 202 h 209"/>
              <a:gd name="T2" fmla="*/ 46 w 221"/>
              <a:gd name="T3" fmla="*/ 0 h 209"/>
              <a:gd name="T4" fmla="*/ 0 w 221"/>
              <a:gd name="T5" fmla="*/ 5 h 209"/>
              <a:gd name="T6" fmla="*/ 180 w 221"/>
              <a:gd name="T7" fmla="*/ 209 h 209"/>
              <a:gd name="T8" fmla="*/ 221 w 221"/>
              <a:gd name="T9" fmla="*/ 202 h 209"/>
            </a:gdLst>
            <a:ahLst/>
            <a:cxnLst>
              <a:cxn ang="0">
                <a:pos x="T0" y="T1"/>
              </a:cxn>
              <a:cxn ang="0">
                <a:pos x="T2" y="T3"/>
              </a:cxn>
              <a:cxn ang="0">
                <a:pos x="T4" y="T5"/>
              </a:cxn>
              <a:cxn ang="0">
                <a:pos x="T6" y="T7"/>
              </a:cxn>
              <a:cxn ang="0">
                <a:pos x="T8" y="T9"/>
              </a:cxn>
            </a:cxnLst>
            <a:rect l="0" t="0" r="r" b="b"/>
            <a:pathLst>
              <a:path w="221" h="209">
                <a:moveTo>
                  <a:pt x="221" y="202"/>
                </a:moveTo>
                <a:lnTo>
                  <a:pt x="46" y="0"/>
                </a:lnTo>
                <a:lnTo>
                  <a:pt x="0" y="5"/>
                </a:lnTo>
                <a:lnTo>
                  <a:pt x="180" y="209"/>
                </a:lnTo>
                <a:lnTo>
                  <a:pt x="221" y="202"/>
                </a:lnTo>
                <a:close/>
              </a:path>
            </a:pathLst>
          </a:custGeom>
          <a:solidFill>
            <a:srgbClr val="2B9BD7"/>
          </a:solidFill>
          <a:ln>
            <a:noFill/>
          </a:ln>
          <a:extLst>
            <a:ext uri="{91240B29-F687-4F45-9708-019B960494DF}">
              <a14:hiddenLine xmlns:a14="http://schemas.microsoft.com/office/drawing/2010/main" xmlns=""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31" name="Freeform 30">
            <a:extLst>
              <a:ext uri="{FF2B5EF4-FFF2-40B4-BE49-F238E27FC236}">
                <a16:creationId xmlns="" xmlns:a16="http://schemas.microsoft.com/office/drawing/2014/main" id="{00000000-0008-0000-0100-00001F000000}"/>
              </a:ext>
            </a:extLst>
          </xdr:cNvPr>
          <xdr:cNvSpPr>
            <a:spLocks/>
          </xdr:cNvSpPr>
        </xdr:nvSpPr>
        <xdr:spPr bwMode="auto">
          <a:xfrm>
            <a:off x="7186613" y="3441700"/>
            <a:ext cx="69850" cy="277812"/>
          </a:xfrm>
          <a:custGeom>
            <a:avLst/>
            <a:gdLst>
              <a:gd name="T0" fmla="*/ 44 w 44"/>
              <a:gd name="T1" fmla="*/ 165 h 175"/>
              <a:gd name="T2" fmla="*/ 44 w 44"/>
              <a:gd name="T3" fmla="*/ 5 h 175"/>
              <a:gd name="T4" fmla="*/ 0 w 44"/>
              <a:gd name="T5" fmla="*/ 0 h 175"/>
              <a:gd name="T6" fmla="*/ 0 w 44"/>
              <a:gd name="T7" fmla="*/ 175 h 175"/>
              <a:gd name="T8" fmla="*/ 44 w 44"/>
              <a:gd name="T9" fmla="*/ 165 h 175"/>
            </a:gdLst>
            <a:ahLst/>
            <a:cxnLst>
              <a:cxn ang="0">
                <a:pos x="T0" y="T1"/>
              </a:cxn>
              <a:cxn ang="0">
                <a:pos x="T2" y="T3"/>
              </a:cxn>
              <a:cxn ang="0">
                <a:pos x="T4" y="T5"/>
              </a:cxn>
              <a:cxn ang="0">
                <a:pos x="T6" y="T7"/>
              </a:cxn>
              <a:cxn ang="0">
                <a:pos x="T8" y="T9"/>
              </a:cxn>
            </a:cxnLst>
            <a:rect l="0" t="0" r="r" b="b"/>
            <a:pathLst>
              <a:path w="44" h="175">
                <a:moveTo>
                  <a:pt x="44" y="165"/>
                </a:moveTo>
                <a:lnTo>
                  <a:pt x="44" y="5"/>
                </a:lnTo>
                <a:lnTo>
                  <a:pt x="0" y="0"/>
                </a:lnTo>
                <a:lnTo>
                  <a:pt x="0" y="175"/>
                </a:lnTo>
                <a:lnTo>
                  <a:pt x="44" y="165"/>
                </a:lnTo>
                <a:close/>
              </a:path>
            </a:pathLst>
          </a:custGeom>
          <a:solidFill>
            <a:srgbClr val="2B9BD7"/>
          </a:solidFill>
          <a:ln>
            <a:noFill/>
          </a:ln>
          <a:extLst>
            <a:ext uri="{91240B29-F687-4F45-9708-019B960494DF}">
              <a14:hiddenLine xmlns:a14="http://schemas.microsoft.com/office/drawing/2010/main" xmlns=""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1133475</xdr:colOff>
      <xdr:row>4</xdr:row>
      <xdr:rowOff>57149</xdr:rowOff>
    </xdr:from>
    <xdr:to>
      <xdr:col>3</xdr:col>
      <xdr:colOff>142876</xdr:colOff>
      <xdr:row>4</xdr:row>
      <xdr:rowOff>409574</xdr:rowOff>
    </xdr:to>
    <xdr:sp macro="" textlink="">
      <xdr:nvSpPr>
        <xdr:cNvPr id="22" name="Left Arrow 21">
          <a:extLst>
            <a:ext uri="{FF2B5EF4-FFF2-40B4-BE49-F238E27FC236}">
              <a16:creationId xmlns="" xmlns:a16="http://schemas.microsoft.com/office/drawing/2014/main" id="{00000000-0008-0000-0100-000016000000}"/>
            </a:ext>
          </a:extLst>
        </xdr:cNvPr>
        <xdr:cNvSpPr/>
      </xdr:nvSpPr>
      <xdr:spPr>
        <a:xfrm>
          <a:off x="3238500" y="1343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752475</xdr:colOff>
      <xdr:row>9</xdr:row>
      <xdr:rowOff>180976</xdr:rowOff>
    </xdr:from>
    <xdr:to>
      <xdr:col>7</xdr:col>
      <xdr:colOff>1019175</xdr:colOff>
      <xdr:row>12</xdr:row>
      <xdr:rowOff>209550</xdr:rowOff>
    </xdr:to>
    <xdr:sp macro="[0]!partb" textlink="">
      <xdr:nvSpPr>
        <xdr:cNvPr id="32" name="Rounded Rectangle 31">
          <a:extLst>
            <a:ext uri="{FF2B5EF4-FFF2-40B4-BE49-F238E27FC236}">
              <a16:creationId xmlns="" xmlns:a16="http://schemas.microsoft.com/office/drawing/2014/main" id="{00000000-0008-0000-0100-000020000000}"/>
            </a:ext>
          </a:extLst>
        </xdr:cNvPr>
        <xdr:cNvSpPr/>
      </xdr:nvSpPr>
      <xdr:spPr>
        <a:xfrm>
          <a:off x="6134100" y="4448176"/>
          <a:ext cx="4400550" cy="714374"/>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    </a:t>
          </a:r>
          <a:r>
            <a:rPr lang="en-US" sz="1800" b="1">
              <a:solidFill>
                <a:schemeClr val="bg1"/>
              </a:solidFill>
              <a:latin typeface="+mn-lt"/>
              <a:ea typeface="+mn-ea"/>
              <a:cs typeface="+mn-cs"/>
            </a:rPr>
            <a:t>Proceed to fill PART -B</a:t>
          </a:r>
        </a:p>
      </xdr:txBody>
    </xdr:sp>
    <xdr:clientData/>
  </xdr:twoCellAnchor>
  <xdr:twoCellAnchor>
    <xdr:from>
      <xdr:col>4</xdr:col>
      <xdr:colOff>723900</xdr:colOff>
      <xdr:row>6</xdr:row>
      <xdr:rowOff>114300</xdr:rowOff>
    </xdr:from>
    <xdr:to>
      <xdr:col>7</xdr:col>
      <xdr:colOff>981075</xdr:colOff>
      <xdr:row>9</xdr:row>
      <xdr:rowOff>28575</xdr:rowOff>
    </xdr:to>
    <xdr:sp macro="[0]!parta" textlink="">
      <xdr:nvSpPr>
        <xdr:cNvPr id="36" name="Rounded Rectangle 35">
          <a:extLst>
            <a:ext uri="{FF2B5EF4-FFF2-40B4-BE49-F238E27FC236}">
              <a16:creationId xmlns="" xmlns:a16="http://schemas.microsoft.com/office/drawing/2014/main" id="{00000000-0008-0000-0100-000024000000}"/>
            </a:ext>
          </a:extLst>
        </xdr:cNvPr>
        <xdr:cNvSpPr/>
      </xdr:nvSpPr>
      <xdr:spPr>
        <a:xfrm>
          <a:off x="6105525" y="3590925"/>
          <a:ext cx="4391025" cy="704850"/>
        </a:xfrm>
        <a:prstGeom prst="roundRect">
          <a:avLst/>
        </a:prstGeom>
        <a:solidFill>
          <a:schemeClr val="accent5">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    Proceed</a:t>
          </a:r>
          <a:r>
            <a:rPr lang="en-US" sz="1800" b="1" baseline="0">
              <a:solidFill>
                <a:schemeClr val="bg1"/>
              </a:solidFill>
            </a:rPr>
            <a:t> to fill </a:t>
          </a:r>
          <a:r>
            <a:rPr lang="en-US" sz="1800" b="1">
              <a:solidFill>
                <a:schemeClr val="bg1"/>
              </a:solidFill>
            </a:rPr>
            <a:t>PART -A</a:t>
          </a:r>
        </a:p>
      </xdr:txBody>
    </xdr:sp>
    <xdr:clientData/>
  </xdr:twoCellAnchor>
  <xdr:twoCellAnchor>
    <xdr:from>
      <xdr:col>4</xdr:col>
      <xdr:colOff>828676</xdr:colOff>
      <xdr:row>4</xdr:row>
      <xdr:rowOff>1047750</xdr:rowOff>
    </xdr:from>
    <xdr:to>
      <xdr:col>6</xdr:col>
      <xdr:colOff>228601</xdr:colOff>
      <xdr:row>4</xdr:row>
      <xdr:rowOff>1828800</xdr:rowOff>
    </xdr:to>
    <xdr:sp macro="[0]!PDF_View" textlink="">
      <xdr:nvSpPr>
        <xdr:cNvPr id="34" name="Rounded Rectangle 33">
          <a:extLst>
            <a:ext uri="{FF2B5EF4-FFF2-40B4-BE49-F238E27FC236}">
              <a16:creationId xmlns="" xmlns:a16="http://schemas.microsoft.com/office/drawing/2014/main" id="{00000000-0008-0000-0100-000022000000}"/>
            </a:ext>
          </a:extLst>
        </xdr:cNvPr>
        <xdr:cNvSpPr/>
      </xdr:nvSpPr>
      <xdr:spPr>
        <a:xfrm>
          <a:off x="6210301" y="2333625"/>
          <a:ext cx="2762250"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Generate Preview</a:t>
          </a:r>
          <a:r>
            <a:rPr lang="en-US" sz="1100" b="1" baseline="0">
              <a:solidFill>
                <a:schemeClr val="tx2">
                  <a:lumMod val="50000"/>
                </a:schemeClr>
              </a:solidFill>
            </a:rPr>
            <a:t> PDF file to view </a:t>
          </a:r>
        </a:p>
        <a:p>
          <a:pPr algn="l"/>
          <a:r>
            <a:rPr lang="en-US" sz="1100" b="1" baseline="0">
              <a:solidFill>
                <a:schemeClr val="tx2">
                  <a:lumMod val="50000"/>
                </a:schemeClr>
              </a:solidFill>
            </a:rPr>
            <a:t>Draft GSTR-9C form  </a:t>
          </a:r>
        </a:p>
      </xdr:txBody>
    </xdr:sp>
    <xdr:clientData/>
  </xdr:twoCellAnchor>
  <xdr:twoCellAnchor>
    <xdr:from>
      <xdr:col>7</xdr:col>
      <xdr:colOff>95250</xdr:colOff>
      <xdr:row>4</xdr:row>
      <xdr:rowOff>1009650</xdr:rowOff>
    </xdr:from>
    <xdr:to>
      <xdr:col>8</xdr:col>
      <xdr:colOff>400049</xdr:colOff>
      <xdr:row>4</xdr:row>
      <xdr:rowOff>1866900</xdr:rowOff>
    </xdr:to>
    <xdr:sp macro="" textlink="">
      <xdr:nvSpPr>
        <xdr:cNvPr id="35" name="TextBox 34">
          <a:extLst>
            <a:ext uri="{FF2B5EF4-FFF2-40B4-BE49-F238E27FC236}">
              <a16:creationId xmlns="" xmlns:a16="http://schemas.microsoft.com/office/drawing/2014/main" id="{00000000-0008-0000-0100-000023000000}"/>
            </a:ext>
          </a:extLst>
        </xdr:cNvPr>
        <xdr:cNvSpPr txBox="1"/>
      </xdr:nvSpPr>
      <xdr:spPr>
        <a:xfrm>
          <a:off x="9610725" y="2295525"/>
          <a:ext cx="2038349" cy="857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PDF file </a:t>
          </a:r>
          <a:r>
            <a:rPr lang="en-US" sz="1100" baseline="0"/>
            <a:t>to view </a:t>
          </a:r>
          <a:r>
            <a:rPr lang="en-US" sz="1100"/>
            <a:t>GSTR-9C draft form based on details</a:t>
          </a:r>
          <a:r>
            <a:rPr lang="en-US" sz="1100" baseline="0"/>
            <a:t> added in offine tool </a:t>
          </a:r>
          <a:endParaRPr lang="en-US" sz="1100"/>
        </a:p>
      </xdr:txBody>
    </xdr:sp>
    <xdr:clientData/>
  </xdr:twoCellAnchor>
  <xdr:twoCellAnchor>
    <xdr:from>
      <xdr:col>6</xdr:col>
      <xdr:colOff>314325</xdr:colOff>
      <xdr:row>4</xdr:row>
      <xdr:rowOff>1200149</xdr:rowOff>
    </xdr:from>
    <xdr:to>
      <xdr:col>7</xdr:col>
      <xdr:colOff>66676</xdr:colOff>
      <xdr:row>4</xdr:row>
      <xdr:rowOff>1552574</xdr:rowOff>
    </xdr:to>
    <xdr:sp macro="" textlink="">
      <xdr:nvSpPr>
        <xdr:cNvPr id="37" name="Left Arrow 36">
          <a:extLst>
            <a:ext uri="{FF2B5EF4-FFF2-40B4-BE49-F238E27FC236}">
              <a16:creationId xmlns="" xmlns:a16="http://schemas.microsoft.com/office/drawing/2014/main" id="{00000000-0008-0000-0100-000025000000}"/>
            </a:ext>
          </a:extLst>
        </xdr:cNvPr>
        <xdr:cNvSpPr/>
      </xdr:nvSpPr>
      <xdr:spPr>
        <a:xfrm>
          <a:off x="9058275" y="2486024"/>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5</xdr:col>
      <xdr:colOff>1200149</xdr:colOff>
      <xdr:row>4</xdr:row>
      <xdr:rowOff>1190625</xdr:rowOff>
    </xdr:from>
    <xdr:to>
      <xdr:col>6</xdr:col>
      <xdr:colOff>83637</xdr:colOff>
      <xdr:row>4</xdr:row>
      <xdr:rowOff>1685505</xdr:rowOff>
    </xdr:to>
    <xdr:sp macro="" textlink="">
      <xdr:nvSpPr>
        <xdr:cNvPr id="39" name="Freeform 38">
          <a:extLst>
            <a:ext uri="{FF2B5EF4-FFF2-40B4-BE49-F238E27FC236}">
              <a16:creationId xmlns="" xmlns:a16="http://schemas.microsoft.com/office/drawing/2014/main" id="{00000000-0008-0000-0100-000027000000}"/>
            </a:ext>
          </a:extLst>
        </xdr:cNvPr>
        <xdr:cNvSpPr/>
      </xdr:nvSpPr>
      <xdr:spPr>
        <a:xfrm>
          <a:off x="8429624" y="2476500"/>
          <a:ext cx="397963" cy="49488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chemeClr val="accent5">
            <a:lumMod val="50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1274750</xdr:colOff>
      <xdr:row>4</xdr:row>
      <xdr:rowOff>1285875</xdr:rowOff>
    </xdr:from>
    <xdr:to>
      <xdr:col>5</xdr:col>
      <xdr:colOff>1363385</xdr:colOff>
      <xdr:row>4</xdr:row>
      <xdr:rowOff>1764886</xdr:rowOff>
    </xdr:to>
    <xdr:sp macro="" textlink="">
      <xdr:nvSpPr>
        <xdr:cNvPr id="42" name="Rounded Rectangle 41">
          <a:extLst>
            <a:ext uri="{FF2B5EF4-FFF2-40B4-BE49-F238E27FC236}">
              <a16:creationId xmlns="" xmlns:a16="http://schemas.microsoft.com/office/drawing/2014/main" id="{00000000-0008-0000-0100-00002A000000}"/>
            </a:ext>
          </a:extLst>
        </xdr:cNvPr>
        <xdr:cNvSpPr/>
      </xdr:nvSpPr>
      <xdr:spPr>
        <a:xfrm rot="18503198">
          <a:off x="8309037" y="2766938"/>
          <a:ext cx="479011"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5</xdr:col>
      <xdr:colOff>1095374</xdr:colOff>
      <xdr:row>4</xdr:row>
      <xdr:rowOff>1466671</xdr:rowOff>
    </xdr:from>
    <xdr:to>
      <xdr:col>5</xdr:col>
      <xdr:colOff>1184009</xdr:colOff>
      <xdr:row>4</xdr:row>
      <xdr:rowOff>1742469</xdr:rowOff>
    </xdr:to>
    <xdr:sp macro="" textlink="">
      <xdr:nvSpPr>
        <xdr:cNvPr id="43" name="Rounded Rectangle 42">
          <a:extLst>
            <a:ext uri="{FF2B5EF4-FFF2-40B4-BE49-F238E27FC236}">
              <a16:creationId xmlns="" xmlns:a16="http://schemas.microsoft.com/office/drawing/2014/main" id="{00000000-0008-0000-0100-00002B000000}"/>
            </a:ext>
          </a:extLst>
        </xdr:cNvPr>
        <xdr:cNvSpPr/>
      </xdr:nvSpPr>
      <xdr:spPr>
        <a:xfrm rot="13895427">
          <a:off x="8231268" y="2846127"/>
          <a:ext cx="275798" cy="88635"/>
        </a:xfrm>
        <a:prstGeom prst="roundRect">
          <a:avLst>
            <a:gd name="adj" fmla="val 50000"/>
          </a:avLst>
        </a:pr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clientData/>
  </xdr:twoCellAnchor>
  <xdr:twoCellAnchor>
    <xdr:from>
      <xdr:col>3</xdr:col>
      <xdr:colOff>200025</xdr:colOff>
      <xdr:row>4</xdr:row>
      <xdr:rowOff>1009649</xdr:rowOff>
    </xdr:from>
    <xdr:to>
      <xdr:col>4</xdr:col>
      <xdr:colOff>571500</xdr:colOff>
      <xdr:row>4</xdr:row>
      <xdr:rowOff>1847850</xdr:rowOff>
    </xdr:to>
    <xdr:sp macro="" textlink="">
      <xdr:nvSpPr>
        <xdr:cNvPr id="48" name="TextBox 47">
          <a:extLst>
            <a:ext uri="{FF2B5EF4-FFF2-40B4-BE49-F238E27FC236}">
              <a16:creationId xmlns="" xmlns:a16="http://schemas.microsoft.com/office/drawing/2014/main" id="{00000000-0008-0000-0100-000030000000}"/>
            </a:ext>
          </a:extLst>
        </xdr:cNvPr>
        <xdr:cNvSpPr txBox="1"/>
      </xdr:nvSpPr>
      <xdr:spPr>
        <a:xfrm>
          <a:off x="3819525" y="2295524"/>
          <a:ext cx="2133600" cy="8382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GSTR-9C JSON (.json) error file downloaded from GST portal to view/edit/add details .</a:t>
          </a:r>
        </a:p>
      </xdr:txBody>
    </xdr:sp>
    <xdr:clientData/>
  </xdr:twoCellAnchor>
  <xdr:twoCellAnchor>
    <xdr:from>
      <xdr:col>1</xdr:col>
      <xdr:colOff>190500</xdr:colOff>
      <xdr:row>4</xdr:row>
      <xdr:rowOff>942976</xdr:rowOff>
    </xdr:from>
    <xdr:to>
      <xdr:col>2</xdr:col>
      <xdr:colOff>971550</xdr:colOff>
      <xdr:row>4</xdr:row>
      <xdr:rowOff>1724026</xdr:rowOff>
    </xdr:to>
    <xdr:sp macro="[0]!Import_Error_JSON.Import_Error_JSON" textlink="">
      <xdr:nvSpPr>
        <xdr:cNvPr id="49" name="Rounded Rectangle 48">
          <a:extLst>
            <a:ext uri="{FF2B5EF4-FFF2-40B4-BE49-F238E27FC236}">
              <a16:creationId xmlns="" xmlns:a16="http://schemas.microsoft.com/office/drawing/2014/main" id="{00000000-0008-0000-0100-000031000000}"/>
            </a:ext>
          </a:extLst>
        </xdr:cNvPr>
        <xdr:cNvSpPr/>
      </xdr:nvSpPr>
      <xdr:spPr>
        <a:xfrm>
          <a:off x="342900" y="2228851"/>
          <a:ext cx="2733675" cy="781050"/>
        </a:xfrm>
        <a:prstGeom prst="roundRect">
          <a:avLst/>
        </a:prstGeom>
        <a:solidFill>
          <a:schemeClr val="bg1">
            <a:lumMod val="65000"/>
          </a:schemeClr>
        </a:solidFill>
        <a:scene3d>
          <a:camera prst="orthographicFront"/>
          <a:lightRig rig="threePt" dir="t"/>
        </a:scene3d>
        <a:sp3d>
          <a:bevelT prst="angle"/>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b="1">
              <a:solidFill>
                <a:schemeClr val="tx2">
                  <a:lumMod val="50000"/>
                </a:schemeClr>
              </a:solidFill>
            </a:rPr>
            <a:t>Open</a:t>
          </a:r>
          <a:r>
            <a:rPr lang="en-US" sz="1100" b="1" baseline="0">
              <a:solidFill>
                <a:schemeClr val="tx2">
                  <a:lumMod val="50000"/>
                </a:schemeClr>
              </a:solidFill>
            </a:rPr>
            <a:t> GSTR-9C JSON Error File</a:t>
          </a:r>
        </a:p>
        <a:p>
          <a:pPr algn="l"/>
          <a:r>
            <a:rPr lang="en-US" sz="1100" b="1" baseline="0">
              <a:solidFill>
                <a:schemeClr val="tx2">
                  <a:lumMod val="50000"/>
                </a:schemeClr>
              </a:solidFill>
            </a:rPr>
            <a:t>Downloaded from GST Portal</a:t>
          </a:r>
          <a:endParaRPr lang="en-US" sz="1100" b="1">
            <a:solidFill>
              <a:schemeClr val="tx2">
                <a:lumMod val="50000"/>
              </a:schemeClr>
            </a:solidFill>
          </a:endParaRPr>
        </a:p>
      </xdr:txBody>
    </xdr:sp>
    <xdr:clientData/>
  </xdr:twoCellAnchor>
  <xdr:twoCellAnchor>
    <xdr:from>
      <xdr:col>2</xdr:col>
      <xdr:colOff>219074</xdr:colOff>
      <xdr:row>4</xdr:row>
      <xdr:rowOff>1028700</xdr:rowOff>
    </xdr:from>
    <xdr:to>
      <xdr:col>2</xdr:col>
      <xdr:colOff>866775</xdr:colOff>
      <xdr:row>4</xdr:row>
      <xdr:rowOff>1616076</xdr:rowOff>
    </xdr:to>
    <xdr:grpSp>
      <xdr:nvGrpSpPr>
        <xdr:cNvPr id="50" name="Group 49">
          <a:extLst>
            <a:ext uri="{FF2B5EF4-FFF2-40B4-BE49-F238E27FC236}">
              <a16:creationId xmlns="" xmlns:a16="http://schemas.microsoft.com/office/drawing/2014/main" id="{00000000-0008-0000-0100-000032000000}"/>
            </a:ext>
          </a:extLst>
        </xdr:cNvPr>
        <xdr:cNvGrpSpPr/>
      </xdr:nvGrpSpPr>
      <xdr:grpSpPr>
        <a:xfrm>
          <a:off x="2324099" y="2314575"/>
          <a:ext cx="647701" cy="587376"/>
          <a:chOff x="4518026" y="3082926"/>
          <a:chExt cx="1162050" cy="977900"/>
        </a:xfrm>
      </xdr:grpSpPr>
      <xdr:sp macro="" textlink="">
        <xdr:nvSpPr>
          <xdr:cNvPr id="51" name="Freeform 50">
            <a:extLst>
              <a:ext uri="{FF2B5EF4-FFF2-40B4-BE49-F238E27FC236}">
                <a16:creationId xmlns="" xmlns:a16="http://schemas.microsoft.com/office/drawing/2014/main" id="{00000000-0008-0000-0100-000033000000}"/>
              </a:ext>
            </a:extLst>
          </xdr:cNvPr>
          <xdr:cNvSpPr>
            <a:spLocks/>
          </xdr:cNvSpPr>
        </xdr:nvSpPr>
        <xdr:spPr bwMode="auto">
          <a:xfrm>
            <a:off x="4518026" y="3082926"/>
            <a:ext cx="1162050" cy="977900"/>
          </a:xfrm>
          <a:custGeom>
            <a:avLst/>
            <a:gdLst>
              <a:gd name="T0" fmla="*/ 732 w 732"/>
              <a:gd name="T1" fmla="*/ 470 h 616"/>
              <a:gd name="T2" fmla="*/ 378 w 732"/>
              <a:gd name="T3" fmla="*/ 616 h 616"/>
              <a:gd name="T4" fmla="*/ 0 w 732"/>
              <a:gd name="T5" fmla="*/ 470 h 616"/>
              <a:gd name="T6" fmla="*/ 0 w 732"/>
              <a:gd name="T7" fmla="*/ 312 h 616"/>
              <a:gd name="T8" fmla="*/ 256 w 732"/>
              <a:gd name="T9" fmla="*/ 259 h 616"/>
              <a:gd name="T10" fmla="*/ 179 w 732"/>
              <a:gd name="T11" fmla="*/ 155 h 616"/>
              <a:gd name="T12" fmla="*/ 226 w 732"/>
              <a:gd name="T13" fmla="*/ 148 h 616"/>
              <a:gd name="T14" fmla="*/ 281 w 732"/>
              <a:gd name="T15" fmla="*/ 155 h 616"/>
              <a:gd name="T16" fmla="*/ 281 w 732"/>
              <a:gd name="T17" fmla="*/ 4 h 616"/>
              <a:gd name="T18" fmla="*/ 331 w 732"/>
              <a:gd name="T19" fmla="*/ 0 h 616"/>
              <a:gd name="T20" fmla="*/ 482 w 732"/>
              <a:gd name="T21" fmla="*/ 11 h 616"/>
              <a:gd name="T22" fmla="*/ 482 w 732"/>
              <a:gd name="T23" fmla="*/ 182 h 616"/>
              <a:gd name="T24" fmla="*/ 604 w 732"/>
              <a:gd name="T25" fmla="*/ 197 h 616"/>
              <a:gd name="T26" fmla="*/ 502 w 732"/>
              <a:gd name="T27" fmla="*/ 277 h 616"/>
              <a:gd name="T28" fmla="*/ 732 w 732"/>
              <a:gd name="T29" fmla="*/ 312 h 616"/>
              <a:gd name="T30" fmla="*/ 732 w 732"/>
              <a:gd name="T31" fmla="*/ 470 h 6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2" h="616">
                <a:moveTo>
                  <a:pt x="732" y="470"/>
                </a:moveTo>
                <a:lnTo>
                  <a:pt x="378" y="616"/>
                </a:lnTo>
                <a:lnTo>
                  <a:pt x="0" y="470"/>
                </a:lnTo>
                <a:lnTo>
                  <a:pt x="0" y="312"/>
                </a:lnTo>
                <a:lnTo>
                  <a:pt x="256" y="259"/>
                </a:lnTo>
                <a:lnTo>
                  <a:pt x="179" y="155"/>
                </a:lnTo>
                <a:lnTo>
                  <a:pt x="226" y="148"/>
                </a:lnTo>
                <a:lnTo>
                  <a:pt x="281" y="155"/>
                </a:lnTo>
                <a:lnTo>
                  <a:pt x="281" y="4"/>
                </a:lnTo>
                <a:lnTo>
                  <a:pt x="331" y="0"/>
                </a:lnTo>
                <a:lnTo>
                  <a:pt x="482" y="11"/>
                </a:lnTo>
                <a:lnTo>
                  <a:pt x="482" y="182"/>
                </a:lnTo>
                <a:lnTo>
                  <a:pt x="604" y="197"/>
                </a:lnTo>
                <a:lnTo>
                  <a:pt x="502" y="277"/>
                </a:lnTo>
                <a:lnTo>
                  <a:pt x="732" y="312"/>
                </a:lnTo>
                <a:lnTo>
                  <a:pt x="732" y="470"/>
                </a:lnTo>
                <a:close/>
              </a:path>
            </a:pathLst>
          </a:custGeom>
          <a:solidFill>
            <a:schemeClr val="accent5">
              <a:lumMod val="50000"/>
            </a:schemeClr>
          </a:solidFill>
          <a:ln w="9525">
            <a:no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2" name="Freeform 51">
            <a:extLst>
              <a:ext uri="{FF2B5EF4-FFF2-40B4-BE49-F238E27FC236}">
                <a16:creationId xmlns="" xmlns:a16="http://schemas.microsoft.com/office/drawing/2014/main" id="{00000000-0008-0000-0100-000034000000}"/>
              </a:ext>
            </a:extLst>
          </xdr:cNvPr>
          <xdr:cNvSpPr>
            <a:spLocks/>
          </xdr:cNvSpPr>
        </xdr:nvSpPr>
        <xdr:spPr bwMode="auto">
          <a:xfrm>
            <a:off x="4579938" y="3508376"/>
            <a:ext cx="1033463" cy="315913"/>
          </a:xfrm>
          <a:custGeom>
            <a:avLst/>
            <a:gdLst>
              <a:gd name="T0" fmla="*/ 651 w 651"/>
              <a:gd name="T1" fmla="*/ 52 h 199"/>
              <a:gd name="T2" fmla="*/ 449 w 651"/>
              <a:gd name="T3" fmla="*/ 19 h 199"/>
              <a:gd name="T4" fmla="*/ 350 w 651"/>
              <a:gd name="T5" fmla="*/ 94 h 199"/>
              <a:gd name="T6" fmla="*/ 301 w 651"/>
              <a:gd name="T7" fmla="*/ 106 h 199"/>
              <a:gd name="T8" fmla="*/ 223 w 651"/>
              <a:gd name="T9" fmla="*/ 0 h 199"/>
              <a:gd name="T10" fmla="*/ 0 w 651"/>
              <a:gd name="T11" fmla="*/ 48 h 199"/>
              <a:gd name="T12" fmla="*/ 339 w 651"/>
              <a:gd name="T13" fmla="*/ 131 h 199"/>
              <a:gd name="T14" fmla="*/ 402 w 651"/>
              <a:gd name="T15" fmla="*/ 115 h 199"/>
              <a:gd name="T16" fmla="*/ 423 w 651"/>
              <a:gd name="T17" fmla="*/ 121 h 199"/>
              <a:gd name="T18" fmla="*/ 462 w 651"/>
              <a:gd name="T19" fmla="*/ 199 h 199"/>
              <a:gd name="T20" fmla="*/ 588 w 651"/>
              <a:gd name="T21" fmla="*/ 158 h 199"/>
              <a:gd name="T22" fmla="*/ 599 w 651"/>
              <a:gd name="T23" fmla="*/ 65 h 199"/>
              <a:gd name="T24" fmla="*/ 651 w 651"/>
              <a:gd name="T25" fmla="*/ 52 h 1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1" h="199">
                <a:moveTo>
                  <a:pt x="651" y="52"/>
                </a:moveTo>
                <a:lnTo>
                  <a:pt x="449" y="19"/>
                </a:lnTo>
                <a:lnTo>
                  <a:pt x="350" y="94"/>
                </a:lnTo>
                <a:lnTo>
                  <a:pt x="301" y="106"/>
                </a:lnTo>
                <a:lnTo>
                  <a:pt x="223" y="0"/>
                </a:lnTo>
                <a:lnTo>
                  <a:pt x="0" y="48"/>
                </a:lnTo>
                <a:lnTo>
                  <a:pt x="339" y="131"/>
                </a:lnTo>
                <a:lnTo>
                  <a:pt x="402" y="115"/>
                </a:lnTo>
                <a:lnTo>
                  <a:pt x="423" y="121"/>
                </a:lnTo>
                <a:lnTo>
                  <a:pt x="462" y="199"/>
                </a:lnTo>
                <a:lnTo>
                  <a:pt x="588" y="158"/>
                </a:lnTo>
                <a:lnTo>
                  <a:pt x="599" y="65"/>
                </a:lnTo>
                <a:lnTo>
                  <a:pt x="651" y="52"/>
                </a:lnTo>
                <a:close/>
              </a:path>
            </a:pathLst>
          </a:custGeom>
          <a:solidFill>
            <a:srgbClr val="FFFFFF"/>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3" name="Freeform 52">
            <a:extLst>
              <a:ext uri="{FF2B5EF4-FFF2-40B4-BE49-F238E27FC236}">
                <a16:creationId xmlns="" xmlns:a16="http://schemas.microsoft.com/office/drawing/2014/main" id="{00000000-0008-0000-0100-000035000000}"/>
              </a:ext>
            </a:extLst>
          </xdr:cNvPr>
          <xdr:cNvSpPr>
            <a:spLocks/>
          </xdr:cNvSpPr>
        </xdr:nvSpPr>
        <xdr:spPr bwMode="auto">
          <a:xfrm>
            <a:off x="4832351" y="3325813"/>
            <a:ext cx="131763" cy="28575"/>
          </a:xfrm>
          <a:custGeom>
            <a:avLst/>
            <a:gdLst>
              <a:gd name="T0" fmla="*/ 83 w 83"/>
              <a:gd name="T1" fmla="*/ 18 h 18"/>
              <a:gd name="T2" fmla="*/ 83 w 83"/>
              <a:gd name="T3" fmla="*/ 9 h 18"/>
              <a:gd name="T4" fmla="*/ 29 w 83"/>
              <a:gd name="T5" fmla="*/ 0 h 18"/>
              <a:gd name="T6" fmla="*/ 0 w 83"/>
              <a:gd name="T7" fmla="*/ 6 h 18"/>
              <a:gd name="T8" fmla="*/ 83 w 83"/>
              <a:gd name="T9" fmla="*/ 18 h 18"/>
            </a:gdLst>
            <a:ahLst/>
            <a:cxnLst>
              <a:cxn ang="0">
                <a:pos x="T0" y="T1"/>
              </a:cxn>
              <a:cxn ang="0">
                <a:pos x="T2" y="T3"/>
              </a:cxn>
              <a:cxn ang="0">
                <a:pos x="T4" y="T5"/>
              </a:cxn>
              <a:cxn ang="0">
                <a:pos x="T6" y="T7"/>
              </a:cxn>
              <a:cxn ang="0">
                <a:pos x="T8" y="T9"/>
              </a:cxn>
            </a:cxnLst>
            <a:rect l="0" t="0" r="r" b="b"/>
            <a:pathLst>
              <a:path w="83" h="18">
                <a:moveTo>
                  <a:pt x="83" y="18"/>
                </a:moveTo>
                <a:lnTo>
                  <a:pt x="83" y="9"/>
                </a:lnTo>
                <a:lnTo>
                  <a:pt x="29" y="0"/>
                </a:lnTo>
                <a:lnTo>
                  <a:pt x="0" y="6"/>
                </a:lnTo>
                <a:lnTo>
                  <a:pt x="83" y="18"/>
                </a:lnTo>
                <a:close/>
              </a:path>
            </a:pathLst>
          </a:custGeom>
          <a:solidFill>
            <a:srgbClr val="1E1E1C"/>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sp macro="" textlink="">
        <xdr:nvSpPr>
          <xdr:cNvPr id="54" name="Freeform 53">
            <a:extLst>
              <a:ext uri="{FF2B5EF4-FFF2-40B4-BE49-F238E27FC236}">
                <a16:creationId xmlns="" xmlns:a16="http://schemas.microsoft.com/office/drawing/2014/main" id="{00000000-0008-0000-0100-000036000000}"/>
              </a:ext>
            </a:extLst>
          </xdr:cNvPr>
          <xdr:cNvSpPr>
            <a:spLocks/>
          </xdr:cNvSpPr>
        </xdr:nvSpPr>
        <xdr:spPr bwMode="auto">
          <a:xfrm>
            <a:off x="4984751" y="3089276"/>
            <a:ext cx="468313" cy="573088"/>
          </a:xfrm>
          <a:custGeom>
            <a:avLst/>
            <a:gdLst>
              <a:gd name="T0" fmla="*/ 295 w 295"/>
              <a:gd name="T1" fmla="*/ 197 h 361"/>
              <a:gd name="T2" fmla="*/ 178 w 295"/>
              <a:gd name="T3" fmla="*/ 183 h 361"/>
              <a:gd name="T4" fmla="*/ 178 w 295"/>
              <a:gd name="T5" fmla="*/ 12 h 361"/>
              <a:gd name="T6" fmla="*/ 36 w 295"/>
              <a:gd name="T7" fmla="*/ 0 h 361"/>
              <a:gd name="T8" fmla="*/ 0 w 295"/>
              <a:gd name="T9" fmla="*/ 4 h 361"/>
              <a:gd name="T10" fmla="*/ 136 w 295"/>
              <a:gd name="T11" fmla="*/ 14 h 361"/>
              <a:gd name="T12" fmla="*/ 136 w 295"/>
              <a:gd name="T13" fmla="*/ 189 h 361"/>
              <a:gd name="T14" fmla="*/ 250 w 295"/>
              <a:gd name="T15" fmla="*/ 203 h 361"/>
              <a:gd name="T16" fmla="*/ 53 w 295"/>
              <a:gd name="T17" fmla="*/ 361 h 361"/>
              <a:gd name="T18" fmla="*/ 91 w 295"/>
              <a:gd name="T19" fmla="*/ 353 h 361"/>
              <a:gd name="T20" fmla="*/ 295 w 295"/>
              <a:gd name="T21" fmla="*/ 197 h 3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295" h="361">
                <a:moveTo>
                  <a:pt x="295" y="197"/>
                </a:moveTo>
                <a:lnTo>
                  <a:pt x="178" y="183"/>
                </a:lnTo>
                <a:lnTo>
                  <a:pt x="178" y="12"/>
                </a:lnTo>
                <a:lnTo>
                  <a:pt x="36" y="0"/>
                </a:lnTo>
                <a:lnTo>
                  <a:pt x="0" y="4"/>
                </a:lnTo>
                <a:lnTo>
                  <a:pt x="136" y="14"/>
                </a:lnTo>
                <a:lnTo>
                  <a:pt x="136" y="189"/>
                </a:lnTo>
                <a:lnTo>
                  <a:pt x="250" y="203"/>
                </a:lnTo>
                <a:lnTo>
                  <a:pt x="53" y="361"/>
                </a:lnTo>
                <a:lnTo>
                  <a:pt x="91" y="353"/>
                </a:lnTo>
                <a:lnTo>
                  <a:pt x="295" y="197"/>
                </a:lnTo>
                <a:close/>
              </a:path>
            </a:pathLst>
          </a:custGeom>
          <a:solidFill>
            <a:srgbClr val="2B9BD7"/>
          </a:solidFill>
          <a:ln w="9525">
            <a:solidFill>
              <a:srgbClr val="000000"/>
            </a:solidFill>
            <a:round/>
            <a:headEnd/>
            <a:tailEnd/>
          </a:ln>
          <a:extLst/>
        </xdr:spPr>
        <xdr:txBody>
          <a:bodyPr vert="horz" wrap="square" lIns="91440" tIns="45720" rIns="91440" bIns="45720" numCol="1" anchor="t" anchorCtr="0" compatLnSpc="1">
            <a:prstTxWarp prst="textNoShape">
              <a:avLst/>
            </a:prstTxWarp>
          </a:bodyPr>
          <a:lstStyle>
            <a:defPPr>
              <a:defRPr lang="en-US"/>
            </a:defPPr>
            <a:lvl1pPr marL="0" algn="l" defTabSz="1218987" rtl="0" eaLnBrk="1" latinLnBrk="0" hangingPunct="1">
              <a:defRPr sz="2400" kern="1200">
                <a:solidFill>
                  <a:schemeClr val="tx1"/>
                </a:solidFill>
                <a:latin typeface="+mn-lt"/>
                <a:ea typeface="+mn-ea"/>
                <a:cs typeface="+mn-cs"/>
              </a:defRPr>
            </a:lvl1pPr>
            <a:lvl2pPr marL="609493" algn="l" defTabSz="1218987" rtl="0" eaLnBrk="1" latinLnBrk="0" hangingPunct="1">
              <a:defRPr sz="2400" kern="1200">
                <a:solidFill>
                  <a:schemeClr val="tx1"/>
                </a:solidFill>
                <a:latin typeface="+mn-lt"/>
                <a:ea typeface="+mn-ea"/>
                <a:cs typeface="+mn-cs"/>
              </a:defRPr>
            </a:lvl2pPr>
            <a:lvl3pPr marL="1218987" algn="l" defTabSz="1218987" rtl="0" eaLnBrk="1" latinLnBrk="0" hangingPunct="1">
              <a:defRPr sz="2400" kern="1200">
                <a:solidFill>
                  <a:schemeClr val="tx1"/>
                </a:solidFill>
                <a:latin typeface="+mn-lt"/>
                <a:ea typeface="+mn-ea"/>
                <a:cs typeface="+mn-cs"/>
              </a:defRPr>
            </a:lvl3pPr>
            <a:lvl4pPr marL="1828480" algn="l" defTabSz="1218987" rtl="0" eaLnBrk="1" latinLnBrk="0" hangingPunct="1">
              <a:defRPr sz="2400" kern="1200">
                <a:solidFill>
                  <a:schemeClr val="tx1"/>
                </a:solidFill>
                <a:latin typeface="+mn-lt"/>
                <a:ea typeface="+mn-ea"/>
                <a:cs typeface="+mn-cs"/>
              </a:defRPr>
            </a:lvl4pPr>
            <a:lvl5pPr marL="2437973" algn="l" defTabSz="1218987" rtl="0" eaLnBrk="1" latinLnBrk="0" hangingPunct="1">
              <a:defRPr sz="2400" kern="1200">
                <a:solidFill>
                  <a:schemeClr val="tx1"/>
                </a:solidFill>
                <a:latin typeface="+mn-lt"/>
                <a:ea typeface="+mn-ea"/>
                <a:cs typeface="+mn-cs"/>
              </a:defRPr>
            </a:lvl5pPr>
            <a:lvl6pPr marL="3047467" algn="l" defTabSz="1218987" rtl="0" eaLnBrk="1" latinLnBrk="0" hangingPunct="1">
              <a:defRPr sz="2400" kern="1200">
                <a:solidFill>
                  <a:schemeClr val="tx1"/>
                </a:solidFill>
                <a:latin typeface="+mn-lt"/>
                <a:ea typeface="+mn-ea"/>
                <a:cs typeface="+mn-cs"/>
              </a:defRPr>
            </a:lvl6pPr>
            <a:lvl7pPr marL="3656960" algn="l" defTabSz="1218987" rtl="0" eaLnBrk="1" latinLnBrk="0" hangingPunct="1">
              <a:defRPr sz="2400" kern="1200">
                <a:solidFill>
                  <a:schemeClr val="tx1"/>
                </a:solidFill>
                <a:latin typeface="+mn-lt"/>
                <a:ea typeface="+mn-ea"/>
                <a:cs typeface="+mn-cs"/>
              </a:defRPr>
            </a:lvl7pPr>
            <a:lvl8pPr marL="4266453" algn="l" defTabSz="1218987" rtl="0" eaLnBrk="1" latinLnBrk="0" hangingPunct="1">
              <a:defRPr sz="2400" kern="1200">
                <a:solidFill>
                  <a:schemeClr val="tx1"/>
                </a:solidFill>
                <a:latin typeface="+mn-lt"/>
                <a:ea typeface="+mn-ea"/>
                <a:cs typeface="+mn-cs"/>
              </a:defRPr>
            </a:lvl8pPr>
            <a:lvl9pPr marL="4875947" algn="l" defTabSz="1218987" rtl="0" eaLnBrk="1" latinLnBrk="0" hangingPunct="1">
              <a:defRPr sz="2400" kern="1200">
                <a:solidFill>
                  <a:schemeClr val="tx1"/>
                </a:solidFill>
                <a:latin typeface="+mn-lt"/>
                <a:ea typeface="+mn-ea"/>
                <a:cs typeface="+mn-cs"/>
              </a:defRPr>
            </a:lvl9pPr>
          </a:lstStyle>
          <a:p>
            <a:endParaRPr lang="en-US"/>
          </a:p>
        </xdr:txBody>
      </xdr:sp>
    </xdr:grpSp>
    <xdr:clientData/>
  </xdr:twoCellAnchor>
  <xdr:twoCellAnchor>
    <xdr:from>
      <xdr:col>2</xdr:col>
      <xdr:colOff>1152525</xdr:colOff>
      <xdr:row>4</xdr:row>
      <xdr:rowOff>1152524</xdr:rowOff>
    </xdr:from>
    <xdr:to>
      <xdr:col>3</xdr:col>
      <xdr:colOff>161926</xdr:colOff>
      <xdr:row>4</xdr:row>
      <xdr:rowOff>1504949</xdr:rowOff>
    </xdr:to>
    <xdr:sp macro="" textlink="">
      <xdr:nvSpPr>
        <xdr:cNvPr id="55" name="Left Arrow 54">
          <a:extLst>
            <a:ext uri="{FF2B5EF4-FFF2-40B4-BE49-F238E27FC236}">
              <a16:creationId xmlns="" xmlns:a16="http://schemas.microsoft.com/office/drawing/2014/main" id="{00000000-0008-0000-0100-000037000000}"/>
            </a:ext>
          </a:extLst>
        </xdr:cNvPr>
        <xdr:cNvSpPr/>
      </xdr:nvSpPr>
      <xdr:spPr>
        <a:xfrm>
          <a:off x="3257550" y="2438399"/>
          <a:ext cx="523876" cy="352425"/>
        </a:xfrm>
        <a:prstGeom prst="lef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363538</xdr:colOff>
      <xdr:row>1</xdr:row>
      <xdr:rowOff>214313</xdr:rowOff>
    </xdr:to>
    <xdr:pic>
      <xdr:nvPicPr>
        <xdr:cNvPr id="2" name="Picture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4962" cy="528637"/>
        </a:xfrm>
        <a:prstGeom prst="rect">
          <a:avLst/>
        </a:prstGeom>
      </xdr:spPr>
    </xdr:pic>
    <xdr:clientData/>
  </xdr:twoCellAnchor>
  <xdr:twoCellAnchor>
    <xdr:from>
      <xdr:col>6</xdr:col>
      <xdr:colOff>419100</xdr:colOff>
      <xdr:row>0</xdr:row>
      <xdr:rowOff>85725</xdr:rowOff>
    </xdr:from>
    <xdr:to>
      <xdr:col>7</xdr:col>
      <xdr:colOff>180975</xdr:colOff>
      <xdr:row>1</xdr:row>
      <xdr:rowOff>200025</xdr:rowOff>
    </xdr:to>
    <xdr:sp macro="[0]!Home" textlink="">
      <xdr:nvSpPr>
        <xdr:cNvPr id="33" name="Rounded Rectangle 32">
          <a:extLst>
            <a:ext uri="{FF2B5EF4-FFF2-40B4-BE49-F238E27FC236}">
              <a16:creationId xmlns="" xmlns:a16="http://schemas.microsoft.com/office/drawing/2014/main" id="{00000000-0008-0000-0200-000021000000}"/>
            </a:ext>
          </a:extLst>
        </xdr:cNvPr>
        <xdr:cNvSpPr/>
      </xdr:nvSpPr>
      <xdr:spPr>
        <a:xfrm>
          <a:off x="8362950" y="857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8</xdr:col>
      <xdr:colOff>123825</xdr:colOff>
      <xdr:row>2</xdr:row>
      <xdr:rowOff>66675</xdr:rowOff>
    </xdr:from>
    <xdr:to>
      <xdr:col>8</xdr:col>
      <xdr:colOff>1400175</xdr:colOff>
      <xdr:row>2</xdr:row>
      <xdr:rowOff>638175</xdr:rowOff>
    </xdr:to>
    <xdr:sp macro="[0]!Validate_Table5" textlink="">
      <xdr:nvSpPr>
        <xdr:cNvPr id="46" name="Rounded Rectangle 45">
          <a:extLst>
            <a:ext uri="{FF2B5EF4-FFF2-40B4-BE49-F238E27FC236}">
              <a16:creationId xmlns="" xmlns:a16="http://schemas.microsoft.com/office/drawing/2014/main" id="{00000000-0008-0000-0200-00002E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0" name="Group 39">
          <a:extLst>
            <a:ext uri="{FF2B5EF4-FFF2-40B4-BE49-F238E27FC236}">
              <a16:creationId xmlns="" xmlns:a16="http://schemas.microsoft.com/office/drawing/2014/main" id="{00000000-0008-0000-0200-000028000000}"/>
            </a:ext>
          </a:extLst>
        </xdr:cNvPr>
        <xdr:cNvGrpSpPr/>
      </xdr:nvGrpSpPr>
      <xdr:grpSpPr>
        <a:xfrm>
          <a:off x="10963275" y="723901"/>
          <a:ext cx="428625" cy="438150"/>
          <a:chOff x="1982229" y="2092319"/>
          <a:chExt cx="1029931" cy="1029921"/>
        </a:xfrm>
      </xdr:grpSpPr>
      <xdr:sp macro="" textlink="">
        <xdr:nvSpPr>
          <xdr:cNvPr id="41" name="Oval 40">
            <a:extLst>
              <a:ext uri="{FF2B5EF4-FFF2-40B4-BE49-F238E27FC236}">
                <a16:creationId xmlns="" xmlns:a16="http://schemas.microsoft.com/office/drawing/2014/main" id="{00000000-0008-0000-0200-000029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42" name="Freeform 41">
            <a:extLst>
              <a:ext uri="{FF2B5EF4-FFF2-40B4-BE49-F238E27FC236}">
                <a16:creationId xmlns="" xmlns:a16="http://schemas.microsoft.com/office/drawing/2014/main" id="{00000000-0008-0000-0200-00002A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43" name="Group 42">
            <a:extLst>
              <a:ext uri="{FF2B5EF4-FFF2-40B4-BE49-F238E27FC236}">
                <a16:creationId xmlns="" xmlns:a16="http://schemas.microsoft.com/office/drawing/2014/main" id="{00000000-0008-0000-0200-00002B000000}"/>
              </a:ext>
            </a:extLst>
          </xdr:cNvPr>
          <xdr:cNvGrpSpPr/>
        </xdr:nvGrpSpPr>
        <xdr:grpSpPr>
          <a:xfrm>
            <a:off x="2227648" y="2566818"/>
            <a:ext cx="201061" cy="359352"/>
            <a:chOff x="6470288" y="1855804"/>
            <a:chExt cx="258298" cy="461654"/>
          </a:xfrm>
          <a:solidFill>
            <a:srgbClr val="2950BD"/>
          </a:solidFill>
        </xdr:grpSpPr>
        <xdr:sp macro="" textlink="">
          <xdr:nvSpPr>
            <xdr:cNvPr id="44" name="Rounded Rectangle 43">
              <a:extLst>
                <a:ext uri="{FF2B5EF4-FFF2-40B4-BE49-F238E27FC236}">
                  <a16:creationId xmlns="" xmlns:a16="http://schemas.microsoft.com/office/drawing/2014/main" id="{00000000-0008-0000-0200-00002C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45" name="Rounded Rectangle 44">
              <a:extLst>
                <a:ext uri="{FF2B5EF4-FFF2-40B4-BE49-F238E27FC236}">
                  <a16:creationId xmlns="" xmlns:a16="http://schemas.microsoft.com/office/drawing/2014/main" id="{00000000-0008-0000-0200-00002D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7</xdr:col>
      <xdr:colOff>314325</xdr:colOff>
      <xdr:row>0</xdr:row>
      <xdr:rowOff>95250</xdr:rowOff>
    </xdr:from>
    <xdr:to>
      <xdr:col>8</xdr:col>
      <xdr:colOff>180975</xdr:colOff>
      <xdr:row>1</xdr:row>
      <xdr:rowOff>209550</xdr:rowOff>
    </xdr:to>
    <xdr:sp macro="[0]!Previousheet" textlink="">
      <xdr:nvSpPr>
        <xdr:cNvPr id="47" name="Rounded Rectangle 46">
          <a:extLst>
            <a:ext uri="{FF2B5EF4-FFF2-40B4-BE49-F238E27FC236}">
              <a16:creationId xmlns="" xmlns:a16="http://schemas.microsoft.com/office/drawing/2014/main" id="{00000000-0008-0000-0200-00002F000000}"/>
            </a:ext>
          </a:extLst>
        </xdr:cNvPr>
        <xdr:cNvSpPr/>
      </xdr:nvSpPr>
      <xdr:spPr>
        <a:xfrm>
          <a:off x="953452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342900</xdr:colOff>
      <xdr:row>0</xdr:row>
      <xdr:rowOff>95250</xdr:rowOff>
    </xdr:from>
    <xdr:to>
      <xdr:col>8</xdr:col>
      <xdr:colOff>1381125</xdr:colOff>
      <xdr:row>1</xdr:row>
      <xdr:rowOff>209550</xdr:rowOff>
    </xdr:to>
    <xdr:sp macro="[0]!Nextsheet" textlink="">
      <xdr:nvSpPr>
        <xdr:cNvPr id="48" name="Rounded Rectangle 47">
          <a:extLst>
            <a:ext uri="{FF2B5EF4-FFF2-40B4-BE49-F238E27FC236}">
              <a16:creationId xmlns="" xmlns:a16="http://schemas.microsoft.com/office/drawing/2014/main" id="{00000000-0008-0000-0200-000030000000}"/>
            </a:ext>
          </a:extLst>
        </xdr:cNvPr>
        <xdr:cNvSpPr/>
      </xdr:nvSpPr>
      <xdr:spPr>
        <a:xfrm>
          <a:off x="10734675" y="952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692727</xdr:colOff>
      <xdr:row>0</xdr:row>
      <xdr:rowOff>87457</xdr:rowOff>
    </xdr:from>
    <xdr:to>
      <xdr:col>6</xdr:col>
      <xdr:colOff>247650</xdr:colOff>
      <xdr:row>1</xdr:row>
      <xdr:rowOff>181841</xdr:rowOff>
    </xdr:to>
    <xdr:sp macro="[0]!_xludf.Help" textlink="">
      <xdr:nvSpPr>
        <xdr:cNvPr id="14" name="Rounded Rectangle 13">
          <a:extLst>
            <a:ext uri="{FF2B5EF4-FFF2-40B4-BE49-F238E27FC236}">
              <a16:creationId xmlns="" xmlns:a16="http://schemas.microsoft.com/office/drawing/2014/main" id="{00000000-0008-0000-0200-00000E000000}"/>
            </a:ext>
          </a:extLst>
        </xdr:cNvPr>
        <xdr:cNvSpPr/>
      </xdr:nvSpPr>
      <xdr:spPr>
        <a:xfrm>
          <a:off x="6806045" y="87457"/>
          <a:ext cx="1096241" cy="432089"/>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 xmlns:a16="http://schemas.microsoft.com/office/drawing/2014/main" id="{00000000-0008-0000-0300-00000E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 xmlns:a16="http://schemas.microsoft.com/office/drawing/2014/main" id="{00000000-0008-0000-0300-00000F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 xmlns:a16="http://schemas.microsoft.com/office/drawing/2014/main" id="{00000000-0008-0000-03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3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300-000012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3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3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 xmlns:a16="http://schemas.microsoft.com/office/drawing/2014/main" id="{00000000-0008-0000-0300-000015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 xmlns:a16="http://schemas.microsoft.com/office/drawing/2014/main" id="{00000000-0008-0000-0300-000016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 xmlns:a16="http://schemas.microsoft.com/office/drawing/2014/main" id="{00000000-0008-0000-0300-000017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11</xdr:col>
      <xdr:colOff>161925</xdr:colOff>
      <xdr:row>3</xdr:row>
      <xdr:rowOff>419100</xdr:rowOff>
    </xdr:from>
    <xdr:to>
      <xdr:col>12</xdr:col>
      <xdr:colOff>219075</xdr:colOff>
      <xdr:row>4</xdr:row>
      <xdr:rowOff>342900</xdr:rowOff>
    </xdr:to>
    <xdr:sp macro="[0]!Add_reasons_sheet" textlink="">
      <xdr:nvSpPr>
        <xdr:cNvPr id="13" name="Rounded Rectangle 12">
          <a:extLst>
            <a:ext uri="{FF2B5EF4-FFF2-40B4-BE49-F238E27FC236}">
              <a16:creationId xmlns="" xmlns:a16="http://schemas.microsoft.com/office/drawing/2014/main" id="{00000000-0008-0000-0300-000019000000}"/>
            </a:ext>
          </a:extLst>
        </xdr:cNvPr>
        <xdr:cNvSpPr/>
      </xdr:nvSpPr>
      <xdr:spPr>
        <a:xfrm>
          <a:off x="18592800" y="1838325"/>
          <a:ext cx="666750" cy="3524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twoCellAnchor editAs="oneCell">
    <xdr:from>
      <xdr:col>5</xdr:col>
      <xdr:colOff>695324</xdr:colOff>
      <xdr:row>0</xdr:row>
      <xdr:rowOff>47624</xdr:rowOff>
    </xdr:from>
    <xdr:to>
      <xdr:col>6</xdr:col>
      <xdr:colOff>314325</xdr:colOff>
      <xdr:row>1</xdr:row>
      <xdr:rowOff>222412</xdr:rowOff>
    </xdr:to>
    <xdr:pic macro="[0]!_xludf.Help">
      <xdr:nvPicPr>
        <xdr:cNvPr id="14" name="Picture 13">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stretch>
          <a:fillRect/>
        </a:stretch>
      </xdr:blipFill>
      <xdr:spPr>
        <a:xfrm>
          <a:off x="7096124" y="47624"/>
          <a:ext cx="1162051" cy="5462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47625</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361949"/>
        </a:xfrm>
        <a:prstGeom prst="rect">
          <a:avLst/>
        </a:prstGeom>
      </xdr:spPr>
    </xdr:pic>
    <xdr:clientData/>
  </xdr:twoCellAnchor>
  <xdr:twoCellAnchor>
    <xdr:from>
      <xdr:col>7</xdr:col>
      <xdr:colOff>123825</xdr:colOff>
      <xdr:row>2</xdr:row>
      <xdr:rowOff>66675</xdr:rowOff>
    </xdr:from>
    <xdr:to>
      <xdr:col>7</xdr:col>
      <xdr:colOff>1400175</xdr:colOff>
      <xdr:row>2</xdr:row>
      <xdr:rowOff>638175</xdr:rowOff>
    </xdr:to>
    <xdr:sp macro="[0]!Validate_Table7" textlink="">
      <xdr:nvSpPr>
        <xdr:cNvPr id="28" name="Rounded Rectangle 27">
          <a:extLst>
            <a:ext uri="{FF2B5EF4-FFF2-40B4-BE49-F238E27FC236}">
              <a16:creationId xmlns="" xmlns:a16="http://schemas.microsoft.com/office/drawing/2014/main" id="{00000000-0008-0000-04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7</xdr:col>
      <xdr:colOff>847725</xdr:colOff>
      <xdr:row>2</xdr:row>
      <xdr:rowOff>104776</xdr:rowOff>
    </xdr:from>
    <xdr:to>
      <xdr:col>7</xdr:col>
      <xdr:colOff>1276350</xdr:colOff>
      <xdr:row>2</xdr:row>
      <xdr:rowOff>542926</xdr:rowOff>
    </xdr:to>
    <xdr:grpSp>
      <xdr:nvGrpSpPr>
        <xdr:cNvPr id="29" name="Group 28">
          <a:extLst>
            <a:ext uri="{FF2B5EF4-FFF2-40B4-BE49-F238E27FC236}">
              <a16:creationId xmlns="" xmlns:a16="http://schemas.microsoft.com/office/drawing/2014/main" id="{00000000-0008-0000-0400-00001D000000}"/>
            </a:ext>
          </a:extLst>
        </xdr:cNvPr>
        <xdr:cNvGrpSpPr/>
      </xdr:nvGrpSpPr>
      <xdr:grpSpPr>
        <a:xfrm>
          <a:off x="7886700" y="97155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4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4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4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4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4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5</xdr:col>
      <xdr:colOff>390525</xdr:colOff>
      <xdr:row>1</xdr:row>
      <xdr:rowOff>38100</xdr:rowOff>
    </xdr:from>
    <xdr:to>
      <xdr:col>6</xdr:col>
      <xdr:colOff>152400</xdr:colOff>
      <xdr:row>1</xdr:row>
      <xdr:rowOff>485775</xdr:rowOff>
    </xdr:to>
    <xdr:sp macro="[0]!Home" textlink="">
      <xdr:nvSpPr>
        <xdr:cNvPr id="50" name="Rounded Rectangle 49">
          <a:extLst>
            <a:ext uri="{FF2B5EF4-FFF2-40B4-BE49-F238E27FC236}">
              <a16:creationId xmlns="" xmlns:a16="http://schemas.microsoft.com/office/drawing/2014/main" id="{00000000-0008-0000-0400-000032000000}"/>
            </a:ext>
          </a:extLst>
        </xdr:cNvPr>
        <xdr:cNvSpPr/>
      </xdr:nvSpPr>
      <xdr:spPr>
        <a:xfrm>
          <a:off x="6791325" y="3714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342900</xdr:colOff>
      <xdr:row>1</xdr:row>
      <xdr:rowOff>19050</xdr:rowOff>
    </xdr:from>
    <xdr:to>
      <xdr:col>7</xdr:col>
      <xdr:colOff>209550</xdr:colOff>
      <xdr:row>1</xdr:row>
      <xdr:rowOff>466725</xdr:rowOff>
    </xdr:to>
    <xdr:sp macro="[0]!Previousheet" textlink="">
      <xdr:nvSpPr>
        <xdr:cNvPr id="51" name="Rounded Rectangle 50">
          <a:extLst>
            <a:ext uri="{FF2B5EF4-FFF2-40B4-BE49-F238E27FC236}">
              <a16:creationId xmlns="" xmlns:a16="http://schemas.microsoft.com/office/drawing/2014/main" id="{00000000-0008-0000-0400-000033000000}"/>
            </a:ext>
          </a:extLst>
        </xdr:cNvPr>
        <xdr:cNvSpPr/>
      </xdr:nvSpPr>
      <xdr:spPr>
        <a:xfrm>
          <a:off x="80200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7</xdr:col>
      <xdr:colOff>390525</xdr:colOff>
      <xdr:row>1</xdr:row>
      <xdr:rowOff>19050</xdr:rowOff>
    </xdr:from>
    <xdr:to>
      <xdr:col>7</xdr:col>
      <xdr:colOff>1428750</xdr:colOff>
      <xdr:row>1</xdr:row>
      <xdr:rowOff>466725</xdr:rowOff>
    </xdr:to>
    <xdr:sp macro="[0]!Nextsheet" textlink="">
      <xdr:nvSpPr>
        <xdr:cNvPr id="52" name="Rounded Rectangle 51">
          <a:extLst>
            <a:ext uri="{FF2B5EF4-FFF2-40B4-BE49-F238E27FC236}">
              <a16:creationId xmlns="" xmlns:a16="http://schemas.microsoft.com/office/drawing/2014/main" id="{00000000-0008-0000-0400-000034000000}"/>
            </a:ext>
          </a:extLst>
        </xdr:cNvPr>
        <xdr:cNvSpPr/>
      </xdr:nvSpPr>
      <xdr:spPr>
        <a:xfrm>
          <a:off x="9239250" y="3524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4</xdr:col>
      <xdr:colOff>733425</xdr:colOff>
      <xdr:row>1</xdr:row>
      <xdr:rowOff>38100</xdr:rowOff>
    </xdr:from>
    <xdr:to>
      <xdr:col>5</xdr:col>
      <xdr:colOff>266699</xdr:colOff>
      <xdr:row>1</xdr:row>
      <xdr:rowOff>476250</xdr:rowOff>
    </xdr:to>
    <xdr:sp macro="[0]!_xludf.Help" textlink="">
      <xdr:nvSpPr>
        <xdr:cNvPr id="13" name="Rounded Rectangle 12">
          <a:extLst>
            <a:ext uri="{FF2B5EF4-FFF2-40B4-BE49-F238E27FC236}">
              <a16:creationId xmlns="" xmlns:a16="http://schemas.microsoft.com/office/drawing/2014/main" id="{00000000-0008-0000-0400-00000D000000}"/>
            </a:ext>
          </a:extLst>
        </xdr:cNvPr>
        <xdr:cNvSpPr/>
      </xdr:nvSpPr>
      <xdr:spPr>
        <a:xfrm>
          <a:off x="3771900" y="371475"/>
          <a:ext cx="1085849" cy="4381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276225</xdr:rowOff>
    </xdr:to>
    <xdr:pic>
      <xdr:nvPicPr>
        <xdr:cNvPr id="2" name="Picture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6286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 xmlns:a16="http://schemas.microsoft.com/office/drawing/2014/main" id="{00000000-0008-0000-05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 xmlns:a16="http://schemas.microsoft.com/office/drawing/2014/main" id="{00000000-0008-0000-05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 xmlns:a16="http://schemas.microsoft.com/office/drawing/2014/main" id="{00000000-0008-0000-05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5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5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5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5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476250</xdr:colOff>
      <xdr:row>0</xdr:row>
      <xdr:rowOff>66675</xdr:rowOff>
    </xdr:from>
    <xdr:to>
      <xdr:col>7</xdr:col>
      <xdr:colOff>238125</xdr:colOff>
      <xdr:row>1</xdr:row>
      <xdr:rowOff>180975</xdr:rowOff>
    </xdr:to>
    <xdr:sp macro="[0]!Home" textlink="">
      <xdr:nvSpPr>
        <xdr:cNvPr id="10" name="Rounded Rectangle 9">
          <a:extLst>
            <a:ext uri="{FF2B5EF4-FFF2-40B4-BE49-F238E27FC236}">
              <a16:creationId xmlns="" xmlns:a16="http://schemas.microsoft.com/office/drawing/2014/main" id="{00000000-0008-0000-0500-00000A000000}"/>
            </a:ext>
          </a:extLst>
        </xdr:cNvPr>
        <xdr:cNvSpPr/>
      </xdr:nvSpPr>
      <xdr:spPr>
        <a:xfrm>
          <a:off x="8420100"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 xmlns:a16="http://schemas.microsoft.com/office/drawing/2014/main" id="{00000000-0008-0000-05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 xmlns:a16="http://schemas.microsoft.com/office/drawing/2014/main" id="{00000000-0008-0000-05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733425</xdr:colOff>
      <xdr:row>0</xdr:row>
      <xdr:rowOff>66675</xdr:rowOff>
    </xdr:from>
    <xdr:to>
      <xdr:col>6</xdr:col>
      <xdr:colOff>342900</xdr:colOff>
      <xdr:row>1</xdr:row>
      <xdr:rowOff>190500</xdr:rowOff>
    </xdr:to>
    <xdr:sp macro="[0]!_xludf.Help" textlink="">
      <xdr:nvSpPr>
        <xdr:cNvPr id="13" name="Rounded Rectangle 12">
          <a:extLst>
            <a:ext uri="{FF2B5EF4-FFF2-40B4-BE49-F238E27FC236}">
              <a16:creationId xmlns="" xmlns:a16="http://schemas.microsoft.com/office/drawing/2014/main" id="{00000000-0008-0000-0500-00000D000000}"/>
            </a:ext>
          </a:extLst>
        </xdr:cNvPr>
        <xdr:cNvSpPr/>
      </xdr:nvSpPr>
      <xdr:spPr>
        <a:xfrm>
          <a:off x="7134225" y="66675"/>
          <a:ext cx="1152525" cy="4953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 xmlns:a16="http://schemas.microsoft.com/office/drawing/2014/main" id="{00000000-0008-0000-0500-00000F000000}"/>
            </a:ext>
          </a:extLst>
        </xdr:cNvPr>
        <xdr:cNvSpPr/>
      </xdr:nvSpPr>
      <xdr:spPr>
        <a:xfrm>
          <a:off x="179165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200025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5143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9" textlink="">
      <xdr:nvSpPr>
        <xdr:cNvPr id="28" name="Rounded Rectangle 27">
          <a:extLst>
            <a:ext uri="{FF2B5EF4-FFF2-40B4-BE49-F238E27FC236}">
              <a16:creationId xmlns="" xmlns:a16="http://schemas.microsoft.com/office/drawing/2014/main" id="{00000000-0008-0000-06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 xmlns:a16="http://schemas.microsoft.com/office/drawing/2014/main" id="{00000000-0008-0000-0600-00001D000000}"/>
            </a:ext>
          </a:extLst>
        </xdr:cNvPr>
        <xdr:cNvGrpSpPr/>
      </xdr:nvGrpSpPr>
      <xdr:grpSpPr>
        <a:xfrm>
          <a:off x="11620500" y="733426"/>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6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6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6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6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6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428625</xdr:colOff>
      <xdr:row>0</xdr:row>
      <xdr:rowOff>57150</xdr:rowOff>
    </xdr:from>
    <xdr:to>
      <xdr:col>7</xdr:col>
      <xdr:colOff>190500</xdr:colOff>
      <xdr:row>1</xdr:row>
      <xdr:rowOff>171450</xdr:rowOff>
    </xdr:to>
    <xdr:sp macro="[0]!Home" textlink="">
      <xdr:nvSpPr>
        <xdr:cNvPr id="43" name="Rounded Rectangle 42">
          <a:extLst>
            <a:ext uri="{FF2B5EF4-FFF2-40B4-BE49-F238E27FC236}">
              <a16:creationId xmlns="" xmlns:a16="http://schemas.microsoft.com/office/drawing/2014/main" id="{00000000-0008-0000-0600-00002B000000}"/>
            </a:ext>
          </a:extLst>
        </xdr:cNvPr>
        <xdr:cNvSpPr/>
      </xdr:nvSpPr>
      <xdr:spPr>
        <a:xfrm>
          <a:off x="8372475" y="5715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333375</xdr:colOff>
      <xdr:row>0</xdr:row>
      <xdr:rowOff>66675</xdr:rowOff>
    </xdr:from>
    <xdr:to>
      <xdr:col>8</xdr:col>
      <xdr:colOff>200025</xdr:colOff>
      <xdr:row>1</xdr:row>
      <xdr:rowOff>180975</xdr:rowOff>
    </xdr:to>
    <xdr:sp macro="[0]!Previousheet" textlink="">
      <xdr:nvSpPr>
        <xdr:cNvPr id="44" name="Rounded Rectangle 43">
          <a:extLst>
            <a:ext uri="{FF2B5EF4-FFF2-40B4-BE49-F238E27FC236}">
              <a16:creationId xmlns="" xmlns:a16="http://schemas.microsoft.com/office/drawing/2014/main" id="{00000000-0008-0000-0600-00002C000000}"/>
            </a:ext>
          </a:extLst>
        </xdr:cNvPr>
        <xdr:cNvSpPr/>
      </xdr:nvSpPr>
      <xdr:spPr>
        <a:xfrm>
          <a:off x="9553575"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352425</xdr:colOff>
      <xdr:row>0</xdr:row>
      <xdr:rowOff>66675</xdr:rowOff>
    </xdr:from>
    <xdr:to>
      <xdr:col>8</xdr:col>
      <xdr:colOff>1390650</xdr:colOff>
      <xdr:row>1</xdr:row>
      <xdr:rowOff>180975</xdr:rowOff>
    </xdr:to>
    <xdr:sp macro="[0]!Nextsheet" textlink="">
      <xdr:nvSpPr>
        <xdr:cNvPr id="45" name="Rounded Rectangle 44">
          <a:extLst>
            <a:ext uri="{FF2B5EF4-FFF2-40B4-BE49-F238E27FC236}">
              <a16:creationId xmlns="" xmlns:a16="http://schemas.microsoft.com/office/drawing/2014/main" id="{00000000-0008-0000-0600-00002D000000}"/>
            </a:ext>
          </a:extLst>
        </xdr:cNvPr>
        <xdr:cNvSpPr/>
      </xdr:nvSpPr>
      <xdr:spPr>
        <a:xfrm>
          <a:off x="10744200" y="6667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685801</xdr:colOff>
      <xdr:row>0</xdr:row>
      <xdr:rowOff>66675</xdr:rowOff>
    </xdr:from>
    <xdr:to>
      <xdr:col>6</xdr:col>
      <xdr:colOff>228601</xdr:colOff>
      <xdr:row>1</xdr:row>
      <xdr:rowOff>180975</xdr:rowOff>
    </xdr:to>
    <xdr:sp macro="[0]!_xludf.Help" textlink="">
      <xdr:nvSpPr>
        <xdr:cNvPr id="13" name="Rounded Rectangle 12">
          <a:extLst>
            <a:ext uri="{FF2B5EF4-FFF2-40B4-BE49-F238E27FC236}">
              <a16:creationId xmlns="" xmlns:a16="http://schemas.microsoft.com/office/drawing/2014/main" id="{00000000-0008-0000-0600-00000D000000}"/>
            </a:ext>
          </a:extLst>
        </xdr:cNvPr>
        <xdr:cNvSpPr/>
      </xdr:nvSpPr>
      <xdr:spPr>
        <a:xfrm>
          <a:off x="7467601" y="66675"/>
          <a:ext cx="1085850"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228600</xdr:rowOff>
    </xdr:to>
    <xdr:pic>
      <xdr:nvPicPr>
        <xdr:cNvPr id="2" name="Picture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58102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 xmlns:a16="http://schemas.microsoft.com/office/drawing/2014/main" id="{00000000-0008-0000-07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 xmlns:a16="http://schemas.microsoft.com/office/drawing/2014/main" id="{00000000-0008-0000-07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 xmlns:a16="http://schemas.microsoft.com/office/drawing/2014/main" id="{00000000-0008-0000-07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7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7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7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7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 xmlns:a16="http://schemas.microsoft.com/office/drawing/2014/main" id="{00000000-0008-0000-07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 xmlns:a16="http://schemas.microsoft.com/office/drawing/2014/main" id="{00000000-0008-0000-07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 xmlns:a16="http://schemas.microsoft.com/office/drawing/2014/main" id="{00000000-0008-0000-07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666750</xdr:colOff>
      <xdr:row>0</xdr:row>
      <xdr:rowOff>66675</xdr:rowOff>
    </xdr:from>
    <xdr:to>
      <xdr:col>6</xdr:col>
      <xdr:colOff>228600</xdr:colOff>
      <xdr:row>1</xdr:row>
      <xdr:rowOff>180975</xdr:rowOff>
    </xdr:to>
    <xdr:sp macro="[0]!_xludf.Help" textlink="">
      <xdr:nvSpPr>
        <xdr:cNvPr id="13" name="Rounded Rectangle 12">
          <a:extLst>
            <a:ext uri="{FF2B5EF4-FFF2-40B4-BE49-F238E27FC236}">
              <a16:creationId xmlns="" xmlns:a16="http://schemas.microsoft.com/office/drawing/2014/main" id="{00000000-0008-0000-0700-00000D000000}"/>
            </a:ext>
          </a:extLst>
        </xdr:cNvPr>
        <xdr:cNvSpPr/>
      </xdr:nvSpPr>
      <xdr:spPr>
        <a:xfrm>
          <a:off x="7067550" y="66675"/>
          <a:ext cx="110490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 xmlns:a16="http://schemas.microsoft.com/office/drawing/2014/main" id="{00000000-0008-0000-0700-00000E000000}"/>
            </a:ext>
          </a:extLst>
        </xdr:cNvPr>
        <xdr:cNvSpPr/>
      </xdr:nvSpPr>
      <xdr:spPr>
        <a:xfrm>
          <a:off x="17611725"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1" textlink="">
      <xdr:nvSpPr>
        <xdr:cNvPr id="28" name="Rounded Rectangle 27">
          <a:extLst>
            <a:ext uri="{FF2B5EF4-FFF2-40B4-BE49-F238E27FC236}">
              <a16:creationId xmlns="" xmlns:a16="http://schemas.microsoft.com/office/drawing/2014/main" id="{00000000-0008-0000-08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 xmlns:a16="http://schemas.microsoft.com/office/drawing/2014/main" id="{00000000-0008-0000-0800-00001D000000}"/>
            </a:ext>
          </a:extLst>
        </xdr:cNvPr>
        <xdr:cNvGrpSpPr/>
      </xdr:nvGrpSpPr>
      <xdr:grpSpPr>
        <a:xfrm>
          <a:off x="11239500" y="64770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8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8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8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8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8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152400</xdr:rowOff>
    </xdr:to>
    <xdr:sp macro="[0]!Home" textlink="">
      <xdr:nvSpPr>
        <xdr:cNvPr id="42" name="Rounded Rectangle 41">
          <a:extLst>
            <a:ext uri="{FF2B5EF4-FFF2-40B4-BE49-F238E27FC236}">
              <a16:creationId xmlns="" xmlns:a16="http://schemas.microsoft.com/office/drawing/2014/main" id="{00000000-0008-0000-0800-00002A000000}"/>
            </a:ext>
          </a:extLst>
        </xdr:cNvPr>
        <xdr:cNvSpPr/>
      </xdr:nvSpPr>
      <xdr:spPr>
        <a:xfrm>
          <a:off x="8391525"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161925</xdr:rowOff>
    </xdr:to>
    <xdr:sp macro="[0]!Previousheet" textlink="">
      <xdr:nvSpPr>
        <xdr:cNvPr id="43" name="Rounded Rectangle 42">
          <a:extLst>
            <a:ext uri="{FF2B5EF4-FFF2-40B4-BE49-F238E27FC236}">
              <a16:creationId xmlns="" xmlns:a16="http://schemas.microsoft.com/office/drawing/2014/main" id="{00000000-0008-0000-0800-00002B000000}"/>
            </a:ext>
          </a:extLst>
        </xdr:cNvPr>
        <xdr:cNvSpPr/>
      </xdr:nvSpPr>
      <xdr:spPr>
        <a:xfrm>
          <a:off x="956310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161925</xdr:rowOff>
    </xdr:to>
    <xdr:sp macro="[0]!Nextsheet" textlink="">
      <xdr:nvSpPr>
        <xdr:cNvPr id="44" name="Rounded Rectangle 43">
          <a:extLst>
            <a:ext uri="{FF2B5EF4-FFF2-40B4-BE49-F238E27FC236}">
              <a16:creationId xmlns="" xmlns:a16="http://schemas.microsoft.com/office/drawing/2014/main" id="{00000000-0008-0000-0800-00002C000000}"/>
            </a:ext>
          </a:extLst>
        </xdr:cNvPr>
        <xdr:cNvSpPr/>
      </xdr:nvSpPr>
      <xdr:spPr>
        <a:xfrm>
          <a:off x="10763250"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666751</xdr:colOff>
      <xdr:row>0</xdr:row>
      <xdr:rowOff>47625</xdr:rowOff>
    </xdr:from>
    <xdr:to>
      <xdr:col>6</xdr:col>
      <xdr:colOff>247651</xdr:colOff>
      <xdr:row>1</xdr:row>
      <xdr:rowOff>142875</xdr:rowOff>
    </xdr:to>
    <xdr:sp macro="[0]!_xludf.Help" textlink="">
      <xdr:nvSpPr>
        <xdr:cNvPr id="13" name="Rounded Rectangle 12">
          <a:extLst>
            <a:ext uri="{FF2B5EF4-FFF2-40B4-BE49-F238E27FC236}">
              <a16:creationId xmlns="" xmlns:a16="http://schemas.microsoft.com/office/drawing/2014/main" id="{00000000-0008-0000-0800-00000D000000}"/>
            </a:ext>
          </a:extLst>
        </xdr:cNvPr>
        <xdr:cNvSpPr/>
      </xdr:nvSpPr>
      <xdr:spPr>
        <a:xfrm>
          <a:off x="7067551" y="47625"/>
          <a:ext cx="1123950" cy="4286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171450</xdr:rowOff>
    </xdr:to>
    <xdr:pic>
      <xdr:nvPicPr>
        <xdr:cNvPr id="2" name="Picture 1">
          <a:extLst>
            <a:ext uri="{FF2B5EF4-FFF2-40B4-BE49-F238E27FC236}">
              <a16:creationId xmlns=""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485774"/>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2" textlink="">
      <xdr:nvSpPr>
        <xdr:cNvPr id="28" name="Rounded Rectangle 27">
          <a:extLst>
            <a:ext uri="{FF2B5EF4-FFF2-40B4-BE49-F238E27FC236}">
              <a16:creationId xmlns="" xmlns:a16="http://schemas.microsoft.com/office/drawing/2014/main" id="{00000000-0008-0000-09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 xmlns:a16="http://schemas.microsoft.com/office/drawing/2014/main" id="{00000000-0008-0000-0900-00001D000000}"/>
            </a:ext>
          </a:extLst>
        </xdr:cNvPr>
        <xdr:cNvGrpSpPr/>
      </xdr:nvGrpSpPr>
      <xdr:grpSpPr>
        <a:xfrm>
          <a:off x="11239500" y="64770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9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9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9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9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9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361950</xdr:colOff>
      <xdr:row>0</xdr:row>
      <xdr:rowOff>38100</xdr:rowOff>
    </xdr:from>
    <xdr:to>
      <xdr:col>7</xdr:col>
      <xdr:colOff>123825</xdr:colOff>
      <xdr:row>1</xdr:row>
      <xdr:rowOff>152400</xdr:rowOff>
    </xdr:to>
    <xdr:sp macro="[0]!Home" textlink="">
      <xdr:nvSpPr>
        <xdr:cNvPr id="17" name="Rounded Rectangle 16">
          <a:extLst>
            <a:ext uri="{FF2B5EF4-FFF2-40B4-BE49-F238E27FC236}">
              <a16:creationId xmlns="" xmlns:a16="http://schemas.microsoft.com/office/drawing/2014/main" id="{00000000-0008-0000-0900-000011000000}"/>
            </a:ext>
          </a:extLst>
        </xdr:cNvPr>
        <xdr:cNvSpPr/>
      </xdr:nvSpPr>
      <xdr:spPr>
        <a:xfrm>
          <a:off x="8305800" y="38100"/>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257175</xdr:colOff>
      <xdr:row>0</xdr:row>
      <xdr:rowOff>47625</xdr:rowOff>
    </xdr:from>
    <xdr:to>
      <xdr:col>8</xdr:col>
      <xdr:colOff>123825</xdr:colOff>
      <xdr:row>1</xdr:row>
      <xdr:rowOff>161925</xdr:rowOff>
    </xdr:to>
    <xdr:sp macro="[0]!Previousheet" textlink="">
      <xdr:nvSpPr>
        <xdr:cNvPr id="18" name="Rounded Rectangle 17">
          <a:extLst>
            <a:ext uri="{FF2B5EF4-FFF2-40B4-BE49-F238E27FC236}">
              <a16:creationId xmlns="" xmlns:a16="http://schemas.microsoft.com/office/drawing/2014/main" id="{00000000-0008-0000-0900-000012000000}"/>
            </a:ext>
          </a:extLst>
        </xdr:cNvPr>
        <xdr:cNvSpPr/>
      </xdr:nvSpPr>
      <xdr:spPr>
        <a:xfrm>
          <a:off x="947737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285750</xdr:colOff>
      <xdr:row>0</xdr:row>
      <xdr:rowOff>47625</xdr:rowOff>
    </xdr:from>
    <xdr:to>
      <xdr:col>8</xdr:col>
      <xdr:colOff>1323975</xdr:colOff>
      <xdr:row>1</xdr:row>
      <xdr:rowOff>161925</xdr:rowOff>
    </xdr:to>
    <xdr:sp macro="[0]!Nextsheet" textlink="">
      <xdr:nvSpPr>
        <xdr:cNvPr id="19" name="Rounded Rectangle 18">
          <a:extLst>
            <a:ext uri="{FF2B5EF4-FFF2-40B4-BE49-F238E27FC236}">
              <a16:creationId xmlns="" xmlns:a16="http://schemas.microsoft.com/office/drawing/2014/main" id="{00000000-0008-0000-0900-000013000000}"/>
            </a:ext>
          </a:extLst>
        </xdr:cNvPr>
        <xdr:cNvSpPr/>
      </xdr:nvSpPr>
      <xdr:spPr>
        <a:xfrm>
          <a:off x="10677525" y="47625"/>
          <a:ext cx="1038225" cy="4476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647701</xdr:colOff>
      <xdr:row>0</xdr:row>
      <xdr:rowOff>47625</xdr:rowOff>
    </xdr:from>
    <xdr:to>
      <xdr:col>6</xdr:col>
      <xdr:colOff>190501</xdr:colOff>
      <xdr:row>1</xdr:row>
      <xdr:rowOff>171450</xdr:rowOff>
    </xdr:to>
    <xdr:sp macro="[0]!_xludf.Help" textlink="">
      <xdr:nvSpPr>
        <xdr:cNvPr id="20" name="Rounded Rectangle 19">
          <a:extLst>
            <a:ext uri="{FF2B5EF4-FFF2-40B4-BE49-F238E27FC236}">
              <a16:creationId xmlns="" xmlns:a16="http://schemas.microsoft.com/office/drawing/2014/main" id="{00000000-0008-0000-0900-000014000000}"/>
            </a:ext>
          </a:extLst>
        </xdr:cNvPr>
        <xdr:cNvSpPr/>
      </xdr:nvSpPr>
      <xdr:spPr>
        <a:xfrm>
          <a:off x="7048501" y="47625"/>
          <a:ext cx="1085850" cy="4572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238125</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5905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 xmlns:a16="http://schemas.microsoft.com/office/drawing/2014/main" id="{00000000-0008-0000-0A00-000003000000}"/>
            </a:ext>
          </a:extLst>
        </xdr:cNvPr>
        <xdr:cNvSpPr/>
      </xdr:nvSpPr>
      <xdr:spPr>
        <a:xfrm>
          <a:off x="10515600" y="78105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 xmlns:a16="http://schemas.microsoft.com/office/drawing/2014/main" id="{00000000-0008-0000-0A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 xmlns:a16="http://schemas.microsoft.com/office/drawing/2014/main" id="{00000000-0008-0000-0A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A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A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A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A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 xmlns:a16="http://schemas.microsoft.com/office/drawing/2014/main" id="{00000000-0008-0000-0A00-00000A000000}"/>
            </a:ext>
          </a:extLst>
        </xdr:cNvPr>
        <xdr:cNvSpPr/>
      </xdr:nvSpPr>
      <xdr:spPr>
        <a:xfrm>
          <a:off x="8391525" y="666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 xmlns:a16="http://schemas.microsoft.com/office/drawing/2014/main" id="{00000000-0008-0000-0A00-00000B000000}"/>
            </a:ext>
          </a:extLst>
        </xdr:cNvPr>
        <xdr:cNvSpPr/>
      </xdr:nvSpPr>
      <xdr:spPr>
        <a:xfrm>
          <a:off x="956310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 xmlns:a16="http://schemas.microsoft.com/office/drawing/2014/main" id="{00000000-0008-0000-0A00-00000C000000}"/>
            </a:ext>
          </a:extLst>
        </xdr:cNvPr>
        <xdr:cNvSpPr/>
      </xdr:nvSpPr>
      <xdr:spPr>
        <a:xfrm>
          <a:off x="10763250" y="762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647700</xdr:colOff>
      <xdr:row>0</xdr:row>
      <xdr:rowOff>76200</xdr:rowOff>
    </xdr:from>
    <xdr:to>
      <xdr:col>6</xdr:col>
      <xdr:colOff>257175</xdr:colOff>
      <xdr:row>1</xdr:row>
      <xdr:rowOff>190500</xdr:rowOff>
    </xdr:to>
    <xdr:sp macro="[0]!_xludf.Help" textlink="">
      <xdr:nvSpPr>
        <xdr:cNvPr id="13" name="Rounded Rectangle 12">
          <a:extLst>
            <a:ext uri="{FF2B5EF4-FFF2-40B4-BE49-F238E27FC236}">
              <a16:creationId xmlns="" xmlns:a16="http://schemas.microsoft.com/office/drawing/2014/main" id="{00000000-0008-0000-0A00-00000D000000}"/>
            </a:ext>
          </a:extLst>
        </xdr:cNvPr>
        <xdr:cNvSpPr/>
      </xdr:nvSpPr>
      <xdr:spPr>
        <a:xfrm>
          <a:off x="7048500" y="76200"/>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95250</xdr:colOff>
      <xdr:row>4</xdr:row>
      <xdr:rowOff>190500</xdr:rowOff>
    </xdr:from>
    <xdr:to>
      <xdr:col>12</xdr:col>
      <xdr:colOff>152400</xdr:colOff>
      <xdr:row>4</xdr:row>
      <xdr:rowOff>533400</xdr:rowOff>
    </xdr:to>
    <xdr:sp macro="[0]!Add_reasons_sheet" textlink="">
      <xdr:nvSpPr>
        <xdr:cNvPr id="14" name="Rounded Rectangle 13">
          <a:extLst>
            <a:ext uri="{FF2B5EF4-FFF2-40B4-BE49-F238E27FC236}">
              <a16:creationId xmlns="" xmlns:a16="http://schemas.microsoft.com/office/drawing/2014/main" id="{00000000-0008-0000-0A00-00000E000000}"/>
            </a:ext>
          </a:extLst>
        </xdr:cNvPr>
        <xdr:cNvSpPr/>
      </xdr:nvSpPr>
      <xdr:spPr>
        <a:xfrm>
          <a:off x="17678400" y="1895475"/>
          <a:ext cx="666750" cy="342900"/>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180975</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49529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Table14" textlink="">
      <xdr:nvSpPr>
        <xdr:cNvPr id="28" name="Rounded Rectangle 27">
          <a:extLst>
            <a:ext uri="{FF2B5EF4-FFF2-40B4-BE49-F238E27FC236}">
              <a16:creationId xmlns="" xmlns:a16="http://schemas.microsoft.com/office/drawing/2014/main" id="{00000000-0008-0000-0B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29" name="Group 28">
          <a:extLst>
            <a:ext uri="{FF2B5EF4-FFF2-40B4-BE49-F238E27FC236}">
              <a16:creationId xmlns="" xmlns:a16="http://schemas.microsoft.com/office/drawing/2014/main" id="{00000000-0008-0000-0B00-00001D000000}"/>
            </a:ext>
          </a:extLst>
        </xdr:cNvPr>
        <xdr:cNvGrpSpPr/>
      </xdr:nvGrpSpPr>
      <xdr:grpSpPr>
        <a:xfrm>
          <a:off x="11239500" y="64770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B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B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B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B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B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38100</xdr:rowOff>
    </xdr:from>
    <xdr:to>
      <xdr:col>7</xdr:col>
      <xdr:colOff>209550</xdr:colOff>
      <xdr:row>1</xdr:row>
      <xdr:rowOff>190500</xdr:rowOff>
    </xdr:to>
    <xdr:sp macro="[0]!Home" textlink="">
      <xdr:nvSpPr>
        <xdr:cNvPr id="43" name="Rounded Rectangle 42">
          <a:extLst>
            <a:ext uri="{FF2B5EF4-FFF2-40B4-BE49-F238E27FC236}">
              <a16:creationId xmlns="" xmlns:a16="http://schemas.microsoft.com/office/drawing/2014/main" id="{00000000-0008-0000-0B00-00002B000000}"/>
            </a:ext>
          </a:extLst>
        </xdr:cNvPr>
        <xdr:cNvSpPr/>
      </xdr:nvSpPr>
      <xdr:spPr>
        <a:xfrm>
          <a:off x="8391525" y="38100"/>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47625</xdr:rowOff>
    </xdr:from>
    <xdr:to>
      <xdr:col>8</xdr:col>
      <xdr:colOff>209550</xdr:colOff>
      <xdr:row>1</xdr:row>
      <xdr:rowOff>200025</xdr:rowOff>
    </xdr:to>
    <xdr:sp macro="[0]!Previousheet" textlink="">
      <xdr:nvSpPr>
        <xdr:cNvPr id="44" name="Rounded Rectangle 43">
          <a:extLst>
            <a:ext uri="{FF2B5EF4-FFF2-40B4-BE49-F238E27FC236}">
              <a16:creationId xmlns="" xmlns:a16="http://schemas.microsoft.com/office/drawing/2014/main" id="{00000000-0008-0000-0B00-00002C000000}"/>
            </a:ext>
          </a:extLst>
        </xdr:cNvPr>
        <xdr:cNvSpPr/>
      </xdr:nvSpPr>
      <xdr:spPr>
        <a:xfrm>
          <a:off x="956310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47625</xdr:rowOff>
    </xdr:from>
    <xdr:to>
      <xdr:col>8</xdr:col>
      <xdr:colOff>1409700</xdr:colOff>
      <xdr:row>1</xdr:row>
      <xdr:rowOff>200025</xdr:rowOff>
    </xdr:to>
    <xdr:sp macro="[0]!Nextsheet" textlink="">
      <xdr:nvSpPr>
        <xdr:cNvPr id="45" name="Rounded Rectangle 44">
          <a:extLst>
            <a:ext uri="{FF2B5EF4-FFF2-40B4-BE49-F238E27FC236}">
              <a16:creationId xmlns="" xmlns:a16="http://schemas.microsoft.com/office/drawing/2014/main" id="{00000000-0008-0000-0B00-00002D000000}"/>
            </a:ext>
          </a:extLst>
        </xdr:cNvPr>
        <xdr:cNvSpPr/>
      </xdr:nvSpPr>
      <xdr:spPr>
        <a:xfrm>
          <a:off x="10763250" y="4762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771525</xdr:colOff>
      <xdr:row>0</xdr:row>
      <xdr:rowOff>38100</xdr:rowOff>
    </xdr:from>
    <xdr:to>
      <xdr:col>6</xdr:col>
      <xdr:colOff>361951</xdr:colOff>
      <xdr:row>1</xdr:row>
      <xdr:rowOff>171450</xdr:rowOff>
    </xdr:to>
    <xdr:sp macro="[0]!_xludf.Help" textlink="">
      <xdr:nvSpPr>
        <xdr:cNvPr id="46" name="Rounded Rectangle 45">
          <a:extLst>
            <a:ext uri="{FF2B5EF4-FFF2-40B4-BE49-F238E27FC236}">
              <a16:creationId xmlns="" xmlns:a16="http://schemas.microsoft.com/office/drawing/2014/main" id="{00000000-0008-0000-0B00-00002E000000}"/>
            </a:ext>
          </a:extLst>
        </xdr:cNvPr>
        <xdr:cNvSpPr/>
      </xdr:nvSpPr>
      <xdr:spPr>
        <a:xfrm>
          <a:off x="7172325" y="38100"/>
          <a:ext cx="1133476"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47624</xdr:colOff>
      <xdr:row>20</xdr:row>
      <xdr:rowOff>114300</xdr:rowOff>
    </xdr:from>
    <xdr:to>
      <xdr:col>11</xdr:col>
      <xdr:colOff>923925</xdr:colOff>
      <xdr:row>21</xdr:row>
      <xdr:rowOff>123825</xdr:rowOff>
    </xdr:to>
    <xdr:sp macro="[0]!add_expense" textlink="">
      <xdr:nvSpPr>
        <xdr:cNvPr id="15" name="Rounded Rectangle 14">
          <a:extLst>
            <a:ext uri="{FF2B5EF4-FFF2-40B4-BE49-F238E27FC236}">
              <a16:creationId xmlns="" xmlns:a16="http://schemas.microsoft.com/office/drawing/2014/main" id="{00000000-0008-0000-0B00-00000F000000}"/>
            </a:ext>
          </a:extLst>
        </xdr:cNvPr>
        <xdr:cNvSpPr/>
      </xdr:nvSpPr>
      <xdr:spPr>
        <a:xfrm>
          <a:off x="19888199" y="5267325"/>
          <a:ext cx="876301"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333375</xdr:rowOff>
    </xdr:to>
    <xdr:pic>
      <xdr:nvPicPr>
        <xdr:cNvPr id="2" name="Picture 1">
          <a:extLst>
            <a:ext uri="{FF2B5EF4-FFF2-40B4-BE49-F238E27FC236}">
              <a16:creationId xmlns=""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361949"/>
        </a:xfrm>
        <a:prstGeom prst="rect">
          <a:avLst/>
        </a:prstGeom>
      </xdr:spPr>
    </xdr:pic>
    <xdr:clientData/>
  </xdr:twoCellAnchor>
  <xdr:twoCellAnchor>
    <xdr:from>
      <xdr:col>8</xdr:col>
      <xdr:colOff>123825</xdr:colOff>
      <xdr:row>2</xdr:row>
      <xdr:rowOff>66675</xdr:rowOff>
    </xdr:from>
    <xdr:to>
      <xdr:col>8</xdr:col>
      <xdr:colOff>1400175</xdr:colOff>
      <xdr:row>2</xdr:row>
      <xdr:rowOff>638175</xdr:rowOff>
    </xdr:to>
    <xdr:sp macro="[0]!Validate_Reasons" textlink="">
      <xdr:nvSpPr>
        <xdr:cNvPr id="3" name="Rounded Rectangle 2">
          <a:extLst>
            <a:ext uri="{FF2B5EF4-FFF2-40B4-BE49-F238E27FC236}">
              <a16:creationId xmlns="" xmlns:a16="http://schemas.microsoft.com/office/drawing/2014/main" id="{00000000-0008-0000-0C00-000003000000}"/>
            </a:ext>
          </a:extLst>
        </xdr:cNvPr>
        <xdr:cNvSpPr/>
      </xdr:nvSpPr>
      <xdr:spPr>
        <a:xfrm>
          <a:off x="5000625" y="447675"/>
          <a:ext cx="485775" cy="1238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847725</xdr:colOff>
      <xdr:row>2</xdr:row>
      <xdr:rowOff>104776</xdr:rowOff>
    </xdr:from>
    <xdr:to>
      <xdr:col>8</xdr:col>
      <xdr:colOff>1276350</xdr:colOff>
      <xdr:row>2</xdr:row>
      <xdr:rowOff>542926</xdr:rowOff>
    </xdr:to>
    <xdr:grpSp>
      <xdr:nvGrpSpPr>
        <xdr:cNvPr id="4" name="Group 3">
          <a:extLst>
            <a:ext uri="{FF2B5EF4-FFF2-40B4-BE49-F238E27FC236}">
              <a16:creationId xmlns="" xmlns:a16="http://schemas.microsoft.com/office/drawing/2014/main" id="{00000000-0008-0000-0C00-000004000000}"/>
            </a:ext>
          </a:extLst>
        </xdr:cNvPr>
        <xdr:cNvGrpSpPr/>
      </xdr:nvGrpSpPr>
      <xdr:grpSpPr>
        <a:xfrm>
          <a:off x="11239500" y="819151"/>
          <a:ext cx="428625" cy="438150"/>
          <a:chOff x="1982229" y="2092319"/>
          <a:chExt cx="1029931" cy="1029921"/>
        </a:xfrm>
      </xdr:grpSpPr>
      <xdr:sp macro="" textlink="">
        <xdr:nvSpPr>
          <xdr:cNvPr id="5" name="Oval 4">
            <a:extLst>
              <a:ext uri="{FF2B5EF4-FFF2-40B4-BE49-F238E27FC236}">
                <a16:creationId xmlns="" xmlns:a16="http://schemas.microsoft.com/office/drawing/2014/main" id="{00000000-0008-0000-0C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C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C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C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C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447675</xdr:colOff>
      <xdr:row>0</xdr:row>
      <xdr:rowOff>66675</xdr:rowOff>
    </xdr:from>
    <xdr:to>
      <xdr:col>7</xdr:col>
      <xdr:colOff>209550</xdr:colOff>
      <xdr:row>1</xdr:row>
      <xdr:rowOff>180975</xdr:rowOff>
    </xdr:to>
    <xdr:sp macro="[0]!Home" textlink="">
      <xdr:nvSpPr>
        <xdr:cNvPr id="10" name="Rounded Rectangle 9">
          <a:extLst>
            <a:ext uri="{FF2B5EF4-FFF2-40B4-BE49-F238E27FC236}">
              <a16:creationId xmlns="" xmlns:a16="http://schemas.microsoft.com/office/drawing/2014/main" id="{00000000-0008-0000-0C00-00000A000000}"/>
            </a:ext>
          </a:extLst>
        </xdr:cNvPr>
        <xdr:cNvSpPr/>
      </xdr:nvSpPr>
      <xdr:spPr>
        <a:xfrm>
          <a:off x="4105275" y="66675"/>
          <a:ext cx="37147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342900</xdr:colOff>
      <xdr:row>0</xdr:row>
      <xdr:rowOff>76200</xdr:rowOff>
    </xdr:from>
    <xdr:to>
      <xdr:col>8</xdr:col>
      <xdr:colOff>209550</xdr:colOff>
      <xdr:row>1</xdr:row>
      <xdr:rowOff>190500</xdr:rowOff>
    </xdr:to>
    <xdr:sp macro="[0]!Previousheet" textlink="">
      <xdr:nvSpPr>
        <xdr:cNvPr id="11" name="Rounded Rectangle 10">
          <a:extLst>
            <a:ext uri="{FF2B5EF4-FFF2-40B4-BE49-F238E27FC236}">
              <a16:creationId xmlns="" xmlns:a16="http://schemas.microsoft.com/office/drawing/2014/main" id="{00000000-0008-0000-0C00-00000B000000}"/>
            </a:ext>
          </a:extLst>
        </xdr:cNvPr>
        <xdr:cNvSpPr/>
      </xdr:nvSpPr>
      <xdr:spPr>
        <a:xfrm>
          <a:off x="4610100" y="76200"/>
          <a:ext cx="476250"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371475</xdr:colOff>
      <xdr:row>0</xdr:row>
      <xdr:rowOff>76200</xdr:rowOff>
    </xdr:from>
    <xdr:to>
      <xdr:col>8</xdr:col>
      <xdr:colOff>1409700</xdr:colOff>
      <xdr:row>1</xdr:row>
      <xdr:rowOff>190500</xdr:rowOff>
    </xdr:to>
    <xdr:sp macro="[0]!Nextsheet" textlink="">
      <xdr:nvSpPr>
        <xdr:cNvPr id="12" name="Rounded Rectangle 11">
          <a:extLst>
            <a:ext uri="{FF2B5EF4-FFF2-40B4-BE49-F238E27FC236}">
              <a16:creationId xmlns="" xmlns:a16="http://schemas.microsoft.com/office/drawing/2014/main" id="{00000000-0008-0000-0C00-00000C000000}"/>
            </a:ext>
          </a:extLst>
        </xdr:cNvPr>
        <xdr:cNvSpPr/>
      </xdr:nvSpPr>
      <xdr:spPr>
        <a:xfrm>
          <a:off x="5248275" y="76200"/>
          <a:ext cx="238125" cy="3048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752476</xdr:colOff>
      <xdr:row>0</xdr:row>
      <xdr:rowOff>76200</xdr:rowOff>
    </xdr:from>
    <xdr:to>
      <xdr:col>6</xdr:col>
      <xdr:colOff>295276</xdr:colOff>
      <xdr:row>1</xdr:row>
      <xdr:rowOff>180975</xdr:rowOff>
    </xdr:to>
    <xdr:sp macro="[0]!_xludf.Help" textlink="">
      <xdr:nvSpPr>
        <xdr:cNvPr id="13" name="Rounded Rectangle 12">
          <a:extLst>
            <a:ext uri="{FF2B5EF4-FFF2-40B4-BE49-F238E27FC236}">
              <a16:creationId xmlns="" xmlns:a16="http://schemas.microsoft.com/office/drawing/2014/main" id="{00000000-0008-0000-0C00-00000D000000}"/>
            </a:ext>
          </a:extLst>
        </xdr:cNvPr>
        <xdr:cNvSpPr/>
      </xdr:nvSpPr>
      <xdr:spPr>
        <a:xfrm>
          <a:off x="3657601" y="76200"/>
          <a:ext cx="295275" cy="2952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twoCellAnchor>
    <xdr:from>
      <xdr:col>11</xdr:col>
      <xdr:colOff>238125</xdr:colOff>
      <xdr:row>4</xdr:row>
      <xdr:rowOff>161925</xdr:rowOff>
    </xdr:from>
    <xdr:to>
      <xdr:col>12</xdr:col>
      <xdr:colOff>295275</xdr:colOff>
      <xdr:row>4</xdr:row>
      <xdr:rowOff>504825</xdr:rowOff>
    </xdr:to>
    <xdr:sp macro="[0]!Add_reasons_sheet" textlink="">
      <xdr:nvSpPr>
        <xdr:cNvPr id="14" name="Rounded Rectangle 13">
          <a:extLst>
            <a:ext uri="{FF2B5EF4-FFF2-40B4-BE49-F238E27FC236}">
              <a16:creationId xmlns="" xmlns:a16="http://schemas.microsoft.com/office/drawing/2014/main" id="{00000000-0008-0000-0C00-00000E000000}"/>
            </a:ext>
          </a:extLst>
        </xdr:cNvPr>
        <xdr:cNvSpPr/>
      </xdr:nvSpPr>
      <xdr:spPr>
        <a:xfrm>
          <a:off x="6943725" y="923925"/>
          <a:ext cx="666750" cy="2857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0</xdr:row>
      <xdr:rowOff>485775</xdr:rowOff>
    </xdr:to>
    <xdr:pic>
      <xdr:nvPicPr>
        <xdr:cNvPr id="2" name="Picture 1">
          <a:extLst>
            <a:ext uri="{FF2B5EF4-FFF2-40B4-BE49-F238E27FC236}">
              <a16:creationId xmlns=""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466724"/>
        </a:xfrm>
        <a:prstGeom prst="rect">
          <a:avLst/>
        </a:prstGeom>
      </xdr:spPr>
    </xdr:pic>
    <xdr:clientData/>
  </xdr:twoCellAnchor>
  <xdr:twoCellAnchor>
    <xdr:from>
      <xdr:col>5</xdr:col>
      <xdr:colOff>1162050</xdr:colOff>
      <xdr:row>2</xdr:row>
      <xdr:rowOff>66675</xdr:rowOff>
    </xdr:from>
    <xdr:to>
      <xdr:col>7</xdr:col>
      <xdr:colOff>0</xdr:colOff>
      <xdr:row>2</xdr:row>
      <xdr:rowOff>638175</xdr:rowOff>
    </xdr:to>
    <xdr:sp macro="[0]!ValidateMod.Validate_Table16" textlink="">
      <xdr:nvSpPr>
        <xdr:cNvPr id="28" name="Rounded Rectangle 27">
          <a:extLst>
            <a:ext uri="{FF2B5EF4-FFF2-40B4-BE49-F238E27FC236}">
              <a16:creationId xmlns="" xmlns:a16="http://schemas.microsoft.com/office/drawing/2014/main" id="{00000000-0008-0000-0D00-00001C000000}"/>
            </a:ext>
          </a:extLst>
        </xdr:cNvPr>
        <xdr:cNvSpPr/>
      </xdr:nvSpPr>
      <xdr:spPr>
        <a:xfrm>
          <a:off x="5734050" y="1047750"/>
          <a:ext cx="133350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6</xdr:col>
      <xdr:colOff>847725</xdr:colOff>
      <xdr:row>2</xdr:row>
      <xdr:rowOff>104776</xdr:rowOff>
    </xdr:from>
    <xdr:to>
      <xdr:col>6</xdr:col>
      <xdr:colOff>1276350</xdr:colOff>
      <xdr:row>2</xdr:row>
      <xdr:rowOff>542926</xdr:rowOff>
    </xdr:to>
    <xdr:grpSp>
      <xdr:nvGrpSpPr>
        <xdr:cNvPr id="29" name="Group 28">
          <a:extLst>
            <a:ext uri="{FF2B5EF4-FFF2-40B4-BE49-F238E27FC236}">
              <a16:creationId xmlns="" xmlns:a16="http://schemas.microsoft.com/office/drawing/2014/main" id="{00000000-0008-0000-0D00-00001D000000}"/>
            </a:ext>
          </a:extLst>
        </xdr:cNvPr>
        <xdr:cNvGrpSpPr/>
      </xdr:nvGrpSpPr>
      <xdr:grpSpPr>
        <a:xfrm>
          <a:off x="6496050" y="108585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D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D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D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D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D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85726</xdr:colOff>
      <xdr:row>0</xdr:row>
      <xdr:rowOff>457199</xdr:rowOff>
    </xdr:from>
    <xdr:to>
      <xdr:col>4</xdr:col>
      <xdr:colOff>1152526</xdr:colOff>
      <xdr:row>1</xdr:row>
      <xdr:rowOff>438150</xdr:rowOff>
    </xdr:to>
    <xdr:sp macro="[0]!Home" textlink="">
      <xdr:nvSpPr>
        <xdr:cNvPr id="42" name="Rounded Rectangle 41">
          <a:extLst>
            <a:ext uri="{FF2B5EF4-FFF2-40B4-BE49-F238E27FC236}">
              <a16:creationId xmlns="" xmlns:a16="http://schemas.microsoft.com/office/drawing/2014/main" id="{00000000-0008-0000-0D00-00002A000000}"/>
            </a:ext>
          </a:extLst>
        </xdr:cNvPr>
        <xdr:cNvSpPr/>
      </xdr:nvSpPr>
      <xdr:spPr>
        <a:xfrm>
          <a:off x="3286126" y="457199"/>
          <a:ext cx="1066800" cy="476251"/>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5</xdr:col>
      <xdr:colOff>0</xdr:colOff>
      <xdr:row>0</xdr:row>
      <xdr:rowOff>447675</xdr:rowOff>
    </xdr:from>
    <xdr:to>
      <xdr:col>5</xdr:col>
      <xdr:colOff>1133475</xdr:colOff>
      <xdr:row>1</xdr:row>
      <xdr:rowOff>438150</xdr:rowOff>
    </xdr:to>
    <xdr:sp macro="[0]!Previousheet" textlink="">
      <xdr:nvSpPr>
        <xdr:cNvPr id="43" name="Rounded Rectangle 42">
          <a:extLst>
            <a:ext uri="{FF2B5EF4-FFF2-40B4-BE49-F238E27FC236}">
              <a16:creationId xmlns="" xmlns:a16="http://schemas.microsoft.com/office/drawing/2014/main" id="{00000000-0008-0000-0D00-00002B000000}"/>
            </a:ext>
          </a:extLst>
        </xdr:cNvPr>
        <xdr:cNvSpPr/>
      </xdr:nvSpPr>
      <xdr:spPr>
        <a:xfrm>
          <a:off x="4476750" y="447675"/>
          <a:ext cx="11334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76200</xdr:colOff>
      <xdr:row>0</xdr:row>
      <xdr:rowOff>447675</xdr:rowOff>
    </xdr:from>
    <xdr:to>
      <xdr:col>6</xdr:col>
      <xdr:colOff>1190625</xdr:colOff>
      <xdr:row>1</xdr:row>
      <xdr:rowOff>428625</xdr:rowOff>
    </xdr:to>
    <xdr:sp macro="[0]!Nextsheet" textlink="">
      <xdr:nvSpPr>
        <xdr:cNvPr id="44" name="Rounded Rectangle 43">
          <a:extLst>
            <a:ext uri="{FF2B5EF4-FFF2-40B4-BE49-F238E27FC236}">
              <a16:creationId xmlns="" xmlns:a16="http://schemas.microsoft.com/office/drawing/2014/main" id="{00000000-0008-0000-0D00-00002C000000}"/>
            </a:ext>
          </a:extLst>
        </xdr:cNvPr>
        <xdr:cNvSpPr/>
      </xdr:nvSpPr>
      <xdr:spPr>
        <a:xfrm>
          <a:off x="5724525" y="447675"/>
          <a:ext cx="1114425" cy="47625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1</xdr:col>
      <xdr:colOff>1314450</xdr:colOff>
      <xdr:row>0</xdr:row>
      <xdr:rowOff>457200</xdr:rowOff>
    </xdr:from>
    <xdr:to>
      <xdr:col>2</xdr:col>
      <xdr:colOff>942976</xdr:colOff>
      <xdr:row>1</xdr:row>
      <xdr:rowOff>428625</xdr:rowOff>
    </xdr:to>
    <xdr:sp macro="[0]!_xludf.Help" textlink="">
      <xdr:nvSpPr>
        <xdr:cNvPr id="13" name="Rounded Rectangle 12">
          <a:extLst>
            <a:ext uri="{FF2B5EF4-FFF2-40B4-BE49-F238E27FC236}">
              <a16:creationId xmlns="" xmlns:a16="http://schemas.microsoft.com/office/drawing/2014/main" id="{00000000-0008-0000-0D00-00000D000000}"/>
            </a:ext>
          </a:extLst>
        </xdr:cNvPr>
        <xdr:cNvSpPr/>
      </xdr:nvSpPr>
      <xdr:spPr>
        <a:xfrm>
          <a:off x="1990725" y="457200"/>
          <a:ext cx="1181101" cy="46672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28576</xdr:colOff>
      <xdr:row>0</xdr:row>
      <xdr:rowOff>19051</xdr:rowOff>
    </xdr:from>
    <xdr:to>
      <xdr:col>1</xdr:col>
      <xdr:colOff>361950</xdr:colOff>
      <xdr:row>1</xdr:row>
      <xdr:rowOff>152400</xdr:rowOff>
    </xdr:to>
    <xdr:pic>
      <xdr:nvPicPr>
        <xdr:cNvPr id="2" name="Picture 1">
          <a:extLst>
            <a:ext uri="{FF2B5EF4-FFF2-40B4-BE49-F238E27FC236}">
              <a16:creationId xmlns=""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stretch>
          <a:fillRect/>
        </a:stretch>
      </xdr:blipFill>
      <xdr:spPr>
        <a:xfrm>
          <a:off x="152401" y="19051"/>
          <a:ext cx="333374" cy="466724"/>
        </a:xfrm>
        <a:prstGeom prst="rect">
          <a:avLst/>
        </a:prstGeom>
      </xdr:spPr>
    </xdr:pic>
    <xdr:clientData/>
  </xdr:twoCellAnchor>
  <xdr:twoCellAnchor>
    <xdr:from>
      <xdr:col>9</xdr:col>
      <xdr:colOff>123825</xdr:colOff>
      <xdr:row>2</xdr:row>
      <xdr:rowOff>66675</xdr:rowOff>
    </xdr:from>
    <xdr:to>
      <xdr:col>9</xdr:col>
      <xdr:colOff>1400175</xdr:colOff>
      <xdr:row>2</xdr:row>
      <xdr:rowOff>638175</xdr:rowOff>
    </xdr:to>
    <xdr:sp macro="[0]!Validate_TableFive" textlink="">
      <xdr:nvSpPr>
        <xdr:cNvPr id="28" name="Rounded Rectangle 27">
          <a:extLst>
            <a:ext uri="{FF2B5EF4-FFF2-40B4-BE49-F238E27FC236}">
              <a16:creationId xmlns="" xmlns:a16="http://schemas.microsoft.com/office/drawing/2014/main" id="{00000000-0008-0000-0E00-00001C000000}"/>
            </a:ext>
          </a:extLst>
        </xdr:cNvPr>
        <xdr:cNvSpPr/>
      </xdr:nvSpPr>
      <xdr:spPr>
        <a:xfrm>
          <a:off x="10515600" y="609600"/>
          <a:ext cx="1276350"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9</xdr:col>
      <xdr:colOff>847725</xdr:colOff>
      <xdr:row>2</xdr:row>
      <xdr:rowOff>104776</xdr:rowOff>
    </xdr:from>
    <xdr:to>
      <xdr:col>9</xdr:col>
      <xdr:colOff>1276350</xdr:colOff>
      <xdr:row>2</xdr:row>
      <xdr:rowOff>542926</xdr:rowOff>
    </xdr:to>
    <xdr:grpSp>
      <xdr:nvGrpSpPr>
        <xdr:cNvPr id="29" name="Group 28">
          <a:extLst>
            <a:ext uri="{FF2B5EF4-FFF2-40B4-BE49-F238E27FC236}">
              <a16:creationId xmlns="" xmlns:a16="http://schemas.microsoft.com/office/drawing/2014/main" id="{00000000-0008-0000-0E00-00001D000000}"/>
            </a:ext>
          </a:extLst>
        </xdr:cNvPr>
        <xdr:cNvGrpSpPr/>
      </xdr:nvGrpSpPr>
      <xdr:grpSpPr>
        <a:xfrm>
          <a:off x="14449425" y="647701"/>
          <a:ext cx="428625" cy="438150"/>
          <a:chOff x="1982229" y="2092319"/>
          <a:chExt cx="1029931" cy="1029921"/>
        </a:xfrm>
      </xdr:grpSpPr>
      <xdr:sp macro="" textlink="">
        <xdr:nvSpPr>
          <xdr:cNvPr id="30" name="Oval 29">
            <a:extLst>
              <a:ext uri="{FF2B5EF4-FFF2-40B4-BE49-F238E27FC236}">
                <a16:creationId xmlns="" xmlns:a16="http://schemas.microsoft.com/office/drawing/2014/main" id="{00000000-0008-0000-0E00-00001E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31" name="Freeform 30">
            <a:extLst>
              <a:ext uri="{FF2B5EF4-FFF2-40B4-BE49-F238E27FC236}">
                <a16:creationId xmlns="" xmlns:a16="http://schemas.microsoft.com/office/drawing/2014/main" id="{00000000-0008-0000-0E00-00001F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32" name="Group 31">
            <a:extLst>
              <a:ext uri="{FF2B5EF4-FFF2-40B4-BE49-F238E27FC236}">
                <a16:creationId xmlns="" xmlns:a16="http://schemas.microsoft.com/office/drawing/2014/main" id="{00000000-0008-0000-0E00-000020000000}"/>
              </a:ext>
            </a:extLst>
          </xdr:cNvPr>
          <xdr:cNvGrpSpPr/>
        </xdr:nvGrpSpPr>
        <xdr:grpSpPr>
          <a:xfrm>
            <a:off x="2227648" y="2566818"/>
            <a:ext cx="201061" cy="359352"/>
            <a:chOff x="6470288" y="1855804"/>
            <a:chExt cx="258298" cy="461654"/>
          </a:xfrm>
          <a:solidFill>
            <a:srgbClr val="2950BD"/>
          </a:solidFill>
        </xdr:grpSpPr>
        <xdr:sp macro="" textlink="">
          <xdr:nvSpPr>
            <xdr:cNvPr id="33" name="Rounded Rectangle 32">
              <a:extLst>
                <a:ext uri="{FF2B5EF4-FFF2-40B4-BE49-F238E27FC236}">
                  <a16:creationId xmlns="" xmlns:a16="http://schemas.microsoft.com/office/drawing/2014/main" id="{00000000-0008-0000-0E00-000021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34" name="Rounded Rectangle 33">
              <a:extLst>
                <a:ext uri="{FF2B5EF4-FFF2-40B4-BE49-F238E27FC236}">
                  <a16:creationId xmlns="" xmlns:a16="http://schemas.microsoft.com/office/drawing/2014/main" id="{00000000-0008-0000-0E00-000022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1952625</xdr:colOff>
      <xdr:row>0</xdr:row>
      <xdr:rowOff>28575</xdr:rowOff>
    </xdr:from>
    <xdr:to>
      <xdr:col>7</xdr:col>
      <xdr:colOff>266700</xdr:colOff>
      <xdr:row>1</xdr:row>
      <xdr:rowOff>180975</xdr:rowOff>
    </xdr:to>
    <xdr:sp macro="[0]!Home" textlink="">
      <xdr:nvSpPr>
        <xdr:cNvPr id="10" name="Rounded Rectangle 9">
          <a:extLst>
            <a:ext uri="{FF2B5EF4-FFF2-40B4-BE49-F238E27FC236}">
              <a16:creationId xmlns="" xmlns:a16="http://schemas.microsoft.com/office/drawing/2014/main" id="{00000000-0008-0000-0E00-00000A000000}"/>
            </a:ext>
          </a:extLst>
        </xdr:cNvPr>
        <xdr:cNvSpPr/>
      </xdr:nvSpPr>
      <xdr:spPr>
        <a:xfrm>
          <a:off x="10382250"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7</xdr:col>
      <xdr:colOff>457200</xdr:colOff>
      <xdr:row>0</xdr:row>
      <xdr:rowOff>28575</xdr:rowOff>
    </xdr:from>
    <xdr:to>
      <xdr:col>8</xdr:col>
      <xdr:colOff>219075</xdr:colOff>
      <xdr:row>1</xdr:row>
      <xdr:rowOff>180975</xdr:rowOff>
    </xdr:to>
    <xdr:sp macro="[0]!Previousheet" textlink="">
      <xdr:nvSpPr>
        <xdr:cNvPr id="11" name="Rounded Rectangle 10">
          <a:extLst>
            <a:ext uri="{FF2B5EF4-FFF2-40B4-BE49-F238E27FC236}">
              <a16:creationId xmlns="" xmlns:a16="http://schemas.microsoft.com/office/drawing/2014/main" id="{00000000-0008-0000-0E00-00000B000000}"/>
            </a:ext>
          </a:extLst>
        </xdr:cNvPr>
        <xdr:cNvSpPr/>
      </xdr:nvSpPr>
      <xdr:spPr>
        <a:xfrm>
          <a:off x="1161097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8</xdr:col>
      <xdr:colOff>457200</xdr:colOff>
      <xdr:row>0</xdr:row>
      <xdr:rowOff>28575</xdr:rowOff>
    </xdr:from>
    <xdr:to>
      <xdr:col>9</xdr:col>
      <xdr:colOff>323850</xdr:colOff>
      <xdr:row>1</xdr:row>
      <xdr:rowOff>180975</xdr:rowOff>
    </xdr:to>
    <xdr:sp macro="[0]!Nextsheet" textlink="">
      <xdr:nvSpPr>
        <xdr:cNvPr id="12" name="Rounded Rectangle 11">
          <a:extLst>
            <a:ext uri="{FF2B5EF4-FFF2-40B4-BE49-F238E27FC236}">
              <a16:creationId xmlns="" xmlns:a16="http://schemas.microsoft.com/office/drawing/2014/main" id="{00000000-0008-0000-0E00-00000C000000}"/>
            </a:ext>
          </a:extLst>
        </xdr:cNvPr>
        <xdr:cNvSpPr/>
      </xdr:nvSpPr>
      <xdr:spPr>
        <a:xfrm>
          <a:off x="12887325" y="28575"/>
          <a:ext cx="10382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6</xdr:col>
      <xdr:colOff>742952</xdr:colOff>
      <xdr:row>0</xdr:row>
      <xdr:rowOff>19050</xdr:rowOff>
    </xdr:from>
    <xdr:to>
      <xdr:col>6</xdr:col>
      <xdr:colOff>1762126</xdr:colOff>
      <xdr:row>1</xdr:row>
      <xdr:rowOff>171450</xdr:rowOff>
    </xdr:to>
    <xdr:sp macro="[0]!_xludf.Help" textlink="">
      <xdr:nvSpPr>
        <xdr:cNvPr id="13" name="Rounded Rectangle 12">
          <a:extLst>
            <a:ext uri="{FF2B5EF4-FFF2-40B4-BE49-F238E27FC236}">
              <a16:creationId xmlns="" xmlns:a16="http://schemas.microsoft.com/office/drawing/2014/main" id="{00000000-0008-0000-0E00-00000D000000}"/>
            </a:ext>
          </a:extLst>
        </xdr:cNvPr>
        <xdr:cNvSpPr/>
      </xdr:nvSpPr>
      <xdr:spPr>
        <a:xfrm>
          <a:off x="9172577" y="19050"/>
          <a:ext cx="1019174"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2">
                  <a:lumMod val="50000"/>
                </a:schemeClr>
              </a:solidFill>
            </a:rPr>
            <a:t>HELP</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28576</xdr:colOff>
      <xdr:row>0</xdr:row>
      <xdr:rowOff>19051</xdr:rowOff>
    </xdr:from>
    <xdr:to>
      <xdr:col>0</xdr:col>
      <xdr:colOff>361950</xdr:colOff>
      <xdr:row>1</xdr:row>
      <xdr:rowOff>142875</xdr:rowOff>
    </xdr:to>
    <xdr:pic>
      <xdr:nvPicPr>
        <xdr:cNvPr id="2" name="Picture 1">
          <a:extLst>
            <a:ext uri="{FF2B5EF4-FFF2-40B4-BE49-F238E27FC236}">
              <a16:creationId xmlns=""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stretch>
          <a:fillRect/>
        </a:stretch>
      </xdr:blipFill>
      <xdr:spPr>
        <a:xfrm>
          <a:off x="28576" y="19051"/>
          <a:ext cx="333374" cy="457199"/>
        </a:xfrm>
        <a:prstGeom prst="rect">
          <a:avLst/>
        </a:prstGeom>
      </xdr:spPr>
    </xdr:pic>
    <xdr:clientData/>
  </xdr:twoCellAnchor>
  <xdr:twoCellAnchor>
    <xdr:from>
      <xdr:col>8</xdr:col>
      <xdr:colOff>123825</xdr:colOff>
      <xdr:row>2</xdr:row>
      <xdr:rowOff>66675</xdr:rowOff>
    </xdr:from>
    <xdr:to>
      <xdr:col>8</xdr:col>
      <xdr:colOff>1581150</xdr:colOff>
      <xdr:row>2</xdr:row>
      <xdr:rowOff>638175</xdr:rowOff>
    </xdr:to>
    <xdr:sp macro="[0]!Validate_PB1" textlink="">
      <xdr:nvSpPr>
        <xdr:cNvPr id="3" name="Rounded Rectangle 2">
          <a:extLst>
            <a:ext uri="{FF2B5EF4-FFF2-40B4-BE49-F238E27FC236}">
              <a16:creationId xmlns="" xmlns:a16="http://schemas.microsoft.com/office/drawing/2014/main" id="{00000000-0008-0000-0F00-000003000000}"/>
            </a:ext>
          </a:extLst>
        </xdr:cNvPr>
        <xdr:cNvSpPr/>
      </xdr:nvSpPr>
      <xdr:spPr>
        <a:xfrm>
          <a:off x="14116050" y="609600"/>
          <a:ext cx="1457325" cy="571500"/>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Validate </a:t>
          </a:r>
        </a:p>
        <a:p>
          <a:pPr algn="l"/>
          <a:r>
            <a:rPr lang="en-US" sz="1100" b="1">
              <a:solidFill>
                <a:schemeClr val="tx2">
                  <a:lumMod val="50000"/>
                </a:schemeClr>
              </a:solidFill>
            </a:rPr>
            <a:t>Sheet</a:t>
          </a:r>
        </a:p>
      </xdr:txBody>
    </xdr:sp>
    <xdr:clientData/>
  </xdr:twoCellAnchor>
  <xdr:twoCellAnchor>
    <xdr:from>
      <xdr:col>8</xdr:col>
      <xdr:colOff>904875</xdr:colOff>
      <xdr:row>2</xdr:row>
      <xdr:rowOff>104776</xdr:rowOff>
    </xdr:from>
    <xdr:to>
      <xdr:col>8</xdr:col>
      <xdr:colOff>1476375</xdr:colOff>
      <xdr:row>2</xdr:row>
      <xdr:rowOff>542926</xdr:rowOff>
    </xdr:to>
    <xdr:grpSp>
      <xdr:nvGrpSpPr>
        <xdr:cNvPr id="4" name="Group 3">
          <a:extLst>
            <a:ext uri="{FF2B5EF4-FFF2-40B4-BE49-F238E27FC236}">
              <a16:creationId xmlns="" xmlns:a16="http://schemas.microsoft.com/office/drawing/2014/main" id="{00000000-0008-0000-0F00-000004000000}"/>
            </a:ext>
          </a:extLst>
        </xdr:cNvPr>
        <xdr:cNvGrpSpPr/>
      </xdr:nvGrpSpPr>
      <xdr:grpSpPr>
        <a:xfrm>
          <a:off x="14897100" y="647701"/>
          <a:ext cx="571500" cy="438150"/>
          <a:chOff x="1982229" y="2092319"/>
          <a:chExt cx="1029931" cy="1029921"/>
        </a:xfrm>
      </xdr:grpSpPr>
      <xdr:sp macro="" textlink="">
        <xdr:nvSpPr>
          <xdr:cNvPr id="5" name="Oval 4">
            <a:extLst>
              <a:ext uri="{FF2B5EF4-FFF2-40B4-BE49-F238E27FC236}">
                <a16:creationId xmlns="" xmlns:a16="http://schemas.microsoft.com/office/drawing/2014/main" id="{00000000-0008-0000-0F00-000005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6" name="Freeform 5">
            <a:extLst>
              <a:ext uri="{FF2B5EF4-FFF2-40B4-BE49-F238E27FC236}">
                <a16:creationId xmlns="" xmlns:a16="http://schemas.microsoft.com/office/drawing/2014/main" id="{00000000-0008-0000-0F00-000006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7" name="Group 6">
            <a:extLst>
              <a:ext uri="{FF2B5EF4-FFF2-40B4-BE49-F238E27FC236}">
                <a16:creationId xmlns="" xmlns:a16="http://schemas.microsoft.com/office/drawing/2014/main" id="{00000000-0008-0000-0F00-000007000000}"/>
              </a:ext>
            </a:extLst>
          </xdr:cNvPr>
          <xdr:cNvGrpSpPr/>
        </xdr:nvGrpSpPr>
        <xdr:grpSpPr>
          <a:xfrm>
            <a:off x="2227648" y="2566818"/>
            <a:ext cx="201061" cy="359352"/>
            <a:chOff x="6470288" y="1855804"/>
            <a:chExt cx="258298" cy="461654"/>
          </a:xfrm>
          <a:solidFill>
            <a:srgbClr val="2950BD"/>
          </a:solidFill>
        </xdr:grpSpPr>
        <xdr:sp macro="" textlink="">
          <xdr:nvSpPr>
            <xdr:cNvPr id="8" name="Rounded Rectangle 7">
              <a:extLst>
                <a:ext uri="{FF2B5EF4-FFF2-40B4-BE49-F238E27FC236}">
                  <a16:creationId xmlns="" xmlns:a16="http://schemas.microsoft.com/office/drawing/2014/main" id="{00000000-0008-0000-0F00-000008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9" name="Rounded Rectangle 8">
              <a:extLst>
                <a:ext uri="{FF2B5EF4-FFF2-40B4-BE49-F238E27FC236}">
                  <a16:creationId xmlns="" xmlns:a16="http://schemas.microsoft.com/office/drawing/2014/main" id="{00000000-0008-0000-0F00-000009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6</xdr:col>
      <xdr:colOff>266700</xdr:colOff>
      <xdr:row>0</xdr:row>
      <xdr:rowOff>19050</xdr:rowOff>
    </xdr:from>
    <xdr:to>
      <xdr:col>6</xdr:col>
      <xdr:colOff>1362075</xdr:colOff>
      <xdr:row>1</xdr:row>
      <xdr:rowOff>171450</xdr:rowOff>
    </xdr:to>
    <xdr:sp macro="[0]!Home" textlink="">
      <xdr:nvSpPr>
        <xdr:cNvPr id="10" name="Rounded Rectangle 9">
          <a:extLst>
            <a:ext uri="{FF2B5EF4-FFF2-40B4-BE49-F238E27FC236}">
              <a16:creationId xmlns="" xmlns:a16="http://schemas.microsoft.com/office/drawing/2014/main" id="{00000000-0008-0000-0F00-00000A000000}"/>
            </a:ext>
          </a:extLst>
        </xdr:cNvPr>
        <xdr:cNvSpPr/>
      </xdr:nvSpPr>
      <xdr:spPr>
        <a:xfrm>
          <a:off x="9429750" y="19050"/>
          <a:ext cx="109537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HOME</a:t>
          </a:r>
        </a:p>
      </xdr:txBody>
    </xdr:sp>
    <xdr:clientData/>
  </xdr:twoCellAnchor>
  <xdr:twoCellAnchor>
    <xdr:from>
      <xdr:col>6</xdr:col>
      <xdr:colOff>1514476</xdr:colOff>
      <xdr:row>0</xdr:row>
      <xdr:rowOff>28575</xdr:rowOff>
    </xdr:from>
    <xdr:to>
      <xdr:col>6</xdr:col>
      <xdr:colOff>2638426</xdr:colOff>
      <xdr:row>1</xdr:row>
      <xdr:rowOff>180975</xdr:rowOff>
    </xdr:to>
    <xdr:sp macro="[0]!Previousheet" textlink="">
      <xdr:nvSpPr>
        <xdr:cNvPr id="11" name="Rounded Rectangle 10">
          <a:extLst>
            <a:ext uri="{FF2B5EF4-FFF2-40B4-BE49-F238E27FC236}">
              <a16:creationId xmlns="" xmlns:a16="http://schemas.microsoft.com/office/drawing/2014/main" id="{00000000-0008-0000-0F00-00000B000000}"/>
            </a:ext>
          </a:extLst>
        </xdr:cNvPr>
        <xdr:cNvSpPr/>
      </xdr:nvSpPr>
      <xdr:spPr>
        <a:xfrm>
          <a:off x="10677526" y="28575"/>
          <a:ext cx="1123950"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PREVIOUS</a:t>
          </a:r>
          <a:r>
            <a:rPr lang="en-US" sz="1100" b="1" baseline="0">
              <a:solidFill>
                <a:schemeClr val="tx2">
                  <a:lumMod val="50000"/>
                </a:schemeClr>
              </a:solidFill>
            </a:rPr>
            <a:t> </a:t>
          </a:r>
          <a:endParaRPr lang="en-US" sz="1100" b="1">
            <a:solidFill>
              <a:schemeClr val="tx2">
                <a:lumMod val="50000"/>
              </a:schemeClr>
            </a:solidFill>
          </a:endParaRPr>
        </a:p>
      </xdr:txBody>
    </xdr:sp>
    <xdr:clientData/>
  </xdr:twoCellAnchor>
  <xdr:twoCellAnchor>
    <xdr:from>
      <xdr:col>6</xdr:col>
      <xdr:colOff>2800350</xdr:colOff>
      <xdr:row>0</xdr:row>
      <xdr:rowOff>28575</xdr:rowOff>
    </xdr:from>
    <xdr:to>
      <xdr:col>7</xdr:col>
      <xdr:colOff>390525</xdr:colOff>
      <xdr:row>1</xdr:row>
      <xdr:rowOff>180975</xdr:rowOff>
    </xdr:to>
    <xdr:sp macro="" textlink="">
      <xdr:nvSpPr>
        <xdr:cNvPr id="12" name="Rounded Rectangle 11">
          <a:extLst>
            <a:ext uri="{FF2B5EF4-FFF2-40B4-BE49-F238E27FC236}">
              <a16:creationId xmlns="" xmlns:a16="http://schemas.microsoft.com/office/drawing/2014/main" id="{00000000-0008-0000-0F00-00000C000000}"/>
            </a:ext>
          </a:extLst>
        </xdr:cNvPr>
        <xdr:cNvSpPr/>
      </xdr:nvSpPr>
      <xdr:spPr>
        <a:xfrm>
          <a:off x="11963400" y="28575"/>
          <a:ext cx="9239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NEXT</a:t>
          </a:r>
        </a:p>
      </xdr:txBody>
    </xdr:sp>
    <xdr:clientData/>
  </xdr:twoCellAnchor>
  <xdr:twoCellAnchor>
    <xdr:from>
      <xdr:col>5</xdr:col>
      <xdr:colOff>904875</xdr:colOff>
      <xdr:row>0</xdr:row>
      <xdr:rowOff>9525</xdr:rowOff>
    </xdr:from>
    <xdr:to>
      <xdr:col>6</xdr:col>
      <xdr:colOff>66675</xdr:colOff>
      <xdr:row>1</xdr:row>
      <xdr:rowOff>161925</xdr:rowOff>
    </xdr:to>
    <xdr:sp macro="[0]!_xludf.Help" textlink="">
      <xdr:nvSpPr>
        <xdr:cNvPr id="13" name="Rounded Rectangle 12">
          <a:extLst>
            <a:ext uri="{FF2B5EF4-FFF2-40B4-BE49-F238E27FC236}">
              <a16:creationId xmlns="" xmlns:a16="http://schemas.microsoft.com/office/drawing/2014/main" id="{00000000-0008-0000-0F00-00000D000000}"/>
            </a:ext>
          </a:extLst>
        </xdr:cNvPr>
        <xdr:cNvSpPr/>
      </xdr:nvSpPr>
      <xdr:spPr>
        <a:xfrm>
          <a:off x="8077200" y="9525"/>
          <a:ext cx="1152525" cy="485775"/>
        </a:xfrm>
        <a:prstGeom prst="roundRect">
          <a:avLst/>
        </a:prstGeom>
        <a:solidFill>
          <a:schemeClr val="tx2">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2">
                  <a:lumMod val="50000"/>
                </a:schemeClr>
              </a:solidFill>
            </a:rPr>
            <a:t>         HELP</a:t>
          </a:r>
        </a:p>
      </xdr:txBody>
    </xdr:sp>
    <xdr:clientData/>
  </xdr:twoCellAnchor>
  <xdr:twoCellAnchor>
    <xdr:from>
      <xdr:col>10</xdr:col>
      <xdr:colOff>0</xdr:colOff>
      <xdr:row>2</xdr:row>
      <xdr:rowOff>104776</xdr:rowOff>
    </xdr:from>
    <xdr:to>
      <xdr:col>10</xdr:col>
      <xdr:colOff>0</xdr:colOff>
      <xdr:row>2</xdr:row>
      <xdr:rowOff>542926</xdr:rowOff>
    </xdr:to>
    <xdr:grpSp>
      <xdr:nvGrpSpPr>
        <xdr:cNvPr id="14" name="Group 13">
          <a:extLst>
            <a:ext uri="{FF2B5EF4-FFF2-40B4-BE49-F238E27FC236}">
              <a16:creationId xmlns="" xmlns:a16="http://schemas.microsoft.com/office/drawing/2014/main" id="{00000000-0008-0000-0F00-00000F000000}"/>
            </a:ext>
          </a:extLst>
        </xdr:cNvPr>
        <xdr:cNvGrpSpPr/>
      </xdr:nvGrpSpPr>
      <xdr:grpSpPr>
        <a:xfrm>
          <a:off x="16240125" y="647701"/>
          <a:ext cx="0" cy="438150"/>
          <a:chOff x="1982229" y="2092319"/>
          <a:chExt cx="1029931" cy="1029921"/>
        </a:xfrm>
      </xdr:grpSpPr>
      <xdr:sp macro="" textlink="">
        <xdr:nvSpPr>
          <xdr:cNvPr id="15" name="Oval 14">
            <a:extLst>
              <a:ext uri="{FF2B5EF4-FFF2-40B4-BE49-F238E27FC236}">
                <a16:creationId xmlns="" xmlns:a16="http://schemas.microsoft.com/office/drawing/2014/main" id="{00000000-0008-0000-0F00-000010000000}"/>
              </a:ext>
            </a:extLst>
          </xdr:cNvPr>
          <xdr:cNvSpPr/>
        </xdr:nvSpPr>
        <xdr:spPr>
          <a:xfrm>
            <a:off x="1982229" y="2092319"/>
            <a:ext cx="1029931" cy="1029921"/>
          </a:xfrm>
          <a:prstGeom prst="ellipse">
            <a:avLst/>
          </a:prstGeom>
          <a:solidFill>
            <a:schemeClr val="bg1"/>
          </a:solidFill>
          <a:ln w="57150">
            <a:solidFill>
              <a:srgbClr val="5B7DDB"/>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2215" b="1">
              <a:solidFill>
                <a:schemeClr val="tx1">
                  <a:lumMod val="60000"/>
                  <a:lumOff val="40000"/>
                </a:schemeClr>
              </a:solidFill>
              <a:latin typeface="Arial" pitchFamily="34" charset="0"/>
              <a:cs typeface="Arial" pitchFamily="34" charset="0"/>
            </a:endParaRPr>
          </a:p>
        </xdr:txBody>
      </xdr:sp>
      <xdr:sp macro="" textlink="">
        <xdr:nvSpPr>
          <xdr:cNvPr id="16" name="Freeform 15">
            <a:extLst>
              <a:ext uri="{FF2B5EF4-FFF2-40B4-BE49-F238E27FC236}">
                <a16:creationId xmlns="" xmlns:a16="http://schemas.microsoft.com/office/drawing/2014/main" id="{00000000-0008-0000-0F00-000011000000}"/>
              </a:ext>
            </a:extLst>
          </xdr:cNvPr>
          <xdr:cNvSpPr/>
        </xdr:nvSpPr>
        <xdr:spPr>
          <a:xfrm>
            <a:off x="2302002" y="2350498"/>
            <a:ext cx="434316" cy="528460"/>
          </a:xfrm>
          <a:custGeom>
            <a:avLst/>
            <a:gdLst>
              <a:gd name="connsiteX0" fmla="*/ 350280 w 557958"/>
              <a:gd name="connsiteY0" fmla="*/ 0 h 678906"/>
              <a:gd name="connsiteX1" fmla="*/ 557958 w 557958"/>
              <a:gd name="connsiteY1" fmla="*/ 213145 h 678906"/>
              <a:gd name="connsiteX2" fmla="*/ 557958 w 557958"/>
              <a:gd name="connsiteY2" fmla="*/ 215074 h 678906"/>
              <a:gd name="connsiteX3" fmla="*/ 433296 w 557958"/>
              <a:gd name="connsiteY3" fmla="*/ 215074 h 678906"/>
              <a:gd name="connsiteX4" fmla="*/ 350280 w 557958"/>
              <a:gd name="connsiteY4" fmla="*/ 132059 h 678906"/>
              <a:gd name="connsiteX5" fmla="*/ 92739 w 557958"/>
              <a:gd name="connsiteY5" fmla="*/ 0 h 678906"/>
              <a:gd name="connsiteX6" fmla="*/ 323926 w 557958"/>
              <a:gd name="connsiteY6" fmla="*/ 0 h 678906"/>
              <a:gd name="connsiteX7" fmla="*/ 324397 w 557958"/>
              <a:gd name="connsiteY7" fmla="*/ 493 h 678906"/>
              <a:gd name="connsiteX8" fmla="*/ 324397 w 557958"/>
              <a:gd name="connsiteY8" fmla="*/ 147525 h 678906"/>
              <a:gd name="connsiteX9" fmla="*/ 417135 w 557958"/>
              <a:gd name="connsiteY9" fmla="*/ 240263 h 678906"/>
              <a:gd name="connsiteX10" fmla="*/ 553322 w 557958"/>
              <a:gd name="connsiteY10" fmla="*/ 240263 h 678906"/>
              <a:gd name="connsiteX11" fmla="*/ 556420 w 557958"/>
              <a:gd name="connsiteY11" fmla="*/ 243507 h 678906"/>
              <a:gd name="connsiteX12" fmla="*/ 556420 w 557958"/>
              <a:gd name="connsiteY12" fmla="*/ 586169 h 678906"/>
              <a:gd name="connsiteX13" fmla="*/ 463682 w 557958"/>
              <a:gd name="connsiteY13" fmla="*/ 678906 h 678906"/>
              <a:gd name="connsiteX14" fmla="*/ 92739 w 557958"/>
              <a:gd name="connsiteY14" fmla="*/ 678906 h 678906"/>
              <a:gd name="connsiteX15" fmla="*/ 92734 w 557958"/>
              <a:gd name="connsiteY15" fmla="*/ 678905 h 678906"/>
              <a:gd name="connsiteX16" fmla="*/ 59501 w 557958"/>
              <a:gd name="connsiteY16" fmla="*/ 678905 h 678906"/>
              <a:gd name="connsiteX17" fmla="*/ 279110 w 557958"/>
              <a:gd name="connsiteY17" fmla="*/ 401696 h 678906"/>
              <a:gd name="connsiteX18" fmla="*/ 269334 w 557958"/>
              <a:gd name="connsiteY18" fmla="*/ 317378 h 678906"/>
              <a:gd name="connsiteX19" fmla="*/ 269335 w 557958"/>
              <a:gd name="connsiteY19" fmla="*/ 317377 h 678906"/>
              <a:gd name="connsiteX20" fmla="*/ 225152 w 557958"/>
              <a:gd name="connsiteY20" fmla="*/ 304802 h 678906"/>
              <a:gd name="connsiteX21" fmla="*/ 185017 w 557958"/>
              <a:gd name="connsiteY21" fmla="*/ 327153 h 678906"/>
              <a:gd name="connsiteX22" fmla="*/ 836 w 557958"/>
              <a:gd name="connsiteY22" fmla="*/ 559643 h 678906"/>
              <a:gd name="connsiteX23" fmla="*/ 836 w 557958"/>
              <a:gd name="connsiteY23" fmla="*/ 286370 h 678906"/>
              <a:gd name="connsiteX24" fmla="*/ 0 w 557958"/>
              <a:gd name="connsiteY24" fmla="*/ 286201 h 678906"/>
              <a:gd name="connsiteX25" fmla="*/ 0 w 557958"/>
              <a:gd name="connsiteY25" fmla="*/ 92738 h 678906"/>
              <a:gd name="connsiteX26" fmla="*/ 92739 w 557958"/>
              <a:gd name="connsiteY26" fmla="*/ 0 h 678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57958" h="678906">
                <a:moveTo>
                  <a:pt x="350280" y="0"/>
                </a:moveTo>
                <a:lnTo>
                  <a:pt x="557958" y="213145"/>
                </a:lnTo>
                <a:lnTo>
                  <a:pt x="557958" y="215074"/>
                </a:lnTo>
                <a:lnTo>
                  <a:pt x="433296" y="215074"/>
                </a:lnTo>
                <a:cubicBezTo>
                  <a:pt x="387445" y="215074"/>
                  <a:pt x="350280" y="177908"/>
                  <a:pt x="350280" y="132059"/>
                </a:cubicBezTo>
                <a:close/>
                <a:moveTo>
                  <a:pt x="92739" y="0"/>
                </a:moveTo>
                <a:lnTo>
                  <a:pt x="323926" y="0"/>
                </a:lnTo>
                <a:lnTo>
                  <a:pt x="324397" y="493"/>
                </a:lnTo>
                <a:lnTo>
                  <a:pt x="324397" y="147525"/>
                </a:lnTo>
                <a:cubicBezTo>
                  <a:pt x="324397" y="198745"/>
                  <a:pt x="365915" y="240263"/>
                  <a:pt x="417135" y="240263"/>
                </a:cubicBezTo>
                <a:lnTo>
                  <a:pt x="553322" y="240263"/>
                </a:lnTo>
                <a:lnTo>
                  <a:pt x="556420" y="243507"/>
                </a:lnTo>
                <a:lnTo>
                  <a:pt x="556420" y="586169"/>
                </a:lnTo>
                <a:cubicBezTo>
                  <a:pt x="556420" y="637388"/>
                  <a:pt x="514902" y="678906"/>
                  <a:pt x="463682" y="678906"/>
                </a:cubicBezTo>
                <a:lnTo>
                  <a:pt x="92739" y="678906"/>
                </a:lnTo>
                <a:lnTo>
                  <a:pt x="92734" y="678905"/>
                </a:lnTo>
                <a:lnTo>
                  <a:pt x="59501" y="678905"/>
                </a:lnTo>
                <a:lnTo>
                  <a:pt x="279110" y="401696"/>
                </a:lnTo>
                <a:cubicBezTo>
                  <a:pt x="299695" y="375712"/>
                  <a:pt x="295318" y="337962"/>
                  <a:pt x="269334" y="317378"/>
                </a:cubicBezTo>
                <a:lnTo>
                  <a:pt x="269335" y="317377"/>
                </a:lnTo>
                <a:cubicBezTo>
                  <a:pt x="256344" y="307085"/>
                  <a:pt x="240410" y="303033"/>
                  <a:pt x="225152" y="304802"/>
                </a:cubicBezTo>
                <a:cubicBezTo>
                  <a:pt x="209893" y="306571"/>
                  <a:pt x="195309" y="314162"/>
                  <a:pt x="185017" y="327153"/>
                </a:cubicBezTo>
                <a:lnTo>
                  <a:pt x="836" y="559643"/>
                </a:lnTo>
                <a:lnTo>
                  <a:pt x="836" y="286370"/>
                </a:lnTo>
                <a:lnTo>
                  <a:pt x="0" y="286201"/>
                </a:lnTo>
                <a:lnTo>
                  <a:pt x="0" y="92738"/>
                </a:lnTo>
                <a:cubicBezTo>
                  <a:pt x="0" y="41518"/>
                  <a:pt x="41519" y="0"/>
                  <a:pt x="92739" y="0"/>
                </a:cubicBezTo>
                <a:close/>
              </a:path>
            </a:pathLst>
          </a:custGeom>
          <a:solidFill>
            <a:srgbClr val="2950B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nvGrpSpPr>
          <xdr:cNvPr id="17" name="Group 16">
            <a:extLst>
              <a:ext uri="{FF2B5EF4-FFF2-40B4-BE49-F238E27FC236}">
                <a16:creationId xmlns="" xmlns:a16="http://schemas.microsoft.com/office/drawing/2014/main" id="{00000000-0008-0000-0F00-000012000000}"/>
              </a:ext>
            </a:extLst>
          </xdr:cNvPr>
          <xdr:cNvGrpSpPr/>
        </xdr:nvGrpSpPr>
        <xdr:grpSpPr>
          <a:xfrm>
            <a:off x="2227648" y="2566818"/>
            <a:ext cx="201061" cy="359352"/>
            <a:chOff x="6470288" y="1855804"/>
            <a:chExt cx="258298" cy="461654"/>
          </a:xfrm>
          <a:solidFill>
            <a:srgbClr val="2950BD"/>
          </a:solidFill>
        </xdr:grpSpPr>
        <xdr:sp macro="" textlink="">
          <xdr:nvSpPr>
            <xdr:cNvPr id="18" name="Rounded Rectangle 17">
              <a:extLst>
                <a:ext uri="{FF2B5EF4-FFF2-40B4-BE49-F238E27FC236}">
                  <a16:creationId xmlns="" xmlns:a16="http://schemas.microsoft.com/office/drawing/2014/main" id="{00000000-0008-0000-0F00-000013000000}"/>
                </a:ext>
              </a:extLst>
            </xdr:cNvPr>
            <xdr:cNvSpPr/>
          </xdr:nvSpPr>
          <xdr:spPr>
            <a:xfrm rot="18503198">
              <a:off x="6455048" y="2043919"/>
              <a:ext cx="46165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sp macro="" textlink="">
          <xdr:nvSpPr>
            <xdr:cNvPr id="19" name="Rounded Rectangle 18">
              <a:extLst>
                <a:ext uri="{FF2B5EF4-FFF2-40B4-BE49-F238E27FC236}">
                  <a16:creationId xmlns="" xmlns:a16="http://schemas.microsoft.com/office/drawing/2014/main" id="{00000000-0008-0000-0F00-000014000000}"/>
                </a:ext>
              </a:extLst>
            </xdr:cNvPr>
            <xdr:cNvSpPr/>
          </xdr:nvSpPr>
          <xdr:spPr>
            <a:xfrm rot="13895427">
              <a:off x="6380098" y="2120239"/>
              <a:ext cx="265804" cy="85423"/>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218987" rtl="0" eaLnBrk="1" latinLnBrk="0" hangingPunct="1">
                <a:defRPr sz="2400" kern="1200">
                  <a:solidFill>
                    <a:schemeClr val="lt1"/>
                  </a:solidFill>
                  <a:latin typeface="+mn-lt"/>
                  <a:ea typeface="+mn-ea"/>
                  <a:cs typeface="+mn-cs"/>
                </a:defRPr>
              </a:lvl1pPr>
              <a:lvl2pPr marL="609493" algn="l" defTabSz="1218987" rtl="0" eaLnBrk="1" latinLnBrk="0" hangingPunct="1">
                <a:defRPr sz="2400" kern="1200">
                  <a:solidFill>
                    <a:schemeClr val="lt1"/>
                  </a:solidFill>
                  <a:latin typeface="+mn-lt"/>
                  <a:ea typeface="+mn-ea"/>
                  <a:cs typeface="+mn-cs"/>
                </a:defRPr>
              </a:lvl2pPr>
              <a:lvl3pPr marL="1218987" algn="l" defTabSz="1218987" rtl="0" eaLnBrk="1" latinLnBrk="0" hangingPunct="1">
                <a:defRPr sz="2400" kern="1200">
                  <a:solidFill>
                    <a:schemeClr val="lt1"/>
                  </a:solidFill>
                  <a:latin typeface="+mn-lt"/>
                  <a:ea typeface="+mn-ea"/>
                  <a:cs typeface="+mn-cs"/>
                </a:defRPr>
              </a:lvl3pPr>
              <a:lvl4pPr marL="1828480" algn="l" defTabSz="1218987" rtl="0" eaLnBrk="1" latinLnBrk="0" hangingPunct="1">
                <a:defRPr sz="2400" kern="1200">
                  <a:solidFill>
                    <a:schemeClr val="lt1"/>
                  </a:solidFill>
                  <a:latin typeface="+mn-lt"/>
                  <a:ea typeface="+mn-ea"/>
                  <a:cs typeface="+mn-cs"/>
                </a:defRPr>
              </a:lvl4pPr>
              <a:lvl5pPr marL="2437973" algn="l" defTabSz="1218987" rtl="0" eaLnBrk="1" latinLnBrk="0" hangingPunct="1">
                <a:defRPr sz="2400" kern="1200">
                  <a:solidFill>
                    <a:schemeClr val="lt1"/>
                  </a:solidFill>
                  <a:latin typeface="+mn-lt"/>
                  <a:ea typeface="+mn-ea"/>
                  <a:cs typeface="+mn-cs"/>
                </a:defRPr>
              </a:lvl5pPr>
              <a:lvl6pPr marL="3047467" algn="l" defTabSz="1218987" rtl="0" eaLnBrk="1" latinLnBrk="0" hangingPunct="1">
                <a:defRPr sz="2400" kern="1200">
                  <a:solidFill>
                    <a:schemeClr val="lt1"/>
                  </a:solidFill>
                  <a:latin typeface="+mn-lt"/>
                  <a:ea typeface="+mn-ea"/>
                  <a:cs typeface="+mn-cs"/>
                </a:defRPr>
              </a:lvl6pPr>
              <a:lvl7pPr marL="3656960" algn="l" defTabSz="1218987" rtl="0" eaLnBrk="1" latinLnBrk="0" hangingPunct="1">
                <a:defRPr sz="2400" kern="1200">
                  <a:solidFill>
                    <a:schemeClr val="lt1"/>
                  </a:solidFill>
                  <a:latin typeface="+mn-lt"/>
                  <a:ea typeface="+mn-ea"/>
                  <a:cs typeface="+mn-cs"/>
                </a:defRPr>
              </a:lvl7pPr>
              <a:lvl8pPr marL="4266453" algn="l" defTabSz="1218987" rtl="0" eaLnBrk="1" latinLnBrk="0" hangingPunct="1">
                <a:defRPr sz="2400" kern="1200">
                  <a:solidFill>
                    <a:schemeClr val="lt1"/>
                  </a:solidFill>
                  <a:latin typeface="+mn-lt"/>
                  <a:ea typeface="+mn-ea"/>
                  <a:cs typeface="+mn-cs"/>
                </a:defRPr>
              </a:lvl8pPr>
              <a:lvl9pPr marL="4875947" algn="l" defTabSz="1218987" rtl="0" eaLnBrk="1" latinLnBrk="0" hangingPunct="1">
                <a:defRPr sz="2400" kern="1200">
                  <a:solidFill>
                    <a:schemeClr val="lt1"/>
                  </a:solidFill>
                  <a:latin typeface="+mn-lt"/>
                  <a:ea typeface="+mn-ea"/>
                  <a:cs typeface="+mn-cs"/>
                </a:defRPr>
              </a:lvl9pPr>
            </a:lstStyle>
            <a:p>
              <a:pPr algn="ctr"/>
              <a:endParaRPr lang="en-US" sz="3199"/>
            </a:p>
          </xdr:txBody>
        </xdr:sp>
      </xdr:grpSp>
    </xdr:grpSp>
    <xdr:clientData/>
  </xdr:twoCellAnchor>
  <xdr:twoCellAnchor>
    <xdr:from>
      <xdr:col>4</xdr:col>
      <xdr:colOff>1028700</xdr:colOff>
      <xdr:row>23</xdr:row>
      <xdr:rowOff>409575</xdr:rowOff>
    </xdr:from>
    <xdr:to>
      <xdr:col>4</xdr:col>
      <xdr:colOff>1200150</xdr:colOff>
      <xdr:row>23</xdr:row>
      <xdr:rowOff>514350</xdr:rowOff>
    </xdr:to>
    <xdr:sp macro="" textlink="">
      <xdr:nvSpPr>
        <xdr:cNvPr id="20" name="Flowchart: Merge 19">
          <a:extLst>
            <a:ext uri="{FF2B5EF4-FFF2-40B4-BE49-F238E27FC236}">
              <a16:creationId xmlns="" xmlns:a16="http://schemas.microsoft.com/office/drawing/2014/main" id="{00000000-0008-0000-0F00-000016000000}"/>
            </a:ext>
          </a:extLst>
        </xdr:cNvPr>
        <xdr:cNvSpPr/>
      </xdr:nvSpPr>
      <xdr:spPr>
        <a:xfrm flipH="1">
          <a:off x="5762625" y="5400675"/>
          <a:ext cx="171450" cy="0"/>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xdr:from>
      <xdr:col>7</xdr:col>
      <xdr:colOff>76200</xdr:colOff>
      <xdr:row>64</xdr:row>
      <xdr:rowOff>85725</xdr:rowOff>
    </xdr:from>
    <xdr:to>
      <xdr:col>7</xdr:col>
      <xdr:colOff>847725</xdr:colOff>
      <xdr:row>65</xdr:row>
      <xdr:rowOff>95250</xdr:rowOff>
    </xdr:to>
    <xdr:sp macro="[0]!add_qual" textlink="">
      <xdr:nvSpPr>
        <xdr:cNvPr id="21" name="Rounded Rectangle 20">
          <a:extLst>
            <a:ext uri="{FF2B5EF4-FFF2-40B4-BE49-F238E27FC236}">
              <a16:creationId xmlns="" xmlns:a16="http://schemas.microsoft.com/office/drawing/2014/main" id="{00000000-0008-0000-0F00-00001F000000}"/>
            </a:ext>
          </a:extLst>
        </xdr:cNvPr>
        <xdr:cNvSpPr/>
      </xdr:nvSpPr>
      <xdr:spPr>
        <a:xfrm>
          <a:off x="12573000" y="13106400"/>
          <a:ext cx="771525" cy="200025"/>
        </a:xfrm>
        <a:prstGeom prst="roundRect">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i.jain\AppData\Local\Temp\Temp1_GSTR_4_Offline_Utility.zip\GSTR_4_Offline_Utility_v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shutosh.khaitan\Desktop\Worksheet%20in%20SRS_Offline_GSTR10_3005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pallav_yadav\Documents\GSTR_4_Offline_Utility_v3.0_new_PY.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mast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T2" t="str">
            <v>Inter State</v>
          </cell>
          <cell r="W2" t="str">
            <v>Add</v>
          </cell>
          <cell r="AA2" t="str">
            <v>Apr-June</v>
          </cell>
          <cell r="AD2" t="str">
            <v>2017-18</v>
          </cell>
          <cell r="AF2" t="str">
            <v>B2BUR</v>
          </cell>
        </row>
        <row r="3">
          <cell r="C3" t="str">
            <v>Yes</v>
          </cell>
          <cell r="F3" t="str">
            <v>Debit Note</v>
          </cell>
          <cell r="H3">
            <v>0.25</v>
          </cell>
          <cell r="K3" t="str">
            <v>02-Himachal Pradesh</v>
          </cell>
          <cell r="T3" t="str">
            <v>Intra State</v>
          </cell>
          <cell r="W3" t="str">
            <v>Delete</v>
          </cell>
          <cell r="AA3" t="str">
            <v>July-Sep</v>
          </cell>
          <cell r="AD3" t="str">
            <v>2018-19</v>
          </cell>
          <cell r="AF3" t="str">
            <v>IMPS</v>
          </cell>
        </row>
        <row r="4">
          <cell r="H4" t="str">
            <v>3</v>
          </cell>
          <cell r="K4" t="str">
            <v>03-Punjab</v>
          </cell>
          <cell r="AA4" t="str">
            <v>Oct-Dec</v>
          </cell>
          <cell r="AD4" t="str">
            <v>2019-20</v>
          </cell>
        </row>
        <row r="5">
          <cell r="H5" t="str">
            <v>5</v>
          </cell>
          <cell r="K5" t="str">
            <v>04-Chandigarh</v>
          </cell>
          <cell r="AA5" t="str">
            <v>Jan-Mar</v>
          </cell>
          <cell r="AD5" t="str">
            <v>2020-21</v>
          </cell>
        </row>
        <row r="6">
          <cell r="H6" t="str">
            <v>12</v>
          </cell>
          <cell r="K6" t="str">
            <v>05-Uttarakhand</v>
          </cell>
        </row>
        <row r="7">
          <cell r="H7" t="str">
            <v>18</v>
          </cell>
          <cell r="K7" t="str">
            <v>06-Haryana</v>
          </cell>
        </row>
        <row r="8">
          <cell r="H8" t="str">
            <v>28</v>
          </cell>
          <cell r="K8" t="str">
            <v>07-Delhi</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Invoice_Available"/>
      <sheetName val="Invoice_Not_Available"/>
      <sheetName val="Master Sheet"/>
      <sheetName val="Master_table"/>
    </sheetNames>
    <sheetDataSet>
      <sheetData sheetId="0"/>
      <sheetData sheetId="1"/>
      <sheetData sheetId="2"/>
      <sheetData sheetId="3"/>
      <sheetData sheetId="4">
        <row r="2">
          <cell r="X2" t="str">
            <v>Inputs held in stock</v>
          </cell>
        </row>
        <row r="3">
          <cell r="X3" t="str">
            <v>Inputs contained in semi-finished and finished goods held in stock</v>
          </cell>
        </row>
        <row r="4">
          <cell r="X4" t="str">
            <v>Capital goods held in stock</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ReadMe"/>
      <sheetName val="Home"/>
      <sheetName val="4-A&amp;B(B2B)"/>
      <sheetName val="5A(B2BA)"/>
      <sheetName val="4C(B2BUR)"/>
      <sheetName val="5A(B2BURA)"/>
      <sheetName val="4D(IMPS)"/>
      <sheetName val="5A(IMPSA)"/>
      <sheetName val="5B(CDNR)"/>
      <sheetName val="5C(CDNRA)"/>
      <sheetName val="5B(CDNUR)"/>
      <sheetName val="5C(CDNURA)"/>
      <sheetName val="6(TXOS)"/>
      <sheetName val="7(TXOSA)"/>
      <sheetName val="8A(AT)"/>
      <sheetName val="8A-II(ATA)"/>
      <sheetName val="8B(ATADJ)"/>
      <sheetName val="8B-II(ATADJA)"/>
      <sheetName val="9(TDS)"/>
      <sheetName val="master"/>
      <sheetName val="GSTR_4_Offline_Utility_v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D2" t="str">
            <v>2017-18</v>
          </cell>
        </row>
        <row r="3">
          <cell r="AD3" t="str">
            <v>2018-19</v>
          </cell>
        </row>
        <row r="4">
          <cell r="AD4" t="str">
            <v>2019-20</v>
          </cell>
        </row>
        <row r="5">
          <cell r="AD5" t="str">
            <v>2020-21</v>
          </cell>
        </row>
      </sheetData>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20000"/>
            <a:lumOff val="80000"/>
          </a:schemeClr>
        </a:solidFill>
        <a:scene3d>
          <a:camera prst="orthographicFront"/>
          <a:lightRig rig="threePt" dir="t"/>
        </a:scene3d>
        <a:sp3d>
          <a:bevelT prst="angle"/>
        </a:sp3d>
      </a:spPr>
      <a:bodyPr vertOverflow="clip" horzOverflow="clip" rtlCol="0" anchor="t"/>
      <a:lstStyle>
        <a:defPPr algn="ctr">
          <a:defRPr sz="1100" b="1">
            <a:solidFill>
              <a:schemeClr val="tx2">
                <a:lumMod val="50000"/>
              </a:schemeClr>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sheetPr codeName="Sheet1"/>
  <dimension ref="B1:I234"/>
  <sheetViews>
    <sheetView showGridLines="0" workbookViewId="0">
      <selection activeCell="C21" sqref="C21:C38"/>
    </sheetView>
  </sheetViews>
  <sheetFormatPr defaultColWidth="9.140625" defaultRowHeight="12.75"/>
  <cols>
    <col min="1" max="1" width="2.28515625" style="91" customWidth="1"/>
    <col min="2" max="2" width="18.42578125" style="91" customWidth="1"/>
    <col min="3" max="3" width="23.85546875" style="91" customWidth="1"/>
    <col min="4" max="4" width="30.140625" style="91" customWidth="1"/>
    <col min="5" max="5" width="27.7109375" style="91" customWidth="1"/>
    <col min="6" max="6" width="22.7109375" style="91" customWidth="1"/>
    <col min="7" max="7" width="11.5703125" style="91" customWidth="1"/>
    <col min="8" max="8" width="26" style="91" customWidth="1"/>
    <col min="9" max="9" width="13.7109375" style="91" customWidth="1"/>
    <col min="10" max="16384" width="9.140625" style="91"/>
  </cols>
  <sheetData>
    <row r="1" spans="2:9" ht="56.25" customHeight="1">
      <c r="B1" s="427" t="s">
        <v>650</v>
      </c>
      <c r="C1" s="427"/>
      <c r="D1" s="427"/>
      <c r="E1" s="427"/>
      <c r="F1" s="427"/>
      <c r="G1" s="427"/>
      <c r="H1" s="427"/>
      <c r="I1" s="427"/>
    </row>
    <row r="3" spans="2:9" ht="21" customHeight="1">
      <c r="B3" s="428" t="s">
        <v>290</v>
      </c>
      <c r="C3" s="428"/>
      <c r="D3" s="428"/>
      <c r="E3" s="428"/>
      <c r="F3" s="428"/>
      <c r="G3" s="428"/>
      <c r="H3" s="428"/>
      <c r="I3" s="428"/>
    </row>
    <row r="4" spans="2:9">
      <c r="B4" s="425" t="s">
        <v>566</v>
      </c>
      <c r="C4" s="425"/>
      <c r="D4" s="425"/>
      <c r="E4" s="425"/>
      <c r="F4" s="425"/>
      <c r="G4" s="425"/>
      <c r="H4" s="425"/>
      <c r="I4" s="425"/>
    </row>
    <row r="5" spans="2:9" ht="7.5" customHeight="1">
      <c r="B5" s="92"/>
      <c r="C5" s="92"/>
      <c r="D5" s="92"/>
      <c r="E5" s="92"/>
      <c r="F5" s="92"/>
      <c r="G5" s="92"/>
      <c r="H5" s="92"/>
      <c r="I5" s="92"/>
    </row>
    <row r="6" spans="2:9" ht="230.25" customHeight="1">
      <c r="B6" s="429" t="s">
        <v>565</v>
      </c>
      <c r="C6" s="429"/>
      <c r="D6" s="429"/>
      <c r="E6" s="429"/>
      <c r="F6" s="429"/>
      <c r="G6" s="429"/>
      <c r="H6" s="429"/>
      <c r="I6" s="429"/>
    </row>
    <row r="7" spans="2:9" ht="5.25" customHeight="1">
      <c r="B7" s="92"/>
      <c r="C7" s="92"/>
      <c r="D7" s="92"/>
      <c r="E7" s="92"/>
      <c r="F7" s="92"/>
      <c r="G7" s="92"/>
      <c r="H7" s="92"/>
      <c r="I7" s="92"/>
    </row>
    <row r="8" spans="2:9" ht="128.25" customHeight="1">
      <c r="B8" s="424" t="s">
        <v>564</v>
      </c>
      <c r="C8" s="424"/>
      <c r="D8" s="424"/>
      <c r="E8" s="424"/>
      <c r="F8" s="424"/>
      <c r="G8" s="424"/>
      <c r="H8" s="424"/>
      <c r="I8" s="424"/>
    </row>
    <row r="9" spans="2:9" ht="12" customHeight="1">
      <c r="B9" s="424"/>
      <c r="C9" s="424"/>
      <c r="D9" s="424"/>
      <c r="E9" s="424"/>
      <c r="F9" s="424"/>
      <c r="G9" s="424"/>
      <c r="H9" s="424"/>
      <c r="I9" s="424"/>
    </row>
    <row r="10" spans="2:9" ht="68.25" customHeight="1">
      <c r="B10" s="424" t="s">
        <v>563</v>
      </c>
      <c r="C10" s="425"/>
      <c r="D10" s="425"/>
      <c r="E10" s="425"/>
      <c r="F10" s="425"/>
      <c r="G10" s="425"/>
      <c r="H10" s="425"/>
      <c r="I10" s="425"/>
    </row>
    <row r="11" spans="2:9" ht="7.5" customHeight="1">
      <c r="B11" s="92"/>
      <c r="C11" s="92"/>
      <c r="D11" s="92"/>
      <c r="E11" s="92"/>
      <c r="F11" s="92"/>
      <c r="G11" s="92"/>
      <c r="H11" s="92"/>
      <c r="I11" s="92"/>
    </row>
    <row r="13" spans="2:9" ht="19.5" customHeight="1">
      <c r="B13" s="426" t="s">
        <v>562</v>
      </c>
      <c r="C13" s="426"/>
      <c r="D13" s="426"/>
      <c r="E13" s="426"/>
      <c r="F13" s="426"/>
      <c r="G13" s="426"/>
      <c r="H13" s="426"/>
      <c r="I13" s="426"/>
    </row>
    <row r="14" spans="2:9" ht="131.25" customHeight="1">
      <c r="B14" s="424" t="s">
        <v>648</v>
      </c>
      <c r="C14" s="424"/>
      <c r="D14" s="424"/>
      <c r="E14" s="424"/>
      <c r="F14" s="424"/>
      <c r="G14" s="424"/>
      <c r="H14" s="424"/>
      <c r="I14" s="424"/>
    </row>
    <row r="16" spans="2:9" ht="18" customHeight="1">
      <c r="B16" s="426" t="s">
        <v>562</v>
      </c>
      <c r="C16" s="426"/>
      <c r="D16" s="426"/>
      <c r="E16" s="426"/>
      <c r="F16" s="426"/>
      <c r="G16" s="426"/>
      <c r="H16" s="426"/>
      <c r="I16" s="426"/>
    </row>
    <row r="17" spans="2:9" ht="158.25" customHeight="1">
      <c r="B17" s="424" t="s">
        <v>561</v>
      </c>
      <c r="C17" s="424"/>
      <c r="D17" s="424"/>
      <c r="E17" s="424"/>
      <c r="F17" s="424"/>
      <c r="G17" s="424"/>
      <c r="H17" s="424"/>
      <c r="I17" s="424"/>
    </row>
    <row r="19" spans="2:9" ht="21" customHeight="1">
      <c r="B19" s="438" t="s">
        <v>560</v>
      </c>
      <c r="C19" s="438"/>
      <c r="D19" s="438"/>
      <c r="E19" s="438"/>
      <c r="F19" s="438"/>
      <c r="G19" s="438"/>
      <c r="H19" s="438"/>
      <c r="I19" s="438"/>
    </row>
    <row r="20" spans="2:9" ht="20.25" customHeight="1">
      <c r="B20" s="101" t="s">
        <v>559</v>
      </c>
      <c r="C20" s="102" t="s">
        <v>558</v>
      </c>
      <c r="D20" s="101" t="s">
        <v>557</v>
      </c>
      <c r="E20" s="430" t="s">
        <v>556</v>
      </c>
      <c r="F20" s="430"/>
      <c r="G20" s="430"/>
      <c r="H20" s="430"/>
      <c r="I20" s="430"/>
    </row>
    <row r="21" spans="2:9" ht="78" customHeight="1">
      <c r="B21" s="431" t="s">
        <v>555</v>
      </c>
      <c r="C21" s="434" t="s">
        <v>554</v>
      </c>
      <c r="D21" s="98" t="s">
        <v>553</v>
      </c>
      <c r="E21" s="437" t="s">
        <v>552</v>
      </c>
      <c r="F21" s="437"/>
      <c r="G21" s="437"/>
      <c r="H21" s="437"/>
      <c r="I21" s="437"/>
    </row>
    <row r="22" spans="2:9" ht="92.25" customHeight="1">
      <c r="B22" s="432"/>
      <c r="C22" s="435"/>
      <c r="D22" s="100" t="s">
        <v>551</v>
      </c>
      <c r="E22" s="437" t="s">
        <v>550</v>
      </c>
      <c r="F22" s="437"/>
      <c r="G22" s="437"/>
      <c r="H22" s="437"/>
      <c r="I22" s="437"/>
    </row>
    <row r="23" spans="2:9" ht="44.25" customHeight="1">
      <c r="B23" s="432"/>
      <c r="C23" s="435"/>
      <c r="D23" s="95" t="s">
        <v>549</v>
      </c>
      <c r="E23" s="437" t="s">
        <v>548</v>
      </c>
      <c r="F23" s="437"/>
      <c r="G23" s="437"/>
      <c r="H23" s="437"/>
      <c r="I23" s="437"/>
    </row>
    <row r="24" spans="2:9" ht="41.25" customHeight="1">
      <c r="B24" s="432"/>
      <c r="C24" s="435"/>
      <c r="D24" s="95" t="s">
        <v>547</v>
      </c>
      <c r="E24" s="437" t="s">
        <v>546</v>
      </c>
      <c r="F24" s="437"/>
      <c r="G24" s="437"/>
      <c r="H24" s="437"/>
      <c r="I24" s="437"/>
    </row>
    <row r="25" spans="2:9" ht="40.5" customHeight="1">
      <c r="B25" s="432"/>
      <c r="C25" s="435"/>
      <c r="D25" s="95" t="s">
        <v>545</v>
      </c>
      <c r="E25" s="437" t="s">
        <v>544</v>
      </c>
      <c r="F25" s="437"/>
      <c r="G25" s="437"/>
      <c r="H25" s="437"/>
      <c r="I25" s="437"/>
    </row>
    <row r="26" spans="2:9" ht="57.75" customHeight="1">
      <c r="B26" s="432"/>
      <c r="C26" s="435"/>
      <c r="D26" s="95" t="s">
        <v>543</v>
      </c>
      <c r="E26" s="437" t="s">
        <v>542</v>
      </c>
      <c r="F26" s="437"/>
      <c r="G26" s="437"/>
      <c r="H26" s="437"/>
      <c r="I26" s="437"/>
    </row>
    <row r="27" spans="2:9" ht="51" customHeight="1">
      <c r="B27" s="432"/>
      <c r="C27" s="435"/>
      <c r="D27" s="95" t="s">
        <v>541</v>
      </c>
      <c r="E27" s="437" t="s">
        <v>540</v>
      </c>
      <c r="F27" s="437"/>
      <c r="G27" s="437"/>
      <c r="H27" s="437"/>
      <c r="I27" s="437"/>
    </row>
    <row r="28" spans="2:9" ht="37.5" customHeight="1">
      <c r="B28" s="432"/>
      <c r="C28" s="435"/>
      <c r="D28" s="95" t="s">
        <v>539</v>
      </c>
      <c r="E28" s="437" t="s">
        <v>538</v>
      </c>
      <c r="F28" s="437"/>
      <c r="G28" s="437"/>
      <c r="H28" s="437"/>
      <c r="I28" s="437"/>
    </row>
    <row r="29" spans="2:9" ht="42.75" customHeight="1">
      <c r="B29" s="432"/>
      <c r="C29" s="435"/>
      <c r="D29" s="95" t="s">
        <v>537</v>
      </c>
      <c r="E29" s="437" t="s">
        <v>536</v>
      </c>
      <c r="F29" s="437"/>
      <c r="G29" s="437"/>
      <c r="H29" s="437"/>
      <c r="I29" s="437"/>
    </row>
    <row r="30" spans="2:9" ht="54" customHeight="1">
      <c r="B30" s="432"/>
      <c r="C30" s="435"/>
      <c r="D30" s="95" t="s">
        <v>535</v>
      </c>
      <c r="E30" s="437" t="s">
        <v>534</v>
      </c>
      <c r="F30" s="437"/>
      <c r="G30" s="437"/>
      <c r="H30" s="437"/>
      <c r="I30" s="437"/>
    </row>
    <row r="31" spans="2:9" ht="46.5" customHeight="1">
      <c r="B31" s="432"/>
      <c r="C31" s="435"/>
      <c r="D31" s="95" t="s">
        <v>533</v>
      </c>
      <c r="E31" s="437" t="s">
        <v>532</v>
      </c>
      <c r="F31" s="437"/>
      <c r="G31" s="437"/>
      <c r="H31" s="437"/>
      <c r="I31" s="437"/>
    </row>
    <row r="32" spans="2:9" ht="65.25" customHeight="1">
      <c r="B32" s="432"/>
      <c r="C32" s="435"/>
      <c r="D32" s="95" t="s">
        <v>531</v>
      </c>
      <c r="E32" s="437" t="s">
        <v>530</v>
      </c>
      <c r="F32" s="437"/>
      <c r="G32" s="437"/>
      <c r="H32" s="437"/>
      <c r="I32" s="437"/>
    </row>
    <row r="33" spans="2:9" ht="89.25" customHeight="1">
      <c r="B33" s="432"/>
      <c r="C33" s="435"/>
      <c r="D33" s="95" t="s">
        <v>529</v>
      </c>
      <c r="E33" s="437" t="s">
        <v>528</v>
      </c>
      <c r="F33" s="437"/>
      <c r="G33" s="437"/>
      <c r="H33" s="437"/>
      <c r="I33" s="437"/>
    </row>
    <row r="34" spans="2:9" ht="71.25" customHeight="1">
      <c r="B34" s="432"/>
      <c r="C34" s="435"/>
      <c r="D34" s="95" t="s">
        <v>527</v>
      </c>
      <c r="E34" s="437" t="s">
        <v>526</v>
      </c>
      <c r="F34" s="437"/>
      <c r="G34" s="437"/>
      <c r="H34" s="437"/>
      <c r="I34" s="437"/>
    </row>
    <row r="35" spans="2:9" ht="65.25" customHeight="1">
      <c r="B35" s="432"/>
      <c r="C35" s="435"/>
      <c r="D35" s="95" t="s">
        <v>525</v>
      </c>
      <c r="E35" s="437" t="s">
        <v>524</v>
      </c>
      <c r="F35" s="437"/>
      <c r="G35" s="437"/>
      <c r="H35" s="437"/>
      <c r="I35" s="437"/>
    </row>
    <row r="36" spans="2:9" ht="28.5" customHeight="1">
      <c r="B36" s="432"/>
      <c r="C36" s="435"/>
      <c r="D36" s="95" t="s">
        <v>523</v>
      </c>
      <c r="E36" s="437" t="s">
        <v>522</v>
      </c>
      <c r="F36" s="437"/>
      <c r="G36" s="437"/>
      <c r="H36" s="437"/>
      <c r="I36" s="437"/>
    </row>
    <row r="37" spans="2:9" ht="42" customHeight="1">
      <c r="B37" s="432"/>
      <c r="C37" s="435"/>
      <c r="D37" s="95" t="s">
        <v>521</v>
      </c>
      <c r="E37" s="437" t="s">
        <v>520</v>
      </c>
      <c r="F37" s="437"/>
      <c r="G37" s="437"/>
      <c r="H37" s="437"/>
      <c r="I37" s="437"/>
    </row>
    <row r="38" spans="2:9" ht="15" customHeight="1">
      <c r="B38" s="433"/>
      <c r="C38" s="436"/>
      <c r="D38" s="95" t="s">
        <v>519</v>
      </c>
      <c r="E38" s="437" t="s">
        <v>518</v>
      </c>
      <c r="F38" s="437"/>
      <c r="G38" s="437"/>
      <c r="H38" s="437"/>
      <c r="I38" s="437"/>
    </row>
    <row r="39" spans="2:9" ht="40.5" customHeight="1">
      <c r="B39" s="97" t="s">
        <v>517</v>
      </c>
      <c r="C39" s="96" t="s">
        <v>516</v>
      </c>
      <c r="D39" s="99" t="s">
        <v>495</v>
      </c>
      <c r="E39" s="437" t="s">
        <v>515</v>
      </c>
      <c r="F39" s="437"/>
      <c r="G39" s="437"/>
      <c r="H39" s="437"/>
      <c r="I39" s="437"/>
    </row>
    <row r="40" spans="2:9" ht="15" customHeight="1">
      <c r="B40" s="431" t="s">
        <v>514</v>
      </c>
      <c r="C40" s="439" t="s">
        <v>513</v>
      </c>
      <c r="D40" s="440" t="s">
        <v>512</v>
      </c>
      <c r="E40" s="440"/>
      <c r="F40" s="440"/>
      <c r="G40" s="440"/>
      <c r="H40" s="440"/>
      <c r="I40" s="440"/>
    </row>
    <row r="41" spans="2:9" ht="15" customHeight="1">
      <c r="B41" s="432"/>
      <c r="C41" s="439"/>
      <c r="D41" s="98" t="s">
        <v>511</v>
      </c>
      <c r="E41" s="440" t="s">
        <v>510</v>
      </c>
      <c r="F41" s="440"/>
      <c r="G41" s="440"/>
      <c r="H41" s="440"/>
      <c r="I41" s="440"/>
    </row>
    <row r="42" spans="2:9" ht="65.25" customHeight="1">
      <c r="B42" s="432"/>
      <c r="C42" s="439"/>
      <c r="D42" s="98" t="s">
        <v>509</v>
      </c>
      <c r="E42" s="437" t="s">
        <v>508</v>
      </c>
      <c r="F42" s="440"/>
      <c r="G42" s="440"/>
      <c r="H42" s="440"/>
      <c r="I42" s="440"/>
    </row>
    <row r="43" spans="2:9" ht="64.5" customHeight="1">
      <c r="B43" s="432"/>
      <c r="C43" s="439"/>
      <c r="D43" s="98" t="s">
        <v>507</v>
      </c>
      <c r="E43" s="437" t="s">
        <v>506</v>
      </c>
      <c r="F43" s="440"/>
      <c r="G43" s="440"/>
      <c r="H43" s="440"/>
      <c r="I43" s="440"/>
    </row>
    <row r="44" spans="2:9" ht="64.5" customHeight="1">
      <c r="B44" s="432"/>
      <c r="C44" s="439"/>
      <c r="D44" s="98" t="s">
        <v>505</v>
      </c>
      <c r="E44" s="437" t="s">
        <v>504</v>
      </c>
      <c r="F44" s="440"/>
      <c r="G44" s="440"/>
      <c r="H44" s="440"/>
      <c r="I44" s="440"/>
    </row>
    <row r="45" spans="2:9" ht="40.5" customHeight="1">
      <c r="B45" s="432"/>
      <c r="C45" s="439"/>
      <c r="D45" s="98" t="s">
        <v>503</v>
      </c>
      <c r="E45" s="437" t="s">
        <v>502</v>
      </c>
      <c r="F45" s="437"/>
      <c r="G45" s="437"/>
      <c r="H45" s="437"/>
      <c r="I45" s="437"/>
    </row>
    <row r="46" spans="2:9" ht="27" customHeight="1">
      <c r="B46" s="432"/>
      <c r="C46" s="439"/>
      <c r="D46" s="98" t="s">
        <v>501</v>
      </c>
      <c r="E46" s="437" t="s">
        <v>500</v>
      </c>
      <c r="F46" s="437"/>
      <c r="G46" s="437"/>
      <c r="H46" s="437"/>
      <c r="I46" s="437"/>
    </row>
    <row r="47" spans="2:9" ht="26.25" customHeight="1">
      <c r="B47" s="433"/>
      <c r="C47" s="439"/>
      <c r="D47" s="98" t="s">
        <v>499</v>
      </c>
      <c r="E47" s="437" t="s">
        <v>498</v>
      </c>
      <c r="F47" s="437"/>
      <c r="G47" s="437"/>
      <c r="H47" s="437"/>
      <c r="I47" s="437"/>
    </row>
    <row r="48" spans="2:9" ht="44.25" customHeight="1">
      <c r="B48" s="97" t="s">
        <v>497</v>
      </c>
      <c r="C48" s="96" t="s">
        <v>496</v>
      </c>
      <c r="D48" s="95" t="s">
        <v>495</v>
      </c>
      <c r="E48" s="441" t="s">
        <v>494</v>
      </c>
      <c r="F48" s="442"/>
      <c r="G48" s="442"/>
      <c r="H48" s="442"/>
      <c r="I48" s="443"/>
    </row>
    <row r="49" spans="2:9" ht="44.25" customHeight="1">
      <c r="B49" s="431" t="s">
        <v>493</v>
      </c>
      <c r="C49" s="439" t="s">
        <v>492</v>
      </c>
      <c r="D49" s="95" t="s">
        <v>491</v>
      </c>
      <c r="E49" s="437" t="s">
        <v>490</v>
      </c>
      <c r="F49" s="437"/>
      <c r="G49" s="437"/>
      <c r="H49" s="437"/>
      <c r="I49" s="437"/>
    </row>
    <row r="50" spans="2:9" ht="27" customHeight="1">
      <c r="B50" s="432"/>
      <c r="C50" s="439"/>
      <c r="D50" s="95" t="s">
        <v>489</v>
      </c>
      <c r="E50" s="440" t="s">
        <v>488</v>
      </c>
      <c r="F50" s="440"/>
      <c r="G50" s="440"/>
      <c r="H50" s="440"/>
      <c r="I50" s="440"/>
    </row>
    <row r="51" spans="2:9" ht="30.75" customHeight="1">
      <c r="B51" s="432"/>
      <c r="C51" s="439"/>
      <c r="D51" s="95" t="s">
        <v>487</v>
      </c>
      <c r="E51" s="440" t="s">
        <v>486</v>
      </c>
      <c r="F51" s="440"/>
      <c r="G51" s="440"/>
      <c r="H51" s="440"/>
      <c r="I51" s="440"/>
    </row>
    <row r="52" spans="2:9" ht="29.25" customHeight="1">
      <c r="B52" s="433"/>
      <c r="C52" s="439"/>
      <c r="D52" s="95" t="s">
        <v>485</v>
      </c>
      <c r="E52" s="441" t="s">
        <v>484</v>
      </c>
      <c r="F52" s="442"/>
      <c r="G52" s="442"/>
      <c r="H52" s="442"/>
      <c r="I52" s="443"/>
    </row>
    <row r="53" spans="2:9" ht="27.75" customHeight="1">
      <c r="B53" s="97" t="s">
        <v>483</v>
      </c>
      <c r="C53" s="96" t="s">
        <v>482</v>
      </c>
      <c r="D53" s="95" t="s">
        <v>451</v>
      </c>
      <c r="E53" s="437" t="s">
        <v>481</v>
      </c>
      <c r="F53" s="437"/>
      <c r="G53" s="437"/>
      <c r="H53" s="437"/>
      <c r="I53" s="437"/>
    </row>
    <row r="54" spans="2:9" ht="53.25" customHeight="1">
      <c r="B54" s="97" t="s">
        <v>480</v>
      </c>
      <c r="C54" s="96" t="s">
        <v>479</v>
      </c>
      <c r="D54" s="96" t="s">
        <v>479</v>
      </c>
      <c r="E54" s="441" t="s">
        <v>478</v>
      </c>
      <c r="F54" s="442"/>
      <c r="G54" s="442"/>
      <c r="H54" s="442"/>
      <c r="I54" s="443"/>
    </row>
    <row r="55" spans="2:9" ht="78.75" customHeight="1">
      <c r="B55" s="431" t="s">
        <v>477</v>
      </c>
      <c r="C55" s="434" t="s">
        <v>476</v>
      </c>
      <c r="D55" s="98" t="s">
        <v>475</v>
      </c>
      <c r="E55" s="437" t="s">
        <v>474</v>
      </c>
      <c r="F55" s="437"/>
      <c r="G55" s="437"/>
      <c r="H55" s="437"/>
      <c r="I55" s="437"/>
    </row>
    <row r="56" spans="2:9" ht="53.25" customHeight="1">
      <c r="B56" s="432"/>
      <c r="C56" s="435"/>
      <c r="D56" s="98" t="s">
        <v>473</v>
      </c>
      <c r="E56" s="437" t="s">
        <v>472</v>
      </c>
      <c r="F56" s="437"/>
      <c r="G56" s="437"/>
      <c r="H56" s="437"/>
      <c r="I56" s="437"/>
    </row>
    <row r="57" spans="2:9" ht="44.25" customHeight="1">
      <c r="B57" s="432"/>
      <c r="C57" s="435"/>
      <c r="D57" s="98" t="s">
        <v>471</v>
      </c>
      <c r="E57" s="437" t="s">
        <v>470</v>
      </c>
      <c r="F57" s="437"/>
      <c r="G57" s="437"/>
      <c r="H57" s="437"/>
      <c r="I57" s="437"/>
    </row>
    <row r="58" spans="2:9" ht="42" customHeight="1">
      <c r="B58" s="432"/>
      <c r="C58" s="435"/>
      <c r="D58" s="98" t="s">
        <v>469</v>
      </c>
      <c r="E58" s="437" t="s">
        <v>468</v>
      </c>
      <c r="F58" s="437"/>
      <c r="G58" s="437"/>
      <c r="H58" s="437"/>
      <c r="I58" s="437"/>
    </row>
    <row r="59" spans="2:9" ht="27.75" customHeight="1">
      <c r="B59" s="432"/>
      <c r="C59" s="435"/>
      <c r="D59" s="98" t="s">
        <v>467</v>
      </c>
      <c r="E59" s="444" t="s">
        <v>466</v>
      </c>
      <c r="F59" s="445"/>
      <c r="G59" s="445"/>
      <c r="H59" s="445"/>
      <c r="I59" s="446"/>
    </row>
    <row r="60" spans="2:9">
      <c r="B60" s="433"/>
      <c r="C60" s="436"/>
      <c r="D60" s="98" t="s">
        <v>465</v>
      </c>
      <c r="E60" s="444" t="s">
        <v>578</v>
      </c>
      <c r="F60" s="445"/>
      <c r="G60" s="445"/>
      <c r="H60" s="445"/>
      <c r="I60" s="446"/>
    </row>
    <row r="61" spans="2:9" ht="28.5" customHeight="1">
      <c r="B61" s="97" t="s">
        <v>464</v>
      </c>
      <c r="C61" s="98" t="s">
        <v>463</v>
      </c>
      <c r="D61" s="95" t="s">
        <v>451</v>
      </c>
      <c r="E61" s="441" t="s">
        <v>462</v>
      </c>
      <c r="F61" s="442"/>
      <c r="G61" s="442"/>
      <c r="H61" s="442"/>
      <c r="I61" s="443"/>
    </row>
    <row r="62" spans="2:9" ht="91.5" customHeight="1">
      <c r="B62" s="431" t="s">
        <v>461</v>
      </c>
      <c r="C62" s="434" t="s">
        <v>460</v>
      </c>
      <c r="D62" s="95" t="s">
        <v>459</v>
      </c>
      <c r="E62" s="437" t="s">
        <v>458</v>
      </c>
      <c r="F62" s="437"/>
      <c r="G62" s="437"/>
      <c r="H62" s="437"/>
      <c r="I62" s="437"/>
    </row>
    <row r="63" spans="2:9" ht="29.25" customHeight="1">
      <c r="B63" s="432"/>
      <c r="C63" s="435"/>
      <c r="D63" s="95" t="s">
        <v>457</v>
      </c>
      <c r="E63" s="437" t="s">
        <v>456</v>
      </c>
      <c r="F63" s="437"/>
      <c r="G63" s="437"/>
      <c r="H63" s="437"/>
      <c r="I63" s="437"/>
    </row>
    <row r="64" spans="2:9" ht="28.5" customHeight="1">
      <c r="B64" s="432"/>
      <c r="C64" s="435"/>
      <c r="D64" s="95" t="s">
        <v>455</v>
      </c>
      <c r="E64" s="437" t="s">
        <v>454</v>
      </c>
      <c r="F64" s="437"/>
      <c r="G64" s="437"/>
      <c r="H64" s="437"/>
      <c r="I64" s="437"/>
    </row>
    <row r="65" spans="2:9">
      <c r="B65" s="433"/>
      <c r="C65" s="436"/>
      <c r="D65" s="95" t="s">
        <v>577</v>
      </c>
      <c r="E65" s="444" t="s">
        <v>576</v>
      </c>
      <c r="F65" s="445"/>
      <c r="G65" s="445"/>
      <c r="H65" s="445"/>
      <c r="I65" s="446"/>
    </row>
    <row r="66" spans="2:9" ht="29.25" customHeight="1">
      <c r="B66" s="97" t="s">
        <v>453</v>
      </c>
      <c r="C66" s="96" t="s">
        <v>452</v>
      </c>
      <c r="D66" s="95" t="s">
        <v>451</v>
      </c>
      <c r="E66" s="437" t="s">
        <v>450</v>
      </c>
      <c r="F66" s="437"/>
      <c r="G66" s="437"/>
      <c r="H66" s="437"/>
      <c r="I66" s="437"/>
    </row>
    <row r="67" spans="2:9" ht="36" customHeight="1">
      <c r="B67" s="97" t="s">
        <v>449</v>
      </c>
      <c r="C67" s="96" t="s">
        <v>448</v>
      </c>
      <c r="D67" s="95" t="s">
        <v>447</v>
      </c>
      <c r="E67" s="437" t="s">
        <v>446</v>
      </c>
      <c r="F67" s="437"/>
      <c r="G67" s="437"/>
      <c r="H67" s="437"/>
      <c r="I67" s="437"/>
    </row>
    <row r="68" spans="2:9" ht="71.25" customHeight="1">
      <c r="B68" s="94" t="s">
        <v>575</v>
      </c>
      <c r="C68" s="437" t="s">
        <v>574</v>
      </c>
      <c r="D68" s="437"/>
      <c r="E68" s="437" t="s">
        <v>573</v>
      </c>
      <c r="F68" s="437"/>
      <c r="G68" s="437"/>
      <c r="H68" s="437"/>
      <c r="I68" s="437"/>
    </row>
    <row r="69" spans="2:9" ht="15" customHeight="1"/>
    <row r="70" spans="2:9" ht="15" customHeight="1"/>
    <row r="71" spans="2:9" ht="15" customHeight="1"/>
    <row r="72" spans="2:9" ht="15" customHeight="1"/>
    <row r="73" spans="2:9" ht="15" customHeight="1"/>
    <row r="74" spans="2:9" ht="15" customHeight="1"/>
    <row r="75" spans="2:9" ht="15" customHeight="1"/>
    <row r="76" spans="2:9" ht="15" customHeight="1"/>
    <row r="77" spans="2:9" ht="15" customHeight="1"/>
    <row r="78" spans="2:9" ht="15" customHeight="1"/>
    <row r="79" spans="2:9" ht="15" customHeight="1"/>
    <row r="80" spans="2:9"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sheetData>
  <sheetProtection password="CB83" sheet="1" objects="1" scenarios="1"/>
  <mergeCells count="72">
    <mergeCell ref="B49:B52"/>
    <mergeCell ref="C49:C52"/>
    <mergeCell ref="E49:I49"/>
    <mergeCell ref="E50:I50"/>
    <mergeCell ref="E51:I51"/>
    <mergeCell ref="E52:I52"/>
    <mergeCell ref="E68:I68"/>
    <mergeCell ref="C68:D68"/>
    <mergeCell ref="B62:B65"/>
    <mergeCell ref="C62:C65"/>
    <mergeCell ref="E60:I60"/>
    <mergeCell ref="E66:I66"/>
    <mergeCell ref="E67:I67"/>
    <mergeCell ref="E61:I61"/>
    <mergeCell ref="E62:I62"/>
    <mergeCell ref="E63:I63"/>
    <mergeCell ref="E64:I64"/>
    <mergeCell ref="E65:I65"/>
    <mergeCell ref="E53:I53"/>
    <mergeCell ref="E54:I54"/>
    <mergeCell ref="B55:B60"/>
    <mergeCell ref="C55:C60"/>
    <mergeCell ref="E55:I55"/>
    <mergeCell ref="E56:I56"/>
    <mergeCell ref="E57:I57"/>
    <mergeCell ref="E58:I58"/>
    <mergeCell ref="E59:I59"/>
    <mergeCell ref="E48:I48"/>
    <mergeCell ref="E34:I34"/>
    <mergeCell ref="E35:I35"/>
    <mergeCell ref="E36:I36"/>
    <mergeCell ref="E37:I37"/>
    <mergeCell ref="E38:I38"/>
    <mergeCell ref="E43:I43"/>
    <mergeCell ref="E44:I44"/>
    <mergeCell ref="E45:I45"/>
    <mergeCell ref="E46:I46"/>
    <mergeCell ref="E47:I47"/>
    <mergeCell ref="E39:I39"/>
    <mergeCell ref="E31:I31"/>
    <mergeCell ref="E32:I32"/>
    <mergeCell ref="B40:B47"/>
    <mergeCell ref="C40:C47"/>
    <mergeCell ref="D40:I40"/>
    <mergeCell ref="E41:I41"/>
    <mergeCell ref="E42:I42"/>
    <mergeCell ref="E33:I33"/>
    <mergeCell ref="B16:I16"/>
    <mergeCell ref="B17:I17"/>
    <mergeCell ref="E20:I20"/>
    <mergeCell ref="B21:B38"/>
    <mergeCell ref="C21:C38"/>
    <mergeCell ref="E21:I21"/>
    <mergeCell ref="E22:I22"/>
    <mergeCell ref="E23:I23"/>
    <mergeCell ref="E24:I24"/>
    <mergeCell ref="E25:I25"/>
    <mergeCell ref="B19:I19"/>
    <mergeCell ref="E26:I26"/>
    <mergeCell ref="E27:I27"/>
    <mergeCell ref="E28:I28"/>
    <mergeCell ref="E29:I29"/>
    <mergeCell ref="E30:I30"/>
    <mergeCell ref="B9:I9"/>
    <mergeCell ref="B10:I10"/>
    <mergeCell ref="B13:I13"/>
    <mergeCell ref="B14:I14"/>
    <mergeCell ref="B1:I1"/>
    <mergeCell ref="B3:I3"/>
    <mergeCell ref="B4:I4"/>
    <mergeCell ref="B6:I6"/>
    <mergeCell ref="B8:I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K16"/>
  <sheetViews>
    <sheetView showGridLines="0" topLeftCell="A7" workbookViewId="0">
      <selection activeCell="B16" sqref="B16:I16"/>
    </sheetView>
  </sheetViews>
  <sheetFormatPr defaultRowHeight="15"/>
  <cols>
    <col min="1" max="1" width="2.28515625" customWidth="1"/>
    <col min="2" max="2" width="29.28515625" bestFit="1" customWidth="1"/>
    <col min="3" max="3" width="22.7109375" customWidth="1"/>
    <col min="4" max="4" width="45.42578125" customWidth="1"/>
    <col min="5" max="5" width="27.7109375" customWidth="1"/>
    <col min="6" max="6" width="22.7109375" customWidth="1"/>
    <col min="7" max="7" width="11.5703125" customWidth="1"/>
    <col min="8" max="8" width="26" customWidth="1"/>
    <col min="10" max="10" width="48.42578125" customWidth="1"/>
    <col min="11" max="11" width="37.42578125" customWidth="1"/>
  </cols>
  <sheetData>
    <row r="1" spans="1:11" ht="56.25" customHeight="1">
      <c r="B1" s="427" t="s">
        <v>651</v>
      </c>
      <c r="C1" s="427"/>
      <c r="D1" s="427"/>
      <c r="E1" s="427"/>
      <c r="F1" s="427"/>
      <c r="G1" s="427"/>
      <c r="H1" s="427"/>
      <c r="I1" s="427"/>
    </row>
    <row r="2" spans="1:11">
      <c r="B2" s="16"/>
      <c r="C2" s="17"/>
      <c r="D2" s="17"/>
      <c r="E2" s="17"/>
      <c r="F2" s="17"/>
      <c r="G2" s="17"/>
      <c r="H2" s="17"/>
      <c r="I2" s="18"/>
    </row>
    <row r="3" spans="1:11" s="4" customFormat="1">
      <c r="A3" s="3"/>
      <c r="B3" s="452"/>
      <c r="C3" s="453"/>
      <c r="D3" s="453"/>
      <c r="E3" s="453"/>
      <c r="F3" s="453"/>
      <c r="G3" s="453"/>
      <c r="H3" s="453"/>
      <c r="I3" s="454"/>
    </row>
    <row r="4" spans="1:11" s="4" customFormat="1" ht="15" customHeight="1">
      <c r="A4" s="3"/>
      <c r="B4" s="455"/>
      <c r="C4" s="456"/>
      <c r="D4" s="456"/>
      <c r="E4" s="456"/>
      <c r="F4" s="456"/>
      <c r="G4" s="456"/>
      <c r="H4" s="456"/>
      <c r="I4" s="457"/>
    </row>
    <row r="5" spans="1:11" s="4" customFormat="1" ht="157.5" customHeight="1">
      <c r="A5" s="3"/>
      <c r="B5" s="458"/>
      <c r="C5" s="459"/>
      <c r="D5" s="459"/>
      <c r="E5" s="459"/>
      <c r="F5" s="459"/>
      <c r="G5" s="459"/>
      <c r="H5" s="459"/>
      <c r="I5" s="460"/>
    </row>
    <row r="6" spans="1:11" s="4" customFormat="1">
      <c r="A6" s="3"/>
      <c r="B6" s="465"/>
      <c r="C6" s="466"/>
      <c r="D6" s="466"/>
      <c r="E6" s="466"/>
      <c r="F6" s="466"/>
      <c r="G6" s="466"/>
      <c r="H6" s="466"/>
      <c r="I6" s="467"/>
    </row>
    <row r="7" spans="1:11" ht="29.25" customHeight="1">
      <c r="A7" s="1"/>
      <c r="B7" s="461" t="s">
        <v>70</v>
      </c>
      <c r="C7" s="462"/>
      <c r="D7" s="462"/>
      <c r="E7" s="12"/>
      <c r="F7" s="468"/>
      <c r="G7" s="469"/>
      <c r="H7" s="469"/>
      <c r="I7" s="13"/>
      <c r="J7" s="471" t="s">
        <v>162</v>
      </c>
      <c r="K7" s="472" t="s">
        <v>163</v>
      </c>
    </row>
    <row r="8" spans="1:11" ht="15" customHeight="1">
      <c r="A8" s="1"/>
      <c r="B8" s="463"/>
      <c r="C8" s="464"/>
      <c r="D8" s="464"/>
      <c r="F8" s="470"/>
      <c r="G8" s="470"/>
      <c r="H8" s="470"/>
      <c r="I8" s="14"/>
      <c r="J8" s="471"/>
      <c r="K8" s="472"/>
    </row>
    <row r="9" spans="1:11">
      <c r="A9" s="1"/>
      <c r="B9" s="473" t="s">
        <v>60</v>
      </c>
      <c r="C9" s="473"/>
      <c r="D9" s="161"/>
      <c r="F9" s="11"/>
      <c r="G9" s="11"/>
      <c r="H9" s="1"/>
      <c r="I9" s="14"/>
      <c r="J9" s="148"/>
      <c r="K9" s="149"/>
    </row>
    <row r="10" spans="1:11">
      <c r="A10" s="1"/>
      <c r="B10" s="451" t="s">
        <v>63</v>
      </c>
      <c r="C10" s="451"/>
      <c r="D10" s="161"/>
      <c r="F10" s="11"/>
      <c r="G10" s="11"/>
      <c r="H10" s="25"/>
      <c r="I10" s="14"/>
      <c r="J10" s="148"/>
      <c r="K10" s="149"/>
    </row>
    <row r="11" spans="1:11" ht="18" customHeight="1">
      <c r="B11" s="451" t="s">
        <v>153</v>
      </c>
      <c r="C11" s="451"/>
      <c r="D11" s="162"/>
      <c r="F11" s="11"/>
      <c r="G11" s="11"/>
      <c r="H11" s="26"/>
      <c r="I11" s="14"/>
      <c r="J11" s="148"/>
      <c r="K11" s="150"/>
    </row>
    <row r="12" spans="1:11" ht="18" customHeight="1">
      <c r="B12" s="451" t="s">
        <v>152</v>
      </c>
      <c r="C12" s="451"/>
      <c r="D12" s="162" t="s">
        <v>655</v>
      </c>
      <c r="F12" s="447"/>
      <c r="G12" s="447"/>
      <c r="H12" s="26"/>
      <c r="I12" s="14"/>
      <c r="J12" s="148"/>
      <c r="K12" s="150"/>
    </row>
    <row r="13" spans="1:11" ht="18" customHeight="1">
      <c r="B13" s="451" t="s">
        <v>442</v>
      </c>
      <c r="C13" s="451"/>
      <c r="D13" s="162" t="s">
        <v>655</v>
      </c>
      <c r="I13" s="14"/>
      <c r="J13" s="148"/>
      <c r="K13" s="150"/>
    </row>
    <row r="14" spans="1:11" s="1" customFormat="1" ht="45.75" customHeight="1">
      <c r="B14" s="451" t="s">
        <v>141</v>
      </c>
      <c r="C14" s="451"/>
      <c r="D14" s="161" t="s">
        <v>142</v>
      </c>
      <c r="I14" s="15"/>
      <c r="J14" s="148"/>
      <c r="K14" s="150"/>
    </row>
    <row r="15" spans="1:11" s="1" customFormat="1">
      <c r="B15" s="27"/>
      <c r="C15" s="28"/>
      <c r="D15" s="163"/>
      <c r="E15" s="29"/>
      <c r="F15" s="29"/>
      <c r="G15" s="29"/>
      <c r="H15" s="29"/>
      <c r="I15" s="30"/>
    </row>
    <row r="16" spans="1:11" ht="33" customHeight="1">
      <c r="B16" s="448" t="s">
        <v>61</v>
      </c>
      <c r="C16" s="449"/>
      <c r="D16" s="449"/>
      <c r="E16" s="449"/>
      <c r="F16" s="449"/>
      <c r="G16" s="449"/>
      <c r="H16" s="449"/>
      <c r="I16" s="450"/>
    </row>
  </sheetData>
  <sheetProtection password="CB83" sheet="1" objects="1" scenarios="1"/>
  <mergeCells count="15">
    <mergeCell ref="J7:J8"/>
    <mergeCell ref="K7:K8"/>
    <mergeCell ref="B1:I1"/>
    <mergeCell ref="B9:C9"/>
    <mergeCell ref="B10:C10"/>
    <mergeCell ref="B11:C11"/>
    <mergeCell ref="B3:I5"/>
    <mergeCell ref="B7:D8"/>
    <mergeCell ref="B6:I6"/>
    <mergeCell ref="F7:H8"/>
    <mergeCell ref="F12:G12"/>
    <mergeCell ref="B16:I16"/>
    <mergeCell ref="B12:C12"/>
    <mergeCell ref="B13:C13"/>
    <mergeCell ref="B14:C14"/>
  </mergeCells>
  <dataValidations count="1">
    <dataValidation type="list" allowBlank="1" showInputMessage="1" showErrorMessage="1" sqref="D14">
      <formula1>"Yes,No"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Master!$A$23:$A$24</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3"/>
  <dimension ref="A1:K23"/>
  <sheetViews>
    <sheetView showGridLines="0" topLeftCell="A4" workbookViewId="0">
      <selection activeCell="H7" sqref="H7:I7"/>
    </sheetView>
  </sheetViews>
  <sheetFormatPr defaultRowHeight="15"/>
  <cols>
    <col min="1" max="1" width="6"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49.28515625" customWidth="1"/>
    <col min="11" max="11" width="37.85546875" customWidth="1"/>
    <col min="13" max="13" width="6.28515625" customWidth="1"/>
  </cols>
  <sheetData>
    <row r="1" spans="1:11" ht="26.25" customHeight="1">
      <c r="A1" s="480" t="s">
        <v>62</v>
      </c>
      <c r="B1" s="480"/>
      <c r="C1" s="480"/>
      <c r="D1" s="480"/>
      <c r="E1" s="480"/>
      <c r="F1" s="480"/>
      <c r="G1" s="480"/>
      <c r="H1" s="6"/>
      <c r="I1" s="6"/>
    </row>
    <row r="2" spans="1:11" ht="22.5" customHeight="1">
      <c r="A2" s="480"/>
      <c r="B2" s="480"/>
      <c r="C2" s="480"/>
      <c r="D2" s="480"/>
      <c r="E2" s="480"/>
      <c r="F2" s="480"/>
      <c r="G2" s="480"/>
      <c r="H2" s="6"/>
      <c r="I2" s="6"/>
    </row>
    <row r="3" spans="1:11" ht="61.5" customHeight="1" thickBot="1">
      <c r="A3" s="7"/>
      <c r="B3" s="8"/>
      <c r="C3" s="484" t="s">
        <v>635</v>
      </c>
      <c r="D3" s="484"/>
      <c r="E3" s="484"/>
      <c r="F3" s="484"/>
      <c r="G3" s="484"/>
      <c r="H3" s="484"/>
      <c r="I3" s="8"/>
    </row>
    <row r="4" spans="1:11" ht="20.25" customHeight="1">
      <c r="A4" s="56">
        <v>5</v>
      </c>
      <c r="B4" s="485" t="s">
        <v>131</v>
      </c>
      <c r="C4" s="486"/>
      <c r="D4" s="486"/>
      <c r="E4" s="486"/>
      <c r="F4" s="486"/>
      <c r="G4" s="486"/>
      <c r="H4" s="486"/>
      <c r="I4" s="487"/>
      <c r="J4" s="504" t="s">
        <v>162</v>
      </c>
      <c r="K4" s="504" t="s">
        <v>163</v>
      </c>
    </row>
    <row r="5" spans="1:11" ht="19.5" customHeight="1">
      <c r="A5" s="57" t="s">
        <v>143</v>
      </c>
      <c r="B5" s="505" t="s">
        <v>24</v>
      </c>
      <c r="C5" s="505"/>
      <c r="D5" s="505"/>
      <c r="E5" s="505"/>
      <c r="F5" s="505"/>
      <c r="G5" s="505"/>
      <c r="H5" s="506" t="s">
        <v>144</v>
      </c>
      <c r="I5" s="507"/>
      <c r="J5" s="504"/>
      <c r="K5" s="504"/>
    </row>
    <row r="6" spans="1:11" ht="30" customHeight="1">
      <c r="A6" s="2" t="s">
        <v>6</v>
      </c>
      <c r="B6" s="488" t="s">
        <v>132</v>
      </c>
      <c r="C6" s="488"/>
      <c r="D6" s="488"/>
      <c r="E6" s="488"/>
      <c r="F6" s="488"/>
      <c r="G6" s="488"/>
      <c r="H6" s="489">
        <v>245403222.84</v>
      </c>
      <c r="I6" s="490"/>
      <c r="J6" s="140"/>
      <c r="K6" s="140"/>
    </row>
    <row r="7" spans="1:11" ht="15.75" customHeight="1">
      <c r="A7" s="2" t="s">
        <v>7</v>
      </c>
      <c r="B7" s="474" t="s">
        <v>154</v>
      </c>
      <c r="C7" s="475"/>
      <c r="D7" s="475"/>
      <c r="E7" s="475"/>
      <c r="F7" s="475"/>
      <c r="G7" s="476"/>
      <c r="H7" s="489"/>
      <c r="I7" s="490"/>
      <c r="J7" s="140"/>
      <c r="K7" s="140"/>
    </row>
    <row r="8" spans="1:11" ht="15.75" customHeight="1">
      <c r="A8" s="2" t="s">
        <v>8</v>
      </c>
      <c r="B8" s="474" t="s">
        <v>155</v>
      </c>
      <c r="C8" s="475"/>
      <c r="D8" s="475"/>
      <c r="E8" s="475"/>
      <c r="F8" s="475"/>
      <c r="G8" s="476"/>
      <c r="H8" s="489"/>
      <c r="I8" s="490"/>
      <c r="J8" s="140"/>
      <c r="K8" s="140"/>
    </row>
    <row r="9" spans="1:11" ht="15" customHeight="1">
      <c r="A9" s="2" t="s">
        <v>9</v>
      </c>
      <c r="B9" s="474" t="s">
        <v>0</v>
      </c>
      <c r="C9" s="475"/>
      <c r="D9" s="475"/>
      <c r="E9" s="475"/>
      <c r="F9" s="475"/>
      <c r="G9" s="476"/>
      <c r="H9" s="489"/>
      <c r="I9" s="490"/>
      <c r="J9" s="140"/>
      <c r="K9" s="140"/>
    </row>
    <row r="10" spans="1:11" ht="15" customHeight="1">
      <c r="A10" s="2" t="s">
        <v>10</v>
      </c>
      <c r="B10" s="509" t="s">
        <v>1</v>
      </c>
      <c r="C10" s="510"/>
      <c r="D10" s="510"/>
      <c r="E10" s="510"/>
      <c r="F10" s="510"/>
      <c r="G10" s="511"/>
      <c r="H10" s="491"/>
      <c r="I10" s="492"/>
      <c r="J10" s="140"/>
      <c r="K10" s="140"/>
    </row>
    <row r="11" spans="1:11">
      <c r="A11" s="47" t="s">
        <v>11</v>
      </c>
      <c r="B11" s="474" t="s">
        <v>57</v>
      </c>
      <c r="C11" s="475"/>
      <c r="D11" s="475"/>
      <c r="E11" s="475"/>
      <c r="F11" s="475"/>
      <c r="G11" s="476"/>
      <c r="H11" s="491"/>
      <c r="I11" s="492"/>
      <c r="J11" s="140"/>
      <c r="K11" s="140"/>
    </row>
    <row r="12" spans="1:11">
      <c r="A12" s="2" t="s">
        <v>12</v>
      </c>
      <c r="B12" s="474" t="s">
        <v>133</v>
      </c>
      <c r="C12" s="475"/>
      <c r="D12" s="475"/>
      <c r="E12" s="475"/>
      <c r="F12" s="475"/>
      <c r="G12" s="476"/>
      <c r="H12" s="508"/>
      <c r="I12" s="490"/>
      <c r="J12" s="140" t="s">
        <v>653</v>
      </c>
      <c r="K12" s="140"/>
    </row>
    <row r="13" spans="1:11">
      <c r="A13" s="2" t="s">
        <v>14</v>
      </c>
      <c r="B13" s="474" t="s">
        <v>13</v>
      </c>
      <c r="C13" s="475"/>
      <c r="D13" s="475"/>
      <c r="E13" s="475"/>
      <c r="F13" s="475"/>
      <c r="G13" s="476"/>
      <c r="H13" s="489"/>
      <c r="I13" s="490"/>
      <c r="J13" s="140"/>
      <c r="K13" s="140"/>
    </row>
    <row r="14" spans="1:11">
      <c r="A14" s="2" t="s">
        <v>16</v>
      </c>
      <c r="B14" s="474" t="s">
        <v>15</v>
      </c>
      <c r="C14" s="475"/>
      <c r="D14" s="475"/>
      <c r="E14" s="475"/>
      <c r="F14" s="475"/>
      <c r="G14" s="476"/>
      <c r="H14" s="491"/>
      <c r="I14" s="492"/>
      <c r="J14" s="140"/>
      <c r="K14" s="140"/>
    </row>
    <row r="15" spans="1:11">
      <c r="A15" s="2" t="s">
        <v>17</v>
      </c>
      <c r="B15" s="477" t="s">
        <v>2</v>
      </c>
      <c r="C15" s="478"/>
      <c r="D15" s="478"/>
      <c r="E15" s="478"/>
      <c r="F15" s="478"/>
      <c r="G15" s="479"/>
      <c r="H15" s="489"/>
      <c r="I15" s="490"/>
      <c r="J15" s="140"/>
      <c r="K15" s="140"/>
    </row>
    <row r="16" spans="1:11">
      <c r="A16" s="2" t="s">
        <v>18</v>
      </c>
      <c r="B16" s="477" t="s">
        <v>3</v>
      </c>
      <c r="C16" s="478"/>
      <c r="D16" s="478"/>
      <c r="E16" s="478"/>
      <c r="F16" s="478"/>
      <c r="G16" s="479"/>
      <c r="H16" s="489"/>
      <c r="I16" s="490"/>
      <c r="J16" s="140"/>
      <c r="K16" s="140"/>
    </row>
    <row r="17" spans="1:11">
      <c r="A17" s="2" t="s">
        <v>20</v>
      </c>
      <c r="B17" s="498" t="s">
        <v>4</v>
      </c>
      <c r="C17" s="499"/>
      <c r="D17" s="499"/>
      <c r="E17" s="499"/>
      <c r="F17" s="499"/>
      <c r="G17" s="500"/>
      <c r="H17" s="491"/>
      <c r="I17" s="492"/>
      <c r="J17" s="140"/>
      <c r="K17" s="140"/>
    </row>
    <row r="18" spans="1:11">
      <c r="A18" s="2" t="s">
        <v>21</v>
      </c>
      <c r="B18" s="498" t="s">
        <v>5</v>
      </c>
      <c r="C18" s="499"/>
      <c r="D18" s="499"/>
      <c r="E18" s="499"/>
      <c r="F18" s="499"/>
      <c r="G18" s="500"/>
      <c r="H18" s="491"/>
      <c r="I18" s="492"/>
      <c r="J18" s="140"/>
      <c r="K18" s="140"/>
    </row>
    <row r="19" spans="1:11">
      <c r="A19" s="2" t="s">
        <v>22</v>
      </c>
      <c r="B19" s="501" t="s">
        <v>50</v>
      </c>
      <c r="C19" s="502"/>
      <c r="D19" s="502"/>
      <c r="E19" s="502"/>
      <c r="F19" s="502"/>
      <c r="G19" s="503"/>
      <c r="H19" s="489"/>
      <c r="I19" s="490"/>
      <c r="J19" s="140"/>
      <c r="K19" s="140"/>
    </row>
    <row r="20" spans="1:11">
      <c r="A20" s="2" t="s">
        <v>29</v>
      </c>
      <c r="B20" s="474" t="s">
        <v>19</v>
      </c>
      <c r="C20" s="475"/>
      <c r="D20" s="475"/>
      <c r="E20" s="475"/>
      <c r="F20" s="475"/>
      <c r="G20" s="476"/>
      <c r="H20" s="489"/>
      <c r="I20" s="490"/>
      <c r="J20" s="140"/>
      <c r="K20" s="140"/>
    </row>
    <row r="21" spans="1:11">
      <c r="A21" s="2" t="s">
        <v>31</v>
      </c>
      <c r="B21" s="488" t="s">
        <v>361</v>
      </c>
      <c r="C21" s="488"/>
      <c r="D21" s="488"/>
      <c r="E21" s="488"/>
      <c r="F21" s="488"/>
      <c r="G21" s="488"/>
      <c r="H21" s="496">
        <f>H6+H7+H8+H9-H10+H11-H12-H13-H14+H15-H16-H17+H18+H19+H20</f>
        <v>245403222.84</v>
      </c>
      <c r="I21" s="497"/>
      <c r="J21" s="140"/>
      <c r="K21" s="144"/>
    </row>
    <row r="22" spans="1:11">
      <c r="A22" s="2" t="s">
        <v>32</v>
      </c>
      <c r="B22" s="481" t="s">
        <v>134</v>
      </c>
      <c r="C22" s="481"/>
      <c r="D22" s="481"/>
      <c r="E22" s="481"/>
      <c r="F22" s="481"/>
      <c r="G22" s="481"/>
      <c r="H22" s="482">
        <v>245403221.84</v>
      </c>
      <c r="I22" s="483"/>
      <c r="J22" s="140"/>
      <c r="K22" s="144"/>
    </row>
    <row r="23" spans="1:11" ht="15.75" thickBot="1">
      <c r="A23" s="48" t="s">
        <v>33</v>
      </c>
      <c r="B23" s="493" t="s">
        <v>362</v>
      </c>
      <c r="C23" s="493"/>
      <c r="D23" s="493"/>
      <c r="E23" s="493"/>
      <c r="F23" s="493"/>
      <c r="G23" s="493"/>
      <c r="H23" s="494">
        <f>H22-H21</f>
        <v>-1</v>
      </c>
      <c r="I23" s="495"/>
      <c r="J23" s="140"/>
      <c r="K23" s="144"/>
    </row>
  </sheetData>
  <sheetProtection password="CB83" sheet="1" objects="1" scenarios="1"/>
  <mergeCells count="43">
    <mergeCell ref="B17:G17"/>
    <mergeCell ref="B18:G18"/>
    <mergeCell ref="B19:G19"/>
    <mergeCell ref="J4:J5"/>
    <mergeCell ref="K4:K5"/>
    <mergeCell ref="H13:I13"/>
    <mergeCell ref="H14:I14"/>
    <mergeCell ref="B5:G5"/>
    <mergeCell ref="H5:I5"/>
    <mergeCell ref="H10:I10"/>
    <mergeCell ref="H12:I12"/>
    <mergeCell ref="B7:G7"/>
    <mergeCell ref="B8:G8"/>
    <mergeCell ref="B9:G9"/>
    <mergeCell ref="B10:G10"/>
    <mergeCell ref="B11:G11"/>
    <mergeCell ref="B23:G23"/>
    <mergeCell ref="H23:I23"/>
    <mergeCell ref="H20:I20"/>
    <mergeCell ref="B21:G21"/>
    <mergeCell ref="H21:I21"/>
    <mergeCell ref="B20:G20"/>
    <mergeCell ref="A1:G2"/>
    <mergeCell ref="B22:G22"/>
    <mergeCell ref="H22:I22"/>
    <mergeCell ref="C3:H3"/>
    <mergeCell ref="B4:I4"/>
    <mergeCell ref="B6:G6"/>
    <mergeCell ref="H6:I6"/>
    <mergeCell ref="H7:I7"/>
    <mergeCell ref="H8:I8"/>
    <mergeCell ref="H9:I9"/>
    <mergeCell ref="H11:I11"/>
    <mergeCell ref="H16:I16"/>
    <mergeCell ref="H19:I19"/>
    <mergeCell ref="H15:I15"/>
    <mergeCell ref="H18:I18"/>
    <mergeCell ref="H17:I17"/>
    <mergeCell ref="B12:G12"/>
    <mergeCell ref="B13:G13"/>
    <mergeCell ref="B14:G14"/>
    <mergeCell ref="B15:G15"/>
    <mergeCell ref="B16:G16"/>
  </mergeCells>
  <dataValidations count="3">
    <dataValidation type="decimal" allowBlank="1" showInputMessage="1" showErrorMessage="1" error="Please enter a number between -99,99,99,99,99,999.99 and 99,99,99,99,99,999.99_x000a__x000a_" sqref="H22:I22 H12:I12">
      <formula1>-9999999999999.99</formula1>
      <formula2>9999999999999.99</formula2>
    </dataValidation>
    <dataValidation type="decimal" allowBlank="1" showInputMessage="1" showErrorMessage="1" error="Please enter a number between -99,99,99,99,99,999.99 and 99,99,99,99,99,999.99_x000a__x000a__x000a_" sqref="H18:I20">
      <formula1>-9999999999999.99</formula1>
      <formula2>9999999999999.99</formula2>
    </dataValidation>
    <dataValidation type="decimal" allowBlank="1" showInputMessage="1" showErrorMessage="1" error="Please enter a value between 0 and 9999999999999.99" sqref="H6:I11 H13:I17">
      <formula1>0</formula1>
      <formula2>9999999999999.99</formula2>
    </dataValidation>
  </dataValidations>
  <pageMargins left="0.7" right="0.7" top="0.75" bottom="0.75" header="0.3" footer="0.3"/>
  <pageSetup scale="50" orientation="portrait" r:id="rId1"/>
  <drawing r:id="rId2"/>
</worksheet>
</file>

<file path=xl/worksheets/sheet4.xml><?xml version="1.0" encoding="utf-8"?>
<worksheet xmlns="http://schemas.openxmlformats.org/spreadsheetml/2006/main" xmlns:r="http://schemas.openxmlformats.org/officeDocument/2006/relationships">
  <sheetPr codeName="Sheet4"/>
  <dimension ref="A1:K6"/>
  <sheetViews>
    <sheetView showGridLines="0" topLeftCell="A2" workbookViewId="0">
      <selection activeCell="A10" sqref="A10"/>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75" customWidth="1"/>
    <col min="11" max="11" width="23.7109375" customWidth="1"/>
  </cols>
  <sheetData>
    <row r="1" spans="1:11" ht="29.25" customHeight="1">
      <c r="A1" s="512" t="s">
        <v>62</v>
      </c>
      <c r="B1" s="512"/>
      <c r="C1" s="512"/>
      <c r="D1" s="512"/>
      <c r="E1" s="512"/>
      <c r="F1" s="512"/>
      <c r="G1" s="512"/>
      <c r="H1" s="156"/>
      <c r="I1" s="158"/>
    </row>
    <row r="2" spans="1:11" ht="27">
      <c r="A2" s="480"/>
      <c r="B2" s="480"/>
      <c r="C2" s="480"/>
      <c r="D2" s="480"/>
      <c r="E2" s="480"/>
      <c r="F2" s="480"/>
      <c r="G2" s="480"/>
      <c r="H2" s="6"/>
      <c r="I2" s="6"/>
    </row>
    <row r="3" spans="1:11" ht="55.5" customHeight="1">
      <c r="A3" s="7"/>
      <c r="B3" s="5"/>
      <c r="C3" s="513" t="s">
        <v>635</v>
      </c>
      <c r="D3" s="513"/>
      <c r="E3" s="513"/>
      <c r="F3" s="513"/>
      <c r="G3" s="513"/>
      <c r="H3" s="513"/>
      <c r="I3" s="5"/>
    </row>
    <row r="4" spans="1:11" ht="33.75" customHeight="1">
      <c r="A4" s="154">
        <v>6</v>
      </c>
      <c r="B4" s="514" t="s">
        <v>51</v>
      </c>
      <c r="C4" s="514"/>
      <c r="D4" s="514"/>
      <c r="E4" s="514"/>
      <c r="F4" s="514"/>
      <c r="G4" s="514"/>
      <c r="H4" s="514"/>
      <c r="I4" s="514"/>
      <c r="J4" s="155" t="s">
        <v>162</v>
      </c>
      <c r="K4" s="155" t="s">
        <v>163</v>
      </c>
    </row>
    <row r="5" spans="1:11" ht="56.25" customHeight="1">
      <c r="A5" s="232" t="s">
        <v>6</v>
      </c>
      <c r="B5" s="233" t="s">
        <v>317</v>
      </c>
      <c r="C5" s="515"/>
      <c r="D5" s="516"/>
      <c r="E5" s="516"/>
      <c r="F5" s="516"/>
      <c r="G5" s="516"/>
      <c r="H5" s="516"/>
      <c r="I5" s="517"/>
      <c r="J5" s="238"/>
      <c r="K5" s="239"/>
    </row>
    <row r="6" spans="1:11" s="237" customFormat="1" ht="56.25" customHeight="1">
      <c r="A6" s="243" t="s">
        <v>7</v>
      </c>
      <c r="B6" s="244" t="s">
        <v>652</v>
      </c>
      <c r="C6" s="518"/>
      <c r="D6" s="518"/>
      <c r="E6" s="518"/>
      <c r="F6" s="518"/>
      <c r="G6" s="518"/>
      <c r="H6" s="518"/>
      <c r="I6" s="518"/>
      <c r="J6" s="247"/>
      <c r="K6" s="248"/>
    </row>
  </sheetData>
  <sheetProtection password="CB83" sheet="1" objects="1" scenarios="1"/>
  <mergeCells count="5">
    <mergeCell ref="A1:G2"/>
    <mergeCell ref="C3:H3"/>
    <mergeCell ref="B4:I4"/>
    <mergeCell ref="C5:I5"/>
    <mergeCell ref="C6:I6"/>
  </mergeCells>
  <pageMargins left="0.7" right="0.7" top="0.75" bottom="0.75" header="0.3" footer="0.3"/>
  <pageSetup scale="50" orientation="portrait" r:id="rId1"/>
  <drawing r:id="rId2"/>
</worksheet>
</file>

<file path=xl/worksheets/sheet5.xml><?xml version="1.0" encoding="utf-8"?>
<worksheet xmlns="http://schemas.openxmlformats.org/spreadsheetml/2006/main" xmlns:r="http://schemas.openxmlformats.org/officeDocument/2006/relationships">
  <sheetPr codeName="Sheet5">
    <tabColor rgb="FFFFFF00"/>
  </sheetPr>
  <dimension ref="A1:J12"/>
  <sheetViews>
    <sheetView showGridLines="0" topLeftCell="B1" workbookViewId="0">
      <selection activeCell="G12" sqref="G12:H12"/>
    </sheetView>
  </sheetViews>
  <sheetFormatPr defaultRowHeight="15"/>
  <cols>
    <col min="1" max="1" width="10.140625" customWidth="1"/>
    <col min="2" max="2" width="11" customWidth="1"/>
    <col min="3" max="3" width="10.140625" customWidth="1"/>
    <col min="4" max="4" width="14.28515625" customWidth="1"/>
    <col min="5" max="5" width="23.28515625" customWidth="1"/>
    <col min="6" max="6" width="19.140625" customWidth="1"/>
    <col min="7" max="7" width="17.5703125" customWidth="1"/>
    <col min="8" max="8" width="21.85546875" customWidth="1"/>
    <col min="9" max="9" width="34.5703125" customWidth="1"/>
    <col min="10" max="10" width="28" customWidth="1"/>
    <col min="11" max="11" width="12.42578125" customWidth="1"/>
    <col min="12" max="12" width="13" customWidth="1"/>
    <col min="13" max="13" width="5.5703125" customWidth="1"/>
  </cols>
  <sheetData>
    <row r="1" spans="1:10" ht="26.25" customHeight="1">
      <c r="A1" s="6" t="s">
        <v>62</v>
      </c>
      <c r="B1" s="6"/>
      <c r="C1" s="6"/>
      <c r="D1" s="6"/>
      <c r="E1" s="6"/>
      <c r="F1" s="6"/>
      <c r="G1" s="6"/>
      <c r="H1" s="6"/>
    </row>
    <row r="2" spans="1:10" ht="42" customHeight="1">
      <c r="A2" s="6"/>
      <c r="B2" s="6"/>
      <c r="C2" s="6"/>
      <c r="D2" s="6"/>
      <c r="E2" s="6"/>
      <c r="F2" s="6"/>
      <c r="G2" s="6"/>
      <c r="H2" s="6"/>
    </row>
    <row r="3" spans="1:10" ht="57" customHeight="1" thickBot="1">
      <c r="A3" s="7"/>
      <c r="B3" s="8"/>
      <c r="C3" s="484" t="s">
        <v>635</v>
      </c>
      <c r="D3" s="484"/>
      <c r="E3" s="484"/>
      <c r="F3" s="484"/>
      <c r="G3" s="484"/>
      <c r="H3" s="8"/>
    </row>
    <row r="4" spans="1:10" ht="24" customHeight="1">
      <c r="A4" s="60">
        <v>7</v>
      </c>
      <c r="B4" s="534" t="s">
        <v>67</v>
      </c>
      <c r="C4" s="535"/>
      <c r="D4" s="535"/>
      <c r="E4" s="535"/>
      <c r="F4" s="535"/>
      <c r="G4" s="535"/>
      <c r="H4" s="536"/>
      <c r="I4" s="504" t="s">
        <v>162</v>
      </c>
      <c r="J4" s="504" t="s">
        <v>163</v>
      </c>
    </row>
    <row r="5" spans="1:10" ht="24" customHeight="1">
      <c r="A5" s="44" t="s">
        <v>143</v>
      </c>
      <c r="B5" s="538" t="s">
        <v>24</v>
      </c>
      <c r="C5" s="539"/>
      <c r="D5" s="539"/>
      <c r="E5" s="539"/>
      <c r="F5" s="540"/>
      <c r="G5" s="538" t="s">
        <v>144</v>
      </c>
      <c r="H5" s="541"/>
      <c r="I5" s="504"/>
      <c r="J5" s="504"/>
    </row>
    <row r="6" spans="1:10">
      <c r="A6" s="42" t="s">
        <v>6</v>
      </c>
      <c r="B6" s="529" t="s">
        <v>445</v>
      </c>
      <c r="C6" s="530"/>
      <c r="D6" s="530"/>
      <c r="E6" s="530"/>
      <c r="F6" s="531"/>
      <c r="G6" s="532">
        <f>'PT II (5)'!H21</f>
        <v>245403222.84</v>
      </c>
      <c r="H6" s="537"/>
      <c r="I6" s="140"/>
      <c r="J6" s="144"/>
    </row>
    <row r="7" spans="1:10" ht="15.75" customHeight="1">
      <c r="A7" s="42" t="s">
        <v>7</v>
      </c>
      <c r="B7" s="529" t="s">
        <v>34</v>
      </c>
      <c r="C7" s="530"/>
      <c r="D7" s="530"/>
      <c r="E7" s="530"/>
      <c r="F7" s="531"/>
      <c r="G7" s="522">
        <v>0</v>
      </c>
      <c r="H7" s="523"/>
      <c r="I7" s="140"/>
      <c r="J7" s="140"/>
    </row>
    <row r="8" spans="1:10" ht="15.75" customHeight="1">
      <c r="A8" s="42" t="s">
        <v>8</v>
      </c>
      <c r="B8" s="529" t="s">
        <v>52</v>
      </c>
      <c r="C8" s="530"/>
      <c r="D8" s="530"/>
      <c r="E8" s="530"/>
      <c r="F8" s="531"/>
      <c r="G8" s="522">
        <v>0</v>
      </c>
      <c r="H8" s="523"/>
      <c r="I8" s="140"/>
      <c r="J8" s="140"/>
    </row>
    <row r="9" spans="1:10" ht="15.75" customHeight="1">
      <c r="A9" s="42" t="s">
        <v>9</v>
      </c>
      <c r="B9" s="529" t="s">
        <v>53</v>
      </c>
      <c r="C9" s="530"/>
      <c r="D9" s="530"/>
      <c r="E9" s="530"/>
      <c r="F9" s="531"/>
      <c r="G9" s="522">
        <v>0</v>
      </c>
      <c r="H9" s="523"/>
      <c r="I9" s="140"/>
      <c r="J9" s="140"/>
    </row>
    <row r="10" spans="1:10" ht="15.75" customHeight="1">
      <c r="A10" s="42" t="s">
        <v>10</v>
      </c>
      <c r="B10" s="529" t="s">
        <v>363</v>
      </c>
      <c r="C10" s="530"/>
      <c r="D10" s="530"/>
      <c r="E10" s="530"/>
      <c r="F10" s="531"/>
      <c r="G10" s="532">
        <f>G6-G7-G8-G9</f>
        <v>245403222.84</v>
      </c>
      <c r="H10" s="533"/>
      <c r="I10" s="140"/>
      <c r="J10" s="140"/>
    </row>
    <row r="11" spans="1:10">
      <c r="A11" s="42" t="s">
        <v>11</v>
      </c>
      <c r="B11" s="519" t="s">
        <v>135</v>
      </c>
      <c r="C11" s="520"/>
      <c r="D11" s="520"/>
      <c r="E11" s="520"/>
      <c r="F11" s="521"/>
      <c r="G11" s="522">
        <v>245403222.84</v>
      </c>
      <c r="H11" s="523"/>
      <c r="I11" s="140"/>
      <c r="J11" s="144"/>
    </row>
    <row r="12" spans="1:10" ht="15.75" thickBot="1">
      <c r="A12" s="43" t="s">
        <v>12</v>
      </c>
      <c r="B12" s="524" t="s">
        <v>364</v>
      </c>
      <c r="C12" s="525"/>
      <c r="D12" s="525"/>
      <c r="E12" s="525"/>
      <c r="F12" s="526"/>
      <c r="G12" s="527">
        <f>G11-G10</f>
        <v>0</v>
      </c>
      <c r="H12" s="528"/>
      <c r="I12" s="140"/>
      <c r="J12" s="144"/>
    </row>
  </sheetData>
  <sheetProtection password="CB83" sheet="1" objects="1" scenarios="1"/>
  <mergeCells count="20">
    <mergeCell ref="J4:J5"/>
    <mergeCell ref="C3:G3"/>
    <mergeCell ref="B4:H4"/>
    <mergeCell ref="B6:F6"/>
    <mergeCell ref="G6:H6"/>
    <mergeCell ref="B5:F5"/>
    <mergeCell ref="G5:H5"/>
    <mergeCell ref="I4:I5"/>
    <mergeCell ref="B11:F11"/>
    <mergeCell ref="G11:H11"/>
    <mergeCell ref="B12:F12"/>
    <mergeCell ref="G12:H12"/>
    <mergeCell ref="B7:F7"/>
    <mergeCell ref="B8:F8"/>
    <mergeCell ref="B9:F9"/>
    <mergeCell ref="B10:F10"/>
    <mergeCell ref="G10:H10"/>
    <mergeCell ref="G7:H7"/>
    <mergeCell ref="G8:H8"/>
    <mergeCell ref="G9:H9"/>
  </mergeCells>
  <dataValidations count="1">
    <dataValidation type="decimal" allowBlank="1" showInputMessage="1" showErrorMessage="1" error="Please enter a number between -99,99,99,99,99,999.99 and 99,99,99,99,99,999.99_x000a__x000a_" sqref="G11:H11 G7:H9">
      <formula1>-9999999999999.99</formula1>
      <formula2>9999999999999.99</formula2>
    </dataValidation>
  </dataValidations>
  <pageMargins left="0.7" right="0.7" top="0.75" bottom="0.75" header="0.3" footer="0.3"/>
  <pageSetup scale="50" orientation="portrait" r:id="rId1"/>
  <drawing r:id="rId2"/>
</worksheet>
</file>

<file path=xl/worksheets/sheet6.xml><?xml version="1.0" encoding="utf-8"?>
<worksheet xmlns="http://schemas.openxmlformats.org/spreadsheetml/2006/main" xmlns:r="http://schemas.openxmlformats.org/officeDocument/2006/relationships">
  <sheetPr codeName="Sheet6"/>
  <dimension ref="A1:K6"/>
  <sheetViews>
    <sheetView showGridLines="0" workbookViewId="0">
      <selection activeCell="D19" sqref="D19"/>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6.42578125" customWidth="1"/>
    <col min="11" max="11" width="23.140625" customWidth="1"/>
  </cols>
  <sheetData>
    <row r="1" spans="1:11" ht="29.25" customHeight="1">
      <c r="A1" s="480" t="s">
        <v>62</v>
      </c>
      <c r="B1" s="480"/>
      <c r="C1" s="480"/>
      <c r="D1" s="480"/>
      <c r="E1" s="480"/>
      <c r="F1" s="480"/>
      <c r="G1" s="480"/>
      <c r="H1" s="6"/>
      <c r="I1" s="6"/>
    </row>
    <row r="2" spans="1:11" ht="27">
      <c r="A2" s="480"/>
      <c r="B2" s="480"/>
      <c r="C2" s="480"/>
      <c r="D2" s="480"/>
      <c r="E2" s="480"/>
      <c r="F2" s="480"/>
      <c r="G2" s="480"/>
      <c r="H2" s="6"/>
      <c r="I2" s="6"/>
    </row>
    <row r="3" spans="1:11" ht="55.5" customHeight="1" thickBot="1">
      <c r="A3" s="7"/>
      <c r="B3" s="5"/>
      <c r="C3" s="513" t="s">
        <v>635</v>
      </c>
      <c r="D3" s="513"/>
      <c r="E3" s="513"/>
      <c r="F3" s="513"/>
      <c r="G3" s="513"/>
      <c r="H3" s="513"/>
      <c r="I3" s="5"/>
    </row>
    <row r="4" spans="1:11" ht="22.5" customHeight="1">
      <c r="A4" s="10">
        <v>8</v>
      </c>
      <c r="B4" s="534" t="s">
        <v>68</v>
      </c>
      <c r="C4" s="535"/>
      <c r="D4" s="535"/>
      <c r="E4" s="535"/>
      <c r="F4" s="535"/>
      <c r="G4" s="535"/>
      <c r="H4" s="535"/>
      <c r="I4" s="536"/>
      <c r="J4" s="155" t="s">
        <v>162</v>
      </c>
      <c r="K4" s="155" t="s">
        <v>163</v>
      </c>
    </row>
    <row r="5" spans="1:11" ht="60.75" customHeight="1">
      <c r="A5" s="232" t="s">
        <v>6</v>
      </c>
      <c r="B5" s="233" t="s">
        <v>317</v>
      </c>
      <c r="C5" s="515"/>
      <c r="D5" s="516"/>
      <c r="E5" s="516"/>
      <c r="F5" s="516"/>
      <c r="G5" s="516"/>
      <c r="H5" s="516"/>
      <c r="I5" s="517"/>
      <c r="J5" s="240"/>
      <c r="K5" s="234"/>
    </row>
    <row r="6" spans="1:11" s="237" customFormat="1" ht="60.75" customHeight="1">
      <c r="A6" s="243" t="s">
        <v>7</v>
      </c>
      <c r="B6" s="244" t="s">
        <v>652</v>
      </c>
      <c r="C6" s="518"/>
      <c r="D6" s="518"/>
      <c r="E6" s="518"/>
      <c r="F6" s="518"/>
      <c r="G6" s="518"/>
      <c r="H6" s="518"/>
      <c r="I6" s="518"/>
      <c r="J6" s="245"/>
      <c r="K6" s="246"/>
    </row>
  </sheetData>
  <sheetProtection password="CB83" sheet="1" objects="1" scenarios="1"/>
  <mergeCells count="5">
    <mergeCell ref="A1:G2"/>
    <mergeCell ref="C3:H3"/>
    <mergeCell ref="B4:I4"/>
    <mergeCell ref="C5:I5"/>
    <mergeCell ref="C6:I6"/>
  </mergeCells>
  <pageMargins left="0.7" right="0.7" top="0.75" bottom="0.75" header="0.3" footer="0.3"/>
  <pageSetup scale="50" orientation="portrait" r:id="rId1"/>
  <drawing r:id="rId2"/>
</worksheet>
</file>

<file path=xl/worksheets/sheet7.xml><?xml version="1.0" encoding="utf-8"?>
<worksheet xmlns="http://schemas.openxmlformats.org/spreadsheetml/2006/main" xmlns:r="http://schemas.openxmlformats.org/officeDocument/2006/relationships">
  <sheetPr codeName="Sheet7">
    <tabColor rgb="FFFFFF00"/>
  </sheetPr>
  <dimension ref="A1:K24"/>
  <sheetViews>
    <sheetView showGridLines="0" topLeftCell="A7" workbookViewId="0">
      <selection activeCell="F24" sqref="F24"/>
    </sheetView>
  </sheetViews>
  <sheetFormatPr defaultRowHeight="15"/>
  <cols>
    <col min="1" max="1" width="10.140625" customWidth="1"/>
    <col min="2" max="2" width="30.42578125" customWidth="1"/>
    <col min="3" max="3" width="14.5703125" customWidth="1"/>
    <col min="4" max="5" width="23.28515625" customWidth="1"/>
    <col min="6" max="6" width="23.140625" customWidth="1"/>
    <col min="7" max="7" width="19.140625" customWidth="1"/>
    <col min="8" max="8" width="17.5703125" customWidth="1"/>
    <col min="9" max="9" width="23.28515625" customWidth="1"/>
    <col min="10" max="10" width="58.5703125" customWidth="1"/>
    <col min="11" max="11" width="42.42578125" customWidth="1"/>
  </cols>
  <sheetData>
    <row r="1" spans="1:11" ht="26.25" customHeight="1">
      <c r="A1" s="480" t="s">
        <v>62</v>
      </c>
      <c r="B1" s="480"/>
      <c r="C1" s="480"/>
      <c r="D1" s="480"/>
      <c r="E1" s="480"/>
      <c r="F1" s="480"/>
      <c r="G1" s="480"/>
      <c r="H1" s="6"/>
      <c r="I1" s="6"/>
    </row>
    <row r="2" spans="1:11" ht="23.25" customHeight="1">
      <c r="A2" s="480"/>
      <c r="B2" s="480"/>
      <c r="C2" s="480"/>
      <c r="D2" s="480"/>
      <c r="E2" s="480"/>
      <c r="F2" s="480"/>
      <c r="G2" s="480"/>
      <c r="H2" s="6"/>
      <c r="I2" s="6"/>
    </row>
    <row r="3" spans="1:11" ht="57" customHeight="1">
      <c r="A3" s="7"/>
      <c r="B3" s="8"/>
      <c r="C3" s="552" t="s">
        <v>636</v>
      </c>
      <c r="D3" s="484"/>
      <c r="E3" s="484"/>
      <c r="F3" s="484"/>
      <c r="G3" s="484"/>
      <c r="H3" s="484"/>
      <c r="I3" s="8"/>
    </row>
    <row r="4" spans="1:11" ht="21" customHeight="1">
      <c r="A4" s="58">
        <v>9</v>
      </c>
      <c r="B4" s="553" t="s">
        <v>23</v>
      </c>
      <c r="C4" s="553"/>
      <c r="D4" s="553"/>
      <c r="E4" s="553"/>
      <c r="F4" s="553"/>
      <c r="G4" s="553"/>
      <c r="H4" s="553"/>
      <c r="I4" s="553"/>
      <c r="J4" s="556" t="s">
        <v>377</v>
      </c>
      <c r="K4" s="556" t="s">
        <v>163</v>
      </c>
    </row>
    <row r="5" spans="1:11" ht="30" customHeight="1">
      <c r="A5" s="559" t="s">
        <v>143</v>
      </c>
      <c r="B5" s="555" t="s">
        <v>24</v>
      </c>
      <c r="C5" s="555" t="s">
        <v>146</v>
      </c>
      <c r="D5" s="555"/>
      <c r="E5" s="554" t="s">
        <v>147</v>
      </c>
      <c r="F5" s="554"/>
      <c r="G5" s="554"/>
      <c r="H5" s="554"/>
      <c r="I5" s="554"/>
      <c r="J5" s="557"/>
      <c r="K5" s="557"/>
    </row>
    <row r="6" spans="1:11" ht="15.75" customHeight="1">
      <c r="A6" s="560"/>
      <c r="B6" s="555"/>
      <c r="C6" s="555"/>
      <c r="D6" s="555"/>
      <c r="E6" s="45" t="s">
        <v>49</v>
      </c>
      <c r="F6" s="46" t="s">
        <v>58</v>
      </c>
      <c r="G6" s="561" t="s">
        <v>48</v>
      </c>
      <c r="H6" s="561"/>
      <c r="I6" s="46" t="s">
        <v>59</v>
      </c>
      <c r="J6" s="558"/>
      <c r="K6" s="558"/>
    </row>
    <row r="7" spans="1:11">
      <c r="A7" s="41" t="s">
        <v>6</v>
      </c>
      <c r="B7" s="77" t="s">
        <v>404</v>
      </c>
      <c r="C7" s="489"/>
      <c r="D7" s="551"/>
      <c r="E7" s="222"/>
      <c r="F7" s="222"/>
      <c r="G7" s="489"/>
      <c r="H7" s="489"/>
      <c r="I7" s="222"/>
      <c r="J7" s="140"/>
      <c r="K7" s="542"/>
    </row>
    <row r="8" spans="1:11" ht="15.75" customHeight="1">
      <c r="A8" s="41" t="s">
        <v>7</v>
      </c>
      <c r="B8" s="77" t="s">
        <v>378</v>
      </c>
      <c r="C8" s="489">
        <v>209484</v>
      </c>
      <c r="D8" s="551"/>
      <c r="E8" s="222">
        <v>0</v>
      </c>
      <c r="F8" s="222">
        <v>0</v>
      </c>
      <c r="G8" s="489">
        <f>C8*5/100</f>
        <v>10474.200000000001</v>
      </c>
      <c r="H8" s="489"/>
      <c r="I8" s="222">
        <v>0</v>
      </c>
      <c r="J8" s="140"/>
      <c r="K8" s="543"/>
    </row>
    <row r="9" spans="1:11" ht="15.75" customHeight="1">
      <c r="A9" s="41" t="s">
        <v>8</v>
      </c>
      <c r="B9" s="77" t="s">
        <v>403</v>
      </c>
      <c r="C9" s="489">
        <f>526409.5+235930760</f>
        <v>236457169.5</v>
      </c>
      <c r="D9" s="551"/>
      <c r="E9" s="222">
        <f>235930760*6/100</f>
        <v>14155845.6</v>
      </c>
      <c r="F9" s="422">
        <f>235930760*6/100</f>
        <v>14155845.6</v>
      </c>
      <c r="G9" s="489">
        <f>526409.5*12/100</f>
        <v>63169.14</v>
      </c>
      <c r="H9" s="489"/>
      <c r="I9" s="222">
        <v>0</v>
      </c>
      <c r="J9" s="140"/>
      <c r="K9" s="543"/>
    </row>
    <row r="10" spans="1:11" ht="15.75" customHeight="1">
      <c r="A10" s="41" t="s">
        <v>9</v>
      </c>
      <c r="B10" s="77" t="s">
        <v>379</v>
      </c>
      <c r="C10" s="489"/>
      <c r="D10" s="551"/>
      <c r="E10" s="222"/>
      <c r="F10" s="222"/>
      <c r="G10" s="489"/>
      <c r="H10" s="489"/>
      <c r="I10" s="222"/>
      <c r="J10" s="140"/>
      <c r="K10" s="543"/>
    </row>
    <row r="11" spans="1:11" ht="15.75" customHeight="1">
      <c r="A11" s="41" t="s">
        <v>10</v>
      </c>
      <c r="B11" s="77" t="s">
        <v>402</v>
      </c>
      <c r="C11" s="489">
        <v>8946053.3399999999</v>
      </c>
      <c r="D11" s="551"/>
      <c r="E11" s="222">
        <f>8946053.34*9/100</f>
        <v>805144.8</v>
      </c>
      <c r="F11" s="422">
        <f>8946053.34*9/100</f>
        <v>805144.8</v>
      </c>
      <c r="G11" s="489">
        <v>0</v>
      </c>
      <c r="H11" s="489"/>
      <c r="I11" s="222">
        <v>0</v>
      </c>
      <c r="J11" s="140"/>
      <c r="K11" s="543"/>
    </row>
    <row r="12" spans="1:11">
      <c r="A12" s="41" t="s">
        <v>11</v>
      </c>
      <c r="B12" s="77" t="s">
        <v>380</v>
      </c>
      <c r="C12" s="489"/>
      <c r="D12" s="551"/>
      <c r="E12" s="222"/>
      <c r="F12" s="222"/>
      <c r="G12" s="489"/>
      <c r="H12" s="489"/>
      <c r="I12" s="222"/>
      <c r="J12" s="140"/>
      <c r="K12" s="543"/>
    </row>
    <row r="13" spans="1:11">
      <c r="A13" s="41" t="s">
        <v>12</v>
      </c>
      <c r="B13" s="77" t="s">
        <v>401</v>
      </c>
      <c r="C13" s="489"/>
      <c r="D13" s="551"/>
      <c r="E13" s="222"/>
      <c r="F13" s="222"/>
      <c r="G13" s="489"/>
      <c r="H13" s="489"/>
      <c r="I13" s="222"/>
      <c r="J13" s="140"/>
      <c r="K13" s="543"/>
    </row>
    <row r="14" spans="1:11">
      <c r="A14" s="41" t="s">
        <v>14</v>
      </c>
      <c r="B14" s="77" t="s">
        <v>381</v>
      </c>
      <c r="C14" s="489"/>
      <c r="D14" s="551"/>
      <c r="E14" s="222"/>
      <c r="F14" s="222"/>
      <c r="G14" s="489"/>
      <c r="H14" s="489"/>
      <c r="I14" s="222"/>
      <c r="J14" s="140"/>
      <c r="K14" s="543"/>
    </row>
    <row r="15" spans="1:11">
      <c r="A15" s="41" t="s">
        <v>16</v>
      </c>
      <c r="B15" s="77" t="s">
        <v>400</v>
      </c>
      <c r="C15" s="489"/>
      <c r="D15" s="551"/>
      <c r="E15" s="222"/>
      <c r="F15" s="222"/>
      <c r="G15" s="489"/>
      <c r="H15" s="489"/>
      <c r="I15" s="222"/>
      <c r="J15" s="140"/>
      <c r="K15" s="543"/>
    </row>
    <row r="16" spans="1:11">
      <c r="A16" s="41" t="s">
        <v>17</v>
      </c>
      <c r="B16" s="77" t="s">
        <v>398</v>
      </c>
      <c r="C16" s="489"/>
      <c r="D16" s="551"/>
      <c r="E16" s="222"/>
      <c r="F16" s="222"/>
      <c r="G16" s="489"/>
      <c r="H16" s="489"/>
      <c r="I16" s="222"/>
      <c r="J16" s="140"/>
      <c r="K16" s="543"/>
    </row>
    <row r="17" spans="1:11">
      <c r="A17" s="41" t="s">
        <v>18</v>
      </c>
      <c r="B17" s="77" t="s">
        <v>399</v>
      </c>
      <c r="C17" s="489"/>
      <c r="D17" s="551"/>
      <c r="E17" s="222"/>
      <c r="F17" s="222"/>
      <c r="G17" s="489"/>
      <c r="H17" s="489"/>
      <c r="I17" s="222"/>
      <c r="J17" s="140"/>
      <c r="K17" s="544"/>
    </row>
    <row r="18" spans="1:11">
      <c r="A18" s="41" t="s">
        <v>20</v>
      </c>
      <c r="B18" s="39" t="s">
        <v>26</v>
      </c>
      <c r="C18" s="550"/>
      <c r="D18" s="550"/>
      <c r="E18" s="222"/>
      <c r="F18" s="222"/>
      <c r="G18" s="489"/>
      <c r="H18" s="489"/>
      <c r="I18" s="222"/>
      <c r="J18" s="140"/>
      <c r="K18" s="140"/>
    </row>
    <row r="19" spans="1:11">
      <c r="A19" s="41" t="s">
        <v>21</v>
      </c>
      <c r="B19" s="39" t="s">
        <v>27</v>
      </c>
      <c r="C19" s="550"/>
      <c r="D19" s="550"/>
      <c r="E19" s="222"/>
      <c r="F19" s="222"/>
      <c r="G19" s="489"/>
      <c r="H19" s="489"/>
      <c r="I19" s="222"/>
      <c r="J19" s="140"/>
      <c r="K19" s="140"/>
    </row>
    <row r="20" spans="1:11">
      <c r="A20" s="41" t="s">
        <v>22</v>
      </c>
      <c r="B20" s="39" t="s">
        <v>28</v>
      </c>
      <c r="C20" s="550"/>
      <c r="D20" s="550"/>
      <c r="E20" s="222"/>
      <c r="F20" s="222"/>
      <c r="G20" s="489"/>
      <c r="H20" s="489"/>
      <c r="I20" s="222"/>
      <c r="J20" s="140"/>
      <c r="K20" s="140"/>
    </row>
    <row r="21" spans="1:11">
      <c r="A21" s="41" t="s">
        <v>29</v>
      </c>
      <c r="B21" s="39" t="s">
        <v>30</v>
      </c>
      <c r="C21" s="550"/>
      <c r="D21" s="550"/>
      <c r="E21" s="222"/>
      <c r="F21" s="222"/>
      <c r="G21" s="489"/>
      <c r="H21" s="489"/>
      <c r="I21" s="222"/>
      <c r="J21" s="140"/>
      <c r="K21" s="140"/>
    </row>
    <row r="22" spans="1:11" ht="25.5">
      <c r="A22" s="41" t="s">
        <v>31</v>
      </c>
      <c r="B22" s="49" t="s">
        <v>366</v>
      </c>
      <c r="C22" s="546"/>
      <c r="D22" s="547"/>
      <c r="E22" s="224">
        <f>SUM(E7:E21)</f>
        <v>14960990.4</v>
      </c>
      <c r="F22" s="224">
        <f>SUM(F7:F21)</f>
        <v>14960990.4</v>
      </c>
      <c r="G22" s="545">
        <f>SUM(G7:H21)</f>
        <v>73643.34</v>
      </c>
      <c r="H22" s="545"/>
      <c r="I22" s="224">
        <f>SUM(I7:I21)</f>
        <v>0</v>
      </c>
      <c r="J22" s="140"/>
      <c r="K22" s="144"/>
    </row>
    <row r="23" spans="1:11" ht="25.5">
      <c r="A23" s="41" t="s">
        <v>32</v>
      </c>
      <c r="B23" s="49" t="s">
        <v>367</v>
      </c>
      <c r="C23" s="546"/>
      <c r="D23" s="547"/>
      <c r="E23" s="222">
        <v>14960990.4</v>
      </c>
      <c r="F23" s="222">
        <v>14960990.4</v>
      </c>
      <c r="G23" s="489">
        <v>73643.34</v>
      </c>
      <c r="H23" s="489"/>
      <c r="I23" s="222">
        <v>0</v>
      </c>
      <c r="J23" s="144"/>
      <c r="K23" s="144"/>
    </row>
    <row r="24" spans="1:11">
      <c r="A24" s="41" t="s">
        <v>33</v>
      </c>
      <c r="B24" s="61" t="s">
        <v>365</v>
      </c>
      <c r="C24" s="548"/>
      <c r="D24" s="549"/>
      <c r="E24" s="90">
        <f>E23-E22</f>
        <v>0</v>
      </c>
      <c r="F24" s="90">
        <f>F23-F22</f>
        <v>0</v>
      </c>
      <c r="G24" s="496">
        <f>G23-G22</f>
        <v>0</v>
      </c>
      <c r="H24" s="496"/>
      <c r="I24" s="223">
        <f>I23-I22</f>
        <v>0</v>
      </c>
      <c r="J24" s="140"/>
      <c r="K24" s="144"/>
    </row>
  </sheetData>
  <sheetProtection password="CB83" sheet="1" objects="1" scenarios="1"/>
  <mergeCells count="47">
    <mergeCell ref="J4:J6"/>
    <mergeCell ref="K4:K6"/>
    <mergeCell ref="A5:A6"/>
    <mergeCell ref="A1:G2"/>
    <mergeCell ref="G6:H6"/>
    <mergeCell ref="C7:D7"/>
    <mergeCell ref="G7:H7"/>
    <mergeCell ref="C3:H3"/>
    <mergeCell ref="B4:I4"/>
    <mergeCell ref="E5:I5"/>
    <mergeCell ref="B5:B6"/>
    <mergeCell ref="C5:D6"/>
    <mergeCell ref="C8:D8"/>
    <mergeCell ref="C9:D9"/>
    <mergeCell ref="G9:H9"/>
    <mergeCell ref="C10:D10"/>
    <mergeCell ref="C11:D11"/>
    <mergeCell ref="G11:H11"/>
    <mergeCell ref="G8:H8"/>
    <mergeCell ref="G10:H10"/>
    <mergeCell ref="G17:H17"/>
    <mergeCell ref="C18:D18"/>
    <mergeCell ref="G18:H18"/>
    <mergeCell ref="C12:D12"/>
    <mergeCell ref="C13:D13"/>
    <mergeCell ref="G13:H13"/>
    <mergeCell ref="C14:D14"/>
    <mergeCell ref="C15:D15"/>
    <mergeCell ref="G15:H15"/>
    <mergeCell ref="G12:H12"/>
    <mergeCell ref="G14:H14"/>
    <mergeCell ref="K7:K17"/>
    <mergeCell ref="G22:H22"/>
    <mergeCell ref="G23:H23"/>
    <mergeCell ref="G24:H24"/>
    <mergeCell ref="C22:D22"/>
    <mergeCell ref="C23:D23"/>
    <mergeCell ref="C24:D24"/>
    <mergeCell ref="C19:D19"/>
    <mergeCell ref="G19:H19"/>
    <mergeCell ref="C20:D20"/>
    <mergeCell ref="G20:H20"/>
    <mergeCell ref="C21:D21"/>
    <mergeCell ref="G21:H21"/>
    <mergeCell ref="C16:D16"/>
    <mergeCell ref="G16:H16"/>
    <mergeCell ref="C17:D17"/>
  </mergeCells>
  <dataValidations count="3">
    <dataValidation type="decimal" allowBlank="1" showInputMessage="1" showErrorMessage="1" error="Please enter only positive values_x000a_" sqref="C23:D23">
      <formula1>0</formula1>
      <formula2>9999999999999.99</formula2>
    </dataValidation>
    <dataValidation type="decimal" allowBlank="1" showInputMessage="1" showErrorMessage="1" error="Please enter a number between 0 and 99,99,99,99,99,999.99_x000a__x000a__x000a_" sqref="E7:I21 E23:I23 C8:D17">
      <formula1>0</formula1>
      <formula2>9999999999999.99</formula2>
    </dataValidation>
    <dataValidation type="decimal" allowBlank="1" showInputMessage="1" showErrorMessage="1" error="Please enter a number between  -99,99,99,99,99,999.99 and 99,99,99,99,99,999.99_x000a__x000a__x000a_" sqref="C7:D7">
      <formula1>-9999999999999.99</formula1>
      <formula2>9999999999999.99</formula2>
    </dataValidation>
  </dataValidations>
  <pageMargins left="0.7" right="0.7" top="0.75" bottom="0.75" header="0.3" footer="0.3"/>
  <pageSetup scale="48" orientation="portrait" r:id="rId1"/>
  <drawing r:id="rId2"/>
</worksheet>
</file>

<file path=xl/worksheets/sheet8.xml><?xml version="1.0" encoding="utf-8"?>
<worksheet xmlns="http://schemas.openxmlformats.org/spreadsheetml/2006/main" xmlns:r="http://schemas.openxmlformats.org/officeDocument/2006/relationships">
  <sheetPr codeName="Sheet8"/>
  <dimension ref="A1:K6"/>
  <sheetViews>
    <sheetView showGridLines="0" topLeftCell="B1" workbookViewId="0">
      <selection activeCell="J6" sqref="J6"/>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7.28515625" customWidth="1"/>
    <col min="11" max="11" width="17.7109375" bestFit="1" customWidth="1"/>
  </cols>
  <sheetData>
    <row r="1" spans="1:11" ht="29.25" customHeight="1">
      <c r="A1" s="480" t="s">
        <v>62</v>
      </c>
      <c r="B1" s="480"/>
      <c r="C1" s="480"/>
      <c r="D1" s="480"/>
      <c r="E1" s="480"/>
      <c r="F1" s="480"/>
      <c r="G1" s="480"/>
      <c r="H1" s="6"/>
      <c r="I1" s="6"/>
    </row>
    <row r="2" spans="1:11" ht="27">
      <c r="A2" s="480"/>
      <c r="B2" s="480"/>
      <c r="C2" s="480"/>
      <c r="D2" s="480"/>
      <c r="E2" s="480"/>
      <c r="F2" s="480"/>
      <c r="G2" s="480"/>
      <c r="H2" s="6"/>
      <c r="I2" s="6"/>
    </row>
    <row r="3" spans="1:11" ht="55.5" customHeight="1" thickBot="1">
      <c r="A3" s="7"/>
      <c r="B3" s="5"/>
      <c r="C3" s="563" t="s">
        <v>636</v>
      </c>
      <c r="D3" s="513"/>
      <c r="E3" s="513"/>
      <c r="F3" s="513"/>
      <c r="G3" s="513"/>
      <c r="H3" s="513"/>
      <c r="I3" s="5"/>
    </row>
    <row r="4" spans="1:11" ht="22.5" customHeight="1">
      <c r="A4" s="10">
        <v>10</v>
      </c>
      <c r="B4" s="534" t="s">
        <v>69</v>
      </c>
      <c r="C4" s="535"/>
      <c r="D4" s="535"/>
      <c r="E4" s="535"/>
      <c r="F4" s="535"/>
      <c r="G4" s="535"/>
      <c r="H4" s="535"/>
      <c r="I4" s="536"/>
      <c r="J4" s="155" t="s">
        <v>162</v>
      </c>
      <c r="K4" s="159" t="s">
        <v>163</v>
      </c>
    </row>
    <row r="5" spans="1:11" ht="58.5" customHeight="1">
      <c r="A5" s="218" t="s">
        <v>6</v>
      </c>
      <c r="B5" s="219" t="s">
        <v>317</v>
      </c>
      <c r="C5" s="515"/>
      <c r="D5" s="516"/>
      <c r="E5" s="516"/>
      <c r="F5" s="516"/>
      <c r="G5" s="516"/>
      <c r="H5" s="516"/>
      <c r="I5" s="517"/>
      <c r="J5" s="220"/>
      <c r="K5" s="221"/>
    </row>
    <row r="6" spans="1:11" s="217" customFormat="1" ht="58.5" customHeight="1">
      <c r="A6" s="232" t="s">
        <v>7</v>
      </c>
      <c r="B6" s="233" t="s">
        <v>652</v>
      </c>
      <c r="C6" s="562"/>
      <c r="D6" s="562"/>
      <c r="E6" s="562"/>
      <c r="F6" s="562"/>
      <c r="G6" s="562"/>
      <c r="H6" s="562"/>
      <c r="I6" s="562"/>
      <c r="J6" s="240"/>
      <c r="K6" s="234"/>
    </row>
  </sheetData>
  <sheetProtection password="CB83" sheet="1" objects="1" scenarios="1"/>
  <mergeCells count="5">
    <mergeCell ref="C6:I6"/>
    <mergeCell ref="A1:G2"/>
    <mergeCell ref="C3:H3"/>
    <mergeCell ref="B4:I4"/>
    <mergeCell ref="C5:I5"/>
  </mergeCells>
  <pageMargins left="0.7" right="0.7" top="0.75" bottom="0.75" header="0.3" footer="0.3"/>
  <pageSetup scale="50" orientation="portrait" r:id="rId1"/>
  <drawing r:id="rId2"/>
</worksheet>
</file>

<file path=xl/worksheets/sheet9.xml><?xml version="1.0" encoding="utf-8"?>
<worksheet xmlns="http://schemas.openxmlformats.org/spreadsheetml/2006/main" xmlns:r="http://schemas.openxmlformats.org/officeDocument/2006/relationships">
  <sheetPr codeName="Sheet9"/>
  <dimension ref="A1:K17"/>
  <sheetViews>
    <sheetView showGridLines="0" workbookViewId="0">
      <selection activeCell="E12" sqref="E12"/>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0" customWidth="1"/>
    <col min="11" max="11" width="19.85546875" customWidth="1"/>
  </cols>
  <sheetData>
    <row r="1" spans="1:11" ht="26.25" customHeight="1">
      <c r="A1" s="480" t="s">
        <v>62</v>
      </c>
      <c r="B1" s="480"/>
      <c r="C1" s="480"/>
      <c r="D1" s="480"/>
      <c r="E1" s="480"/>
      <c r="F1" s="480"/>
      <c r="G1" s="480"/>
      <c r="H1" s="6"/>
      <c r="I1" s="6"/>
    </row>
    <row r="2" spans="1:11" ht="16.5" customHeight="1">
      <c r="A2" s="480"/>
      <c r="B2" s="480"/>
      <c r="C2" s="480"/>
      <c r="D2" s="480"/>
      <c r="E2" s="480"/>
      <c r="F2" s="480"/>
      <c r="G2" s="480"/>
      <c r="H2" s="6"/>
      <c r="I2" s="6"/>
    </row>
    <row r="3" spans="1:11" ht="57" customHeight="1" thickBot="1">
      <c r="A3" s="7"/>
      <c r="B3" s="8"/>
      <c r="C3" s="552" t="s">
        <v>636</v>
      </c>
      <c r="D3" s="484"/>
      <c r="E3" s="484"/>
      <c r="F3" s="484"/>
      <c r="G3" s="484"/>
      <c r="H3" s="484"/>
      <c r="I3" s="8"/>
    </row>
    <row r="4" spans="1:11" ht="18.75" customHeight="1">
      <c r="A4" s="10">
        <v>11</v>
      </c>
      <c r="B4" s="573" t="s">
        <v>54</v>
      </c>
      <c r="C4" s="573"/>
      <c r="D4" s="573"/>
      <c r="E4" s="573"/>
      <c r="F4" s="573"/>
      <c r="G4" s="573"/>
      <c r="H4" s="573"/>
      <c r="I4" s="574"/>
      <c r="J4" s="556" t="s">
        <v>377</v>
      </c>
      <c r="K4" s="556" t="s">
        <v>163</v>
      </c>
    </row>
    <row r="5" spans="1:11" ht="30" customHeight="1">
      <c r="A5" s="567" t="s">
        <v>143</v>
      </c>
      <c r="B5" s="555" t="s">
        <v>24</v>
      </c>
      <c r="C5" s="571" t="s">
        <v>146</v>
      </c>
      <c r="D5" s="571"/>
      <c r="E5" s="554" t="s">
        <v>145</v>
      </c>
      <c r="F5" s="554"/>
      <c r="G5" s="554"/>
      <c r="H5" s="554"/>
      <c r="I5" s="575"/>
      <c r="J5" s="557"/>
      <c r="K5" s="557"/>
    </row>
    <row r="6" spans="1:11" ht="15.75" customHeight="1">
      <c r="A6" s="567"/>
      <c r="B6" s="555"/>
      <c r="C6" s="572"/>
      <c r="D6" s="571"/>
      <c r="E6" s="45" t="s">
        <v>49</v>
      </c>
      <c r="F6" s="46" t="s">
        <v>58</v>
      </c>
      <c r="G6" s="561" t="s">
        <v>48</v>
      </c>
      <c r="H6" s="561"/>
      <c r="I6" s="59" t="s">
        <v>59</v>
      </c>
      <c r="J6" s="558"/>
      <c r="K6" s="558"/>
    </row>
    <row r="7" spans="1:11">
      <c r="A7" s="2" t="s">
        <v>6</v>
      </c>
      <c r="B7" s="84" t="s">
        <v>404</v>
      </c>
      <c r="C7" s="489">
        <v>0</v>
      </c>
      <c r="D7" s="551"/>
      <c r="E7" s="214">
        <v>0</v>
      </c>
      <c r="F7" s="214">
        <v>0</v>
      </c>
      <c r="G7" s="489">
        <v>0</v>
      </c>
      <c r="H7" s="489"/>
      <c r="I7" s="215">
        <v>0</v>
      </c>
      <c r="J7" s="140"/>
      <c r="K7" s="542"/>
    </row>
    <row r="8" spans="1:11" ht="15.75" customHeight="1">
      <c r="A8" s="2" t="s">
        <v>7</v>
      </c>
      <c r="B8" s="84" t="s">
        <v>403</v>
      </c>
      <c r="C8" s="489">
        <v>0</v>
      </c>
      <c r="D8" s="551"/>
      <c r="E8" s="214">
        <v>0</v>
      </c>
      <c r="F8" s="214">
        <v>0</v>
      </c>
      <c r="G8" s="489">
        <v>0</v>
      </c>
      <c r="H8" s="489"/>
      <c r="I8" s="215">
        <v>0</v>
      </c>
      <c r="J8" s="140"/>
      <c r="K8" s="543"/>
    </row>
    <row r="9" spans="1:11" ht="15.75" customHeight="1">
      <c r="A9" s="2" t="s">
        <v>8</v>
      </c>
      <c r="B9" s="84" t="s">
        <v>402</v>
      </c>
      <c r="C9" s="489">
        <v>0</v>
      </c>
      <c r="D9" s="551"/>
      <c r="E9" s="214">
        <v>0</v>
      </c>
      <c r="F9" s="214">
        <v>0</v>
      </c>
      <c r="G9" s="489">
        <v>0</v>
      </c>
      <c r="H9" s="489"/>
      <c r="I9" s="215">
        <v>0</v>
      </c>
      <c r="J9" s="140"/>
      <c r="K9" s="543"/>
    </row>
    <row r="10" spans="1:11" ht="15.75" customHeight="1">
      <c r="A10" s="2" t="s">
        <v>9</v>
      </c>
      <c r="B10" s="84" t="s">
        <v>401</v>
      </c>
      <c r="C10" s="489">
        <v>0</v>
      </c>
      <c r="D10" s="551"/>
      <c r="E10" s="214">
        <v>0</v>
      </c>
      <c r="F10" s="214">
        <v>0</v>
      </c>
      <c r="G10" s="489">
        <v>0</v>
      </c>
      <c r="H10" s="489"/>
      <c r="I10" s="215">
        <v>0</v>
      </c>
      <c r="J10" s="140"/>
      <c r="K10" s="543"/>
    </row>
    <row r="11" spans="1:11" ht="15.75" customHeight="1">
      <c r="A11" s="2" t="s">
        <v>10</v>
      </c>
      <c r="B11" s="84" t="s">
        <v>400</v>
      </c>
      <c r="C11" s="489">
        <v>0</v>
      </c>
      <c r="D11" s="551"/>
      <c r="E11" s="214">
        <v>0</v>
      </c>
      <c r="F11" s="214">
        <v>0</v>
      </c>
      <c r="G11" s="489">
        <v>0</v>
      </c>
      <c r="H11" s="489"/>
      <c r="I11" s="215">
        <v>0</v>
      </c>
      <c r="J11" s="140"/>
      <c r="K11" s="543"/>
    </row>
    <row r="12" spans="1:11">
      <c r="A12" s="2" t="s">
        <v>11</v>
      </c>
      <c r="B12" s="84" t="s">
        <v>398</v>
      </c>
      <c r="C12" s="489">
        <v>0</v>
      </c>
      <c r="D12" s="551"/>
      <c r="E12" s="214">
        <v>0</v>
      </c>
      <c r="F12" s="214">
        <v>0</v>
      </c>
      <c r="G12" s="489">
        <v>0</v>
      </c>
      <c r="H12" s="489"/>
      <c r="I12" s="215">
        <v>0</v>
      </c>
      <c r="J12" s="140"/>
      <c r="K12" s="543"/>
    </row>
    <row r="13" spans="1:11">
      <c r="A13" s="2" t="s">
        <v>12</v>
      </c>
      <c r="B13" s="84" t="s">
        <v>399</v>
      </c>
      <c r="C13" s="489">
        <v>0</v>
      </c>
      <c r="D13" s="551"/>
      <c r="E13" s="214">
        <v>0</v>
      </c>
      <c r="F13" s="214">
        <v>0</v>
      </c>
      <c r="G13" s="489">
        <v>0</v>
      </c>
      <c r="H13" s="489"/>
      <c r="I13" s="215">
        <v>0</v>
      </c>
      <c r="J13" s="140"/>
      <c r="K13" s="544"/>
    </row>
    <row r="14" spans="1:11">
      <c r="A14" s="2" t="s">
        <v>14</v>
      </c>
      <c r="B14" s="9" t="s">
        <v>26</v>
      </c>
      <c r="C14" s="568"/>
      <c r="D14" s="569"/>
      <c r="E14" s="214">
        <v>0</v>
      </c>
      <c r="F14" s="214">
        <v>0</v>
      </c>
      <c r="G14" s="491">
        <v>0</v>
      </c>
      <c r="H14" s="570"/>
      <c r="I14" s="215">
        <v>0</v>
      </c>
      <c r="J14" s="140"/>
      <c r="K14" s="140"/>
    </row>
    <row r="15" spans="1:11">
      <c r="A15" s="2" t="s">
        <v>16</v>
      </c>
      <c r="B15" s="9" t="s">
        <v>27</v>
      </c>
      <c r="C15" s="568"/>
      <c r="D15" s="569"/>
      <c r="E15" s="214">
        <v>0</v>
      </c>
      <c r="F15" s="214">
        <v>0</v>
      </c>
      <c r="G15" s="491">
        <v>0</v>
      </c>
      <c r="H15" s="570"/>
      <c r="I15" s="215">
        <v>0</v>
      </c>
      <c r="J15" s="140"/>
      <c r="K15" s="140"/>
    </row>
    <row r="16" spans="1:11">
      <c r="A16" s="2" t="s">
        <v>17</v>
      </c>
      <c r="B16" s="9" t="s">
        <v>28</v>
      </c>
      <c r="C16" s="568"/>
      <c r="D16" s="569"/>
      <c r="E16" s="214">
        <v>0</v>
      </c>
      <c r="F16" s="214">
        <v>0</v>
      </c>
      <c r="G16" s="491">
        <v>0</v>
      </c>
      <c r="H16" s="570"/>
      <c r="I16" s="215">
        <v>0</v>
      </c>
      <c r="J16" s="140"/>
      <c r="K16" s="140"/>
    </row>
    <row r="17" spans="1:11" ht="15.75" thickBot="1">
      <c r="A17" s="48" t="s">
        <v>18</v>
      </c>
      <c r="B17" s="53" t="s">
        <v>30</v>
      </c>
      <c r="C17" s="566"/>
      <c r="D17" s="566"/>
      <c r="E17" s="216">
        <v>0</v>
      </c>
      <c r="F17" s="214">
        <v>0</v>
      </c>
      <c r="G17" s="564">
        <v>0</v>
      </c>
      <c r="H17" s="565"/>
      <c r="I17" s="215">
        <v>0</v>
      </c>
      <c r="J17" s="140"/>
      <c r="K17" s="140"/>
    </row>
  </sheetData>
  <sheetProtection password="CB83" sheet="1" objects="1" scenarios="1"/>
  <mergeCells count="33">
    <mergeCell ref="C13:D13"/>
    <mergeCell ref="G13:H13"/>
    <mergeCell ref="G6:H6"/>
    <mergeCell ref="C7:D7"/>
    <mergeCell ref="G7:H7"/>
    <mergeCell ref="C8:D8"/>
    <mergeCell ref="C9:D9"/>
    <mergeCell ref="G9:H9"/>
    <mergeCell ref="G8:H8"/>
    <mergeCell ref="G10:H10"/>
    <mergeCell ref="G12:H12"/>
    <mergeCell ref="C10:D10"/>
    <mergeCell ref="C3:H3"/>
    <mergeCell ref="J4:J6"/>
    <mergeCell ref="K4:K6"/>
    <mergeCell ref="B4:I4"/>
    <mergeCell ref="E5:I5"/>
    <mergeCell ref="K7:K13"/>
    <mergeCell ref="A1:G2"/>
    <mergeCell ref="G17:H17"/>
    <mergeCell ref="C17:D17"/>
    <mergeCell ref="A5:A6"/>
    <mergeCell ref="C14:D14"/>
    <mergeCell ref="C15:D15"/>
    <mergeCell ref="C16:D16"/>
    <mergeCell ref="G15:H15"/>
    <mergeCell ref="G14:H14"/>
    <mergeCell ref="G16:H16"/>
    <mergeCell ref="C11:D11"/>
    <mergeCell ref="G11:H11"/>
    <mergeCell ref="C12:D12"/>
    <mergeCell ref="C5:D6"/>
    <mergeCell ref="B5:B6"/>
  </mergeCells>
  <dataValidations count="1">
    <dataValidation type="decimal" allowBlank="1" showInputMessage="1" showErrorMessage="1" error="Please enter a number between 0 and 99,99,99,99,99,999.99_x000a__x000a_" sqref="C7:D13 E7:E17 F7:F17 G7:H17 I7:I17">
      <formula1>0</formula1>
      <formula2>9999999999999.99</formula2>
    </dataValidation>
  </dataValidations>
  <pageMargins left="0.7" right="0.7" top="0.75" bottom="0.75" header="0.3" footer="0.3"/>
  <pageSetup scale="50"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1:K11"/>
  <sheetViews>
    <sheetView showGridLines="0" workbookViewId="0">
      <selection activeCell="H10" sqref="H10:I10"/>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35.5703125" customWidth="1"/>
    <col min="11" max="11" width="37.28515625" customWidth="1"/>
    <col min="12" max="12" width="9.28515625" customWidth="1"/>
    <col min="13" max="13" width="4.7109375" customWidth="1"/>
  </cols>
  <sheetData>
    <row r="1" spans="1:11" ht="26.25" customHeight="1">
      <c r="A1" s="480" t="s">
        <v>62</v>
      </c>
      <c r="B1" s="480"/>
      <c r="C1" s="480"/>
      <c r="D1" s="480"/>
      <c r="E1" s="480"/>
      <c r="F1" s="480"/>
      <c r="G1" s="480"/>
      <c r="H1" s="6"/>
      <c r="I1" s="6"/>
    </row>
    <row r="2" spans="1:11" ht="16.5" customHeight="1">
      <c r="A2" s="480"/>
      <c r="B2" s="480"/>
      <c r="C2" s="480"/>
      <c r="D2" s="480"/>
      <c r="E2" s="480"/>
      <c r="F2" s="480"/>
      <c r="G2" s="480"/>
      <c r="H2" s="6"/>
      <c r="I2" s="6"/>
    </row>
    <row r="3" spans="1:11" ht="57" customHeight="1" thickBot="1">
      <c r="A3" s="7"/>
      <c r="B3" s="8"/>
      <c r="C3" s="552" t="s">
        <v>637</v>
      </c>
      <c r="D3" s="484"/>
      <c r="E3" s="484"/>
      <c r="F3" s="484"/>
      <c r="G3" s="484"/>
      <c r="H3" s="484"/>
      <c r="I3" s="8"/>
    </row>
    <row r="4" spans="1:11" ht="30" customHeight="1">
      <c r="A4" s="54">
        <v>12</v>
      </c>
      <c r="B4" s="585" t="s">
        <v>136</v>
      </c>
      <c r="C4" s="586"/>
      <c r="D4" s="586"/>
      <c r="E4" s="586"/>
      <c r="F4" s="586"/>
      <c r="G4" s="586"/>
      <c r="H4" s="586"/>
      <c r="I4" s="587"/>
      <c r="J4" s="504" t="s">
        <v>162</v>
      </c>
      <c r="K4" s="504" t="s">
        <v>163</v>
      </c>
    </row>
    <row r="5" spans="1:11" ht="18" customHeight="1">
      <c r="A5" s="50" t="s">
        <v>143</v>
      </c>
      <c r="B5" s="584" t="s">
        <v>24</v>
      </c>
      <c r="C5" s="584"/>
      <c r="D5" s="584"/>
      <c r="E5" s="584"/>
      <c r="F5" s="584"/>
      <c r="G5" s="584"/>
      <c r="H5" s="588" t="s">
        <v>144</v>
      </c>
      <c r="I5" s="589"/>
      <c r="J5" s="504"/>
      <c r="K5" s="504"/>
    </row>
    <row r="6" spans="1:11" ht="15.75" customHeight="1">
      <c r="A6" s="2" t="s">
        <v>6</v>
      </c>
      <c r="B6" s="579" t="s">
        <v>137</v>
      </c>
      <c r="C6" s="579"/>
      <c r="D6" s="579"/>
      <c r="E6" s="579"/>
      <c r="F6" s="579"/>
      <c r="G6" s="579"/>
      <c r="H6" s="489"/>
      <c r="I6" s="580"/>
      <c r="J6" s="140"/>
      <c r="K6" s="140"/>
    </row>
    <row r="7" spans="1:11" ht="15.75" customHeight="1">
      <c r="A7" s="2" t="s">
        <v>7</v>
      </c>
      <c r="B7" s="590" t="s">
        <v>138</v>
      </c>
      <c r="C7" s="591"/>
      <c r="D7" s="591"/>
      <c r="E7" s="591"/>
      <c r="F7" s="591"/>
      <c r="G7" s="592"/>
      <c r="H7" s="489"/>
      <c r="I7" s="580"/>
      <c r="J7" s="140"/>
      <c r="K7" s="140"/>
    </row>
    <row r="8" spans="1:11" ht="15.75" customHeight="1">
      <c r="A8" s="2" t="s">
        <v>8</v>
      </c>
      <c r="B8" s="590" t="s">
        <v>139</v>
      </c>
      <c r="C8" s="591"/>
      <c r="D8" s="591"/>
      <c r="E8" s="591"/>
      <c r="F8" s="591"/>
      <c r="G8" s="592"/>
      <c r="H8" s="489"/>
      <c r="I8" s="580"/>
      <c r="J8" s="140"/>
      <c r="K8" s="140"/>
    </row>
    <row r="9" spans="1:11">
      <c r="A9" s="2" t="s">
        <v>9</v>
      </c>
      <c r="B9" s="579" t="s">
        <v>287</v>
      </c>
      <c r="C9" s="579"/>
      <c r="D9" s="579"/>
      <c r="E9" s="579"/>
      <c r="F9" s="579"/>
      <c r="G9" s="579"/>
      <c r="H9" s="581">
        <f>H6+H7-H8</f>
        <v>0</v>
      </c>
      <c r="I9" s="582"/>
      <c r="J9" s="140"/>
      <c r="K9" s="144"/>
    </row>
    <row r="10" spans="1:11">
      <c r="A10" s="2" t="s">
        <v>10</v>
      </c>
      <c r="B10" s="583" t="s">
        <v>140</v>
      </c>
      <c r="C10" s="583"/>
      <c r="D10" s="583"/>
      <c r="E10" s="583"/>
      <c r="F10" s="583"/>
      <c r="G10" s="583"/>
      <c r="H10" s="489"/>
      <c r="I10" s="580"/>
      <c r="J10" s="140"/>
      <c r="K10" s="144"/>
    </row>
    <row r="11" spans="1:11" ht="15.75" thickBot="1">
      <c r="A11" s="48" t="s">
        <v>11</v>
      </c>
      <c r="B11" s="576" t="s">
        <v>368</v>
      </c>
      <c r="C11" s="576"/>
      <c r="D11" s="576"/>
      <c r="E11" s="576"/>
      <c r="F11" s="576"/>
      <c r="G11" s="576"/>
      <c r="H11" s="577">
        <f>H10-H9</f>
        <v>0</v>
      </c>
      <c r="I11" s="578"/>
      <c r="J11" s="140"/>
      <c r="K11" s="144"/>
    </row>
  </sheetData>
  <sheetProtection password="CB83" sheet="1" objects="1" scenarios="1"/>
  <mergeCells count="19">
    <mergeCell ref="J4:J5"/>
    <mergeCell ref="K4:K5"/>
    <mergeCell ref="A1:G2"/>
    <mergeCell ref="B5:G5"/>
    <mergeCell ref="H10:I10"/>
    <mergeCell ref="C3:H3"/>
    <mergeCell ref="B4:I4"/>
    <mergeCell ref="H5:I5"/>
    <mergeCell ref="B7:G7"/>
    <mergeCell ref="B8:G8"/>
    <mergeCell ref="B11:G11"/>
    <mergeCell ref="H11:I11"/>
    <mergeCell ref="B6:G6"/>
    <mergeCell ref="H6:I6"/>
    <mergeCell ref="H7:I7"/>
    <mergeCell ref="H8:I8"/>
    <mergeCell ref="B9:G9"/>
    <mergeCell ref="H9:I9"/>
    <mergeCell ref="B10:G10"/>
  </mergeCells>
  <dataValidations count="2">
    <dataValidation type="decimal" allowBlank="1" showInputMessage="1" showErrorMessage="1" error="Please enter a number between -99,99,99,99,99,999.99 and 99,99,99,99,99,999.99_x000a__x000a__x000a_" sqref="H10:I10">
      <formula1>-9999999999999.99</formula1>
      <formula2>9999999999999.99</formula2>
    </dataValidation>
    <dataValidation type="decimal" allowBlank="1" showInputMessage="1" showErrorMessage="1" error="Please enter a number between 0 and 99,99,99,99,99,999.99_x000a__x000a__x000a_" sqref="H6:I8">
      <formula1>0</formula1>
      <formula2>9999999999999.99</formula2>
    </dataValidation>
  </dataValidations>
  <pageMargins left="0.7" right="0.7" top="0.75" bottom="0.75" header="0.3" footer="0.3"/>
  <pageSetup scale="50" orientation="portrait" r:id="rId1"/>
  <drawing r:id="rId2"/>
</worksheet>
</file>

<file path=xl/worksheets/sheet11.xml><?xml version="1.0" encoding="utf-8"?>
<worksheet xmlns="http://schemas.openxmlformats.org/spreadsheetml/2006/main" xmlns:r="http://schemas.openxmlformats.org/officeDocument/2006/relationships">
  <sheetPr codeName="Sheet11"/>
  <dimension ref="A1:K14"/>
  <sheetViews>
    <sheetView showGridLines="0" workbookViewId="0">
      <selection activeCell="C5" sqref="C5:I5"/>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68.28515625" style="132" customWidth="1"/>
    <col min="11" max="11" width="17.7109375" bestFit="1" customWidth="1"/>
  </cols>
  <sheetData>
    <row r="1" spans="1:11" ht="29.25" customHeight="1">
      <c r="A1" s="480" t="s">
        <v>62</v>
      </c>
      <c r="B1" s="480"/>
      <c r="C1" s="480"/>
      <c r="D1" s="480"/>
      <c r="E1" s="480"/>
      <c r="F1" s="480"/>
      <c r="G1" s="480"/>
      <c r="H1" s="6"/>
      <c r="I1" s="6"/>
    </row>
    <row r="2" spans="1:11" ht="27">
      <c r="A2" s="480"/>
      <c r="B2" s="480"/>
      <c r="C2" s="480"/>
      <c r="D2" s="480"/>
      <c r="E2" s="480"/>
      <c r="F2" s="480"/>
      <c r="G2" s="480"/>
      <c r="H2" s="6"/>
      <c r="I2" s="6"/>
    </row>
    <row r="3" spans="1:11" ht="55.5" customHeight="1" thickBot="1">
      <c r="A3" s="7"/>
      <c r="B3" s="5"/>
      <c r="C3" s="563" t="s">
        <v>638</v>
      </c>
      <c r="D3" s="513"/>
      <c r="E3" s="513"/>
      <c r="F3" s="513"/>
      <c r="G3" s="513"/>
      <c r="H3" s="513"/>
      <c r="I3" s="5"/>
    </row>
    <row r="4" spans="1:11" ht="22.5" customHeight="1">
      <c r="A4" s="10">
        <v>13</v>
      </c>
      <c r="B4" s="534" t="s">
        <v>66</v>
      </c>
      <c r="C4" s="535"/>
      <c r="D4" s="535"/>
      <c r="E4" s="535"/>
      <c r="F4" s="535"/>
      <c r="G4" s="535"/>
      <c r="H4" s="535"/>
      <c r="I4" s="536"/>
      <c r="J4" s="155" t="s">
        <v>162</v>
      </c>
      <c r="K4" s="155" t="s">
        <v>163</v>
      </c>
    </row>
    <row r="5" spans="1:11" ht="58.5" customHeight="1">
      <c r="A5" s="218" t="s">
        <v>6</v>
      </c>
      <c r="B5" s="219" t="s">
        <v>317</v>
      </c>
      <c r="C5" s="515"/>
      <c r="D5" s="516"/>
      <c r="E5" s="516"/>
      <c r="F5" s="516"/>
      <c r="G5" s="516"/>
      <c r="H5" s="516"/>
      <c r="I5" s="517"/>
      <c r="J5" s="221"/>
      <c r="K5" s="221"/>
    </row>
    <row r="6" spans="1:11" s="225" customFormat="1" ht="58.5" customHeight="1">
      <c r="A6" s="232" t="s">
        <v>7</v>
      </c>
      <c r="B6" s="233" t="s">
        <v>652</v>
      </c>
      <c r="C6" s="515"/>
      <c r="D6" s="516"/>
      <c r="E6" s="516"/>
      <c r="F6" s="516"/>
      <c r="G6" s="516"/>
      <c r="H6" s="516"/>
      <c r="I6" s="517"/>
      <c r="J6" s="234"/>
      <c r="K6" s="234"/>
    </row>
    <row r="7" spans="1:11" s="225" customFormat="1" ht="58.5" customHeight="1">
      <c r="A7" s="232" t="s">
        <v>8</v>
      </c>
      <c r="B7" s="233" t="s">
        <v>676</v>
      </c>
      <c r="C7" s="515"/>
      <c r="D7" s="516"/>
      <c r="E7" s="516"/>
      <c r="F7" s="516"/>
      <c r="G7" s="516"/>
      <c r="H7" s="516"/>
      <c r="I7" s="517"/>
      <c r="J7" s="234"/>
      <c r="K7" s="234"/>
    </row>
    <row r="8" spans="1:11" s="225" customFormat="1" ht="58.5" customHeight="1">
      <c r="A8" s="232" t="s">
        <v>9</v>
      </c>
      <c r="B8" s="233" t="s">
        <v>677</v>
      </c>
      <c r="C8" s="515"/>
      <c r="D8" s="516"/>
      <c r="E8" s="516"/>
      <c r="F8" s="516"/>
      <c r="G8" s="516"/>
      <c r="H8" s="516"/>
      <c r="I8" s="517"/>
      <c r="J8" s="234"/>
      <c r="K8" s="234"/>
    </row>
    <row r="9" spans="1:11" s="225" customFormat="1" ht="58.5" customHeight="1">
      <c r="A9" s="232" t="s">
        <v>10</v>
      </c>
      <c r="B9" s="233" t="s">
        <v>678</v>
      </c>
      <c r="C9" s="515"/>
      <c r="D9" s="516"/>
      <c r="E9" s="516"/>
      <c r="F9" s="516"/>
      <c r="G9" s="516"/>
      <c r="H9" s="516"/>
      <c r="I9" s="517"/>
      <c r="J9" s="234"/>
      <c r="K9" s="234"/>
    </row>
    <row r="10" spans="1:11" s="225" customFormat="1" ht="58.5" customHeight="1">
      <c r="A10" s="232" t="s">
        <v>11</v>
      </c>
      <c r="B10" s="233" t="s">
        <v>679</v>
      </c>
      <c r="C10" s="515"/>
      <c r="D10" s="516"/>
      <c r="E10" s="516"/>
      <c r="F10" s="516"/>
      <c r="G10" s="516"/>
      <c r="H10" s="516"/>
      <c r="I10" s="517"/>
      <c r="J10" s="234"/>
      <c r="K10" s="234"/>
    </row>
    <row r="11" spans="1:11" s="225" customFormat="1" ht="58.5" customHeight="1">
      <c r="A11" s="232" t="s">
        <v>12</v>
      </c>
      <c r="B11" s="233" t="s">
        <v>680</v>
      </c>
      <c r="C11" s="515"/>
      <c r="D11" s="516"/>
      <c r="E11" s="516"/>
      <c r="F11" s="516"/>
      <c r="G11" s="516"/>
      <c r="H11" s="516"/>
      <c r="I11" s="517"/>
      <c r="J11" s="234"/>
      <c r="K11" s="234"/>
    </row>
    <row r="12" spans="1:11" s="225" customFormat="1" ht="58.5" customHeight="1">
      <c r="A12" s="232" t="s">
        <v>14</v>
      </c>
      <c r="B12" s="233" t="s">
        <v>681</v>
      </c>
      <c r="C12" s="515"/>
      <c r="D12" s="516"/>
      <c r="E12" s="516"/>
      <c r="F12" s="516"/>
      <c r="G12" s="516"/>
      <c r="H12" s="516"/>
      <c r="I12" s="517"/>
      <c r="J12" s="234"/>
      <c r="K12" s="234"/>
    </row>
    <row r="13" spans="1:11" s="225" customFormat="1" ht="58.5" customHeight="1">
      <c r="A13" s="232" t="s">
        <v>16</v>
      </c>
      <c r="B13" s="233" t="s">
        <v>682</v>
      </c>
      <c r="C13" s="515"/>
      <c r="D13" s="516"/>
      <c r="E13" s="516"/>
      <c r="F13" s="516"/>
      <c r="G13" s="516"/>
      <c r="H13" s="516"/>
      <c r="I13" s="517"/>
      <c r="J13" s="234"/>
      <c r="K13" s="234"/>
    </row>
    <row r="14" spans="1:11" s="225" customFormat="1" ht="58.5" customHeight="1">
      <c r="A14" s="232" t="s">
        <v>17</v>
      </c>
      <c r="B14" s="233" t="s">
        <v>683</v>
      </c>
      <c r="C14" s="562"/>
      <c r="D14" s="562"/>
      <c r="E14" s="562"/>
      <c r="F14" s="562"/>
      <c r="G14" s="562"/>
      <c r="H14" s="562"/>
      <c r="I14" s="562"/>
      <c r="J14" s="234"/>
      <c r="K14" s="234"/>
    </row>
  </sheetData>
  <sheetProtection password="CB83" sheet="1" objects="1" scenarios="1"/>
  <mergeCells count="13">
    <mergeCell ref="A1:G2"/>
    <mergeCell ref="C3:H3"/>
    <mergeCell ref="B4:I4"/>
    <mergeCell ref="C5:I5"/>
    <mergeCell ref="C6:I6"/>
    <mergeCell ref="C12:I12"/>
    <mergeCell ref="C13:I13"/>
    <mergeCell ref="C14:I14"/>
    <mergeCell ref="C7:I7"/>
    <mergeCell ref="C8:I8"/>
    <mergeCell ref="C9:I9"/>
    <mergeCell ref="C10:I10"/>
    <mergeCell ref="C11:I11"/>
  </mergeCells>
  <pageMargins left="0.7" right="0.7" top="0.75" bottom="0.75" header="0.3" footer="0.3"/>
  <pageSetup scale="50" orientation="portrait" r:id="rId1"/>
  <drawing r:id="rId2"/>
</worksheet>
</file>

<file path=xl/worksheets/sheet12.xml><?xml version="1.0" encoding="utf-8"?>
<worksheet xmlns="http://schemas.openxmlformats.org/spreadsheetml/2006/main" xmlns:r="http://schemas.openxmlformats.org/officeDocument/2006/relationships">
  <sheetPr codeName="Sheet12">
    <tabColor rgb="FFFFFF00"/>
  </sheetPr>
  <dimension ref="A1:K27"/>
  <sheetViews>
    <sheetView showGridLines="0" tabSelected="1" topLeftCell="B8" workbookViewId="0">
      <selection activeCell="H26" sqref="H26"/>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89.5703125" customWidth="1"/>
    <col min="11" max="11" width="40.7109375" customWidth="1"/>
    <col min="12" max="12" width="27.140625" customWidth="1"/>
  </cols>
  <sheetData>
    <row r="1" spans="1:11" ht="26.25" customHeight="1">
      <c r="A1" s="480" t="s">
        <v>62</v>
      </c>
      <c r="B1" s="480"/>
      <c r="C1" s="480"/>
      <c r="D1" s="480"/>
      <c r="E1" s="480"/>
      <c r="F1" s="480"/>
      <c r="G1" s="480"/>
      <c r="H1" s="6"/>
      <c r="I1" s="6"/>
    </row>
    <row r="2" spans="1:11" ht="16.5" customHeight="1">
      <c r="A2" s="480"/>
      <c r="B2" s="480"/>
      <c r="C2" s="480"/>
      <c r="D2" s="480"/>
      <c r="E2" s="480"/>
      <c r="F2" s="480"/>
      <c r="G2" s="480"/>
      <c r="H2" s="6"/>
      <c r="I2" s="6"/>
    </row>
    <row r="3" spans="1:11" ht="57" customHeight="1" thickBot="1">
      <c r="A3" s="7"/>
      <c r="B3" s="8"/>
      <c r="C3" s="552" t="s">
        <v>639</v>
      </c>
      <c r="D3" s="484"/>
      <c r="E3" s="484"/>
      <c r="F3" s="484"/>
      <c r="G3" s="484"/>
      <c r="H3" s="484"/>
      <c r="I3" s="8"/>
    </row>
    <row r="4" spans="1:11" ht="15.75" customHeight="1">
      <c r="A4" s="54">
        <v>14</v>
      </c>
      <c r="B4" s="573" t="s">
        <v>55</v>
      </c>
      <c r="C4" s="573"/>
      <c r="D4" s="573"/>
      <c r="E4" s="573"/>
      <c r="F4" s="573"/>
      <c r="G4" s="573"/>
      <c r="H4" s="573"/>
      <c r="I4" s="534"/>
      <c r="J4" s="504" t="s">
        <v>377</v>
      </c>
      <c r="K4" s="556" t="s">
        <v>163</v>
      </c>
    </row>
    <row r="5" spans="1:11" ht="30" customHeight="1">
      <c r="A5" s="50" t="s">
        <v>143</v>
      </c>
      <c r="B5" s="611" t="s">
        <v>24</v>
      </c>
      <c r="C5" s="611"/>
      <c r="D5" s="611" t="s">
        <v>148</v>
      </c>
      <c r="E5" s="611"/>
      <c r="F5" s="611" t="s">
        <v>149</v>
      </c>
      <c r="G5" s="611"/>
      <c r="H5" s="611" t="s">
        <v>150</v>
      </c>
      <c r="I5" s="612"/>
      <c r="J5" s="504"/>
      <c r="K5" s="558"/>
    </row>
    <row r="6" spans="1:11">
      <c r="A6" s="2" t="s">
        <v>6</v>
      </c>
      <c r="B6" s="593" t="s">
        <v>259</v>
      </c>
      <c r="C6" s="593"/>
      <c r="D6" s="594">
        <f>(51399358.61)+(8122058.72)+(178310703.08)</f>
        <v>237832120.41</v>
      </c>
      <c r="E6" s="594"/>
      <c r="F6" s="613">
        <f>(51399358.61*12/100)+(8122058.72*18/100)+(178310703.08*12/100)</f>
        <v>29027177.969999999</v>
      </c>
      <c r="G6" s="614"/>
      <c r="H6" s="613">
        <v>29027177.969999999</v>
      </c>
      <c r="I6" s="614"/>
      <c r="J6" s="140"/>
      <c r="K6" s="542"/>
    </row>
    <row r="7" spans="1:11" ht="15.75" customHeight="1">
      <c r="A7" s="2" t="s">
        <v>7</v>
      </c>
      <c r="B7" s="610" t="s">
        <v>56</v>
      </c>
      <c r="C7" s="610"/>
      <c r="D7" s="594">
        <f>(208052)+(4854815.7)</f>
        <v>5062867.7</v>
      </c>
      <c r="E7" s="594"/>
      <c r="F7" s="594">
        <f>(208052*5/100)+(4854815.7*12/100)</f>
        <v>592980.47999999998</v>
      </c>
      <c r="G7" s="594"/>
      <c r="H7" s="613">
        <v>592980.47999999998</v>
      </c>
      <c r="I7" s="614"/>
      <c r="J7" s="140"/>
      <c r="K7" s="543"/>
    </row>
    <row r="8" spans="1:11" ht="15.75" customHeight="1">
      <c r="A8" s="2" t="s">
        <v>8</v>
      </c>
      <c r="B8" s="610" t="s">
        <v>156</v>
      </c>
      <c r="C8" s="610"/>
      <c r="D8" s="594"/>
      <c r="E8" s="594"/>
      <c r="F8" s="594"/>
      <c r="G8" s="595"/>
      <c r="H8" s="613"/>
      <c r="I8" s="614"/>
      <c r="J8" s="140"/>
      <c r="K8" s="543"/>
    </row>
    <row r="9" spans="1:11" ht="15.75" customHeight="1">
      <c r="A9" s="2" t="s">
        <v>9</v>
      </c>
      <c r="B9" s="593" t="s">
        <v>157</v>
      </c>
      <c r="C9" s="593"/>
      <c r="D9" s="594"/>
      <c r="E9" s="594"/>
      <c r="F9" s="594"/>
      <c r="G9" s="595"/>
      <c r="H9" s="613"/>
      <c r="I9" s="614"/>
      <c r="J9" s="140"/>
      <c r="K9" s="543"/>
    </row>
    <row r="10" spans="1:11" ht="15.75" customHeight="1">
      <c r="A10" s="2" t="s">
        <v>10</v>
      </c>
      <c r="B10" s="610" t="s">
        <v>35</v>
      </c>
      <c r="C10" s="610"/>
      <c r="D10" s="594">
        <f>(117051.76)+(65271)+(15389)</f>
        <v>197711.76</v>
      </c>
      <c r="E10" s="594"/>
      <c r="F10" s="594">
        <f>(117051.76*12/100)+(65271*18/100)+(15389*18/100)</f>
        <v>28565.01</v>
      </c>
      <c r="G10" s="595"/>
      <c r="H10" s="613">
        <v>28565.01</v>
      </c>
      <c r="I10" s="614"/>
      <c r="J10" s="140"/>
      <c r="K10" s="543"/>
    </row>
    <row r="11" spans="1:11" ht="37.5" customHeight="1">
      <c r="A11" s="2" t="s">
        <v>11</v>
      </c>
      <c r="B11" s="610" t="s">
        <v>36</v>
      </c>
      <c r="C11" s="610"/>
      <c r="D11" s="594"/>
      <c r="E11" s="594"/>
      <c r="F11" s="594"/>
      <c r="G11" s="595"/>
      <c r="H11" s="613"/>
      <c r="I11" s="614"/>
      <c r="J11" s="140"/>
      <c r="K11" s="543"/>
    </row>
    <row r="12" spans="1:11">
      <c r="A12" s="2" t="s">
        <v>12</v>
      </c>
      <c r="B12" s="610" t="s">
        <v>37</v>
      </c>
      <c r="C12" s="610"/>
      <c r="D12" s="594"/>
      <c r="E12" s="594"/>
      <c r="F12" s="594"/>
      <c r="G12" s="595"/>
      <c r="H12" s="613"/>
      <c r="I12" s="614"/>
      <c r="J12" s="140"/>
      <c r="K12" s="543"/>
    </row>
    <row r="13" spans="1:11" ht="24" customHeight="1">
      <c r="A13" s="2" t="s">
        <v>14</v>
      </c>
      <c r="B13" s="610" t="s">
        <v>376</v>
      </c>
      <c r="C13" s="610"/>
      <c r="D13" s="594"/>
      <c r="E13" s="594"/>
      <c r="F13" s="594"/>
      <c r="G13" s="595"/>
      <c r="H13" s="613"/>
      <c r="I13" s="614"/>
      <c r="J13" s="140"/>
      <c r="K13" s="543"/>
    </row>
    <row r="14" spans="1:11">
      <c r="A14" s="2" t="s">
        <v>16</v>
      </c>
      <c r="B14" s="610" t="s">
        <v>38</v>
      </c>
      <c r="C14" s="610"/>
      <c r="D14" s="594"/>
      <c r="E14" s="594"/>
      <c r="F14" s="594"/>
      <c r="G14" s="595"/>
      <c r="H14" s="613"/>
      <c r="I14" s="614"/>
      <c r="J14" s="140"/>
      <c r="K14" s="543"/>
    </row>
    <row r="15" spans="1:11">
      <c r="A15" s="2" t="s">
        <v>17</v>
      </c>
      <c r="B15" s="610" t="s">
        <v>39</v>
      </c>
      <c r="C15" s="610"/>
      <c r="D15" s="594">
        <f>(2617)+(1000)+(124500)</f>
        <v>128117</v>
      </c>
      <c r="E15" s="594"/>
      <c r="F15" s="594">
        <f>(2617*18/100)+(1000*18/100)+(124500*18/100)</f>
        <v>23061.06</v>
      </c>
      <c r="G15" s="595"/>
      <c r="H15" s="613">
        <v>23061.06</v>
      </c>
      <c r="I15" s="614"/>
      <c r="J15" s="140"/>
      <c r="K15" s="543"/>
    </row>
    <row r="16" spans="1:11">
      <c r="A16" s="2" t="s">
        <v>18</v>
      </c>
      <c r="B16" s="610" t="s">
        <v>40</v>
      </c>
      <c r="C16" s="610"/>
      <c r="D16" s="594">
        <f>(227372.03)</f>
        <v>227372.03</v>
      </c>
      <c r="E16" s="594"/>
      <c r="F16" s="594">
        <f>(227372.03*18/100)</f>
        <v>40926.97</v>
      </c>
      <c r="G16" s="595"/>
      <c r="H16" s="613">
        <v>40926.97</v>
      </c>
      <c r="I16" s="614"/>
      <c r="J16" s="140"/>
      <c r="K16" s="543"/>
    </row>
    <row r="17" spans="1:11">
      <c r="A17" s="2" t="s">
        <v>20</v>
      </c>
      <c r="B17" s="610" t="s">
        <v>41</v>
      </c>
      <c r="C17" s="610"/>
      <c r="D17" s="594">
        <f>(1578+130)+(18155.57)</f>
        <v>19863.57</v>
      </c>
      <c r="E17" s="594"/>
      <c r="F17" s="594">
        <f>(1708*18/100)+(10915.57*18/100)+(7240*12/100)</f>
        <v>3141.04</v>
      </c>
      <c r="G17" s="595"/>
      <c r="H17" s="613">
        <v>3141.04</v>
      </c>
      <c r="I17" s="614"/>
      <c r="J17" s="140"/>
      <c r="K17" s="543"/>
    </row>
    <row r="18" spans="1:11">
      <c r="A18" s="2" t="s">
        <v>21</v>
      </c>
      <c r="B18" s="610" t="s">
        <v>42</v>
      </c>
      <c r="C18" s="610"/>
      <c r="D18" s="594">
        <f>(2085)+(9000)+(8100)</f>
        <v>19185</v>
      </c>
      <c r="E18" s="594"/>
      <c r="F18" s="594">
        <f>(2085*12/100)+(9000*18/100)+(8100*18/100)</f>
        <v>3328.2</v>
      </c>
      <c r="G18" s="595"/>
      <c r="H18" s="613">
        <v>3328.2</v>
      </c>
      <c r="I18" s="614"/>
      <c r="J18" s="140"/>
      <c r="K18" s="543"/>
    </row>
    <row r="19" spans="1:11">
      <c r="A19" s="2" t="s">
        <v>22</v>
      </c>
      <c r="B19" s="610" t="s">
        <v>260</v>
      </c>
      <c r="C19" s="610"/>
      <c r="D19" s="594">
        <f>(1782.52)+(3500)</f>
        <v>5282.52</v>
      </c>
      <c r="E19" s="594"/>
      <c r="F19" s="594">
        <f>(1782.5*18/100)+(3500*18/100)</f>
        <v>950.85</v>
      </c>
      <c r="G19" s="595"/>
      <c r="H19" s="613">
        <v>950.85</v>
      </c>
      <c r="I19" s="614"/>
      <c r="J19" s="140"/>
      <c r="K19" s="543"/>
    </row>
    <row r="20" spans="1:11">
      <c r="A20" s="55" t="s">
        <v>29</v>
      </c>
      <c r="B20" s="593" t="s">
        <v>43</v>
      </c>
      <c r="C20" s="593"/>
      <c r="D20" s="616">
        <f>80468.75+2773958.29+13559.32+3300+34375</f>
        <v>2905661.36</v>
      </c>
      <c r="E20" s="616"/>
      <c r="F20" s="616">
        <f>5043.75+5043.75+6671.88+6671.88+249656.35+249656.35+1220.34+1220.34+297+297+4812.5+4812.5</f>
        <v>535403.64</v>
      </c>
      <c r="G20" s="617"/>
      <c r="H20" s="613">
        <v>535403.64</v>
      </c>
      <c r="I20" s="614"/>
      <c r="J20" s="140"/>
      <c r="K20" s="544"/>
    </row>
    <row r="21" spans="1:11">
      <c r="A21" s="55" t="s">
        <v>31</v>
      </c>
      <c r="B21" s="593" t="s">
        <v>44</v>
      </c>
      <c r="C21" s="593"/>
      <c r="D21" s="615">
        <f>(26669)</f>
        <v>26669</v>
      </c>
      <c r="E21" s="615"/>
      <c r="F21" s="616">
        <f>(26669*18/100)</f>
        <v>4800.42</v>
      </c>
      <c r="G21" s="617"/>
      <c r="H21" s="613">
        <v>4800.42</v>
      </c>
      <c r="I21" s="614"/>
      <c r="J21" s="144"/>
      <c r="K21" s="140"/>
    </row>
    <row r="22" spans="1:11">
      <c r="A22" s="55" t="s">
        <v>32</v>
      </c>
      <c r="B22" s="608" t="s">
        <v>45</v>
      </c>
      <c r="C22" s="608"/>
      <c r="D22" s="609">
        <f>(6282.7)</f>
        <v>6282.7</v>
      </c>
      <c r="E22" s="609"/>
      <c r="F22" s="609">
        <f>(6282.7*18/100)</f>
        <v>1130.8900000000001</v>
      </c>
      <c r="G22" s="618"/>
      <c r="H22" s="619">
        <v>1130.8900000000001</v>
      </c>
      <c r="I22" s="620"/>
      <c r="J22" s="241"/>
      <c r="K22" s="242"/>
    </row>
    <row r="23" spans="1:11" ht="25.5" customHeight="1">
      <c r="A23" s="55" t="s">
        <v>33</v>
      </c>
      <c r="B23" s="590" t="s">
        <v>370</v>
      </c>
      <c r="C23" s="602"/>
      <c r="D23" s="603"/>
      <c r="E23" s="604"/>
      <c r="F23" s="605"/>
      <c r="G23" s="604"/>
      <c r="H23" s="606">
        <f>SUM(H6:H22)</f>
        <v>30261466.530000001</v>
      </c>
      <c r="I23" s="607"/>
      <c r="J23" s="145"/>
      <c r="K23" s="146"/>
    </row>
    <row r="24" spans="1:11">
      <c r="A24" s="55" t="s">
        <v>46</v>
      </c>
      <c r="B24" s="598" t="s">
        <v>140</v>
      </c>
      <c r="C24" s="599"/>
      <c r="D24" s="72"/>
      <c r="E24" s="71"/>
      <c r="F24" s="72"/>
      <c r="G24" s="71"/>
      <c r="H24" s="491"/>
      <c r="I24" s="601"/>
      <c r="J24" s="144"/>
      <c r="K24" s="144"/>
    </row>
    <row r="25" spans="1:11">
      <c r="A25" s="73" t="s">
        <v>47</v>
      </c>
      <c r="B25" s="600" t="s">
        <v>369</v>
      </c>
      <c r="C25" s="600"/>
      <c r="D25" s="548"/>
      <c r="E25" s="549"/>
      <c r="F25" s="548"/>
      <c r="G25" s="549"/>
      <c r="H25" s="596">
        <f>H24-H23</f>
        <v>-30261466.530000001</v>
      </c>
      <c r="I25" s="597"/>
      <c r="J25" s="147"/>
      <c r="K25" s="147"/>
    </row>
    <row r="27" spans="1:11">
      <c r="H27" s="75"/>
    </row>
  </sheetData>
  <sheetProtection password="CB83" sheet="1" objects="1" scenarios="1"/>
  <mergeCells count="88">
    <mergeCell ref="H21:I21"/>
    <mergeCell ref="F22:G22"/>
    <mergeCell ref="H22:I22"/>
    <mergeCell ref="D20:E20"/>
    <mergeCell ref="F20:G20"/>
    <mergeCell ref="B20:C20"/>
    <mergeCell ref="B21:C21"/>
    <mergeCell ref="D21:E21"/>
    <mergeCell ref="F21:G21"/>
    <mergeCell ref="B19:C19"/>
    <mergeCell ref="D19:E19"/>
    <mergeCell ref="F19:G19"/>
    <mergeCell ref="D16:E16"/>
    <mergeCell ref="F16:G16"/>
    <mergeCell ref="B17:C17"/>
    <mergeCell ref="D17:E17"/>
    <mergeCell ref="F17:G17"/>
    <mergeCell ref="B18:C18"/>
    <mergeCell ref="D18:E18"/>
    <mergeCell ref="F18:G18"/>
    <mergeCell ref="F15:G15"/>
    <mergeCell ref="H11:I11"/>
    <mergeCell ref="H12:I12"/>
    <mergeCell ref="B12:C12"/>
    <mergeCell ref="D12:E12"/>
    <mergeCell ref="H13:I13"/>
    <mergeCell ref="H15:I15"/>
    <mergeCell ref="B14:C14"/>
    <mergeCell ref="D14:E14"/>
    <mergeCell ref="F14:G14"/>
    <mergeCell ref="B15:C15"/>
    <mergeCell ref="D15:E15"/>
    <mergeCell ref="B16:C16"/>
    <mergeCell ref="F6:G6"/>
    <mergeCell ref="F8:G8"/>
    <mergeCell ref="B7:C7"/>
    <mergeCell ref="B6:C6"/>
    <mergeCell ref="D6:E6"/>
    <mergeCell ref="D7:E7"/>
    <mergeCell ref="F7:G7"/>
    <mergeCell ref="B8:C8"/>
    <mergeCell ref="D8:E8"/>
    <mergeCell ref="K4:K5"/>
    <mergeCell ref="H10:I10"/>
    <mergeCell ref="H7:I7"/>
    <mergeCell ref="H8:I8"/>
    <mergeCell ref="H9:I9"/>
    <mergeCell ref="J4:J5"/>
    <mergeCell ref="H6:I6"/>
    <mergeCell ref="K6:K20"/>
    <mergeCell ref="H20:I20"/>
    <mergeCell ref="H18:I18"/>
    <mergeCell ref="H14:I14"/>
    <mergeCell ref="H19:I19"/>
    <mergeCell ref="H16:I16"/>
    <mergeCell ref="H17:I17"/>
    <mergeCell ref="A1:G2"/>
    <mergeCell ref="C3:H3"/>
    <mergeCell ref="B4:I4"/>
    <mergeCell ref="B5:C5"/>
    <mergeCell ref="D5:E5"/>
    <mergeCell ref="F5:G5"/>
    <mergeCell ref="H5:I5"/>
    <mergeCell ref="D10:E10"/>
    <mergeCell ref="F10:G10"/>
    <mergeCell ref="F12:G12"/>
    <mergeCell ref="B13:C13"/>
    <mergeCell ref="D13:E13"/>
    <mergeCell ref="F13:G13"/>
    <mergeCell ref="B11:C11"/>
    <mergeCell ref="D11:E11"/>
    <mergeCell ref="F11:G11"/>
    <mergeCell ref="B9:C9"/>
    <mergeCell ref="D9:E9"/>
    <mergeCell ref="F9:G9"/>
    <mergeCell ref="H25:I25"/>
    <mergeCell ref="B24:C24"/>
    <mergeCell ref="B25:C25"/>
    <mergeCell ref="D25:E25"/>
    <mergeCell ref="F25:G25"/>
    <mergeCell ref="H24:I24"/>
    <mergeCell ref="B23:C23"/>
    <mergeCell ref="D23:E23"/>
    <mergeCell ref="F23:G23"/>
    <mergeCell ref="H23:I23"/>
    <mergeCell ref="B22:C22"/>
    <mergeCell ref="D22:E22"/>
    <mergeCell ref="B10:C10"/>
  </mergeCells>
  <dataValidations count="1">
    <dataValidation type="decimal" allowBlank="1" showInputMessage="1" showErrorMessage="1" error="Please enter a number between -0 and 99,99,99,99,99,999.99_x000a__x000a__x000a__x000a_" sqref="H24:I24 E6:E22 G6:G22 I6:I22 F6:F22 H6:H22 D6:D22">
      <formula1>0</formula1>
      <formula2>9999999999999.99</formula2>
    </dataValidation>
  </dataValidations>
  <pageMargins left="0.7" right="0.7" top="0.75" bottom="0.75" header="0.3" footer="0.3"/>
  <pageSetup scale="48" orientation="portrait" r:id="rId1"/>
  <drawing r:id="rId2"/>
</worksheet>
</file>

<file path=xl/worksheets/sheet13.xml><?xml version="1.0" encoding="utf-8"?>
<worksheet xmlns="http://schemas.openxmlformats.org/spreadsheetml/2006/main" xmlns:r="http://schemas.openxmlformats.org/officeDocument/2006/relationships">
  <sheetPr codeName="Sheet13"/>
  <dimension ref="A1:K5"/>
  <sheetViews>
    <sheetView showGridLines="0" workbookViewId="0">
      <selection activeCell="G8" sqref="G8"/>
    </sheetView>
  </sheetViews>
  <sheetFormatPr defaultRowHeight="15"/>
  <cols>
    <col min="1" max="1" width="10.140625" customWidth="1"/>
    <col min="2" max="2" width="24.7109375" customWidth="1"/>
    <col min="3" max="3" width="14.5703125" customWidth="1"/>
    <col min="4" max="5" width="23.28515625" customWidth="1"/>
    <col min="6" max="6" width="23.140625" customWidth="1"/>
    <col min="7" max="7" width="19.140625" customWidth="1"/>
    <col min="8" max="8" width="17.5703125" customWidth="1"/>
    <col min="9" max="9" width="21.85546875" customWidth="1"/>
    <col min="10" max="10" width="73.28515625" style="132" customWidth="1"/>
    <col min="11" max="11" width="17.7109375" bestFit="1" customWidth="1"/>
  </cols>
  <sheetData>
    <row r="1" spans="1:11" ht="29.25" customHeight="1">
      <c r="A1" s="480" t="s">
        <v>62</v>
      </c>
      <c r="B1" s="480"/>
      <c r="C1" s="480"/>
      <c r="D1" s="480"/>
      <c r="E1" s="480"/>
      <c r="F1" s="480"/>
      <c r="G1" s="480"/>
      <c r="H1" s="6"/>
      <c r="I1" s="6"/>
    </row>
    <row r="2" spans="1:11" ht="27">
      <c r="A2" s="480"/>
      <c r="B2" s="480"/>
      <c r="C2" s="480"/>
      <c r="D2" s="480"/>
      <c r="E2" s="480"/>
      <c r="F2" s="480"/>
      <c r="G2" s="480"/>
      <c r="H2" s="6"/>
      <c r="I2" s="6"/>
    </row>
    <row r="3" spans="1:11" ht="55.5" customHeight="1" thickBot="1">
      <c r="A3" s="7"/>
      <c r="B3" s="5"/>
      <c r="C3" s="563" t="s">
        <v>638</v>
      </c>
      <c r="D3" s="513"/>
      <c r="E3" s="513"/>
      <c r="F3" s="513"/>
      <c r="G3" s="513"/>
      <c r="H3" s="513"/>
      <c r="I3" s="5"/>
    </row>
    <row r="4" spans="1:11" ht="22.5" customHeight="1">
      <c r="A4" s="10">
        <v>15</v>
      </c>
      <c r="B4" s="534" t="s">
        <v>66</v>
      </c>
      <c r="C4" s="535"/>
      <c r="D4" s="535"/>
      <c r="E4" s="535"/>
      <c r="F4" s="535"/>
      <c r="G4" s="535"/>
      <c r="H4" s="535"/>
      <c r="I4" s="536"/>
      <c r="J4" s="155" t="s">
        <v>162</v>
      </c>
      <c r="K4" s="155" t="s">
        <v>163</v>
      </c>
    </row>
    <row r="5" spans="1:11" ht="58.5" customHeight="1">
      <c r="A5" s="218" t="s">
        <v>6</v>
      </c>
      <c r="B5" s="219" t="s">
        <v>317</v>
      </c>
      <c r="C5" s="621" t="s">
        <v>655</v>
      </c>
      <c r="D5" s="621"/>
      <c r="E5" s="621"/>
      <c r="F5" s="621"/>
      <c r="G5" s="621"/>
      <c r="H5" s="621"/>
      <c r="I5" s="621"/>
      <c r="J5" s="221"/>
      <c r="K5" s="221"/>
    </row>
  </sheetData>
  <sheetProtection password="CB83" sheet="1" objects="1" scenarios="1"/>
  <mergeCells count="4">
    <mergeCell ref="A1:G2"/>
    <mergeCell ref="C3:H3"/>
    <mergeCell ref="B4:I4"/>
    <mergeCell ref="C5:I5"/>
  </mergeCells>
  <pageMargins left="0.7" right="0.7" top="0.75" bottom="0.75" header="0.3" footer="0.3"/>
  <pageSetup scale="50" orientation="portrait" r:id="rId1"/>
  <drawing r:id="rId2"/>
</worksheet>
</file>

<file path=xl/worksheets/sheet14.xml><?xml version="1.0" encoding="utf-8"?>
<worksheet xmlns="http://schemas.openxmlformats.org/spreadsheetml/2006/main" xmlns:r="http://schemas.openxmlformats.org/officeDocument/2006/relationships">
  <sheetPr codeName="Sheet14"/>
  <dimension ref="A1:I11"/>
  <sheetViews>
    <sheetView showGridLines="0" workbookViewId="0">
      <selection activeCell="I17" sqref="I17"/>
    </sheetView>
  </sheetViews>
  <sheetFormatPr defaultRowHeight="15"/>
  <cols>
    <col min="1" max="1" width="10.140625" customWidth="1"/>
    <col min="2" max="2" width="23.28515625" customWidth="1"/>
    <col min="3" max="3" width="14.5703125" customWidth="1"/>
    <col min="4" max="4" width="23.140625" hidden="1" customWidth="1"/>
    <col min="5" max="5" width="19.140625" customWidth="1"/>
    <col min="6" max="6" width="17.5703125" customWidth="1"/>
    <col min="7" max="7" width="19.85546875" customWidth="1"/>
    <col min="8" max="8" width="27" customWidth="1"/>
    <col min="9" max="9" width="23.28515625" customWidth="1"/>
  </cols>
  <sheetData>
    <row r="1" spans="1:9" ht="39" customHeight="1">
      <c r="A1" s="6" t="s">
        <v>62</v>
      </c>
      <c r="B1" s="6"/>
      <c r="C1" s="6"/>
      <c r="D1" s="6"/>
      <c r="E1" s="6"/>
      <c r="F1" s="6"/>
      <c r="G1" s="6"/>
    </row>
    <row r="2" spans="1:9" ht="38.25" customHeight="1">
      <c r="A2" s="6"/>
      <c r="B2" s="6"/>
      <c r="C2" s="6"/>
      <c r="D2" s="6"/>
      <c r="E2" s="6"/>
      <c r="F2" s="6"/>
      <c r="G2" s="6"/>
    </row>
    <row r="3" spans="1:9" ht="57" customHeight="1" thickBot="1">
      <c r="A3" s="626" t="s">
        <v>640</v>
      </c>
      <c r="B3" s="626"/>
      <c r="C3" s="626"/>
      <c r="D3" s="626"/>
      <c r="E3" s="626"/>
      <c r="F3" s="626"/>
      <c r="G3" s="8"/>
    </row>
    <row r="4" spans="1:9" ht="26.25" customHeight="1">
      <c r="A4" s="52">
        <v>16</v>
      </c>
      <c r="B4" s="573" t="s">
        <v>127</v>
      </c>
      <c r="C4" s="573"/>
      <c r="D4" s="573"/>
      <c r="E4" s="573"/>
      <c r="F4" s="573"/>
      <c r="G4" s="574"/>
      <c r="H4" s="504" t="s">
        <v>162</v>
      </c>
      <c r="I4" s="504" t="s">
        <v>163</v>
      </c>
    </row>
    <row r="5" spans="1:9">
      <c r="A5" s="50" t="s">
        <v>143</v>
      </c>
      <c r="B5" s="51" t="s">
        <v>24</v>
      </c>
      <c r="C5" s="611" t="s">
        <v>151</v>
      </c>
      <c r="D5" s="611"/>
      <c r="E5" s="611"/>
      <c r="F5" s="611"/>
      <c r="G5" s="624"/>
      <c r="H5" s="504"/>
      <c r="I5" s="504"/>
    </row>
    <row r="6" spans="1:9" s="167" customFormat="1">
      <c r="A6" s="189" t="s">
        <v>6</v>
      </c>
      <c r="B6" s="190" t="s">
        <v>49</v>
      </c>
      <c r="C6" s="489"/>
      <c r="D6" s="489"/>
      <c r="E6" s="489"/>
      <c r="F6" s="489"/>
      <c r="G6" s="625"/>
      <c r="H6" s="191"/>
      <c r="I6" s="191"/>
    </row>
    <row r="7" spans="1:9" s="167" customFormat="1">
      <c r="A7" s="189" t="s">
        <v>7</v>
      </c>
      <c r="B7" s="190" t="s">
        <v>126</v>
      </c>
      <c r="C7" s="489"/>
      <c r="D7" s="489"/>
      <c r="E7" s="489"/>
      <c r="F7" s="489"/>
      <c r="G7" s="625"/>
      <c r="H7" s="191"/>
      <c r="I7" s="191"/>
    </row>
    <row r="8" spans="1:9" s="167" customFormat="1">
      <c r="A8" s="189" t="s">
        <v>8</v>
      </c>
      <c r="B8" s="190" t="s">
        <v>48</v>
      </c>
      <c r="C8" s="489"/>
      <c r="D8" s="489"/>
      <c r="E8" s="489"/>
      <c r="F8" s="489"/>
      <c r="G8" s="625"/>
      <c r="H8" s="191"/>
      <c r="I8" s="191"/>
    </row>
    <row r="9" spans="1:9" s="167" customFormat="1">
      <c r="A9" s="189" t="s">
        <v>9</v>
      </c>
      <c r="B9" s="190" t="s">
        <v>25</v>
      </c>
      <c r="C9" s="489"/>
      <c r="D9" s="489"/>
      <c r="E9" s="489"/>
      <c r="F9" s="489"/>
      <c r="G9" s="625"/>
      <c r="H9" s="191"/>
      <c r="I9" s="191"/>
    </row>
    <row r="10" spans="1:9" s="167" customFormat="1">
      <c r="A10" s="189" t="s">
        <v>10</v>
      </c>
      <c r="B10" s="190" t="s">
        <v>26</v>
      </c>
      <c r="C10" s="489"/>
      <c r="D10" s="489"/>
      <c r="E10" s="489"/>
      <c r="F10" s="489"/>
      <c r="G10" s="625"/>
      <c r="H10" s="191"/>
      <c r="I10" s="191"/>
    </row>
    <row r="11" spans="1:9" s="167" customFormat="1" ht="15.75" thickBot="1">
      <c r="A11" s="192" t="s">
        <v>11</v>
      </c>
      <c r="B11" s="193" t="s">
        <v>28</v>
      </c>
      <c r="C11" s="622"/>
      <c r="D11" s="622"/>
      <c r="E11" s="622"/>
      <c r="F11" s="622"/>
      <c r="G11" s="623"/>
      <c r="H11" s="191"/>
      <c r="I11" s="191"/>
    </row>
  </sheetData>
  <sheetProtection password="CB83" sheet="1" objects="1" scenarios="1"/>
  <mergeCells count="11">
    <mergeCell ref="H4:H5"/>
    <mergeCell ref="I4:I5"/>
    <mergeCell ref="A3:F3"/>
    <mergeCell ref="C9:G9"/>
    <mergeCell ref="C10:G10"/>
    <mergeCell ref="C11:G11"/>
    <mergeCell ref="B4:G4"/>
    <mergeCell ref="C5:G5"/>
    <mergeCell ref="C6:G6"/>
    <mergeCell ref="C7:G7"/>
    <mergeCell ref="C8:G8"/>
  </mergeCells>
  <dataValidations count="1">
    <dataValidation type="decimal" allowBlank="1" showInputMessage="1" showErrorMessage="1" error="Please enter a number between 0 and 99,99,99,99,99,999.99_x000a__x000a_" sqref="C6:G11">
      <formula1>0</formula1>
      <formula2>9999999999999.99</formula2>
    </dataValidation>
  </dataValidations>
  <pageMargins left="0.7" right="0.7" top="0.75" bottom="0.75" header="0.3" footer="0.3"/>
  <pageSetup scale="50" orientation="portrait" r:id="rId1"/>
  <drawing r:id="rId2"/>
</worksheet>
</file>

<file path=xl/worksheets/sheet15.xml><?xml version="1.0" encoding="utf-8"?>
<worksheet xmlns="http://schemas.openxmlformats.org/spreadsheetml/2006/main" xmlns:r="http://schemas.openxmlformats.org/officeDocument/2006/relationships">
  <sheetPr codeName="Sheet15"/>
  <dimension ref="B1:L48"/>
  <sheetViews>
    <sheetView showGridLines="0" workbookViewId="0">
      <selection activeCell="K9" sqref="K9"/>
    </sheetView>
  </sheetViews>
  <sheetFormatPr defaultRowHeight="15"/>
  <cols>
    <col min="1" max="1" width="1.85546875" customWidth="1"/>
    <col min="2" max="2" width="10.140625" customWidth="1"/>
    <col min="3" max="3" width="24.7109375" customWidth="1"/>
    <col min="4" max="4" width="29.28515625" customWidth="1"/>
    <col min="5" max="5" width="37.140625" customWidth="1"/>
    <col min="6" max="6" width="23.28515625" customWidth="1"/>
    <col min="7" max="7" width="40.85546875" customWidth="1"/>
    <col min="8" max="8" width="19.140625" customWidth="1"/>
    <col min="9" max="9" width="17.5703125" customWidth="1"/>
    <col min="10" max="10" width="21.85546875" customWidth="1"/>
    <col min="11" max="11" width="73" customWidth="1"/>
    <col min="12" max="12" width="23.28515625" customWidth="1"/>
  </cols>
  <sheetData>
    <row r="1" spans="2:12" ht="26.25" customHeight="1">
      <c r="B1" s="480" t="s">
        <v>62</v>
      </c>
      <c r="C1" s="480"/>
      <c r="D1" s="480"/>
      <c r="E1" s="480"/>
      <c r="F1" s="480"/>
      <c r="G1" s="480"/>
      <c r="H1" s="480"/>
      <c r="I1" s="6"/>
      <c r="J1" s="6"/>
    </row>
    <row r="2" spans="2:12" ht="16.5" customHeight="1">
      <c r="B2" s="480"/>
      <c r="C2" s="480"/>
      <c r="D2" s="480"/>
      <c r="E2" s="480"/>
      <c r="F2" s="480"/>
      <c r="G2" s="480"/>
      <c r="H2" s="480"/>
      <c r="I2" s="6"/>
      <c r="J2" s="6"/>
    </row>
    <row r="3" spans="2:12" ht="57" customHeight="1">
      <c r="B3" s="7"/>
      <c r="C3" s="8"/>
      <c r="D3" s="484" t="s">
        <v>641</v>
      </c>
      <c r="E3" s="484"/>
      <c r="F3" s="484"/>
      <c r="G3" s="484"/>
      <c r="H3" s="484"/>
      <c r="I3" s="484"/>
      <c r="J3" s="8"/>
    </row>
    <row r="4" spans="2:12" ht="14.25" customHeight="1">
      <c r="B4" s="559" t="s">
        <v>143</v>
      </c>
      <c r="C4" s="634" t="s">
        <v>24</v>
      </c>
      <c r="D4" s="630" t="s">
        <v>148</v>
      </c>
      <c r="E4" s="631"/>
      <c r="F4" s="640" t="s">
        <v>145</v>
      </c>
      <c r="G4" s="641"/>
      <c r="H4" s="641"/>
      <c r="I4" s="641"/>
      <c r="J4" s="642"/>
      <c r="K4" s="504" t="s">
        <v>162</v>
      </c>
      <c r="L4" s="504" t="s">
        <v>163</v>
      </c>
    </row>
    <row r="5" spans="2:12" ht="15" customHeight="1">
      <c r="B5" s="636"/>
      <c r="C5" s="635"/>
      <c r="D5" s="632"/>
      <c r="E5" s="633"/>
      <c r="F5" s="45" t="s">
        <v>49</v>
      </c>
      <c r="G5" s="46" t="s">
        <v>374</v>
      </c>
      <c r="H5" s="637" t="s">
        <v>375</v>
      </c>
      <c r="I5" s="638"/>
      <c r="J5" s="46" t="s">
        <v>25</v>
      </c>
      <c r="K5" s="504"/>
      <c r="L5" s="504"/>
    </row>
    <row r="6" spans="2:12">
      <c r="B6" s="41" t="s">
        <v>6</v>
      </c>
      <c r="C6" s="84" t="s">
        <v>404</v>
      </c>
      <c r="D6" s="489"/>
      <c r="E6" s="489"/>
      <c r="F6" s="214"/>
      <c r="G6" s="214"/>
      <c r="H6" s="489"/>
      <c r="I6" s="489"/>
      <c r="J6" s="214"/>
      <c r="K6" s="140"/>
      <c r="L6" s="542"/>
    </row>
    <row r="7" spans="2:12">
      <c r="B7" s="41" t="s">
        <v>7</v>
      </c>
      <c r="C7" s="84" t="s">
        <v>403</v>
      </c>
      <c r="D7" s="489"/>
      <c r="E7" s="489"/>
      <c r="F7" s="214"/>
      <c r="G7" s="214"/>
      <c r="H7" s="489"/>
      <c r="I7" s="489"/>
      <c r="J7" s="214"/>
      <c r="K7" s="140"/>
      <c r="L7" s="543"/>
    </row>
    <row r="8" spans="2:12" ht="15" customHeight="1">
      <c r="B8" s="41" t="s">
        <v>8</v>
      </c>
      <c r="C8" s="84" t="s">
        <v>402</v>
      </c>
      <c r="D8" s="489"/>
      <c r="E8" s="489"/>
      <c r="F8" s="214"/>
      <c r="G8" s="214"/>
      <c r="H8" s="489"/>
      <c r="I8" s="489"/>
      <c r="J8" s="214"/>
      <c r="K8" s="140"/>
      <c r="L8" s="543"/>
    </row>
    <row r="9" spans="2:12">
      <c r="B9" s="41" t="s">
        <v>9</v>
      </c>
      <c r="C9" s="84" t="s">
        <v>401</v>
      </c>
      <c r="D9" s="489"/>
      <c r="E9" s="489"/>
      <c r="F9" s="214"/>
      <c r="G9" s="214"/>
      <c r="H9" s="489"/>
      <c r="I9" s="489"/>
      <c r="J9" s="214"/>
      <c r="K9" s="140"/>
      <c r="L9" s="543"/>
    </row>
    <row r="10" spans="2:12">
      <c r="B10" s="41" t="s">
        <v>10</v>
      </c>
      <c r="C10" s="84" t="s">
        <v>400</v>
      </c>
      <c r="D10" s="489"/>
      <c r="E10" s="489"/>
      <c r="F10" s="214"/>
      <c r="G10" s="214"/>
      <c r="H10" s="489"/>
      <c r="I10" s="489"/>
      <c r="J10" s="214"/>
      <c r="K10" s="140"/>
      <c r="L10" s="543"/>
    </row>
    <row r="11" spans="2:12">
      <c r="B11" s="41" t="s">
        <v>11</v>
      </c>
      <c r="C11" s="84" t="s">
        <v>398</v>
      </c>
      <c r="D11" s="489"/>
      <c r="E11" s="489"/>
      <c r="F11" s="214"/>
      <c r="G11" s="214"/>
      <c r="H11" s="489"/>
      <c r="I11" s="489"/>
      <c r="J11" s="214"/>
      <c r="K11" s="140"/>
      <c r="L11" s="543"/>
    </row>
    <row r="12" spans="2:12">
      <c r="B12" s="41" t="s">
        <v>12</v>
      </c>
      <c r="C12" s="84" t="s">
        <v>399</v>
      </c>
      <c r="D12" s="489"/>
      <c r="E12" s="489"/>
      <c r="F12" s="214"/>
      <c r="G12" s="214"/>
      <c r="H12" s="489"/>
      <c r="I12" s="489"/>
      <c r="J12" s="214"/>
      <c r="K12" s="140"/>
      <c r="L12" s="544"/>
    </row>
    <row r="13" spans="2:12">
      <c r="B13" s="41" t="s">
        <v>14</v>
      </c>
      <c r="C13" s="40" t="s">
        <v>382</v>
      </c>
      <c r="D13" s="491"/>
      <c r="E13" s="570"/>
      <c r="F13" s="214"/>
      <c r="G13" s="214"/>
      <c r="H13" s="491"/>
      <c r="I13" s="570"/>
      <c r="J13" s="214"/>
      <c r="K13" s="140"/>
      <c r="L13" s="140"/>
    </row>
    <row r="14" spans="2:12" ht="15" customHeight="1">
      <c r="B14" s="41" t="s">
        <v>16</v>
      </c>
      <c r="C14" s="9" t="s">
        <v>383</v>
      </c>
      <c r="D14" s="489"/>
      <c r="E14" s="489"/>
      <c r="F14" s="214"/>
      <c r="G14" s="214"/>
      <c r="H14" s="491"/>
      <c r="I14" s="570"/>
      <c r="J14" s="214"/>
      <c r="K14" s="140"/>
      <c r="L14" s="140"/>
    </row>
    <row r="15" spans="2:12">
      <c r="B15" s="41" t="s">
        <v>17</v>
      </c>
      <c r="C15" s="9" t="s">
        <v>388</v>
      </c>
      <c r="D15" s="489"/>
      <c r="E15" s="489"/>
      <c r="F15" s="214"/>
      <c r="G15" s="214"/>
      <c r="H15" s="491"/>
      <c r="I15" s="570"/>
      <c r="J15" s="214"/>
      <c r="K15" s="140"/>
      <c r="L15" s="140"/>
    </row>
    <row r="16" spans="2:12">
      <c r="B16" s="41" t="s">
        <v>18</v>
      </c>
      <c r="C16" s="9" t="s">
        <v>384</v>
      </c>
      <c r="D16" s="489"/>
      <c r="E16" s="489"/>
      <c r="F16" s="214"/>
      <c r="G16" s="214"/>
      <c r="H16" s="491"/>
      <c r="I16" s="570"/>
      <c r="J16" s="214"/>
      <c r="K16" s="140"/>
      <c r="L16" s="140"/>
    </row>
    <row r="17" spans="2:12" ht="38.25">
      <c r="B17" s="41" t="s">
        <v>20</v>
      </c>
      <c r="C17" s="49" t="s">
        <v>385</v>
      </c>
      <c r="D17" s="489"/>
      <c r="E17" s="489"/>
      <c r="F17" s="214"/>
      <c r="G17" s="214"/>
      <c r="H17" s="489"/>
      <c r="I17" s="489"/>
      <c r="J17" s="214"/>
      <c r="K17" s="140"/>
      <c r="L17" s="140"/>
    </row>
    <row r="18" spans="2:12" ht="25.5">
      <c r="B18" s="41" t="s">
        <v>21</v>
      </c>
      <c r="C18" s="9" t="s">
        <v>386</v>
      </c>
      <c r="D18" s="489"/>
      <c r="E18" s="489"/>
      <c r="F18" s="214"/>
      <c r="G18" s="214"/>
      <c r="H18" s="489"/>
      <c r="I18" s="489"/>
      <c r="J18" s="214"/>
      <c r="K18" s="140"/>
      <c r="L18" s="140"/>
    </row>
    <row r="19" spans="2:12" ht="39" customHeight="1">
      <c r="B19" s="41" t="s">
        <v>22</v>
      </c>
      <c r="C19" s="9" t="s">
        <v>387</v>
      </c>
      <c r="D19" s="489"/>
      <c r="E19" s="489"/>
      <c r="F19" s="214"/>
      <c r="G19" s="214"/>
      <c r="H19" s="489"/>
      <c r="I19" s="489"/>
      <c r="J19" s="214"/>
      <c r="K19" s="140"/>
      <c r="L19" s="140"/>
    </row>
    <row r="20" spans="2:12" ht="18.75" customHeight="1">
      <c r="B20" s="41" t="s">
        <v>29</v>
      </c>
      <c r="C20" s="69" t="s">
        <v>415</v>
      </c>
      <c r="D20" s="489"/>
      <c r="E20" s="489"/>
      <c r="F20" s="214"/>
      <c r="G20" s="214"/>
      <c r="H20" s="491"/>
      <c r="I20" s="570"/>
      <c r="J20" s="164"/>
      <c r="K20" s="141"/>
      <c r="L20" s="141"/>
    </row>
    <row r="21" spans="2:12">
      <c r="K21" s="141"/>
      <c r="L21" s="141"/>
    </row>
    <row r="22" spans="2:12">
      <c r="K22" s="141"/>
      <c r="L22" s="141"/>
    </row>
    <row r="23" spans="2:12">
      <c r="B23" s="629" t="s">
        <v>130</v>
      </c>
      <c r="C23" s="629"/>
      <c r="D23" s="629"/>
      <c r="E23" s="629"/>
      <c r="F23" s="629"/>
      <c r="G23" s="629"/>
      <c r="H23" s="629"/>
      <c r="I23" s="629"/>
      <c r="J23" s="629"/>
      <c r="K23" s="141"/>
      <c r="L23" s="141"/>
    </row>
    <row r="24" spans="2:12">
      <c r="K24" s="141"/>
      <c r="L24" s="141"/>
    </row>
    <row r="25" spans="2:12">
      <c r="B25" t="s">
        <v>328</v>
      </c>
      <c r="E25" s="627" t="s">
        <v>656</v>
      </c>
      <c r="F25" s="628"/>
      <c r="K25" s="142"/>
      <c r="L25" s="142"/>
    </row>
    <row r="26" spans="2:12">
      <c r="B26" t="s">
        <v>329</v>
      </c>
      <c r="E26" s="627" t="s">
        <v>657</v>
      </c>
      <c r="F26" s="628"/>
      <c r="K26" s="142"/>
      <c r="L26" s="142"/>
    </row>
    <row r="27" spans="2:12">
      <c r="B27" t="s">
        <v>330</v>
      </c>
      <c r="E27" s="627" t="s">
        <v>658</v>
      </c>
      <c r="F27" s="628"/>
      <c r="K27" s="142"/>
      <c r="L27" s="142"/>
    </row>
    <row r="28" spans="2:12">
      <c r="B28" t="s">
        <v>331</v>
      </c>
      <c r="E28" s="627" t="s">
        <v>659</v>
      </c>
      <c r="F28" s="628"/>
      <c r="K28" s="142"/>
      <c r="L28" s="142"/>
    </row>
    <row r="29" spans="2:12">
      <c r="B29" t="s">
        <v>332</v>
      </c>
      <c r="D29" s="120" t="s">
        <v>333</v>
      </c>
      <c r="E29" s="165" t="s">
        <v>663</v>
      </c>
      <c r="F29" s="120" t="s">
        <v>158</v>
      </c>
      <c r="G29" s="165" t="s">
        <v>660</v>
      </c>
      <c r="K29" s="142"/>
      <c r="L29" s="142"/>
    </row>
    <row r="30" spans="2:12">
      <c r="D30" s="120" t="s">
        <v>161</v>
      </c>
      <c r="E30" s="165" t="s">
        <v>655</v>
      </c>
      <c r="F30" s="120" t="s">
        <v>334</v>
      </c>
      <c r="G30" s="165" t="s">
        <v>661</v>
      </c>
      <c r="K30" s="142"/>
      <c r="L30" s="142"/>
    </row>
    <row r="31" spans="2:12">
      <c r="D31" s="120" t="s">
        <v>335</v>
      </c>
      <c r="E31" s="165" t="s">
        <v>656</v>
      </c>
      <c r="F31" s="120" t="s">
        <v>336</v>
      </c>
      <c r="G31" s="165" t="s">
        <v>656</v>
      </c>
      <c r="K31" s="142"/>
      <c r="L31" s="142"/>
    </row>
    <row r="32" spans="2:12">
      <c r="D32" s="120" t="s">
        <v>337</v>
      </c>
      <c r="E32" s="166" t="s">
        <v>662</v>
      </c>
      <c r="F32" s="120" t="s">
        <v>338</v>
      </c>
      <c r="G32" s="168">
        <v>121001</v>
      </c>
      <c r="K32" s="143"/>
      <c r="L32" s="143"/>
    </row>
    <row r="33" spans="2:12">
      <c r="E33" s="167"/>
      <c r="K33" s="143"/>
      <c r="L33" s="143"/>
    </row>
    <row r="34" spans="2:12">
      <c r="B34" s="639" t="s">
        <v>359</v>
      </c>
      <c r="C34" s="639"/>
      <c r="E34" s="627" t="s">
        <v>675</v>
      </c>
      <c r="F34" s="628"/>
      <c r="K34" s="143"/>
      <c r="L34" s="143"/>
    </row>
    <row r="35" spans="2:12">
      <c r="E35" s="167"/>
      <c r="K35" s="132"/>
      <c r="L35" s="132"/>
    </row>
    <row r="36" spans="2:12">
      <c r="K36" s="132"/>
      <c r="L36" s="132"/>
    </row>
    <row r="37" spans="2:12">
      <c r="K37" s="132"/>
      <c r="L37" s="132"/>
    </row>
    <row r="38" spans="2:12">
      <c r="K38" s="132"/>
      <c r="L38" s="132"/>
    </row>
    <row r="39" spans="2:12">
      <c r="K39" s="132"/>
      <c r="L39" s="132"/>
    </row>
    <row r="40" spans="2:12">
      <c r="K40" s="132"/>
      <c r="L40" s="132"/>
    </row>
    <row r="41" spans="2:12">
      <c r="K41" s="132"/>
      <c r="L41" s="132"/>
    </row>
    <row r="42" spans="2:12">
      <c r="K42" s="132"/>
      <c r="L42" s="132"/>
    </row>
    <row r="43" spans="2:12">
      <c r="K43" s="132"/>
      <c r="L43" s="132"/>
    </row>
    <row r="44" spans="2:12">
      <c r="L44" s="132"/>
    </row>
    <row r="45" spans="2:12">
      <c r="L45" s="132"/>
    </row>
    <row r="46" spans="2:12">
      <c r="L46" s="132"/>
    </row>
    <row r="47" spans="2:12">
      <c r="L47" s="132"/>
    </row>
    <row r="48" spans="2:12">
      <c r="L48" s="132"/>
    </row>
  </sheetData>
  <sheetProtection password="CB83" sheet="1" objects="1" scenarios="1"/>
  <mergeCells count="47">
    <mergeCell ref="B34:C34"/>
    <mergeCell ref="E34:F34"/>
    <mergeCell ref="K4:K5"/>
    <mergeCell ref="L4:L5"/>
    <mergeCell ref="D3:I3"/>
    <mergeCell ref="H17:I17"/>
    <mergeCell ref="D18:E18"/>
    <mergeCell ref="D12:E12"/>
    <mergeCell ref="H12:I12"/>
    <mergeCell ref="H18:I18"/>
    <mergeCell ref="H8:I8"/>
    <mergeCell ref="D9:E9"/>
    <mergeCell ref="D17:E17"/>
    <mergeCell ref="F4:J4"/>
    <mergeCell ref="H11:I11"/>
    <mergeCell ref="D7:E7"/>
    <mergeCell ref="H14:I14"/>
    <mergeCell ref="H7:I7"/>
    <mergeCell ref="D8:E8"/>
    <mergeCell ref="H5:I5"/>
    <mergeCell ref="D6:E6"/>
    <mergeCell ref="H6:I6"/>
    <mergeCell ref="H13:I13"/>
    <mergeCell ref="B1:H2"/>
    <mergeCell ref="D4:E5"/>
    <mergeCell ref="C4:C5"/>
    <mergeCell ref="B4:B5"/>
    <mergeCell ref="D11:E11"/>
    <mergeCell ref="H9:I9"/>
    <mergeCell ref="D10:E10"/>
    <mergeCell ref="H10:I10"/>
    <mergeCell ref="L6:L12"/>
    <mergeCell ref="E28:F28"/>
    <mergeCell ref="D13:E13"/>
    <mergeCell ref="D20:E20"/>
    <mergeCell ref="D16:E16"/>
    <mergeCell ref="D15:E15"/>
    <mergeCell ref="D14:E14"/>
    <mergeCell ref="D19:E19"/>
    <mergeCell ref="B23:J23"/>
    <mergeCell ref="E25:F25"/>
    <mergeCell ref="E26:F26"/>
    <mergeCell ref="E27:F27"/>
    <mergeCell ref="H15:I15"/>
    <mergeCell ref="H16:I16"/>
    <mergeCell ref="H20:I20"/>
    <mergeCell ref="H19:I19"/>
  </mergeCells>
  <dataValidations count="2">
    <dataValidation type="decimal" allowBlank="1" showInputMessage="1" showErrorMessage="1" error="Please enter a number between 0 and 99,99,99,99,99,999.99_x000a__x000a_" sqref="D6:J20">
      <formula1>0</formula1>
      <formula2>9999999999999.99</formula2>
    </dataValidation>
    <dataValidation type="custom" allowBlank="1" showInputMessage="1" showErrorMessage="1" errorTitle="Preceding zeroes not allowed." error="Please remove any preceding zeroes from Membership No and then then enter value." sqref="E27:F27">
      <formula1>NOT(LEFT(E27,1)="0")</formula1>
    </dataValidation>
  </dataValidations>
  <pageMargins left="0.7" right="0.7" top="0.75" bottom="0.75" header="0.3" footer="0.3"/>
  <pageSetup scale="5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'State dropdown'!$A$1:$A$37</xm:f>
          </x14:formula1>
          <xm:sqref>E32</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16"/>
  <dimension ref="A1:L78"/>
  <sheetViews>
    <sheetView showGridLines="0" topLeftCell="A64" workbookViewId="0">
      <selection activeCell="E69" sqref="E69"/>
    </sheetView>
  </sheetViews>
  <sheetFormatPr defaultColWidth="9.140625" defaultRowHeight="15"/>
  <cols>
    <col min="1" max="1" width="6.5703125" customWidth="1"/>
    <col min="2" max="2" width="4.7109375" customWidth="1"/>
    <col min="3" max="3" width="29" customWidth="1"/>
    <col min="4" max="4" width="30.7109375" customWidth="1"/>
    <col min="5" max="5" width="36.5703125" customWidth="1"/>
    <col min="6" max="6" width="29.85546875" customWidth="1"/>
    <col min="7" max="7" width="50" customWidth="1"/>
    <col min="8" max="8" width="22.42578125" customWidth="1"/>
    <col min="9" max="9" width="24.5703125" customWidth="1"/>
    <col min="10" max="10" width="9.140625" customWidth="1"/>
    <col min="11" max="11" width="74.7109375" style="132" customWidth="1"/>
    <col min="12" max="12" width="28.7109375" customWidth="1"/>
  </cols>
  <sheetData>
    <row r="1" spans="1:12" ht="26.25" customHeight="1">
      <c r="A1" s="152" t="s">
        <v>62</v>
      </c>
      <c r="B1" s="152"/>
      <c r="C1" s="152"/>
      <c r="D1" s="152"/>
      <c r="E1" s="152"/>
      <c r="F1" s="152"/>
      <c r="G1" s="152"/>
      <c r="H1" s="6"/>
      <c r="I1" s="6"/>
      <c r="J1" s="6"/>
    </row>
    <row r="2" spans="1:12" ht="16.5" customHeight="1" thickBot="1">
      <c r="A2" s="153"/>
      <c r="B2" s="153"/>
      <c r="C2" s="153"/>
      <c r="D2" s="153"/>
      <c r="E2" s="153"/>
      <c r="F2" s="153"/>
      <c r="G2" s="153"/>
      <c r="H2" s="6"/>
      <c r="I2" s="6"/>
      <c r="J2" s="6"/>
    </row>
    <row r="3" spans="1:12" ht="57" customHeight="1" thickBot="1">
      <c r="A3" s="34"/>
      <c r="B3" s="35"/>
      <c r="C3" s="643" t="s">
        <v>643</v>
      </c>
      <c r="D3" s="643"/>
      <c r="E3" s="643"/>
      <c r="F3" s="643"/>
      <c r="G3" s="644"/>
      <c r="H3" s="643"/>
      <c r="I3" s="35"/>
      <c r="J3" s="36"/>
    </row>
    <row r="4" spans="1:12" ht="25.5" customHeight="1">
      <c r="A4" s="19"/>
      <c r="B4" s="33"/>
      <c r="C4" s="20"/>
      <c r="D4" s="20"/>
      <c r="E4" s="20"/>
      <c r="F4" s="20"/>
      <c r="G4" s="20"/>
      <c r="H4" s="20"/>
      <c r="I4" s="20"/>
      <c r="J4" s="20"/>
      <c r="K4" s="155" t="s">
        <v>162</v>
      </c>
      <c r="L4" s="155" t="s">
        <v>163</v>
      </c>
    </row>
    <row r="5" spans="1:12">
      <c r="A5" s="37">
        <v>1</v>
      </c>
      <c r="B5" s="194" t="s">
        <v>16</v>
      </c>
      <c r="C5" s="172" t="s">
        <v>82</v>
      </c>
      <c r="D5" s="167"/>
      <c r="E5" s="167"/>
      <c r="F5" s="167"/>
      <c r="G5" s="167"/>
      <c r="H5" s="167"/>
      <c r="I5" s="167"/>
      <c r="J5" s="170"/>
      <c r="K5" s="135"/>
      <c r="L5" s="645"/>
    </row>
    <row r="6" spans="1:12">
      <c r="A6" s="31"/>
      <c r="B6" s="172"/>
      <c r="C6" s="167"/>
      <c r="D6" s="167"/>
      <c r="E6" s="167"/>
      <c r="F6" s="167"/>
      <c r="G6" s="167"/>
      <c r="H6" s="167"/>
      <c r="I6" s="167"/>
      <c r="J6" s="170"/>
      <c r="K6" s="151"/>
      <c r="L6" s="646"/>
    </row>
    <row r="7" spans="1:12">
      <c r="A7" s="31"/>
      <c r="B7" s="167"/>
      <c r="C7" s="172" t="s">
        <v>339</v>
      </c>
      <c r="D7" s="195" t="s">
        <v>644</v>
      </c>
      <c r="E7" s="167"/>
      <c r="F7" s="167"/>
      <c r="G7" s="167"/>
      <c r="H7" s="167"/>
      <c r="I7" s="167"/>
      <c r="J7" s="170"/>
      <c r="K7" s="151"/>
      <c r="L7" s="646"/>
    </row>
    <row r="8" spans="1:12">
      <c r="A8" s="31"/>
      <c r="B8" s="172"/>
      <c r="C8" s="167"/>
      <c r="D8" s="176"/>
      <c r="E8" s="167"/>
      <c r="F8" s="167"/>
      <c r="G8" s="167"/>
      <c r="H8" s="167"/>
      <c r="I8" s="167"/>
      <c r="J8" s="170"/>
      <c r="K8" s="151"/>
      <c r="L8" s="646"/>
    </row>
    <row r="9" spans="1:12">
      <c r="A9" s="31"/>
      <c r="B9" s="167"/>
      <c r="C9" s="172" t="s">
        <v>340</v>
      </c>
      <c r="D9" s="196" t="s">
        <v>572</v>
      </c>
      <c r="E9" s="167"/>
      <c r="F9" s="167"/>
      <c r="G9" s="167"/>
      <c r="H9" s="167"/>
      <c r="I9" s="167"/>
      <c r="J9" s="170"/>
      <c r="K9" s="151"/>
      <c r="L9" s="646"/>
    </row>
    <row r="10" spans="1:12">
      <c r="A10" s="31"/>
      <c r="B10" s="167"/>
      <c r="C10" s="172" t="s">
        <v>341</v>
      </c>
      <c r="D10" s="195" t="s">
        <v>644</v>
      </c>
      <c r="E10" s="167"/>
      <c r="F10" s="167"/>
      <c r="G10" s="167"/>
      <c r="H10" s="167"/>
      <c r="I10" s="167"/>
      <c r="J10" s="170"/>
      <c r="K10" s="151"/>
      <c r="L10" s="646"/>
    </row>
    <row r="11" spans="1:12">
      <c r="A11" s="31"/>
      <c r="B11" s="167"/>
      <c r="C11" s="172" t="s">
        <v>342</v>
      </c>
      <c r="D11" s="195" t="s">
        <v>644</v>
      </c>
      <c r="E11" s="167"/>
      <c r="F11" s="167"/>
      <c r="G11" s="167"/>
      <c r="H11" s="167"/>
      <c r="I11" s="167"/>
      <c r="J11" s="170"/>
      <c r="K11" s="151"/>
      <c r="L11" s="646"/>
    </row>
    <row r="12" spans="1:12">
      <c r="A12" s="31"/>
      <c r="B12" s="167"/>
      <c r="C12" s="172"/>
      <c r="D12" s="167"/>
      <c r="E12" s="167"/>
      <c r="F12" s="167"/>
      <c r="G12" s="167"/>
      <c r="H12" s="167"/>
      <c r="I12" s="167"/>
      <c r="J12" s="170"/>
      <c r="K12" s="151"/>
      <c r="L12" s="646"/>
    </row>
    <row r="13" spans="1:12">
      <c r="A13" s="31"/>
      <c r="B13" s="167"/>
      <c r="C13" s="172" t="s">
        <v>72</v>
      </c>
      <c r="D13" s="167"/>
      <c r="E13" s="167"/>
      <c r="F13" s="167"/>
      <c r="G13" s="167"/>
      <c r="H13" s="167"/>
      <c r="I13" s="167"/>
      <c r="J13" s="170"/>
      <c r="K13" s="151"/>
      <c r="L13" s="646"/>
    </row>
    <row r="14" spans="1:12">
      <c r="A14" s="31"/>
      <c r="B14" s="167"/>
      <c r="C14" s="172" t="s">
        <v>343</v>
      </c>
      <c r="D14" s="195" t="s">
        <v>644</v>
      </c>
      <c r="E14" s="176"/>
      <c r="F14" s="176"/>
      <c r="G14" s="167"/>
      <c r="H14" s="167"/>
      <c r="I14" s="167"/>
      <c r="J14" s="170"/>
      <c r="K14" s="151"/>
      <c r="L14" s="646"/>
    </row>
    <row r="15" spans="1:12">
      <c r="A15" s="31"/>
      <c r="B15" s="167"/>
      <c r="C15" s="172" t="s">
        <v>344</v>
      </c>
      <c r="D15" s="195" t="s">
        <v>644</v>
      </c>
      <c r="E15" s="176"/>
      <c r="F15" s="176"/>
      <c r="G15" s="167"/>
      <c r="H15" s="167"/>
      <c r="I15" s="167"/>
      <c r="J15" s="170"/>
      <c r="K15" s="151"/>
      <c r="L15" s="646"/>
    </row>
    <row r="16" spans="1:12">
      <c r="A16" s="31"/>
      <c r="B16" s="172"/>
      <c r="C16" s="167"/>
      <c r="D16" s="176"/>
      <c r="E16" s="176"/>
      <c r="F16" s="176"/>
      <c r="G16" s="167"/>
      <c r="H16" s="167"/>
      <c r="I16" s="167"/>
      <c r="J16" s="170"/>
      <c r="K16" s="151"/>
      <c r="L16" s="646"/>
    </row>
    <row r="17" spans="1:12">
      <c r="A17" s="31"/>
      <c r="B17" s="172" t="s">
        <v>73</v>
      </c>
      <c r="C17" s="167"/>
      <c r="D17" s="176"/>
      <c r="E17" s="176"/>
      <c r="F17" s="176"/>
      <c r="G17" s="167"/>
      <c r="H17" s="167"/>
      <c r="I17" s="167"/>
      <c r="J17" s="170"/>
      <c r="K17" s="151"/>
      <c r="L17" s="646"/>
    </row>
    <row r="18" spans="1:12">
      <c r="A18" s="31"/>
      <c r="B18" s="171"/>
      <c r="C18" s="167"/>
      <c r="D18" s="176"/>
      <c r="E18" s="176"/>
      <c r="F18" s="176"/>
      <c r="G18" s="167"/>
      <c r="H18" s="167"/>
      <c r="I18" s="167"/>
      <c r="J18" s="170"/>
      <c r="K18" s="151"/>
      <c r="L18" s="646"/>
    </row>
    <row r="19" spans="1:12">
      <c r="A19" s="31"/>
      <c r="B19" s="167"/>
      <c r="C19" s="172" t="s">
        <v>345</v>
      </c>
      <c r="D19" s="197" t="s">
        <v>83</v>
      </c>
      <c r="E19" s="198"/>
      <c r="F19" s="175"/>
      <c r="G19" s="167"/>
      <c r="H19" s="167"/>
      <c r="I19" s="167"/>
      <c r="J19" s="170"/>
      <c r="K19" s="151"/>
      <c r="L19" s="646"/>
    </row>
    <row r="20" spans="1:12">
      <c r="A20" s="31"/>
      <c r="B20" s="171"/>
      <c r="C20" s="167"/>
      <c r="D20" s="176"/>
      <c r="E20" s="176"/>
      <c r="F20" s="176"/>
      <c r="G20" s="167"/>
      <c r="H20" s="167"/>
      <c r="I20" s="167"/>
      <c r="J20" s="170"/>
      <c r="K20" s="151"/>
      <c r="L20" s="646"/>
    </row>
    <row r="21" spans="1:12">
      <c r="A21" s="31"/>
      <c r="B21" s="172"/>
      <c r="C21" s="167" t="s">
        <v>346</v>
      </c>
      <c r="D21" s="199" t="s">
        <v>443</v>
      </c>
      <c r="E21" s="198"/>
      <c r="F21" s="199" t="s">
        <v>158</v>
      </c>
      <c r="G21" s="198"/>
      <c r="H21" s="167"/>
      <c r="I21" s="167"/>
      <c r="J21" s="170"/>
      <c r="K21" s="151"/>
      <c r="L21" s="646"/>
    </row>
    <row r="22" spans="1:12">
      <c r="A22" s="31"/>
      <c r="B22" s="172"/>
      <c r="C22" s="167"/>
      <c r="D22" s="199" t="s">
        <v>159</v>
      </c>
      <c r="E22" s="198"/>
      <c r="F22" s="199" t="s">
        <v>334</v>
      </c>
      <c r="G22" s="198"/>
      <c r="H22" s="167"/>
      <c r="I22" s="167"/>
      <c r="J22" s="170"/>
      <c r="K22" s="151"/>
      <c r="L22" s="646"/>
    </row>
    <row r="23" spans="1:12">
      <c r="A23" s="31"/>
      <c r="B23" s="172"/>
      <c r="C23" s="167"/>
      <c r="D23" s="199" t="s">
        <v>335</v>
      </c>
      <c r="E23" s="198"/>
      <c r="F23" s="199" t="s">
        <v>336</v>
      </c>
      <c r="G23" s="198"/>
      <c r="H23" s="167"/>
      <c r="I23" s="167"/>
      <c r="J23" s="170"/>
      <c r="K23" s="151"/>
      <c r="L23" s="646"/>
    </row>
    <row r="24" spans="1:12">
      <c r="A24" s="31"/>
      <c r="B24" s="171"/>
      <c r="C24" s="167"/>
      <c r="D24" s="199" t="s">
        <v>337</v>
      </c>
      <c r="E24" s="200"/>
      <c r="F24" s="199" t="s">
        <v>338</v>
      </c>
      <c r="G24" s="201"/>
      <c r="H24" s="167"/>
      <c r="I24" s="167"/>
      <c r="J24" s="170"/>
      <c r="K24" s="151"/>
      <c r="L24" s="646"/>
    </row>
    <row r="25" spans="1:12">
      <c r="A25" s="31"/>
      <c r="B25" s="171"/>
      <c r="C25" s="167"/>
      <c r="D25" s="176"/>
      <c r="E25" s="176"/>
      <c r="F25" s="176"/>
      <c r="G25" s="167"/>
      <c r="H25" s="167"/>
      <c r="I25" s="167"/>
      <c r="J25" s="170"/>
      <c r="K25" s="151"/>
      <c r="L25" s="646"/>
    </row>
    <row r="26" spans="1:12">
      <c r="A26" s="31"/>
      <c r="B26" s="171"/>
      <c r="C26" s="167"/>
      <c r="D26" s="167"/>
      <c r="E26" s="167"/>
      <c r="F26" s="167"/>
      <c r="G26" s="167"/>
      <c r="H26" s="167"/>
      <c r="I26" s="167"/>
      <c r="J26" s="170"/>
      <c r="K26" s="151"/>
      <c r="L26" s="646"/>
    </row>
    <row r="27" spans="1:12">
      <c r="A27" s="31"/>
      <c r="B27" s="172"/>
      <c r="C27" s="167" t="s">
        <v>360</v>
      </c>
      <c r="D27" s="648"/>
      <c r="E27" s="649"/>
      <c r="F27" s="650"/>
      <c r="G27" s="167"/>
      <c r="H27" s="167"/>
      <c r="I27" s="167"/>
      <c r="J27" s="170"/>
      <c r="K27" s="151"/>
      <c r="L27" s="646"/>
    </row>
    <row r="28" spans="1:12">
      <c r="A28" s="31"/>
      <c r="B28" s="171"/>
      <c r="C28" s="167"/>
      <c r="D28" s="176"/>
      <c r="E28" s="176"/>
      <c r="F28" s="176"/>
      <c r="G28" s="167"/>
      <c r="H28" s="167"/>
      <c r="I28" s="167"/>
      <c r="J28" s="170"/>
      <c r="K28" s="151"/>
      <c r="L28" s="646"/>
    </row>
    <row r="29" spans="1:12">
      <c r="A29" s="31"/>
      <c r="B29" s="172"/>
      <c r="C29" s="172" t="s">
        <v>347</v>
      </c>
      <c r="D29" s="202" t="s">
        <v>348</v>
      </c>
      <c r="E29" s="198"/>
      <c r="F29" s="202" t="s">
        <v>158</v>
      </c>
      <c r="G29" s="198"/>
      <c r="H29" s="167"/>
      <c r="I29" s="167"/>
      <c r="J29" s="170"/>
      <c r="K29" s="151"/>
      <c r="L29" s="646"/>
    </row>
    <row r="30" spans="1:12">
      <c r="A30" s="31"/>
      <c r="B30" s="172"/>
      <c r="C30" s="172"/>
      <c r="D30" s="202" t="s">
        <v>161</v>
      </c>
      <c r="E30" s="198"/>
      <c r="F30" s="202" t="s">
        <v>334</v>
      </c>
      <c r="G30" s="198"/>
      <c r="H30" s="167"/>
      <c r="I30" s="167"/>
      <c r="J30" s="170"/>
      <c r="K30" s="151"/>
      <c r="L30" s="646"/>
    </row>
    <row r="31" spans="1:12">
      <c r="A31" s="31"/>
      <c r="B31" s="172"/>
      <c r="C31" s="172"/>
      <c r="D31" s="202" t="s">
        <v>335</v>
      </c>
      <c r="E31" s="198"/>
      <c r="F31" s="202" t="s">
        <v>336</v>
      </c>
      <c r="G31" s="198"/>
      <c r="H31" s="167"/>
      <c r="I31" s="167"/>
      <c r="J31" s="170"/>
      <c r="K31" s="151"/>
      <c r="L31" s="646"/>
    </row>
    <row r="32" spans="1:12">
      <c r="A32" s="31"/>
      <c r="B32" s="172"/>
      <c r="C32" s="167"/>
      <c r="D32" s="202" t="s">
        <v>337</v>
      </c>
      <c r="E32" s="200"/>
      <c r="F32" s="202" t="s">
        <v>338</v>
      </c>
      <c r="G32" s="201"/>
      <c r="H32" s="167"/>
      <c r="I32" s="167"/>
      <c r="J32" s="170"/>
      <c r="K32" s="151"/>
      <c r="L32" s="646"/>
    </row>
    <row r="33" spans="1:12">
      <c r="A33" s="31"/>
      <c r="B33" s="172"/>
      <c r="C33" s="167"/>
      <c r="D33" s="176"/>
      <c r="E33" s="176"/>
      <c r="F33" s="176"/>
      <c r="G33" s="167"/>
      <c r="H33" s="167"/>
      <c r="I33" s="167"/>
      <c r="J33" s="170"/>
      <c r="K33" s="151"/>
      <c r="L33" s="646"/>
    </row>
    <row r="34" spans="1:12">
      <c r="A34" s="31"/>
      <c r="B34" s="203"/>
      <c r="C34" s="167" t="s">
        <v>84</v>
      </c>
      <c r="D34" s="202" t="s">
        <v>348</v>
      </c>
      <c r="E34" s="198"/>
      <c r="F34" s="202" t="s">
        <v>158</v>
      </c>
      <c r="G34" s="198"/>
      <c r="H34" s="167"/>
      <c r="I34" s="167"/>
      <c r="J34" s="170"/>
      <c r="K34" s="151"/>
      <c r="L34" s="646"/>
    </row>
    <row r="35" spans="1:12">
      <c r="A35" s="31"/>
      <c r="B35" s="203"/>
      <c r="C35" s="167"/>
      <c r="D35" s="202" t="s">
        <v>161</v>
      </c>
      <c r="E35" s="198"/>
      <c r="F35" s="202" t="s">
        <v>334</v>
      </c>
      <c r="G35" s="198"/>
      <c r="H35" s="167"/>
      <c r="I35" s="167"/>
      <c r="J35" s="170"/>
      <c r="K35" s="151"/>
      <c r="L35" s="646"/>
    </row>
    <row r="36" spans="1:12">
      <c r="A36" s="31"/>
      <c r="B36" s="203"/>
      <c r="C36" s="167"/>
      <c r="D36" s="202" t="s">
        <v>335</v>
      </c>
      <c r="E36" s="198"/>
      <c r="F36" s="202" t="s">
        <v>336</v>
      </c>
      <c r="G36" s="198"/>
      <c r="H36" s="167"/>
      <c r="I36" s="167"/>
      <c r="J36" s="170"/>
      <c r="K36" s="151"/>
      <c r="L36" s="646"/>
    </row>
    <row r="37" spans="1:12">
      <c r="A37" s="31"/>
      <c r="B37" s="167"/>
      <c r="C37" s="167"/>
      <c r="D37" s="202" t="s">
        <v>337</v>
      </c>
      <c r="E37" s="200"/>
      <c r="F37" s="202" t="s">
        <v>338</v>
      </c>
      <c r="G37" s="201"/>
      <c r="H37" s="167"/>
      <c r="I37" s="167"/>
      <c r="J37" s="170"/>
      <c r="K37" s="151"/>
      <c r="L37" s="646"/>
    </row>
    <row r="38" spans="1:12">
      <c r="A38" s="31"/>
      <c r="B38" s="167"/>
      <c r="C38" s="167"/>
      <c r="D38" s="167"/>
      <c r="E38" s="167"/>
      <c r="F38" s="167"/>
      <c r="G38" s="167"/>
      <c r="H38" s="167"/>
      <c r="I38" s="167"/>
      <c r="J38" s="170"/>
      <c r="K38" s="151"/>
      <c r="L38" s="646"/>
    </row>
    <row r="39" spans="1:12">
      <c r="A39" s="31"/>
      <c r="B39" s="167"/>
      <c r="C39" s="167"/>
      <c r="D39" s="167"/>
      <c r="E39" s="167"/>
      <c r="F39" s="167"/>
      <c r="G39" s="167"/>
      <c r="H39" s="167"/>
      <c r="I39" s="167"/>
      <c r="J39" s="170"/>
      <c r="K39" s="151"/>
      <c r="L39" s="646"/>
    </row>
    <row r="40" spans="1:12">
      <c r="A40" s="37">
        <v>2</v>
      </c>
      <c r="B40" s="651" t="s">
        <v>85</v>
      </c>
      <c r="C40" s="652"/>
      <c r="D40" s="204" t="str">
        <f>B5</f>
        <v>I</v>
      </c>
      <c r="E40" s="167" t="s">
        <v>86</v>
      </c>
      <c r="F40" s="167"/>
      <c r="G40" s="167"/>
      <c r="H40" s="167"/>
      <c r="I40" s="167"/>
      <c r="J40" s="170"/>
      <c r="K40" s="151"/>
      <c r="L40" s="646"/>
    </row>
    <row r="41" spans="1:12">
      <c r="A41" s="31"/>
      <c r="B41" s="653" t="s">
        <v>626</v>
      </c>
      <c r="C41" s="653"/>
      <c r="D41" s="653"/>
      <c r="E41" s="653"/>
      <c r="F41" s="651" t="s">
        <v>113</v>
      </c>
      <c r="G41" s="651"/>
      <c r="H41" s="651"/>
      <c r="I41" s="651"/>
      <c r="J41" s="654"/>
      <c r="K41" s="151"/>
      <c r="L41" s="646"/>
    </row>
    <row r="42" spans="1:12">
      <c r="A42" s="31"/>
      <c r="B42" s="179" t="s">
        <v>96</v>
      </c>
      <c r="C42" s="179"/>
      <c r="D42" s="179"/>
      <c r="E42" s="167"/>
      <c r="F42" s="167"/>
      <c r="G42" s="167"/>
      <c r="H42" s="167"/>
      <c r="I42" s="167"/>
      <c r="J42" s="170"/>
      <c r="K42" s="151"/>
      <c r="L42" s="646"/>
    </row>
    <row r="43" spans="1:12">
      <c r="A43" s="31"/>
      <c r="B43" s="179"/>
      <c r="C43" s="179"/>
      <c r="D43" s="179"/>
      <c r="E43" s="167"/>
      <c r="F43" s="167"/>
      <c r="G43" s="167"/>
      <c r="H43" s="167"/>
      <c r="I43" s="167"/>
      <c r="J43" s="170"/>
      <c r="K43" s="151"/>
      <c r="L43" s="646"/>
    </row>
    <row r="44" spans="1:12">
      <c r="A44" s="38" t="s">
        <v>89</v>
      </c>
      <c r="B44" s="205" t="str">
        <f>B5</f>
        <v>I</v>
      </c>
      <c r="C44" s="655" t="s">
        <v>88</v>
      </c>
      <c r="D44" s="651"/>
      <c r="E44" s="651"/>
      <c r="F44" s="651"/>
      <c r="G44" s="167"/>
      <c r="H44" s="167"/>
      <c r="I44" s="167"/>
      <c r="J44" s="170"/>
      <c r="K44" s="151"/>
      <c r="L44" s="646"/>
    </row>
    <row r="45" spans="1:12">
      <c r="A45" s="32"/>
      <c r="B45" s="167"/>
      <c r="C45" s="183"/>
      <c r="D45" s="183"/>
      <c r="E45" s="183"/>
      <c r="F45" s="167"/>
      <c r="G45" s="167"/>
      <c r="H45" s="167"/>
      <c r="I45" s="167"/>
      <c r="J45" s="170"/>
      <c r="K45" s="151"/>
      <c r="L45" s="646"/>
    </row>
    <row r="46" spans="1:12">
      <c r="A46" s="38" t="s">
        <v>90</v>
      </c>
      <c r="B46" s="206" t="str">
        <f>B5</f>
        <v>I</v>
      </c>
      <c r="C46" s="179" t="s">
        <v>91</v>
      </c>
      <c r="D46" s="179"/>
      <c r="E46" s="167"/>
      <c r="F46" s="167"/>
      <c r="G46" s="167"/>
      <c r="H46" s="167"/>
      <c r="I46" s="167"/>
      <c r="J46" s="170"/>
      <c r="K46" s="151"/>
      <c r="L46" s="646"/>
    </row>
    <row r="47" spans="1:12">
      <c r="A47" s="31"/>
      <c r="B47" s="167" t="s">
        <v>92</v>
      </c>
      <c r="C47" s="205" t="str">
        <f>B5</f>
        <v>I</v>
      </c>
      <c r="D47" s="656" t="s">
        <v>93</v>
      </c>
      <c r="E47" s="657"/>
      <c r="F47" s="657"/>
      <c r="G47" s="205" t="str">
        <f>IF($B5="I","my"," our")</f>
        <v>my</v>
      </c>
      <c r="H47" s="167" t="s">
        <v>94</v>
      </c>
      <c r="I47" s="167"/>
      <c r="J47" s="170"/>
      <c r="K47" s="151"/>
      <c r="L47" s="646"/>
    </row>
    <row r="48" spans="1:12">
      <c r="A48" s="31"/>
      <c r="B48" s="167"/>
      <c r="C48" s="651" t="s">
        <v>95</v>
      </c>
      <c r="D48" s="651"/>
      <c r="E48" s="651"/>
      <c r="F48" s="205" t="str">
        <f>IF($B5="I","my"," our")</f>
        <v>my</v>
      </c>
      <c r="G48" s="655" t="s">
        <v>98</v>
      </c>
      <c r="H48" s="651"/>
      <c r="I48" s="651"/>
      <c r="J48" s="654"/>
      <c r="K48" s="151"/>
      <c r="L48" s="646"/>
    </row>
    <row r="49" spans="1:12">
      <c r="A49" s="31"/>
      <c r="B49" s="167"/>
      <c r="C49" s="651" t="s">
        <v>99</v>
      </c>
      <c r="D49" s="651"/>
      <c r="E49" s="167"/>
      <c r="F49" s="167"/>
      <c r="G49" s="167"/>
      <c r="H49" s="167"/>
      <c r="I49" s="167"/>
      <c r="J49" s="170"/>
      <c r="K49" s="151"/>
      <c r="L49" s="646"/>
    </row>
    <row r="50" spans="1:12" ht="15" customHeight="1">
      <c r="A50" s="31"/>
      <c r="B50" s="167" t="s">
        <v>97</v>
      </c>
      <c r="C50" s="167" t="s">
        <v>100</v>
      </c>
      <c r="D50" s="205" t="str">
        <f>IF($B5="I","my"," our")</f>
        <v>my</v>
      </c>
      <c r="E50" s="656" t="s">
        <v>371</v>
      </c>
      <c r="F50" s="657"/>
      <c r="G50" s="207" t="s">
        <v>633</v>
      </c>
      <c r="H50" s="651" t="s">
        <v>372</v>
      </c>
      <c r="I50" s="652"/>
      <c r="J50" s="205" t="str">
        <f>IF($B5="I","my"," our")</f>
        <v>my</v>
      </c>
      <c r="K50" s="151"/>
      <c r="L50" s="646"/>
    </row>
    <row r="51" spans="1:12" ht="15" customHeight="1">
      <c r="A51" s="31"/>
      <c r="B51" s="167"/>
      <c r="C51" s="167" t="s">
        <v>101</v>
      </c>
      <c r="D51" s="167"/>
      <c r="E51" s="182"/>
      <c r="F51" s="182"/>
      <c r="G51" s="182"/>
      <c r="H51" s="182"/>
      <c r="I51" s="182"/>
      <c r="J51" s="170"/>
      <c r="K51" s="151"/>
      <c r="L51" s="646"/>
    </row>
    <row r="52" spans="1:12" ht="15" customHeight="1">
      <c r="A52" s="31"/>
      <c r="B52" s="167" t="s">
        <v>102</v>
      </c>
      <c r="C52" s="205" t="str">
        <f>B5</f>
        <v>I</v>
      </c>
      <c r="D52" s="656" t="s">
        <v>103</v>
      </c>
      <c r="E52" s="657"/>
      <c r="F52" s="208" t="str">
        <f>D9</f>
        <v>profit and loss account</v>
      </c>
      <c r="G52" s="657" t="s">
        <v>104</v>
      </c>
      <c r="H52" s="657"/>
      <c r="I52" s="658" t="s">
        <v>625</v>
      </c>
      <c r="J52" s="659"/>
      <c r="K52" s="151"/>
      <c r="L52" s="646"/>
    </row>
    <row r="53" spans="1:12" ht="15" customHeight="1">
      <c r="A53" s="31"/>
      <c r="B53" s="167"/>
      <c r="C53" s="651" t="s">
        <v>105</v>
      </c>
      <c r="D53" s="651"/>
      <c r="E53" s="651"/>
      <c r="F53" s="660" t="str">
        <f>CONCATENATE(E29,", ",G29,", ",E30,", ",G30,", ",E31,", ",G31,", ",E32,", ",G32)</f>
        <v xml:space="preserve">, , , , , , , </v>
      </c>
      <c r="G53" s="660"/>
      <c r="H53" s="660"/>
      <c r="I53" s="209" t="s">
        <v>106</v>
      </c>
      <c r="J53" s="167"/>
      <c r="K53" s="151"/>
      <c r="L53" s="646"/>
    </row>
    <row r="54" spans="1:12" ht="15" customHeight="1">
      <c r="A54" s="31"/>
      <c r="B54" s="167"/>
      <c r="C54" s="660" t="str">
        <f>CONCATENATE(E34,", ",G34,", ",E35,", ",G35,", ",E36,", ",G36,", ",E37,", ",G37)</f>
        <v xml:space="preserve">, , , , , , , </v>
      </c>
      <c r="D54" s="660"/>
      <c r="E54" s="660"/>
      <c r="F54" s="656" t="s">
        <v>124</v>
      </c>
      <c r="G54" s="657"/>
      <c r="H54" s="167"/>
      <c r="I54" s="167"/>
      <c r="J54" s="170"/>
      <c r="K54" s="151"/>
      <c r="L54" s="646"/>
    </row>
    <row r="55" spans="1:12" ht="15" customHeight="1">
      <c r="A55" s="31"/>
      <c r="B55" s="167"/>
      <c r="C55" s="179"/>
      <c r="D55" s="179"/>
      <c r="E55" s="179"/>
      <c r="F55" s="182"/>
      <c r="G55" s="182"/>
      <c r="H55" s="182"/>
      <c r="I55" s="167"/>
      <c r="J55" s="170"/>
      <c r="K55" s="151"/>
      <c r="L55" s="646"/>
    </row>
    <row r="56" spans="1:12" ht="15" customHeight="1">
      <c r="A56" s="37">
        <v>4</v>
      </c>
      <c r="B56" s="651" t="s">
        <v>107</v>
      </c>
      <c r="C56" s="651"/>
      <c r="D56" s="651"/>
      <c r="E56" s="651"/>
      <c r="F56" s="651"/>
      <c r="G56" s="651"/>
      <c r="H56" s="651"/>
      <c r="I56" s="651"/>
      <c r="J56" s="654"/>
      <c r="K56" s="151"/>
      <c r="L56" s="646"/>
    </row>
    <row r="57" spans="1:12" ht="15" customHeight="1">
      <c r="A57" s="31"/>
      <c r="B57" s="651" t="s">
        <v>108</v>
      </c>
      <c r="C57" s="651"/>
      <c r="D57" s="179"/>
      <c r="E57" s="179"/>
      <c r="F57" s="182"/>
      <c r="G57" s="182"/>
      <c r="H57" s="182"/>
      <c r="I57" s="167"/>
      <c r="J57" s="170"/>
      <c r="K57" s="151"/>
      <c r="L57" s="646"/>
    </row>
    <row r="58" spans="1:12" ht="15" customHeight="1">
      <c r="A58" s="31"/>
      <c r="B58" s="167"/>
      <c r="C58" s="179"/>
      <c r="D58" s="179"/>
      <c r="E58" s="179"/>
      <c r="F58" s="182"/>
      <c r="G58" s="182"/>
      <c r="H58" s="182"/>
      <c r="I58" s="167"/>
      <c r="J58" s="170"/>
      <c r="K58" s="151"/>
      <c r="L58" s="646"/>
    </row>
    <row r="59" spans="1:12" ht="15" customHeight="1">
      <c r="A59" s="37">
        <v>5</v>
      </c>
      <c r="B59" s="167" t="s">
        <v>100</v>
      </c>
      <c r="C59" s="205" t="str">
        <f>IF($B5="I","my"," our")</f>
        <v>my</v>
      </c>
      <c r="D59" s="167" t="s">
        <v>109</v>
      </c>
      <c r="E59" s="205" t="str">
        <f>IF($B5="I","my"," our")</f>
        <v>my</v>
      </c>
      <c r="F59" s="656" t="s">
        <v>110</v>
      </c>
      <c r="G59" s="657"/>
      <c r="H59" s="205" t="str">
        <f>IF($B5="I","me"," us")</f>
        <v>me</v>
      </c>
      <c r="I59" s="655" t="s">
        <v>111</v>
      </c>
      <c r="J59" s="654"/>
      <c r="K59" s="151"/>
      <c r="L59" s="646"/>
    </row>
    <row r="60" spans="1:12" ht="15" customHeight="1">
      <c r="A60" s="31"/>
      <c r="B60" s="657" t="s">
        <v>112</v>
      </c>
      <c r="C60" s="657"/>
      <c r="D60" s="657"/>
      <c r="E60" s="657"/>
      <c r="F60" s="657"/>
      <c r="G60" s="182"/>
      <c r="H60" s="182"/>
      <c r="I60" s="167"/>
      <c r="J60" s="170"/>
      <c r="K60" s="151"/>
      <c r="L60" s="646"/>
    </row>
    <row r="61" spans="1:12" ht="15" customHeight="1">
      <c r="A61" s="31"/>
      <c r="B61" s="183"/>
      <c r="C61" s="183"/>
      <c r="D61" s="183"/>
      <c r="E61" s="183"/>
      <c r="F61" s="183"/>
      <c r="G61" s="182"/>
      <c r="H61" s="182"/>
      <c r="I61" s="167"/>
      <c r="J61" s="170"/>
      <c r="K61" s="151"/>
      <c r="L61" s="646"/>
    </row>
    <row r="62" spans="1:12">
      <c r="A62" s="31"/>
      <c r="B62" s="184" t="s">
        <v>81</v>
      </c>
      <c r="C62" s="167"/>
      <c r="D62" s="167"/>
      <c r="E62" s="167"/>
      <c r="F62" s="167"/>
      <c r="G62" s="167"/>
      <c r="H62" s="167"/>
      <c r="I62" s="167"/>
      <c r="J62" s="170"/>
      <c r="K62" s="151"/>
      <c r="L62" s="646"/>
    </row>
    <row r="63" spans="1:12">
      <c r="A63" s="31"/>
      <c r="B63" s="167"/>
      <c r="C63" s="167"/>
      <c r="D63" s="167"/>
      <c r="E63" s="167"/>
      <c r="F63" s="167"/>
      <c r="G63" s="167"/>
      <c r="H63" s="167"/>
      <c r="I63" s="167"/>
      <c r="J63" s="170"/>
      <c r="K63" s="151"/>
      <c r="L63" s="646"/>
    </row>
    <row r="64" spans="1:12">
      <c r="A64" s="31"/>
      <c r="B64" s="167"/>
      <c r="C64" s="167"/>
      <c r="D64" s="167"/>
      <c r="E64" s="167"/>
      <c r="F64" s="167"/>
      <c r="G64" s="167"/>
      <c r="H64" s="167"/>
      <c r="I64" s="167"/>
      <c r="J64" s="170"/>
      <c r="K64" s="151"/>
      <c r="L64" s="646"/>
    </row>
    <row r="65" spans="1:12">
      <c r="A65" s="31"/>
      <c r="B65" s="210" t="s">
        <v>74</v>
      </c>
      <c r="C65" s="662" t="s">
        <v>75</v>
      </c>
      <c r="D65" s="662"/>
      <c r="E65" s="662"/>
      <c r="F65" s="662"/>
      <c r="G65" s="210" t="s">
        <v>76</v>
      </c>
      <c r="H65" s="167"/>
      <c r="I65" s="167"/>
      <c r="J65" s="170"/>
      <c r="K65" s="151"/>
      <c r="L65" s="647"/>
    </row>
    <row r="66" spans="1:12">
      <c r="A66" s="21"/>
      <c r="B66" s="186">
        <v>1</v>
      </c>
      <c r="C66" s="661" t="s">
        <v>77</v>
      </c>
      <c r="D66" s="661"/>
      <c r="E66" s="661"/>
      <c r="F66" s="661"/>
      <c r="G66" s="211"/>
      <c r="H66" s="187"/>
      <c r="I66" s="187"/>
      <c r="J66" s="170"/>
      <c r="K66" s="151"/>
      <c r="L66" s="157"/>
    </row>
    <row r="67" spans="1:12">
      <c r="A67" s="21"/>
      <c r="B67" s="167"/>
      <c r="C67" s="167"/>
      <c r="D67" s="167"/>
      <c r="E67" s="167"/>
      <c r="F67" s="167"/>
      <c r="G67" s="167"/>
      <c r="H67" s="167"/>
      <c r="I67" s="167"/>
      <c r="J67" s="170"/>
      <c r="K67" s="151"/>
      <c r="L67" s="157"/>
    </row>
    <row r="68" spans="1:12">
      <c r="A68" s="21"/>
      <c r="B68" s="184" t="s">
        <v>80</v>
      </c>
      <c r="C68" s="167"/>
      <c r="D68" s="167"/>
      <c r="E68" s="167"/>
      <c r="F68" s="167"/>
      <c r="G68" s="167"/>
      <c r="H68" s="167"/>
      <c r="I68" s="167"/>
      <c r="J68" s="170"/>
      <c r="K68" s="151"/>
      <c r="L68" s="157"/>
    </row>
    <row r="69" spans="1:12">
      <c r="A69" s="21"/>
      <c r="B69" s="184"/>
      <c r="C69" s="167"/>
      <c r="D69" s="167"/>
      <c r="E69" s="167"/>
      <c r="F69" s="167"/>
      <c r="G69" s="167"/>
      <c r="H69" s="167"/>
      <c r="I69" s="167"/>
      <c r="J69" s="170"/>
      <c r="K69" s="151"/>
      <c r="L69" s="157"/>
    </row>
    <row r="70" spans="1:12">
      <c r="A70" s="21"/>
      <c r="B70" s="167" t="s">
        <v>328</v>
      </c>
      <c r="C70" s="167"/>
      <c r="D70" s="198"/>
      <c r="E70" s="167"/>
      <c r="F70" s="167"/>
      <c r="G70" s="167"/>
      <c r="H70" s="167"/>
      <c r="I70" s="167"/>
      <c r="J70" s="170"/>
      <c r="K70" s="151"/>
      <c r="L70" s="157"/>
    </row>
    <row r="71" spans="1:12">
      <c r="A71" s="21"/>
      <c r="B71" s="167" t="s">
        <v>329</v>
      </c>
      <c r="C71" s="167"/>
      <c r="D71" s="198"/>
      <c r="E71" s="167"/>
      <c r="F71" s="167"/>
      <c r="G71" s="167"/>
      <c r="H71" s="167"/>
      <c r="I71" s="167"/>
      <c r="J71" s="170"/>
      <c r="K71" s="151"/>
      <c r="L71" s="157"/>
    </row>
    <row r="72" spans="1:12">
      <c r="A72" s="21"/>
      <c r="B72" s="167" t="s">
        <v>330</v>
      </c>
      <c r="C72" s="167"/>
      <c r="D72" s="198"/>
      <c r="E72" s="167"/>
      <c r="F72" s="167"/>
      <c r="G72" s="167"/>
      <c r="H72" s="167"/>
      <c r="I72" s="167"/>
      <c r="J72" s="170"/>
      <c r="K72" s="151"/>
      <c r="L72" s="157"/>
    </row>
    <row r="73" spans="1:12">
      <c r="A73" s="21"/>
      <c r="B73" s="167" t="s">
        <v>331</v>
      </c>
      <c r="C73" s="167"/>
      <c r="D73" s="212" t="s">
        <v>644</v>
      </c>
      <c r="E73" s="167"/>
      <c r="F73" s="167"/>
      <c r="G73" s="167"/>
      <c r="H73" s="167"/>
      <c r="I73" s="167"/>
      <c r="J73" s="170"/>
      <c r="K73" s="151"/>
      <c r="L73" s="157"/>
    </row>
    <row r="74" spans="1:12">
      <c r="A74" s="21"/>
      <c r="B74" s="167" t="s">
        <v>332</v>
      </c>
      <c r="C74" s="167"/>
      <c r="D74" s="213" t="s">
        <v>348</v>
      </c>
      <c r="E74" s="198"/>
      <c r="F74" s="202" t="s">
        <v>158</v>
      </c>
      <c r="G74" s="198"/>
      <c r="H74" s="167"/>
      <c r="I74" s="167"/>
      <c r="J74" s="170"/>
      <c r="K74" s="151"/>
      <c r="L74" s="157"/>
    </row>
    <row r="75" spans="1:12">
      <c r="A75" s="21"/>
      <c r="B75" s="167"/>
      <c r="C75" s="167"/>
      <c r="D75" s="202" t="s">
        <v>161</v>
      </c>
      <c r="E75" s="198"/>
      <c r="F75" s="202" t="s">
        <v>334</v>
      </c>
      <c r="G75" s="198"/>
      <c r="H75" s="167"/>
      <c r="I75" s="167"/>
      <c r="J75" s="170"/>
      <c r="K75" s="151"/>
      <c r="L75" s="157"/>
    </row>
    <row r="76" spans="1:12">
      <c r="A76" s="21"/>
      <c r="B76" s="167"/>
      <c r="C76" s="167"/>
      <c r="D76" s="202" t="s">
        <v>335</v>
      </c>
      <c r="E76" s="198"/>
      <c r="F76" s="202" t="s">
        <v>336</v>
      </c>
      <c r="G76" s="198"/>
      <c r="H76" s="167"/>
      <c r="I76" s="167"/>
      <c r="J76" s="170"/>
      <c r="K76" s="151"/>
      <c r="L76" s="157"/>
    </row>
    <row r="77" spans="1:12">
      <c r="A77" s="21"/>
      <c r="B77" s="167"/>
      <c r="C77" s="167"/>
      <c r="D77" s="202" t="s">
        <v>337</v>
      </c>
      <c r="E77" s="200"/>
      <c r="F77" s="202" t="s">
        <v>338</v>
      </c>
      <c r="G77" s="201"/>
      <c r="H77" s="167"/>
      <c r="I77" s="167"/>
      <c r="J77" s="170"/>
      <c r="K77" s="151"/>
      <c r="L77" s="157"/>
    </row>
    <row r="78" spans="1:12" ht="15.75" thickBot="1">
      <c r="A78" s="22"/>
      <c r="B78" s="23"/>
      <c r="C78" s="23"/>
      <c r="D78" s="23"/>
      <c r="E78" s="23"/>
      <c r="F78" s="23"/>
      <c r="G78" s="23"/>
      <c r="H78" s="23"/>
      <c r="I78" s="23"/>
      <c r="J78" s="24"/>
      <c r="K78" s="151"/>
      <c r="L78" s="157"/>
    </row>
  </sheetData>
  <sheetProtection password="CB83" sheet="1" objects="1" scenarios="1"/>
  <mergeCells count="27">
    <mergeCell ref="C66:F66"/>
    <mergeCell ref="B56:J56"/>
    <mergeCell ref="F59:G59"/>
    <mergeCell ref="I59:J59"/>
    <mergeCell ref="B60:F60"/>
    <mergeCell ref="C65:F65"/>
    <mergeCell ref="I52:J52"/>
    <mergeCell ref="C53:E53"/>
    <mergeCell ref="F53:H53"/>
    <mergeCell ref="C54:E54"/>
    <mergeCell ref="F54:G54"/>
    <mergeCell ref="C3:H3"/>
    <mergeCell ref="L5:L65"/>
    <mergeCell ref="D27:F27"/>
    <mergeCell ref="B40:C40"/>
    <mergeCell ref="B41:E41"/>
    <mergeCell ref="F41:J41"/>
    <mergeCell ref="C44:F44"/>
    <mergeCell ref="D47:F47"/>
    <mergeCell ref="C48:E48"/>
    <mergeCell ref="G48:J48"/>
    <mergeCell ref="B57:C57"/>
    <mergeCell ref="C49:D49"/>
    <mergeCell ref="E50:F50"/>
    <mergeCell ref="H50:I50"/>
    <mergeCell ref="D52:E52"/>
    <mergeCell ref="G52:H52"/>
  </mergeCells>
  <dataValidations count="4">
    <dataValidation type="list" allowBlank="1" showInputMessage="1" showErrorMessage="1" sqref="G50">
      <formula1>"have been,have not been"</formula1>
    </dataValidation>
    <dataValidation type="list" allowBlank="1" showInputMessage="1" showErrorMessage="1" sqref="B5">
      <formula1>"I,We"</formula1>
    </dataValidation>
    <dataValidation type="list" allowBlank="1" showInputMessage="1" showErrorMessage="1" sqref="I52:J52">
      <formula1>"in agreement, not in agreement"</formula1>
    </dataValidation>
    <dataValidation type="custom" allowBlank="1" showInputMessage="1" showErrorMessage="1" errorTitle="Preceding zeroes not allowed." error="Please remove any preceding zeroes from Membership No and then then enter value." sqref="D72">
      <formula1>NOT(LEFT(D72,1)="0")</formula1>
    </dataValidation>
  </dataValidations>
  <pageMargins left="0.7" right="0.7" top="0.75" bottom="0.75" header="0.3" footer="0.3"/>
  <pageSetup scale="4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Master!$A$26:$A$27</xm:f>
          </x14:formula1>
          <xm:sqref>D9</xm:sqref>
        </x14:dataValidation>
        <x14:dataValidation type="list" allowBlank="1" showInputMessage="1" showErrorMessage="1">
          <x14:formula1>
            <xm:f>Master!$A$1:$A$2</xm:f>
          </x14:formula1>
          <xm:sqref>B41:E41</xm:sqref>
        </x14:dataValidation>
        <x14:dataValidation type="list" allowBlank="1" showInputMessage="1" showErrorMessage="1">
          <x14:formula1>
            <xm:f>'State dropdown'!$A$1:$A$37</xm:f>
          </x14:formula1>
          <xm:sqref>E77 E24 E32 E37</xm:sqref>
        </x14:dataValidation>
        <x14:dataValidation type="list" allowBlank="1" showInputMessage="1" showErrorMessage="1">
          <x14:formula1>
            <xm:f>Master!$A$7:$A$9</xm:f>
          </x14:formula1>
          <xm:sqref>D66:F66 C66</xm:sqref>
        </x14:dataValidation>
      </x14:dataValidations>
    </ext>
  </extLst>
</worksheet>
</file>

<file path=xl/worksheets/sheet17.xml><?xml version="1.0" encoding="utf-8"?>
<worksheet xmlns="http://schemas.openxmlformats.org/spreadsheetml/2006/main" xmlns:r="http://schemas.openxmlformats.org/officeDocument/2006/relationships">
  <dimension ref="A1:L79"/>
  <sheetViews>
    <sheetView workbookViewId="0">
      <selection activeCell="G3" sqref="G3"/>
    </sheetView>
  </sheetViews>
  <sheetFormatPr defaultRowHeight="15"/>
  <sheetData>
    <row r="1" spans="1:12" ht="27">
      <c r="A1" s="249" t="s">
        <v>62</v>
      </c>
      <c r="B1" s="249"/>
      <c r="C1" s="249"/>
      <c r="D1" s="249"/>
      <c r="E1" s="249"/>
      <c r="F1" s="249"/>
      <c r="G1" s="249"/>
      <c r="H1" s="6"/>
      <c r="I1" s="6"/>
      <c r="J1" s="6"/>
    </row>
    <row r="2" spans="1:12" ht="27">
      <c r="A2" s="257"/>
      <c r="B2" s="257"/>
      <c r="C2" s="257"/>
      <c r="D2" s="257"/>
      <c r="E2" s="257"/>
      <c r="F2" s="257"/>
      <c r="G2" s="257"/>
      <c r="H2" s="6"/>
      <c r="I2" s="6"/>
      <c r="J2" s="6"/>
    </row>
    <row r="3" spans="1:12" ht="409.5">
      <c r="A3" s="34"/>
      <c r="B3" s="35"/>
      <c r="C3" s="255" t="s">
        <v>642</v>
      </c>
      <c r="D3" s="255"/>
      <c r="E3" s="255"/>
      <c r="F3" s="255"/>
      <c r="G3" s="255"/>
      <c r="H3" s="255"/>
      <c r="I3" s="35"/>
      <c r="J3" s="36"/>
    </row>
    <row r="4" spans="1:12" ht="38.25">
      <c r="A4" s="19"/>
      <c r="B4" s="33"/>
      <c r="C4" s="20"/>
      <c r="D4" s="20"/>
      <c r="E4" s="20"/>
      <c r="F4" s="20"/>
      <c r="G4" s="20"/>
      <c r="H4" s="20"/>
      <c r="I4" s="20"/>
      <c r="J4" s="20"/>
      <c r="K4" s="139" t="s">
        <v>162</v>
      </c>
      <c r="L4" s="139" t="s">
        <v>163</v>
      </c>
    </row>
    <row r="5" spans="1:12">
      <c r="A5" s="37">
        <v>1</v>
      </c>
      <c r="B5" s="169" t="s">
        <v>16</v>
      </c>
      <c r="C5" s="254" t="s">
        <v>114</v>
      </c>
      <c r="D5" s="250"/>
      <c r="E5" s="250"/>
      <c r="F5" s="167"/>
      <c r="G5" s="167"/>
      <c r="H5" s="167"/>
      <c r="I5" s="167"/>
      <c r="J5" s="170"/>
      <c r="K5" s="133"/>
      <c r="L5" s="260"/>
    </row>
    <row r="6" spans="1:12">
      <c r="A6" s="21"/>
      <c r="B6" s="171"/>
      <c r="C6" s="167"/>
      <c r="D6" s="167"/>
      <c r="E6" s="167"/>
      <c r="F6" s="167"/>
      <c r="G6" s="167"/>
      <c r="H6" s="167"/>
      <c r="I6" s="167"/>
      <c r="J6" s="170"/>
      <c r="K6" s="134"/>
      <c r="L6" s="261"/>
    </row>
    <row r="7" spans="1:12" ht="75">
      <c r="A7" s="21"/>
      <c r="B7" s="172" t="s">
        <v>345</v>
      </c>
      <c r="C7" s="173" t="s">
        <v>83</v>
      </c>
      <c r="D7" s="174" t="s">
        <v>664</v>
      </c>
      <c r="E7" s="175"/>
      <c r="F7" s="167"/>
      <c r="G7" s="167"/>
      <c r="H7" s="167"/>
      <c r="I7" s="167"/>
      <c r="J7" s="170"/>
      <c r="K7" s="134"/>
      <c r="L7" s="261"/>
    </row>
    <row r="8" spans="1:12">
      <c r="A8" s="21"/>
      <c r="B8" s="167"/>
      <c r="C8" s="176"/>
      <c r="D8" s="176"/>
      <c r="E8" s="176"/>
      <c r="F8" s="167"/>
      <c r="G8" s="167"/>
      <c r="H8" s="167"/>
      <c r="I8" s="167"/>
      <c r="J8" s="170"/>
      <c r="K8" s="134"/>
      <c r="L8" s="261"/>
    </row>
    <row r="9" spans="1:12" ht="30">
      <c r="A9" s="21"/>
      <c r="B9" s="167" t="s">
        <v>346</v>
      </c>
      <c r="C9" s="177" t="s">
        <v>348</v>
      </c>
      <c r="D9" s="165" t="s">
        <v>665</v>
      </c>
      <c r="E9" s="177" t="s">
        <v>158</v>
      </c>
      <c r="F9" s="165" t="s">
        <v>667</v>
      </c>
      <c r="G9" s="167"/>
      <c r="H9" s="167"/>
      <c r="I9" s="167"/>
      <c r="J9" s="170"/>
      <c r="K9" s="134"/>
      <c r="L9" s="261"/>
    </row>
    <row r="10" spans="1:12" ht="30">
      <c r="A10" s="21"/>
      <c r="B10" s="167"/>
      <c r="C10" s="177" t="s">
        <v>161</v>
      </c>
      <c r="D10" s="165" t="s">
        <v>666</v>
      </c>
      <c r="E10" s="177" t="s">
        <v>334</v>
      </c>
      <c r="F10" s="165" t="s">
        <v>668</v>
      </c>
      <c r="G10" s="167"/>
      <c r="H10" s="167"/>
      <c r="I10" s="167"/>
      <c r="J10" s="170"/>
      <c r="K10" s="134"/>
      <c r="L10" s="261"/>
    </row>
    <row r="11" spans="1:12" ht="30">
      <c r="A11" s="21"/>
      <c r="B11" s="167"/>
      <c r="C11" s="177" t="s">
        <v>335</v>
      </c>
      <c r="D11" s="165" t="s">
        <v>656</v>
      </c>
      <c r="E11" s="177" t="s">
        <v>336</v>
      </c>
      <c r="F11" s="165" t="s">
        <v>656</v>
      </c>
      <c r="G11" s="167"/>
      <c r="H11" s="167"/>
      <c r="I11" s="167"/>
      <c r="J11" s="170"/>
      <c r="K11" s="134"/>
      <c r="L11" s="261"/>
    </row>
    <row r="12" spans="1:12" ht="30">
      <c r="A12" s="21"/>
      <c r="B12" s="167"/>
      <c r="C12" s="177" t="s">
        <v>337</v>
      </c>
      <c r="D12" s="166" t="s">
        <v>662</v>
      </c>
      <c r="E12" s="177" t="s">
        <v>338</v>
      </c>
      <c r="F12" s="168">
        <v>121001</v>
      </c>
      <c r="G12" s="167"/>
      <c r="H12" s="167"/>
      <c r="I12" s="167"/>
      <c r="J12" s="170"/>
      <c r="K12" s="134"/>
      <c r="L12" s="261"/>
    </row>
    <row r="13" spans="1:12">
      <c r="A13" s="21"/>
      <c r="B13" s="171"/>
      <c r="C13" s="167"/>
      <c r="D13" s="167"/>
      <c r="E13" s="167"/>
      <c r="F13" s="167"/>
      <c r="G13" s="167"/>
      <c r="H13" s="167"/>
      <c r="I13" s="167"/>
      <c r="J13" s="170"/>
      <c r="K13" s="134"/>
      <c r="L13" s="261"/>
    </row>
    <row r="14" spans="1:12">
      <c r="A14" s="21"/>
      <c r="B14" s="250" t="s">
        <v>115</v>
      </c>
      <c r="C14" s="250"/>
      <c r="D14" s="167"/>
      <c r="E14" s="167"/>
      <c r="F14" s="167"/>
      <c r="G14" s="167"/>
      <c r="H14" s="167"/>
      <c r="I14" s="167"/>
      <c r="J14" s="170"/>
      <c r="K14" s="134"/>
      <c r="L14" s="261"/>
    </row>
    <row r="15" spans="1:12">
      <c r="A15" s="21"/>
      <c r="B15" s="167"/>
      <c r="C15" s="167"/>
      <c r="D15" s="167"/>
      <c r="E15" s="167"/>
      <c r="F15" s="167"/>
      <c r="G15" s="167"/>
      <c r="H15" s="167"/>
      <c r="I15" s="167"/>
      <c r="J15" s="170"/>
      <c r="K15" s="134"/>
      <c r="L15" s="261"/>
    </row>
    <row r="16" spans="1:12" ht="60">
      <c r="A16" s="21"/>
      <c r="B16" s="172" t="s">
        <v>345</v>
      </c>
      <c r="C16" s="173" t="s">
        <v>83</v>
      </c>
      <c r="D16" s="174" t="s">
        <v>669</v>
      </c>
      <c r="E16" s="175"/>
      <c r="F16" s="167"/>
      <c r="G16" s="167"/>
      <c r="H16" s="167"/>
      <c r="I16" s="167"/>
      <c r="J16" s="170"/>
      <c r="K16" s="134"/>
      <c r="L16" s="261"/>
    </row>
    <row r="17" spans="1:12">
      <c r="A17" s="21"/>
      <c r="B17" s="167"/>
      <c r="C17" s="176"/>
      <c r="D17" s="176"/>
      <c r="E17" s="176"/>
      <c r="F17" s="167"/>
      <c r="G17" s="167"/>
      <c r="H17" s="167"/>
      <c r="I17" s="167"/>
      <c r="J17" s="170"/>
      <c r="K17" s="134"/>
      <c r="L17" s="261"/>
    </row>
    <row r="18" spans="1:12" ht="30">
      <c r="A18" s="21"/>
      <c r="B18" s="167" t="s">
        <v>346</v>
      </c>
      <c r="C18" s="177" t="s">
        <v>348</v>
      </c>
      <c r="D18" s="165" t="s">
        <v>663</v>
      </c>
      <c r="E18" s="177" t="s">
        <v>158</v>
      </c>
      <c r="F18" s="165" t="s">
        <v>670</v>
      </c>
      <c r="G18" s="167"/>
      <c r="H18" s="167"/>
      <c r="I18" s="167"/>
      <c r="J18" s="170"/>
      <c r="K18" s="134"/>
      <c r="L18" s="261"/>
    </row>
    <row r="19" spans="1:12" ht="45">
      <c r="A19" s="21"/>
      <c r="B19" s="167"/>
      <c r="C19" s="177" t="s">
        <v>161</v>
      </c>
      <c r="D19" s="165" t="s">
        <v>655</v>
      </c>
      <c r="E19" s="177" t="s">
        <v>334</v>
      </c>
      <c r="F19" s="165" t="s">
        <v>671</v>
      </c>
      <c r="G19" s="167"/>
      <c r="H19" s="167"/>
      <c r="I19" s="167"/>
      <c r="J19" s="170"/>
      <c r="K19" s="134"/>
      <c r="L19" s="261"/>
    </row>
    <row r="20" spans="1:12" ht="30">
      <c r="A20" s="21"/>
      <c r="B20" s="167"/>
      <c r="C20" s="177" t="s">
        <v>335</v>
      </c>
      <c r="D20" s="165" t="s">
        <v>656</v>
      </c>
      <c r="E20" s="177" t="s">
        <v>336</v>
      </c>
      <c r="F20" s="165" t="s">
        <v>656</v>
      </c>
      <c r="G20" s="167"/>
      <c r="H20" s="167"/>
      <c r="I20" s="167"/>
      <c r="J20" s="170"/>
      <c r="K20" s="134"/>
      <c r="L20" s="261"/>
    </row>
    <row r="21" spans="1:12" ht="30">
      <c r="A21" s="21"/>
      <c r="B21" s="167"/>
      <c r="C21" s="177" t="s">
        <v>337</v>
      </c>
      <c r="D21" s="166" t="s">
        <v>662</v>
      </c>
      <c r="E21" s="177" t="s">
        <v>338</v>
      </c>
      <c r="F21" s="168">
        <v>121001</v>
      </c>
      <c r="G21" s="167"/>
      <c r="H21" s="167"/>
      <c r="I21" s="167"/>
      <c r="J21" s="170"/>
      <c r="K21" s="134"/>
      <c r="L21" s="261"/>
    </row>
    <row r="22" spans="1:12">
      <c r="A22" s="21"/>
      <c r="B22" s="171"/>
      <c r="C22" s="167"/>
      <c r="D22" s="167"/>
      <c r="E22" s="167"/>
      <c r="F22" s="167"/>
      <c r="G22" s="167"/>
      <c r="H22" s="167"/>
      <c r="I22" s="167"/>
      <c r="J22" s="170"/>
      <c r="K22" s="134"/>
      <c r="L22" s="261"/>
    </row>
    <row r="23" spans="1:12">
      <c r="A23" s="21"/>
      <c r="B23" s="250" t="s">
        <v>116</v>
      </c>
      <c r="C23" s="250"/>
      <c r="D23" s="250"/>
      <c r="E23" s="258" t="s">
        <v>117</v>
      </c>
      <c r="F23" s="259"/>
      <c r="G23" s="231" t="s">
        <v>119</v>
      </c>
      <c r="H23" s="178" t="str">
        <f>B5</f>
        <v>I</v>
      </c>
      <c r="I23" s="167"/>
      <c r="J23" s="170"/>
      <c r="K23" s="134"/>
      <c r="L23" s="261"/>
    </row>
    <row r="24" spans="1:12">
      <c r="A24" s="21"/>
      <c r="B24" s="230"/>
      <c r="C24" s="230"/>
      <c r="D24" s="230"/>
      <c r="E24" s="167"/>
      <c r="F24" s="231"/>
      <c r="G24" s="231"/>
      <c r="H24" s="231"/>
      <c r="I24" s="167"/>
      <c r="J24" s="170"/>
      <c r="K24" s="134"/>
      <c r="L24" s="261"/>
    </row>
    <row r="25" spans="1:12">
      <c r="A25" s="21"/>
      <c r="B25" s="250" t="s">
        <v>120</v>
      </c>
      <c r="C25" s="250"/>
      <c r="D25" s="180" t="s">
        <v>673</v>
      </c>
      <c r="E25" s="167" t="s">
        <v>121</v>
      </c>
      <c r="F25" s="231"/>
      <c r="G25" s="176"/>
      <c r="H25" s="167"/>
      <c r="I25" s="167"/>
      <c r="J25" s="170"/>
      <c r="K25" s="134"/>
      <c r="L25" s="261"/>
    </row>
    <row r="26" spans="1:12">
      <c r="A26" s="31"/>
      <c r="B26" s="172"/>
      <c r="C26" s="167"/>
      <c r="D26" s="167"/>
      <c r="E26" s="167"/>
      <c r="F26" s="167"/>
      <c r="G26" s="167"/>
      <c r="H26" s="167"/>
      <c r="I26" s="167"/>
      <c r="J26" s="170"/>
      <c r="K26" s="134"/>
      <c r="L26" s="261"/>
    </row>
    <row r="27" spans="1:12">
      <c r="A27" s="31"/>
      <c r="B27" s="172" t="s">
        <v>339</v>
      </c>
      <c r="C27" s="167"/>
      <c r="D27" s="180" t="s">
        <v>672</v>
      </c>
      <c r="E27" s="167"/>
      <c r="F27" s="167"/>
      <c r="G27" s="167"/>
      <c r="H27" s="167"/>
      <c r="I27" s="167"/>
      <c r="J27" s="170"/>
      <c r="K27" s="134"/>
      <c r="L27" s="261"/>
    </row>
    <row r="28" spans="1:12">
      <c r="A28" s="31"/>
      <c r="B28" s="167"/>
      <c r="C28" s="167"/>
      <c r="D28" s="176"/>
      <c r="E28" s="167"/>
      <c r="F28" s="167"/>
      <c r="G28" s="167"/>
      <c r="H28" s="167"/>
      <c r="I28" s="167"/>
      <c r="J28" s="170"/>
      <c r="K28" s="134"/>
      <c r="L28" s="261"/>
    </row>
    <row r="29" spans="1:12">
      <c r="A29" s="31"/>
      <c r="B29" s="172" t="s">
        <v>340</v>
      </c>
      <c r="C29" s="167"/>
      <c r="D29" s="181" t="s">
        <v>572</v>
      </c>
      <c r="E29" s="167"/>
      <c r="F29" s="167"/>
      <c r="G29" s="167"/>
      <c r="H29" s="167"/>
      <c r="I29" s="167"/>
      <c r="J29" s="170"/>
      <c r="K29" s="134"/>
      <c r="L29" s="261"/>
    </row>
    <row r="30" spans="1:12">
      <c r="A30" s="31"/>
      <c r="B30" s="172" t="s">
        <v>341</v>
      </c>
      <c r="C30" s="167"/>
      <c r="D30" s="180" t="s">
        <v>674</v>
      </c>
      <c r="E30" s="167"/>
      <c r="F30" s="167"/>
      <c r="G30" s="167"/>
      <c r="H30" s="167"/>
      <c r="I30" s="167"/>
      <c r="J30" s="170"/>
      <c r="K30" s="134"/>
      <c r="L30" s="261"/>
    </row>
    <row r="31" spans="1:12">
      <c r="A31" s="31"/>
      <c r="B31" s="172" t="s">
        <v>342</v>
      </c>
      <c r="C31" s="167"/>
      <c r="D31" s="180" t="s">
        <v>672</v>
      </c>
      <c r="E31" s="167"/>
      <c r="F31" s="167"/>
      <c r="G31" s="167"/>
      <c r="H31" s="167"/>
      <c r="I31" s="167"/>
      <c r="J31" s="170"/>
      <c r="K31" s="134"/>
      <c r="L31" s="261"/>
    </row>
    <row r="32" spans="1:12">
      <c r="A32" s="31"/>
      <c r="B32" s="167"/>
      <c r="C32" s="172"/>
      <c r="D32" s="167"/>
      <c r="E32" s="167"/>
      <c r="F32" s="167"/>
      <c r="G32" s="167"/>
      <c r="H32" s="167"/>
      <c r="I32" s="167"/>
      <c r="J32" s="170"/>
      <c r="K32" s="134"/>
      <c r="L32" s="261"/>
    </row>
    <row r="33" spans="1:12">
      <c r="A33" s="31"/>
      <c r="B33" s="172" t="s">
        <v>72</v>
      </c>
      <c r="C33" s="167"/>
      <c r="D33" s="167"/>
      <c r="E33" s="167"/>
      <c r="F33" s="167"/>
      <c r="G33" s="167"/>
      <c r="H33" s="167"/>
      <c r="I33" s="167"/>
      <c r="J33" s="170"/>
      <c r="K33" s="134"/>
      <c r="L33" s="261"/>
    </row>
    <row r="34" spans="1:12">
      <c r="A34" s="31"/>
      <c r="B34" s="172" t="s">
        <v>343</v>
      </c>
      <c r="C34" s="167"/>
      <c r="D34" s="180" t="s">
        <v>674</v>
      </c>
      <c r="E34" s="176"/>
      <c r="F34" s="176"/>
      <c r="G34" s="167"/>
      <c r="H34" s="167"/>
      <c r="I34" s="167"/>
      <c r="J34" s="170"/>
      <c r="K34" s="134"/>
      <c r="L34" s="261"/>
    </row>
    <row r="35" spans="1:12">
      <c r="A35" s="31"/>
      <c r="B35" s="172" t="s">
        <v>344</v>
      </c>
      <c r="C35" s="167"/>
      <c r="D35" s="180" t="s">
        <v>672</v>
      </c>
      <c r="E35" s="231" t="s">
        <v>119</v>
      </c>
      <c r="F35" s="176"/>
      <c r="G35" s="167"/>
      <c r="H35" s="167"/>
      <c r="I35" s="167"/>
      <c r="J35" s="170"/>
      <c r="K35" s="134"/>
      <c r="L35" s="261"/>
    </row>
    <row r="36" spans="1:12">
      <c r="A36" s="31"/>
      <c r="B36" s="167"/>
      <c r="C36" s="167"/>
      <c r="D36" s="176"/>
      <c r="E36" s="176"/>
      <c r="F36" s="176"/>
      <c r="G36" s="167"/>
      <c r="H36" s="167"/>
      <c r="I36" s="167"/>
      <c r="J36" s="170"/>
      <c r="K36" s="134"/>
      <c r="L36" s="261"/>
    </row>
    <row r="37" spans="1:12">
      <c r="A37" s="31"/>
      <c r="B37" s="250" t="s">
        <v>122</v>
      </c>
      <c r="C37" s="250"/>
      <c r="D37" s="250"/>
      <c r="E37" s="178" t="str">
        <f>D29</f>
        <v>profit and loss account</v>
      </c>
      <c r="F37" s="167" t="s">
        <v>123</v>
      </c>
      <c r="G37" s="167"/>
      <c r="H37" s="167"/>
      <c r="I37" s="167"/>
      <c r="J37" s="170"/>
      <c r="K37" s="134"/>
      <c r="L37" s="261"/>
    </row>
    <row r="38" spans="1:12">
      <c r="A38" s="31"/>
      <c r="B38" s="167"/>
      <c r="C38" s="167"/>
      <c r="D38" s="167"/>
      <c r="E38" s="167"/>
      <c r="F38" s="167"/>
      <c r="G38" s="167"/>
      <c r="H38" s="167"/>
      <c r="I38" s="167"/>
      <c r="J38" s="170"/>
      <c r="K38" s="134"/>
      <c r="L38" s="261"/>
    </row>
    <row r="39" spans="1:12">
      <c r="A39" s="31"/>
      <c r="B39" s="167"/>
      <c r="C39" s="167"/>
      <c r="D39" s="167"/>
      <c r="E39" s="167"/>
      <c r="F39" s="167"/>
      <c r="G39" s="167"/>
      <c r="H39" s="167"/>
      <c r="I39" s="167"/>
      <c r="J39" s="170"/>
      <c r="K39" s="134"/>
      <c r="L39" s="261"/>
    </row>
    <row r="40" spans="1:12">
      <c r="A40" s="37">
        <v>2</v>
      </c>
      <c r="B40" s="263" t="str">
        <f>B5</f>
        <v>I</v>
      </c>
      <c r="C40" s="263"/>
      <c r="D40" s="264" t="s">
        <v>86</v>
      </c>
      <c r="E40" s="265"/>
      <c r="F40" s="167"/>
      <c r="G40" s="167"/>
      <c r="H40" s="167"/>
      <c r="I40" s="167"/>
      <c r="J40" s="170"/>
      <c r="K40" s="134"/>
      <c r="L40" s="261"/>
    </row>
    <row r="41" spans="1:12">
      <c r="A41" s="31"/>
      <c r="B41" s="266" t="s">
        <v>626</v>
      </c>
      <c r="C41" s="267"/>
      <c r="D41" s="267"/>
      <c r="E41" s="268"/>
      <c r="F41" s="250" t="s">
        <v>113</v>
      </c>
      <c r="G41" s="250"/>
      <c r="H41" s="250"/>
      <c r="I41" s="250"/>
      <c r="J41" s="251"/>
      <c r="K41" s="134"/>
      <c r="L41" s="261"/>
    </row>
    <row r="42" spans="1:12">
      <c r="A42" s="31"/>
      <c r="B42" s="230" t="s">
        <v>96</v>
      </c>
      <c r="C42" s="230"/>
      <c r="D42" s="230"/>
      <c r="E42" s="167"/>
      <c r="F42" s="167"/>
      <c r="G42" s="167"/>
      <c r="H42" s="167"/>
      <c r="I42" s="167"/>
      <c r="J42" s="170"/>
      <c r="K42" s="134"/>
      <c r="L42" s="261"/>
    </row>
    <row r="43" spans="1:12">
      <c r="A43" s="31"/>
      <c r="B43" s="167"/>
      <c r="C43" s="230"/>
      <c r="D43" s="230"/>
      <c r="E43" s="230"/>
      <c r="F43" s="182"/>
      <c r="G43" s="182"/>
      <c r="H43" s="182"/>
      <c r="I43" s="167"/>
      <c r="J43" s="170"/>
      <c r="K43" s="134"/>
      <c r="L43" s="261"/>
    </row>
    <row r="44" spans="1:12">
      <c r="A44" s="37">
        <v>3</v>
      </c>
      <c r="B44" s="250" t="s">
        <v>107</v>
      </c>
      <c r="C44" s="250"/>
      <c r="D44" s="250"/>
      <c r="E44" s="250"/>
      <c r="F44" s="250"/>
      <c r="G44" s="250"/>
      <c r="H44" s="250"/>
      <c r="I44" s="250"/>
      <c r="J44" s="251"/>
      <c r="K44" s="134"/>
      <c r="L44" s="261"/>
    </row>
    <row r="45" spans="1:12">
      <c r="A45" s="31"/>
      <c r="B45" s="250" t="s">
        <v>108</v>
      </c>
      <c r="C45" s="250"/>
      <c r="D45" s="230"/>
      <c r="E45" s="230"/>
      <c r="F45" s="182"/>
      <c r="G45" s="182"/>
      <c r="H45" s="182"/>
      <c r="I45" s="167"/>
      <c r="J45" s="170"/>
      <c r="K45" s="134"/>
      <c r="L45" s="261"/>
    </row>
    <row r="46" spans="1:12">
      <c r="A46" s="31"/>
      <c r="B46" s="167"/>
      <c r="C46" s="230"/>
      <c r="D46" s="230"/>
      <c r="E46" s="230"/>
      <c r="F46" s="182"/>
      <c r="G46" s="182"/>
      <c r="H46" s="182"/>
      <c r="I46" s="167"/>
      <c r="J46" s="170"/>
      <c r="K46" s="134"/>
      <c r="L46" s="261"/>
    </row>
    <row r="47" spans="1:12">
      <c r="A47" s="37">
        <v>4</v>
      </c>
      <c r="B47" s="167" t="s">
        <v>100</v>
      </c>
      <c r="C47" s="178" t="str">
        <f>IF($B5="I", "my","our")</f>
        <v>my</v>
      </c>
      <c r="D47" s="167" t="s">
        <v>109</v>
      </c>
      <c r="E47" s="178" t="str">
        <f>IF($B5="I", "my","our")</f>
        <v>my</v>
      </c>
      <c r="F47" s="252" t="s">
        <v>110</v>
      </c>
      <c r="G47" s="253"/>
      <c r="H47" s="178" t="str">
        <f>IF($B5="I", "my","our")</f>
        <v>my</v>
      </c>
      <c r="I47" s="254" t="s">
        <v>111</v>
      </c>
      <c r="J47" s="251"/>
      <c r="K47" s="134"/>
      <c r="L47" s="261"/>
    </row>
    <row r="48" spans="1:12">
      <c r="A48" s="31"/>
      <c r="B48" s="250" t="s">
        <v>112</v>
      </c>
      <c r="C48" s="250"/>
      <c r="D48" s="250"/>
      <c r="E48" s="250"/>
      <c r="F48" s="250"/>
      <c r="G48" s="182"/>
      <c r="H48" s="182"/>
      <c r="I48" s="167"/>
      <c r="J48" s="170"/>
      <c r="K48" s="134"/>
      <c r="L48" s="261"/>
    </row>
    <row r="49" spans="1:12">
      <c r="A49" s="31"/>
      <c r="B49" s="231"/>
      <c r="C49" s="231"/>
      <c r="D49" s="231"/>
      <c r="E49" s="231"/>
      <c r="F49" s="231"/>
      <c r="G49" s="182"/>
      <c r="H49" s="182"/>
      <c r="I49" s="167"/>
      <c r="J49" s="170"/>
      <c r="K49" s="134"/>
      <c r="L49" s="261"/>
    </row>
    <row r="50" spans="1:12">
      <c r="A50" s="31"/>
      <c r="B50" s="184" t="s">
        <v>81</v>
      </c>
      <c r="C50" s="167"/>
      <c r="D50" s="167"/>
      <c r="E50" s="167"/>
      <c r="F50" s="167"/>
      <c r="G50" s="167"/>
      <c r="H50" s="167"/>
      <c r="I50" s="167"/>
      <c r="J50" s="170"/>
      <c r="K50" s="134"/>
      <c r="L50" s="261"/>
    </row>
    <row r="51" spans="1:12">
      <c r="A51" s="31"/>
      <c r="B51" s="167"/>
      <c r="C51" s="167"/>
      <c r="D51" s="167"/>
      <c r="E51" s="167"/>
      <c r="F51" s="167"/>
      <c r="G51" s="167"/>
      <c r="H51" s="167"/>
      <c r="I51" s="167"/>
      <c r="J51" s="170"/>
      <c r="K51" s="134"/>
      <c r="L51" s="261"/>
    </row>
    <row r="52" spans="1:12">
      <c r="A52" s="31"/>
      <c r="B52" s="167"/>
      <c r="C52" s="167"/>
      <c r="D52" s="167"/>
      <c r="E52" s="167"/>
      <c r="F52" s="167"/>
      <c r="G52" s="167"/>
      <c r="H52" s="167"/>
      <c r="I52" s="167"/>
      <c r="J52" s="170"/>
      <c r="K52" s="134"/>
      <c r="L52" s="261"/>
    </row>
    <row r="53" spans="1:12">
      <c r="A53" s="31"/>
      <c r="B53" s="185" t="s">
        <v>74</v>
      </c>
      <c r="C53" s="269" t="s">
        <v>75</v>
      </c>
      <c r="D53" s="270"/>
      <c r="E53" s="270"/>
      <c r="F53" s="271"/>
      <c r="G53" s="185" t="s">
        <v>76</v>
      </c>
      <c r="H53" s="167"/>
      <c r="I53" s="167"/>
      <c r="J53" s="170"/>
      <c r="K53" s="134"/>
      <c r="L53" s="262"/>
    </row>
    <row r="54" spans="1:12">
      <c r="A54" s="21"/>
      <c r="B54" s="235">
        <v>1</v>
      </c>
      <c r="C54" s="256" t="s">
        <v>77</v>
      </c>
      <c r="D54" s="256"/>
      <c r="E54" s="256"/>
      <c r="F54" s="256"/>
      <c r="G54" s="236" t="s">
        <v>655</v>
      </c>
      <c r="H54" s="187"/>
      <c r="I54" s="187"/>
      <c r="J54" s="170"/>
      <c r="K54" s="134" t="s">
        <v>653</v>
      </c>
      <c r="L54" s="134"/>
    </row>
    <row r="55" spans="1:12">
      <c r="A55" s="21"/>
      <c r="B55" s="167"/>
      <c r="C55" s="167"/>
      <c r="D55" s="167"/>
      <c r="E55" s="167"/>
      <c r="F55" s="167"/>
      <c r="G55" s="167"/>
      <c r="H55" s="167"/>
      <c r="I55" s="167"/>
      <c r="J55" s="170"/>
      <c r="K55" s="134"/>
      <c r="L55" s="134"/>
    </row>
    <row r="56" spans="1:12">
      <c r="A56" s="21"/>
      <c r="B56" s="184" t="s">
        <v>80</v>
      </c>
      <c r="C56" s="167"/>
      <c r="D56" s="167"/>
      <c r="E56" s="167"/>
      <c r="F56" s="167"/>
      <c r="G56" s="167"/>
      <c r="H56" s="167"/>
      <c r="I56" s="167"/>
      <c r="J56" s="170"/>
      <c r="K56" s="134"/>
      <c r="L56" s="134"/>
    </row>
    <row r="57" spans="1:12">
      <c r="A57" s="21"/>
      <c r="B57" s="184"/>
      <c r="C57" s="167"/>
      <c r="D57" s="167"/>
      <c r="E57" s="167"/>
      <c r="F57" s="167"/>
      <c r="G57" s="167"/>
      <c r="H57" s="167"/>
      <c r="I57" s="167"/>
      <c r="J57" s="170"/>
      <c r="K57" s="134"/>
      <c r="L57" s="134"/>
    </row>
    <row r="58" spans="1:12" ht="30">
      <c r="A58" s="21"/>
      <c r="B58" s="167" t="s">
        <v>328</v>
      </c>
      <c r="C58" s="167"/>
      <c r="D58" s="174" t="s">
        <v>656</v>
      </c>
      <c r="E58" s="167"/>
      <c r="F58" s="167"/>
      <c r="G58" s="167"/>
      <c r="H58" s="167"/>
      <c r="I58" s="167"/>
      <c r="J58" s="170"/>
      <c r="K58" s="134"/>
      <c r="L58" s="134"/>
    </row>
    <row r="59" spans="1:12" ht="45">
      <c r="A59" s="21"/>
      <c r="B59" s="167" t="s">
        <v>329</v>
      </c>
      <c r="C59" s="167"/>
      <c r="D59" s="174" t="s">
        <v>657</v>
      </c>
      <c r="E59" s="167"/>
      <c r="F59" s="167"/>
      <c r="G59" s="167"/>
      <c r="H59" s="167"/>
      <c r="I59" s="167"/>
      <c r="J59" s="170"/>
      <c r="K59" s="134"/>
      <c r="L59" s="134"/>
    </row>
    <row r="60" spans="1:12">
      <c r="A60" s="21"/>
      <c r="B60" s="167" t="s">
        <v>330</v>
      </c>
      <c r="C60" s="167"/>
      <c r="D60" s="174" t="s">
        <v>658</v>
      </c>
      <c r="E60" s="167"/>
      <c r="F60" s="167"/>
      <c r="G60" s="167"/>
      <c r="H60" s="167"/>
      <c r="I60" s="167"/>
      <c r="J60" s="170"/>
      <c r="K60" s="134"/>
      <c r="L60" s="134"/>
    </row>
    <row r="61" spans="1:12" ht="30">
      <c r="A61" s="21"/>
      <c r="B61" s="167" t="s">
        <v>331</v>
      </c>
      <c r="C61" s="167"/>
      <c r="D61" s="229" t="s">
        <v>644</v>
      </c>
      <c r="E61" s="167"/>
      <c r="F61" s="167"/>
      <c r="G61" s="167"/>
      <c r="H61" s="167"/>
      <c r="I61" s="167"/>
      <c r="J61" s="170"/>
      <c r="K61" s="134" t="s">
        <v>653</v>
      </c>
      <c r="L61" s="134"/>
    </row>
    <row r="62" spans="1:12">
      <c r="A62" s="21"/>
      <c r="B62" s="167" t="s">
        <v>332</v>
      </c>
      <c r="C62" s="167"/>
      <c r="D62" s="188" t="s">
        <v>348</v>
      </c>
      <c r="E62" s="226" t="s">
        <v>655</v>
      </c>
      <c r="F62" s="177" t="s">
        <v>158</v>
      </c>
      <c r="G62" s="165" t="s">
        <v>655</v>
      </c>
      <c r="H62" s="167"/>
      <c r="I62" s="167"/>
      <c r="J62" s="170"/>
      <c r="K62" s="134" t="s">
        <v>653</v>
      </c>
      <c r="L62" s="134"/>
    </row>
    <row r="63" spans="1:12">
      <c r="A63" s="21"/>
      <c r="B63" s="167"/>
      <c r="C63" s="167"/>
      <c r="D63" s="177" t="s">
        <v>161</v>
      </c>
      <c r="E63" s="165" t="s">
        <v>655</v>
      </c>
      <c r="F63" s="177" t="s">
        <v>334</v>
      </c>
      <c r="G63" s="226"/>
      <c r="H63" s="167"/>
      <c r="I63" s="167"/>
      <c r="J63" s="170"/>
      <c r="K63" s="134" t="s">
        <v>653</v>
      </c>
      <c r="L63" s="134"/>
    </row>
    <row r="64" spans="1:12">
      <c r="A64" s="21"/>
      <c r="B64" s="167"/>
      <c r="C64" s="167"/>
      <c r="D64" s="177" t="s">
        <v>335</v>
      </c>
      <c r="E64" s="226" t="s">
        <v>655</v>
      </c>
      <c r="F64" s="177" t="s">
        <v>336</v>
      </c>
      <c r="G64" s="226" t="s">
        <v>655</v>
      </c>
      <c r="H64" s="167"/>
      <c r="I64" s="167"/>
      <c r="J64" s="170"/>
      <c r="K64" s="134" t="s">
        <v>654</v>
      </c>
      <c r="L64" s="134"/>
    </row>
    <row r="65" spans="1:12">
      <c r="A65" s="21"/>
      <c r="B65" s="167"/>
      <c r="C65" s="167"/>
      <c r="D65" s="177" t="s">
        <v>337</v>
      </c>
      <c r="E65" s="227"/>
      <c r="F65" s="177" t="s">
        <v>338</v>
      </c>
      <c r="G65" s="228"/>
      <c r="H65" s="167"/>
      <c r="I65" s="167"/>
      <c r="J65" s="170"/>
      <c r="K65" s="134" t="s">
        <v>654</v>
      </c>
      <c r="L65" s="134"/>
    </row>
    <row r="66" spans="1:12">
      <c r="A66" s="22"/>
      <c r="B66" s="23"/>
      <c r="C66" s="23"/>
      <c r="D66" s="23"/>
      <c r="E66" s="23"/>
      <c r="F66" s="23"/>
      <c r="G66" s="23"/>
      <c r="H66" s="23"/>
      <c r="I66" s="23"/>
      <c r="J66" s="24"/>
      <c r="K66" s="136"/>
      <c r="L66" s="138"/>
    </row>
    <row r="67" spans="1:12">
      <c r="K67" s="137"/>
      <c r="L67" s="137"/>
    </row>
    <row r="68" spans="1:12">
      <c r="K68" s="137"/>
      <c r="L68" s="137"/>
    </row>
    <row r="69" spans="1:12">
      <c r="K69" s="137"/>
      <c r="L69" s="137"/>
    </row>
    <row r="70" spans="1:12">
      <c r="K70" s="137"/>
      <c r="L70" s="137"/>
    </row>
    <row r="71" spans="1:12">
      <c r="K71" s="137"/>
      <c r="L71" s="137"/>
    </row>
    <row r="72" spans="1:12">
      <c r="K72" s="137"/>
      <c r="L72" s="137"/>
    </row>
    <row r="73" spans="1:12">
      <c r="K73" s="137"/>
      <c r="L73" s="137"/>
    </row>
    <row r="74" spans="1:12">
      <c r="K74" s="137"/>
      <c r="L74" s="137"/>
    </row>
    <row r="75" spans="1:12">
      <c r="K75" s="137"/>
      <c r="L75" s="137"/>
    </row>
    <row r="76" spans="1:12">
      <c r="K76" s="137"/>
      <c r="L76" s="137"/>
    </row>
    <row r="77" spans="1:12">
      <c r="K77" s="137"/>
      <c r="L77" s="137"/>
    </row>
    <row r="78" spans="1:12">
      <c r="K78" s="137"/>
      <c r="L78" s="137"/>
    </row>
    <row r="79" spans="1:12">
      <c r="K79" s="137"/>
      <c r="L79" s="137"/>
    </row>
  </sheetData>
  <sheetProtection password="CB83"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dimension ref="A1:L226"/>
  <sheetViews>
    <sheetView workbookViewId="0"/>
  </sheetViews>
  <sheetFormatPr defaultRowHeight="15"/>
  <sheetData>
    <row r="1" spans="1:12">
      <c r="D1" s="63"/>
    </row>
    <row r="2" spans="1:12" ht="173.25">
      <c r="E2" s="328" t="s">
        <v>321</v>
      </c>
      <c r="F2" s="328"/>
      <c r="G2" s="328"/>
    </row>
    <row r="3" spans="1:12" ht="31.5">
      <c r="A3" s="121" t="s">
        <v>567</v>
      </c>
      <c r="B3" s="278" t="s">
        <v>320</v>
      </c>
      <c r="C3" s="278"/>
      <c r="D3" s="278"/>
      <c r="E3" s="278"/>
      <c r="F3" s="278"/>
      <c r="G3" s="278"/>
      <c r="H3" s="278"/>
      <c r="I3" s="278"/>
      <c r="J3" s="278"/>
      <c r="K3" s="278"/>
      <c r="L3" s="68"/>
    </row>
    <row r="4" spans="1:12" ht="31.5">
      <c r="A4" s="122">
        <v>1</v>
      </c>
      <c r="B4" s="272" t="s">
        <v>164</v>
      </c>
      <c r="C4" s="272"/>
      <c r="D4" s="329"/>
      <c r="E4" s="329"/>
      <c r="F4" s="329"/>
      <c r="G4" s="329"/>
      <c r="H4" s="329"/>
      <c r="I4" s="329"/>
      <c r="J4" s="329"/>
      <c r="K4" s="329"/>
    </row>
    <row r="5" spans="1:12" ht="15.75">
      <c r="A5" s="123">
        <v>2</v>
      </c>
      <c r="B5" s="274" t="s">
        <v>165</v>
      </c>
      <c r="C5" s="274"/>
      <c r="D5" s="330"/>
      <c r="E5" s="330"/>
      <c r="F5" s="330"/>
      <c r="G5" s="330"/>
      <c r="H5" s="330"/>
      <c r="I5" s="330"/>
      <c r="J5" s="330"/>
      <c r="K5" s="330"/>
    </row>
    <row r="6" spans="1:12" ht="31.5">
      <c r="A6" s="121" t="s">
        <v>89</v>
      </c>
      <c r="B6" s="274" t="s">
        <v>166</v>
      </c>
      <c r="C6" s="274"/>
      <c r="D6" s="278"/>
      <c r="E6" s="278"/>
      <c r="F6" s="278"/>
      <c r="G6" s="278"/>
      <c r="H6" s="278"/>
      <c r="I6" s="278"/>
      <c r="J6" s="278"/>
      <c r="K6" s="278"/>
    </row>
    <row r="7" spans="1:12" ht="47.25">
      <c r="A7" s="124" t="s">
        <v>90</v>
      </c>
      <c r="B7" s="272" t="s">
        <v>167</v>
      </c>
      <c r="C7" s="272"/>
      <c r="D7" s="277"/>
      <c r="E7" s="277"/>
      <c r="F7" s="277"/>
      <c r="G7" s="277"/>
      <c r="H7" s="277"/>
      <c r="I7" s="277"/>
      <c r="J7" s="277"/>
      <c r="K7" s="277"/>
    </row>
    <row r="8" spans="1:12" ht="15.75">
      <c r="A8" s="124" t="s">
        <v>580</v>
      </c>
      <c r="B8" s="272" t="s">
        <v>582</v>
      </c>
      <c r="C8" s="272"/>
      <c r="D8" s="277" t="s">
        <v>585</v>
      </c>
      <c r="E8" s="277"/>
      <c r="F8" s="277"/>
      <c r="G8" s="277"/>
      <c r="H8" s="277"/>
      <c r="I8" s="277"/>
      <c r="J8" s="277"/>
      <c r="K8" s="277"/>
    </row>
    <row r="9" spans="1:12" ht="15.75">
      <c r="A9" s="124" t="s">
        <v>581</v>
      </c>
      <c r="B9" s="272" t="s">
        <v>583</v>
      </c>
      <c r="C9" s="272"/>
      <c r="D9" s="277" t="s">
        <v>585</v>
      </c>
      <c r="E9" s="277"/>
      <c r="F9" s="277"/>
      <c r="G9" s="277"/>
      <c r="H9" s="277"/>
      <c r="I9" s="277"/>
      <c r="J9" s="277"/>
      <c r="K9" s="277"/>
    </row>
    <row r="10" spans="1:12" ht="110.25">
      <c r="A10" s="123">
        <v>4</v>
      </c>
      <c r="B10" s="274" t="s">
        <v>586</v>
      </c>
      <c r="C10" s="274"/>
      <c r="D10" s="274"/>
      <c r="E10" s="274"/>
      <c r="F10" s="274"/>
      <c r="G10" s="274"/>
      <c r="H10" s="278"/>
      <c r="I10" s="278"/>
      <c r="J10" s="278"/>
      <c r="K10" s="278"/>
    </row>
    <row r="11" spans="1:12" ht="283.5">
      <c r="A11" s="123" t="s">
        <v>288</v>
      </c>
      <c r="B11" s="274" t="s">
        <v>584</v>
      </c>
      <c r="C11" s="274"/>
      <c r="D11" s="274"/>
      <c r="E11" s="274"/>
      <c r="F11" s="274"/>
      <c r="G11" s="274"/>
      <c r="H11" s="278"/>
      <c r="I11" s="278"/>
      <c r="J11" s="278"/>
      <c r="K11" s="278"/>
    </row>
    <row r="12" spans="1:12" ht="141.75">
      <c r="A12" s="103"/>
      <c r="B12" s="326"/>
      <c r="C12" s="326"/>
      <c r="D12" s="326"/>
      <c r="E12" s="326"/>
      <c r="F12" s="326"/>
      <c r="G12" s="327" t="s">
        <v>168</v>
      </c>
      <c r="H12" s="327"/>
      <c r="I12" s="327"/>
      <c r="J12" s="327"/>
      <c r="K12" s="327"/>
    </row>
    <row r="13" spans="1:12" ht="362.25">
      <c r="A13" s="121" t="s">
        <v>568</v>
      </c>
      <c r="B13" s="312" t="s">
        <v>322</v>
      </c>
      <c r="C13" s="312"/>
      <c r="D13" s="312"/>
      <c r="E13" s="312"/>
      <c r="F13" s="312"/>
      <c r="G13" s="312"/>
      <c r="H13" s="312"/>
      <c r="I13" s="312"/>
      <c r="J13" s="312"/>
      <c r="K13" s="312"/>
    </row>
    <row r="14" spans="1:12" ht="78.75">
      <c r="A14" s="123">
        <v>5</v>
      </c>
      <c r="B14" s="314" t="s">
        <v>169</v>
      </c>
      <c r="C14" s="314"/>
      <c r="D14" s="314"/>
      <c r="E14" s="314"/>
      <c r="F14" s="314"/>
      <c r="G14" s="314"/>
      <c r="H14" s="314"/>
      <c r="I14" s="314"/>
      <c r="J14" s="314"/>
      <c r="K14" s="314"/>
    </row>
    <row r="15" spans="1:12" ht="31.5">
      <c r="A15" s="123" t="s">
        <v>587</v>
      </c>
      <c r="B15" s="278" t="s">
        <v>24</v>
      </c>
      <c r="C15" s="314"/>
      <c r="D15" s="314"/>
      <c r="E15" s="314"/>
      <c r="F15" s="314"/>
      <c r="G15" s="314"/>
      <c r="H15" s="314"/>
      <c r="I15" s="278" t="s">
        <v>615</v>
      </c>
      <c r="J15" s="314"/>
      <c r="K15" s="314"/>
    </row>
    <row r="16" spans="1:12" ht="393.75">
      <c r="A16" s="124" t="s">
        <v>170</v>
      </c>
      <c r="B16" s="319" t="s">
        <v>171</v>
      </c>
      <c r="C16" s="319"/>
      <c r="D16" s="319"/>
      <c r="E16" s="319"/>
      <c r="F16" s="319"/>
      <c r="G16" s="319"/>
      <c r="H16" s="319"/>
      <c r="I16" s="273"/>
      <c r="J16" s="273"/>
      <c r="K16" s="273"/>
    </row>
    <row r="17" spans="1:11" ht="110.25">
      <c r="A17" s="121" t="s">
        <v>172</v>
      </c>
      <c r="B17" s="305" t="s">
        <v>173</v>
      </c>
      <c r="C17" s="305"/>
      <c r="D17" s="305"/>
      <c r="E17" s="305"/>
      <c r="F17" s="305"/>
      <c r="G17" s="305"/>
      <c r="H17" s="126" t="s">
        <v>589</v>
      </c>
      <c r="I17" s="273"/>
      <c r="J17" s="273"/>
      <c r="K17" s="273"/>
    </row>
    <row r="18" spans="1:11" ht="126">
      <c r="A18" s="121" t="s">
        <v>174</v>
      </c>
      <c r="B18" s="305" t="s">
        <v>175</v>
      </c>
      <c r="C18" s="305"/>
      <c r="D18" s="305"/>
      <c r="E18" s="305"/>
      <c r="F18" s="305"/>
      <c r="G18" s="305"/>
      <c r="H18" s="126" t="s">
        <v>589</v>
      </c>
      <c r="I18" s="273"/>
      <c r="J18" s="273"/>
      <c r="K18" s="273"/>
    </row>
    <row r="19" spans="1:11" ht="78.75">
      <c r="A19" s="121" t="s">
        <v>176</v>
      </c>
      <c r="B19" s="305" t="s">
        <v>177</v>
      </c>
      <c r="C19" s="305"/>
      <c r="D19" s="305"/>
      <c r="E19" s="305"/>
      <c r="F19" s="305"/>
      <c r="G19" s="305"/>
      <c r="H19" s="126" t="s">
        <v>589</v>
      </c>
      <c r="I19" s="273"/>
      <c r="J19" s="273"/>
      <c r="K19" s="273"/>
    </row>
    <row r="20" spans="1:11" ht="204.75">
      <c r="A20" s="121" t="s">
        <v>178</v>
      </c>
      <c r="B20" s="319" t="s">
        <v>179</v>
      </c>
      <c r="C20" s="319"/>
      <c r="D20" s="319"/>
      <c r="E20" s="319"/>
      <c r="F20" s="319"/>
      <c r="G20" s="319"/>
      <c r="H20" s="126" t="s">
        <v>589</v>
      </c>
      <c r="I20" s="273"/>
      <c r="J20" s="273"/>
      <c r="K20" s="273"/>
    </row>
    <row r="21" spans="1:11" ht="236.25">
      <c r="A21" s="121" t="s">
        <v>180</v>
      </c>
      <c r="B21" s="305" t="s">
        <v>289</v>
      </c>
      <c r="C21" s="305"/>
      <c r="D21" s="305"/>
      <c r="E21" s="305"/>
      <c r="F21" s="305"/>
      <c r="G21" s="305"/>
      <c r="H21" s="126" t="s">
        <v>589</v>
      </c>
      <c r="I21" s="273"/>
      <c r="J21" s="273"/>
      <c r="K21" s="273"/>
    </row>
    <row r="22" spans="1:11" ht="94.5">
      <c r="A22" s="121" t="s">
        <v>181</v>
      </c>
      <c r="B22" s="305" t="s">
        <v>182</v>
      </c>
      <c r="C22" s="305"/>
      <c r="D22" s="305"/>
      <c r="E22" s="305"/>
      <c r="F22" s="305"/>
      <c r="G22" s="305"/>
      <c r="H22" s="125" t="s">
        <v>590</v>
      </c>
      <c r="I22" s="273"/>
      <c r="J22" s="273"/>
      <c r="K22" s="273"/>
    </row>
    <row r="23" spans="1:11" ht="94.5">
      <c r="A23" s="121" t="s">
        <v>183</v>
      </c>
      <c r="B23" s="305" t="s">
        <v>184</v>
      </c>
      <c r="C23" s="305"/>
      <c r="D23" s="305"/>
      <c r="E23" s="305"/>
      <c r="F23" s="305"/>
      <c r="G23" s="305"/>
      <c r="H23" s="125" t="s">
        <v>590</v>
      </c>
      <c r="I23" s="273"/>
      <c r="J23" s="273"/>
      <c r="K23" s="273"/>
    </row>
    <row r="24" spans="1:11" ht="126">
      <c r="A24" s="121" t="s">
        <v>185</v>
      </c>
      <c r="B24" s="319" t="s">
        <v>186</v>
      </c>
      <c r="C24" s="319"/>
      <c r="D24" s="319"/>
      <c r="E24" s="319"/>
      <c r="F24" s="319"/>
      <c r="G24" s="319"/>
      <c r="H24" s="125" t="s">
        <v>590</v>
      </c>
      <c r="I24" s="273"/>
      <c r="J24" s="273"/>
      <c r="K24" s="273"/>
    </row>
    <row r="25" spans="1:11" ht="220.5">
      <c r="A25" s="121" t="s">
        <v>187</v>
      </c>
      <c r="B25" s="319" t="s">
        <v>188</v>
      </c>
      <c r="C25" s="319"/>
      <c r="D25" s="319"/>
      <c r="E25" s="319"/>
      <c r="F25" s="319"/>
      <c r="G25" s="319"/>
      <c r="H25" s="125" t="s">
        <v>590</v>
      </c>
      <c r="I25" s="273"/>
      <c r="J25" s="273"/>
      <c r="K25" s="273"/>
    </row>
    <row r="26" spans="1:11" ht="141.75">
      <c r="A26" s="121" t="s">
        <v>189</v>
      </c>
      <c r="B26" s="319" t="s">
        <v>190</v>
      </c>
      <c r="C26" s="319"/>
      <c r="D26" s="319"/>
      <c r="E26" s="319"/>
      <c r="F26" s="319"/>
      <c r="G26" s="319"/>
      <c r="H26" s="125" t="s">
        <v>590</v>
      </c>
      <c r="I26" s="273"/>
      <c r="J26" s="273"/>
      <c r="K26" s="273"/>
    </row>
    <row r="27" spans="1:11" ht="110.25">
      <c r="A27" s="121" t="s">
        <v>191</v>
      </c>
      <c r="B27" s="305" t="s">
        <v>192</v>
      </c>
      <c r="C27" s="305"/>
      <c r="D27" s="305"/>
      <c r="E27" s="305"/>
      <c r="F27" s="305"/>
      <c r="G27" s="305"/>
      <c r="H27" s="125" t="s">
        <v>590</v>
      </c>
      <c r="I27" s="273"/>
      <c r="J27" s="273"/>
      <c r="K27" s="273"/>
    </row>
    <row r="28" spans="1:11" ht="141.75">
      <c r="A28" s="121" t="s">
        <v>193</v>
      </c>
      <c r="B28" s="319" t="s">
        <v>194</v>
      </c>
      <c r="C28" s="319"/>
      <c r="D28" s="319"/>
      <c r="E28" s="319"/>
      <c r="F28" s="319"/>
      <c r="G28" s="319"/>
      <c r="H28" s="125" t="s">
        <v>591</v>
      </c>
      <c r="I28" s="273"/>
      <c r="J28" s="273"/>
      <c r="K28" s="273"/>
    </row>
    <row r="29" spans="1:11" ht="126">
      <c r="A29" s="121" t="s">
        <v>195</v>
      </c>
      <c r="B29" s="319" t="s">
        <v>196</v>
      </c>
      <c r="C29" s="319"/>
      <c r="D29" s="319"/>
      <c r="E29" s="319"/>
      <c r="F29" s="319"/>
      <c r="G29" s="319"/>
      <c r="H29" s="125" t="s">
        <v>591</v>
      </c>
      <c r="I29" s="273"/>
      <c r="J29" s="273"/>
      <c r="K29" s="273"/>
    </row>
    <row r="30" spans="1:11" ht="110.25">
      <c r="A30" s="121" t="s">
        <v>197</v>
      </c>
      <c r="B30" s="322" t="s">
        <v>634</v>
      </c>
      <c r="C30" s="322"/>
      <c r="D30" s="322"/>
      <c r="E30" s="322"/>
      <c r="F30" s="322"/>
      <c r="G30" s="322"/>
      <c r="H30" s="125" t="s">
        <v>591</v>
      </c>
      <c r="I30" s="273"/>
      <c r="J30" s="273"/>
      <c r="K30" s="273"/>
    </row>
    <row r="31" spans="1:11" ht="165">
      <c r="A31" s="121" t="s">
        <v>199</v>
      </c>
      <c r="B31" s="323" t="s">
        <v>627</v>
      </c>
      <c r="C31" s="323"/>
      <c r="D31" s="323"/>
      <c r="E31" s="323"/>
      <c r="F31" s="323"/>
      <c r="G31" s="323"/>
      <c r="H31" s="323"/>
      <c r="I31" s="308"/>
      <c r="J31" s="308"/>
      <c r="K31" s="308"/>
    </row>
    <row r="32" spans="1:11" ht="94.5">
      <c r="A32" s="121" t="s">
        <v>200</v>
      </c>
      <c r="B32" s="305" t="s">
        <v>201</v>
      </c>
      <c r="C32" s="305"/>
      <c r="D32" s="305"/>
      <c r="E32" s="305"/>
      <c r="F32" s="305"/>
      <c r="G32" s="305"/>
      <c r="H32" s="305"/>
      <c r="I32" s="273"/>
      <c r="J32" s="273"/>
      <c r="K32" s="273"/>
    </row>
    <row r="33" spans="1:11" ht="78.75">
      <c r="A33" s="121" t="s">
        <v>202</v>
      </c>
      <c r="B33" s="305" t="s">
        <v>203</v>
      </c>
      <c r="C33" s="305"/>
      <c r="D33" s="305"/>
      <c r="E33" s="305"/>
      <c r="F33" s="305"/>
      <c r="G33" s="305"/>
      <c r="H33" s="305"/>
      <c r="I33" s="324"/>
      <c r="J33" s="324"/>
      <c r="K33" s="324"/>
    </row>
    <row r="34" spans="1:11" ht="409.5">
      <c r="A34" s="123">
        <v>6</v>
      </c>
      <c r="B34" s="321" t="s">
        <v>204</v>
      </c>
      <c r="C34" s="321"/>
      <c r="D34" s="321"/>
      <c r="E34" s="321"/>
      <c r="F34" s="321"/>
      <c r="G34" s="321"/>
      <c r="H34" s="321"/>
      <c r="I34" s="321"/>
      <c r="J34" s="321"/>
      <c r="K34" s="321"/>
    </row>
    <row r="35" spans="1:11" ht="47.25">
      <c r="A35" s="121" t="s">
        <v>6</v>
      </c>
      <c r="B35" s="274" t="s">
        <v>317</v>
      </c>
      <c r="C35" s="274"/>
      <c r="D35" s="274"/>
      <c r="E35" s="274"/>
      <c r="F35" s="274"/>
      <c r="G35" s="274"/>
      <c r="H35" s="274"/>
      <c r="I35" s="274"/>
      <c r="J35" s="274"/>
      <c r="K35" s="274"/>
    </row>
    <row r="36" spans="1:11" ht="409.5">
      <c r="A36" s="123">
        <v>7</v>
      </c>
      <c r="B36" s="325" t="s">
        <v>205</v>
      </c>
      <c r="C36" s="325"/>
      <c r="D36" s="325"/>
      <c r="E36" s="325"/>
      <c r="F36" s="325"/>
      <c r="G36" s="325"/>
      <c r="H36" s="325"/>
      <c r="I36" s="325"/>
      <c r="J36" s="325"/>
      <c r="K36" s="325"/>
    </row>
    <row r="37" spans="1:11" ht="31.5">
      <c r="A37" s="123" t="s">
        <v>587</v>
      </c>
      <c r="B37" s="278" t="s">
        <v>24</v>
      </c>
      <c r="C37" s="314"/>
      <c r="D37" s="314"/>
      <c r="E37" s="314"/>
      <c r="F37" s="314"/>
      <c r="G37" s="314"/>
      <c r="H37" s="314"/>
      <c r="I37" s="278" t="s">
        <v>615</v>
      </c>
      <c r="J37" s="314"/>
      <c r="K37" s="314"/>
    </row>
    <row r="38" spans="1:11" ht="110.25">
      <c r="A38" s="124" t="s">
        <v>170</v>
      </c>
      <c r="B38" s="322" t="s">
        <v>206</v>
      </c>
      <c r="C38" s="322"/>
      <c r="D38" s="322"/>
      <c r="E38" s="322"/>
      <c r="F38" s="322"/>
      <c r="G38" s="322"/>
      <c r="H38" s="322"/>
      <c r="I38" s="308"/>
      <c r="J38" s="308"/>
      <c r="K38" s="308"/>
    </row>
    <row r="39" spans="1:11" ht="157.5">
      <c r="A39" s="124" t="s">
        <v>172</v>
      </c>
      <c r="B39" s="319" t="s">
        <v>207</v>
      </c>
      <c r="C39" s="319"/>
      <c r="D39" s="319"/>
      <c r="E39" s="319"/>
      <c r="F39" s="319"/>
      <c r="G39" s="319"/>
      <c r="H39" s="319"/>
      <c r="I39" s="273"/>
      <c r="J39" s="273"/>
      <c r="K39" s="273"/>
    </row>
    <row r="40" spans="1:11" ht="94.5">
      <c r="A40" s="121" t="s">
        <v>174</v>
      </c>
      <c r="B40" s="305" t="s">
        <v>208</v>
      </c>
      <c r="C40" s="305"/>
      <c r="D40" s="305"/>
      <c r="E40" s="305"/>
      <c r="F40" s="305"/>
      <c r="G40" s="305"/>
      <c r="H40" s="305"/>
      <c r="I40" s="273"/>
      <c r="J40" s="273"/>
      <c r="K40" s="273"/>
    </row>
    <row r="41" spans="1:11" ht="157.5">
      <c r="A41" s="121" t="s">
        <v>176</v>
      </c>
      <c r="B41" s="319" t="s">
        <v>209</v>
      </c>
      <c r="C41" s="319"/>
      <c r="D41" s="319"/>
      <c r="E41" s="319"/>
      <c r="F41" s="319"/>
      <c r="G41" s="319"/>
      <c r="H41" s="319"/>
      <c r="I41" s="273"/>
      <c r="J41" s="273"/>
      <c r="K41" s="273"/>
    </row>
    <row r="42" spans="1:11" ht="110.25">
      <c r="A42" s="121" t="s">
        <v>178</v>
      </c>
      <c r="B42" s="305" t="s">
        <v>210</v>
      </c>
      <c r="C42" s="305"/>
      <c r="D42" s="305"/>
      <c r="E42" s="305"/>
      <c r="F42" s="305"/>
      <c r="G42" s="305"/>
      <c r="H42" s="305"/>
      <c r="I42" s="308"/>
      <c r="J42" s="308"/>
      <c r="K42" s="308"/>
    </row>
    <row r="43" spans="1:11" ht="126">
      <c r="A43" s="121" t="s">
        <v>180</v>
      </c>
      <c r="B43" s="319" t="s">
        <v>211</v>
      </c>
      <c r="C43" s="319"/>
      <c r="D43" s="319"/>
      <c r="E43" s="319"/>
      <c r="F43" s="319"/>
      <c r="G43" s="319"/>
      <c r="H43" s="319"/>
      <c r="I43" s="273"/>
      <c r="J43" s="273"/>
      <c r="K43" s="273"/>
    </row>
    <row r="44" spans="1:11" ht="78.75">
      <c r="A44" s="121" t="s">
        <v>181</v>
      </c>
      <c r="B44" s="305" t="s">
        <v>212</v>
      </c>
      <c r="C44" s="305"/>
      <c r="D44" s="305"/>
      <c r="E44" s="305"/>
      <c r="F44" s="305"/>
      <c r="G44" s="305"/>
      <c r="H44" s="305"/>
      <c r="I44" s="308"/>
      <c r="J44" s="308"/>
      <c r="K44" s="308"/>
    </row>
    <row r="45" spans="1:11" ht="409.5">
      <c r="A45" s="123">
        <v>8</v>
      </c>
      <c r="B45" s="318" t="s">
        <v>213</v>
      </c>
      <c r="C45" s="318"/>
      <c r="D45" s="318"/>
      <c r="E45" s="318"/>
      <c r="F45" s="318"/>
      <c r="G45" s="318"/>
      <c r="H45" s="318"/>
      <c r="I45" s="318"/>
      <c r="J45" s="318"/>
      <c r="K45" s="318"/>
    </row>
    <row r="46" spans="1:11" ht="47.25">
      <c r="A46" s="121" t="s">
        <v>6</v>
      </c>
      <c r="B46" s="274" t="s">
        <v>317</v>
      </c>
      <c r="C46" s="274"/>
      <c r="D46" s="274"/>
      <c r="E46" s="274"/>
      <c r="F46" s="274"/>
      <c r="G46" s="274"/>
      <c r="H46" s="274"/>
      <c r="I46" s="274"/>
      <c r="J46" s="274"/>
      <c r="K46" s="274"/>
    </row>
    <row r="47" spans="1:11" ht="63">
      <c r="A47" s="121" t="s">
        <v>569</v>
      </c>
      <c r="B47" s="320" t="s">
        <v>323</v>
      </c>
      <c r="C47" s="320"/>
      <c r="D47" s="320"/>
      <c r="E47" s="320"/>
      <c r="F47" s="320"/>
      <c r="G47" s="320"/>
      <c r="H47" s="320"/>
      <c r="I47" s="320"/>
      <c r="J47" s="320"/>
      <c r="K47" s="320"/>
    </row>
    <row r="48" spans="1:11" ht="409.5">
      <c r="A48" s="123">
        <v>9</v>
      </c>
      <c r="B48" s="321" t="s">
        <v>214</v>
      </c>
      <c r="C48" s="321"/>
      <c r="D48" s="321"/>
      <c r="E48" s="321"/>
      <c r="F48" s="321"/>
      <c r="G48" s="321"/>
      <c r="H48" s="321"/>
      <c r="I48" s="321"/>
      <c r="J48" s="321"/>
      <c r="K48" s="321"/>
    </row>
    <row r="49" spans="1:11" ht="31.5">
      <c r="A49" s="317" t="s">
        <v>587</v>
      </c>
      <c r="B49" s="278" t="s">
        <v>216</v>
      </c>
      <c r="C49" s="278"/>
      <c r="D49" s="278" t="s">
        <v>217</v>
      </c>
      <c r="E49" s="278"/>
      <c r="F49" s="278" t="s">
        <v>215</v>
      </c>
      <c r="G49" s="278"/>
      <c r="H49" s="278"/>
      <c r="I49" s="278"/>
      <c r="J49" s="278"/>
      <c r="K49" s="278"/>
    </row>
    <row r="50" spans="1:11" ht="47.25">
      <c r="A50" s="317"/>
      <c r="B50" s="278"/>
      <c r="C50" s="278"/>
      <c r="D50" s="278"/>
      <c r="E50" s="278"/>
      <c r="F50" s="121" t="s">
        <v>49</v>
      </c>
      <c r="G50" s="121" t="s">
        <v>592</v>
      </c>
      <c r="H50" s="278" t="s">
        <v>218</v>
      </c>
      <c r="I50" s="278"/>
      <c r="J50" s="278" t="s">
        <v>616</v>
      </c>
      <c r="K50" s="302"/>
    </row>
    <row r="51" spans="1:11" ht="15.75">
      <c r="A51" s="121" t="s">
        <v>170</v>
      </c>
      <c r="B51" s="276">
        <v>0.05</v>
      </c>
      <c r="C51" s="276"/>
      <c r="D51" s="273"/>
      <c r="E51" s="273"/>
      <c r="F51" s="127"/>
      <c r="G51" s="127"/>
      <c r="H51" s="273"/>
      <c r="I51" s="273"/>
      <c r="J51" s="273"/>
      <c r="K51" s="273"/>
    </row>
    <row r="52" spans="1:11" ht="15.75">
      <c r="A52" s="121" t="s">
        <v>172</v>
      </c>
      <c r="B52" s="274" t="s">
        <v>219</v>
      </c>
      <c r="C52" s="274"/>
      <c r="D52" s="273"/>
      <c r="E52" s="273"/>
      <c r="F52" s="127"/>
      <c r="G52" s="127"/>
      <c r="H52" s="273"/>
      <c r="I52" s="273"/>
      <c r="J52" s="273"/>
      <c r="K52" s="273"/>
    </row>
    <row r="53" spans="1:11" ht="15.75">
      <c r="A53" s="121" t="s">
        <v>174</v>
      </c>
      <c r="B53" s="276">
        <v>0.12</v>
      </c>
      <c r="C53" s="276"/>
      <c r="D53" s="273"/>
      <c r="E53" s="273"/>
      <c r="F53" s="127"/>
      <c r="G53" s="127"/>
      <c r="H53" s="273"/>
      <c r="I53" s="273"/>
      <c r="J53" s="273"/>
      <c r="K53" s="273"/>
    </row>
    <row r="54" spans="1:11" ht="31.5">
      <c r="A54" s="121" t="s">
        <v>176</v>
      </c>
      <c r="B54" s="274" t="s">
        <v>220</v>
      </c>
      <c r="C54" s="274"/>
      <c r="D54" s="273"/>
      <c r="E54" s="273"/>
      <c r="F54" s="127"/>
      <c r="G54" s="127"/>
      <c r="H54" s="273"/>
      <c r="I54" s="273"/>
      <c r="J54" s="273"/>
      <c r="K54" s="273"/>
    </row>
    <row r="55" spans="1:11" ht="15.75">
      <c r="A55" s="121" t="s">
        <v>178</v>
      </c>
      <c r="B55" s="276">
        <v>0.18</v>
      </c>
      <c r="C55" s="276"/>
      <c r="D55" s="273"/>
      <c r="E55" s="273"/>
      <c r="F55" s="127"/>
      <c r="G55" s="127"/>
      <c r="H55" s="273"/>
      <c r="I55" s="273"/>
      <c r="J55" s="273"/>
      <c r="K55" s="273"/>
    </row>
    <row r="56" spans="1:11" ht="31.5">
      <c r="A56" s="121" t="s">
        <v>180</v>
      </c>
      <c r="B56" s="274" t="s">
        <v>221</v>
      </c>
      <c r="C56" s="274"/>
      <c r="D56" s="273"/>
      <c r="E56" s="273"/>
      <c r="F56" s="127"/>
      <c r="G56" s="127"/>
      <c r="H56" s="273"/>
      <c r="I56" s="273"/>
      <c r="J56" s="273"/>
      <c r="K56" s="273"/>
    </row>
    <row r="57" spans="1:11" ht="15.75">
      <c r="A57" s="121" t="s">
        <v>181</v>
      </c>
      <c r="B57" s="276">
        <v>0.28000000000000003</v>
      </c>
      <c r="C57" s="276"/>
      <c r="D57" s="273"/>
      <c r="E57" s="273"/>
      <c r="F57" s="127"/>
      <c r="G57" s="127"/>
      <c r="H57" s="273"/>
      <c r="I57" s="273"/>
      <c r="J57" s="273"/>
      <c r="K57" s="273"/>
    </row>
    <row r="58" spans="1:11" ht="31.5">
      <c r="A58" s="121" t="s">
        <v>183</v>
      </c>
      <c r="B58" s="274" t="s">
        <v>222</v>
      </c>
      <c r="C58" s="274"/>
      <c r="D58" s="273"/>
      <c r="E58" s="273"/>
      <c r="F58" s="127"/>
      <c r="G58" s="127"/>
      <c r="H58" s="273"/>
      <c r="I58" s="273"/>
      <c r="J58" s="273"/>
      <c r="K58" s="273"/>
    </row>
    <row r="59" spans="1:11" ht="15.75">
      <c r="A59" s="121" t="s">
        <v>185</v>
      </c>
      <c r="B59" s="276">
        <v>0.03</v>
      </c>
      <c r="C59" s="276"/>
      <c r="D59" s="273"/>
      <c r="E59" s="273"/>
      <c r="F59" s="127"/>
      <c r="G59" s="127"/>
      <c r="H59" s="273"/>
      <c r="I59" s="273"/>
      <c r="J59" s="273"/>
      <c r="K59" s="273"/>
    </row>
    <row r="60" spans="1:11" ht="15.75">
      <c r="A60" s="121" t="s">
        <v>187</v>
      </c>
      <c r="B60" s="275">
        <v>2.5000000000000001E-3</v>
      </c>
      <c r="C60" s="275"/>
      <c r="D60" s="273"/>
      <c r="E60" s="273"/>
      <c r="F60" s="127"/>
      <c r="G60" s="127"/>
      <c r="H60" s="273"/>
      <c r="I60" s="273"/>
      <c r="J60" s="273"/>
      <c r="K60" s="273"/>
    </row>
    <row r="61" spans="1:11" ht="15.75">
      <c r="A61" s="121" t="s">
        <v>189</v>
      </c>
      <c r="B61" s="275">
        <v>1E-3</v>
      </c>
      <c r="C61" s="275"/>
      <c r="D61" s="273"/>
      <c r="E61" s="273"/>
      <c r="F61" s="127"/>
      <c r="G61" s="127"/>
      <c r="H61" s="273"/>
      <c r="I61" s="273"/>
      <c r="J61" s="273"/>
      <c r="K61" s="273"/>
    </row>
    <row r="62" spans="1:11" ht="15.75">
      <c r="A62" s="121" t="s">
        <v>191</v>
      </c>
      <c r="B62" s="274" t="s">
        <v>223</v>
      </c>
      <c r="C62" s="274"/>
      <c r="D62" s="313"/>
      <c r="E62" s="313"/>
      <c r="F62" s="127"/>
      <c r="G62" s="127"/>
      <c r="H62" s="273"/>
      <c r="I62" s="273"/>
      <c r="J62" s="273"/>
      <c r="K62" s="273"/>
    </row>
    <row r="63" spans="1:11" ht="15.75">
      <c r="A63" s="121" t="s">
        <v>193</v>
      </c>
      <c r="B63" s="274" t="s">
        <v>224</v>
      </c>
      <c r="C63" s="274"/>
      <c r="D63" s="313"/>
      <c r="E63" s="313"/>
      <c r="F63" s="127"/>
      <c r="G63" s="127"/>
      <c r="H63" s="273"/>
      <c r="I63" s="273"/>
      <c r="J63" s="273"/>
      <c r="K63" s="273"/>
    </row>
    <row r="64" spans="1:11" ht="15.75">
      <c r="A64" s="121" t="s">
        <v>195</v>
      </c>
      <c r="B64" s="274" t="s">
        <v>225</v>
      </c>
      <c r="C64" s="274"/>
      <c r="D64" s="313"/>
      <c r="E64" s="313"/>
      <c r="F64" s="127"/>
      <c r="G64" s="127"/>
      <c r="H64" s="273"/>
      <c r="I64" s="273"/>
      <c r="J64" s="273"/>
      <c r="K64" s="273"/>
    </row>
    <row r="65" spans="1:11" ht="15.75">
      <c r="A65" s="121" t="s">
        <v>197</v>
      </c>
      <c r="B65" s="274" t="s">
        <v>226</v>
      </c>
      <c r="C65" s="274"/>
      <c r="D65" s="313"/>
      <c r="E65" s="313"/>
      <c r="F65" s="127"/>
      <c r="G65" s="127"/>
      <c r="H65" s="273"/>
      <c r="I65" s="273"/>
      <c r="J65" s="273"/>
      <c r="K65" s="273"/>
    </row>
    <row r="66" spans="1:11" ht="110.25">
      <c r="A66" s="121" t="s">
        <v>199</v>
      </c>
      <c r="B66" s="272" t="s">
        <v>227</v>
      </c>
      <c r="C66" s="272"/>
      <c r="D66" s="313"/>
      <c r="E66" s="313"/>
      <c r="F66" s="130"/>
      <c r="G66" s="130"/>
      <c r="H66" s="316"/>
      <c r="I66" s="316"/>
      <c r="J66" s="316"/>
      <c r="K66" s="316"/>
    </row>
    <row r="67" spans="1:11" ht="141.75">
      <c r="A67" s="121" t="s">
        <v>200</v>
      </c>
      <c r="B67" s="274" t="s">
        <v>228</v>
      </c>
      <c r="C67" s="272"/>
      <c r="D67" s="313"/>
      <c r="E67" s="313"/>
      <c r="F67" s="127"/>
      <c r="G67" s="127"/>
      <c r="H67" s="273"/>
      <c r="I67" s="273"/>
      <c r="J67" s="273"/>
      <c r="K67" s="273"/>
    </row>
    <row r="68" spans="1:11" ht="94.5">
      <c r="A68" s="121" t="s">
        <v>202</v>
      </c>
      <c r="B68" s="274" t="s">
        <v>229</v>
      </c>
      <c r="C68" s="274"/>
      <c r="D68" s="307"/>
      <c r="E68" s="307"/>
      <c r="F68" s="130"/>
      <c r="G68" s="130"/>
      <c r="H68" s="315"/>
      <c r="I68" s="315"/>
      <c r="J68" s="315"/>
      <c r="K68" s="315"/>
    </row>
    <row r="69" spans="1:11" ht="110.25">
      <c r="A69" s="123">
        <v>10</v>
      </c>
      <c r="B69" s="278" t="s">
        <v>230</v>
      </c>
      <c r="C69" s="314"/>
      <c r="D69" s="314"/>
      <c r="E69" s="314"/>
      <c r="F69" s="314"/>
      <c r="G69" s="314"/>
      <c r="H69" s="314"/>
      <c r="I69" s="314"/>
      <c r="J69" s="314"/>
      <c r="K69" s="314"/>
    </row>
    <row r="70" spans="1:11" ht="47.25">
      <c r="A70" s="121" t="s">
        <v>6</v>
      </c>
      <c r="B70" s="305" t="s">
        <v>317</v>
      </c>
      <c r="C70" s="305"/>
      <c r="D70" s="305"/>
      <c r="E70" s="274"/>
      <c r="F70" s="274"/>
      <c r="G70" s="274"/>
      <c r="H70" s="274"/>
      <c r="I70" s="274"/>
      <c r="J70" s="274"/>
      <c r="K70" s="274"/>
    </row>
    <row r="71" spans="1:11" ht="283.5">
      <c r="A71" s="123">
        <v>11</v>
      </c>
      <c r="B71" s="312" t="s">
        <v>231</v>
      </c>
      <c r="C71" s="312"/>
      <c r="D71" s="312"/>
      <c r="E71" s="312"/>
      <c r="F71" s="312"/>
      <c r="G71" s="312"/>
      <c r="H71" s="312"/>
      <c r="I71" s="312"/>
      <c r="J71" s="312"/>
      <c r="K71" s="312"/>
    </row>
    <row r="72" spans="1:11" ht="299.25">
      <c r="A72" s="129"/>
      <c r="B72" s="301"/>
      <c r="C72" s="301"/>
      <c r="D72" s="301"/>
      <c r="E72" s="301"/>
      <c r="F72" s="304" t="s">
        <v>232</v>
      </c>
      <c r="G72" s="304"/>
      <c r="H72" s="304"/>
      <c r="I72" s="304"/>
      <c r="J72" s="304"/>
      <c r="K72" s="304"/>
    </row>
    <row r="73" spans="1:11" ht="47.25">
      <c r="A73" s="128" t="s">
        <v>587</v>
      </c>
      <c r="B73" s="278" t="s">
        <v>216</v>
      </c>
      <c r="C73" s="278"/>
      <c r="D73" s="278" t="s">
        <v>217</v>
      </c>
      <c r="E73" s="278"/>
      <c r="F73" s="121" t="s">
        <v>49</v>
      </c>
      <c r="G73" s="121" t="s">
        <v>592</v>
      </c>
      <c r="H73" s="278" t="s">
        <v>48</v>
      </c>
      <c r="I73" s="278"/>
      <c r="J73" s="278" t="s">
        <v>617</v>
      </c>
      <c r="K73" s="302"/>
    </row>
    <row r="74" spans="1:11" ht="15.75">
      <c r="A74" s="128" t="s">
        <v>6</v>
      </c>
      <c r="B74" s="276">
        <v>0.05</v>
      </c>
      <c r="C74" s="276"/>
      <c r="D74" s="273"/>
      <c r="E74" s="273"/>
      <c r="F74" s="127"/>
      <c r="G74" s="127"/>
      <c r="H74" s="273"/>
      <c r="I74" s="273"/>
      <c r="J74" s="273"/>
      <c r="K74" s="273"/>
    </row>
    <row r="75" spans="1:11" ht="15.75">
      <c r="A75" s="128" t="s">
        <v>7</v>
      </c>
      <c r="B75" s="276">
        <v>0.12</v>
      </c>
      <c r="C75" s="276"/>
      <c r="D75" s="273"/>
      <c r="E75" s="273"/>
      <c r="F75" s="127"/>
      <c r="G75" s="127"/>
      <c r="H75" s="273"/>
      <c r="I75" s="273"/>
      <c r="J75" s="273"/>
      <c r="K75" s="273"/>
    </row>
    <row r="76" spans="1:11" ht="15.75">
      <c r="A76" s="128" t="s">
        <v>8</v>
      </c>
      <c r="B76" s="276">
        <v>0.18</v>
      </c>
      <c r="C76" s="276"/>
      <c r="D76" s="273"/>
      <c r="E76" s="273"/>
      <c r="F76" s="127"/>
      <c r="G76" s="127"/>
      <c r="H76" s="273"/>
      <c r="I76" s="273"/>
      <c r="J76" s="273"/>
      <c r="K76" s="273"/>
    </row>
    <row r="77" spans="1:11" ht="15.75">
      <c r="A77" s="128" t="s">
        <v>9</v>
      </c>
      <c r="B77" s="276">
        <v>0.28000000000000003</v>
      </c>
      <c r="C77" s="276"/>
      <c r="D77" s="273"/>
      <c r="E77" s="273"/>
      <c r="F77" s="127"/>
      <c r="G77" s="127"/>
      <c r="H77" s="273"/>
      <c r="I77" s="273"/>
      <c r="J77" s="273"/>
      <c r="K77" s="273"/>
    </row>
    <row r="78" spans="1:11" ht="15.75">
      <c r="A78" s="128" t="s">
        <v>10</v>
      </c>
      <c r="B78" s="276">
        <v>0.03</v>
      </c>
      <c r="C78" s="276"/>
      <c r="D78" s="273"/>
      <c r="E78" s="273"/>
      <c r="F78" s="127"/>
      <c r="G78" s="127"/>
      <c r="H78" s="273"/>
      <c r="I78" s="273"/>
      <c r="J78" s="273"/>
      <c r="K78" s="273"/>
    </row>
    <row r="79" spans="1:11" ht="15.75">
      <c r="A79" s="128" t="s">
        <v>11</v>
      </c>
      <c r="B79" s="275">
        <v>2.5000000000000001E-3</v>
      </c>
      <c r="C79" s="275"/>
      <c r="D79" s="273"/>
      <c r="E79" s="273"/>
      <c r="F79" s="127"/>
      <c r="G79" s="127"/>
      <c r="H79" s="273"/>
      <c r="I79" s="273"/>
      <c r="J79" s="273"/>
      <c r="K79" s="273"/>
    </row>
    <row r="80" spans="1:11" ht="15.75">
      <c r="A80" s="128" t="s">
        <v>12</v>
      </c>
      <c r="B80" s="275">
        <v>1E-3</v>
      </c>
      <c r="C80" s="275"/>
      <c r="D80" s="273"/>
      <c r="E80" s="273"/>
      <c r="F80" s="127"/>
      <c r="G80" s="127"/>
      <c r="H80" s="273"/>
      <c r="I80" s="273"/>
      <c r="J80" s="273"/>
      <c r="K80" s="273"/>
    </row>
    <row r="81" spans="1:11" ht="15.75">
      <c r="A81" s="128" t="s">
        <v>14</v>
      </c>
      <c r="B81" s="274" t="s">
        <v>223</v>
      </c>
      <c r="C81" s="274"/>
      <c r="D81" s="313"/>
      <c r="E81" s="313"/>
      <c r="F81" s="127"/>
      <c r="G81" s="127"/>
      <c r="H81" s="273"/>
      <c r="I81" s="273"/>
      <c r="J81" s="273"/>
      <c r="K81" s="273"/>
    </row>
    <row r="82" spans="1:11" ht="15.75">
      <c r="A82" s="128" t="s">
        <v>16</v>
      </c>
      <c r="B82" s="274" t="s">
        <v>224</v>
      </c>
      <c r="C82" s="274"/>
      <c r="D82" s="313"/>
      <c r="E82" s="313"/>
      <c r="F82" s="127"/>
      <c r="G82" s="127"/>
      <c r="H82" s="273"/>
      <c r="I82" s="273"/>
      <c r="J82" s="273"/>
      <c r="K82" s="273"/>
    </row>
    <row r="83" spans="1:11" ht="15.75">
      <c r="A83" s="128" t="s">
        <v>17</v>
      </c>
      <c r="B83" s="274" t="s">
        <v>225</v>
      </c>
      <c r="C83" s="274"/>
      <c r="D83" s="313"/>
      <c r="E83" s="313"/>
      <c r="F83" s="127"/>
      <c r="G83" s="127"/>
      <c r="H83" s="273"/>
      <c r="I83" s="273"/>
      <c r="J83" s="273"/>
      <c r="K83" s="273"/>
    </row>
    <row r="84" spans="1:11" ht="47.25">
      <c r="A84" s="128" t="s">
        <v>18</v>
      </c>
      <c r="B84" s="272" t="s">
        <v>233</v>
      </c>
      <c r="C84" s="272"/>
      <c r="D84" s="313"/>
      <c r="E84" s="313"/>
      <c r="F84" s="127"/>
      <c r="G84" s="127"/>
      <c r="H84" s="273"/>
      <c r="I84" s="273"/>
      <c r="J84" s="273"/>
      <c r="K84" s="273"/>
    </row>
    <row r="85" spans="1:11" ht="110.25">
      <c r="A85" s="278" t="s">
        <v>570</v>
      </c>
      <c r="B85" s="314" t="s">
        <v>325</v>
      </c>
      <c r="C85" s="314"/>
      <c r="D85" s="314"/>
      <c r="E85" s="314"/>
      <c r="F85" s="314"/>
      <c r="G85" s="314"/>
      <c r="H85" s="314"/>
      <c r="I85" s="314"/>
      <c r="J85" s="314"/>
      <c r="K85" s="314"/>
    </row>
    <row r="86" spans="1:11" ht="15.75">
      <c r="A86" s="278"/>
      <c r="B86" s="314"/>
      <c r="C86" s="314"/>
      <c r="D86" s="314"/>
      <c r="E86" s="314"/>
      <c r="F86" s="314"/>
      <c r="G86" s="314"/>
      <c r="H86" s="314"/>
      <c r="I86" s="314"/>
      <c r="J86" s="314"/>
      <c r="K86" s="314"/>
    </row>
    <row r="87" spans="1:11" ht="110.25">
      <c r="A87" s="123">
        <v>12</v>
      </c>
      <c r="B87" s="314" t="s">
        <v>234</v>
      </c>
      <c r="C87" s="314"/>
      <c r="D87" s="314"/>
      <c r="E87" s="314"/>
      <c r="F87" s="314"/>
      <c r="G87" s="314"/>
      <c r="H87" s="314"/>
      <c r="I87" s="314"/>
      <c r="J87" s="314"/>
      <c r="K87" s="314"/>
    </row>
    <row r="88" spans="1:11" ht="31.5">
      <c r="A88" s="123" t="s">
        <v>587</v>
      </c>
      <c r="B88" s="278" t="s">
        <v>24</v>
      </c>
      <c r="C88" s="314"/>
      <c r="D88" s="314"/>
      <c r="E88" s="314"/>
      <c r="F88" s="314"/>
      <c r="G88" s="314"/>
      <c r="H88" s="314"/>
      <c r="I88" s="278" t="s">
        <v>615</v>
      </c>
      <c r="J88" s="314"/>
      <c r="K88" s="314"/>
    </row>
    <row r="89" spans="1:11" ht="362.25">
      <c r="A89" s="124" t="s">
        <v>170</v>
      </c>
      <c r="B89" s="272" t="s">
        <v>235</v>
      </c>
      <c r="C89" s="272"/>
      <c r="D89" s="272"/>
      <c r="E89" s="272"/>
      <c r="F89" s="272"/>
      <c r="G89" s="272"/>
      <c r="H89" s="272"/>
      <c r="I89" s="273"/>
      <c r="J89" s="273"/>
      <c r="K89" s="273"/>
    </row>
    <row r="90" spans="1:11" ht="141.75">
      <c r="A90" s="124" t="s">
        <v>172</v>
      </c>
      <c r="B90" s="272" t="s">
        <v>236</v>
      </c>
      <c r="C90" s="272"/>
      <c r="D90" s="272"/>
      <c r="E90" s="272"/>
      <c r="F90" s="272"/>
      <c r="G90" s="272"/>
      <c r="H90" s="272"/>
      <c r="I90" s="273"/>
      <c r="J90" s="273"/>
      <c r="K90" s="273"/>
    </row>
    <row r="91" spans="1:11" ht="189">
      <c r="A91" s="124" t="s">
        <v>174</v>
      </c>
      <c r="B91" s="272" t="s">
        <v>237</v>
      </c>
      <c r="C91" s="272"/>
      <c r="D91" s="272"/>
      <c r="E91" s="272"/>
      <c r="F91" s="272"/>
      <c r="G91" s="272"/>
      <c r="H91" s="272"/>
      <c r="I91" s="273"/>
      <c r="J91" s="273"/>
      <c r="K91" s="273"/>
    </row>
    <row r="92" spans="1:11" ht="141.75">
      <c r="A92" s="124" t="s">
        <v>176</v>
      </c>
      <c r="B92" s="272" t="s">
        <v>238</v>
      </c>
      <c r="C92" s="272"/>
      <c r="D92" s="272"/>
      <c r="E92" s="272"/>
      <c r="F92" s="272"/>
      <c r="G92" s="272"/>
      <c r="H92" s="272"/>
      <c r="I92" s="308"/>
      <c r="J92" s="308"/>
      <c r="K92" s="308"/>
    </row>
    <row r="93" spans="1:11" ht="78.75">
      <c r="A93" s="121" t="s">
        <v>178</v>
      </c>
      <c r="B93" s="274" t="s">
        <v>239</v>
      </c>
      <c r="C93" s="274"/>
      <c r="D93" s="274"/>
      <c r="E93" s="274"/>
      <c r="F93" s="274"/>
      <c r="G93" s="274"/>
      <c r="H93" s="274"/>
      <c r="I93" s="273"/>
      <c r="J93" s="273"/>
      <c r="K93" s="273"/>
    </row>
    <row r="94" spans="1:11" ht="47.25">
      <c r="A94" s="121" t="s">
        <v>180</v>
      </c>
      <c r="B94" s="274" t="s">
        <v>240</v>
      </c>
      <c r="C94" s="274"/>
      <c r="D94" s="274"/>
      <c r="E94" s="274"/>
      <c r="F94" s="274"/>
      <c r="G94" s="274"/>
      <c r="H94" s="274"/>
      <c r="I94" s="308"/>
      <c r="J94" s="308"/>
      <c r="K94" s="308"/>
    </row>
    <row r="95" spans="1:11" ht="110.25">
      <c r="A95" s="123">
        <v>13</v>
      </c>
      <c r="B95" s="314" t="s">
        <v>241</v>
      </c>
      <c r="C95" s="314"/>
      <c r="D95" s="314"/>
      <c r="E95" s="314"/>
      <c r="F95" s="314"/>
      <c r="G95" s="314"/>
      <c r="H95" s="314"/>
      <c r="I95" s="314"/>
      <c r="J95" s="314"/>
      <c r="K95" s="314"/>
    </row>
    <row r="96" spans="1:11" ht="47.25">
      <c r="A96" s="121" t="s">
        <v>6</v>
      </c>
      <c r="B96" s="274" t="s">
        <v>317</v>
      </c>
      <c r="C96" s="274"/>
      <c r="D96" s="274"/>
      <c r="E96" s="274"/>
      <c r="F96" s="274"/>
      <c r="G96" s="274"/>
      <c r="H96" s="274"/>
      <c r="I96" s="274"/>
      <c r="J96" s="274"/>
      <c r="K96" s="274"/>
    </row>
    <row r="97" spans="1:11" ht="409.5">
      <c r="A97" s="123">
        <v>14</v>
      </c>
      <c r="B97" s="312" t="s">
        <v>242</v>
      </c>
      <c r="C97" s="312"/>
      <c r="D97" s="312"/>
      <c r="E97" s="312"/>
      <c r="F97" s="312"/>
      <c r="G97" s="312"/>
      <c r="H97" s="312"/>
      <c r="I97" s="312"/>
      <c r="J97" s="312"/>
      <c r="K97" s="312"/>
    </row>
    <row r="98" spans="1:11" ht="78.75">
      <c r="A98" s="131" t="s">
        <v>587</v>
      </c>
      <c r="B98" s="278" t="s">
        <v>216</v>
      </c>
      <c r="C98" s="278"/>
      <c r="D98" s="278"/>
      <c r="E98" s="278" t="s">
        <v>243</v>
      </c>
      <c r="F98" s="278"/>
      <c r="G98" s="310" t="s">
        <v>244</v>
      </c>
      <c r="H98" s="310"/>
      <c r="I98" s="311" t="s">
        <v>245</v>
      </c>
      <c r="J98" s="311"/>
      <c r="K98" s="311"/>
    </row>
    <row r="99" spans="1:11" ht="31.5">
      <c r="A99" s="121" t="s">
        <v>6</v>
      </c>
      <c r="B99" s="305" t="s">
        <v>259</v>
      </c>
      <c r="C99" s="305"/>
      <c r="D99" s="305"/>
      <c r="E99" s="273"/>
      <c r="F99" s="273"/>
      <c r="G99" s="273"/>
      <c r="H99" s="273"/>
      <c r="I99" s="273"/>
      <c r="J99" s="273"/>
      <c r="K99" s="273"/>
    </row>
    <row r="100" spans="1:11" ht="31.5">
      <c r="A100" s="121" t="s">
        <v>7</v>
      </c>
      <c r="B100" s="305" t="s">
        <v>56</v>
      </c>
      <c r="C100" s="305"/>
      <c r="D100" s="305"/>
      <c r="E100" s="273"/>
      <c r="F100" s="273"/>
      <c r="G100" s="273"/>
      <c r="H100" s="273"/>
      <c r="I100" s="273"/>
      <c r="J100" s="273"/>
      <c r="K100" s="273"/>
    </row>
    <row r="101" spans="1:11" ht="47.25">
      <c r="A101" s="121" t="s">
        <v>8</v>
      </c>
      <c r="B101" s="305" t="s">
        <v>156</v>
      </c>
      <c r="C101" s="305"/>
      <c r="D101" s="305"/>
      <c r="E101" s="273"/>
      <c r="F101" s="273"/>
      <c r="G101" s="273"/>
      <c r="H101" s="273"/>
      <c r="I101" s="273"/>
      <c r="J101" s="273"/>
      <c r="K101" s="273"/>
    </row>
    <row r="102" spans="1:11" ht="110.25">
      <c r="A102" s="121" t="s">
        <v>9</v>
      </c>
      <c r="B102" s="309" t="s">
        <v>157</v>
      </c>
      <c r="C102" s="309"/>
      <c r="D102" s="309"/>
      <c r="E102" s="273"/>
      <c r="F102" s="273"/>
      <c r="G102" s="273"/>
      <c r="H102" s="273"/>
      <c r="I102" s="273"/>
      <c r="J102" s="273"/>
      <c r="K102" s="273"/>
    </row>
    <row r="103" spans="1:11" ht="63">
      <c r="A103" s="121" t="s">
        <v>10</v>
      </c>
      <c r="B103" s="305" t="s">
        <v>35</v>
      </c>
      <c r="C103" s="305"/>
      <c r="D103" s="305"/>
      <c r="E103" s="273"/>
      <c r="F103" s="273"/>
      <c r="G103" s="273"/>
      <c r="H103" s="273"/>
      <c r="I103" s="273"/>
      <c r="J103" s="273"/>
      <c r="K103" s="273"/>
    </row>
    <row r="104" spans="1:11" ht="189">
      <c r="A104" s="124" t="s">
        <v>11</v>
      </c>
      <c r="B104" s="309" t="s">
        <v>36</v>
      </c>
      <c r="C104" s="309"/>
      <c r="D104" s="309"/>
      <c r="E104" s="273"/>
      <c r="F104" s="273"/>
      <c r="G104" s="273"/>
      <c r="H104" s="273"/>
      <c r="I104" s="273"/>
      <c r="J104" s="273"/>
      <c r="K104" s="273"/>
    </row>
    <row r="105" spans="1:11" ht="15.75">
      <c r="A105" s="121" t="s">
        <v>12</v>
      </c>
      <c r="B105" s="305" t="s">
        <v>37</v>
      </c>
      <c r="C105" s="305"/>
      <c r="D105" s="305"/>
      <c r="E105" s="273"/>
      <c r="F105" s="273"/>
      <c r="G105" s="273"/>
      <c r="H105" s="273"/>
      <c r="I105" s="273"/>
      <c r="J105" s="273"/>
      <c r="K105" s="273"/>
    </row>
    <row r="106" spans="1:11" ht="94.5">
      <c r="A106" s="121" t="s">
        <v>14</v>
      </c>
      <c r="B106" s="309" t="s">
        <v>327</v>
      </c>
      <c r="C106" s="309"/>
      <c r="D106" s="309"/>
      <c r="E106" s="273"/>
      <c r="F106" s="273"/>
      <c r="G106" s="273"/>
      <c r="H106" s="273"/>
      <c r="I106" s="273"/>
      <c r="J106" s="273"/>
      <c r="K106" s="273"/>
    </row>
    <row r="107" spans="1:11" ht="47.25">
      <c r="A107" s="121" t="s">
        <v>16</v>
      </c>
      <c r="B107" s="305" t="s">
        <v>38</v>
      </c>
      <c r="C107" s="305"/>
      <c r="D107" s="305"/>
      <c r="E107" s="273"/>
      <c r="F107" s="273"/>
      <c r="G107" s="273"/>
      <c r="H107" s="273"/>
      <c r="I107" s="273"/>
      <c r="J107" s="273"/>
      <c r="K107" s="273"/>
    </row>
    <row r="108" spans="1:11" ht="31.5">
      <c r="A108" s="121" t="s">
        <v>17</v>
      </c>
      <c r="B108" s="305" t="s">
        <v>39</v>
      </c>
      <c r="C108" s="305"/>
      <c r="D108" s="305"/>
      <c r="E108" s="273"/>
      <c r="F108" s="273"/>
      <c r="G108" s="273"/>
      <c r="H108" s="273"/>
      <c r="I108" s="273"/>
      <c r="J108" s="273"/>
      <c r="K108" s="273"/>
    </row>
    <row r="109" spans="1:11" ht="47.25">
      <c r="A109" s="121" t="s">
        <v>18</v>
      </c>
      <c r="B109" s="305" t="s">
        <v>40</v>
      </c>
      <c r="C109" s="305"/>
      <c r="D109" s="305"/>
      <c r="E109" s="273"/>
      <c r="F109" s="273"/>
      <c r="G109" s="273"/>
      <c r="H109" s="273"/>
      <c r="I109" s="273"/>
      <c r="J109" s="273"/>
      <c r="K109" s="273"/>
    </row>
    <row r="110" spans="1:11" ht="94.5">
      <c r="A110" s="121" t="s">
        <v>20</v>
      </c>
      <c r="B110" s="309" t="s">
        <v>41</v>
      </c>
      <c r="C110" s="309"/>
      <c r="D110" s="309"/>
      <c r="E110" s="273"/>
      <c r="F110" s="273"/>
      <c r="G110" s="273"/>
      <c r="H110" s="273"/>
      <c r="I110" s="273"/>
      <c r="J110" s="273"/>
      <c r="K110" s="273"/>
    </row>
    <row r="111" spans="1:11" ht="63">
      <c r="A111" s="121" t="s">
        <v>21</v>
      </c>
      <c r="B111" s="309" t="s">
        <v>42</v>
      </c>
      <c r="C111" s="309"/>
      <c r="D111" s="309"/>
      <c r="E111" s="273"/>
      <c r="F111" s="273"/>
      <c r="G111" s="273"/>
      <c r="H111" s="273"/>
      <c r="I111" s="273"/>
      <c r="J111" s="273"/>
      <c r="K111" s="273"/>
    </row>
    <row r="112" spans="1:11" ht="63">
      <c r="A112" s="121" t="s">
        <v>22</v>
      </c>
      <c r="B112" s="309" t="s">
        <v>260</v>
      </c>
      <c r="C112" s="309"/>
      <c r="D112" s="309"/>
      <c r="E112" s="273"/>
      <c r="F112" s="273"/>
      <c r="G112" s="273"/>
      <c r="H112" s="273"/>
      <c r="I112" s="273"/>
      <c r="J112" s="273"/>
      <c r="K112" s="273"/>
    </row>
    <row r="113" spans="1:11" ht="31.5">
      <c r="A113" s="121" t="s">
        <v>29</v>
      </c>
      <c r="B113" s="305" t="s">
        <v>43</v>
      </c>
      <c r="C113" s="305"/>
      <c r="D113" s="305"/>
      <c r="E113" s="273"/>
      <c r="F113" s="273"/>
      <c r="G113" s="273"/>
      <c r="H113" s="273"/>
      <c r="I113" s="273"/>
      <c r="J113" s="273"/>
      <c r="K113" s="273"/>
    </row>
    <row r="114" spans="1:11" ht="63">
      <c r="A114" s="121" t="s">
        <v>31</v>
      </c>
      <c r="B114" s="305" t="s">
        <v>44</v>
      </c>
      <c r="C114" s="305"/>
      <c r="D114" s="305"/>
      <c r="E114" s="273"/>
      <c r="F114" s="273"/>
      <c r="G114" s="273"/>
      <c r="H114" s="273"/>
      <c r="I114" s="273"/>
      <c r="J114" s="273"/>
      <c r="K114" s="273"/>
    </row>
    <row r="115" spans="1:11" ht="63">
      <c r="A115" s="121" t="s">
        <v>32</v>
      </c>
      <c r="B115" s="305" t="s">
        <v>45</v>
      </c>
      <c r="C115" s="305"/>
      <c r="D115" s="305"/>
      <c r="E115" s="273"/>
      <c r="F115" s="273"/>
      <c r="G115" s="273"/>
      <c r="H115" s="273"/>
      <c r="I115" s="273"/>
      <c r="J115" s="273"/>
      <c r="K115" s="273"/>
    </row>
    <row r="116" spans="1:11" ht="78.75">
      <c r="A116" s="121" t="s">
        <v>202</v>
      </c>
      <c r="B116" s="305" t="s">
        <v>618</v>
      </c>
      <c r="C116" s="305"/>
      <c r="D116" s="305"/>
      <c r="E116" s="307"/>
      <c r="F116" s="307"/>
      <c r="G116" s="307"/>
      <c r="H116" s="307"/>
      <c r="I116" s="308"/>
      <c r="J116" s="308"/>
      <c r="K116" s="308"/>
    </row>
    <row r="117" spans="1:11" ht="78.75">
      <c r="A117" s="121" t="s">
        <v>246</v>
      </c>
      <c r="B117" s="305" t="s">
        <v>619</v>
      </c>
      <c r="C117" s="305"/>
      <c r="D117" s="305"/>
      <c r="E117" s="307"/>
      <c r="F117" s="307"/>
      <c r="G117" s="307"/>
      <c r="H117" s="307"/>
      <c r="I117" s="273"/>
      <c r="J117" s="273"/>
      <c r="K117" s="273"/>
    </row>
    <row r="118" spans="1:11" ht="47.25">
      <c r="A118" s="121" t="s">
        <v>247</v>
      </c>
      <c r="B118" s="305" t="s">
        <v>240</v>
      </c>
      <c r="C118" s="305"/>
      <c r="D118" s="305"/>
      <c r="E118" s="307"/>
      <c r="F118" s="307"/>
      <c r="G118" s="307"/>
      <c r="H118" s="307"/>
      <c r="I118" s="308"/>
      <c r="J118" s="308"/>
      <c r="K118" s="308"/>
    </row>
    <row r="119" spans="1:11" ht="409.5">
      <c r="A119" s="123">
        <v>15</v>
      </c>
      <c r="B119" s="306" t="s">
        <v>248</v>
      </c>
      <c r="C119" s="306"/>
      <c r="D119" s="306"/>
      <c r="E119" s="306"/>
      <c r="F119" s="306"/>
      <c r="G119" s="306"/>
      <c r="H119" s="306"/>
      <c r="I119" s="306"/>
      <c r="J119" s="306"/>
      <c r="K119" s="306"/>
    </row>
    <row r="120" spans="1:11" ht="47.25">
      <c r="A120" s="121" t="s">
        <v>6</v>
      </c>
      <c r="B120" s="305" t="s">
        <v>317</v>
      </c>
      <c r="C120" s="305"/>
      <c r="D120" s="305"/>
      <c r="E120" s="274"/>
      <c r="F120" s="274"/>
      <c r="G120" s="274"/>
      <c r="H120" s="274"/>
      <c r="I120" s="274"/>
      <c r="J120" s="274"/>
      <c r="K120" s="274"/>
    </row>
    <row r="121" spans="1:11" ht="220.5">
      <c r="A121" s="122">
        <v>16</v>
      </c>
      <c r="B121" s="302" t="s">
        <v>249</v>
      </c>
      <c r="C121" s="302"/>
      <c r="D121" s="302"/>
      <c r="E121" s="302"/>
      <c r="F121" s="302"/>
      <c r="G121" s="302"/>
      <c r="H121" s="302"/>
      <c r="I121" s="302"/>
      <c r="J121" s="302"/>
      <c r="K121" s="302"/>
    </row>
    <row r="122" spans="1:11" ht="31.5">
      <c r="A122" s="128" t="s">
        <v>587</v>
      </c>
      <c r="B122" s="278" t="s">
        <v>216</v>
      </c>
      <c r="C122" s="278"/>
      <c r="D122" s="278" t="s">
        <v>250</v>
      </c>
      <c r="E122" s="278"/>
      <c r="F122" s="278"/>
      <c r="G122" s="278"/>
      <c r="H122" s="278"/>
      <c r="I122" s="278"/>
      <c r="J122" s="278"/>
      <c r="K122" s="278"/>
    </row>
    <row r="123" spans="1:11" ht="31.5">
      <c r="A123" s="128" t="s">
        <v>6</v>
      </c>
      <c r="B123" s="274" t="s">
        <v>251</v>
      </c>
      <c r="C123" s="274"/>
      <c r="D123" s="273"/>
      <c r="E123" s="273"/>
      <c r="F123" s="273"/>
      <c r="G123" s="273"/>
      <c r="H123" s="273"/>
      <c r="I123" s="273"/>
      <c r="J123" s="273"/>
      <c r="K123" s="273"/>
    </row>
    <row r="124" spans="1:11" ht="31.5">
      <c r="A124" s="128" t="s">
        <v>7</v>
      </c>
      <c r="B124" s="272" t="s">
        <v>252</v>
      </c>
      <c r="C124" s="272"/>
      <c r="D124" s="273"/>
      <c r="E124" s="273"/>
      <c r="F124" s="273"/>
      <c r="G124" s="273"/>
      <c r="H124" s="273"/>
      <c r="I124" s="273"/>
      <c r="J124" s="273"/>
      <c r="K124" s="273"/>
    </row>
    <row r="125" spans="1:11" ht="47.25">
      <c r="A125" s="128" t="s">
        <v>8</v>
      </c>
      <c r="B125" s="272" t="s">
        <v>253</v>
      </c>
      <c r="C125" s="272"/>
      <c r="D125" s="273"/>
      <c r="E125" s="273"/>
      <c r="F125" s="273"/>
      <c r="G125" s="273"/>
      <c r="H125" s="273"/>
      <c r="I125" s="273"/>
      <c r="J125" s="273"/>
      <c r="K125" s="273"/>
    </row>
    <row r="126" spans="1:11" ht="15.75">
      <c r="A126" s="128" t="s">
        <v>9</v>
      </c>
      <c r="B126" s="274" t="s">
        <v>254</v>
      </c>
      <c r="C126" s="274"/>
      <c r="D126" s="273"/>
      <c r="E126" s="273"/>
      <c r="F126" s="273"/>
      <c r="G126" s="273"/>
      <c r="H126" s="273"/>
      <c r="I126" s="273"/>
      <c r="J126" s="273"/>
      <c r="K126" s="273"/>
    </row>
    <row r="127" spans="1:11" ht="15.75">
      <c r="A127" s="128" t="s">
        <v>10</v>
      </c>
      <c r="B127" s="274" t="s">
        <v>223</v>
      </c>
      <c r="C127" s="274"/>
      <c r="D127" s="273"/>
      <c r="E127" s="273"/>
      <c r="F127" s="273"/>
      <c r="G127" s="273"/>
      <c r="H127" s="273"/>
      <c r="I127" s="273"/>
      <c r="J127" s="273"/>
      <c r="K127" s="273"/>
    </row>
    <row r="128" spans="1:11" ht="15.75">
      <c r="A128" s="128" t="s">
        <v>11</v>
      </c>
      <c r="B128" s="274" t="s">
        <v>225</v>
      </c>
      <c r="C128" s="274"/>
      <c r="D128" s="273"/>
      <c r="E128" s="273"/>
      <c r="F128" s="273"/>
      <c r="G128" s="273"/>
      <c r="H128" s="273"/>
      <c r="I128" s="273"/>
      <c r="J128" s="273"/>
      <c r="K128" s="273"/>
    </row>
    <row r="129" spans="1:11" ht="252">
      <c r="A129" s="121" t="s">
        <v>571</v>
      </c>
      <c r="B129" s="303" t="s">
        <v>318</v>
      </c>
      <c r="C129" s="303"/>
      <c r="D129" s="303"/>
      <c r="E129" s="303"/>
      <c r="F129" s="303"/>
      <c r="G129" s="303"/>
      <c r="H129" s="303"/>
      <c r="I129" s="303"/>
      <c r="J129" s="303"/>
      <c r="K129" s="303"/>
    </row>
    <row r="130" spans="1:11" ht="299.25">
      <c r="A130" s="129"/>
      <c r="B130" s="301"/>
      <c r="C130" s="301"/>
      <c r="D130" s="301"/>
      <c r="E130" s="301"/>
      <c r="F130" s="304" t="s">
        <v>232</v>
      </c>
      <c r="G130" s="304"/>
      <c r="H130" s="304"/>
      <c r="I130" s="304"/>
      <c r="J130" s="304"/>
      <c r="K130" s="304"/>
    </row>
    <row r="131" spans="1:11" ht="47.25">
      <c r="A131" s="128" t="s">
        <v>587</v>
      </c>
      <c r="B131" s="278" t="s">
        <v>216</v>
      </c>
      <c r="C131" s="278"/>
      <c r="D131" s="278" t="s">
        <v>243</v>
      </c>
      <c r="E131" s="278"/>
      <c r="F131" s="121" t="s">
        <v>49</v>
      </c>
      <c r="G131" s="121" t="s">
        <v>592</v>
      </c>
      <c r="H131" s="278" t="s">
        <v>48</v>
      </c>
      <c r="I131" s="278"/>
      <c r="J131" s="278" t="s">
        <v>324</v>
      </c>
      <c r="K131" s="302"/>
    </row>
    <row r="132" spans="1:11" ht="15.75">
      <c r="A132" s="128" t="s">
        <v>6</v>
      </c>
      <c r="B132" s="276">
        <v>0.05</v>
      </c>
      <c r="C132" s="276"/>
      <c r="D132" s="273"/>
      <c r="E132" s="273"/>
      <c r="F132" s="127"/>
      <c r="G132" s="127"/>
      <c r="H132" s="273"/>
      <c r="I132" s="273"/>
      <c r="J132" s="273"/>
      <c r="K132" s="273"/>
    </row>
    <row r="133" spans="1:11" ht="15.75">
      <c r="A133" s="128" t="s">
        <v>7</v>
      </c>
      <c r="B133" s="276">
        <v>0.12</v>
      </c>
      <c r="C133" s="276"/>
      <c r="D133" s="273"/>
      <c r="E133" s="273"/>
      <c r="F133" s="127"/>
      <c r="G133" s="127"/>
      <c r="H133" s="273"/>
      <c r="I133" s="273"/>
      <c r="J133" s="273"/>
      <c r="K133" s="273"/>
    </row>
    <row r="134" spans="1:11" ht="15.75">
      <c r="A134" s="128" t="s">
        <v>8</v>
      </c>
      <c r="B134" s="276">
        <v>0.18</v>
      </c>
      <c r="C134" s="276"/>
      <c r="D134" s="273"/>
      <c r="E134" s="273"/>
      <c r="F134" s="127"/>
      <c r="G134" s="127"/>
      <c r="H134" s="273"/>
      <c r="I134" s="273"/>
      <c r="J134" s="273"/>
      <c r="K134" s="273"/>
    </row>
    <row r="135" spans="1:11" ht="15.75">
      <c r="A135" s="128" t="s">
        <v>9</v>
      </c>
      <c r="B135" s="276">
        <v>0.28000000000000003</v>
      </c>
      <c r="C135" s="276"/>
      <c r="D135" s="273"/>
      <c r="E135" s="273"/>
      <c r="F135" s="127"/>
      <c r="G135" s="127"/>
      <c r="H135" s="273"/>
      <c r="I135" s="273"/>
      <c r="J135" s="273"/>
      <c r="K135" s="273"/>
    </row>
    <row r="136" spans="1:11" ht="15.75">
      <c r="A136" s="128" t="s">
        <v>10</v>
      </c>
      <c r="B136" s="276">
        <v>0.03</v>
      </c>
      <c r="C136" s="276"/>
      <c r="D136" s="273"/>
      <c r="E136" s="273"/>
      <c r="F136" s="127"/>
      <c r="G136" s="127"/>
      <c r="H136" s="273"/>
      <c r="I136" s="273"/>
      <c r="J136" s="273"/>
      <c r="K136" s="273"/>
    </row>
    <row r="137" spans="1:11" ht="15.75">
      <c r="A137" s="128" t="s">
        <v>11</v>
      </c>
      <c r="B137" s="275">
        <v>2.5000000000000001E-3</v>
      </c>
      <c r="C137" s="275"/>
      <c r="D137" s="273"/>
      <c r="E137" s="273"/>
      <c r="F137" s="127"/>
      <c r="G137" s="127"/>
      <c r="H137" s="273"/>
      <c r="I137" s="273"/>
      <c r="J137" s="273"/>
      <c r="K137" s="273"/>
    </row>
    <row r="138" spans="1:11" ht="15.75">
      <c r="A138" s="128" t="s">
        <v>12</v>
      </c>
      <c r="B138" s="275">
        <v>1E-3</v>
      </c>
      <c r="C138" s="275"/>
      <c r="D138" s="273"/>
      <c r="E138" s="273"/>
      <c r="F138" s="127"/>
      <c r="G138" s="127"/>
      <c r="H138" s="273"/>
      <c r="I138" s="273"/>
      <c r="J138" s="273"/>
      <c r="K138" s="273"/>
    </row>
    <row r="139" spans="1:11" ht="47.25">
      <c r="A139" s="128" t="s">
        <v>14</v>
      </c>
      <c r="B139" s="272" t="s">
        <v>255</v>
      </c>
      <c r="C139" s="272"/>
      <c r="D139" s="273"/>
      <c r="E139" s="273"/>
      <c r="F139" s="127"/>
      <c r="G139" s="127"/>
      <c r="H139" s="273"/>
      <c r="I139" s="273"/>
      <c r="J139" s="273"/>
      <c r="K139" s="273"/>
    </row>
    <row r="140" spans="1:11" ht="15.75">
      <c r="A140" s="128" t="s">
        <v>16</v>
      </c>
      <c r="B140" s="274" t="s">
        <v>223</v>
      </c>
      <c r="C140" s="274"/>
      <c r="D140" s="273"/>
      <c r="E140" s="273"/>
      <c r="F140" s="127"/>
      <c r="G140" s="127"/>
      <c r="H140" s="273"/>
      <c r="I140" s="273"/>
      <c r="J140" s="273"/>
      <c r="K140" s="273"/>
    </row>
    <row r="141" spans="1:11" ht="15.75">
      <c r="A141" s="128" t="s">
        <v>17</v>
      </c>
      <c r="B141" s="274" t="s">
        <v>224</v>
      </c>
      <c r="C141" s="274"/>
      <c r="D141" s="273"/>
      <c r="E141" s="273"/>
      <c r="F141" s="127"/>
      <c r="G141" s="127"/>
      <c r="H141" s="273"/>
      <c r="I141" s="273"/>
      <c r="J141" s="273"/>
      <c r="K141" s="273"/>
    </row>
    <row r="142" spans="1:11" ht="15.75">
      <c r="A142" s="128" t="s">
        <v>18</v>
      </c>
      <c r="B142" s="274" t="s">
        <v>225</v>
      </c>
      <c r="C142" s="274"/>
      <c r="D142" s="273"/>
      <c r="E142" s="273"/>
      <c r="F142" s="127"/>
      <c r="G142" s="127"/>
      <c r="H142" s="273"/>
      <c r="I142" s="273"/>
      <c r="J142" s="273"/>
      <c r="K142" s="273"/>
    </row>
    <row r="143" spans="1:11" ht="173.25">
      <c r="A143" s="128" t="s">
        <v>20</v>
      </c>
      <c r="B143" s="274" t="s">
        <v>326</v>
      </c>
      <c r="C143" s="272"/>
      <c r="D143" s="273"/>
      <c r="E143" s="273"/>
      <c r="F143" s="127"/>
      <c r="G143" s="127"/>
      <c r="H143" s="273"/>
      <c r="I143" s="273"/>
      <c r="J143" s="273"/>
      <c r="K143" s="273"/>
    </row>
    <row r="144" spans="1:11" ht="78.75">
      <c r="A144" s="128" t="s">
        <v>21</v>
      </c>
      <c r="B144" s="272" t="s">
        <v>256</v>
      </c>
      <c r="C144" s="272"/>
      <c r="D144" s="273"/>
      <c r="E144" s="273"/>
      <c r="F144" s="127"/>
      <c r="G144" s="127"/>
      <c r="H144" s="273"/>
      <c r="I144" s="273"/>
      <c r="J144" s="273"/>
      <c r="K144" s="273"/>
    </row>
    <row r="145" spans="1:12" ht="94.5">
      <c r="A145" s="128" t="s">
        <v>22</v>
      </c>
      <c r="B145" s="272" t="s">
        <v>257</v>
      </c>
      <c r="C145" s="272"/>
      <c r="D145" s="273"/>
      <c r="E145" s="273"/>
      <c r="F145" s="127"/>
      <c r="G145" s="127"/>
      <c r="H145" s="273"/>
      <c r="I145" s="273"/>
      <c r="J145" s="273"/>
      <c r="K145" s="273"/>
    </row>
    <row r="146" spans="1:12" ht="47.25">
      <c r="A146" s="128" t="s">
        <v>29</v>
      </c>
      <c r="B146" s="272" t="s">
        <v>258</v>
      </c>
      <c r="C146" s="272"/>
      <c r="D146" s="273"/>
      <c r="E146" s="273"/>
      <c r="F146" s="127"/>
      <c r="G146" s="127"/>
      <c r="H146" s="273"/>
      <c r="I146" s="273"/>
      <c r="J146" s="273"/>
      <c r="K146" s="273"/>
    </row>
    <row r="147" spans="1:12" ht="15.75">
      <c r="A147" s="62"/>
    </row>
    <row r="148" spans="1:12" ht="409.5">
      <c r="A148" s="300" t="s">
        <v>316</v>
      </c>
      <c r="B148" s="300"/>
      <c r="C148" s="300"/>
      <c r="D148" s="300"/>
      <c r="E148" s="300"/>
      <c r="F148" s="300"/>
      <c r="G148" s="300"/>
      <c r="H148" s="300"/>
      <c r="I148" s="300"/>
      <c r="J148" s="300"/>
      <c r="K148" s="300"/>
      <c r="L148" s="66"/>
    </row>
    <row r="149" spans="1:12" ht="15.75">
      <c r="A149" s="300"/>
      <c r="B149" s="300"/>
      <c r="C149" s="300"/>
      <c r="D149" s="300"/>
      <c r="E149" s="300"/>
      <c r="F149" s="300"/>
      <c r="G149" s="300"/>
      <c r="H149" s="300"/>
      <c r="I149" s="300"/>
      <c r="J149" s="300"/>
      <c r="K149" s="300"/>
      <c r="L149" s="66"/>
    </row>
    <row r="150" spans="1:12" ht="15.75">
      <c r="A150" s="300"/>
      <c r="B150" s="300"/>
      <c r="C150" s="300"/>
      <c r="D150" s="300"/>
      <c r="E150" s="300"/>
      <c r="F150" s="300"/>
      <c r="G150" s="300"/>
      <c r="H150" s="300"/>
      <c r="I150" s="300"/>
      <c r="J150" s="300"/>
      <c r="K150" s="300"/>
      <c r="L150" s="66"/>
    </row>
    <row r="151" spans="1:12" ht="15.75">
      <c r="A151" s="104"/>
      <c r="B151" s="104"/>
      <c r="C151" s="104"/>
      <c r="D151" s="104"/>
      <c r="E151" s="104"/>
      <c r="F151" s="104"/>
      <c r="G151" s="104"/>
      <c r="H151" s="104"/>
      <c r="I151" s="104"/>
      <c r="J151" s="104"/>
      <c r="K151" s="104"/>
    </row>
    <row r="152" spans="1:12" ht="31.5">
      <c r="A152" s="285" t="s">
        <v>593</v>
      </c>
      <c r="B152" s="285"/>
      <c r="C152" s="285"/>
      <c r="D152" s="104"/>
      <c r="E152" s="104"/>
      <c r="F152" s="282" t="str">
        <f>IF('PT V'!E25="","",'PT V'!E25)</f>
        <v>FARIDABAD</v>
      </c>
      <c r="G152" s="282"/>
      <c r="H152" s="282"/>
      <c r="I152" s="104"/>
      <c r="J152" s="104"/>
      <c r="K152" s="104"/>
    </row>
    <row r="153" spans="1:12" ht="47.25">
      <c r="A153" s="285" t="s">
        <v>594</v>
      </c>
      <c r="B153" s="285"/>
      <c r="C153" s="285"/>
      <c r="D153" s="104"/>
      <c r="E153" s="104"/>
      <c r="F153" s="282" t="str">
        <f>IF('PT V'!E26="","",'PT V'!E26)</f>
        <v>GYAN BHARDWAJ</v>
      </c>
      <c r="G153" s="282"/>
      <c r="H153" s="282"/>
      <c r="I153" s="104"/>
      <c r="J153" s="104"/>
      <c r="K153" s="104"/>
    </row>
    <row r="154" spans="1:12" ht="15.75">
      <c r="A154" s="285" t="s">
        <v>595</v>
      </c>
      <c r="B154" s="285"/>
      <c r="C154" s="285"/>
      <c r="D154" s="104"/>
      <c r="E154" s="104"/>
      <c r="F154" s="282" t="str">
        <f>IF('PT V'!E27="","",'PT V'!E27)</f>
        <v>81488</v>
      </c>
      <c r="G154" s="282"/>
      <c r="H154" s="282"/>
      <c r="I154" s="104"/>
      <c r="J154" s="104"/>
      <c r="K154" s="104"/>
    </row>
    <row r="155" spans="1:12" ht="15.75">
      <c r="A155" s="285" t="s">
        <v>596</v>
      </c>
      <c r="B155" s="285"/>
      <c r="C155" s="285"/>
      <c r="D155" s="104"/>
      <c r="E155" s="104"/>
      <c r="F155" s="287" t="str">
        <f>IF('PT V'!E28="","",'PT V'!E28)</f>
        <v>24/08/2019</v>
      </c>
      <c r="G155" s="287"/>
      <c r="H155" s="287"/>
      <c r="I155" s="104"/>
      <c r="J155" s="104"/>
      <c r="K155" s="104"/>
    </row>
    <row r="156" spans="1:12" ht="15.75">
      <c r="A156" s="104" t="s">
        <v>598</v>
      </c>
      <c r="B156" s="104"/>
      <c r="C156" s="279" t="s">
        <v>597</v>
      </c>
      <c r="D156" s="280"/>
      <c r="E156" s="281"/>
      <c r="F156" s="282" t="str">
        <f>'PT V'!E29</f>
        <v>B-545</v>
      </c>
      <c r="G156" s="282"/>
      <c r="H156" s="283" t="s">
        <v>158</v>
      </c>
      <c r="I156" s="283"/>
      <c r="J156" s="297" t="str">
        <f>IF('PT V'!G29="","",'PT V'!G29)</f>
        <v>2ND</v>
      </c>
      <c r="K156" s="282"/>
    </row>
    <row r="157" spans="1:12" ht="63">
      <c r="A157" s="104"/>
      <c r="B157" s="104"/>
      <c r="C157" s="284" t="s">
        <v>624</v>
      </c>
      <c r="D157" s="283"/>
      <c r="E157" s="283"/>
      <c r="F157" s="282" t="str">
        <f>IF('PT V'!E30="","",'PT V'!E30)</f>
        <v/>
      </c>
      <c r="G157" s="282"/>
      <c r="H157" s="283" t="s">
        <v>601</v>
      </c>
      <c r="I157" s="283"/>
      <c r="J157" s="282" t="str">
        <f>'PT V'!G30</f>
        <v>NEHRU GROUND</v>
      </c>
      <c r="K157" s="282"/>
    </row>
    <row r="158" spans="1:12" ht="31.5">
      <c r="A158" s="104"/>
      <c r="B158" s="104"/>
      <c r="C158" s="283" t="s">
        <v>611</v>
      </c>
      <c r="D158" s="283"/>
      <c r="E158" s="283"/>
      <c r="F158" s="282" t="str">
        <f>'PT V'!E31</f>
        <v>FARIDABAD</v>
      </c>
      <c r="G158" s="282"/>
      <c r="H158" s="283" t="s">
        <v>600</v>
      </c>
      <c r="I158" s="283"/>
      <c r="J158" s="282" t="str">
        <f>'PT V'!G31</f>
        <v>FARIDABAD</v>
      </c>
      <c r="K158" s="282"/>
    </row>
    <row r="159" spans="1:12" ht="31.5">
      <c r="A159" s="104"/>
      <c r="B159" s="104"/>
      <c r="C159" s="279" t="s">
        <v>599</v>
      </c>
      <c r="D159" s="280"/>
      <c r="E159" s="281"/>
      <c r="F159" s="282" t="str">
        <f>'PT V'!E32</f>
        <v>HARYANA</v>
      </c>
      <c r="G159" s="282"/>
      <c r="H159" s="283" t="s">
        <v>602</v>
      </c>
      <c r="I159" s="283"/>
      <c r="J159" s="282">
        <f>'PT V'!G32</f>
        <v>121001</v>
      </c>
      <c r="K159" s="282"/>
    </row>
    <row r="160" spans="1:12" ht="15.75">
      <c r="A160" s="104"/>
      <c r="B160" s="104"/>
      <c r="C160" s="107"/>
      <c r="D160" s="107"/>
      <c r="E160" s="107"/>
      <c r="F160" s="108"/>
      <c r="G160" s="108"/>
      <c r="H160" s="107"/>
      <c r="I160" s="107"/>
      <c r="J160" s="108"/>
      <c r="K160" s="108"/>
    </row>
    <row r="161" spans="1:11" ht="15.75">
      <c r="A161" s="285" t="s">
        <v>628</v>
      </c>
      <c r="B161" s="285"/>
      <c r="C161" s="285"/>
      <c r="D161" s="285"/>
      <c r="E161" s="104"/>
      <c r="F161" s="299" t="str">
        <f>'PT V'!E34</f>
        <v>ABXPB5439M</v>
      </c>
      <c r="G161" s="299"/>
      <c r="H161" s="104"/>
      <c r="I161" s="104"/>
      <c r="J161" s="104"/>
      <c r="K161" s="104"/>
    </row>
    <row r="162" spans="1:11" ht="15.75">
      <c r="A162" s="109"/>
      <c r="B162" s="109"/>
      <c r="C162" s="104"/>
      <c r="D162" s="104"/>
      <c r="E162" s="104"/>
      <c r="F162" s="109"/>
      <c r="G162" s="109"/>
      <c r="H162" s="104"/>
      <c r="I162" s="104"/>
      <c r="J162" s="104"/>
      <c r="K162" s="104"/>
    </row>
    <row r="163" spans="1:11" ht="409.5">
      <c r="A163" s="298" t="s">
        <v>613</v>
      </c>
      <c r="B163" s="298"/>
      <c r="C163" s="298"/>
      <c r="D163" s="298"/>
      <c r="E163" s="298"/>
      <c r="F163" s="298"/>
      <c r="G163" s="298"/>
      <c r="H163" s="298"/>
      <c r="I163" s="298"/>
      <c r="J163" s="298"/>
      <c r="K163" s="298"/>
    </row>
    <row r="164" spans="1:11" ht="15.75">
      <c r="A164" s="104"/>
      <c r="B164" s="104"/>
      <c r="C164" s="104"/>
      <c r="D164" s="104"/>
      <c r="E164" s="104"/>
      <c r="F164" s="104"/>
      <c r="G164" s="104"/>
      <c r="H164" s="104"/>
      <c r="I164" s="104"/>
      <c r="J164" s="104"/>
      <c r="K164" s="104"/>
    </row>
    <row r="165" spans="1:11" ht="15.75">
      <c r="A165" s="106" t="str">
        <f>'Part B (ii)'!B5</f>
        <v>I</v>
      </c>
      <c r="B165" s="104" t="s">
        <v>114</v>
      </c>
      <c r="C165" s="104"/>
      <c r="D165" s="104"/>
      <c r="E165" s="104"/>
      <c r="F165" s="104"/>
      <c r="G165" s="104"/>
      <c r="H165" s="104"/>
      <c r="I165" s="104"/>
      <c r="J165" s="104"/>
      <c r="K165" s="104"/>
    </row>
    <row r="166" spans="1:11" ht="15.75">
      <c r="A166" s="110"/>
      <c r="B166" s="104"/>
      <c r="C166" s="104"/>
      <c r="D166" s="104"/>
      <c r="E166" s="104"/>
      <c r="F166" s="104"/>
      <c r="G166" s="104"/>
      <c r="H166" s="104"/>
      <c r="I166" s="104"/>
      <c r="J166" s="104"/>
      <c r="K166" s="104"/>
    </row>
    <row r="167" spans="1:11" ht="141.75">
      <c r="A167" s="112" t="s">
        <v>609</v>
      </c>
      <c r="B167" s="104"/>
      <c r="C167" s="287" t="str">
        <f>'Part B (ii)'!C7</f>
        <v>M/S</v>
      </c>
      <c r="D167" s="287"/>
      <c r="E167" s="282" t="str">
        <f>'Part B (ii)'!D7</f>
        <v>AMCO DIGITAL SCALES PRIVATE LIMITED</v>
      </c>
      <c r="F167" s="282"/>
      <c r="G167" s="282"/>
      <c r="H167" s="104"/>
      <c r="I167" s="104"/>
      <c r="J167" s="104"/>
      <c r="K167" s="104"/>
    </row>
    <row r="168" spans="1:11" ht="15.75">
      <c r="A168" s="104"/>
      <c r="B168" s="104"/>
      <c r="C168" s="104"/>
      <c r="D168" s="104"/>
      <c r="E168" s="104"/>
      <c r="F168" s="104"/>
      <c r="G168" s="104"/>
      <c r="H168" s="104"/>
      <c r="I168" s="104"/>
      <c r="J168" s="104"/>
      <c r="K168" s="104"/>
    </row>
    <row r="169" spans="1:11" ht="31.5">
      <c r="A169" s="285" t="s">
        <v>610</v>
      </c>
      <c r="B169" s="285"/>
      <c r="C169" s="279" t="s">
        <v>597</v>
      </c>
      <c r="D169" s="280"/>
      <c r="E169" s="281"/>
      <c r="F169" s="297" t="str">
        <f>'Part B (ii)'!D9</f>
        <v>1B/6A</v>
      </c>
      <c r="G169" s="297"/>
      <c r="H169" s="283" t="s">
        <v>158</v>
      </c>
      <c r="I169" s="283"/>
      <c r="J169" s="282" t="str">
        <f>IF('Part B (ii)'!F9="","",'Part B (ii)'!F9)</f>
        <v>1ST FLOOR</v>
      </c>
      <c r="K169" s="282"/>
    </row>
    <row r="170" spans="1:11" ht="63">
      <c r="A170" s="104"/>
      <c r="B170" s="104"/>
      <c r="C170" s="284" t="s">
        <v>624</v>
      </c>
      <c r="D170" s="283"/>
      <c r="E170" s="283"/>
      <c r="F170" s="282" t="str">
        <f>IF('Part B (ii)'!D10="","",'Part B (ii)'!D10)</f>
        <v>SIDANA MARKET</v>
      </c>
      <c r="G170" s="282"/>
      <c r="H170" s="283" t="s">
        <v>601</v>
      </c>
      <c r="I170" s="283"/>
      <c r="J170" s="282" t="str">
        <f>IF('Part B (ii)'!F10="","",'Part B (ii)'!F10)</f>
        <v>NIT</v>
      </c>
      <c r="K170" s="282"/>
    </row>
    <row r="171" spans="1:11" ht="31.5">
      <c r="A171" s="104"/>
      <c r="B171" s="104"/>
      <c r="C171" s="283" t="s">
        <v>611</v>
      </c>
      <c r="D171" s="283"/>
      <c r="E171" s="283"/>
      <c r="F171" s="297" t="str">
        <f>'Part B (ii)'!D11</f>
        <v>FARIDABAD</v>
      </c>
      <c r="G171" s="297"/>
      <c r="H171" s="283" t="s">
        <v>600</v>
      </c>
      <c r="I171" s="283"/>
      <c r="J171" s="297" t="str">
        <f>'Part B (ii)'!F11</f>
        <v>FARIDABAD</v>
      </c>
      <c r="K171" s="297"/>
    </row>
    <row r="172" spans="1:11" ht="31.5">
      <c r="A172" s="104"/>
      <c r="B172" s="104"/>
      <c r="C172" s="279" t="s">
        <v>599</v>
      </c>
      <c r="D172" s="280"/>
      <c r="E172" s="281"/>
      <c r="F172" s="282" t="str">
        <f>'Part B (ii)'!D12</f>
        <v>HARYANA</v>
      </c>
      <c r="G172" s="282"/>
      <c r="H172" s="283" t="s">
        <v>602</v>
      </c>
      <c r="I172" s="283"/>
      <c r="J172" s="282">
        <f>'Part B (ii)'!F12</f>
        <v>121001</v>
      </c>
      <c r="K172" s="282"/>
    </row>
    <row r="173" spans="1:11" ht="15.75">
      <c r="A173" s="104"/>
      <c r="B173" s="104"/>
      <c r="C173" s="104"/>
      <c r="D173" s="104"/>
      <c r="E173" s="104"/>
      <c r="F173" s="104"/>
      <c r="G173" s="104"/>
      <c r="H173" s="104"/>
      <c r="I173" s="104"/>
      <c r="J173" s="104"/>
      <c r="K173" s="104"/>
    </row>
    <row r="174" spans="1:11" ht="15.75">
      <c r="A174" s="291" t="s">
        <v>115</v>
      </c>
      <c r="B174" s="291"/>
      <c r="C174" s="291"/>
      <c r="D174" s="104"/>
      <c r="E174" s="104"/>
      <c r="F174" s="104"/>
      <c r="G174" s="104"/>
      <c r="H174" s="104"/>
      <c r="I174" s="104"/>
      <c r="J174" s="104"/>
      <c r="K174" s="104"/>
    </row>
    <row r="175" spans="1:11" ht="15.75">
      <c r="A175" s="104"/>
      <c r="B175" s="104"/>
      <c r="C175" s="104"/>
      <c r="D175" s="104"/>
      <c r="E175" s="104"/>
      <c r="F175" s="104"/>
      <c r="G175" s="104"/>
      <c r="H175" s="104"/>
      <c r="I175" s="104"/>
      <c r="J175" s="104"/>
      <c r="K175" s="104"/>
    </row>
    <row r="176" spans="1:11" ht="78.75">
      <c r="A176" s="110" t="s">
        <v>609</v>
      </c>
      <c r="B176" s="104"/>
      <c r="C176" s="287" t="str">
        <f>'Part B (ii)'!C16</f>
        <v>M/S</v>
      </c>
      <c r="D176" s="287"/>
      <c r="E176" s="282" t="str">
        <f>'Part B (ii)'!D16</f>
        <v>BHARDWAJ AND COMPANY</v>
      </c>
      <c r="F176" s="282"/>
      <c r="G176" s="282"/>
      <c r="H176" s="104"/>
      <c r="I176" s="104"/>
      <c r="J176" s="104"/>
      <c r="K176" s="104"/>
    </row>
    <row r="177" spans="1:11" ht="15.75">
      <c r="A177" s="104"/>
      <c r="B177" s="104"/>
      <c r="C177" s="104"/>
      <c r="D177" s="104"/>
      <c r="E177" s="104"/>
      <c r="F177" s="104"/>
      <c r="G177" s="104"/>
      <c r="H177" s="104"/>
      <c r="I177" s="104"/>
      <c r="J177" s="104"/>
      <c r="K177" s="104"/>
    </row>
    <row r="178" spans="1:11" ht="31.5">
      <c r="A178" s="285" t="s">
        <v>610</v>
      </c>
      <c r="B178" s="285"/>
      <c r="C178" s="279" t="s">
        <v>597</v>
      </c>
      <c r="D178" s="280"/>
      <c r="E178" s="281"/>
      <c r="F178" s="297" t="str">
        <f>'Part B (ii)'!D18</f>
        <v>B-545</v>
      </c>
      <c r="G178" s="297"/>
      <c r="H178" s="283" t="s">
        <v>158</v>
      </c>
      <c r="I178" s="283"/>
      <c r="J178" s="282" t="str">
        <f>IF('Part B (ii)'!F18="","",'Part B (ii)'!F18)</f>
        <v>2ND FLOOR</v>
      </c>
      <c r="K178" s="282"/>
    </row>
    <row r="179" spans="1:11" ht="63">
      <c r="A179" s="104"/>
      <c r="B179" s="104"/>
      <c r="C179" s="284" t="s">
        <v>624</v>
      </c>
      <c r="D179" s="283"/>
      <c r="E179" s="283"/>
      <c r="F179" s="282" t="str">
        <f>IF('Part B (ii)'!D19="","",'Part B (ii)'!D19)</f>
        <v/>
      </c>
      <c r="G179" s="282"/>
      <c r="H179" s="283" t="s">
        <v>601</v>
      </c>
      <c r="I179" s="283"/>
      <c r="J179" s="282" t="str">
        <f>IF('Part B (ii)'!F19="","",'Part B (ii)'!F19)</f>
        <v>NEHRU GROUND NIT</v>
      </c>
      <c r="K179" s="282"/>
    </row>
    <row r="180" spans="1:11" ht="31.5">
      <c r="A180" s="104"/>
      <c r="B180" s="104"/>
      <c r="C180" s="283" t="s">
        <v>611</v>
      </c>
      <c r="D180" s="283"/>
      <c r="E180" s="283"/>
      <c r="F180" s="297" t="str">
        <f>'Part B (ii)'!D20</f>
        <v>FARIDABAD</v>
      </c>
      <c r="G180" s="297"/>
      <c r="H180" s="283" t="s">
        <v>600</v>
      </c>
      <c r="I180" s="283"/>
      <c r="J180" s="297" t="str">
        <f>'Part B (ii)'!F20</f>
        <v>FARIDABAD</v>
      </c>
      <c r="K180" s="297"/>
    </row>
    <row r="181" spans="1:11" ht="31.5">
      <c r="A181" s="104"/>
      <c r="B181" s="104"/>
      <c r="C181" s="279" t="s">
        <v>599</v>
      </c>
      <c r="D181" s="280"/>
      <c r="E181" s="281"/>
      <c r="F181" s="282" t="str">
        <f>'Part B (ii)'!D21</f>
        <v>HARYANA</v>
      </c>
      <c r="G181" s="282"/>
      <c r="H181" s="283" t="s">
        <v>602</v>
      </c>
      <c r="I181" s="283"/>
      <c r="J181" s="282">
        <f>'Part B (ii)'!F21</f>
        <v>121001</v>
      </c>
      <c r="K181" s="282"/>
    </row>
    <row r="182" spans="1:11" ht="15.75">
      <c r="A182" s="104"/>
      <c r="B182" s="104"/>
      <c r="C182" s="104"/>
      <c r="D182" s="104"/>
      <c r="E182" s="104"/>
      <c r="F182" s="104"/>
      <c r="G182" s="104"/>
      <c r="H182" s="104"/>
      <c r="I182" s="104"/>
      <c r="J182" s="104"/>
      <c r="K182" s="104"/>
    </row>
    <row r="183" spans="1:11" ht="15.75">
      <c r="A183" s="104" t="s">
        <v>116</v>
      </c>
      <c r="B183" s="104"/>
      <c r="C183" s="104"/>
      <c r="D183" s="104"/>
      <c r="E183" s="104"/>
      <c r="F183" s="104"/>
      <c r="G183" s="104"/>
      <c r="H183" s="104"/>
      <c r="I183" s="104"/>
      <c r="J183" s="104"/>
      <c r="K183" s="104"/>
    </row>
    <row r="184" spans="1:11" ht="15.75">
      <c r="A184" s="290" t="str">
        <f>'Part B (ii)'!E23</f>
        <v>Institute of Chartered Accountants of India</v>
      </c>
      <c r="B184" s="290"/>
      <c r="C184" s="290"/>
      <c r="D184" s="290"/>
      <c r="E184" s="290"/>
      <c r="F184" s="104" t="s">
        <v>106</v>
      </c>
      <c r="G184" s="104" t="str">
        <f>'Part B (ii)'!H23</f>
        <v>I</v>
      </c>
      <c r="H184" s="104" t="s">
        <v>302</v>
      </c>
      <c r="I184" s="104"/>
      <c r="J184" s="104"/>
      <c r="K184" s="104"/>
    </row>
    <row r="185" spans="1:11" ht="15.75">
      <c r="A185" s="104" t="s">
        <v>301</v>
      </c>
      <c r="B185" s="104"/>
      <c r="C185" s="112"/>
      <c r="D185" s="295" t="str">
        <f>'Part B (ii)'!D25</f>
        <v>04/09/2018</v>
      </c>
      <c r="E185" s="296"/>
      <c r="F185" s="105" t="s">
        <v>121</v>
      </c>
      <c r="G185" s="104"/>
      <c r="H185" s="104"/>
      <c r="I185" s="104"/>
      <c r="J185" s="104"/>
      <c r="K185" s="104"/>
    </row>
    <row r="186" spans="1:11" ht="15.75">
      <c r="A186" s="104"/>
      <c r="B186" s="104"/>
      <c r="C186" s="104"/>
      <c r="D186" s="104"/>
      <c r="E186" s="104"/>
      <c r="F186" s="104"/>
      <c r="G186" s="104"/>
      <c r="H186" s="104"/>
      <c r="I186" s="104"/>
      <c r="J186" s="104"/>
      <c r="K186" s="104"/>
    </row>
    <row r="187" spans="1:11" ht="15.75">
      <c r="A187" s="288" t="s">
        <v>603</v>
      </c>
      <c r="B187" s="288"/>
      <c r="C187" s="288"/>
      <c r="D187" s="288"/>
      <c r="E187" s="289" t="str">
        <f>'Part B (ii)'!D27</f>
        <v>31/03/2018</v>
      </c>
      <c r="F187" s="290"/>
      <c r="G187" s="290"/>
      <c r="H187" s="104"/>
      <c r="I187" s="104"/>
      <c r="J187" s="104"/>
      <c r="K187" s="104"/>
    </row>
    <row r="188" spans="1:11" ht="15.75">
      <c r="A188" s="104"/>
      <c r="B188" s="104"/>
      <c r="C188" s="104"/>
      <c r="D188" s="104"/>
      <c r="E188" s="104"/>
      <c r="F188" s="104"/>
      <c r="G188" s="104"/>
      <c r="H188" s="104"/>
      <c r="I188" s="104"/>
      <c r="J188" s="104"/>
      <c r="K188" s="104"/>
    </row>
    <row r="189" spans="1:11" ht="15.75">
      <c r="A189" s="288" t="s">
        <v>612</v>
      </c>
      <c r="B189" s="288"/>
      <c r="C189" s="288"/>
      <c r="D189" s="288"/>
      <c r="E189" s="290" t="str">
        <f>'Part B (ii)'!D29</f>
        <v>profit and loss account</v>
      </c>
      <c r="F189" s="290"/>
      <c r="G189" s="290"/>
      <c r="H189" s="290"/>
      <c r="I189" s="104"/>
      <c r="J189" s="104"/>
      <c r="K189" s="104"/>
    </row>
    <row r="190" spans="1:11" ht="15.75">
      <c r="A190" s="288" t="s">
        <v>605</v>
      </c>
      <c r="B190" s="288"/>
      <c r="C190" s="288"/>
      <c r="D190" s="288"/>
      <c r="E190" s="289" t="str">
        <f>'Part B (ii)'!D30</f>
        <v>01/04/2017</v>
      </c>
      <c r="F190" s="290"/>
      <c r="G190" s="290"/>
      <c r="H190" s="104"/>
      <c r="I190" s="104"/>
      <c r="J190" s="104"/>
      <c r="K190" s="104"/>
    </row>
    <row r="191" spans="1:11" ht="15.75">
      <c r="A191" s="294" t="s">
        <v>606</v>
      </c>
      <c r="B191" s="294"/>
      <c r="C191" s="294"/>
      <c r="D191" s="294"/>
      <c r="E191" s="289" t="str">
        <f>'Part B (ii)'!D31</f>
        <v>31/03/2018</v>
      </c>
      <c r="F191" s="290"/>
      <c r="G191" s="290"/>
      <c r="H191" s="104"/>
      <c r="I191" s="104"/>
      <c r="J191" s="104"/>
      <c r="K191" s="104"/>
    </row>
    <row r="192" spans="1:11" ht="15.75">
      <c r="A192" s="104"/>
      <c r="B192" s="104"/>
      <c r="C192" s="104"/>
      <c r="D192" s="104"/>
      <c r="E192" s="104"/>
      <c r="F192" s="104"/>
      <c r="G192" s="104"/>
      <c r="H192" s="104"/>
      <c r="I192" s="104"/>
      <c r="J192" s="104"/>
      <c r="K192" s="104"/>
    </row>
    <row r="193" spans="1:11" ht="15.75">
      <c r="A193" s="288" t="s">
        <v>72</v>
      </c>
      <c r="B193" s="288"/>
      <c r="C193" s="288"/>
      <c r="D193" s="288"/>
      <c r="E193" s="288"/>
      <c r="F193" s="288"/>
      <c r="G193" s="104"/>
      <c r="H193" s="104"/>
      <c r="I193" s="104"/>
      <c r="J193" s="104"/>
      <c r="K193" s="104"/>
    </row>
    <row r="194" spans="1:11" ht="15.75">
      <c r="A194" s="294" t="s">
        <v>607</v>
      </c>
      <c r="B194" s="294"/>
      <c r="C194" s="294"/>
      <c r="D194" s="294"/>
      <c r="E194" s="289" t="str">
        <f>'Part B (ii)'!D34</f>
        <v>01/04/2017</v>
      </c>
      <c r="F194" s="290"/>
      <c r="G194" s="290"/>
      <c r="H194" s="104"/>
      <c r="I194" s="104"/>
      <c r="J194" s="104"/>
      <c r="K194" s="104"/>
    </row>
    <row r="195" spans="1:11" ht="15.75">
      <c r="A195" s="288" t="s">
        <v>608</v>
      </c>
      <c r="B195" s="288"/>
      <c r="C195" s="288"/>
      <c r="D195" s="288"/>
      <c r="E195" s="289" t="str">
        <f>'Part B (ii)'!D35</f>
        <v>31/03/2018</v>
      </c>
      <c r="F195" s="290"/>
      <c r="G195" s="290"/>
      <c r="H195" s="104"/>
      <c r="I195" s="104"/>
      <c r="J195" s="104"/>
      <c r="K195" s="104"/>
    </row>
    <row r="196" spans="1:11" ht="15.75">
      <c r="A196" s="104"/>
      <c r="B196" s="104"/>
      <c r="C196" s="104"/>
      <c r="D196" s="104"/>
      <c r="E196" s="104"/>
      <c r="F196" s="104"/>
      <c r="G196" s="104"/>
      <c r="H196" s="104"/>
      <c r="I196" s="104"/>
      <c r="J196" s="104"/>
      <c r="K196" s="104"/>
    </row>
    <row r="197" spans="1:11" ht="15.75">
      <c r="A197" s="104" t="s">
        <v>319</v>
      </c>
      <c r="B197" s="104"/>
      <c r="C197" s="104"/>
      <c r="D197" s="104"/>
      <c r="E197" s="104"/>
      <c r="F197" s="104"/>
      <c r="G197" s="104"/>
      <c r="H197" s="290" t="str">
        <f>'Part B (ii)'!E37</f>
        <v>profit and loss account</v>
      </c>
      <c r="I197" s="290"/>
      <c r="J197" s="290"/>
      <c r="K197" s="290"/>
    </row>
    <row r="198" spans="1:11" ht="15.75">
      <c r="A198" s="104" t="s">
        <v>123</v>
      </c>
      <c r="B198" s="104"/>
      <c r="C198" s="104"/>
      <c r="D198" s="104"/>
      <c r="E198" s="104"/>
      <c r="F198" s="104"/>
      <c r="G198" s="104"/>
      <c r="H198" s="104"/>
      <c r="I198" s="104"/>
      <c r="J198" s="104"/>
      <c r="K198" s="104"/>
    </row>
    <row r="199" spans="1:11" ht="15.75">
      <c r="A199" s="104"/>
      <c r="B199" s="104"/>
      <c r="C199" s="104"/>
      <c r="D199" s="104"/>
      <c r="E199" s="104"/>
      <c r="F199" s="104"/>
      <c r="G199" s="104"/>
      <c r="H199" s="104"/>
      <c r="I199" s="104"/>
      <c r="J199" s="104"/>
      <c r="K199" s="104"/>
    </row>
    <row r="200" spans="1:11" ht="15.75">
      <c r="A200" s="111">
        <v>2</v>
      </c>
      <c r="B200" s="111" t="str">
        <f>'Part B (ii)'!B40:C40</f>
        <v>I</v>
      </c>
      <c r="C200" s="105" t="s">
        <v>86</v>
      </c>
      <c r="D200" s="104"/>
      <c r="E200" s="104"/>
      <c r="F200" s="105"/>
      <c r="G200" s="105"/>
      <c r="H200" s="105"/>
      <c r="I200" s="104"/>
      <c r="J200" s="104"/>
      <c r="K200" s="104"/>
    </row>
    <row r="201" spans="1:11" ht="15.75">
      <c r="A201" s="285" t="str">
        <f>'Part B (ii)'!B41</f>
        <v>has maintained the books of accounts, records and documents</v>
      </c>
      <c r="B201" s="285"/>
      <c r="C201" s="285"/>
      <c r="D201" s="285"/>
      <c r="E201" s="285"/>
      <c r="F201" s="285"/>
      <c r="G201" s="285"/>
      <c r="H201" s="285"/>
      <c r="I201" s="112" t="s">
        <v>300</v>
      </c>
      <c r="J201" s="104"/>
      <c r="K201" s="104"/>
    </row>
    <row r="202" spans="1:11" ht="15.75">
      <c r="A202" s="291" t="s">
        <v>299</v>
      </c>
      <c r="B202" s="291"/>
      <c r="C202" s="291"/>
      <c r="D202" s="291"/>
      <c r="E202" s="291"/>
      <c r="F202" s="291"/>
      <c r="G202" s="291"/>
      <c r="H202" s="291"/>
      <c r="I202" s="291"/>
      <c r="J202" s="291"/>
      <c r="K202" s="104"/>
    </row>
    <row r="203" spans="1:11" ht="15.75">
      <c r="A203" s="104"/>
      <c r="B203" s="104"/>
      <c r="C203" s="104"/>
      <c r="D203" s="104"/>
      <c r="E203" s="104"/>
      <c r="F203" s="104"/>
      <c r="G203" s="104"/>
      <c r="H203" s="104"/>
      <c r="I203" s="104"/>
      <c r="J203" s="104"/>
      <c r="K203" s="104"/>
    </row>
    <row r="204" spans="1:11" ht="15.75">
      <c r="A204" s="104" t="s">
        <v>298</v>
      </c>
      <c r="B204" s="104"/>
      <c r="C204" s="104"/>
      <c r="D204" s="104"/>
      <c r="E204" s="104"/>
      <c r="F204" s="104"/>
      <c r="G204" s="104"/>
      <c r="H204" s="104"/>
      <c r="I204" s="104"/>
      <c r="J204" s="104"/>
      <c r="K204" s="104"/>
    </row>
    <row r="205" spans="1:11" ht="15.75">
      <c r="A205" s="104" t="s">
        <v>297</v>
      </c>
      <c r="B205" s="104"/>
      <c r="C205" s="104"/>
      <c r="D205" s="104"/>
      <c r="E205" s="104"/>
      <c r="F205" s="104"/>
      <c r="G205" s="104"/>
      <c r="H205" s="104"/>
      <c r="I205" s="104"/>
      <c r="J205" s="104"/>
      <c r="K205" s="104"/>
    </row>
    <row r="206" spans="1:11" ht="15.75">
      <c r="A206" s="104" t="s">
        <v>108</v>
      </c>
      <c r="B206" s="104"/>
      <c r="C206" s="104"/>
      <c r="D206" s="104"/>
      <c r="E206" s="104"/>
      <c r="F206" s="104"/>
      <c r="G206" s="104"/>
      <c r="H206" s="104"/>
      <c r="I206" s="104"/>
      <c r="J206" s="104"/>
      <c r="K206" s="104"/>
    </row>
    <row r="207" spans="1:11" ht="15.75">
      <c r="A207" s="104"/>
      <c r="B207" s="104"/>
      <c r="C207" s="104"/>
      <c r="D207" s="104"/>
      <c r="E207" s="104"/>
      <c r="F207" s="104"/>
      <c r="G207" s="104"/>
      <c r="H207" s="104"/>
      <c r="I207" s="104"/>
      <c r="J207" s="104"/>
      <c r="K207" s="104"/>
    </row>
    <row r="208" spans="1:11" ht="15.75">
      <c r="A208" s="104" t="s">
        <v>296</v>
      </c>
      <c r="B208" s="104" t="str">
        <f>'Part B (ii)'!C47</f>
        <v>my</v>
      </c>
      <c r="C208" s="105" t="s">
        <v>109</v>
      </c>
      <c r="D208" s="104"/>
      <c r="E208" s="104"/>
      <c r="F208" s="104" t="str">
        <f>'Part B (ii)'!E47</f>
        <v>my</v>
      </c>
      <c r="G208" s="104" t="s">
        <v>295</v>
      </c>
      <c r="H208" s="104"/>
      <c r="I208" s="104"/>
      <c r="J208" s="104"/>
      <c r="K208" s="104"/>
    </row>
    <row r="209" spans="1:11" ht="15.75">
      <c r="A209" s="104" t="s">
        <v>294</v>
      </c>
      <c r="B209" s="104"/>
      <c r="C209" s="104" t="str">
        <f>'Part B (ii)'!H47</f>
        <v>my</v>
      </c>
      <c r="D209" s="104" t="s">
        <v>293</v>
      </c>
      <c r="E209" s="104"/>
      <c r="F209" s="104"/>
      <c r="G209" s="104"/>
      <c r="H209" s="104"/>
      <c r="I209" s="104"/>
      <c r="J209" s="104"/>
      <c r="K209" s="104"/>
    </row>
    <row r="210" spans="1:11" ht="15.75">
      <c r="A210" s="104" t="s">
        <v>292</v>
      </c>
      <c r="B210" s="104"/>
      <c r="C210" s="104"/>
      <c r="D210" s="104"/>
      <c r="E210" s="104"/>
      <c r="F210" s="104"/>
      <c r="G210" s="104"/>
      <c r="H210" s="104"/>
      <c r="I210" s="104"/>
      <c r="J210" s="104"/>
      <c r="K210" s="104"/>
    </row>
    <row r="211" spans="1:11" ht="15.75">
      <c r="A211" s="104"/>
      <c r="B211" s="104"/>
      <c r="C211" s="104"/>
      <c r="D211" s="104"/>
      <c r="E211" s="104"/>
      <c r="F211" s="104"/>
      <c r="G211" s="104"/>
      <c r="H211" s="104"/>
      <c r="I211" s="104"/>
      <c r="J211" s="104"/>
      <c r="K211" s="104"/>
    </row>
    <row r="212" spans="1:11" ht="15.75">
      <c r="A212" s="113" t="s">
        <v>81</v>
      </c>
      <c r="B212" s="104"/>
      <c r="C212" s="104"/>
      <c r="D212" s="104"/>
      <c r="E212" s="104"/>
      <c r="F212" s="104"/>
      <c r="G212" s="104"/>
      <c r="H212" s="104"/>
      <c r="I212" s="104"/>
      <c r="J212" s="104"/>
      <c r="K212" s="104"/>
    </row>
    <row r="213" spans="1:11" ht="15.75">
      <c r="A213" s="104"/>
      <c r="B213" s="104"/>
      <c r="C213" s="104"/>
      <c r="D213" s="104"/>
      <c r="E213" s="104"/>
      <c r="F213" s="104"/>
      <c r="G213" s="104"/>
      <c r="H213" s="104"/>
      <c r="I213" s="104"/>
      <c r="J213" s="104"/>
      <c r="K213" s="104"/>
    </row>
    <row r="214" spans="1:11" ht="15.75">
      <c r="A214" s="104"/>
      <c r="B214" s="114" t="s">
        <v>74</v>
      </c>
      <c r="C214" s="292" t="s">
        <v>75</v>
      </c>
      <c r="D214" s="292"/>
      <c r="E214" s="292"/>
      <c r="F214" s="292"/>
      <c r="G214" s="293" t="s">
        <v>76</v>
      </c>
      <c r="H214" s="293"/>
      <c r="I214" s="293"/>
      <c r="J214" s="104"/>
      <c r="K214" s="104"/>
    </row>
    <row r="215" spans="1:11" ht="15.75">
      <c r="A215" s="104"/>
      <c r="B215" s="106">
        <v>1</v>
      </c>
      <c r="C215" s="282"/>
      <c r="D215" s="282"/>
      <c r="E215" s="282"/>
      <c r="F215" s="282"/>
      <c r="G215" s="282"/>
      <c r="H215" s="282"/>
      <c r="I215" s="282"/>
      <c r="J215" s="104"/>
      <c r="K215" s="104"/>
    </row>
    <row r="216" spans="1:11" ht="15.75">
      <c r="A216" s="104"/>
      <c r="B216" s="104"/>
      <c r="C216" s="104"/>
      <c r="D216" s="104"/>
      <c r="E216" s="104"/>
      <c r="F216" s="104"/>
      <c r="G216" s="104"/>
      <c r="H216" s="104"/>
      <c r="I216" s="104"/>
      <c r="J216" s="104"/>
      <c r="K216" s="104"/>
    </row>
    <row r="217" spans="1:11" ht="15.75">
      <c r="A217" s="115" t="s">
        <v>80</v>
      </c>
      <c r="B217" s="104"/>
      <c r="C217" s="104"/>
      <c r="D217" s="104"/>
      <c r="E217" s="104"/>
      <c r="F217" s="104"/>
      <c r="G217" s="104"/>
      <c r="H217" s="104"/>
      <c r="I217" s="104"/>
      <c r="J217" s="104"/>
      <c r="K217" s="104"/>
    </row>
    <row r="218" spans="1:11" ht="15.75">
      <c r="A218" s="104"/>
      <c r="B218" s="104"/>
      <c r="C218" s="104"/>
      <c r="D218" s="104"/>
      <c r="E218" s="104"/>
      <c r="F218" s="104"/>
      <c r="G218" s="104"/>
      <c r="H218" s="104"/>
      <c r="I218" s="104"/>
      <c r="J218" s="104"/>
      <c r="K218" s="104"/>
    </row>
    <row r="219" spans="1:11" ht="31.5">
      <c r="A219" s="285" t="s">
        <v>593</v>
      </c>
      <c r="B219" s="285"/>
      <c r="C219" s="285"/>
      <c r="D219" s="104"/>
      <c r="E219" s="104"/>
      <c r="F219" s="282" t="str">
        <f>'Part B (ii)'!D58</f>
        <v>FARIDABAD</v>
      </c>
      <c r="G219" s="282"/>
      <c r="H219" s="282"/>
      <c r="I219" s="104"/>
      <c r="J219" s="104"/>
      <c r="K219" s="104"/>
    </row>
    <row r="220" spans="1:11" ht="47.25">
      <c r="A220" s="285" t="s">
        <v>594</v>
      </c>
      <c r="B220" s="285"/>
      <c r="C220" s="285"/>
      <c r="D220" s="104"/>
      <c r="E220" s="104"/>
      <c r="F220" s="282" t="str">
        <f>'Part B (ii)'!D59</f>
        <v>GYAN BHARDWAJ</v>
      </c>
      <c r="G220" s="282"/>
      <c r="H220" s="282"/>
      <c r="I220" s="104"/>
      <c r="J220" s="104"/>
      <c r="K220" s="104"/>
    </row>
    <row r="221" spans="1:11" ht="15.75">
      <c r="A221" s="285" t="s">
        <v>595</v>
      </c>
      <c r="B221" s="285"/>
      <c r="C221" s="285"/>
      <c r="D221" s="104"/>
      <c r="E221" s="104"/>
      <c r="F221" s="282" t="str">
        <f>'Part B (ii)'!D60</f>
        <v>81488</v>
      </c>
      <c r="G221" s="282"/>
      <c r="H221" s="282"/>
      <c r="I221" s="104"/>
      <c r="J221" s="104"/>
      <c r="K221" s="104"/>
    </row>
    <row r="222" spans="1:11" ht="15.75">
      <c r="A222" s="285" t="s">
        <v>596</v>
      </c>
      <c r="B222" s="285"/>
      <c r="C222" s="285"/>
      <c r="D222" s="104"/>
      <c r="E222" s="104"/>
      <c r="F222" s="286" t="str">
        <f>'Part B (ii)'!D61</f>
        <v>DD/MM/YYYY</v>
      </c>
      <c r="G222" s="287"/>
      <c r="H222" s="287"/>
      <c r="I222" s="104"/>
      <c r="J222" s="104"/>
      <c r="K222" s="104"/>
    </row>
    <row r="223" spans="1:11" ht="15.75">
      <c r="A223" s="104" t="s">
        <v>598</v>
      </c>
      <c r="B223" s="104"/>
      <c r="C223" s="279" t="s">
        <v>597</v>
      </c>
      <c r="D223" s="280"/>
      <c r="E223" s="281"/>
      <c r="F223" s="282" t="str">
        <f>'Part B (ii)'!E62</f>
        <v/>
      </c>
      <c r="G223" s="282"/>
      <c r="H223" s="283" t="s">
        <v>158</v>
      </c>
      <c r="I223" s="283"/>
      <c r="J223" s="282" t="str">
        <f>IF('Part B (ii)'!G62="","",'Part B (ii)'!G62)</f>
        <v/>
      </c>
      <c r="K223" s="282"/>
    </row>
    <row r="224" spans="1:11" ht="78.75">
      <c r="A224" s="104"/>
      <c r="B224" s="104"/>
      <c r="C224" s="284" t="s">
        <v>614</v>
      </c>
      <c r="D224" s="283"/>
      <c r="E224" s="283"/>
      <c r="F224" s="282" t="str">
        <f>IF('Part B (ii)'!E63="","",'Part B (ii)'!E63)</f>
        <v/>
      </c>
      <c r="G224" s="282"/>
      <c r="H224" s="283" t="s">
        <v>601</v>
      </c>
      <c r="I224" s="283"/>
      <c r="J224" s="282">
        <f>'Part B (ii)'!G63</f>
        <v>0</v>
      </c>
      <c r="K224" s="282"/>
    </row>
    <row r="225" spans="1:11" ht="15.75">
      <c r="A225" s="104"/>
      <c r="B225" s="104"/>
      <c r="C225" s="283" t="s">
        <v>611</v>
      </c>
      <c r="D225" s="283"/>
      <c r="E225" s="283"/>
      <c r="F225" s="282" t="str">
        <f>'Part B (ii)'!E64</f>
        <v/>
      </c>
      <c r="G225" s="282"/>
      <c r="H225" s="283" t="s">
        <v>600</v>
      </c>
      <c r="I225" s="283"/>
      <c r="J225" s="282" t="str">
        <f>'Part B (ii)'!G64</f>
        <v/>
      </c>
      <c r="K225" s="282"/>
    </row>
    <row r="226" spans="1:11" ht="15.75">
      <c r="A226" s="104"/>
      <c r="B226" s="104"/>
      <c r="C226" s="279" t="s">
        <v>599</v>
      </c>
      <c r="D226" s="280"/>
      <c r="E226" s="281"/>
      <c r="F226" s="282">
        <f>'Part B (ii)'!E65</f>
        <v>0</v>
      </c>
      <c r="G226" s="282"/>
      <c r="H226" s="283" t="s">
        <v>602</v>
      </c>
      <c r="I226" s="283"/>
      <c r="J226" s="282">
        <f>'Part B (ii)'!G65</f>
        <v>0</v>
      </c>
      <c r="K226" s="28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dimension ref="A1:L247"/>
  <sheetViews>
    <sheetView workbookViewId="0"/>
  </sheetViews>
  <sheetFormatPr defaultRowHeight="15"/>
  <sheetData>
    <row r="1" spans="1:12">
      <c r="D1" s="63"/>
    </row>
    <row r="2" spans="1:12" ht="173.25">
      <c r="E2" s="328" t="s">
        <v>321</v>
      </c>
      <c r="F2" s="328"/>
      <c r="G2" s="328"/>
    </row>
    <row r="3" spans="1:12" ht="31.5">
      <c r="A3" s="121" t="s">
        <v>567</v>
      </c>
      <c r="B3" s="278" t="s">
        <v>320</v>
      </c>
      <c r="C3" s="278"/>
      <c r="D3" s="278"/>
      <c r="E3" s="278"/>
      <c r="F3" s="278"/>
      <c r="G3" s="278"/>
      <c r="H3" s="278"/>
      <c r="I3" s="278"/>
      <c r="J3" s="278"/>
      <c r="K3" s="278"/>
      <c r="L3" s="68"/>
    </row>
    <row r="4" spans="1:12" ht="31.5">
      <c r="A4" s="122">
        <v>1</v>
      </c>
      <c r="B4" s="272" t="s">
        <v>164</v>
      </c>
      <c r="C4" s="272"/>
      <c r="D4" s="329"/>
      <c r="E4" s="329"/>
      <c r="F4" s="329"/>
      <c r="G4" s="329"/>
      <c r="H4" s="329"/>
      <c r="I4" s="329"/>
      <c r="J4" s="329"/>
      <c r="K4" s="329"/>
    </row>
    <row r="5" spans="1:12" ht="15.75">
      <c r="A5" s="123">
        <v>2</v>
      </c>
      <c r="B5" s="274" t="s">
        <v>165</v>
      </c>
      <c r="C5" s="274"/>
      <c r="D5" s="330"/>
      <c r="E5" s="330"/>
      <c r="F5" s="330"/>
      <c r="G5" s="330"/>
      <c r="H5" s="330"/>
      <c r="I5" s="330"/>
      <c r="J5" s="330"/>
      <c r="K5" s="330"/>
    </row>
    <row r="6" spans="1:12" ht="31.5">
      <c r="A6" s="121" t="s">
        <v>89</v>
      </c>
      <c r="B6" s="274" t="s">
        <v>166</v>
      </c>
      <c r="C6" s="274"/>
      <c r="D6" s="278"/>
      <c r="E6" s="278"/>
      <c r="F6" s="278"/>
      <c r="G6" s="278"/>
      <c r="H6" s="278"/>
      <c r="I6" s="278"/>
      <c r="J6" s="278"/>
      <c r="K6" s="278"/>
    </row>
    <row r="7" spans="1:12" ht="47.25">
      <c r="A7" s="124" t="s">
        <v>90</v>
      </c>
      <c r="B7" s="272" t="s">
        <v>167</v>
      </c>
      <c r="C7" s="272"/>
      <c r="D7" s="277"/>
      <c r="E7" s="277"/>
      <c r="F7" s="277"/>
      <c r="G7" s="277"/>
      <c r="H7" s="277"/>
      <c r="I7" s="277"/>
      <c r="J7" s="277"/>
      <c r="K7" s="277"/>
    </row>
    <row r="8" spans="1:12" ht="15.75">
      <c r="A8" s="124" t="s">
        <v>580</v>
      </c>
      <c r="B8" s="272" t="s">
        <v>582</v>
      </c>
      <c r="C8" s="272"/>
      <c r="D8" s="277" t="s">
        <v>585</v>
      </c>
      <c r="E8" s="277"/>
      <c r="F8" s="277"/>
      <c r="G8" s="277"/>
      <c r="H8" s="277"/>
      <c r="I8" s="277"/>
      <c r="J8" s="277"/>
      <c r="K8" s="277"/>
    </row>
    <row r="9" spans="1:12" ht="15.75">
      <c r="A9" s="124" t="s">
        <v>581</v>
      </c>
      <c r="B9" s="272" t="s">
        <v>583</v>
      </c>
      <c r="C9" s="272"/>
      <c r="D9" s="277" t="s">
        <v>585</v>
      </c>
      <c r="E9" s="277"/>
      <c r="F9" s="277"/>
      <c r="G9" s="277"/>
      <c r="H9" s="277"/>
      <c r="I9" s="277"/>
      <c r="J9" s="277"/>
      <c r="K9" s="277"/>
    </row>
    <row r="10" spans="1:12" ht="110.25">
      <c r="A10" s="123">
        <v>4</v>
      </c>
      <c r="B10" s="274" t="s">
        <v>586</v>
      </c>
      <c r="C10" s="274"/>
      <c r="D10" s="274"/>
      <c r="E10" s="274"/>
      <c r="F10" s="274"/>
      <c r="G10" s="274"/>
      <c r="H10" s="278"/>
      <c r="I10" s="278"/>
      <c r="J10" s="278"/>
      <c r="K10" s="278"/>
    </row>
    <row r="11" spans="1:12" ht="283.5">
      <c r="A11" s="123" t="s">
        <v>288</v>
      </c>
      <c r="B11" s="274" t="s">
        <v>584</v>
      </c>
      <c r="C11" s="274"/>
      <c r="D11" s="274"/>
      <c r="E11" s="274"/>
      <c r="F11" s="274"/>
      <c r="G11" s="274"/>
      <c r="H11" s="278"/>
      <c r="I11" s="278"/>
      <c r="J11" s="278"/>
      <c r="K11" s="278"/>
    </row>
    <row r="12" spans="1:12" ht="141.75">
      <c r="A12" s="103"/>
      <c r="B12" s="326"/>
      <c r="C12" s="326"/>
      <c r="D12" s="326"/>
      <c r="E12" s="326"/>
      <c r="F12" s="326"/>
      <c r="G12" s="327" t="s">
        <v>168</v>
      </c>
      <c r="H12" s="327"/>
      <c r="I12" s="327"/>
      <c r="J12" s="327"/>
      <c r="K12" s="327"/>
    </row>
    <row r="13" spans="1:12" ht="362.25">
      <c r="A13" s="121" t="s">
        <v>568</v>
      </c>
      <c r="B13" s="312" t="s">
        <v>322</v>
      </c>
      <c r="C13" s="312"/>
      <c r="D13" s="312"/>
      <c r="E13" s="312"/>
      <c r="F13" s="312"/>
      <c r="G13" s="312"/>
      <c r="H13" s="312"/>
      <c r="I13" s="312"/>
      <c r="J13" s="312"/>
      <c r="K13" s="312"/>
    </row>
    <row r="14" spans="1:12" ht="78.75">
      <c r="A14" s="123">
        <v>5</v>
      </c>
      <c r="B14" s="314" t="s">
        <v>169</v>
      </c>
      <c r="C14" s="314"/>
      <c r="D14" s="314"/>
      <c r="E14" s="314"/>
      <c r="F14" s="314"/>
      <c r="G14" s="314"/>
      <c r="H14" s="314"/>
      <c r="I14" s="314"/>
      <c r="J14" s="314"/>
      <c r="K14" s="314"/>
    </row>
    <row r="15" spans="1:12" ht="31.5">
      <c r="A15" s="123" t="s">
        <v>587</v>
      </c>
      <c r="B15" s="278" t="s">
        <v>24</v>
      </c>
      <c r="C15" s="314"/>
      <c r="D15" s="314"/>
      <c r="E15" s="314"/>
      <c r="F15" s="314"/>
      <c r="G15" s="314"/>
      <c r="H15" s="314"/>
      <c r="I15" s="278" t="s">
        <v>615</v>
      </c>
      <c r="J15" s="314"/>
      <c r="K15" s="314"/>
    </row>
    <row r="16" spans="1:12" ht="393.75">
      <c r="A16" s="124" t="s">
        <v>170</v>
      </c>
      <c r="B16" s="319" t="s">
        <v>171</v>
      </c>
      <c r="C16" s="319"/>
      <c r="D16" s="319"/>
      <c r="E16" s="319"/>
      <c r="F16" s="319"/>
      <c r="G16" s="319"/>
      <c r="H16" s="319"/>
      <c r="I16" s="273"/>
      <c r="J16" s="273"/>
      <c r="K16" s="273"/>
    </row>
    <row r="17" spans="1:11" ht="110.25">
      <c r="A17" s="121" t="s">
        <v>172</v>
      </c>
      <c r="B17" s="305" t="s">
        <v>173</v>
      </c>
      <c r="C17" s="305"/>
      <c r="D17" s="305"/>
      <c r="E17" s="305"/>
      <c r="F17" s="305"/>
      <c r="G17" s="305"/>
      <c r="H17" s="126" t="s">
        <v>589</v>
      </c>
      <c r="I17" s="273"/>
      <c r="J17" s="273"/>
      <c r="K17" s="273"/>
    </row>
    <row r="18" spans="1:11" ht="126">
      <c r="A18" s="121" t="s">
        <v>174</v>
      </c>
      <c r="B18" s="305" t="s">
        <v>175</v>
      </c>
      <c r="C18" s="305"/>
      <c r="D18" s="305"/>
      <c r="E18" s="305"/>
      <c r="F18" s="305"/>
      <c r="G18" s="305"/>
      <c r="H18" s="126" t="s">
        <v>589</v>
      </c>
      <c r="I18" s="273"/>
      <c r="J18" s="273"/>
      <c r="K18" s="273"/>
    </row>
    <row r="19" spans="1:11" ht="78.75">
      <c r="A19" s="121" t="s">
        <v>176</v>
      </c>
      <c r="B19" s="305" t="s">
        <v>177</v>
      </c>
      <c r="C19" s="305"/>
      <c r="D19" s="305"/>
      <c r="E19" s="305"/>
      <c r="F19" s="305"/>
      <c r="G19" s="305"/>
      <c r="H19" s="126" t="s">
        <v>589</v>
      </c>
      <c r="I19" s="273"/>
      <c r="J19" s="273"/>
      <c r="K19" s="273"/>
    </row>
    <row r="20" spans="1:11" ht="204.75">
      <c r="A20" s="121" t="s">
        <v>178</v>
      </c>
      <c r="B20" s="319" t="s">
        <v>179</v>
      </c>
      <c r="C20" s="319"/>
      <c r="D20" s="319"/>
      <c r="E20" s="319"/>
      <c r="F20" s="319"/>
      <c r="G20" s="319"/>
      <c r="H20" s="126" t="s">
        <v>589</v>
      </c>
      <c r="I20" s="273"/>
      <c r="J20" s="273"/>
      <c r="K20" s="273"/>
    </row>
    <row r="21" spans="1:11" ht="236.25">
      <c r="A21" s="121" t="s">
        <v>180</v>
      </c>
      <c r="B21" s="305" t="s">
        <v>289</v>
      </c>
      <c r="C21" s="305"/>
      <c r="D21" s="305"/>
      <c r="E21" s="305"/>
      <c r="F21" s="305"/>
      <c r="G21" s="305"/>
      <c r="H21" s="126" t="s">
        <v>589</v>
      </c>
      <c r="I21" s="273"/>
      <c r="J21" s="273"/>
      <c r="K21" s="273"/>
    </row>
    <row r="22" spans="1:11" ht="94.5">
      <c r="A22" s="121" t="s">
        <v>181</v>
      </c>
      <c r="B22" s="305" t="s">
        <v>182</v>
      </c>
      <c r="C22" s="305"/>
      <c r="D22" s="305"/>
      <c r="E22" s="305"/>
      <c r="F22" s="305"/>
      <c r="G22" s="305"/>
      <c r="H22" s="125" t="s">
        <v>590</v>
      </c>
      <c r="I22" s="273"/>
      <c r="J22" s="273"/>
      <c r="K22" s="273"/>
    </row>
    <row r="23" spans="1:11" ht="94.5">
      <c r="A23" s="121" t="s">
        <v>183</v>
      </c>
      <c r="B23" s="305" t="s">
        <v>184</v>
      </c>
      <c r="C23" s="305"/>
      <c r="D23" s="305"/>
      <c r="E23" s="305"/>
      <c r="F23" s="305"/>
      <c r="G23" s="305"/>
      <c r="H23" s="125" t="s">
        <v>590</v>
      </c>
      <c r="I23" s="273"/>
      <c r="J23" s="273"/>
      <c r="K23" s="273"/>
    </row>
    <row r="24" spans="1:11" ht="126">
      <c r="A24" s="121" t="s">
        <v>185</v>
      </c>
      <c r="B24" s="319" t="s">
        <v>186</v>
      </c>
      <c r="C24" s="319"/>
      <c r="D24" s="319"/>
      <c r="E24" s="319"/>
      <c r="F24" s="319"/>
      <c r="G24" s="319"/>
      <c r="H24" s="125" t="s">
        <v>590</v>
      </c>
      <c r="I24" s="273"/>
      <c r="J24" s="273"/>
      <c r="K24" s="273"/>
    </row>
    <row r="25" spans="1:11" ht="220.5">
      <c r="A25" s="121" t="s">
        <v>187</v>
      </c>
      <c r="B25" s="319" t="s">
        <v>188</v>
      </c>
      <c r="C25" s="319"/>
      <c r="D25" s="319"/>
      <c r="E25" s="319"/>
      <c r="F25" s="319"/>
      <c r="G25" s="319"/>
      <c r="H25" s="125" t="s">
        <v>590</v>
      </c>
      <c r="I25" s="273"/>
      <c r="J25" s="273"/>
      <c r="K25" s="273"/>
    </row>
    <row r="26" spans="1:11" ht="141.75">
      <c r="A26" s="121" t="s">
        <v>189</v>
      </c>
      <c r="B26" s="319" t="s">
        <v>190</v>
      </c>
      <c r="C26" s="319"/>
      <c r="D26" s="319"/>
      <c r="E26" s="319"/>
      <c r="F26" s="319"/>
      <c r="G26" s="319"/>
      <c r="H26" s="125" t="s">
        <v>590</v>
      </c>
      <c r="I26" s="273"/>
      <c r="J26" s="273"/>
      <c r="K26" s="273"/>
    </row>
    <row r="27" spans="1:11" ht="110.25">
      <c r="A27" s="121" t="s">
        <v>191</v>
      </c>
      <c r="B27" s="305" t="s">
        <v>192</v>
      </c>
      <c r="C27" s="305"/>
      <c r="D27" s="305"/>
      <c r="E27" s="305"/>
      <c r="F27" s="305"/>
      <c r="G27" s="305"/>
      <c r="H27" s="125" t="s">
        <v>590</v>
      </c>
      <c r="I27" s="273"/>
      <c r="J27" s="273"/>
      <c r="K27" s="273"/>
    </row>
    <row r="28" spans="1:11" ht="141.75">
      <c r="A28" s="121" t="s">
        <v>193</v>
      </c>
      <c r="B28" s="319" t="s">
        <v>194</v>
      </c>
      <c r="C28" s="319"/>
      <c r="D28" s="319"/>
      <c r="E28" s="319"/>
      <c r="F28" s="319"/>
      <c r="G28" s="319"/>
      <c r="H28" s="125" t="s">
        <v>591</v>
      </c>
      <c r="I28" s="273"/>
      <c r="J28" s="273"/>
      <c r="K28" s="273"/>
    </row>
    <row r="29" spans="1:11" ht="126">
      <c r="A29" s="121" t="s">
        <v>195</v>
      </c>
      <c r="B29" s="319" t="s">
        <v>196</v>
      </c>
      <c r="C29" s="319"/>
      <c r="D29" s="319"/>
      <c r="E29" s="319"/>
      <c r="F29" s="319"/>
      <c r="G29" s="319"/>
      <c r="H29" s="125" t="s">
        <v>591</v>
      </c>
      <c r="I29" s="273"/>
      <c r="J29" s="273"/>
      <c r="K29" s="273"/>
    </row>
    <row r="30" spans="1:11" ht="110.25">
      <c r="A30" s="121" t="s">
        <v>197</v>
      </c>
      <c r="B30" s="322" t="s">
        <v>198</v>
      </c>
      <c r="C30" s="322"/>
      <c r="D30" s="322"/>
      <c r="E30" s="322"/>
      <c r="F30" s="322"/>
      <c r="G30" s="322"/>
      <c r="H30" s="125" t="s">
        <v>591</v>
      </c>
      <c r="I30" s="273"/>
      <c r="J30" s="273"/>
      <c r="K30" s="273"/>
    </row>
    <row r="31" spans="1:11" ht="165">
      <c r="A31" s="121" t="s">
        <v>199</v>
      </c>
      <c r="B31" s="323" t="s">
        <v>627</v>
      </c>
      <c r="C31" s="323"/>
      <c r="D31" s="323"/>
      <c r="E31" s="323"/>
      <c r="F31" s="323"/>
      <c r="G31" s="323"/>
      <c r="H31" s="323"/>
      <c r="I31" s="308"/>
      <c r="J31" s="308"/>
      <c r="K31" s="308"/>
    </row>
    <row r="32" spans="1:11" ht="94.5">
      <c r="A32" s="121" t="s">
        <v>200</v>
      </c>
      <c r="B32" s="305" t="s">
        <v>201</v>
      </c>
      <c r="C32" s="305"/>
      <c r="D32" s="305"/>
      <c r="E32" s="305"/>
      <c r="F32" s="305"/>
      <c r="G32" s="305"/>
      <c r="H32" s="305"/>
      <c r="I32" s="273"/>
      <c r="J32" s="273"/>
      <c r="K32" s="273"/>
    </row>
    <row r="33" spans="1:11" ht="78.75">
      <c r="A33" s="121" t="s">
        <v>202</v>
      </c>
      <c r="B33" s="305" t="s">
        <v>203</v>
      </c>
      <c r="C33" s="305"/>
      <c r="D33" s="305"/>
      <c r="E33" s="305"/>
      <c r="F33" s="305"/>
      <c r="G33" s="305"/>
      <c r="H33" s="305"/>
      <c r="I33" s="308"/>
      <c r="J33" s="308"/>
      <c r="K33" s="308"/>
    </row>
    <row r="34" spans="1:11" ht="409.5">
      <c r="A34" s="123">
        <v>6</v>
      </c>
      <c r="B34" s="321" t="s">
        <v>204</v>
      </c>
      <c r="C34" s="321"/>
      <c r="D34" s="321"/>
      <c r="E34" s="321"/>
      <c r="F34" s="321"/>
      <c r="G34" s="321"/>
      <c r="H34" s="321"/>
      <c r="I34" s="321"/>
      <c r="J34" s="321"/>
      <c r="K34" s="321"/>
    </row>
    <row r="35" spans="1:11" ht="47.25">
      <c r="A35" s="121" t="s">
        <v>6</v>
      </c>
      <c r="B35" s="274" t="s">
        <v>317</v>
      </c>
      <c r="C35" s="274"/>
      <c r="D35" s="274"/>
      <c r="E35" s="274"/>
      <c r="F35" s="274"/>
      <c r="G35" s="274"/>
      <c r="H35" s="274"/>
      <c r="I35" s="274"/>
      <c r="J35" s="274"/>
      <c r="K35" s="274"/>
    </row>
    <row r="36" spans="1:11" ht="409.5">
      <c r="A36" s="123">
        <v>7</v>
      </c>
      <c r="B36" s="325" t="s">
        <v>205</v>
      </c>
      <c r="C36" s="325"/>
      <c r="D36" s="325"/>
      <c r="E36" s="325"/>
      <c r="F36" s="325"/>
      <c r="G36" s="325"/>
      <c r="H36" s="325"/>
      <c r="I36" s="325"/>
      <c r="J36" s="325"/>
      <c r="K36" s="325"/>
    </row>
    <row r="37" spans="1:11" ht="31.5">
      <c r="A37" s="123" t="s">
        <v>587</v>
      </c>
      <c r="B37" s="278" t="s">
        <v>24</v>
      </c>
      <c r="C37" s="314"/>
      <c r="D37" s="314"/>
      <c r="E37" s="314"/>
      <c r="F37" s="314"/>
      <c r="G37" s="314"/>
      <c r="H37" s="314"/>
      <c r="I37" s="278" t="s">
        <v>615</v>
      </c>
      <c r="J37" s="314"/>
      <c r="K37" s="314"/>
    </row>
    <row r="38" spans="1:11" ht="110.25">
      <c r="A38" s="124" t="s">
        <v>170</v>
      </c>
      <c r="B38" s="322" t="s">
        <v>206</v>
      </c>
      <c r="C38" s="322"/>
      <c r="D38" s="322"/>
      <c r="E38" s="322"/>
      <c r="F38" s="322"/>
      <c r="G38" s="322"/>
      <c r="H38" s="322"/>
      <c r="I38" s="308"/>
      <c r="J38" s="273"/>
      <c r="K38" s="273"/>
    </row>
    <row r="39" spans="1:11" ht="157.5">
      <c r="A39" s="124" t="s">
        <v>172</v>
      </c>
      <c r="B39" s="319" t="s">
        <v>207</v>
      </c>
      <c r="C39" s="319"/>
      <c r="D39" s="319"/>
      <c r="E39" s="319"/>
      <c r="F39" s="319"/>
      <c r="G39" s="319"/>
      <c r="H39" s="319"/>
      <c r="I39" s="273"/>
      <c r="J39" s="273"/>
      <c r="K39" s="273"/>
    </row>
    <row r="40" spans="1:11" ht="94.5">
      <c r="A40" s="121" t="s">
        <v>174</v>
      </c>
      <c r="B40" s="305" t="s">
        <v>208</v>
      </c>
      <c r="C40" s="305"/>
      <c r="D40" s="305"/>
      <c r="E40" s="305"/>
      <c r="F40" s="305"/>
      <c r="G40" s="305"/>
      <c r="H40" s="305"/>
      <c r="I40" s="273"/>
      <c r="J40" s="273"/>
      <c r="K40" s="273"/>
    </row>
    <row r="41" spans="1:11" ht="157.5">
      <c r="A41" s="121" t="s">
        <v>176</v>
      </c>
      <c r="B41" s="319" t="s">
        <v>209</v>
      </c>
      <c r="C41" s="319"/>
      <c r="D41" s="319"/>
      <c r="E41" s="319"/>
      <c r="F41" s="319"/>
      <c r="G41" s="319"/>
      <c r="H41" s="319"/>
      <c r="I41" s="273"/>
      <c r="J41" s="273"/>
      <c r="K41" s="273"/>
    </row>
    <row r="42" spans="1:11" ht="110.25">
      <c r="A42" s="121" t="s">
        <v>178</v>
      </c>
      <c r="B42" s="305" t="s">
        <v>210</v>
      </c>
      <c r="C42" s="305"/>
      <c r="D42" s="305"/>
      <c r="E42" s="305"/>
      <c r="F42" s="305"/>
      <c r="G42" s="305"/>
      <c r="H42" s="305"/>
      <c r="I42" s="308"/>
      <c r="J42" s="308"/>
      <c r="K42" s="308"/>
    </row>
    <row r="43" spans="1:11" ht="126">
      <c r="A43" s="121" t="s">
        <v>180</v>
      </c>
      <c r="B43" s="319" t="s">
        <v>211</v>
      </c>
      <c r="C43" s="319"/>
      <c r="D43" s="319"/>
      <c r="E43" s="319"/>
      <c r="F43" s="319"/>
      <c r="G43" s="319"/>
      <c r="H43" s="319"/>
      <c r="I43" s="273"/>
      <c r="J43" s="273"/>
      <c r="K43" s="273"/>
    </row>
    <row r="44" spans="1:11" ht="78.75">
      <c r="A44" s="121" t="s">
        <v>181</v>
      </c>
      <c r="B44" s="305" t="s">
        <v>212</v>
      </c>
      <c r="C44" s="305"/>
      <c r="D44" s="305"/>
      <c r="E44" s="305"/>
      <c r="F44" s="305"/>
      <c r="G44" s="305"/>
      <c r="H44" s="305"/>
      <c r="I44" s="308"/>
      <c r="J44" s="308"/>
      <c r="K44" s="308"/>
    </row>
    <row r="45" spans="1:11" ht="409.5">
      <c r="A45" s="123">
        <v>8</v>
      </c>
      <c r="B45" s="318" t="s">
        <v>213</v>
      </c>
      <c r="C45" s="318"/>
      <c r="D45" s="318"/>
      <c r="E45" s="318"/>
      <c r="F45" s="318"/>
      <c r="G45" s="318"/>
      <c r="H45" s="318"/>
      <c r="I45" s="318"/>
      <c r="J45" s="318"/>
      <c r="K45" s="318"/>
    </row>
    <row r="46" spans="1:11" ht="47.25">
      <c r="A46" s="121" t="s">
        <v>6</v>
      </c>
      <c r="B46" s="274" t="s">
        <v>317</v>
      </c>
      <c r="C46" s="274"/>
      <c r="D46" s="274"/>
      <c r="E46" s="274"/>
      <c r="F46" s="274"/>
      <c r="G46" s="274"/>
      <c r="H46" s="274"/>
      <c r="I46" s="274"/>
      <c r="J46" s="274"/>
      <c r="K46" s="274"/>
    </row>
    <row r="47" spans="1:11" ht="63">
      <c r="A47" s="121" t="s">
        <v>569</v>
      </c>
      <c r="B47" s="320" t="s">
        <v>323</v>
      </c>
      <c r="C47" s="320"/>
      <c r="D47" s="320"/>
      <c r="E47" s="320"/>
      <c r="F47" s="320"/>
      <c r="G47" s="320"/>
      <c r="H47" s="320"/>
      <c r="I47" s="320"/>
      <c r="J47" s="320"/>
      <c r="K47" s="320"/>
    </row>
    <row r="48" spans="1:11" ht="409.5">
      <c r="A48" s="123">
        <v>9</v>
      </c>
      <c r="B48" s="321" t="s">
        <v>214</v>
      </c>
      <c r="C48" s="321"/>
      <c r="D48" s="321"/>
      <c r="E48" s="321"/>
      <c r="F48" s="321"/>
      <c r="G48" s="321"/>
      <c r="H48" s="321"/>
      <c r="I48" s="321"/>
      <c r="J48" s="321"/>
      <c r="K48" s="321"/>
    </row>
    <row r="49" spans="1:11" ht="31.5">
      <c r="A49" s="317" t="s">
        <v>587</v>
      </c>
      <c r="B49" s="278" t="s">
        <v>216</v>
      </c>
      <c r="C49" s="278"/>
      <c r="D49" s="278" t="s">
        <v>217</v>
      </c>
      <c r="E49" s="278"/>
      <c r="F49" s="278" t="s">
        <v>215</v>
      </c>
      <c r="G49" s="278"/>
      <c r="H49" s="278"/>
      <c r="I49" s="278"/>
      <c r="J49" s="278"/>
      <c r="K49" s="278"/>
    </row>
    <row r="50" spans="1:11" ht="47.25">
      <c r="A50" s="317"/>
      <c r="B50" s="278"/>
      <c r="C50" s="278"/>
      <c r="D50" s="278"/>
      <c r="E50" s="278"/>
      <c r="F50" s="121" t="s">
        <v>49</v>
      </c>
      <c r="G50" s="121" t="s">
        <v>592</v>
      </c>
      <c r="H50" s="278" t="s">
        <v>218</v>
      </c>
      <c r="I50" s="278"/>
      <c r="J50" s="278" t="s">
        <v>616</v>
      </c>
      <c r="K50" s="302"/>
    </row>
    <row r="51" spans="1:11" ht="15.75">
      <c r="A51" s="121" t="s">
        <v>170</v>
      </c>
      <c r="B51" s="276">
        <v>0.05</v>
      </c>
      <c r="C51" s="276"/>
      <c r="D51" s="273"/>
      <c r="E51" s="273"/>
      <c r="F51" s="127"/>
      <c r="G51" s="127"/>
      <c r="H51" s="273"/>
      <c r="I51" s="273"/>
      <c r="J51" s="273"/>
      <c r="K51" s="273"/>
    </row>
    <row r="52" spans="1:11" ht="15.75">
      <c r="A52" s="121" t="s">
        <v>172</v>
      </c>
      <c r="B52" s="274" t="s">
        <v>219</v>
      </c>
      <c r="C52" s="274"/>
      <c r="D52" s="273"/>
      <c r="E52" s="273"/>
      <c r="F52" s="127"/>
      <c r="G52" s="127"/>
      <c r="H52" s="273"/>
      <c r="I52" s="273"/>
      <c r="J52" s="273"/>
      <c r="K52" s="273"/>
    </row>
    <row r="53" spans="1:11" ht="15.75">
      <c r="A53" s="121" t="s">
        <v>174</v>
      </c>
      <c r="B53" s="276">
        <v>0.12</v>
      </c>
      <c r="C53" s="276"/>
      <c r="D53" s="273"/>
      <c r="E53" s="273"/>
      <c r="F53" s="127"/>
      <c r="G53" s="127"/>
      <c r="H53" s="273"/>
      <c r="I53" s="273"/>
      <c r="J53" s="273"/>
      <c r="K53" s="273"/>
    </row>
    <row r="54" spans="1:11" ht="31.5">
      <c r="A54" s="121" t="s">
        <v>176</v>
      </c>
      <c r="B54" s="274" t="s">
        <v>220</v>
      </c>
      <c r="C54" s="274"/>
      <c r="D54" s="273"/>
      <c r="E54" s="273"/>
      <c r="F54" s="127"/>
      <c r="G54" s="127"/>
      <c r="H54" s="273"/>
      <c r="I54" s="273"/>
      <c r="J54" s="273"/>
      <c r="K54" s="273"/>
    </row>
    <row r="55" spans="1:11" ht="15.75">
      <c r="A55" s="121" t="s">
        <v>178</v>
      </c>
      <c r="B55" s="276">
        <v>0.18</v>
      </c>
      <c r="C55" s="276"/>
      <c r="D55" s="273"/>
      <c r="E55" s="273"/>
      <c r="F55" s="127"/>
      <c r="G55" s="127"/>
      <c r="H55" s="273"/>
      <c r="I55" s="273"/>
      <c r="J55" s="273"/>
      <c r="K55" s="273"/>
    </row>
    <row r="56" spans="1:11" ht="31.5">
      <c r="A56" s="121" t="s">
        <v>180</v>
      </c>
      <c r="B56" s="274" t="s">
        <v>221</v>
      </c>
      <c r="C56" s="274"/>
      <c r="D56" s="273"/>
      <c r="E56" s="273"/>
      <c r="F56" s="127"/>
      <c r="G56" s="127"/>
      <c r="H56" s="273"/>
      <c r="I56" s="273"/>
      <c r="J56" s="273"/>
      <c r="K56" s="273"/>
    </row>
    <row r="57" spans="1:11" ht="15.75">
      <c r="A57" s="121" t="s">
        <v>181</v>
      </c>
      <c r="B57" s="276">
        <v>0.28000000000000003</v>
      </c>
      <c r="C57" s="276"/>
      <c r="D57" s="273"/>
      <c r="E57" s="273"/>
      <c r="F57" s="127"/>
      <c r="G57" s="127"/>
      <c r="H57" s="273"/>
      <c r="I57" s="273"/>
      <c r="J57" s="273"/>
      <c r="K57" s="273"/>
    </row>
    <row r="58" spans="1:11" ht="31.5">
      <c r="A58" s="121" t="s">
        <v>183</v>
      </c>
      <c r="B58" s="274" t="s">
        <v>222</v>
      </c>
      <c r="C58" s="274"/>
      <c r="D58" s="273"/>
      <c r="E58" s="273"/>
      <c r="F58" s="127"/>
      <c r="G58" s="127"/>
      <c r="H58" s="273"/>
      <c r="I58" s="273"/>
      <c r="J58" s="273"/>
      <c r="K58" s="273"/>
    </row>
    <row r="59" spans="1:11" ht="15.75">
      <c r="A59" s="121" t="s">
        <v>185</v>
      </c>
      <c r="B59" s="276">
        <v>0.03</v>
      </c>
      <c r="C59" s="276"/>
      <c r="D59" s="273"/>
      <c r="E59" s="273"/>
      <c r="F59" s="127"/>
      <c r="G59" s="127"/>
      <c r="H59" s="273"/>
      <c r="I59" s="273"/>
      <c r="J59" s="273"/>
      <c r="K59" s="273"/>
    </row>
    <row r="60" spans="1:11" ht="15.75">
      <c r="A60" s="121" t="s">
        <v>187</v>
      </c>
      <c r="B60" s="275">
        <v>2.5000000000000001E-3</v>
      </c>
      <c r="C60" s="275"/>
      <c r="D60" s="273"/>
      <c r="E60" s="273"/>
      <c r="F60" s="127"/>
      <c r="G60" s="127"/>
      <c r="H60" s="273"/>
      <c r="I60" s="273"/>
      <c r="J60" s="273"/>
      <c r="K60" s="273"/>
    </row>
    <row r="61" spans="1:11" ht="15.75">
      <c r="A61" s="121" t="s">
        <v>189</v>
      </c>
      <c r="B61" s="275">
        <v>1E-3</v>
      </c>
      <c r="C61" s="275"/>
      <c r="D61" s="273"/>
      <c r="E61" s="273"/>
      <c r="F61" s="127"/>
      <c r="G61" s="127"/>
      <c r="H61" s="273"/>
      <c r="I61" s="273"/>
      <c r="J61" s="273"/>
      <c r="K61" s="273"/>
    </row>
    <row r="62" spans="1:11" ht="15.75">
      <c r="A62" s="121" t="s">
        <v>191</v>
      </c>
      <c r="B62" s="274" t="s">
        <v>223</v>
      </c>
      <c r="C62" s="274"/>
      <c r="D62" s="313"/>
      <c r="E62" s="313"/>
      <c r="F62" s="127"/>
      <c r="G62" s="127"/>
      <c r="H62" s="273"/>
      <c r="I62" s="273"/>
      <c r="J62" s="273"/>
      <c r="K62" s="273"/>
    </row>
    <row r="63" spans="1:11" ht="15.75">
      <c r="A63" s="121" t="s">
        <v>193</v>
      </c>
      <c r="B63" s="274" t="s">
        <v>224</v>
      </c>
      <c r="C63" s="274"/>
      <c r="D63" s="313"/>
      <c r="E63" s="313"/>
      <c r="F63" s="127"/>
      <c r="G63" s="127"/>
      <c r="H63" s="273"/>
      <c r="I63" s="273"/>
      <c r="J63" s="273"/>
      <c r="K63" s="273"/>
    </row>
    <row r="64" spans="1:11" ht="15.75">
      <c r="A64" s="121" t="s">
        <v>195</v>
      </c>
      <c r="B64" s="274" t="s">
        <v>225</v>
      </c>
      <c r="C64" s="274"/>
      <c r="D64" s="313"/>
      <c r="E64" s="313"/>
      <c r="F64" s="127"/>
      <c r="G64" s="127"/>
      <c r="H64" s="273"/>
      <c r="I64" s="273"/>
      <c r="J64" s="273"/>
      <c r="K64" s="273"/>
    </row>
    <row r="65" spans="1:11" ht="15.75">
      <c r="A65" s="121" t="s">
        <v>197</v>
      </c>
      <c r="B65" s="274" t="s">
        <v>226</v>
      </c>
      <c r="C65" s="274"/>
      <c r="D65" s="313"/>
      <c r="E65" s="313"/>
      <c r="F65" s="127"/>
      <c r="G65" s="127"/>
      <c r="H65" s="273"/>
      <c r="I65" s="273"/>
      <c r="J65" s="273"/>
      <c r="K65" s="273"/>
    </row>
    <row r="66" spans="1:11" ht="110.25">
      <c r="A66" s="121" t="s">
        <v>199</v>
      </c>
      <c r="B66" s="272" t="s">
        <v>227</v>
      </c>
      <c r="C66" s="272"/>
      <c r="D66" s="313"/>
      <c r="E66" s="313"/>
      <c r="F66" s="130"/>
      <c r="G66" s="130"/>
      <c r="H66" s="316"/>
      <c r="I66" s="316"/>
      <c r="J66" s="316"/>
      <c r="K66" s="316"/>
    </row>
    <row r="67" spans="1:11" ht="141.75">
      <c r="A67" s="121" t="s">
        <v>200</v>
      </c>
      <c r="B67" s="274" t="s">
        <v>228</v>
      </c>
      <c r="C67" s="272"/>
      <c r="D67" s="313"/>
      <c r="E67" s="313"/>
      <c r="F67" s="127"/>
      <c r="G67" s="127"/>
      <c r="H67" s="273"/>
      <c r="I67" s="273"/>
      <c r="J67" s="273"/>
      <c r="K67" s="273"/>
    </row>
    <row r="68" spans="1:11" ht="94.5">
      <c r="A68" s="121" t="s">
        <v>202</v>
      </c>
      <c r="B68" s="274" t="s">
        <v>229</v>
      </c>
      <c r="C68" s="274"/>
      <c r="D68" s="307"/>
      <c r="E68" s="307"/>
      <c r="F68" s="130"/>
      <c r="G68" s="130"/>
      <c r="H68" s="316"/>
      <c r="I68" s="316"/>
      <c r="J68" s="316"/>
      <c r="K68" s="316"/>
    </row>
    <row r="69" spans="1:11" ht="110.25">
      <c r="A69" s="123">
        <v>10</v>
      </c>
      <c r="B69" s="278" t="s">
        <v>230</v>
      </c>
      <c r="C69" s="314"/>
      <c r="D69" s="314"/>
      <c r="E69" s="314"/>
      <c r="F69" s="314"/>
      <c r="G69" s="314"/>
      <c r="H69" s="314"/>
      <c r="I69" s="314"/>
      <c r="J69" s="314"/>
      <c r="K69" s="314"/>
    </row>
    <row r="70" spans="1:11" ht="47.25">
      <c r="A70" s="121" t="s">
        <v>6</v>
      </c>
      <c r="B70" s="305" t="s">
        <v>317</v>
      </c>
      <c r="C70" s="305"/>
      <c r="D70" s="305"/>
      <c r="E70" s="274"/>
      <c r="F70" s="274"/>
      <c r="G70" s="274"/>
      <c r="H70" s="274"/>
      <c r="I70" s="274"/>
      <c r="J70" s="274"/>
      <c r="K70" s="274"/>
    </row>
    <row r="71" spans="1:11" ht="283.5">
      <c r="A71" s="123">
        <v>11</v>
      </c>
      <c r="B71" s="312" t="s">
        <v>231</v>
      </c>
      <c r="C71" s="312"/>
      <c r="D71" s="312"/>
      <c r="E71" s="312"/>
      <c r="F71" s="312"/>
      <c r="G71" s="312"/>
      <c r="H71" s="312"/>
      <c r="I71" s="312"/>
      <c r="J71" s="312"/>
      <c r="K71" s="312"/>
    </row>
    <row r="72" spans="1:11" ht="299.25">
      <c r="A72" s="129"/>
      <c r="B72" s="301"/>
      <c r="C72" s="301"/>
      <c r="D72" s="301"/>
      <c r="E72" s="301"/>
      <c r="F72" s="304" t="s">
        <v>232</v>
      </c>
      <c r="G72" s="304"/>
      <c r="H72" s="304"/>
      <c r="I72" s="304"/>
      <c r="J72" s="304"/>
      <c r="K72" s="304"/>
    </row>
    <row r="73" spans="1:11" ht="47.25">
      <c r="A73" s="128" t="s">
        <v>587</v>
      </c>
      <c r="B73" s="278" t="s">
        <v>216</v>
      </c>
      <c r="C73" s="278"/>
      <c r="D73" s="278" t="s">
        <v>217</v>
      </c>
      <c r="E73" s="278"/>
      <c r="F73" s="121" t="s">
        <v>49</v>
      </c>
      <c r="G73" s="121" t="s">
        <v>592</v>
      </c>
      <c r="H73" s="278" t="s">
        <v>48</v>
      </c>
      <c r="I73" s="278"/>
      <c r="J73" s="278" t="s">
        <v>617</v>
      </c>
      <c r="K73" s="302"/>
    </row>
    <row r="74" spans="1:11" ht="15.75">
      <c r="A74" s="128" t="s">
        <v>6</v>
      </c>
      <c r="B74" s="276">
        <v>0.05</v>
      </c>
      <c r="C74" s="276"/>
      <c r="D74" s="273"/>
      <c r="E74" s="273"/>
      <c r="F74" s="127"/>
      <c r="G74" s="127"/>
      <c r="H74" s="273"/>
      <c r="I74" s="273"/>
      <c r="J74" s="273"/>
      <c r="K74" s="273"/>
    </row>
    <row r="75" spans="1:11" ht="15.75">
      <c r="A75" s="128" t="s">
        <v>7</v>
      </c>
      <c r="B75" s="276">
        <v>0.12</v>
      </c>
      <c r="C75" s="276"/>
      <c r="D75" s="273"/>
      <c r="E75" s="273"/>
      <c r="F75" s="127"/>
      <c r="G75" s="127"/>
      <c r="H75" s="273"/>
      <c r="I75" s="273"/>
      <c r="J75" s="273"/>
      <c r="K75" s="273"/>
    </row>
    <row r="76" spans="1:11" ht="15.75">
      <c r="A76" s="128" t="s">
        <v>8</v>
      </c>
      <c r="B76" s="276">
        <v>0.18</v>
      </c>
      <c r="C76" s="276"/>
      <c r="D76" s="273"/>
      <c r="E76" s="273"/>
      <c r="F76" s="127"/>
      <c r="G76" s="127"/>
      <c r="H76" s="273"/>
      <c r="I76" s="273"/>
      <c r="J76" s="273"/>
      <c r="K76" s="273"/>
    </row>
    <row r="77" spans="1:11" ht="15.75">
      <c r="A77" s="128" t="s">
        <v>9</v>
      </c>
      <c r="B77" s="276">
        <v>0.28000000000000003</v>
      </c>
      <c r="C77" s="276"/>
      <c r="D77" s="273"/>
      <c r="E77" s="273"/>
      <c r="F77" s="127"/>
      <c r="G77" s="127"/>
      <c r="H77" s="273"/>
      <c r="I77" s="273"/>
      <c r="J77" s="273"/>
      <c r="K77" s="273"/>
    </row>
    <row r="78" spans="1:11" ht="15.75">
      <c r="A78" s="128" t="s">
        <v>10</v>
      </c>
      <c r="B78" s="276">
        <v>0.03</v>
      </c>
      <c r="C78" s="276"/>
      <c r="D78" s="273"/>
      <c r="E78" s="273"/>
      <c r="F78" s="127"/>
      <c r="G78" s="127"/>
      <c r="H78" s="273"/>
      <c r="I78" s="273"/>
      <c r="J78" s="273"/>
      <c r="K78" s="273"/>
    </row>
    <row r="79" spans="1:11" ht="15.75">
      <c r="A79" s="128" t="s">
        <v>11</v>
      </c>
      <c r="B79" s="275">
        <v>2.5000000000000001E-3</v>
      </c>
      <c r="C79" s="275"/>
      <c r="D79" s="273"/>
      <c r="E79" s="273"/>
      <c r="F79" s="127"/>
      <c r="G79" s="127"/>
      <c r="H79" s="273"/>
      <c r="I79" s="273"/>
      <c r="J79" s="273"/>
      <c r="K79" s="273"/>
    </row>
    <row r="80" spans="1:11" ht="15.75">
      <c r="A80" s="128" t="s">
        <v>12</v>
      </c>
      <c r="B80" s="275">
        <v>1E-3</v>
      </c>
      <c r="C80" s="275"/>
      <c r="D80" s="273"/>
      <c r="E80" s="273"/>
      <c r="F80" s="127"/>
      <c r="G80" s="127"/>
      <c r="H80" s="273"/>
      <c r="I80" s="273"/>
      <c r="J80" s="273"/>
      <c r="K80" s="273"/>
    </row>
    <row r="81" spans="1:11" ht="15.75">
      <c r="A81" s="128" t="s">
        <v>14</v>
      </c>
      <c r="B81" s="274" t="s">
        <v>223</v>
      </c>
      <c r="C81" s="274"/>
      <c r="D81" s="313"/>
      <c r="E81" s="313"/>
      <c r="F81" s="127"/>
      <c r="G81" s="127"/>
      <c r="H81" s="273"/>
      <c r="I81" s="273"/>
      <c r="J81" s="273"/>
      <c r="K81" s="273"/>
    </row>
    <row r="82" spans="1:11" ht="15.75">
      <c r="A82" s="128" t="s">
        <v>16</v>
      </c>
      <c r="B82" s="274" t="s">
        <v>224</v>
      </c>
      <c r="C82" s="274"/>
      <c r="D82" s="313"/>
      <c r="E82" s="313"/>
      <c r="F82" s="127"/>
      <c r="G82" s="127"/>
      <c r="H82" s="273"/>
      <c r="I82" s="273"/>
      <c r="J82" s="273"/>
      <c r="K82" s="273"/>
    </row>
    <row r="83" spans="1:11" ht="15.75">
      <c r="A83" s="128" t="s">
        <v>17</v>
      </c>
      <c r="B83" s="274" t="s">
        <v>225</v>
      </c>
      <c r="C83" s="274"/>
      <c r="D83" s="313"/>
      <c r="E83" s="313"/>
      <c r="F83" s="127"/>
      <c r="G83" s="127"/>
      <c r="H83" s="273"/>
      <c r="I83" s="273"/>
      <c r="J83" s="273"/>
      <c r="K83" s="273"/>
    </row>
    <row r="84" spans="1:11" ht="47.25">
      <c r="A84" s="128" t="s">
        <v>18</v>
      </c>
      <c r="B84" s="272" t="s">
        <v>233</v>
      </c>
      <c r="C84" s="272"/>
      <c r="D84" s="313"/>
      <c r="E84" s="313"/>
      <c r="F84" s="127"/>
      <c r="G84" s="127"/>
      <c r="H84" s="273"/>
      <c r="I84" s="273"/>
      <c r="J84" s="273"/>
      <c r="K84" s="273"/>
    </row>
    <row r="85" spans="1:11" ht="110.25">
      <c r="A85" s="278" t="s">
        <v>570</v>
      </c>
      <c r="B85" s="314" t="s">
        <v>325</v>
      </c>
      <c r="C85" s="314"/>
      <c r="D85" s="314"/>
      <c r="E85" s="314"/>
      <c r="F85" s="314"/>
      <c r="G85" s="314"/>
      <c r="H85" s="314"/>
      <c r="I85" s="314"/>
      <c r="J85" s="314"/>
      <c r="K85" s="314"/>
    </row>
    <row r="86" spans="1:11" ht="15.75">
      <c r="A86" s="278"/>
      <c r="B86" s="314"/>
      <c r="C86" s="314"/>
      <c r="D86" s="314"/>
      <c r="E86" s="314"/>
      <c r="F86" s="314"/>
      <c r="G86" s="314"/>
      <c r="H86" s="314"/>
      <c r="I86" s="314"/>
      <c r="J86" s="314"/>
      <c r="K86" s="314"/>
    </row>
    <row r="87" spans="1:11" ht="110.25">
      <c r="A87" s="123">
        <v>12</v>
      </c>
      <c r="B87" s="314" t="s">
        <v>234</v>
      </c>
      <c r="C87" s="314"/>
      <c r="D87" s="314"/>
      <c r="E87" s="314"/>
      <c r="F87" s="314"/>
      <c r="G87" s="314"/>
      <c r="H87" s="314"/>
      <c r="I87" s="314"/>
      <c r="J87" s="314"/>
      <c r="K87" s="314"/>
    </row>
    <row r="88" spans="1:11" ht="31.5">
      <c r="A88" s="123" t="s">
        <v>587</v>
      </c>
      <c r="B88" s="278" t="s">
        <v>24</v>
      </c>
      <c r="C88" s="314"/>
      <c r="D88" s="314"/>
      <c r="E88" s="314"/>
      <c r="F88" s="314"/>
      <c r="G88" s="314"/>
      <c r="H88" s="314"/>
      <c r="I88" s="278" t="s">
        <v>615</v>
      </c>
      <c r="J88" s="314"/>
      <c r="K88" s="314"/>
    </row>
    <row r="89" spans="1:11" ht="362.25">
      <c r="A89" s="124" t="s">
        <v>170</v>
      </c>
      <c r="B89" s="272" t="s">
        <v>235</v>
      </c>
      <c r="C89" s="272"/>
      <c r="D89" s="272"/>
      <c r="E89" s="272"/>
      <c r="F89" s="272"/>
      <c r="G89" s="272"/>
      <c r="H89" s="272"/>
      <c r="I89" s="273"/>
      <c r="J89" s="273"/>
      <c r="K89" s="273"/>
    </row>
    <row r="90" spans="1:11" ht="141.75">
      <c r="A90" s="124" t="s">
        <v>172</v>
      </c>
      <c r="B90" s="272" t="s">
        <v>236</v>
      </c>
      <c r="C90" s="272"/>
      <c r="D90" s="272"/>
      <c r="E90" s="272"/>
      <c r="F90" s="272"/>
      <c r="G90" s="272"/>
      <c r="H90" s="272"/>
      <c r="I90" s="273"/>
      <c r="J90" s="273"/>
      <c r="K90" s="273"/>
    </row>
    <row r="91" spans="1:11" ht="189">
      <c r="A91" s="124" t="s">
        <v>174</v>
      </c>
      <c r="B91" s="319" t="s">
        <v>237</v>
      </c>
      <c r="C91" s="319"/>
      <c r="D91" s="319"/>
      <c r="E91" s="319"/>
      <c r="F91" s="319"/>
      <c r="G91" s="319"/>
      <c r="H91" s="319"/>
      <c r="I91" s="273"/>
      <c r="J91" s="273"/>
      <c r="K91" s="273"/>
    </row>
    <row r="92" spans="1:11" ht="141.75">
      <c r="A92" s="124" t="s">
        <v>176</v>
      </c>
      <c r="B92" s="272" t="s">
        <v>238</v>
      </c>
      <c r="C92" s="272"/>
      <c r="D92" s="272"/>
      <c r="E92" s="272"/>
      <c r="F92" s="272"/>
      <c r="G92" s="272"/>
      <c r="H92" s="272"/>
      <c r="I92" s="308"/>
      <c r="J92" s="308"/>
      <c r="K92" s="308"/>
    </row>
    <row r="93" spans="1:11" ht="78.75">
      <c r="A93" s="121" t="s">
        <v>178</v>
      </c>
      <c r="B93" s="274" t="s">
        <v>239</v>
      </c>
      <c r="C93" s="274"/>
      <c r="D93" s="274"/>
      <c r="E93" s="274"/>
      <c r="F93" s="274"/>
      <c r="G93" s="274"/>
      <c r="H93" s="274"/>
      <c r="I93" s="273"/>
      <c r="J93" s="273"/>
      <c r="K93" s="273"/>
    </row>
    <row r="94" spans="1:11" ht="47.25">
      <c r="A94" s="121" t="s">
        <v>180</v>
      </c>
      <c r="B94" s="274" t="s">
        <v>240</v>
      </c>
      <c r="C94" s="274"/>
      <c r="D94" s="274"/>
      <c r="E94" s="274"/>
      <c r="F94" s="274"/>
      <c r="G94" s="274"/>
      <c r="H94" s="274"/>
      <c r="I94" s="308"/>
      <c r="J94" s="308"/>
      <c r="K94" s="308"/>
    </row>
    <row r="95" spans="1:11" ht="110.25">
      <c r="A95" s="123">
        <v>13</v>
      </c>
      <c r="B95" s="314" t="s">
        <v>241</v>
      </c>
      <c r="C95" s="314"/>
      <c r="D95" s="314"/>
      <c r="E95" s="314"/>
      <c r="F95" s="314"/>
      <c r="G95" s="314"/>
      <c r="H95" s="314"/>
      <c r="I95" s="314"/>
      <c r="J95" s="314"/>
      <c r="K95" s="314"/>
    </row>
    <row r="96" spans="1:11" ht="47.25">
      <c r="A96" s="121" t="s">
        <v>6</v>
      </c>
      <c r="B96" s="274" t="s">
        <v>317</v>
      </c>
      <c r="C96" s="274"/>
      <c r="D96" s="274"/>
      <c r="E96" s="274"/>
      <c r="F96" s="274"/>
      <c r="G96" s="274"/>
      <c r="H96" s="274"/>
      <c r="I96" s="274"/>
      <c r="J96" s="274"/>
      <c r="K96" s="274"/>
    </row>
    <row r="97" spans="1:11" ht="409.5">
      <c r="A97" s="123">
        <v>14</v>
      </c>
      <c r="B97" s="312" t="s">
        <v>242</v>
      </c>
      <c r="C97" s="312"/>
      <c r="D97" s="312"/>
      <c r="E97" s="312"/>
      <c r="F97" s="312"/>
      <c r="G97" s="312"/>
      <c r="H97" s="312"/>
      <c r="I97" s="312"/>
      <c r="J97" s="312"/>
      <c r="K97" s="312"/>
    </row>
    <row r="98" spans="1:11" ht="78.75">
      <c r="A98" s="131" t="s">
        <v>587</v>
      </c>
      <c r="B98" s="278" t="s">
        <v>216</v>
      </c>
      <c r="C98" s="278"/>
      <c r="D98" s="278"/>
      <c r="E98" s="278" t="s">
        <v>243</v>
      </c>
      <c r="F98" s="278"/>
      <c r="G98" s="310" t="s">
        <v>244</v>
      </c>
      <c r="H98" s="310"/>
      <c r="I98" s="311" t="s">
        <v>245</v>
      </c>
      <c r="J98" s="311"/>
      <c r="K98" s="311"/>
    </row>
    <row r="99" spans="1:11" ht="31.5">
      <c r="A99" s="121" t="s">
        <v>6</v>
      </c>
      <c r="B99" s="305" t="s">
        <v>259</v>
      </c>
      <c r="C99" s="305"/>
      <c r="D99" s="305"/>
      <c r="E99" s="273"/>
      <c r="F99" s="273"/>
      <c r="G99" s="273"/>
      <c r="H99" s="273"/>
      <c r="I99" s="273"/>
      <c r="J99" s="273"/>
      <c r="K99" s="273"/>
    </row>
    <row r="100" spans="1:11" ht="31.5">
      <c r="A100" s="121" t="s">
        <v>7</v>
      </c>
      <c r="B100" s="305" t="s">
        <v>56</v>
      </c>
      <c r="C100" s="305"/>
      <c r="D100" s="305"/>
      <c r="E100" s="273"/>
      <c r="F100" s="273"/>
      <c r="G100" s="273"/>
      <c r="H100" s="273"/>
      <c r="I100" s="273"/>
      <c r="J100" s="273"/>
      <c r="K100" s="273"/>
    </row>
    <row r="101" spans="1:11" ht="47.25">
      <c r="A101" s="121" t="s">
        <v>8</v>
      </c>
      <c r="B101" s="305" t="s">
        <v>156</v>
      </c>
      <c r="C101" s="305"/>
      <c r="D101" s="305"/>
      <c r="E101" s="273"/>
      <c r="F101" s="273"/>
      <c r="G101" s="273"/>
      <c r="H101" s="273"/>
      <c r="I101" s="273"/>
      <c r="J101" s="273"/>
      <c r="K101" s="273"/>
    </row>
    <row r="102" spans="1:11" ht="110.25">
      <c r="A102" s="121" t="s">
        <v>9</v>
      </c>
      <c r="B102" s="309" t="s">
        <v>157</v>
      </c>
      <c r="C102" s="309"/>
      <c r="D102" s="309"/>
      <c r="E102" s="273"/>
      <c r="F102" s="273"/>
      <c r="G102" s="273"/>
      <c r="H102" s="273"/>
      <c r="I102" s="273"/>
      <c r="J102" s="273"/>
      <c r="K102" s="273"/>
    </row>
    <row r="103" spans="1:11" ht="63">
      <c r="A103" s="121" t="s">
        <v>10</v>
      </c>
      <c r="B103" s="305" t="s">
        <v>35</v>
      </c>
      <c r="C103" s="305"/>
      <c r="D103" s="305"/>
      <c r="E103" s="273"/>
      <c r="F103" s="273"/>
      <c r="G103" s="273"/>
      <c r="H103" s="273"/>
      <c r="I103" s="273"/>
      <c r="J103" s="273"/>
      <c r="K103" s="273"/>
    </row>
    <row r="104" spans="1:11" ht="189">
      <c r="A104" s="124" t="s">
        <v>11</v>
      </c>
      <c r="B104" s="309" t="s">
        <v>36</v>
      </c>
      <c r="C104" s="309"/>
      <c r="D104" s="309"/>
      <c r="E104" s="273"/>
      <c r="F104" s="273"/>
      <c r="G104" s="273"/>
      <c r="H104" s="273"/>
      <c r="I104" s="273"/>
      <c r="J104" s="273"/>
      <c r="K104" s="273"/>
    </row>
    <row r="105" spans="1:11" ht="15.75">
      <c r="A105" s="121" t="s">
        <v>12</v>
      </c>
      <c r="B105" s="305" t="s">
        <v>37</v>
      </c>
      <c r="C105" s="305"/>
      <c r="D105" s="305"/>
      <c r="E105" s="273"/>
      <c r="F105" s="273"/>
      <c r="G105" s="273"/>
      <c r="H105" s="273"/>
      <c r="I105" s="273"/>
      <c r="J105" s="273"/>
      <c r="K105" s="273"/>
    </row>
    <row r="106" spans="1:11" ht="94.5">
      <c r="A106" s="121" t="s">
        <v>14</v>
      </c>
      <c r="B106" s="309" t="s">
        <v>327</v>
      </c>
      <c r="C106" s="309"/>
      <c r="D106" s="309"/>
      <c r="E106" s="273"/>
      <c r="F106" s="273"/>
      <c r="G106" s="273"/>
      <c r="H106" s="273"/>
      <c r="I106" s="273"/>
      <c r="J106" s="273"/>
      <c r="K106" s="273"/>
    </row>
    <row r="107" spans="1:11" ht="47.25">
      <c r="A107" s="121" t="s">
        <v>16</v>
      </c>
      <c r="B107" s="305" t="s">
        <v>38</v>
      </c>
      <c r="C107" s="305"/>
      <c r="D107" s="305"/>
      <c r="E107" s="273"/>
      <c r="F107" s="273"/>
      <c r="G107" s="273"/>
      <c r="H107" s="273"/>
      <c r="I107" s="273"/>
      <c r="J107" s="273"/>
      <c r="K107" s="273"/>
    </row>
    <row r="108" spans="1:11" ht="31.5">
      <c r="A108" s="121" t="s">
        <v>17</v>
      </c>
      <c r="B108" s="305" t="s">
        <v>39</v>
      </c>
      <c r="C108" s="305"/>
      <c r="D108" s="305"/>
      <c r="E108" s="273"/>
      <c r="F108" s="273"/>
      <c r="G108" s="273"/>
      <c r="H108" s="273"/>
      <c r="I108" s="273"/>
      <c r="J108" s="273"/>
      <c r="K108" s="273"/>
    </row>
    <row r="109" spans="1:11" ht="47.25">
      <c r="A109" s="121" t="s">
        <v>18</v>
      </c>
      <c r="B109" s="305" t="s">
        <v>40</v>
      </c>
      <c r="C109" s="305"/>
      <c r="D109" s="305"/>
      <c r="E109" s="273"/>
      <c r="F109" s="273"/>
      <c r="G109" s="273"/>
      <c r="H109" s="273"/>
      <c r="I109" s="273"/>
      <c r="J109" s="273"/>
      <c r="K109" s="273"/>
    </row>
    <row r="110" spans="1:11" ht="94.5">
      <c r="A110" s="121" t="s">
        <v>20</v>
      </c>
      <c r="B110" s="309" t="s">
        <v>41</v>
      </c>
      <c r="C110" s="309"/>
      <c r="D110" s="309"/>
      <c r="E110" s="273"/>
      <c r="F110" s="273"/>
      <c r="G110" s="273"/>
      <c r="H110" s="273"/>
      <c r="I110" s="273"/>
      <c r="J110" s="273"/>
      <c r="K110" s="273"/>
    </row>
    <row r="111" spans="1:11" ht="63">
      <c r="A111" s="121" t="s">
        <v>21</v>
      </c>
      <c r="B111" s="309" t="s">
        <v>42</v>
      </c>
      <c r="C111" s="309"/>
      <c r="D111" s="309"/>
      <c r="E111" s="273"/>
      <c r="F111" s="273"/>
      <c r="G111" s="273"/>
      <c r="H111" s="273"/>
      <c r="I111" s="273"/>
      <c r="J111" s="273"/>
      <c r="K111" s="273"/>
    </row>
    <row r="112" spans="1:11" ht="63">
      <c r="A112" s="121" t="s">
        <v>22</v>
      </c>
      <c r="B112" s="309" t="s">
        <v>260</v>
      </c>
      <c r="C112" s="309"/>
      <c r="D112" s="309"/>
      <c r="E112" s="273"/>
      <c r="F112" s="273"/>
      <c r="G112" s="273"/>
      <c r="H112" s="273"/>
      <c r="I112" s="273"/>
      <c r="J112" s="273"/>
      <c r="K112" s="273"/>
    </row>
    <row r="113" spans="1:11" ht="31.5">
      <c r="A113" s="121" t="s">
        <v>29</v>
      </c>
      <c r="B113" s="305" t="s">
        <v>43</v>
      </c>
      <c r="C113" s="305"/>
      <c r="D113" s="305"/>
      <c r="E113" s="273"/>
      <c r="F113" s="273"/>
      <c r="G113" s="273"/>
      <c r="H113" s="273"/>
      <c r="I113" s="273"/>
      <c r="J113" s="273"/>
      <c r="K113" s="273"/>
    </row>
    <row r="114" spans="1:11" ht="63">
      <c r="A114" s="121" t="s">
        <v>31</v>
      </c>
      <c r="B114" s="305" t="s">
        <v>44</v>
      </c>
      <c r="C114" s="305"/>
      <c r="D114" s="305"/>
      <c r="E114" s="273"/>
      <c r="F114" s="273"/>
      <c r="G114" s="273"/>
      <c r="H114" s="273"/>
      <c r="I114" s="273"/>
      <c r="J114" s="273"/>
      <c r="K114" s="273"/>
    </row>
    <row r="115" spans="1:11" ht="63">
      <c r="A115" s="121" t="s">
        <v>32</v>
      </c>
      <c r="B115" s="305" t="s">
        <v>45</v>
      </c>
      <c r="C115" s="305"/>
      <c r="D115" s="305"/>
      <c r="E115" s="273"/>
      <c r="F115" s="273"/>
      <c r="G115" s="273"/>
      <c r="H115" s="273"/>
      <c r="I115" s="273"/>
      <c r="J115" s="273"/>
      <c r="K115" s="273"/>
    </row>
    <row r="116" spans="1:11" ht="78.75">
      <c r="A116" s="121" t="s">
        <v>202</v>
      </c>
      <c r="B116" s="305" t="s">
        <v>618</v>
      </c>
      <c r="C116" s="305"/>
      <c r="D116" s="305"/>
      <c r="E116" s="307"/>
      <c r="F116" s="307"/>
      <c r="G116" s="307"/>
      <c r="H116" s="307"/>
      <c r="I116" s="308"/>
      <c r="J116" s="308"/>
      <c r="K116" s="308"/>
    </row>
    <row r="117" spans="1:11" ht="78.75">
      <c r="A117" s="121" t="s">
        <v>246</v>
      </c>
      <c r="B117" s="305" t="s">
        <v>619</v>
      </c>
      <c r="C117" s="305"/>
      <c r="D117" s="305"/>
      <c r="E117" s="307"/>
      <c r="F117" s="307"/>
      <c r="G117" s="307"/>
      <c r="H117" s="307"/>
      <c r="I117" s="273"/>
      <c r="J117" s="273"/>
      <c r="K117" s="273"/>
    </row>
    <row r="118" spans="1:11" ht="47.25">
      <c r="A118" s="121" t="s">
        <v>247</v>
      </c>
      <c r="B118" s="305" t="s">
        <v>620</v>
      </c>
      <c r="C118" s="305"/>
      <c r="D118" s="305"/>
      <c r="E118" s="307"/>
      <c r="F118" s="307"/>
      <c r="G118" s="307"/>
      <c r="H118" s="307"/>
      <c r="I118" s="308"/>
      <c r="J118" s="308"/>
      <c r="K118" s="308"/>
    </row>
    <row r="119" spans="1:11" ht="409.5">
      <c r="A119" s="123">
        <v>15</v>
      </c>
      <c r="B119" s="306" t="s">
        <v>248</v>
      </c>
      <c r="C119" s="306"/>
      <c r="D119" s="306"/>
      <c r="E119" s="306"/>
      <c r="F119" s="306"/>
      <c r="G119" s="306"/>
      <c r="H119" s="306"/>
      <c r="I119" s="306"/>
      <c r="J119" s="306"/>
      <c r="K119" s="306"/>
    </row>
    <row r="120" spans="1:11" ht="47.25">
      <c r="A120" s="121" t="s">
        <v>6</v>
      </c>
      <c r="B120" s="274" t="s">
        <v>291</v>
      </c>
      <c r="C120" s="274"/>
      <c r="D120" s="274"/>
      <c r="E120" s="274"/>
      <c r="F120" s="274"/>
      <c r="G120" s="274"/>
      <c r="H120" s="274"/>
      <c r="I120" s="274"/>
      <c r="J120" s="274"/>
      <c r="K120" s="274"/>
    </row>
    <row r="121" spans="1:11" ht="220.5">
      <c r="A121" s="122">
        <v>16</v>
      </c>
      <c r="B121" s="302" t="s">
        <v>249</v>
      </c>
      <c r="C121" s="302"/>
      <c r="D121" s="302"/>
      <c r="E121" s="302"/>
      <c r="F121" s="302"/>
      <c r="G121" s="302"/>
      <c r="H121" s="302"/>
      <c r="I121" s="302"/>
      <c r="J121" s="302"/>
      <c r="K121" s="302"/>
    </row>
    <row r="122" spans="1:11" ht="31.5">
      <c r="A122" s="128" t="s">
        <v>587</v>
      </c>
      <c r="B122" s="278" t="s">
        <v>216</v>
      </c>
      <c r="C122" s="278"/>
      <c r="D122" s="278" t="s">
        <v>250</v>
      </c>
      <c r="E122" s="278"/>
      <c r="F122" s="278"/>
      <c r="G122" s="278"/>
      <c r="H122" s="278"/>
      <c r="I122" s="278"/>
      <c r="J122" s="278"/>
      <c r="K122" s="278"/>
    </row>
    <row r="123" spans="1:11" ht="31.5">
      <c r="A123" s="128" t="s">
        <v>6</v>
      </c>
      <c r="B123" s="274" t="s">
        <v>251</v>
      </c>
      <c r="C123" s="274"/>
      <c r="D123" s="273"/>
      <c r="E123" s="273"/>
      <c r="F123" s="273"/>
      <c r="G123" s="273"/>
      <c r="H123" s="273"/>
      <c r="I123" s="273"/>
      <c r="J123" s="273"/>
      <c r="K123" s="273"/>
    </row>
    <row r="124" spans="1:11" ht="31.5">
      <c r="A124" s="128" t="s">
        <v>7</v>
      </c>
      <c r="B124" s="272" t="s">
        <v>252</v>
      </c>
      <c r="C124" s="272"/>
      <c r="D124" s="273"/>
      <c r="E124" s="273"/>
      <c r="F124" s="273"/>
      <c r="G124" s="273"/>
      <c r="H124" s="273"/>
      <c r="I124" s="273"/>
      <c r="J124" s="273"/>
      <c r="K124" s="273"/>
    </row>
    <row r="125" spans="1:11" ht="47.25">
      <c r="A125" s="128" t="s">
        <v>8</v>
      </c>
      <c r="B125" s="272" t="s">
        <v>253</v>
      </c>
      <c r="C125" s="272"/>
      <c r="D125" s="273"/>
      <c r="E125" s="273"/>
      <c r="F125" s="273"/>
      <c r="G125" s="273"/>
      <c r="H125" s="273"/>
      <c r="I125" s="273"/>
      <c r="J125" s="273"/>
      <c r="K125" s="273"/>
    </row>
    <row r="126" spans="1:11" ht="15.75">
      <c r="A126" s="128" t="s">
        <v>9</v>
      </c>
      <c r="B126" s="274" t="s">
        <v>254</v>
      </c>
      <c r="C126" s="274"/>
      <c r="D126" s="273"/>
      <c r="E126" s="273"/>
      <c r="F126" s="273"/>
      <c r="G126" s="273"/>
      <c r="H126" s="273"/>
      <c r="I126" s="273"/>
      <c r="J126" s="273"/>
      <c r="K126" s="273"/>
    </row>
    <row r="127" spans="1:11" ht="15.75">
      <c r="A127" s="128" t="s">
        <v>10</v>
      </c>
      <c r="B127" s="274" t="s">
        <v>223</v>
      </c>
      <c r="C127" s="274"/>
      <c r="D127" s="273"/>
      <c r="E127" s="273"/>
      <c r="F127" s="273"/>
      <c r="G127" s="273"/>
      <c r="H127" s="273"/>
      <c r="I127" s="273"/>
      <c r="J127" s="273"/>
      <c r="K127" s="273"/>
    </row>
    <row r="128" spans="1:11" ht="15.75">
      <c r="A128" s="128" t="s">
        <v>11</v>
      </c>
      <c r="B128" s="274" t="s">
        <v>225</v>
      </c>
      <c r="C128" s="274"/>
      <c r="D128" s="273"/>
      <c r="E128" s="273"/>
      <c r="F128" s="273"/>
      <c r="G128" s="273"/>
      <c r="H128" s="273"/>
      <c r="I128" s="273"/>
      <c r="J128" s="273"/>
      <c r="K128" s="273"/>
    </row>
    <row r="129" spans="1:11" ht="252">
      <c r="A129" s="121" t="s">
        <v>571</v>
      </c>
      <c r="B129" s="303" t="s">
        <v>318</v>
      </c>
      <c r="C129" s="303"/>
      <c r="D129" s="303"/>
      <c r="E129" s="303"/>
      <c r="F129" s="303"/>
      <c r="G129" s="303"/>
      <c r="H129" s="303"/>
      <c r="I129" s="303"/>
      <c r="J129" s="303"/>
      <c r="K129" s="303"/>
    </row>
    <row r="130" spans="1:11" ht="299.25">
      <c r="A130" s="129"/>
      <c r="B130" s="301"/>
      <c r="C130" s="301"/>
      <c r="D130" s="301"/>
      <c r="E130" s="301"/>
      <c r="F130" s="304" t="s">
        <v>232</v>
      </c>
      <c r="G130" s="304"/>
      <c r="H130" s="304"/>
      <c r="I130" s="304"/>
      <c r="J130" s="304"/>
      <c r="K130" s="304"/>
    </row>
    <row r="131" spans="1:11" ht="47.25">
      <c r="A131" s="128" t="s">
        <v>587</v>
      </c>
      <c r="B131" s="278" t="s">
        <v>216</v>
      </c>
      <c r="C131" s="278"/>
      <c r="D131" s="278" t="s">
        <v>243</v>
      </c>
      <c r="E131" s="278"/>
      <c r="F131" s="121" t="s">
        <v>49</v>
      </c>
      <c r="G131" s="121" t="s">
        <v>592</v>
      </c>
      <c r="H131" s="278" t="s">
        <v>48</v>
      </c>
      <c r="I131" s="278"/>
      <c r="J131" s="278" t="s">
        <v>324</v>
      </c>
      <c r="K131" s="302"/>
    </row>
    <row r="132" spans="1:11" ht="15.75">
      <c r="A132" s="128" t="s">
        <v>6</v>
      </c>
      <c r="B132" s="276">
        <v>0.05</v>
      </c>
      <c r="C132" s="276"/>
      <c r="D132" s="273"/>
      <c r="E132" s="273"/>
      <c r="F132" s="127"/>
      <c r="G132" s="127"/>
      <c r="H132" s="273"/>
      <c r="I132" s="273"/>
      <c r="J132" s="273"/>
      <c r="K132" s="273"/>
    </row>
    <row r="133" spans="1:11" ht="15.75">
      <c r="A133" s="128" t="s">
        <v>7</v>
      </c>
      <c r="B133" s="276">
        <v>0.12</v>
      </c>
      <c r="C133" s="276"/>
      <c r="D133" s="273"/>
      <c r="E133" s="273"/>
      <c r="F133" s="127"/>
      <c r="G133" s="127"/>
      <c r="H133" s="273"/>
      <c r="I133" s="273"/>
      <c r="J133" s="273"/>
      <c r="K133" s="273"/>
    </row>
    <row r="134" spans="1:11" ht="15.75">
      <c r="A134" s="128" t="s">
        <v>8</v>
      </c>
      <c r="B134" s="276">
        <v>0.18</v>
      </c>
      <c r="C134" s="276"/>
      <c r="D134" s="273"/>
      <c r="E134" s="273"/>
      <c r="F134" s="127"/>
      <c r="G134" s="127"/>
      <c r="H134" s="273"/>
      <c r="I134" s="273"/>
      <c r="J134" s="273"/>
      <c r="K134" s="273"/>
    </row>
    <row r="135" spans="1:11" ht="15.75">
      <c r="A135" s="128" t="s">
        <v>9</v>
      </c>
      <c r="B135" s="276">
        <v>0.28000000000000003</v>
      </c>
      <c r="C135" s="276"/>
      <c r="D135" s="273"/>
      <c r="E135" s="273"/>
      <c r="F135" s="127"/>
      <c r="G135" s="127"/>
      <c r="H135" s="273"/>
      <c r="I135" s="273"/>
      <c r="J135" s="273"/>
      <c r="K135" s="273"/>
    </row>
    <row r="136" spans="1:11" ht="15.75">
      <c r="A136" s="128" t="s">
        <v>10</v>
      </c>
      <c r="B136" s="276">
        <v>0.03</v>
      </c>
      <c r="C136" s="276"/>
      <c r="D136" s="273"/>
      <c r="E136" s="273"/>
      <c r="F136" s="127"/>
      <c r="G136" s="127"/>
      <c r="H136" s="273"/>
      <c r="I136" s="273"/>
      <c r="J136" s="273"/>
      <c r="K136" s="273"/>
    </row>
    <row r="137" spans="1:11" ht="15.75">
      <c r="A137" s="128" t="s">
        <v>11</v>
      </c>
      <c r="B137" s="275">
        <v>2.5000000000000001E-3</v>
      </c>
      <c r="C137" s="275"/>
      <c r="D137" s="273"/>
      <c r="E137" s="273"/>
      <c r="F137" s="127"/>
      <c r="G137" s="127"/>
      <c r="H137" s="273"/>
      <c r="I137" s="273"/>
      <c r="J137" s="273"/>
      <c r="K137" s="273"/>
    </row>
    <row r="138" spans="1:11" ht="15.75">
      <c r="A138" s="128" t="s">
        <v>12</v>
      </c>
      <c r="B138" s="275">
        <v>1E-3</v>
      </c>
      <c r="C138" s="275"/>
      <c r="D138" s="273"/>
      <c r="E138" s="273"/>
      <c r="F138" s="127"/>
      <c r="G138" s="127"/>
      <c r="H138" s="273"/>
      <c r="I138" s="273"/>
      <c r="J138" s="273"/>
      <c r="K138" s="273"/>
    </row>
    <row r="139" spans="1:11" ht="47.25">
      <c r="A139" s="128" t="s">
        <v>14</v>
      </c>
      <c r="B139" s="272" t="s">
        <v>255</v>
      </c>
      <c r="C139" s="272"/>
      <c r="D139" s="273"/>
      <c r="E139" s="273"/>
      <c r="F139" s="127"/>
      <c r="G139" s="127"/>
      <c r="H139" s="273"/>
      <c r="I139" s="273"/>
      <c r="J139" s="273"/>
      <c r="K139" s="273"/>
    </row>
    <row r="140" spans="1:11" ht="15.75">
      <c r="A140" s="128" t="s">
        <v>16</v>
      </c>
      <c r="B140" s="274" t="s">
        <v>223</v>
      </c>
      <c r="C140" s="274"/>
      <c r="D140" s="273"/>
      <c r="E140" s="273"/>
      <c r="F140" s="127"/>
      <c r="G140" s="127"/>
      <c r="H140" s="273"/>
      <c r="I140" s="273"/>
      <c r="J140" s="273"/>
      <c r="K140" s="273"/>
    </row>
    <row r="141" spans="1:11" ht="15.75">
      <c r="A141" s="128" t="s">
        <v>17</v>
      </c>
      <c r="B141" s="274" t="s">
        <v>224</v>
      </c>
      <c r="C141" s="274"/>
      <c r="D141" s="273"/>
      <c r="E141" s="273"/>
      <c r="F141" s="127"/>
      <c r="G141" s="127"/>
      <c r="H141" s="273"/>
      <c r="I141" s="273"/>
      <c r="J141" s="273"/>
      <c r="K141" s="273"/>
    </row>
    <row r="142" spans="1:11" ht="15.75">
      <c r="A142" s="128" t="s">
        <v>18</v>
      </c>
      <c r="B142" s="274" t="s">
        <v>225</v>
      </c>
      <c r="C142" s="274"/>
      <c r="D142" s="273"/>
      <c r="E142" s="273"/>
      <c r="F142" s="127"/>
      <c r="G142" s="127"/>
      <c r="H142" s="273"/>
      <c r="I142" s="273"/>
      <c r="J142" s="273"/>
      <c r="K142" s="273"/>
    </row>
    <row r="143" spans="1:11" ht="173.25">
      <c r="A143" s="128" t="s">
        <v>20</v>
      </c>
      <c r="B143" s="274" t="s">
        <v>326</v>
      </c>
      <c r="C143" s="272"/>
      <c r="D143" s="273"/>
      <c r="E143" s="273"/>
      <c r="F143" s="127"/>
      <c r="G143" s="127"/>
      <c r="H143" s="273"/>
      <c r="I143" s="273"/>
      <c r="J143" s="273"/>
      <c r="K143" s="273"/>
    </row>
    <row r="144" spans="1:11" ht="78.75">
      <c r="A144" s="128" t="s">
        <v>21</v>
      </c>
      <c r="B144" s="272" t="s">
        <v>256</v>
      </c>
      <c r="C144" s="272"/>
      <c r="D144" s="273"/>
      <c r="E144" s="273"/>
      <c r="F144" s="127"/>
      <c r="G144" s="127"/>
      <c r="H144" s="273"/>
      <c r="I144" s="273"/>
      <c r="J144" s="273"/>
      <c r="K144" s="273"/>
    </row>
    <row r="145" spans="1:12" ht="94.5">
      <c r="A145" s="128" t="s">
        <v>22</v>
      </c>
      <c r="B145" s="272" t="s">
        <v>257</v>
      </c>
      <c r="C145" s="272"/>
      <c r="D145" s="273"/>
      <c r="E145" s="273"/>
      <c r="F145" s="127"/>
      <c r="G145" s="127"/>
      <c r="H145" s="273"/>
      <c r="I145" s="273"/>
      <c r="J145" s="273"/>
      <c r="K145" s="273"/>
    </row>
    <row r="146" spans="1:12" ht="47.25">
      <c r="A146" s="128" t="s">
        <v>29</v>
      </c>
      <c r="B146" s="272" t="s">
        <v>258</v>
      </c>
      <c r="C146" s="272"/>
      <c r="D146" s="273"/>
      <c r="E146" s="273"/>
      <c r="F146" s="127"/>
      <c r="G146" s="127"/>
      <c r="H146" s="273"/>
      <c r="I146" s="273"/>
      <c r="J146" s="273"/>
      <c r="K146" s="273"/>
    </row>
    <row r="147" spans="1:12" ht="15.75">
      <c r="A147" s="62"/>
    </row>
    <row r="148" spans="1:12" ht="409.5">
      <c r="A148" s="300" t="s">
        <v>316</v>
      </c>
      <c r="B148" s="300"/>
      <c r="C148" s="300"/>
      <c r="D148" s="300"/>
      <c r="E148" s="300"/>
      <c r="F148" s="300"/>
      <c r="G148" s="300"/>
      <c r="H148" s="300"/>
      <c r="I148" s="300"/>
      <c r="J148" s="300"/>
      <c r="K148" s="300"/>
      <c r="L148" s="66"/>
    </row>
    <row r="149" spans="1:12" ht="15.75">
      <c r="A149" s="300"/>
      <c r="B149" s="300"/>
      <c r="C149" s="300"/>
      <c r="D149" s="300"/>
      <c r="E149" s="300"/>
      <c r="F149" s="300"/>
      <c r="G149" s="300"/>
      <c r="H149" s="300"/>
      <c r="I149" s="300"/>
      <c r="J149" s="300"/>
      <c r="K149" s="300"/>
      <c r="L149" s="66"/>
    </row>
    <row r="150" spans="1:12" ht="15.75">
      <c r="A150" s="300"/>
      <c r="B150" s="300"/>
      <c r="C150" s="300"/>
      <c r="D150" s="300"/>
      <c r="E150" s="300"/>
      <c r="F150" s="300"/>
      <c r="G150" s="300"/>
      <c r="H150" s="300"/>
      <c r="I150" s="300"/>
      <c r="J150" s="300"/>
      <c r="K150" s="300"/>
      <c r="L150" s="66"/>
    </row>
    <row r="151" spans="1:12" ht="15.75">
      <c r="A151" s="104"/>
      <c r="B151" s="104"/>
      <c r="C151" s="104"/>
      <c r="D151" s="104"/>
      <c r="E151" s="104"/>
      <c r="F151" s="104"/>
      <c r="G151" s="104"/>
      <c r="H151" s="104"/>
      <c r="I151" s="104"/>
      <c r="J151" s="104"/>
      <c r="K151" s="104"/>
    </row>
    <row r="152" spans="1:12" ht="31.5">
      <c r="A152" s="285" t="s">
        <v>593</v>
      </c>
      <c r="B152" s="285"/>
      <c r="C152" s="285"/>
      <c r="D152" s="104"/>
      <c r="E152" s="104"/>
      <c r="F152" s="282" t="str">
        <f>IF('PT V'!E25="","",'PT V'!E25)</f>
        <v>FARIDABAD</v>
      </c>
      <c r="G152" s="282"/>
      <c r="H152" s="282"/>
      <c r="I152" s="104"/>
      <c r="J152" s="104"/>
      <c r="K152" s="104"/>
    </row>
    <row r="153" spans="1:12" ht="47.25">
      <c r="A153" s="285" t="s">
        <v>594</v>
      </c>
      <c r="B153" s="285"/>
      <c r="C153" s="285"/>
      <c r="D153" s="104"/>
      <c r="E153" s="104"/>
      <c r="F153" s="282" t="str">
        <f>IF('PT V'!E26="","",'PT V'!E26)</f>
        <v>GYAN BHARDWAJ</v>
      </c>
      <c r="G153" s="282"/>
      <c r="H153" s="282"/>
      <c r="I153" s="104"/>
      <c r="J153" s="104"/>
      <c r="K153" s="104"/>
    </row>
    <row r="154" spans="1:12" ht="15.75">
      <c r="A154" s="285" t="s">
        <v>595</v>
      </c>
      <c r="B154" s="285"/>
      <c r="C154" s="285"/>
      <c r="D154" s="104"/>
      <c r="E154" s="104"/>
      <c r="F154" s="297" t="str">
        <f>IF('PT V'!E27="","",'PT V'!E27)</f>
        <v>81488</v>
      </c>
      <c r="G154" s="282"/>
      <c r="H154" s="282"/>
      <c r="I154" s="104"/>
      <c r="J154" s="104"/>
      <c r="K154" s="104"/>
    </row>
    <row r="155" spans="1:12" ht="15.75">
      <c r="A155" s="285" t="s">
        <v>596</v>
      </c>
      <c r="B155" s="285"/>
      <c r="C155" s="285"/>
      <c r="D155" s="104"/>
      <c r="E155" s="104"/>
      <c r="F155" s="287" t="str">
        <f>IF('PT V'!E28="","",'PT V'!E28)</f>
        <v>24/08/2019</v>
      </c>
      <c r="G155" s="287"/>
      <c r="H155" s="287"/>
      <c r="I155" s="104"/>
      <c r="J155" s="104"/>
      <c r="K155" s="104"/>
    </row>
    <row r="156" spans="1:12" ht="15.75">
      <c r="A156" s="104" t="s">
        <v>598</v>
      </c>
      <c r="B156" s="104"/>
      <c r="C156" s="279" t="s">
        <v>597</v>
      </c>
      <c r="D156" s="280"/>
      <c r="E156" s="281"/>
      <c r="F156" s="282" t="str">
        <f>'PT V'!E29</f>
        <v>B-545</v>
      </c>
      <c r="G156" s="282"/>
      <c r="H156" s="283" t="s">
        <v>158</v>
      </c>
      <c r="I156" s="283"/>
      <c r="J156" s="282" t="str">
        <f>IF('PT V'!G29="","",'PT V'!G29)</f>
        <v>2ND</v>
      </c>
      <c r="K156" s="282"/>
    </row>
    <row r="157" spans="1:12" ht="78.75">
      <c r="A157" s="104"/>
      <c r="B157" s="104"/>
      <c r="C157" s="284" t="s">
        <v>614</v>
      </c>
      <c r="D157" s="283"/>
      <c r="E157" s="283"/>
      <c r="F157" s="282" t="str">
        <f>IF('PT V'!E30="","",'PT V'!E30)</f>
        <v/>
      </c>
      <c r="G157" s="282"/>
      <c r="H157" s="283" t="s">
        <v>601</v>
      </c>
      <c r="I157" s="283"/>
      <c r="J157" s="282" t="str">
        <f>'PT V'!G30</f>
        <v>NEHRU GROUND</v>
      </c>
      <c r="K157" s="282"/>
    </row>
    <row r="158" spans="1:12" ht="31.5">
      <c r="A158" s="104"/>
      <c r="B158" s="104"/>
      <c r="C158" s="283" t="s">
        <v>611</v>
      </c>
      <c r="D158" s="283"/>
      <c r="E158" s="283"/>
      <c r="F158" s="282" t="str">
        <f>'PT V'!E31</f>
        <v>FARIDABAD</v>
      </c>
      <c r="G158" s="282"/>
      <c r="H158" s="283" t="s">
        <v>600</v>
      </c>
      <c r="I158" s="283"/>
      <c r="J158" s="282" t="str">
        <f>'PT V'!G31</f>
        <v>FARIDABAD</v>
      </c>
      <c r="K158" s="282"/>
    </row>
    <row r="159" spans="1:12" ht="31.5">
      <c r="A159" s="104"/>
      <c r="B159" s="104"/>
      <c r="C159" s="279" t="s">
        <v>599</v>
      </c>
      <c r="D159" s="280"/>
      <c r="E159" s="281"/>
      <c r="F159" s="282" t="str">
        <f>'PT V'!E32</f>
        <v>HARYANA</v>
      </c>
      <c r="G159" s="282"/>
      <c r="H159" s="283" t="s">
        <v>602</v>
      </c>
      <c r="I159" s="283"/>
      <c r="J159" s="282">
        <f>'PT V'!G32</f>
        <v>121001</v>
      </c>
      <c r="K159" s="282"/>
    </row>
    <row r="160" spans="1:12" ht="15.75">
      <c r="A160" s="104"/>
      <c r="B160" s="104"/>
      <c r="C160" s="107"/>
      <c r="D160" s="107"/>
      <c r="E160" s="107"/>
      <c r="F160" s="108"/>
      <c r="G160" s="108"/>
      <c r="H160" s="107"/>
      <c r="I160" s="107"/>
      <c r="J160" s="108"/>
      <c r="K160" s="108"/>
    </row>
    <row r="161" spans="1:11" ht="31.5">
      <c r="A161" s="104" t="s">
        <v>628</v>
      </c>
      <c r="B161" s="112"/>
      <c r="C161" s="107"/>
      <c r="D161" s="107"/>
      <c r="E161" s="107"/>
      <c r="F161" s="346" t="str">
        <f>'PT V'!E34</f>
        <v>ABXPB5439M</v>
      </c>
      <c r="G161" s="346"/>
      <c r="H161" s="107"/>
      <c r="I161" s="107"/>
      <c r="J161" s="108"/>
      <c r="K161" s="108"/>
    </row>
    <row r="162" spans="1:11" ht="15.75">
      <c r="A162" s="104"/>
      <c r="B162" s="104"/>
      <c r="C162" s="104"/>
      <c r="D162" s="104"/>
      <c r="E162" s="104"/>
      <c r="F162" s="104"/>
      <c r="G162" s="104"/>
      <c r="H162" s="104"/>
      <c r="I162" s="104"/>
      <c r="J162" s="104"/>
      <c r="K162" s="104"/>
    </row>
    <row r="163" spans="1:11" ht="409.5">
      <c r="A163" s="104"/>
      <c r="B163" s="104"/>
      <c r="C163" s="345" t="s">
        <v>315</v>
      </c>
      <c r="D163" s="345"/>
      <c r="E163" s="345"/>
      <c r="F163" s="345"/>
      <c r="G163" s="345"/>
      <c r="H163" s="345"/>
      <c r="I163" s="345"/>
      <c r="J163" s="104"/>
      <c r="K163" s="104"/>
    </row>
    <row r="164" spans="1:11" ht="15.75">
      <c r="A164" s="104"/>
      <c r="B164" s="104"/>
      <c r="C164" s="345"/>
      <c r="D164" s="345"/>
      <c r="E164" s="345"/>
      <c r="F164" s="345"/>
      <c r="G164" s="345"/>
      <c r="H164" s="345"/>
      <c r="I164" s="345"/>
      <c r="J164" s="104"/>
      <c r="K164" s="104"/>
    </row>
    <row r="165" spans="1:11" ht="15.75">
      <c r="A165" s="104"/>
      <c r="B165" s="104"/>
      <c r="C165" s="345"/>
      <c r="D165" s="345"/>
      <c r="E165" s="345"/>
      <c r="F165" s="345"/>
      <c r="G165" s="345"/>
      <c r="H165" s="345"/>
      <c r="I165" s="345"/>
      <c r="J165" s="104"/>
      <c r="K165" s="104"/>
    </row>
    <row r="166" spans="1:11" ht="15.75">
      <c r="A166" s="104"/>
      <c r="B166" s="104"/>
      <c r="C166" s="345"/>
      <c r="D166" s="345"/>
      <c r="E166" s="345"/>
      <c r="F166" s="345"/>
      <c r="G166" s="345"/>
      <c r="H166" s="345"/>
      <c r="I166" s="345"/>
      <c r="J166" s="104"/>
      <c r="K166" s="104"/>
    </row>
    <row r="167" spans="1:11" ht="15.75">
      <c r="A167" s="104"/>
      <c r="B167" s="104"/>
      <c r="C167" s="116"/>
      <c r="D167" s="116"/>
      <c r="E167" s="116"/>
      <c r="F167" s="116"/>
      <c r="G167" s="116"/>
      <c r="H167" s="116"/>
      <c r="I167" s="116"/>
      <c r="J167" s="104"/>
      <c r="K167" s="104"/>
    </row>
    <row r="168" spans="1:11" ht="15.75">
      <c r="A168" s="104" t="str">
        <f>'Part B (i)'!B5</f>
        <v>I</v>
      </c>
      <c r="B168" s="288" t="s">
        <v>82</v>
      </c>
      <c r="C168" s="288"/>
      <c r="D168" s="288"/>
      <c r="E168" s="104"/>
      <c r="F168" s="104"/>
      <c r="G168" s="104"/>
      <c r="H168" s="104"/>
      <c r="I168" s="104"/>
      <c r="J168" s="104"/>
      <c r="K168" s="104"/>
    </row>
    <row r="169" spans="1:11" ht="15.75">
      <c r="A169" s="104"/>
      <c r="B169" s="104"/>
      <c r="C169" s="104"/>
      <c r="D169" s="104"/>
      <c r="E169" s="104"/>
      <c r="F169" s="104"/>
      <c r="G169" s="104"/>
      <c r="H169" s="104"/>
      <c r="I169" s="104"/>
      <c r="J169" s="104"/>
      <c r="K169" s="104"/>
    </row>
    <row r="170" spans="1:11" ht="15.75">
      <c r="A170" s="288" t="s">
        <v>603</v>
      </c>
      <c r="B170" s="288"/>
      <c r="C170" s="288"/>
      <c r="D170" s="288"/>
      <c r="E170" s="344" t="str">
        <f>'Part B (i)'!D7</f>
        <v>DD/MM/YYYY</v>
      </c>
      <c r="F170" s="290"/>
      <c r="G170" s="290"/>
      <c r="H170" s="104"/>
      <c r="I170" s="104"/>
      <c r="J170" s="104"/>
      <c r="K170" s="104"/>
    </row>
    <row r="171" spans="1:11" ht="15.75">
      <c r="A171" s="104"/>
      <c r="B171" s="104"/>
      <c r="C171" s="104"/>
      <c r="D171" s="104"/>
      <c r="E171" s="104"/>
      <c r="F171" s="104"/>
      <c r="G171" s="104"/>
      <c r="H171" s="104"/>
      <c r="I171" s="104"/>
      <c r="J171" s="104"/>
      <c r="K171" s="104"/>
    </row>
    <row r="172" spans="1:11" ht="15.75">
      <c r="A172" s="288" t="s">
        <v>604</v>
      </c>
      <c r="B172" s="288"/>
      <c r="C172" s="288"/>
      <c r="D172" s="288"/>
      <c r="E172" s="290" t="str">
        <f>'Part B (i)'!D9</f>
        <v>profit and loss account</v>
      </c>
      <c r="F172" s="290"/>
      <c r="G172" s="290"/>
      <c r="H172" s="290"/>
      <c r="I172" s="104"/>
      <c r="J172" s="104"/>
      <c r="K172" s="104"/>
    </row>
    <row r="173" spans="1:11" ht="15.75">
      <c r="A173" s="288" t="s">
        <v>605</v>
      </c>
      <c r="B173" s="288"/>
      <c r="C173" s="288"/>
      <c r="D173" s="288"/>
      <c r="E173" s="344" t="str">
        <f>'Part B (i)'!D10</f>
        <v>DD/MM/YYYY</v>
      </c>
      <c r="F173" s="290"/>
      <c r="G173" s="290"/>
      <c r="H173" s="104"/>
      <c r="I173" s="104"/>
      <c r="J173" s="104"/>
      <c r="K173" s="104"/>
    </row>
    <row r="174" spans="1:11" ht="15.75">
      <c r="A174" s="294" t="s">
        <v>606</v>
      </c>
      <c r="B174" s="294"/>
      <c r="C174" s="294"/>
      <c r="D174" s="294"/>
      <c r="E174" s="344" t="str">
        <f>'Part B (i)'!D11</f>
        <v>DD/MM/YYYY</v>
      </c>
      <c r="F174" s="290"/>
      <c r="G174" s="290"/>
      <c r="H174" s="104"/>
      <c r="I174" s="104"/>
      <c r="J174" s="104"/>
      <c r="K174" s="104"/>
    </row>
    <row r="175" spans="1:11" ht="15.75">
      <c r="A175" s="104"/>
      <c r="B175" s="104"/>
      <c r="C175" s="104"/>
      <c r="D175" s="104"/>
      <c r="E175" s="104"/>
      <c r="F175" s="104"/>
      <c r="G175" s="104"/>
      <c r="H175" s="104"/>
      <c r="I175" s="104"/>
      <c r="J175" s="104"/>
      <c r="K175" s="104"/>
    </row>
    <row r="176" spans="1:11" ht="15.75">
      <c r="A176" s="288" t="s">
        <v>72</v>
      </c>
      <c r="B176" s="288"/>
      <c r="C176" s="288"/>
      <c r="D176" s="288"/>
      <c r="E176" s="288"/>
      <c r="F176" s="288"/>
      <c r="G176" s="104"/>
      <c r="H176" s="104"/>
      <c r="I176" s="104"/>
      <c r="J176" s="104"/>
      <c r="K176" s="104"/>
    </row>
    <row r="177" spans="1:11" ht="15.75">
      <c r="A177" s="294" t="s">
        <v>607</v>
      </c>
      <c r="B177" s="294"/>
      <c r="C177" s="294"/>
      <c r="D177" s="294"/>
      <c r="E177" s="344" t="str">
        <f>'Part B (i)'!D14</f>
        <v>DD/MM/YYYY</v>
      </c>
      <c r="F177" s="290"/>
      <c r="G177" s="290"/>
      <c r="H177" s="104"/>
      <c r="I177" s="104"/>
      <c r="J177" s="104"/>
      <c r="K177" s="104"/>
    </row>
    <row r="178" spans="1:11" ht="15.75">
      <c r="A178" s="288" t="s">
        <v>608</v>
      </c>
      <c r="B178" s="288"/>
      <c r="C178" s="288"/>
      <c r="D178" s="288"/>
      <c r="E178" s="344" t="str">
        <f>'Part B (i)'!D15</f>
        <v>DD/MM/YYYY</v>
      </c>
      <c r="F178" s="290"/>
      <c r="G178" s="290"/>
      <c r="H178" s="104"/>
      <c r="I178" s="104"/>
      <c r="J178" s="104"/>
      <c r="K178" s="104"/>
    </row>
    <row r="179" spans="1:11" ht="15.75">
      <c r="A179" s="288" t="s">
        <v>73</v>
      </c>
      <c r="B179" s="288"/>
      <c r="C179" s="288"/>
      <c r="D179" s="104"/>
      <c r="E179" s="104"/>
      <c r="F179" s="104"/>
      <c r="G179" s="104"/>
      <c r="H179" s="104"/>
      <c r="I179" s="104"/>
      <c r="J179" s="104"/>
      <c r="K179" s="104"/>
    </row>
    <row r="180" spans="1:11" ht="15.75">
      <c r="A180" s="104"/>
      <c r="B180" s="104"/>
      <c r="C180" s="104"/>
      <c r="D180" s="104"/>
      <c r="E180" s="104"/>
      <c r="F180" s="104"/>
      <c r="G180" s="104"/>
      <c r="H180" s="104"/>
      <c r="I180" s="104"/>
      <c r="J180" s="104"/>
      <c r="K180" s="104"/>
    </row>
    <row r="181" spans="1:11" ht="15.75">
      <c r="A181" s="110" t="s">
        <v>609</v>
      </c>
      <c r="B181" s="104"/>
      <c r="C181" s="287" t="str">
        <f>'Part B (i)'!D19</f>
        <v>M/S</v>
      </c>
      <c r="D181" s="287"/>
      <c r="E181" s="297">
        <f>'Part B (i)'!E19</f>
        <v>0</v>
      </c>
      <c r="F181" s="282"/>
      <c r="G181" s="282"/>
      <c r="H181" s="104"/>
      <c r="I181" s="104"/>
      <c r="J181" s="104"/>
      <c r="K181" s="104"/>
    </row>
    <row r="182" spans="1:11" ht="15.75">
      <c r="A182" s="104"/>
      <c r="B182" s="104"/>
      <c r="C182" s="104"/>
      <c r="D182" s="104"/>
      <c r="E182" s="104"/>
      <c r="F182" s="104"/>
      <c r="G182" s="104"/>
      <c r="H182" s="104"/>
      <c r="I182" s="104"/>
      <c r="J182" s="104"/>
      <c r="K182" s="104"/>
    </row>
    <row r="183" spans="1:11" ht="15.75">
      <c r="A183" s="285" t="s">
        <v>610</v>
      </c>
      <c r="B183" s="285"/>
      <c r="C183" s="279" t="s">
        <v>597</v>
      </c>
      <c r="D183" s="280"/>
      <c r="E183" s="281"/>
      <c r="F183" s="297">
        <f>'Part B (i)'!E21</f>
        <v>0</v>
      </c>
      <c r="G183" s="282"/>
      <c r="H183" s="283" t="s">
        <v>158</v>
      </c>
      <c r="I183" s="283"/>
      <c r="J183" s="282" t="str">
        <f>IF('Part B (i)'!G21="","",'Part B (i)'!G21)</f>
        <v/>
      </c>
      <c r="K183" s="282"/>
    </row>
    <row r="184" spans="1:11" ht="78.75">
      <c r="A184" s="104"/>
      <c r="B184" s="104"/>
      <c r="C184" s="284" t="s">
        <v>614</v>
      </c>
      <c r="D184" s="283"/>
      <c r="E184" s="283"/>
      <c r="F184" s="282" t="str">
        <f>IF('Part B (i)'!E22="","",'Part B (i)'!E22)</f>
        <v/>
      </c>
      <c r="G184" s="282"/>
      <c r="H184" s="283" t="s">
        <v>601</v>
      </c>
      <c r="I184" s="283"/>
      <c r="J184" s="297">
        <f>'Part B (i)'!G22</f>
        <v>0</v>
      </c>
      <c r="K184" s="282"/>
    </row>
    <row r="185" spans="1:11" ht="15.75">
      <c r="A185" s="104"/>
      <c r="B185" s="104"/>
      <c r="C185" s="283" t="s">
        <v>611</v>
      </c>
      <c r="D185" s="283"/>
      <c r="E185" s="283"/>
      <c r="F185" s="297">
        <f>'Part B (i)'!E23</f>
        <v>0</v>
      </c>
      <c r="G185" s="282"/>
      <c r="H185" s="283" t="s">
        <v>600</v>
      </c>
      <c r="I185" s="283"/>
      <c r="J185" s="297">
        <f>'Part B (i)'!G23</f>
        <v>0</v>
      </c>
      <c r="K185" s="282"/>
    </row>
    <row r="186" spans="1:11" ht="15.75">
      <c r="A186" s="104"/>
      <c r="B186" s="104"/>
      <c r="C186" s="279" t="s">
        <v>599</v>
      </c>
      <c r="D186" s="280"/>
      <c r="E186" s="281"/>
      <c r="F186" s="282">
        <f>'Part B (i)'!E24</f>
        <v>0</v>
      </c>
      <c r="G186" s="282"/>
      <c r="H186" s="283" t="s">
        <v>602</v>
      </c>
      <c r="I186" s="283"/>
      <c r="J186" s="282">
        <f>'Part B (i)'!G24</f>
        <v>0</v>
      </c>
      <c r="K186" s="282"/>
    </row>
    <row r="187" spans="1:11" ht="15.75">
      <c r="A187" s="104"/>
      <c r="B187" s="104"/>
      <c r="C187" s="104"/>
      <c r="D187" s="104"/>
      <c r="E187" s="104"/>
      <c r="F187" s="104"/>
      <c r="G187" s="104"/>
      <c r="H187" s="104"/>
      <c r="I187" s="104"/>
      <c r="J187" s="104"/>
      <c r="K187" s="104"/>
    </row>
    <row r="188" spans="1:11" ht="15.75">
      <c r="A188" s="332" t="s">
        <v>588</v>
      </c>
      <c r="B188" s="332"/>
      <c r="C188" s="341">
        <f>'Part B (i)'!D27</f>
        <v>0</v>
      </c>
      <c r="D188" s="342"/>
      <c r="E188" s="342"/>
      <c r="F188" s="342"/>
      <c r="G188" s="343"/>
      <c r="H188" s="104"/>
      <c r="I188" s="104"/>
      <c r="J188" s="104"/>
      <c r="K188" s="104"/>
    </row>
    <row r="189" spans="1:11" ht="15.75">
      <c r="A189" s="104"/>
      <c r="B189" s="104"/>
      <c r="C189" s="104"/>
      <c r="D189" s="104"/>
      <c r="E189" s="104"/>
      <c r="F189" s="104"/>
      <c r="G189" s="104"/>
      <c r="H189" s="104"/>
      <c r="I189" s="104"/>
      <c r="J189" s="104"/>
      <c r="K189" s="104"/>
    </row>
    <row r="190" spans="1:11" ht="15.75">
      <c r="A190" s="118"/>
      <c r="B190" s="118"/>
      <c r="C190" s="104"/>
      <c r="D190" s="104"/>
      <c r="E190" s="104"/>
      <c r="F190" s="104"/>
      <c r="G190" s="104"/>
      <c r="H190" s="104"/>
      <c r="I190" s="104"/>
      <c r="J190" s="104"/>
      <c r="K190" s="104"/>
    </row>
    <row r="191" spans="1:11" ht="47.25">
      <c r="A191" s="337" t="s">
        <v>621</v>
      </c>
      <c r="B191" s="338"/>
      <c r="C191" s="279" t="s">
        <v>597</v>
      </c>
      <c r="D191" s="280"/>
      <c r="E191" s="281"/>
      <c r="F191" s="297">
        <f>'Part B (i)'!E29</f>
        <v>0</v>
      </c>
      <c r="G191" s="282"/>
      <c r="H191" s="336" t="s">
        <v>158</v>
      </c>
      <c r="I191" s="336"/>
      <c r="J191" s="282" t="str">
        <f>IF('Part B (i)'!G29="","",'Part B (i)'!G29)</f>
        <v/>
      </c>
      <c r="K191" s="282"/>
    </row>
    <row r="192" spans="1:11" ht="78.75">
      <c r="A192" s="119"/>
      <c r="B192" s="119"/>
      <c r="C192" s="284" t="s">
        <v>614</v>
      </c>
      <c r="D192" s="283"/>
      <c r="E192" s="283"/>
      <c r="F192" s="282" t="str">
        <f>IF('Part B (i)'!E30="","",'Part B (i)'!E30)</f>
        <v/>
      </c>
      <c r="G192" s="282"/>
      <c r="H192" s="336" t="s">
        <v>601</v>
      </c>
      <c r="I192" s="336"/>
      <c r="J192" s="297">
        <f>'Part B (i)'!G30</f>
        <v>0</v>
      </c>
      <c r="K192" s="282"/>
    </row>
    <row r="193" spans="1:11" ht="15.75">
      <c r="A193" s="104"/>
      <c r="B193" s="104"/>
      <c r="C193" s="336" t="s">
        <v>611</v>
      </c>
      <c r="D193" s="336"/>
      <c r="E193" s="336"/>
      <c r="F193" s="297">
        <f>'Part B (i)'!E31</f>
        <v>0</v>
      </c>
      <c r="G193" s="282"/>
      <c r="H193" s="336" t="s">
        <v>600</v>
      </c>
      <c r="I193" s="336"/>
      <c r="J193" s="339">
        <f>'Part B (i)'!G31</f>
        <v>0</v>
      </c>
      <c r="K193" s="340"/>
    </row>
    <row r="194" spans="1:11" ht="15.75">
      <c r="A194" s="104"/>
      <c r="B194" s="104"/>
      <c r="C194" s="333" t="s">
        <v>599</v>
      </c>
      <c r="D194" s="334"/>
      <c r="E194" s="335"/>
      <c r="F194" s="282">
        <f>'Part B (i)'!E32</f>
        <v>0</v>
      </c>
      <c r="G194" s="282"/>
      <c r="H194" s="336" t="s">
        <v>602</v>
      </c>
      <c r="I194" s="336"/>
      <c r="J194" s="282">
        <f>'Part B (i)'!G32</f>
        <v>0</v>
      </c>
      <c r="K194" s="282"/>
    </row>
    <row r="195" spans="1:11" ht="15.75">
      <c r="A195" s="104"/>
      <c r="B195" s="104"/>
      <c r="C195" s="104"/>
      <c r="D195" s="104"/>
      <c r="E195" s="104"/>
      <c r="F195" s="104"/>
      <c r="G195" s="104"/>
      <c r="H195" s="104"/>
      <c r="I195" s="104"/>
      <c r="J195" s="104"/>
      <c r="K195" s="104"/>
    </row>
    <row r="196" spans="1:11" ht="15.75">
      <c r="A196" s="119" t="s">
        <v>622</v>
      </c>
      <c r="B196" s="119"/>
      <c r="C196" s="104"/>
      <c r="D196" s="104"/>
      <c r="E196" s="104"/>
      <c r="F196" s="104"/>
      <c r="G196" s="104"/>
      <c r="H196" s="104"/>
      <c r="I196" s="104"/>
      <c r="J196" s="104"/>
      <c r="K196" s="104"/>
    </row>
    <row r="197" spans="1:11" ht="63">
      <c r="A197" s="337" t="s">
        <v>623</v>
      </c>
      <c r="B197" s="338"/>
      <c r="C197" s="279" t="s">
        <v>597</v>
      </c>
      <c r="D197" s="280"/>
      <c r="E197" s="281"/>
      <c r="F197" s="297">
        <f>'Part B (i)'!E34</f>
        <v>0</v>
      </c>
      <c r="G197" s="282"/>
      <c r="H197" s="283" t="s">
        <v>158</v>
      </c>
      <c r="I197" s="283"/>
      <c r="J197" s="282" t="str">
        <f>IF('Part B (i)'!G34="","",'Part B (i)'!G34)</f>
        <v/>
      </c>
      <c r="K197" s="282"/>
    </row>
    <row r="198" spans="1:11" ht="78.75">
      <c r="A198" s="108"/>
      <c r="B198" s="108"/>
      <c r="C198" s="284" t="s">
        <v>614</v>
      </c>
      <c r="D198" s="283"/>
      <c r="E198" s="283"/>
      <c r="F198" s="282" t="str">
        <f>IF('Part B (i)'!E35="","",'Part B (i)'!E35)</f>
        <v/>
      </c>
      <c r="G198" s="282"/>
      <c r="H198" s="283" t="s">
        <v>601</v>
      </c>
      <c r="I198" s="283"/>
      <c r="J198" s="297">
        <f>'Part B (i)'!G35</f>
        <v>0</v>
      </c>
      <c r="K198" s="282"/>
    </row>
    <row r="199" spans="1:11" ht="15.75">
      <c r="A199" s="104"/>
      <c r="B199" s="104"/>
      <c r="C199" s="283" t="s">
        <v>611</v>
      </c>
      <c r="D199" s="283"/>
      <c r="E199" s="283"/>
      <c r="F199" s="297">
        <f>'Part B (i)'!E36</f>
        <v>0</v>
      </c>
      <c r="G199" s="282"/>
      <c r="H199" s="283" t="s">
        <v>600</v>
      </c>
      <c r="I199" s="283"/>
      <c r="J199" s="297">
        <f>'Part B (i)'!G36</f>
        <v>0</v>
      </c>
      <c r="K199" s="282"/>
    </row>
    <row r="200" spans="1:11" ht="15.75">
      <c r="A200" s="104"/>
      <c r="B200" s="104"/>
      <c r="C200" s="279" t="s">
        <v>599</v>
      </c>
      <c r="D200" s="280"/>
      <c r="E200" s="281"/>
      <c r="F200" s="282">
        <f>'Part B (i)'!E37</f>
        <v>0</v>
      </c>
      <c r="G200" s="282"/>
      <c r="H200" s="283" t="s">
        <v>602</v>
      </c>
      <c r="I200" s="283"/>
      <c r="J200" s="282">
        <f>'Part B (i)'!G37</f>
        <v>0</v>
      </c>
      <c r="K200" s="282"/>
    </row>
    <row r="201" spans="1:11" ht="15.75">
      <c r="A201" s="104"/>
      <c r="B201" s="104"/>
      <c r="C201" s="104"/>
      <c r="D201" s="104"/>
      <c r="E201" s="104"/>
      <c r="F201" s="104"/>
      <c r="G201" s="104"/>
      <c r="H201" s="104"/>
      <c r="I201" s="104"/>
      <c r="J201" s="104"/>
      <c r="K201" s="104"/>
    </row>
    <row r="202" spans="1:11" ht="15.75">
      <c r="A202" s="111" t="s">
        <v>314</v>
      </c>
      <c r="B202" s="111"/>
      <c r="C202" s="111"/>
      <c r="D202" s="104" t="str">
        <f>A168</f>
        <v>I</v>
      </c>
      <c r="E202" s="332" t="s">
        <v>86</v>
      </c>
      <c r="F202" s="332"/>
      <c r="G202" s="332"/>
      <c r="H202" s="332"/>
      <c r="I202" s="104"/>
      <c r="J202" s="104"/>
      <c r="K202" s="104"/>
    </row>
    <row r="203" spans="1:11" ht="15.75">
      <c r="A203" s="285" t="str">
        <f>'Part B (i)'!B41</f>
        <v>has maintained the books of accounts, records and documents</v>
      </c>
      <c r="B203" s="285"/>
      <c r="C203" s="285"/>
      <c r="D203" s="285"/>
      <c r="E203" s="285"/>
      <c r="F203" s="285"/>
      <c r="G203" s="285"/>
      <c r="H203" s="285"/>
      <c r="I203" s="112" t="s">
        <v>300</v>
      </c>
      <c r="J203" s="104"/>
      <c r="K203" s="104"/>
    </row>
    <row r="204" spans="1:11" ht="15.75">
      <c r="A204" s="291" t="s">
        <v>299</v>
      </c>
      <c r="B204" s="291"/>
      <c r="C204" s="291"/>
      <c r="D204" s="291"/>
      <c r="E204" s="291"/>
      <c r="F204" s="291"/>
      <c r="G204" s="291"/>
      <c r="H204" s="291"/>
      <c r="I204" s="291"/>
      <c r="J204" s="291"/>
      <c r="K204" s="104"/>
    </row>
    <row r="205" spans="1:11" ht="15.75">
      <c r="A205" s="104"/>
      <c r="B205" s="104"/>
      <c r="C205" s="104"/>
      <c r="D205" s="104"/>
      <c r="E205" s="104"/>
      <c r="F205" s="104"/>
      <c r="G205" s="104"/>
      <c r="H205" s="104"/>
      <c r="I205" s="104"/>
      <c r="J205" s="104"/>
      <c r="K205" s="104"/>
    </row>
    <row r="206" spans="1:11" ht="15.75">
      <c r="A206" s="104"/>
      <c r="B206" s="104"/>
      <c r="C206" s="104"/>
      <c r="D206" s="104"/>
      <c r="E206" s="104"/>
      <c r="F206" s="104"/>
      <c r="G206" s="104"/>
      <c r="H206" s="104"/>
      <c r="I206" s="104"/>
      <c r="J206" s="104"/>
      <c r="K206" s="104"/>
    </row>
    <row r="207" spans="1:11" ht="15.75">
      <c r="A207" s="117" t="s">
        <v>89</v>
      </c>
      <c r="B207" s="104" t="str">
        <f>A168</f>
        <v>I</v>
      </c>
      <c r="C207" s="291" t="s">
        <v>313</v>
      </c>
      <c r="D207" s="291"/>
      <c r="E207" s="291"/>
      <c r="F207" s="291"/>
      <c r="G207" s="291"/>
      <c r="H207" s="291"/>
      <c r="I207" s="291"/>
      <c r="J207" s="291"/>
      <c r="K207" s="291"/>
    </row>
    <row r="208" spans="1:11" ht="15.75">
      <c r="A208" s="285" t="s">
        <v>312</v>
      </c>
      <c r="B208" s="285"/>
      <c r="C208" s="285"/>
      <c r="D208" s="104"/>
      <c r="E208" s="104"/>
      <c r="F208" s="104"/>
      <c r="G208" s="104"/>
      <c r="H208" s="104"/>
      <c r="I208" s="104"/>
      <c r="J208" s="104"/>
      <c r="K208" s="104"/>
    </row>
    <row r="209" spans="1:11" ht="15.75">
      <c r="A209" s="104"/>
      <c r="B209" s="104"/>
      <c r="C209" s="104"/>
      <c r="D209" s="104"/>
      <c r="E209" s="104"/>
      <c r="F209" s="104"/>
      <c r="G209" s="104"/>
      <c r="H209" s="104"/>
      <c r="I209" s="104"/>
      <c r="J209" s="104"/>
      <c r="K209" s="104"/>
    </row>
    <row r="210" spans="1:11" ht="15.75">
      <c r="A210" s="104" t="s">
        <v>90</v>
      </c>
      <c r="B210" s="104" t="str">
        <f>A168</f>
        <v>I</v>
      </c>
      <c r="C210" s="291" t="s">
        <v>91</v>
      </c>
      <c r="D210" s="291"/>
      <c r="E210" s="104"/>
      <c r="F210" s="104"/>
      <c r="G210" s="104"/>
      <c r="H210" s="104"/>
      <c r="I210" s="104"/>
      <c r="J210" s="104"/>
      <c r="K210" s="104"/>
    </row>
    <row r="211" spans="1:11" ht="15.75">
      <c r="A211" s="105" t="s">
        <v>92</v>
      </c>
      <c r="B211" s="104" t="str">
        <f>A168</f>
        <v>I</v>
      </c>
      <c r="C211" s="291" t="s">
        <v>93</v>
      </c>
      <c r="D211" s="291"/>
      <c r="E211" s="291"/>
      <c r="F211" s="291"/>
      <c r="G211" s="291"/>
      <c r="H211" s="291"/>
      <c r="I211" s="291"/>
      <c r="J211" s="291"/>
      <c r="K211" s="111" t="str">
        <f>IF($A168="I","my"," our")</f>
        <v>my</v>
      </c>
    </row>
    <row r="212" spans="1:11" ht="15.75">
      <c r="A212" s="112" t="s">
        <v>632</v>
      </c>
      <c r="B212" s="112"/>
      <c r="C212" s="112"/>
      <c r="D212" s="112"/>
      <c r="E212" s="112"/>
      <c r="F212" s="112"/>
      <c r="G212" s="112"/>
      <c r="H212" s="112"/>
      <c r="I212" s="112"/>
      <c r="J212" s="105"/>
      <c r="K212" s="105"/>
    </row>
    <row r="213" spans="1:11" ht="15.75">
      <c r="A213" s="285" t="s">
        <v>311</v>
      </c>
      <c r="B213" s="285"/>
      <c r="C213" s="285"/>
      <c r="D213" s="104" t="str">
        <f>IF($A168="I","my"," our")</f>
        <v>my</v>
      </c>
      <c r="E213" s="291" t="s">
        <v>310</v>
      </c>
      <c r="F213" s="291"/>
      <c r="G213" s="291"/>
      <c r="H213" s="291"/>
      <c r="I213" s="291"/>
      <c r="J213" s="291"/>
      <c r="K213" s="291"/>
    </row>
    <row r="214" spans="1:11" ht="15.75">
      <c r="A214" s="285" t="s">
        <v>309</v>
      </c>
      <c r="B214" s="285"/>
      <c r="C214" s="285"/>
      <c r="D214" s="285"/>
      <c r="E214" s="285"/>
      <c r="F214" s="285"/>
      <c r="G214" s="104"/>
      <c r="H214" s="104"/>
      <c r="I214" s="104"/>
      <c r="J214" s="104"/>
      <c r="K214" s="104"/>
    </row>
    <row r="215" spans="1:11" ht="15.75">
      <c r="A215" s="104" t="s">
        <v>308</v>
      </c>
      <c r="B215" s="104" t="str">
        <f>IF($A168="I","my"," our")</f>
        <v>my</v>
      </c>
      <c r="C215" s="112" t="s">
        <v>629</v>
      </c>
      <c r="D215" s="112"/>
      <c r="E215" s="112"/>
      <c r="F215" s="112"/>
      <c r="G215" s="290" t="str">
        <f>'Part B (i)'!G50</f>
        <v>have been</v>
      </c>
      <c r="H215" s="290"/>
      <c r="I215" s="290"/>
      <c r="J215" s="285" t="s">
        <v>630</v>
      </c>
      <c r="K215" s="285"/>
    </row>
    <row r="216" spans="1:11" ht="15.75">
      <c r="A216" s="104" t="s">
        <v>631</v>
      </c>
      <c r="E216" s="104"/>
      <c r="F216" s="104" t="str">
        <f>IF($A169="I","my"," our")</f>
        <v xml:space="preserve"> our</v>
      </c>
      <c r="G216" s="285" t="s">
        <v>101</v>
      </c>
      <c r="H216" s="285"/>
      <c r="I216" s="285"/>
      <c r="J216" s="104"/>
      <c r="K216" s="104"/>
    </row>
    <row r="217" spans="1:11" ht="15.75">
      <c r="A217" s="104" t="s">
        <v>307</v>
      </c>
      <c r="B217" s="104" t="str">
        <f>A168</f>
        <v>I</v>
      </c>
      <c r="C217" s="285" t="s">
        <v>103</v>
      </c>
      <c r="D217" s="285"/>
      <c r="E217" s="285"/>
      <c r="F217" s="285"/>
      <c r="G217" s="290" t="str">
        <f>E172</f>
        <v>profit and loss account</v>
      </c>
      <c r="H217" s="290"/>
      <c r="I217" s="290"/>
      <c r="J217" s="290"/>
      <c r="K217" s="290"/>
    </row>
    <row r="218" spans="1:11" ht="15.75">
      <c r="A218" s="285" t="s">
        <v>104</v>
      </c>
      <c r="B218" s="285"/>
      <c r="C218" s="285"/>
      <c r="D218" s="285"/>
      <c r="E218" s="290" t="str">
        <f>'Part B (i)'!I52</f>
        <v>in agreement</v>
      </c>
      <c r="F218" s="290"/>
      <c r="G218" s="290"/>
      <c r="H218" s="285" t="s">
        <v>306</v>
      </c>
      <c r="I218" s="285"/>
      <c r="J218" s="285"/>
      <c r="K218" s="285"/>
    </row>
    <row r="219" spans="1:11" ht="15.75">
      <c r="A219" s="285" t="s">
        <v>305</v>
      </c>
      <c r="B219" s="285"/>
      <c r="C219" s="285"/>
      <c r="D219" s="285"/>
      <c r="E219" s="285"/>
      <c r="F219" s="285"/>
      <c r="G219" s="112"/>
      <c r="H219" s="112"/>
      <c r="I219" s="112"/>
      <c r="J219" s="112"/>
      <c r="K219" s="112"/>
    </row>
    <row r="220" spans="1:11" ht="15.75">
      <c r="A220" s="290" t="str">
        <f>'Part B (i)'!F53</f>
        <v xml:space="preserve">, , , , , , , </v>
      </c>
      <c r="B220" s="290"/>
      <c r="C220" s="290"/>
      <c r="D220" s="290"/>
      <c r="E220" s="290"/>
      <c r="F220" s="290"/>
      <c r="G220" s="290"/>
      <c r="H220" s="290"/>
      <c r="I220" s="290"/>
      <c r="J220" s="290"/>
      <c r="K220" s="290"/>
    </row>
    <row r="221" spans="1:11" ht="15.75">
      <c r="A221" s="104" t="s">
        <v>119</v>
      </c>
      <c r="B221" s="290" t="str">
        <f>'Part B (i)'!C54</f>
        <v xml:space="preserve">, , , , , , , </v>
      </c>
      <c r="C221" s="290"/>
      <c r="D221" s="290"/>
      <c r="E221" s="290"/>
      <c r="F221" s="290"/>
      <c r="G221" s="290"/>
      <c r="H221" s="290"/>
      <c r="I221" s="290"/>
      <c r="J221" s="290"/>
      <c r="K221" s="290"/>
    </row>
    <row r="222" spans="1:11" ht="15.75">
      <c r="A222" s="285" t="s">
        <v>124</v>
      </c>
      <c r="B222" s="285"/>
      <c r="C222" s="285"/>
      <c r="D222" s="285"/>
      <c r="E222" s="285"/>
      <c r="F222" s="104"/>
      <c r="G222" s="104"/>
      <c r="H222" s="104"/>
      <c r="I222" s="104"/>
      <c r="J222" s="104"/>
      <c r="K222" s="104"/>
    </row>
    <row r="223" spans="1:11" ht="15.75">
      <c r="A223" s="104"/>
      <c r="B223" s="104"/>
      <c r="C223" s="104"/>
      <c r="D223" s="104"/>
      <c r="E223" s="104"/>
      <c r="F223" s="104"/>
      <c r="G223" s="104"/>
      <c r="H223" s="104"/>
      <c r="I223" s="104"/>
      <c r="J223" s="104"/>
      <c r="K223" s="104"/>
    </row>
    <row r="224" spans="1:11" ht="15.75">
      <c r="A224" s="104" t="s">
        <v>304</v>
      </c>
      <c r="B224" s="104"/>
      <c r="C224" s="104"/>
      <c r="D224" s="104"/>
      <c r="E224" s="104"/>
      <c r="F224" s="104"/>
      <c r="G224" s="104"/>
      <c r="H224" s="104"/>
      <c r="I224" s="104"/>
      <c r="J224" s="104"/>
      <c r="K224" s="104"/>
    </row>
    <row r="225" spans="1:11" ht="15.75">
      <c r="A225" s="104" t="s">
        <v>297</v>
      </c>
      <c r="B225" s="104"/>
      <c r="C225" s="104"/>
      <c r="D225" s="104"/>
      <c r="E225" s="104"/>
      <c r="F225" s="104"/>
      <c r="G225" s="104"/>
      <c r="H225" s="104"/>
      <c r="I225" s="104"/>
      <c r="J225" s="104"/>
      <c r="K225" s="104"/>
    </row>
    <row r="226" spans="1:11" ht="15.75">
      <c r="A226" s="104" t="s">
        <v>108</v>
      </c>
      <c r="B226" s="104"/>
      <c r="C226" s="104"/>
      <c r="D226" s="104"/>
      <c r="E226" s="104"/>
      <c r="F226" s="104"/>
      <c r="G226" s="104"/>
      <c r="H226" s="104"/>
      <c r="I226" s="104"/>
      <c r="J226" s="104"/>
      <c r="K226" s="104"/>
    </row>
    <row r="227" spans="1:11" ht="15.75">
      <c r="A227" s="104"/>
      <c r="B227" s="104"/>
      <c r="C227" s="104"/>
      <c r="D227" s="104"/>
      <c r="E227" s="104"/>
      <c r="F227" s="104"/>
      <c r="G227" s="104"/>
      <c r="H227" s="104"/>
      <c r="I227" s="104"/>
      <c r="J227" s="104"/>
      <c r="K227" s="104"/>
    </row>
    <row r="228" spans="1:11" ht="15.75">
      <c r="A228" s="104" t="s">
        <v>303</v>
      </c>
      <c r="B228" s="104" t="str">
        <f>'Part B (i)'!C59</f>
        <v>my</v>
      </c>
      <c r="C228" s="105" t="s">
        <v>109</v>
      </c>
      <c r="D228" s="104"/>
      <c r="E228" s="104"/>
      <c r="F228" s="104" t="str">
        <f>'Part B (i)'!E59</f>
        <v>my</v>
      </c>
      <c r="G228" s="104" t="s">
        <v>295</v>
      </c>
      <c r="H228" s="104"/>
      <c r="I228" s="104"/>
      <c r="J228" s="104"/>
      <c r="K228" s="104"/>
    </row>
    <row r="229" spans="1:11" ht="15.75">
      <c r="A229" s="104" t="s">
        <v>294</v>
      </c>
      <c r="B229" s="104"/>
      <c r="C229" s="104" t="str">
        <f>'Part B (i)'!H59</f>
        <v>me</v>
      </c>
      <c r="D229" s="104" t="s">
        <v>293</v>
      </c>
      <c r="E229" s="104"/>
      <c r="F229" s="104"/>
      <c r="G229" s="104"/>
      <c r="H229" s="104"/>
      <c r="I229" s="104"/>
      <c r="J229" s="104"/>
      <c r="K229" s="104"/>
    </row>
    <row r="230" spans="1:11" ht="15.75">
      <c r="A230" s="104" t="s">
        <v>292</v>
      </c>
      <c r="B230" s="104"/>
      <c r="C230" s="104"/>
      <c r="D230" s="104"/>
      <c r="E230" s="104"/>
      <c r="F230" s="104"/>
      <c r="G230" s="104"/>
      <c r="H230" s="104"/>
      <c r="I230" s="104"/>
      <c r="J230" s="104"/>
      <c r="K230" s="104"/>
    </row>
    <row r="231" spans="1:11" ht="15.75">
      <c r="A231" s="104"/>
      <c r="B231" s="104"/>
      <c r="C231" s="104"/>
      <c r="D231" s="104"/>
      <c r="E231" s="104"/>
      <c r="F231" s="104"/>
      <c r="G231" s="104"/>
      <c r="H231" s="104"/>
      <c r="I231" s="104"/>
      <c r="J231" s="104"/>
      <c r="K231" s="104"/>
    </row>
    <row r="232" spans="1:11" ht="15.75">
      <c r="A232" s="113" t="s">
        <v>81</v>
      </c>
      <c r="B232" s="104"/>
      <c r="C232" s="104"/>
      <c r="D232" s="104"/>
      <c r="E232" s="104"/>
      <c r="F232" s="104"/>
      <c r="G232" s="104"/>
      <c r="H232" s="104"/>
      <c r="I232" s="104"/>
      <c r="J232" s="104"/>
      <c r="K232" s="104"/>
    </row>
    <row r="233" spans="1:11" ht="15.75">
      <c r="A233" s="104"/>
      <c r="B233" s="104"/>
      <c r="C233" s="104"/>
      <c r="D233" s="104"/>
      <c r="E233" s="104"/>
      <c r="F233" s="104"/>
      <c r="G233" s="104"/>
      <c r="H233" s="104"/>
      <c r="I233" s="104"/>
      <c r="J233" s="104"/>
      <c r="K233" s="104"/>
    </row>
    <row r="234" spans="1:11" ht="15.75">
      <c r="A234" s="104"/>
      <c r="B234" s="114" t="s">
        <v>74</v>
      </c>
      <c r="C234" s="292" t="s">
        <v>75</v>
      </c>
      <c r="D234" s="292"/>
      <c r="E234" s="292"/>
      <c r="F234" s="292"/>
      <c r="G234" s="293" t="s">
        <v>76</v>
      </c>
      <c r="H234" s="293"/>
      <c r="I234" s="293"/>
      <c r="J234" s="104"/>
      <c r="K234" s="104"/>
    </row>
    <row r="235" spans="1:11" ht="15.75">
      <c r="A235" s="104"/>
      <c r="B235" s="106">
        <v>1</v>
      </c>
      <c r="C235" s="282"/>
      <c r="D235" s="282"/>
      <c r="E235" s="282"/>
      <c r="F235" s="282"/>
      <c r="G235" s="282"/>
      <c r="H235" s="282"/>
      <c r="I235" s="282"/>
      <c r="J235" s="104"/>
      <c r="K235" s="104"/>
    </row>
    <row r="236" spans="1:11" ht="15.75">
      <c r="A236" s="104"/>
      <c r="B236" s="104"/>
      <c r="C236" s="104"/>
      <c r="D236" s="104"/>
      <c r="E236" s="104"/>
      <c r="F236" s="104"/>
      <c r="G236" s="104"/>
      <c r="H236" s="104"/>
      <c r="I236" s="104"/>
      <c r="J236" s="104"/>
      <c r="K236" s="104"/>
    </row>
    <row r="237" spans="1:11" ht="15.75">
      <c r="A237" s="115" t="s">
        <v>80</v>
      </c>
      <c r="B237" s="104"/>
      <c r="C237" s="104"/>
      <c r="D237" s="104"/>
      <c r="E237" s="104"/>
      <c r="F237" s="104"/>
      <c r="G237" s="104"/>
      <c r="H237" s="104"/>
      <c r="I237" s="104"/>
      <c r="J237" s="104"/>
      <c r="K237" s="104"/>
    </row>
    <row r="238" spans="1:11" ht="15.75">
      <c r="A238" s="104"/>
      <c r="B238" s="104"/>
      <c r="C238" s="104"/>
      <c r="D238" s="104"/>
      <c r="E238" s="104"/>
      <c r="F238" s="104"/>
      <c r="G238" s="104"/>
      <c r="H238" s="104"/>
      <c r="I238" s="104"/>
      <c r="J238" s="104"/>
      <c r="K238" s="104"/>
    </row>
    <row r="239" spans="1:11" ht="15.75">
      <c r="A239" s="285" t="s">
        <v>593</v>
      </c>
      <c r="B239" s="285"/>
      <c r="C239" s="285"/>
      <c r="D239" s="104"/>
      <c r="E239" s="104"/>
      <c r="F239" s="297">
        <f>'Part B (i)'!D70</f>
        <v>0</v>
      </c>
      <c r="G239" s="282"/>
      <c r="H239" s="282"/>
      <c r="I239" s="104"/>
      <c r="J239" s="104"/>
      <c r="K239" s="104"/>
    </row>
    <row r="240" spans="1:11" ht="15.75">
      <c r="A240" s="285" t="s">
        <v>594</v>
      </c>
      <c r="B240" s="285"/>
      <c r="C240" s="285"/>
      <c r="D240" s="104"/>
      <c r="E240" s="104"/>
      <c r="F240" s="297">
        <f>'Part B (i)'!D71</f>
        <v>0</v>
      </c>
      <c r="G240" s="282"/>
      <c r="H240" s="282"/>
      <c r="I240" s="104"/>
      <c r="J240" s="104"/>
      <c r="K240" s="104"/>
    </row>
    <row r="241" spans="1:11" ht="15.75">
      <c r="A241" s="285" t="s">
        <v>595</v>
      </c>
      <c r="B241" s="285"/>
      <c r="C241" s="285"/>
      <c r="D241" s="104"/>
      <c r="E241" s="104"/>
      <c r="F241" s="297">
        <f>'Part B (i)'!D72</f>
        <v>0</v>
      </c>
      <c r="G241" s="282"/>
      <c r="H241" s="282"/>
      <c r="I241" s="104"/>
      <c r="J241" s="104"/>
      <c r="K241" s="104"/>
    </row>
    <row r="242" spans="1:11" ht="15.75">
      <c r="A242" s="285" t="s">
        <v>596</v>
      </c>
      <c r="B242" s="285"/>
      <c r="C242" s="285"/>
      <c r="D242" s="104"/>
      <c r="E242" s="104"/>
      <c r="F242" s="331" t="str">
        <f>'Part B (i)'!D73</f>
        <v>DD/MM/YYYY</v>
      </c>
      <c r="G242" s="287"/>
      <c r="H242" s="287"/>
      <c r="I242" s="104"/>
      <c r="J242" s="104"/>
      <c r="K242" s="104"/>
    </row>
    <row r="243" spans="1:11" ht="15.75">
      <c r="A243" s="104" t="s">
        <v>598</v>
      </c>
      <c r="B243" s="104"/>
      <c r="C243" s="279" t="s">
        <v>597</v>
      </c>
      <c r="D243" s="280"/>
      <c r="E243" s="281"/>
      <c r="F243" s="297">
        <f>'Part B (i)'!E74</f>
        <v>0</v>
      </c>
      <c r="G243" s="282"/>
      <c r="H243" s="283" t="s">
        <v>158</v>
      </c>
      <c r="I243" s="283"/>
      <c r="J243" s="297">
        <f>'Part B (i)'!G74</f>
        <v>0</v>
      </c>
      <c r="K243" s="282"/>
    </row>
    <row r="244" spans="1:11" ht="78.75">
      <c r="A244" s="104"/>
      <c r="B244" s="104"/>
      <c r="C244" s="284" t="s">
        <v>614</v>
      </c>
      <c r="D244" s="283"/>
      <c r="E244" s="283"/>
      <c r="F244" s="297">
        <f>'Part B (i)'!E75</f>
        <v>0</v>
      </c>
      <c r="G244" s="282"/>
      <c r="H244" s="283" t="s">
        <v>601</v>
      </c>
      <c r="I244" s="283"/>
      <c r="J244" s="297">
        <f>'Part B (i)'!G75</f>
        <v>0</v>
      </c>
      <c r="K244" s="282"/>
    </row>
    <row r="245" spans="1:11" ht="15.75">
      <c r="A245" s="104"/>
      <c r="B245" s="104"/>
      <c r="C245" s="283" t="s">
        <v>611</v>
      </c>
      <c r="D245" s="283"/>
      <c r="E245" s="283"/>
      <c r="F245" s="297">
        <f>'Part B (i)'!E76</f>
        <v>0</v>
      </c>
      <c r="G245" s="282"/>
      <c r="H245" s="283" t="s">
        <v>600</v>
      </c>
      <c r="I245" s="283"/>
      <c r="J245" s="297">
        <f>'Part B (i)'!G76</f>
        <v>0</v>
      </c>
      <c r="K245" s="282"/>
    </row>
    <row r="246" spans="1:11" ht="15.75">
      <c r="A246" s="104"/>
      <c r="B246" s="104"/>
      <c r="C246" s="279" t="s">
        <v>599</v>
      </c>
      <c r="D246" s="280"/>
      <c r="E246" s="281"/>
      <c r="F246" s="282">
        <f>'Part B (i)'!E77</f>
        <v>0</v>
      </c>
      <c r="G246" s="282"/>
      <c r="H246" s="283" t="s">
        <v>602</v>
      </c>
      <c r="I246" s="283"/>
      <c r="J246" s="297">
        <f>'Part B (i)'!G77</f>
        <v>0</v>
      </c>
      <c r="K246" s="282"/>
    </row>
    <row r="247" spans="1:11">
      <c r="A247" s="67"/>
      <c r="B247" s="67"/>
      <c r="C247" s="67"/>
      <c r="D247" s="67"/>
      <c r="E247" s="67"/>
      <c r="F247" s="67"/>
      <c r="G247" s="67"/>
      <c r="H247" s="67"/>
      <c r="I247" s="67"/>
      <c r="J247" s="67"/>
      <c r="K247" s="6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8"/>
  <dimension ref="A1:T38"/>
  <sheetViews>
    <sheetView topLeftCell="B1" workbookViewId="0">
      <selection activeCell="M7" sqref="M7"/>
    </sheetView>
  </sheetViews>
  <sheetFormatPr defaultRowHeight="15"/>
  <cols>
    <col min="1" max="1" width="90.7109375" customWidth="1"/>
    <col min="2" max="2" width="36" bestFit="1" customWidth="1"/>
    <col min="10" max="10" width="15.7109375" customWidth="1"/>
  </cols>
  <sheetData>
    <row r="1" spans="1:20">
      <c r="A1" t="s">
        <v>128</v>
      </c>
    </row>
    <row r="2" spans="1:20">
      <c r="A2" t="s">
        <v>87</v>
      </c>
    </row>
    <row r="3" spans="1:20">
      <c r="J3" t="s">
        <v>647</v>
      </c>
    </row>
    <row r="5" spans="1:20">
      <c r="J5" t="s">
        <v>645</v>
      </c>
    </row>
    <row r="7" spans="1:20" ht="409.5">
      <c r="A7" t="s">
        <v>77</v>
      </c>
      <c r="B7" t="s">
        <v>77</v>
      </c>
      <c r="C7" s="82" t="s">
        <v>440</v>
      </c>
      <c r="D7" s="82" t="s">
        <v>440</v>
      </c>
      <c r="J7" s="74" t="s">
        <v>649</v>
      </c>
    </row>
    <row r="8" spans="1:20">
      <c r="A8" t="s">
        <v>78</v>
      </c>
      <c r="B8" t="s">
        <v>373</v>
      </c>
      <c r="C8" t="s">
        <v>89</v>
      </c>
      <c r="D8" s="82" t="s">
        <v>441</v>
      </c>
      <c r="G8" s="70"/>
    </row>
    <row r="9" spans="1:20">
      <c r="A9" t="s">
        <v>79</v>
      </c>
      <c r="C9" s="82" t="s">
        <v>393</v>
      </c>
      <c r="J9" s="160" t="s">
        <v>646</v>
      </c>
    </row>
    <row r="10" spans="1:20">
      <c r="J10" s="93"/>
    </row>
    <row r="13" spans="1:20">
      <c r="A13" t="s">
        <v>117</v>
      </c>
    </row>
    <row r="14" spans="1:20">
      <c r="A14" t="s">
        <v>118</v>
      </c>
      <c r="D14" s="77" t="s">
        <v>404</v>
      </c>
      <c r="E14" s="80" t="s">
        <v>393</v>
      </c>
      <c r="F14" s="77" t="s">
        <v>404</v>
      </c>
      <c r="H14" s="78" t="s">
        <v>404</v>
      </c>
      <c r="I14" s="81" t="s">
        <v>393</v>
      </c>
      <c r="J14" s="78" t="s">
        <v>404</v>
      </c>
      <c r="L14" s="78" t="s">
        <v>404</v>
      </c>
      <c r="M14" s="82" t="s">
        <v>393</v>
      </c>
      <c r="N14" s="78" t="s">
        <v>404</v>
      </c>
      <c r="P14" s="49" t="s">
        <v>259</v>
      </c>
      <c r="Q14" t="s">
        <v>420</v>
      </c>
      <c r="R14" s="87" t="s">
        <v>259</v>
      </c>
      <c r="S14" s="663"/>
      <c r="T14" s="663"/>
    </row>
    <row r="15" spans="1:20" ht="15" customHeight="1">
      <c r="A15" t="s">
        <v>129</v>
      </c>
      <c r="D15" s="77" t="s">
        <v>378</v>
      </c>
      <c r="E15" s="76" t="s">
        <v>389</v>
      </c>
      <c r="F15" s="77" t="s">
        <v>378</v>
      </c>
      <c r="H15" s="78" t="s">
        <v>403</v>
      </c>
      <c r="I15" s="80" t="s">
        <v>405</v>
      </c>
      <c r="J15" s="78" t="s">
        <v>403</v>
      </c>
      <c r="L15" s="78" t="s">
        <v>403</v>
      </c>
      <c r="M15" s="82" t="s">
        <v>405</v>
      </c>
      <c r="N15" s="78" t="s">
        <v>403</v>
      </c>
      <c r="P15" s="9" t="s">
        <v>56</v>
      </c>
      <c r="Q15" t="s">
        <v>421</v>
      </c>
      <c r="R15" s="88" t="s">
        <v>56</v>
      </c>
      <c r="S15" s="664"/>
      <c r="T15" s="664"/>
    </row>
    <row r="16" spans="1:20" ht="15" customHeight="1">
      <c r="A16" t="s">
        <v>125</v>
      </c>
      <c r="D16" s="77" t="s">
        <v>403</v>
      </c>
      <c r="E16" s="80" t="s">
        <v>405</v>
      </c>
      <c r="F16" s="77" t="s">
        <v>403</v>
      </c>
      <c r="H16" s="78" t="s">
        <v>402</v>
      </c>
      <c r="I16" s="80" t="s">
        <v>394</v>
      </c>
      <c r="J16" s="78" t="s">
        <v>402</v>
      </c>
      <c r="L16" s="78" t="s">
        <v>402</v>
      </c>
      <c r="M16" s="82" t="s">
        <v>394</v>
      </c>
      <c r="N16" s="78" t="s">
        <v>402</v>
      </c>
      <c r="P16" s="9" t="s">
        <v>156</v>
      </c>
      <c r="Q16" t="s">
        <v>422</v>
      </c>
      <c r="R16" s="88" t="s">
        <v>156</v>
      </c>
      <c r="S16" s="664"/>
      <c r="T16" s="664"/>
    </row>
    <row r="17" spans="1:20" ht="15" customHeight="1">
      <c r="D17" s="77" t="s">
        <v>379</v>
      </c>
      <c r="E17" s="76" t="s">
        <v>390</v>
      </c>
      <c r="F17" s="77" t="s">
        <v>379</v>
      </c>
      <c r="H17" s="78" t="s">
        <v>401</v>
      </c>
      <c r="I17" s="80" t="s">
        <v>395</v>
      </c>
      <c r="J17" s="78" t="s">
        <v>401</v>
      </c>
      <c r="L17" s="78" t="s">
        <v>401</v>
      </c>
      <c r="M17" s="82" t="s">
        <v>395</v>
      </c>
      <c r="N17" s="78" t="s">
        <v>401</v>
      </c>
      <c r="P17" s="49" t="s">
        <v>157</v>
      </c>
      <c r="Q17" t="s">
        <v>423</v>
      </c>
      <c r="R17" s="87" t="s">
        <v>157</v>
      </c>
      <c r="S17" s="663"/>
      <c r="T17" s="663"/>
    </row>
    <row r="18" spans="1:20" ht="15" customHeight="1">
      <c r="A18" s="451" t="s">
        <v>64</v>
      </c>
      <c r="B18" s="451"/>
      <c r="D18" s="77" t="s">
        <v>402</v>
      </c>
      <c r="E18" s="80" t="s">
        <v>394</v>
      </c>
      <c r="F18" s="77" t="s">
        <v>402</v>
      </c>
      <c r="H18" s="78" t="s">
        <v>400</v>
      </c>
      <c r="I18" s="80" t="s">
        <v>396</v>
      </c>
      <c r="J18" s="78" t="s">
        <v>400</v>
      </c>
      <c r="L18" s="78" t="s">
        <v>400</v>
      </c>
      <c r="M18" s="82" t="s">
        <v>396</v>
      </c>
      <c r="N18" s="78" t="s">
        <v>400</v>
      </c>
      <c r="P18" s="9" t="s">
        <v>35</v>
      </c>
      <c r="Q18" t="s">
        <v>424</v>
      </c>
      <c r="R18" s="88" t="s">
        <v>35</v>
      </c>
      <c r="S18" s="664"/>
      <c r="T18" s="664"/>
    </row>
    <row r="19" spans="1:20" ht="15" customHeight="1">
      <c r="A19" t="s">
        <v>142</v>
      </c>
      <c r="D19" s="77" t="s">
        <v>380</v>
      </c>
      <c r="E19" s="76" t="s">
        <v>391</v>
      </c>
      <c r="F19" s="77" t="s">
        <v>380</v>
      </c>
      <c r="H19" s="79" t="s">
        <v>398</v>
      </c>
      <c r="I19" s="80" t="s">
        <v>397</v>
      </c>
      <c r="J19" s="79" t="s">
        <v>398</v>
      </c>
      <c r="L19" s="79" t="s">
        <v>398</v>
      </c>
      <c r="M19" s="82" t="s">
        <v>397</v>
      </c>
      <c r="N19" s="79" t="s">
        <v>398</v>
      </c>
      <c r="P19" s="9" t="s">
        <v>36</v>
      </c>
      <c r="Q19" t="s">
        <v>425</v>
      </c>
      <c r="R19" s="88" t="s">
        <v>36</v>
      </c>
      <c r="S19" s="664"/>
      <c r="T19" s="664"/>
    </row>
    <row r="20" spans="1:20">
      <c r="A20" t="s">
        <v>65</v>
      </c>
      <c r="D20" s="77" t="s">
        <v>401</v>
      </c>
      <c r="E20" s="80" t="s">
        <v>395</v>
      </c>
      <c r="F20" s="77" t="s">
        <v>401</v>
      </c>
      <c r="H20" s="79" t="s">
        <v>399</v>
      </c>
      <c r="I20" s="80" t="s">
        <v>414</v>
      </c>
      <c r="J20" s="79" t="s">
        <v>399</v>
      </c>
      <c r="L20" s="79" t="s">
        <v>399</v>
      </c>
      <c r="M20" s="82" t="s">
        <v>414</v>
      </c>
      <c r="N20" s="79" t="s">
        <v>399</v>
      </c>
      <c r="P20" s="9" t="s">
        <v>37</v>
      </c>
      <c r="Q20" t="s">
        <v>426</v>
      </c>
      <c r="R20" s="88" t="s">
        <v>37</v>
      </c>
      <c r="S20" s="664"/>
      <c r="T20" s="664"/>
    </row>
    <row r="21" spans="1:20" ht="25.5" customHeight="1">
      <c r="D21" s="77" t="s">
        <v>381</v>
      </c>
      <c r="E21" s="76" t="s">
        <v>392</v>
      </c>
      <c r="F21" s="77" t="s">
        <v>381</v>
      </c>
      <c r="L21" s="40" t="s">
        <v>382</v>
      </c>
      <c r="M21" t="s">
        <v>406</v>
      </c>
      <c r="N21" s="40" t="s">
        <v>382</v>
      </c>
      <c r="P21" s="9" t="s">
        <v>376</v>
      </c>
      <c r="Q21" t="s">
        <v>427</v>
      </c>
      <c r="R21" s="88" t="s">
        <v>376</v>
      </c>
      <c r="S21" s="664"/>
      <c r="T21" s="664"/>
    </row>
    <row r="22" spans="1:20" ht="15" customHeight="1">
      <c r="A22" s="451" t="s">
        <v>63</v>
      </c>
      <c r="B22" s="451"/>
      <c r="D22" s="77" t="s">
        <v>400</v>
      </c>
      <c r="E22" s="80" t="s">
        <v>396</v>
      </c>
      <c r="F22" s="77" t="s">
        <v>400</v>
      </c>
      <c r="L22" s="9" t="s">
        <v>383</v>
      </c>
      <c r="M22" t="s">
        <v>407</v>
      </c>
      <c r="N22" s="9" t="s">
        <v>383</v>
      </c>
      <c r="P22" s="9" t="s">
        <v>38</v>
      </c>
      <c r="Q22" t="s">
        <v>428</v>
      </c>
      <c r="R22" s="88" t="s">
        <v>38</v>
      </c>
      <c r="S22" s="664"/>
      <c r="T22" s="664"/>
    </row>
    <row r="23" spans="1:20" ht="15" customHeight="1">
      <c r="A23" t="s">
        <v>71</v>
      </c>
      <c r="D23" s="77" t="s">
        <v>398</v>
      </c>
      <c r="E23" s="80" t="s">
        <v>397</v>
      </c>
      <c r="F23" s="77" t="s">
        <v>398</v>
      </c>
      <c r="L23" s="9" t="s">
        <v>388</v>
      </c>
      <c r="M23" t="s">
        <v>408</v>
      </c>
      <c r="N23" s="9" t="s">
        <v>388</v>
      </c>
      <c r="P23" s="9" t="s">
        <v>39</v>
      </c>
      <c r="Q23" t="s">
        <v>429</v>
      </c>
      <c r="R23" s="88" t="s">
        <v>39</v>
      </c>
      <c r="S23" s="664"/>
      <c r="T23" s="664"/>
    </row>
    <row r="24" spans="1:20" ht="15" customHeight="1">
      <c r="A24" t="s">
        <v>160</v>
      </c>
      <c r="D24" s="77" t="s">
        <v>399</v>
      </c>
      <c r="E24" s="80" t="s">
        <v>416</v>
      </c>
      <c r="F24" s="77" t="s">
        <v>399</v>
      </c>
      <c r="L24" s="9" t="s">
        <v>384</v>
      </c>
      <c r="M24" t="s">
        <v>409</v>
      </c>
      <c r="N24" s="9" t="s">
        <v>384</v>
      </c>
      <c r="P24" s="9" t="s">
        <v>40</v>
      </c>
      <c r="Q24" t="s">
        <v>430</v>
      </c>
      <c r="R24" s="88" t="s">
        <v>40</v>
      </c>
      <c r="S24" s="664"/>
      <c r="T24" s="664"/>
    </row>
    <row r="25" spans="1:20" ht="114.75">
      <c r="L25" s="49" t="s">
        <v>385</v>
      </c>
      <c r="M25" t="s">
        <v>410</v>
      </c>
      <c r="N25" s="49" t="s">
        <v>385</v>
      </c>
      <c r="P25" s="9" t="s">
        <v>41</v>
      </c>
      <c r="Q25" t="s">
        <v>431</v>
      </c>
      <c r="R25" s="88" t="s">
        <v>41</v>
      </c>
      <c r="S25" s="664"/>
      <c r="T25" s="664"/>
    </row>
    <row r="26" spans="1:20" ht="51">
      <c r="A26" t="s">
        <v>572</v>
      </c>
      <c r="L26" s="9" t="s">
        <v>386</v>
      </c>
      <c r="M26" t="s">
        <v>411</v>
      </c>
      <c r="N26" s="9" t="s">
        <v>386</v>
      </c>
      <c r="P26" s="9" t="s">
        <v>42</v>
      </c>
      <c r="Q26" t="s">
        <v>432</v>
      </c>
      <c r="R26" s="88" t="s">
        <v>42</v>
      </c>
      <c r="S26" s="664"/>
      <c r="T26" s="664"/>
    </row>
    <row r="27" spans="1:20" ht="63.75">
      <c r="A27" t="s">
        <v>579</v>
      </c>
      <c r="L27" s="9" t="s">
        <v>387</v>
      </c>
      <c r="M27" t="s">
        <v>412</v>
      </c>
      <c r="N27" s="9" t="s">
        <v>387</v>
      </c>
      <c r="P27" s="9" t="s">
        <v>260</v>
      </c>
      <c r="Q27" t="s">
        <v>433</v>
      </c>
      <c r="R27" s="88" t="s">
        <v>260</v>
      </c>
      <c r="S27" s="664"/>
      <c r="T27" s="664"/>
    </row>
    <row r="28" spans="1:20" ht="15" customHeight="1">
      <c r="L28" s="83" t="s">
        <v>415</v>
      </c>
      <c r="M28" t="s">
        <v>413</v>
      </c>
      <c r="N28" s="83" t="s">
        <v>415</v>
      </c>
      <c r="P28" s="49" t="s">
        <v>43</v>
      </c>
      <c r="Q28" t="s">
        <v>434</v>
      </c>
      <c r="R28" s="87" t="s">
        <v>43</v>
      </c>
      <c r="S28" s="663"/>
      <c r="T28" s="663"/>
    </row>
    <row r="29" spans="1:20" ht="15" customHeight="1">
      <c r="P29" s="49" t="s">
        <v>44</v>
      </c>
      <c r="Q29" t="s">
        <v>435</v>
      </c>
      <c r="R29" s="87" t="s">
        <v>44</v>
      </c>
      <c r="S29" s="663"/>
      <c r="T29" s="663"/>
    </row>
    <row r="30" spans="1:20" ht="15" customHeight="1">
      <c r="P30" s="85" t="s">
        <v>45</v>
      </c>
      <c r="Q30" t="s">
        <v>436</v>
      </c>
      <c r="R30" s="87" t="s">
        <v>45</v>
      </c>
      <c r="S30" s="663"/>
      <c r="T30" s="663"/>
    </row>
    <row r="31" spans="1:20" ht="15" customHeight="1">
      <c r="P31" s="49" t="s">
        <v>417</v>
      </c>
      <c r="Q31" t="s">
        <v>437</v>
      </c>
      <c r="R31" s="87" t="s">
        <v>417</v>
      </c>
      <c r="S31" s="663"/>
      <c r="T31" s="663"/>
    </row>
    <row r="32" spans="1:20" ht="15" customHeight="1">
      <c r="P32" s="85" t="s">
        <v>418</v>
      </c>
      <c r="Q32" t="s">
        <v>438</v>
      </c>
      <c r="R32" s="87" t="s">
        <v>418</v>
      </c>
      <c r="S32" s="663"/>
      <c r="T32" s="663"/>
    </row>
    <row r="33" spans="16:20" ht="15" customHeight="1">
      <c r="P33" s="86" t="s">
        <v>419</v>
      </c>
      <c r="Q33" t="s">
        <v>439</v>
      </c>
      <c r="R33" s="89" t="s">
        <v>419</v>
      </c>
      <c r="S33" s="663"/>
      <c r="T33" s="663"/>
    </row>
    <row r="34" spans="16:20">
      <c r="P34" s="663"/>
      <c r="Q34" s="663"/>
    </row>
    <row r="35" spans="16:20">
      <c r="P35" s="663"/>
      <c r="Q35" s="663"/>
    </row>
    <row r="36" spans="16:20">
      <c r="P36" s="663"/>
      <c r="Q36" s="663"/>
    </row>
    <row r="37" spans="16:20">
      <c r="P37" s="663"/>
      <c r="Q37" s="663"/>
    </row>
    <row r="38" spans="16:20">
      <c r="P38" s="663"/>
      <c r="Q38" s="663"/>
    </row>
  </sheetData>
  <mergeCells count="27">
    <mergeCell ref="P34:Q34"/>
    <mergeCell ref="P35:Q35"/>
    <mergeCell ref="P36:Q36"/>
    <mergeCell ref="P37:Q37"/>
    <mergeCell ref="A18:B18"/>
    <mergeCell ref="A22:B22"/>
    <mergeCell ref="P38:Q38"/>
    <mergeCell ref="S14:T14"/>
    <mergeCell ref="S15:T15"/>
    <mergeCell ref="S16:T16"/>
    <mergeCell ref="S17:T17"/>
    <mergeCell ref="S18:T18"/>
    <mergeCell ref="S19:T19"/>
    <mergeCell ref="S20:T20"/>
    <mergeCell ref="S21:T21"/>
    <mergeCell ref="S22:T22"/>
    <mergeCell ref="S23:T23"/>
    <mergeCell ref="S24:T24"/>
    <mergeCell ref="S25:T25"/>
    <mergeCell ref="S26:T26"/>
    <mergeCell ref="S27:T27"/>
    <mergeCell ref="S28:T28"/>
    <mergeCell ref="S29:T29"/>
    <mergeCell ref="S30:T30"/>
    <mergeCell ref="S31:T31"/>
    <mergeCell ref="S32:T32"/>
    <mergeCell ref="S33:T3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sheetPr codeName="Sheet21"/>
  <dimension ref="A1:A37"/>
  <sheetViews>
    <sheetView workbookViewId="0">
      <selection activeCell="A10" sqref="A10"/>
    </sheetView>
  </sheetViews>
  <sheetFormatPr defaultRowHeight="15"/>
  <cols>
    <col min="1" max="1" width="22.5703125" customWidth="1"/>
  </cols>
  <sheetData>
    <row r="1" spans="1:1">
      <c r="A1" s="65" t="s">
        <v>349</v>
      </c>
    </row>
    <row r="2" spans="1:1">
      <c r="A2" s="65" t="s">
        <v>350</v>
      </c>
    </row>
    <row r="3" spans="1:1">
      <c r="A3" s="65" t="s">
        <v>351</v>
      </c>
    </row>
    <row r="4" spans="1:1">
      <c r="A4" s="64" t="s">
        <v>286</v>
      </c>
    </row>
    <row r="5" spans="1:1">
      <c r="A5" s="64" t="s">
        <v>285</v>
      </c>
    </row>
    <row r="6" spans="1:1">
      <c r="A6" s="64" t="s">
        <v>284</v>
      </c>
    </row>
    <row r="7" spans="1:1">
      <c r="A7" s="64" t="s">
        <v>283</v>
      </c>
    </row>
    <row r="8" spans="1:1">
      <c r="A8" s="65" t="s">
        <v>444</v>
      </c>
    </row>
    <row r="9" spans="1:1">
      <c r="A9" s="65" t="s">
        <v>352</v>
      </c>
    </row>
    <row r="10" spans="1:1">
      <c r="A10" s="64" t="s">
        <v>282</v>
      </c>
    </row>
    <row r="11" spans="1:1">
      <c r="A11" s="64" t="s">
        <v>281</v>
      </c>
    </row>
    <row r="12" spans="1:1">
      <c r="A12" s="64" t="s">
        <v>280</v>
      </c>
    </row>
    <row r="13" spans="1:1">
      <c r="A13" s="64" t="s">
        <v>279</v>
      </c>
    </row>
    <row r="14" spans="1:1">
      <c r="A14" s="65" t="s">
        <v>353</v>
      </c>
    </row>
    <row r="15" spans="1:1">
      <c r="A15" s="65" t="s">
        <v>354</v>
      </c>
    </row>
    <row r="16" spans="1:1">
      <c r="A16" s="64" t="s">
        <v>278</v>
      </c>
    </row>
    <row r="17" spans="1:1">
      <c r="A17" s="64" t="s">
        <v>277</v>
      </c>
    </row>
    <row r="18" spans="1:1">
      <c r="A18" s="64" t="s">
        <v>276</v>
      </c>
    </row>
    <row r="19" spans="1:1">
      <c r="A19" s="64" t="s">
        <v>275</v>
      </c>
    </row>
    <row r="20" spans="1:1">
      <c r="A20" s="65" t="s">
        <v>355</v>
      </c>
    </row>
    <row r="21" spans="1:1">
      <c r="A21" s="64" t="s">
        <v>274</v>
      </c>
    </row>
    <row r="22" spans="1:1">
      <c r="A22" s="64" t="s">
        <v>273</v>
      </c>
    </row>
    <row r="23" spans="1:1">
      <c r="A23" s="64" t="s">
        <v>272</v>
      </c>
    </row>
    <row r="24" spans="1:1">
      <c r="A24" s="64" t="s">
        <v>271</v>
      </c>
    </row>
    <row r="25" spans="1:1">
      <c r="A25" s="64" t="s">
        <v>270</v>
      </c>
    </row>
    <row r="26" spans="1:1">
      <c r="A26" s="64" t="s">
        <v>269</v>
      </c>
    </row>
    <row r="27" spans="1:1">
      <c r="A27" s="64" t="s">
        <v>268</v>
      </c>
    </row>
    <row r="28" spans="1:1">
      <c r="A28" s="64" t="s">
        <v>267</v>
      </c>
    </row>
    <row r="29" spans="1:1">
      <c r="A29" s="64" t="s">
        <v>266</v>
      </c>
    </row>
    <row r="30" spans="1:1">
      <c r="A30" s="64" t="s">
        <v>265</v>
      </c>
    </row>
    <row r="31" spans="1:1">
      <c r="A31" s="65" t="s">
        <v>356</v>
      </c>
    </row>
    <row r="32" spans="1:1">
      <c r="A32" s="64" t="s">
        <v>264</v>
      </c>
    </row>
    <row r="33" spans="1:1">
      <c r="A33" s="64" t="s">
        <v>263</v>
      </c>
    </row>
    <row r="34" spans="1:1">
      <c r="A34" s="65" t="s">
        <v>357</v>
      </c>
    </row>
    <row r="35" spans="1:1">
      <c r="A35" s="64" t="s">
        <v>262</v>
      </c>
    </row>
    <row r="36" spans="1:1">
      <c r="A36" s="65" t="s">
        <v>358</v>
      </c>
    </row>
    <row r="37" spans="1:1">
      <c r="A37" s="64" t="s">
        <v>261</v>
      </c>
    </row>
  </sheetData>
  <sheetProtection sheet="1" objects="1" scenarios="1"/>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dimension ref="A1:L247"/>
  <sheetViews>
    <sheetView workbookViewId="0"/>
  </sheetViews>
  <sheetFormatPr defaultRowHeight="15"/>
  <cols>
    <col min="1" max="16384" width="9.140625" style="423"/>
  </cols>
  <sheetData>
    <row r="1" spans="1:12">
      <c r="D1" s="63"/>
    </row>
    <row r="2" spans="1:12" ht="173.25">
      <c r="E2" s="411" t="s">
        <v>321</v>
      </c>
      <c r="F2" s="411"/>
      <c r="G2" s="411"/>
    </row>
    <row r="3" spans="1:12" ht="31.5">
      <c r="A3" s="384" t="s">
        <v>567</v>
      </c>
      <c r="B3" s="384" t="s">
        <v>320</v>
      </c>
      <c r="C3" s="384"/>
      <c r="D3" s="384"/>
      <c r="E3" s="384"/>
      <c r="F3" s="384"/>
      <c r="G3" s="384"/>
      <c r="H3" s="384"/>
      <c r="I3" s="384"/>
      <c r="J3" s="384"/>
      <c r="K3" s="384"/>
      <c r="L3" s="68"/>
    </row>
    <row r="4" spans="1:12" ht="31.5">
      <c r="A4" s="122">
        <v>1</v>
      </c>
      <c r="B4" s="379" t="s">
        <v>164</v>
      </c>
      <c r="C4" s="379"/>
      <c r="D4" s="412"/>
      <c r="E4" s="412"/>
      <c r="F4" s="412"/>
      <c r="G4" s="412"/>
      <c r="H4" s="412"/>
      <c r="I4" s="412"/>
      <c r="J4" s="412"/>
      <c r="K4" s="412"/>
    </row>
    <row r="5" spans="1:12" ht="15.75">
      <c r="A5" s="123">
        <v>2</v>
      </c>
      <c r="B5" s="381" t="s">
        <v>165</v>
      </c>
      <c r="C5" s="381"/>
      <c r="D5" s="413"/>
      <c r="E5" s="413"/>
      <c r="F5" s="413"/>
      <c r="G5" s="413"/>
      <c r="H5" s="413"/>
      <c r="I5" s="413"/>
      <c r="J5" s="413"/>
      <c r="K5" s="413"/>
    </row>
    <row r="6" spans="1:12" ht="31.5">
      <c r="A6" s="384" t="s">
        <v>89</v>
      </c>
      <c r="B6" s="381" t="s">
        <v>166</v>
      </c>
      <c r="C6" s="381"/>
      <c r="D6" s="384"/>
      <c r="E6" s="384"/>
      <c r="F6" s="384"/>
      <c r="G6" s="384"/>
      <c r="H6" s="384"/>
      <c r="I6" s="384"/>
      <c r="J6" s="384"/>
      <c r="K6" s="384"/>
    </row>
    <row r="7" spans="1:12" ht="47.25">
      <c r="A7" s="410" t="s">
        <v>90</v>
      </c>
      <c r="B7" s="379" t="s">
        <v>167</v>
      </c>
      <c r="C7" s="379"/>
      <c r="D7" s="410"/>
      <c r="E7" s="410"/>
      <c r="F7" s="410"/>
      <c r="G7" s="410"/>
      <c r="H7" s="410"/>
      <c r="I7" s="410"/>
      <c r="J7" s="410"/>
      <c r="K7" s="410"/>
    </row>
    <row r="8" spans="1:12" ht="15.75">
      <c r="A8" s="410" t="s">
        <v>580</v>
      </c>
      <c r="B8" s="379" t="s">
        <v>582</v>
      </c>
      <c r="C8" s="379"/>
      <c r="D8" s="410" t="s">
        <v>585</v>
      </c>
      <c r="E8" s="410"/>
      <c r="F8" s="410"/>
      <c r="G8" s="410"/>
      <c r="H8" s="410"/>
      <c r="I8" s="410"/>
      <c r="J8" s="410"/>
      <c r="K8" s="410"/>
    </row>
    <row r="9" spans="1:12" ht="15.75">
      <c r="A9" s="410" t="s">
        <v>581</v>
      </c>
      <c r="B9" s="379" t="s">
        <v>583</v>
      </c>
      <c r="C9" s="379"/>
      <c r="D9" s="410" t="s">
        <v>585</v>
      </c>
      <c r="E9" s="410"/>
      <c r="F9" s="410"/>
      <c r="G9" s="410"/>
      <c r="H9" s="410"/>
      <c r="I9" s="410"/>
      <c r="J9" s="410"/>
      <c r="K9" s="410"/>
    </row>
    <row r="10" spans="1:12" ht="110.25">
      <c r="A10" s="123">
        <v>4</v>
      </c>
      <c r="B10" s="381" t="s">
        <v>586</v>
      </c>
      <c r="C10" s="381"/>
      <c r="D10" s="381"/>
      <c r="E10" s="381"/>
      <c r="F10" s="381"/>
      <c r="G10" s="381"/>
      <c r="H10" s="384"/>
      <c r="I10" s="384"/>
      <c r="J10" s="384"/>
      <c r="K10" s="384"/>
    </row>
    <row r="11" spans="1:12" ht="283.5">
      <c r="A11" s="123" t="s">
        <v>288</v>
      </c>
      <c r="B11" s="381" t="s">
        <v>584</v>
      </c>
      <c r="C11" s="381"/>
      <c r="D11" s="381"/>
      <c r="E11" s="381"/>
      <c r="F11" s="381"/>
      <c r="G11" s="381"/>
      <c r="H11" s="384"/>
      <c r="I11" s="384"/>
      <c r="J11" s="384"/>
      <c r="K11" s="384"/>
    </row>
    <row r="12" spans="1:12" ht="141.75">
      <c r="A12" s="103"/>
      <c r="B12" s="408"/>
      <c r="C12" s="408"/>
      <c r="D12" s="408"/>
      <c r="E12" s="408"/>
      <c r="F12" s="408"/>
      <c r="G12" s="409" t="s">
        <v>168</v>
      </c>
      <c r="H12" s="409"/>
      <c r="I12" s="409"/>
      <c r="J12" s="409"/>
      <c r="K12" s="409"/>
    </row>
    <row r="13" spans="1:12" ht="362.25">
      <c r="A13" s="384" t="s">
        <v>568</v>
      </c>
      <c r="B13" s="394" t="s">
        <v>322</v>
      </c>
      <c r="C13" s="394"/>
      <c r="D13" s="394"/>
      <c r="E13" s="394"/>
      <c r="F13" s="394"/>
      <c r="G13" s="394"/>
      <c r="H13" s="394"/>
      <c r="I13" s="394"/>
      <c r="J13" s="394"/>
      <c r="K13" s="394"/>
    </row>
    <row r="14" spans="1:12" ht="78.75">
      <c r="A14" s="123">
        <v>5</v>
      </c>
      <c r="B14" s="397" t="s">
        <v>169</v>
      </c>
      <c r="C14" s="397"/>
      <c r="D14" s="397"/>
      <c r="E14" s="397"/>
      <c r="F14" s="397"/>
      <c r="G14" s="397"/>
      <c r="H14" s="397"/>
      <c r="I14" s="397"/>
      <c r="J14" s="397"/>
      <c r="K14" s="397"/>
    </row>
    <row r="15" spans="1:12" ht="31.5">
      <c r="A15" s="123" t="s">
        <v>587</v>
      </c>
      <c r="B15" s="384" t="s">
        <v>24</v>
      </c>
      <c r="C15" s="397"/>
      <c r="D15" s="397"/>
      <c r="E15" s="397"/>
      <c r="F15" s="397"/>
      <c r="G15" s="397"/>
      <c r="H15" s="397"/>
      <c r="I15" s="384" t="s">
        <v>615</v>
      </c>
      <c r="J15" s="397"/>
      <c r="K15" s="397"/>
    </row>
    <row r="16" spans="1:12" ht="393.75">
      <c r="A16" s="410" t="s">
        <v>170</v>
      </c>
      <c r="B16" s="398" t="s">
        <v>171</v>
      </c>
      <c r="C16" s="398"/>
      <c r="D16" s="398"/>
      <c r="E16" s="398"/>
      <c r="F16" s="398"/>
      <c r="G16" s="398"/>
      <c r="H16" s="398"/>
      <c r="I16" s="380"/>
      <c r="J16" s="380"/>
      <c r="K16" s="380"/>
    </row>
    <row r="17" spans="1:11" ht="110.25">
      <c r="A17" s="384" t="s">
        <v>172</v>
      </c>
      <c r="B17" s="389" t="s">
        <v>173</v>
      </c>
      <c r="C17" s="389"/>
      <c r="D17" s="389"/>
      <c r="E17" s="389"/>
      <c r="F17" s="389"/>
      <c r="G17" s="389"/>
      <c r="H17" s="397" t="s">
        <v>589</v>
      </c>
      <c r="I17" s="380"/>
      <c r="J17" s="380"/>
      <c r="K17" s="380"/>
    </row>
    <row r="18" spans="1:11" ht="126">
      <c r="A18" s="384" t="s">
        <v>174</v>
      </c>
      <c r="B18" s="389" t="s">
        <v>175</v>
      </c>
      <c r="C18" s="389"/>
      <c r="D18" s="389"/>
      <c r="E18" s="389"/>
      <c r="F18" s="389"/>
      <c r="G18" s="389"/>
      <c r="H18" s="397" t="s">
        <v>589</v>
      </c>
      <c r="I18" s="380"/>
      <c r="J18" s="380"/>
      <c r="K18" s="380"/>
    </row>
    <row r="19" spans="1:11" ht="78.75">
      <c r="A19" s="384" t="s">
        <v>176</v>
      </c>
      <c r="B19" s="389" t="s">
        <v>177</v>
      </c>
      <c r="C19" s="389"/>
      <c r="D19" s="389"/>
      <c r="E19" s="389"/>
      <c r="F19" s="389"/>
      <c r="G19" s="389"/>
      <c r="H19" s="397" t="s">
        <v>589</v>
      </c>
      <c r="I19" s="380"/>
      <c r="J19" s="380"/>
      <c r="K19" s="380"/>
    </row>
    <row r="20" spans="1:11" ht="204.75">
      <c r="A20" s="384" t="s">
        <v>178</v>
      </c>
      <c r="B20" s="398" t="s">
        <v>179</v>
      </c>
      <c r="C20" s="398"/>
      <c r="D20" s="398"/>
      <c r="E20" s="398"/>
      <c r="F20" s="398"/>
      <c r="G20" s="398"/>
      <c r="H20" s="397" t="s">
        <v>589</v>
      </c>
      <c r="I20" s="380"/>
      <c r="J20" s="380"/>
      <c r="K20" s="380"/>
    </row>
    <row r="21" spans="1:11" ht="236.25">
      <c r="A21" s="384" t="s">
        <v>180</v>
      </c>
      <c r="B21" s="389" t="s">
        <v>289</v>
      </c>
      <c r="C21" s="389"/>
      <c r="D21" s="389"/>
      <c r="E21" s="389"/>
      <c r="F21" s="389"/>
      <c r="G21" s="389"/>
      <c r="H21" s="397" t="s">
        <v>589</v>
      </c>
      <c r="I21" s="380"/>
      <c r="J21" s="380"/>
      <c r="K21" s="380"/>
    </row>
    <row r="22" spans="1:11" ht="94.5">
      <c r="A22" s="384" t="s">
        <v>181</v>
      </c>
      <c r="B22" s="389" t="s">
        <v>182</v>
      </c>
      <c r="C22" s="389"/>
      <c r="D22" s="389"/>
      <c r="E22" s="389"/>
      <c r="F22" s="389"/>
      <c r="G22" s="389"/>
      <c r="H22" s="394" t="s">
        <v>590</v>
      </c>
      <c r="I22" s="380"/>
      <c r="J22" s="380"/>
      <c r="K22" s="380"/>
    </row>
    <row r="23" spans="1:11" ht="94.5">
      <c r="A23" s="384" t="s">
        <v>183</v>
      </c>
      <c r="B23" s="389" t="s">
        <v>184</v>
      </c>
      <c r="C23" s="389"/>
      <c r="D23" s="389"/>
      <c r="E23" s="389"/>
      <c r="F23" s="389"/>
      <c r="G23" s="389"/>
      <c r="H23" s="394" t="s">
        <v>590</v>
      </c>
      <c r="I23" s="380"/>
      <c r="J23" s="380"/>
      <c r="K23" s="380"/>
    </row>
    <row r="24" spans="1:11" ht="126">
      <c r="A24" s="384" t="s">
        <v>185</v>
      </c>
      <c r="B24" s="398" t="s">
        <v>186</v>
      </c>
      <c r="C24" s="398"/>
      <c r="D24" s="398"/>
      <c r="E24" s="398"/>
      <c r="F24" s="398"/>
      <c r="G24" s="398"/>
      <c r="H24" s="394" t="s">
        <v>590</v>
      </c>
      <c r="I24" s="380"/>
      <c r="J24" s="380"/>
      <c r="K24" s="380"/>
    </row>
    <row r="25" spans="1:11" ht="220.5">
      <c r="A25" s="384" t="s">
        <v>187</v>
      </c>
      <c r="B25" s="398" t="s">
        <v>188</v>
      </c>
      <c r="C25" s="398"/>
      <c r="D25" s="398"/>
      <c r="E25" s="398"/>
      <c r="F25" s="398"/>
      <c r="G25" s="398"/>
      <c r="H25" s="394" t="s">
        <v>590</v>
      </c>
      <c r="I25" s="380"/>
      <c r="J25" s="380"/>
      <c r="K25" s="380"/>
    </row>
    <row r="26" spans="1:11" ht="141.75">
      <c r="A26" s="384" t="s">
        <v>189</v>
      </c>
      <c r="B26" s="398" t="s">
        <v>190</v>
      </c>
      <c r="C26" s="398"/>
      <c r="D26" s="398"/>
      <c r="E26" s="398"/>
      <c r="F26" s="398"/>
      <c r="G26" s="398"/>
      <c r="H26" s="394" t="s">
        <v>590</v>
      </c>
      <c r="I26" s="380"/>
      <c r="J26" s="380"/>
      <c r="K26" s="380"/>
    </row>
    <row r="27" spans="1:11" ht="110.25">
      <c r="A27" s="384" t="s">
        <v>191</v>
      </c>
      <c r="B27" s="389" t="s">
        <v>192</v>
      </c>
      <c r="C27" s="389"/>
      <c r="D27" s="389"/>
      <c r="E27" s="389"/>
      <c r="F27" s="389"/>
      <c r="G27" s="389"/>
      <c r="H27" s="394" t="s">
        <v>590</v>
      </c>
      <c r="I27" s="380"/>
      <c r="J27" s="380"/>
      <c r="K27" s="380"/>
    </row>
    <row r="28" spans="1:11" ht="141.75">
      <c r="A28" s="384" t="s">
        <v>193</v>
      </c>
      <c r="B28" s="398" t="s">
        <v>194</v>
      </c>
      <c r="C28" s="398"/>
      <c r="D28" s="398"/>
      <c r="E28" s="398"/>
      <c r="F28" s="398"/>
      <c r="G28" s="398"/>
      <c r="H28" s="394" t="s">
        <v>591</v>
      </c>
      <c r="I28" s="380"/>
      <c r="J28" s="380"/>
      <c r="K28" s="380"/>
    </row>
    <row r="29" spans="1:11" ht="126">
      <c r="A29" s="384" t="s">
        <v>195</v>
      </c>
      <c r="B29" s="398" t="s">
        <v>196</v>
      </c>
      <c r="C29" s="398"/>
      <c r="D29" s="398"/>
      <c r="E29" s="398"/>
      <c r="F29" s="398"/>
      <c r="G29" s="398"/>
      <c r="H29" s="394" t="s">
        <v>591</v>
      </c>
      <c r="I29" s="380"/>
      <c r="J29" s="380"/>
      <c r="K29" s="380"/>
    </row>
    <row r="30" spans="1:11" ht="110.25">
      <c r="A30" s="384" t="s">
        <v>197</v>
      </c>
      <c r="B30" s="405" t="s">
        <v>198</v>
      </c>
      <c r="C30" s="405"/>
      <c r="D30" s="405"/>
      <c r="E30" s="405"/>
      <c r="F30" s="405"/>
      <c r="G30" s="405"/>
      <c r="H30" s="394" t="s">
        <v>591</v>
      </c>
      <c r="I30" s="380"/>
      <c r="J30" s="380"/>
      <c r="K30" s="380"/>
    </row>
    <row r="31" spans="1:11" ht="165">
      <c r="A31" s="384" t="s">
        <v>199</v>
      </c>
      <c r="B31" s="407" t="s">
        <v>627</v>
      </c>
      <c r="C31" s="407"/>
      <c r="D31" s="407"/>
      <c r="E31" s="407"/>
      <c r="F31" s="407"/>
      <c r="G31" s="407"/>
      <c r="H31" s="407"/>
      <c r="I31" s="391"/>
      <c r="J31" s="391"/>
      <c r="K31" s="391"/>
    </row>
    <row r="32" spans="1:11" ht="94.5">
      <c r="A32" s="384" t="s">
        <v>200</v>
      </c>
      <c r="B32" s="389" t="s">
        <v>201</v>
      </c>
      <c r="C32" s="389"/>
      <c r="D32" s="389"/>
      <c r="E32" s="389"/>
      <c r="F32" s="389"/>
      <c r="G32" s="389"/>
      <c r="H32" s="389"/>
      <c r="I32" s="380"/>
      <c r="J32" s="380"/>
      <c r="K32" s="380"/>
    </row>
    <row r="33" spans="1:11" ht="78.75">
      <c r="A33" s="384" t="s">
        <v>202</v>
      </c>
      <c r="B33" s="389" t="s">
        <v>203</v>
      </c>
      <c r="C33" s="389"/>
      <c r="D33" s="389"/>
      <c r="E33" s="389"/>
      <c r="F33" s="389"/>
      <c r="G33" s="389"/>
      <c r="H33" s="389"/>
      <c r="I33" s="391"/>
      <c r="J33" s="391"/>
      <c r="K33" s="391"/>
    </row>
    <row r="34" spans="1:11" ht="409.5">
      <c r="A34" s="123">
        <v>6</v>
      </c>
      <c r="B34" s="401" t="s">
        <v>204</v>
      </c>
      <c r="C34" s="401"/>
      <c r="D34" s="401"/>
      <c r="E34" s="401"/>
      <c r="F34" s="401"/>
      <c r="G34" s="401"/>
      <c r="H34" s="401"/>
      <c r="I34" s="401"/>
      <c r="J34" s="401"/>
      <c r="K34" s="401"/>
    </row>
    <row r="35" spans="1:11" ht="47.25">
      <c r="A35" s="384" t="s">
        <v>6</v>
      </c>
      <c r="B35" s="381" t="s">
        <v>317</v>
      </c>
      <c r="C35" s="381"/>
      <c r="D35" s="381"/>
      <c r="E35" s="381"/>
      <c r="F35" s="381"/>
      <c r="G35" s="381"/>
      <c r="H35" s="381"/>
      <c r="I35" s="381"/>
      <c r="J35" s="381"/>
      <c r="K35" s="381"/>
    </row>
    <row r="36" spans="1:11" ht="409.5">
      <c r="A36" s="123">
        <v>7</v>
      </c>
      <c r="B36" s="406" t="s">
        <v>205</v>
      </c>
      <c r="C36" s="406"/>
      <c r="D36" s="406"/>
      <c r="E36" s="406"/>
      <c r="F36" s="406"/>
      <c r="G36" s="406"/>
      <c r="H36" s="406"/>
      <c r="I36" s="406"/>
      <c r="J36" s="406"/>
      <c r="K36" s="406"/>
    </row>
    <row r="37" spans="1:11" ht="31.5">
      <c r="A37" s="123" t="s">
        <v>587</v>
      </c>
      <c r="B37" s="384" t="s">
        <v>24</v>
      </c>
      <c r="C37" s="397"/>
      <c r="D37" s="397"/>
      <c r="E37" s="397"/>
      <c r="F37" s="397"/>
      <c r="G37" s="397"/>
      <c r="H37" s="397"/>
      <c r="I37" s="384" t="s">
        <v>615</v>
      </c>
      <c r="J37" s="397"/>
      <c r="K37" s="397"/>
    </row>
    <row r="38" spans="1:11" ht="110.25">
      <c r="A38" s="410" t="s">
        <v>170</v>
      </c>
      <c r="B38" s="405" t="s">
        <v>206</v>
      </c>
      <c r="C38" s="405"/>
      <c r="D38" s="405"/>
      <c r="E38" s="405"/>
      <c r="F38" s="405"/>
      <c r="G38" s="405"/>
      <c r="H38" s="405"/>
      <c r="I38" s="391"/>
      <c r="J38" s="380"/>
      <c r="K38" s="380"/>
    </row>
    <row r="39" spans="1:11" ht="157.5">
      <c r="A39" s="410" t="s">
        <v>172</v>
      </c>
      <c r="B39" s="398" t="s">
        <v>207</v>
      </c>
      <c r="C39" s="398"/>
      <c r="D39" s="398"/>
      <c r="E39" s="398"/>
      <c r="F39" s="398"/>
      <c r="G39" s="398"/>
      <c r="H39" s="398"/>
      <c r="I39" s="380"/>
      <c r="J39" s="380"/>
      <c r="K39" s="380"/>
    </row>
    <row r="40" spans="1:11" ht="94.5">
      <c r="A40" s="384" t="s">
        <v>174</v>
      </c>
      <c r="B40" s="389" t="s">
        <v>208</v>
      </c>
      <c r="C40" s="389"/>
      <c r="D40" s="389"/>
      <c r="E40" s="389"/>
      <c r="F40" s="389"/>
      <c r="G40" s="389"/>
      <c r="H40" s="389"/>
      <c r="I40" s="380"/>
      <c r="J40" s="380"/>
      <c r="K40" s="380"/>
    </row>
    <row r="41" spans="1:11" ht="157.5">
      <c r="A41" s="384" t="s">
        <v>176</v>
      </c>
      <c r="B41" s="398" t="s">
        <v>209</v>
      </c>
      <c r="C41" s="398"/>
      <c r="D41" s="398"/>
      <c r="E41" s="398"/>
      <c r="F41" s="398"/>
      <c r="G41" s="398"/>
      <c r="H41" s="398"/>
      <c r="I41" s="380"/>
      <c r="J41" s="380"/>
      <c r="K41" s="380"/>
    </row>
    <row r="42" spans="1:11" ht="110.25">
      <c r="A42" s="384" t="s">
        <v>178</v>
      </c>
      <c r="B42" s="389" t="s">
        <v>210</v>
      </c>
      <c r="C42" s="389"/>
      <c r="D42" s="389"/>
      <c r="E42" s="389"/>
      <c r="F42" s="389"/>
      <c r="G42" s="389"/>
      <c r="H42" s="389"/>
      <c r="I42" s="391"/>
      <c r="J42" s="391"/>
      <c r="K42" s="391"/>
    </row>
    <row r="43" spans="1:11" ht="126">
      <c r="A43" s="384" t="s">
        <v>180</v>
      </c>
      <c r="B43" s="398" t="s">
        <v>211</v>
      </c>
      <c r="C43" s="398"/>
      <c r="D43" s="398"/>
      <c r="E43" s="398"/>
      <c r="F43" s="398"/>
      <c r="G43" s="398"/>
      <c r="H43" s="398"/>
      <c r="I43" s="380"/>
      <c r="J43" s="380"/>
      <c r="K43" s="380"/>
    </row>
    <row r="44" spans="1:11" ht="78.75">
      <c r="A44" s="384" t="s">
        <v>181</v>
      </c>
      <c r="B44" s="389" t="s">
        <v>212</v>
      </c>
      <c r="C44" s="389"/>
      <c r="D44" s="389"/>
      <c r="E44" s="389"/>
      <c r="F44" s="389"/>
      <c r="G44" s="389"/>
      <c r="H44" s="389"/>
      <c r="I44" s="391"/>
      <c r="J44" s="391"/>
      <c r="K44" s="391"/>
    </row>
    <row r="45" spans="1:11" ht="409.5">
      <c r="A45" s="123">
        <v>8</v>
      </c>
      <c r="B45" s="403" t="s">
        <v>213</v>
      </c>
      <c r="C45" s="403"/>
      <c r="D45" s="403"/>
      <c r="E45" s="403"/>
      <c r="F45" s="403"/>
      <c r="G45" s="403"/>
      <c r="H45" s="403"/>
      <c r="I45" s="403"/>
      <c r="J45" s="403"/>
      <c r="K45" s="403"/>
    </row>
    <row r="46" spans="1:11" ht="47.25">
      <c r="A46" s="384" t="s">
        <v>6</v>
      </c>
      <c r="B46" s="381" t="s">
        <v>317</v>
      </c>
      <c r="C46" s="381"/>
      <c r="D46" s="381"/>
      <c r="E46" s="381"/>
      <c r="F46" s="381"/>
      <c r="G46" s="381"/>
      <c r="H46" s="381"/>
      <c r="I46" s="381"/>
      <c r="J46" s="381"/>
      <c r="K46" s="381"/>
    </row>
    <row r="47" spans="1:11" ht="63">
      <c r="A47" s="384" t="s">
        <v>569</v>
      </c>
      <c r="B47" s="404" t="s">
        <v>323</v>
      </c>
      <c r="C47" s="404"/>
      <c r="D47" s="404"/>
      <c r="E47" s="404"/>
      <c r="F47" s="404"/>
      <c r="G47" s="404"/>
      <c r="H47" s="404"/>
      <c r="I47" s="404"/>
      <c r="J47" s="404"/>
      <c r="K47" s="404"/>
    </row>
    <row r="48" spans="1:11" ht="409.5">
      <c r="A48" s="123">
        <v>9</v>
      </c>
      <c r="B48" s="401" t="s">
        <v>214</v>
      </c>
      <c r="C48" s="401"/>
      <c r="D48" s="401"/>
      <c r="E48" s="401"/>
      <c r="F48" s="401"/>
      <c r="G48" s="401"/>
      <c r="H48" s="401"/>
      <c r="I48" s="401"/>
      <c r="J48" s="401"/>
      <c r="K48" s="401"/>
    </row>
    <row r="49" spans="1:11" ht="31.5">
      <c r="A49" s="402" t="s">
        <v>587</v>
      </c>
      <c r="B49" s="384" t="s">
        <v>216</v>
      </c>
      <c r="C49" s="384"/>
      <c r="D49" s="384" t="s">
        <v>217</v>
      </c>
      <c r="E49" s="384"/>
      <c r="F49" s="384" t="s">
        <v>215</v>
      </c>
      <c r="G49" s="384"/>
      <c r="H49" s="384"/>
      <c r="I49" s="384"/>
      <c r="J49" s="384"/>
      <c r="K49" s="384"/>
    </row>
    <row r="50" spans="1:11" ht="47.25">
      <c r="A50" s="402"/>
      <c r="B50" s="384"/>
      <c r="C50" s="384"/>
      <c r="D50" s="384"/>
      <c r="E50" s="384"/>
      <c r="F50" s="384" t="s">
        <v>49</v>
      </c>
      <c r="G50" s="384" t="s">
        <v>592</v>
      </c>
      <c r="H50" s="384" t="s">
        <v>218</v>
      </c>
      <c r="I50" s="384"/>
      <c r="J50" s="384" t="s">
        <v>616</v>
      </c>
      <c r="K50" s="385"/>
    </row>
    <row r="51" spans="1:11" ht="15.75">
      <c r="A51" s="384" t="s">
        <v>170</v>
      </c>
      <c r="B51" s="383">
        <v>0.05</v>
      </c>
      <c r="C51" s="383"/>
      <c r="D51" s="380"/>
      <c r="E51" s="380"/>
      <c r="F51" s="380"/>
      <c r="G51" s="380"/>
      <c r="H51" s="380"/>
      <c r="I51" s="380"/>
      <c r="J51" s="380"/>
      <c r="K51" s="380"/>
    </row>
    <row r="52" spans="1:11" ht="15.75">
      <c r="A52" s="384" t="s">
        <v>172</v>
      </c>
      <c r="B52" s="381" t="s">
        <v>219</v>
      </c>
      <c r="C52" s="381"/>
      <c r="D52" s="380"/>
      <c r="E52" s="380"/>
      <c r="F52" s="380"/>
      <c r="G52" s="380"/>
      <c r="H52" s="380"/>
      <c r="I52" s="380"/>
      <c r="J52" s="380"/>
      <c r="K52" s="380"/>
    </row>
    <row r="53" spans="1:11" ht="15.75">
      <c r="A53" s="384" t="s">
        <v>174</v>
      </c>
      <c r="B53" s="383">
        <v>0.12</v>
      </c>
      <c r="C53" s="383"/>
      <c r="D53" s="380"/>
      <c r="E53" s="380"/>
      <c r="F53" s="380"/>
      <c r="G53" s="380"/>
      <c r="H53" s="380"/>
      <c r="I53" s="380"/>
      <c r="J53" s="380"/>
      <c r="K53" s="380"/>
    </row>
    <row r="54" spans="1:11" ht="31.5">
      <c r="A54" s="384" t="s">
        <v>176</v>
      </c>
      <c r="B54" s="381" t="s">
        <v>220</v>
      </c>
      <c r="C54" s="381"/>
      <c r="D54" s="380"/>
      <c r="E54" s="380"/>
      <c r="F54" s="380"/>
      <c r="G54" s="380"/>
      <c r="H54" s="380"/>
      <c r="I54" s="380"/>
      <c r="J54" s="380"/>
      <c r="K54" s="380"/>
    </row>
    <row r="55" spans="1:11" ht="15.75">
      <c r="A55" s="384" t="s">
        <v>178</v>
      </c>
      <c r="B55" s="383">
        <v>0.18</v>
      </c>
      <c r="C55" s="383"/>
      <c r="D55" s="380"/>
      <c r="E55" s="380"/>
      <c r="F55" s="380"/>
      <c r="G55" s="380"/>
      <c r="H55" s="380"/>
      <c r="I55" s="380"/>
      <c r="J55" s="380"/>
      <c r="K55" s="380"/>
    </row>
    <row r="56" spans="1:11" ht="31.5">
      <c r="A56" s="384" t="s">
        <v>180</v>
      </c>
      <c r="B56" s="381" t="s">
        <v>221</v>
      </c>
      <c r="C56" s="381"/>
      <c r="D56" s="380"/>
      <c r="E56" s="380"/>
      <c r="F56" s="380"/>
      <c r="G56" s="380"/>
      <c r="H56" s="380"/>
      <c r="I56" s="380"/>
      <c r="J56" s="380"/>
      <c r="K56" s="380"/>
    </row>
    <row r="57" spans="1:11" ht="15.75">
      <c r="A57" s="384" t="s">
        <v>181</v>
      </c>
      <c r="B57" s="383">
        <v>0.28000000000000003</v>
      </c>
      <c r="C57" s="383"/>
      <c r="D57" s="380"/>
      <c r="E57" s="380"/>
      <c r="F57" s="380"/>
      <c r="G57" s="380"/>
      <c r="H57" s="380"/>
      <c r="I57" s="380"/>
      <c r="J57" s="380"/>
      <c r="K57" s="380"/>
    </row>
    <row r="58" spans="1:11" ht="31.5">
      <c r="A58" s="384" t="s">
        <v>183</v>
      </c>
      <c r="B58" s="381" t="s">
        <v>222</v>
      </c>
      <c r="C58" s="381"/>
      <c r="D58" s="380"/>
      <c r="E58" s="380"/>
      <c r="F58" s="380"/>
      <c r="G58" s="380"/>
      <c r="H58" s="380"/>
      <c r="I58" s="380"/>
      <c r="J58" s="380"/>
      <c r="K58" s="380"/>
    </row>
    <row r="59" spans="1:11" ht="15.75">
      <c r="A59" s="384" t="s">
        <v>185</v>
      </c>
      <c r="B59" s="383">
        <v>0.03</v>
      </c>
      <c r="C59" s="383"/>
      <c r="D59" s="380"/>
      <c r="E59" s="380"/>
      <c r="F59" s="380"/>
      <c r="G59" s="380"/>
      <c r="H59" s="380"/>
      <c r="I59" s="380"/>
      <c r="J59" s="380"/>
      <c r="K59" s="380"/>
    </row>
    <row r="60" spans="1:11" ht="15.75">
      <c r="A60" s="384" t="s">
        <v>187</v>
      </c>
      <c r="B60" s="382">
        <v>2.5000000000000001E-3</v>
      </c>
      <c r="C60" s="382"/>
      <c r="D60" s="380"/>
      <c r="E60" s="380"/>
      <c r="F60" s="380"/>
      <c r="G60" s="380"/>
      <c r="H60" s="380"/>
      <c r="I60" s="380"/>
      <c r="J60" s="380"/>
      <c r="K60" s="380"/>
    </row>
    <row r="61" spans="1:11" ht="15.75">
      <c r="A61" s="384" t="s">
        <v>189</v>
      </c>
      <c r="B61" s="382">
        <v>1E-3</v>
      </c>
      <c r="C61" s="382"/>
      <c r="D61" s="380"/>
      <c r="E61" s="380"/>
      <c r="F61" s="380"/>
      <c r="G61" s="380"/>
      <c r="H61" s="380"/>
      <c r="I61" s="380"/>
      <c r="J61" s="380"/>
      <c r="K61" s="380"/>
    </row>
    <row r="62" spans="1:11" ht="15.75">
      <c r="A62" s="384" t="s">
        <v>191</v>
      </c>
      <c r="B62" s="381" t="s">
        <v>223</v>
      </c>
      <c r="C62" s="381"/>
      <c r="D62" s="399"/>
      <c r="E62" s="399"/>
      <c r="F62" s="380"/>
      <c r="G62" s="380"/>
      <c r="H62" s="380"/>
      <c r="I62" s="380"/>
      <c r="J62" s="380"/>
      <c r="K62" s="380"/>
    </row>
    <row r="63" spans="1:11" ht="15.75">
      <c r="A63" s="384" t="s">
        <v>193</v>
      </c>
      <c r="B63" s="381" t="s">
        <v>224</v>
      </c>
      <c r="C63" s="381"/>
      <c r="D63" s="399"/>
      <c r="E63" s="399"/>
      <c r="F63" s="380"/>
      <c r="G63" s="380"/>
      <c r="H63" s="380"/>
      <c r="I63" s="380"/>
      <c r="J63" s="380"/>
      <c r="K63" s="380"/>
    </row>
    <row r="64" spans="1:11" ht="15.75">
      <c r="A64" s="384" t="s">
        <v>195</v>
      </c>
      <c r="B64" s="381" t="s">
        <v>225</v>
      </c>
      <c r="C64" s="381"/>
      <c r="D64" s="399"/>
      <c r="E64" s="399"/>
      <c r="F64" s="380"/>
      <c r="G64" s="380"/>
      <c r="H64" s="380"/>
      <c r="I64" s="380"/>
      <c r="J64" s="380"/>
      <c r="K64" s="380"/>
    </row>
    <row r="65" spans="1:11" ht="15.75">
      <c r="A65" s="384" t="s">
        <v>197</v>
      </c>
      <c r="B65" s="381" t="s">
        <v>226</v>
      </c>
      <c r="C65" s="381"/>
      <c r="D65" s="399"/>
      <c r="E65" s="399"/>
      <c r="F65" s="380"/>
      <c r="G65" s="380"/>
      <c r="H65" s="380"/>
      <c r="I65" s="380"/>
      <c r="J65" s="380"/>
      <c r="K65" s="380"/>
    </row>
    <row r="66" spans="1:11" ht="110.25">
      <c r="A66" s="384" t="s">
        <v>199</v>
      </c>
      <c r="B66" s="379" t="s">
        <v>227</v>
      </c>
      <c r="C66" s="379"/>
      <c r="D66" s="399"/>
      <c r="E66" s="399"/>
      <c r="F66" s="400"/>
      <c r="G66" s="400"/>
      <c r="H66" s="400"/>
      <c r="I66" s="400"/>
      <c r="J66" s="400"/>
      <c r="K66" s="400"/>
    </row>
    <row r="67" spans="1:11" ht="141.75">
      <c r="A67" s="384" t="s">
        <v>200</v>
      </c>
      <c r="B67" s="381" t="s">
        <v>228</v>
      </c>
      <c r="C67" s="379"/>
      <c r="D67" s="399"/>
      <c r="E67" s="399"/>
      <c r="F67" s="380"/>
      <c r="G67" s="380"/>
      <c r="H67" s="380"/>
      <c r="I67" s="380"/>
      <c r="J67" s="380"/>
      <c r="K67" s="380"/>
    </row>
    <row r="68" spans="1:11" ht="94.5">
      <c r="A68" s="384" t="s">
        <v>202</v>
      </c>
      <c r="B68" s="381" t="s">
        <v>229</v>
      </c>
      <c r="C68" s="381"/>
      <c r="D68" s="390"/>
      <c r="E68" s="390"/>
      <c r="F68" s="400"/>
      <c r="G68" s="400"/>
      <c r="H68" s="400"/>
      <c r="I68" s="400"/>
      <c r="J68" s="400"/>
      <c r="K68" s="400"/>
    </row>
    <row r="69" spans="1:11" ht="110.25">
      <c r="A69" s="123">
        <v>10</v>
      </c>
      <c r="B69" s="384" t="s">
        <v>230</v>
      </c>
      <c r="C69" s="397"/>
      <c r="D69" s="397"/>
      <c r="E69" s="397"/>
      <c r="F69" s="397"/>
      <c r="G69" s="397"/>
      <c r="H69" s="397"/>
      <c r="I69" s="397"/>
      <c r="J69" s="397"/>
      <c r="K69" s="397"/>
    </row>
    <row r="70" spans="1:11" ht="47.25">
      <c r="A70" s="384" t="s">
        <v>6</v>
      </c>
      <c r="B70" s="389" t="s">
        <v>317</v>
      </c>
      <c r="C70" s="389"/>
      <c r="D70" s="389"/>
      <c r="E70" s="381"/>
      <c r="F70" s="381"/>
      <c r="G70" s="381"/>
      <c r="H70" s="381"/>
      <c r="I70" s="381"/>
      <c r="J70" s="381"/>
      <c r="K70" s="381"/>
    </row>
    <row r="71" spans="1:11" ht="283.5">
      <c r="A71" s="123">
        <v>11</v>
      </c>
      <c r="B71" s="394" t="s">
        <v>231</v>
      </c>
      <c r="C71" s="394"/>
      <c r="D71" s="394"/>
      <c r="E71" s="394"/>
      <c r="F71" s="394"/>
      <c r="G71" s="394"/>
      <c r="H71" s="394"/>
      <c r="I71" s="394"/>
      <c r="J71" s="394"/>
      <c r="K71" s="394"/>
    </row>
    <row r="72" spans="1:11" ht="299.25">
      <c r="A72" s="385"/>
      <c r="B72" s="387"/>
      <c r="C72" s="387"/>
      <c r="D72" s="387"/>
      <c r="E72" s="387"/>
      <c r="F72" s="388" t="s">
        <v>232</v>
      </c>
      <c r="G72" s="388"/>
      <c r="H72" s="388"/>
      <c r="I72" s="388"/>
      <c r="J72" s="388"/>
      <c r="K72" s="388"/>
    </row>
    <row r="73" spans="1:11" ht="47.25">
      <c r="A73" s="402" t="s">
        <v>587</v>
      </c>
      <c r="B73" s="384" t="s">
        <v>216</v>
      </c>
      <c r="C73" s="384"/>
      <c r="D73" s="384" t="s">
        <v>217</v>
      </c>
      <c r="E73" s="384"/>
      <c r="F73" s="384" t="s">
        <v>49</v>
      </c>
      <c r="G73" s="384" t="s">
        <v>592</v>
      </c>
      <c r="H73" s="384" t="s">
        <v>48</v>
      </c>
      <c r="I73" s="384"/>
      <c r="J73" s="384" t="s">
        <v>617</v>
      </c>
      <c r="K73" s="385"/>
    </row>
    <row r="74" spans="1:11" ht="15.75">
      <c r="A74" s="402" t="s">
        <v>6</v>
      </c>
      <c r="B74" s="383">
        <v>0.05</v>
      </c>
      <c r="C74" s="383"/>
      <c r="D74" s="380"/>
      <c r="E74" s="380"/>
      <c r="F74" s="380"/>
      <c r="G74" s="380"/>
      <c r="H74" s="380"/>
      <c r="I74" s="380"/>
      <c r="J74" s="380"/>
      <c r="K74" s="380"/>
    </row>
    <row r="75" spans="1:11" ht="15.75">
      <c r="A75" s="402" t="s">
        <v>7</v>
      </c>
      <c r="B75" s="383">
        <v>0.12</v>
      </c>
      <c r="C75" s="383"/>
      <c r="D75" s="380"/>
      <c r="E75" s="380"/>
      <c r="F75" s="380"/>
      <c r="G75" s="380"/>
      <c r="H75" s="380"/>
      <c r="I75" s="380"/>
      <c r="J75" s="380"/>
      <c r="K75" s="380"/>
    </row>
    <row r="76" spans="1:11" ht="15.75">
      <c r="A76" s="402" t="s">
        <v>8</v>
      </c>
      <c r="B76" s="383">
        <v>0.18</v>
      </c>
      <c r="C76" s="383"/>
      <c r="D76" s="380"/>
      <c r="E76" s="380"/>
      <c r="F76" s="380"/>
      <c r="G76" s="380"/>
      <c r="H76" s="380"/>
      <c r="I76" s="380"/>
      <c r="J76" s="380"/>
      <c r="K76" s="380"/>
    </row>
    <row r="77" spans="1:11" ht="15.75">
      <c r="A77" s="402" t="s">
        <v>9</v>
      </c>
      <c r="B77" s="383">
        <v>0.28000000000000003</v>
      </c>
      <c r="C77" s="383"/>
      <c r="D77" s="380"/>
      <c r="E77" s="380"/>
      <c r="F77" s="380"/>
      <c r="G77" s="380"/>
      <c r="H77" s="380"/>
      <c r="I77" s="380"/>
      <c r="J77" s="380"/>
      <c r="K77" s="380"/>
    </row>
    <row r="78" spans="1:11" ht="15.75">
      <c r="A78" s="402" t="s">
        <v>10</v>
      </c>
      <c r="B78" s="383">
        <v>0.03</v>
      </c>
      <c r="C78" s="383"/>
      <c r="D78" s="380"/>
      <c r="E78" s="380"/>
      <c r="F78" s="380"/>
      <c r="G78" s="380"/>
      <c r="H78" s="380"/>
      <c r="I78" s="380"/>
      <c r="J78" s="380"/>
      <c r="K78" s="380"/>
    </row>
    <row r="79" spans="1:11" ht="15.75">
      <c r="A79" s="402" t="s">
        <v>11</v>
      </c>
      <c r="B79" s="382">
        <v>2.5000000000000001E-3</v>
      </c>
      <c r="C79" s="382"/>
      <c r="D79" s="380"/>
      <c r="E79" s="380"/>
      <c r="F79" s="380"/>
      <c r="G79" s="380"/>
      <c r="H79" s="380"/>
      <c r="I79" s="380"/>
      <c r="J79" s="380"/>
      <c r="K79" s="380"/>
    </row>
    <row r="80" spans="1:11" ht="15.75">
      <c r="A80" s="402" t="s">
        <v>12</v>
      </c>
      <c r="B80" s="382">
        <v>1E-3</v>
      </c>
      <c r="C80" s="382"/>
      <c r="D80" s="380"/>
      <c r="E80" s="380"/>
      <c r="F80" s="380"/>
      <c r="G80" s="380"/>
      <c r="H80" s="380"/>
      <c r="I80" s="380"/>
      <c r="J80" s="380"/>
      <c r="K80" s="380"/>
    </row>
    <row r="81" spans="1:11" ht="15.75">
      <c r="A81" s="402" t="s">
        <v>14</v>
      </c>
      <c r="B81" s="381" t="s">
        <v>223</v>
      </c>
      <c r="C81" s="381"/>
      <c r="D81" s="399"/>
      <c r="E81" s="399"/>
      <c r="F81" s="380"/>
      <c r="G81" s="380"/>
      <c r="H81" s="380"/>
      <c r="I81" s="380"/>
      <c r="J81" s="380"/>
      <c r="K81" s="380"/>
    </row>
    <row r="82" spans="1:11" ht="15.75">
      <c r="A82" s="402" t="s">
        <v>16</v>
      </c>
      <c r="B82" s="381" t="s">
        <v>224</v>
      </c>
      <c r="C82" s="381"/>
      <c r="D82" s="399"/>
      <c r="E82" s="399"/>
      <c r="F82" s="380"/>
      <c r="G82" s="380"/>
      <c r="H82" s="380"/>
      <c r="I82" s="380"/>
      <c r="J82" s="380"/>
      <c r="K82" s="380"/>
    </row>
    <row r="83" spans="1:11" ht="15.75">
      <c r="A83" s="402" t="s">
        <v>17</v>
      </c>
      <c r="B83" s="381" t="s">
        <v>225</v>
      </c>
      <c r="C83" s="381"/>
      <c r="D83" s="399"/>
      <c r="E83" s="399"/>
      <c r="F83" s="380"/>
      <c r="G83" s="380"/>
      <c r="H83" s="380"/>
      <c r="I83" s="380"/>
      <c r="J83" s="380"/>
      <c r="K83" s="380"/>
    </row>
    <row r="84" spans="1:11" ht="47.25">
      <c r="A84" s="402" t="s">
        <v>18</v>
      </c>
      <c r="B84" s="379" t="s">
        <v>233</v>
      </c>
      <c r="C84" s="379"/>
      <c r="D84" s="399"/>
      <c r="E84" s="399"/>
      <c r="F84" s="380"/>
      <c r="G84" s="380"/>
      <c r="H84" s="380"/>
      <c r="I84" s="380"/>
      <c r="J84" s="380"/>
      <c r="K84" s="380"/>
    </row>
    <row r="85" spans="1:11" ht="110.25">
      <c r="A85" s="384" t="s">
        <v>570</v>
      </c>
      <c r="B85" s="397" t="s">
        <v>325</v>
      </c>
      <c r="C85" s="397"/>
      <c r="D85" s="397"/>
      <c r="E85" s="397"/>
      <c r="F85" s="397"/>
      <c r="G85" s="397"/>
      <c r="H85" s="397"/>
      <c r="I85" s="397"/>
      <c r="J85" s="397"/>
      <c r="K85" s="397"/>
    </row>
    <row r="86" spans="1:11" ht="15.75">
      <c r="A86" s="384"/>
      <c r="B86" s="397"/>
      <c r="C86" s="397"/>
      <c r="D86" s="397"/>
      <c r="E86" s="397"/>
      <c r="F86" s="397"/>
      <c r="G86" s="397"/>
      <c r="H86" s="397"/>
      <c r="I86" s="397"/>
      <c r="J86" s="397"/>
      <c r="K86" s="397"/>
    </row>
    <row r="87" spans="1:11" ht="110.25">
      <c r="A87" s="123">
        <v>12</v>
      </c>
      <c r="B87" s="397" t="s">
        <v>234</v>
      </c>
      <c r="C87" s="397"/>
      <c r="D87" s="397"/>
      <c r="E87" s="397"/>
      <c r="F87" s="397"/>
      <c r="G87" s="397"/>
      <c r="H87" s="397"/>
      <c r="I87" s="397"/>
      <c r="J87" s="397"/>
      <c r="K87" s="397"/>
    </row>
    <row r="88" spans="1:11" ht="31.5">
      <c r="A88" s="123" t="s">
        <v>587</v>
      </c>
      <c r="B88" s="384" t="s">
        <v>24</v>
      </c>
      <c r="C88" s="397"/>
      <c r="D88" s="397"/>
      <c r="E88" s="397"/>
      <c r="F88" s="397"/>
      <c r="G88" s="397"/>
      <c r="H88" s="397"/>
      <c r="I88" s="384" t="s">
        <v>615</v>
      </c>
      <c r="J88" s="397"/>
      <c r="K88" s="397"/>
    </row>
    <row r="89" spans="1:11" ht="362.25">
      <c r="A89" s="410" t="s">
        <v>170</v>
      </c>
      <c r="B89" s="379" t="s">
        <v>235</v>
      </c>
      <c r="C89" s="379"/>
      <c r="D89" s="379"/>
      <c r="E89" s="379"/>
      <c r="F89" s="379"/>
      <c r="G89" s="379"/>
      <c r="H89" s="379"/>
      <c r="I89" s="380"/>
      <c r="J89" s="380"/>
      <c r="K89" s="380"/>
    </row>
    <row r="90" spans="1:11" ht="141.75">
      <c r="A90" s="410" t="s">
        <v>172</v>
      </c>
      <c r="B90" s="379" t="s">
        <v>236</v>
      </c>
      <c r="C90" s="379"/>
      <c r="D90" s="379"/>
      <c r="E90" s="379"/>
      <c r="F90" s="379"/>
      <c r="G90" s="379"/>
      <c r="H90" s="379"/>
      <c r="I90" s="380"/>
      <c r="J90" s="380"/>
      <c r="K90" s="380"/>
    </row>
    <row r="91" spans="1:11" ht="189">
      <c r="A91" s="410" t="s">
        <v>174</v>
      </c>
      <c r="B91" s="398" t="s">
        <v>237</v>
      </c>
      <c r="C91" s="398"/>
      <c r="D91" s="398"/>
      <c r="E91" s="398"/>
      <c r="F91" s="398"/>
      <c r="G91" s="398"/>
      <c r="H91" s="398"/>
      <c r="I91" s="380"/>
      <c r="J91" s="380"/>
      <c r="K91" s="380"/>
    </row>
    <row r="92" spans="1:11" ht="141.75">
      <c r="A92" s="410" t="s">
        <v>176</v>
      </c>
      <c r="B92" s="379" t="s">
        <v>238</v>
      </c>
      <c r="C92" s="379"/>
      <c r="D92" s="379"/>
      <c r="E92" s="379"/>
      <c r="F92" s="379"/>
      <c r="G92" s="379"/>
      <c r="H92" s="379"/>
      <c r="I92" s="391"/>
      <c r="J92" s="391"/>
      <c r="K92" s="391"/>
    </row>
    <row r="93" spans="1:11" ht="78.75">
      <c r="A93" s="384" t="s">
        <v>178</v>
      </c>
      <c r="B93" s="381" t="s">
        <v>239</v>
      </c>
      <c r="C93" s="381"/>
      <c r="D93" s="381"/>
      <c r="E93" s="381"/>
      <c r="F93" s="381"/>
      <c r="G93" s="381"/>
      <c r="H93" s="381"/>
      <c r="I93" s="380"/>
      <c r="J93" s="380"/>
      <c r="K93" s="380"/>
    </row>
    <row r="94" spans="1:11" ht="47.25">
      <c r="A94" s="384" t="s">
        <v>180</v>
      </c>
      <c r="B94" s="381" t="s">
        <v>240</v>
      </c>
      <c r="C94" s="381"/>
      <c r="D94" s="381"/>
      <c r="E94" s="381"/>
      <c r="F94" s="381"/>
      <c r="G94" s="381"/>
      <c r="H94" s="381"/>
      <c r="I94" s="391"/>
      <c r="J94" s="391"/>
      <c r="K94" s="391"/>
    </row>
    <row r="95" spans="1:11" ht="110.25">
      <c r="A95" s="123">
        <v>13</v>
      </c>
      <c r="B95" s="397" t="s">
        <v>241</v>
      </c>
      <c r="C95" s="397"/>
      <c r="D95" s="397"/>
      <c r="E95" s="397"/>
      <c r="F95" s="397"/>
      <c r="G95" s="397"/>
      <c r="H95" s="397"/>
      <c r="I95" s="397"/>
      <c r="J95" s="397"/>
      <c r="K95" s="397"/>
    </row>
    <row r="96" spans="1:11" ht="47.25">
      <c r="A96" s="384" t="s">
        <v>6</v>
      </c>
      <c r="B96" s="381" t="s">
        <v>317</v>
      </c>
      <c r="C96" s="381"/>
      <c r="D96" s="381"/>
      <c r="E96" s="381"/>
      <c r="F96" s="381"/>
      <c r="G96" s="381"/>
      <c r="H96" s="381"/>
      <c r="I96" s="381"/>
      <c r="J96" s="381"/>
      <c r="K96" s="381"/>
    </row>
    <row r="97" spans="1:11" ht="409.5">
      <c r="A97" s="123">
        <v>14</v>
      </c>
      <c r="B97" s="394" t="s">
        <v>242</v>
      </c>
      <c r="C97" s="394"/>
      <c r="D97" s="394"/>
      <c r="E97" s="394"/>
      <c r="F97" s="394"/>
      <c r="G97" s="394"/>
      <c r="H97" s="394"/>
      <c r="I97" s="394"/>
      <c r="J97" s="394"/>
      <c r="K97" s="394"/>
    </row>
    <row r="98" spans="1:11" ht="78.75">
      <c r="A98" s="131" t="s">
        <v>587</v>
      </c>
      <c r="B98" s="384" t="s">
        <v>216</v>
      </c>
      <c r="C98" s="384"/>
      <c r="D98" s="384"/>
      <c r="E98" s="384" t="s">
        <v>243</v>
      </c>
      <c r="F98" s="384"/>
      <c r="G98" s="395" t="s">
        <v>244</v>
      </c>
      <c r="H98" s="395"/>
      <c r="I98" s="396" t="s">
        <v>245</v>
      </c>
      <c r="J98" s="396"/>
      <c r="K98" s="396"/>
    </row>
    <row r="99" spans="1:11" ht="31.5">
      <c r="A99" s="384" t="s">
        <v>6</v>
      </c>
      <c r="B99" s="389" t="s">
        <v>259</v>
      </c>
      <c r="C99" s="389"/>
      <c r="D99" s="389"/>
      <c r="E99" s="380"/>
      <c r="F99" s="380"/>
      <c r="G99" s="380"/>
      <c r="H99" s="380"/>
      <c r="I99" s="380"/>
      <c r="J99" s="380"/>
      <c r="K99" s="380"/>
    </row>
    <row r="100" spans="1:11" ht="31.5">
      <c r="A100" s="384" t="s">
        <v>7</v>
      </c>
      <c r="B100" s="389" t="s">
        <v>56</v>
      </c>
      <c r="C100" s="389"/>
      <c r="D100" s="389"/>
      <c r="E100" s="380"/>
      <c r="F100" s="380"/>
      <c r="G100" s="380"/>
      <c r="H100" s="380"/>
      <c r="I100" s="380"/>
      <c r="J100" s="380"/>
      <c r="K100" s="380"/>
    </row>
    <row r="101" spans="1:11" ht="47.25">
      <c r="A101" s="384" t="s">
        <v>8</v>
      </c>
      <c r="B101" s="389" t="s">
        <v>156</v>
      </c>
      <c r="C101" s="389"/>
      <c r="D101" s="389"/>
      <c r="E101" s="380"/>
      <c r="F101" s="380"/>
      <c r="G101" s="380"/>
      <c r="H101" s="380"/>
      <c r="I101" s="380"/>
      <c r="J101" s="380"/>
      <c r="K101" s="380"/>
    </row>
    <row r="102" spans="1:11" ht="110.25">
      <c r="A102" s="384" t="s">
        <v>9</v>
      </c>
      <c r="B102" s="393" t="s">
        <v>157</v>
      </c>
      <c r="C102" s="393"/>
      <c r="D102" s="393"/>
      <c r="E102" s="380"/>
      <c r="F102" s="380"/>
      <c r="G102" s="380"/>
      <c r="H102" s="380"/>
      <c r="I102" s="380"/>
      <c r="J102" s="380"/>
      <c r="K102" s="380"/>
    </row>
    <row r="103" spans="1:11" ht="63">
      <c r="A103" s="384" t="s">
        <v>10</v>
      </c>
      <c r="B103" s="389" t="s">
        <v>35</v>
      </c>
      <c r="C103" s="389"/>
      <c r="D103" s="389"/>
      <c r="E103" s="380"/>
      <c r="F103" s="380"/>
      <c r="G103" s="380"/>
      <c r="H103" s="380"/>
      <c r="I103" s="380"/>
      <c r="J103" s="380"/>
      <c r="K103" s="380"/>
    </row>
    <row r="104" spans="1:11" ht="189">
      <c r="A104" s="410" t="s">
        <v>11</v>
      </c>
      <c r="B104" s="393" t="s">
        <v>36</v>
      </c>
      <c r="C104" s="393"/>
      <c r="D104" s="393"/>
      <c r="E104" s="380"/>
      <c r="F104" s="380"/>
      <c r="G104" s="380"/>
      <c r="H104" s="380"/>
      <c r="I104" s="380"/>
      <c r="J104" s="380"/>
      <c r="K104" s="380"/>
    </row>
    <row r="105" spans="1:11" ht="15.75">
      <c r="A105" s="384" t="s">
        <v>12</v>
      </c>
      <c r="B105" s="389" t="s">
        <v>37</v>
      </c>
      <c r="C105" s="389"/>
      <c r="D105" s="389"/>
      <c r="E105" s="380"/>
      <c r="F105" s="380"/>
      <c r="G105" s="380"/>
      <c r="H105" s="380"/>
      <c r="I105" s="380"/>
      <c r="J105" s="380"/>
      <c r="K105" s="380"/>
    </row>
    <row r="106" spans="1:11" ht="94.5">
      <c r="A106" s="384" t="s">
        <v>14</v>
      </c>
      <c r="B106" s="393" t="s">
        <v>327</v>
      </c>
      <c r="C106" s="393"/>
      <c r="D106" s="393"/>
      <c r="E106" s="380"/>
      <c r="F106" s="380"/>
      <c r="G106" s="380"/>
      <c r="H106" s="380"/>
      <c r="I106" s="380"/>
      <c r="J106" s="380"/>
      <c r="K106" s="380"/>
    </row>
    <row r="107" spans="1:11" ht="47.25">
      <c r="A107" s="384" t="s">
        <v>16</v>
      </c>
      <c r="B107" s="389" t="s">
        <v>38</v>
      </c>
      <c r="C107" s="389"/>
      <c r="D107" s="389"/>
      <c r="E107" s="380"/>
      <c r="F107" s="380"/>
      <c r="G107" s="380"/>
      <c r="H107" s="380"/>
      <c r="I107" s="380"/>
      <c r="J107" s="380"/>
      <c r="K107" s="380"/>
    </row>
    <row r="108" spans="1:11" ht="31.5">
      <c r="A108" s="384" t="s">
        <v>17</v>
      </c>
      <c r="B108" s="389" t="s">
        <v>39</v>
      </c>
      <c r="C108" s="389"/>
      <c r="D108" s="389"/>
      <c r="E108" s="380"/>
      <c r="F108" s="380"/>
      <c r="G108" s="380"/>
      <c r="H108" s="380"/>
      <c r="I108" s="380"/>
      <c r="J108" s="380"/>
      <c r="K108" s="380"/>
    </row>
    <row r="109" spans="1:11" ht="47.25">
      <c r="A109" s="384" t="s">
        <v>18</v>
      </c>
      <c r="B109" s="389" t="s">
        <v>40</v>
      </c>
      <c r="C109" s="389"/>
      <c r="D109" s="389"/>
      <c r="E109" s="380"/>
      <c r="F109" s="380"/>
      <c r="G109" s="380"/>
      <c r="H109" s="380"/>
      <c r="I109" s="380"/>
      <c r="J109" s="380"/>
      <c r="K109" s="380"/>
    </row>
    <row r="110" spans="1:11" ht="94.5">
      <c r="A110" s="384" t="s">
        <v>20</v>
      </c>
      <c r="B110" s="393" t="s">
        <v>41</v>
      </c>
      <c r="C110" s="393"/>
      <c r="D110" s="393"/>
      <c r="E110" s="380"/>
      <c r="F110" s="380"/>
      <c r="G110" s="380"/>
      <c r="H110" s="380"/>
      <c r="I110" s="380"/>
      <c r="J110" s="380"/>
      <c r="K110" s="380"/>
    </row>
    <row r="111" spans="1:11" ht="63">
      <c r="A111" s="384" t="s">
        <v>21</v>
      </c>
      <c r="B111" s="393" t="s">
        <v>42</v>
      </c>
      <c r="C111" s="393"/>
      <c r="D111" s="393"/>
      <c r="E111" s="380"/>
      <c r="F111" s="380"/>
      <c r="G111" s="380"/>
      <c r="H111" s="380"/>
      <c r="I111" s="380"/>
      <c r="J111" s="380"/>
      <c r="K111" s="380"/>
    </row>
    <row r="112" spans="1:11" ht="63">
      <c r="A112" s="384" t="s">
        <v>22</v>
      </c>
      <c r="B112" s="393" t="s">
        <v>260</v>
      </c>
      <c r="C112" s="393"/>
      <c r="D112" s="393"/>
      <c r="E112" s="380"/>
      <c r="F112" s="380"/>
      <c r="G112" s="380"/>
      <c r="H112" s="380"/>
      <c r="I112" s="380"/>
      <c r="J112" s="380"/>
      <c r="K112" s="380"/>
    </row>
    <row r="113" spans="1:11" ht="31.5">
      <c r="A113" s="384" t="s">
        <v>29</v>
      </c>
      <c r="B113" s="389" t="s">
        <v>43</v>
      </c>
      <c r="C113" s="389"/>
      <c r="D113" s="389"/>
      <c r="E113" s="380"/>
      <c r="F113" s="380"/>
      <c r="G113" s="380"/>
      <c r="H113" s="380"/>
      <c r="I113" s="380"/>
      <c r="J113" s="380"/>
      <c r="K113" s="380"/>
    </row>
    <row r="114" spans="1:11" ht="63">
      <c r="A114" s="384" t="s">
        <v>31</v>
      </c>
      <c r="B114" s="389" t="s">
        <v>44</v>
      </c>
      <c r="C114" s="389"/>
      <c r="D114" s="389"/>
      <c r="E114" s="380"/>
      <c r="F114" s="380"/>
      <c r="G114" s="380"/>
      <c r="H114" s="380"/>
      <c r="I114" s="380"/>
      <c r="J114" s="380"/>
      <c r="K114" s="380"/>
    </row>
    <row r="115" spans="1:11" ht="63">
      <c r="A115" s="384" t="s">
        <v>32</v>
      </c>
      <c r="B115" s="389" t="s">
        <v>45</v>
      </c>
      <c r="C115" s="389"/>
      <c r="D115" s="389"/>
      <c r="E115" s="380"/>
      <c r="F115" s="380"/>
      <c r="G115" s="380"/>
      <c r="H115" s="380"/>
      <c r="I115" s="380"/>
      <c r="J115" s="380"/>
      <c r="K115" s="380"/>
    </row>
    <row r="116" spans="1:11" ht="78.75">
      <c r="A116" s="384" t="s">
        <v>202</v>
      </c>
      <c r="B116" s="389" t="s">
        <v>618</v>
      </c>
      <c r="C116" s="389"/>
      <c r="D116" s="389"/>
      <c r="E116" s="390"/>
      <c r="F116" s="390"/>
      <c r="G116" s="390"/>
      <c r="H116" s="390"/>
      <c r="I116" s="391"/>
      <c r="J116" s="391"/>
      <c r="K116" s="391"/>
    </row>
    <row r="117" spans="1:11" ht="78.75">
      <c r="A117" s="384" t="s">
        <v>246</v>
      </c>
      <c r="B117" s="389" t="s">
        <v>619</v>
      </c>
      <c r="C117" s="389"/>
      <c r="D117" s="389"/>
      <c r="E117" s="390"/>
      <c r="F117" s="390"/>
      <c r="G117" s="390"/>
      <c r="H117" s="390"/>
      <c r="I117" s="380"/>
      <c r="J117" s="380"/>
      <c r="K117" s="380"/>
    </row>
    <row r="118" spans="1:11" ht="47.25">
      <c r="A118" s="384" t="s">
        <v>247</v>
      </c>
      <c r="B118" s="389" t="s">
        <v>620</v>
      </c>
      <c r="C118" s="389"/>
      <c r="D118" s="389"/>
      <c r="E118" s="390"/>
      <c r="F118" s="390"/>
      <c r="G118" s="390"/>
      <c r="H118" s="390"/>
      <c r="I118" s="391"/>
      <c r="J118" s="391"/>
      <c r="K118" s="391"/>
    </row>
    <row r="119" spans="1:11" ht="409.5">
      <c r="A119" s="123">
        <v>15</v>
      </c>
      <c r="B119" s="392" t="s">
        <v>248</v>
      </c>
      <c r="C119" s="392"/>
      <c r="D119" s="392"/>
      <c r="E119" s="392"/>
      <c r="F119" s="392"/>
      <c r="G119" s="392"/>
      <c r="H119" s="392"/>
      <c r="I119" s="392"/>
      <c r="J119" s="392"/>
      <c r="K119" s="392"/>
    </row>
    <row r="120" spans="1:11" ht="47.25">
      <c r="A120" s="384" t="s">
        <v>6</v>
      </c>
      <c r="B120" s="381" t="s">
        <v>291</v>
      </c>
      <c r="C120" s="381"/>
      <c r="D120" s="381"/>
      <c r="E120" s="381"/>
      <c r="F120" s="381"/>
      <c r="G120" s="381"/>
      <c r="H120" s="381"/>
      <c r="I120" s="381"/>
      <c r="J120" s="381"/>
      <c r="K120" s="381"/>
    </row>
    <row r="121" spans="1:11" ht="220.5">
      <c r="A121" s="122">
        <v>16</v>
      </c>
      <c r="B121" s="385" t="s">
        <v>249</v>
      </c>
      <c r="C121" s="385"/>
      <c r="D121" s="385"/>
      <c r="E121" s="385"/>
      <c r="F121" s="385"/>
      <c r="G121" s="385"/>
      <c r="H121" s="385"/>
      <c r="I121" s="385"/>
      <c r="J121" s="385"/>
      <c r="K121" s="385"/>
    </row>
    <row r="122" spans="1:11" ht="31.5">
      <c r="A122" s="402" t="s">
        <v>587</v>
      </c>
      <c r="B122" s="384" t="s">
        <v>216</v>
      </c>
      <c r="C122" s="384"/>
      <c r="D122" s="384" t="s">
        <v>250</v>
      </c>
      <c r="E122" s="384"/>
      <c r="F122" s="384"/>
      <c r="G122" s="384"/>
      <c r="H122" s="384"/>
      <c r="I122" s="384"/>
      <c r="J122" s="384"/>
      <c r="K122" s="384"/>
    </row>
    <row r="123" spans="1:11" ht="31.5">
      <c r="A123" s="402" t="s">
        <v>6</v>
      </c>
      <c r="B123" s="381" t="s">
        <v>251</v>
      </c>
      <c r="C123" s="381"/>
      <c r="D123" s="380"/>
      <c r="E123" s="380"/>
      <c r="F123" s="380"/>
      <c r="G123" s="380"/>
      <c r="H123" s="380"/>
      <c r="I123" s="380"/>
      <c r="J123" s="380"/>
      <c r="K123" s="380"/>
    </row>
    <row r="124" spans="1:11" ht="31.5">
      <c r="A124" s="402" t="s">
        <v>7</v>
      </c>
      <c r="B124" s="379" t="s">
        <v>252</v>
      </c>
      <c r="C124" s="379"/>
      <c r="D124" s="380"/>
      <c r="E124" s="380"/>
      <c r="F124" s="380"/>
      <c r="G124" s="380"/>
      <c r="H124" s="380"/>
      <c r="I124" s="380"/>
      <c r="J124" s="380"/>
      <c r="K124" s="380"/>
    </row>
    <row r="125" spans="1:11" ht="47.25">
      <c r="A125" s="402" t="s">
        <v>8</v>
      </c>
      <c r="B125" s="379" t="s">
        <v>253</v>
      </c>
      <c r="C125" s="379"/>
      <c r="D125" s="380"/>
      <c r="E125" s="380"/>
      <c r="F125" s="380"/>
      <c r="G125" s="380"/>
      <c r="H125" s="380"/>
      <c r="I125" s="380"/>
      <c r="J125" s="380"/>
      <c r="K125" s="380"/>
    </row>
    <row r="126" spans="1:11" ht="15.75">
      <c r="A126" s="402" t="s">
        <v>9</v>
      </c>
      <c r="B126" s="381" t="s">
        <v>254</v>
      </c>
      <c r="C126" s="381"/>
      <c r="D126" s="380"/>
      <c r="E126" s="380"/>
      <c r="F126" s="380"/>
      <c r="G126" s="380"/>
      <c r="H126" s="380"/>
      <c r="I126" s="380"/>
      <c r="J126" s="380"/>
      <c r="K126" s="380"/>
    </row>
    <row r="127" spans="1:11" ht="15.75">
      <c r="A127" s="402" t="s">
        <v>10</v>
      </c>
      <c r="B127" s="381" t="s">
        <v>223</v>
      </c>
      <c r="C127" s="381"/>
      <c r="D127" s="380"/>
      <c r="E127" s="380"/>
      <c r="F127" s="380"/>
      <c r="G127" s="380"/>
      <c r="H127" s="380"/>
      <c r="I127" s="380"/>
      <c r="J127" s="380"/>
      <c r="K127" s="380"/>
    </row>
    <row r="128" spans="1:11" ht="15.75">
      <c r="A128" s="402" t="s">
        <v>11</v>
      </c>
      <c r="B128" s="381" t="s">
        <v>225</v>
      </c>
      <c r="C128" s="381"/>
      <c r="D128" s="380"/>
      <c r="E128" s="380"/>
      <c r="F128" s="380"/>
      <c r="G128" s="380"/>
      <c r="H128" s="380"/>
      <c r="I128" s="380"/>
      <c r="J128" s="380"/>
      <c r="K128" s="380"/>
    </row>
    <row r="129" spans="1:11" ht="252">
      <c r="A129" s="384" t="s">
        <v>571</v>
      </c>
      <c r="B129" s="386" t="s">
        <v>318</v>
      </c>
      <c r="C129" s="386"/>
      <c r="D129" s="386"/>
      <c r="E129" s="386"/>
      <c r="F129" s="386"/>
      <c r="G129" s="386"/>
      <c r="H129" s="386"/>
      <c r="I129" s="386"/>
      <c r="J129" s="386"/>
      <c r="K129" s="386"/>
    </row>
    <row r="130" spans="1:11" ht="299.25">
      <c r="A130" s="385"/>
      <c r="B130" s="387"/>
      <c r="C130" s="387"/>
      <c r="D130" s="387"/>
      <c r="E130" s="387"/>
      <c r="F130" s="388" t="s">
        <v>232</v>
      </c>
      <c r="G130" s="388"/>
      <c r="H130" s="388"/>
      <c r="I130" s="388"/>
      <c r="J130" s="388"/>
      <c r="K130" s="388"/>
    </row>
    <row r="131" spans="1:11" ht="47.25">
      <c r="A131" s="402" t="s">
        <v>587</v>
      </c>
      <c r="B131" s="384" t="s">
        <v>216</v>
      </c>
      <c r="C131" s="384"/>
      <c r="D131" s="384" t="s">
        <v>243</v>
      </c>
      <c r="E131" s="384"/>
      <c r="F131" s="384" t="s">
        <v>49</v>
      </c>
      <c r="G131" s="384" t="s">
        <v>592</v>
      </c>
      <c r="H131" s="384" t="s">
        <v>48</v>
      </c>
      <c r="I131" s="384"/>
      <c r="J131" s="384" t="s">
        <v>324</v>
      </c>
      <c r="K131" s="385"/>
    </row>
    <row r="132" spans="1:11" ht="15.75">
      <c r="A132" s="402" t="s">
        <v>6</v>
      </c>
      <c r="B132" s="383">
        <v>0.05</v>
      </c>
      <c r="C132" s="383"/>
      <c r="D132" s="380"/>
      <c r="E132" s="380"/>
      <c r="F132" s="380"/>
      <c r="G132" s="380"/>
      <c r="H132" s="380"/>
      <c r="I132" s="380"/>
      <c r="J132" s="380"/>
      <c r="K132" s="380"/>
    </row>
    <row r="133" spans="1:11" ht="15.75">
      <c r="A133" s="402" t="s">
        <v>7</v>
      </c>
      <c r="B133" s="383">
        <v>0.12</v>
      </c>
      <c r="C133" s="383"/>
      <c r="D133" s="380"/>
      <c r="E133" s="380"/>
      <c r="F133" s="380"/>
      <c r="G133" s="380"/>
      <c r="H133" s="380"/>
      <c r="I133" s="380"/>
      <c r="J133" s="380"/>
      <c r="K133" s="380"/>
    </row>
    <row r="134" spans="1:11" ht="15.75">
      <c r="A134" s="402" t="s">
        <v>8</v>
      </c>
      <c r="B134" s="383">
        <v>0.18</v>
      </c>
      <c r="C134" s="383"/>
      <c r="D134" s="380"/>
      <c r="E134" s="380"/>
      <c r="F134" s="380"/>
      <c r="G134" s="380"/>
      <c r="H134" s="380"/>
      <c r="I134" s="380"/>
      <c r="J134" s="380"/>
      <c r="K134" s="380"/>
    </row>
    <row r="135" spans="1:11" ht="15.75">
      <c r="A135" s="402" t="s">
        <v>9</v>
      </c>
      <c r="B135" s="383">
        <v>0.28000000000000003</v>
      </c>
      <c r="C135" s="383"/>
      <c r="D135" s="380"/>
      <c r="E135" s="380"/>
      <c r="F135" s="380"/>
      <c r="G135" s="380"/>
      <c r="H135" s="380"/>
      <c r="I135" s="380"/>
      <c r="J135" s="380"/>
      <c r="K135" s="380"/>
    </row>
    <row r="136" spans="1:11" ht="15.75">
      <c r="A136" s="402" t="s">
        <v>10</v>
      </c>
      <c r="B136" s="383">
        <v>0.03</v>
      </c>
      <c r="C136" s="383"/>
      <c r="D136" s="380"/>
      <c r="E136" s="380"/>
      <c r="F136" s="380"/>
      <c r="G136" s="380"/>
      <c r="H136" s="380"/>
      <c r="I136" s="380"/>
      <c r="J136" s="380"/>
      <c r="K136" s="380"/>
    </row>
    <row r="137" spans="1:11" ht="15.75">
      <c r="A137" s="402" t="s">
        <v>11</v>
      </c>
      <c r="B137" s="382">
        <v>2.5000000000000001E-3</v>
      </c>
      <c r="C137" s="382"/>
      <c r="D137" s="380"/>
      <c r="E137" s="380"/>
      <c r="F137" s="380"/>
      <c r="G137" s="380"/>
      <c r="H137" s="380"/>
      <c r="I137" s="380"/>
      <c r="J137" s="380"/>
      <c r="K137" s="380"/>
    </row>
    <row r="138" spans="1:11" ht="15.75">
      <c r="A138" s="402" t="s">
        <v>12</v>
      </c>
      <c r="B138" s="382">
        <v>1E-3</v>
      </c>
      <c r="C138" s="382"/>
      <c r="D138" s="380"/>
      <c r="E138" s="380"/>
      <c r="F138" s="380"/>
      <c r="G138" s="380"/>
      <c r="H138" s="380"/>
      <c r="I138" s="380"/>
      <c r="J138" s="380"/>
      <c r="K138" s="380"/>
    </row>
    <row r="139" spans="1:11" ht="47.25">
      <c r="A139" s="402" t="s">
        <v>14</v>
      </c>
      <c r="B139" s="379" t="s">
        <v>255</v>
      </c>
      <c r="C139" s="379"/>
      <c r="D139" s="380"/>
      <c r="E139" s="380"/>
      <c r="F139" s="380"/>
      <c r="G139" s="380"/>
      <c r="H139" s="380"/>
      <c r="I139" s="380"/>
      <c r="J139" s="380"/>
      <c r="K139" s="380"/>
    </row>
    <row r="140" spans="1:11" ht="15.75">
      <c r="A140" s="402" t="s">
        <v>16</v>
      </c>
      <c r="B140" s="381" t="s">
        <v>223</v>
      </c>
      <c r="C140" s="381"/>
      <c r="D140" s="380"/>
      <c r="E140" s="380"/>
      <c r="F140" s="380"/>
      <c r="G140" s="380"/>
      <c r="H140" s="380"/>
      <c r="I140" s="380"/>
      <c r="J140" s="380"/>
      <c r="K140" s="380"/>
    </row>
    <row r="141" spans="1:11" ht="15.75">
      <c r="A141" s="402" t="s">
        <v>17</v>
      </c>
      <c r="B141" s="381" t="s">
        <v>224</v>
      </c>
      <c r="C141" s="381"/>
      <c r="D141" s="380"/>
      <c r="E141" s="380"/>
      <c r="F141" s="380"/>
      <c r="G141" s="380"/>
      <c r="H141" s="380"/>
      <c r="I141" s="380"/>
      <c r="J141" s="380"/>
      <c r="K141" s="380"/>
    </row>
    <row r="142" spans="1:11" ht="15.75">
      <c r="A142" s="402" t="s">
        <v>18</v>
      </c>
      <c r="B142" s="381" t="s">
        <v>225</v>
      </c>
      <c r="C142" s="381"/>
      <c r="D142" s="380"/>
      <c r="E142" s="380"/>
      <c r="F142" s="380"/>
      <c r="G142" s="380"/>
      <c r="H142" s="380"/>
      <c r="I142" s="380"/>
      <c r="J142" s="380"/>
      <c r="K142" s="380"/>
    </row>
    <row r="143" spans="1:11" ht="173.25">
      <c r="A143" s="402" t="s">
        <v>20</v>
      </c>
      <c r="B143" s="381" t="s">
        <v>326</v>
      </c>
      <c r="C143" s="379"/>
      <c r="D143" s="380"/>
      <c r="E143" s="380"/>
      <c r="F143" s="380"/>
      <c r="G143" s="380"/>
      <c r="H143" s="380"/>
      <c r="I143" s="380"/>
      <c r="J143" s="380"/>
      <c r="K143" s="380"/>
    </row>
    <row r="144" spans="1:11" ht="78.75">
      <c r="A144" s="402" t="s">
        <v>21</v>
      </c>
      <c r="B144" s="379" t="s">
        <v>256</v>
      </c>
      <c r="C144" s="379"/>
      <c r="D144" s="380"/>
      <c r="E144" s="380"/>
      <c r="F144" s="380"/>
      <c r="G144" s="380"/>
      <c r="H144" s="380"/>
      <c r="I144" s="380"/>
      <c r="J144" s="380"/>
      <c r="K144" s="380"/>
    </row>
    <row r="145" spans="1:12" ht="94.5">
      <c r="A145" s="402" t="s">
        <v>22</v>
      </c>
      <c r="B145" s="379" t="s">
        <v>257</v>
      </c>
      <c r="C145" s="379"/>
      <c r="D145" s="380"/>
      <c r="E145" s="380"/>
      <c r="F145" s="380"/>
      <c r="G145" s="380"/>
      <c r="H145" s="380"/>
      <c r="I145" s="380"/>
      <c r="J145" s="380"/>
      <c r="K145" s="380"/>
    </row>
    <row r="146" spans="1:12" ht="47.25">
      <c r="A146" s="402" t="s">
        <v>29</v>
      </c>
      <c r="B146" s="379" t="s">
        <v>258</v>
      </c>
      <c r="C146" s="379"/>
      <c r="D146" s="380"/>
      <c r="E146" s="380"/>
      <c r="F146" s="380"/>
      <c r="G146" s="380"/>
      <c r="H146" s="380"/>
      <c r="I146" s="380"/>
      <c r="J146" s="380"/>
      <c r="K146" s="380"/>
    </row>
    <row r="147" spans="1:12" ht="15.75">
      <c r="A147" s="62"/>
    </row>
    <row r="148" spans="1:12" ht="409.5">
      <c r="A148" s="378" t="s">
        <v>316</v>
      </c>
      <c r="B148" s="378"/>
      <c r="C148" s="378"/>
      <c r="D148" s="378"/>
      <c r="E148" s="378"/>
      <c r="F148" s="378"/>
      <c r="G148" s="378"/>
      <c r="H148" s="378"/>
      <c r="I148" s="378"/>
      <c r="J148" s="378"/>
      <c r="K148" s="378"/>
      <c r="L148" s="66"/>
    </row>
    <row r="149" spans="1:12" ht="15.75">
      <c r="A149" s="378"/>
      <c r="B149" s="378"/>
      <c r="C149" s="378"/>
      <c r="D149" s="378"/>
      <c r="E149" s="378"/>
      <c r="F149" s="378"/>
      <c r="G149" s="378"/>
      <c r="H149" s="378"/>
      <c r="I149" s="378"/>
      <c r="J149" s="378"/>
      <c r="K149" s="378"/>
      <c r="L149" s="66"/>
    </row>
    <row r="150" spans="1:12" ht="15.75">
      <c r="A150" s="378"/>
      <c r="B150" s="378"/>
      <c r="C150" s="378"/>
      <c r="D150" s="378"/>
      <c r="E150" s="378"/>
      <c r="F150" s="378"/>
      <c r="G150" s="378"/>
      <c r="H150" s="378"/>
      <c r="I150" s="378"/>
      <c r="J150" s="378"/>
      <c r="K150" s="378"/>
      <c r="L150" s="66"/>
    </row>
    <row r="151" spans="1:12" ht="15.75">
      <c r="A151" s="354"/>
      <c r="B151" s="354"/>
      <c r="C151" s="354"/>
      <c r="D151" s="354"/>
      <c r="E151" s="354"/>
      <c r="F151" s="354"/>
      <c r="G151" s="354"/>
      <c r="H151" s="354"/>
      <c r="I151" s="354"/>
      <c r="J151" s="354"/>
      <c r="K151" s="354"/>
    </row>
    <row r="152" spans="1:12" ht="31.5">
      <c r="A152" s="354" t="s">
        <v>593</v>
      </c>
      <c r="B152" s="354"/>
      <c r="C152" s="354"/>
      <c r="D152" s="354"/>
      <c r="E152" s="354"/>
      <c r="F152" s="349" t="str">
        <f>IF('PT V'!E25="","",'PT V'!E25)</f>
        <v>FARIDABAD</v>
      </c>
      <c r="G152" s="349"/>
      <c r="H152" s="349"/>
      <c r="I152" s="354"/>
      <c r="J152" s="354"/>
      <c r="K152" s="354"/>
    </row>
    <row r="153" spans="1:12" ht="47.25">
      <c r="A153" s="354" t="s">
        <v>594</v>
      </c>
      <c r="B153" s="354"/>
      <c r="C153" s="354"/>
      <c r="D153" s="354"/>
      <c r="E153" s="354"/>
      <c r="F153" s="349" t="str">
        <f>IF('PT V'!E26="","",'PT V'!E26)</f>
        <v>GYAN BHARDWAJ</v>
      </c>
      <c r="G153" s="349"/>
      <c r="H153" s="349"/>
      <c r="I153" s="354"/>
      <c r="J153" s="354"/>
      <c r="K153" s="354"/>
    </row>
    <row r="154" spans="1:12" ht="15.75">
      <c r="A154" s="354" t="s">
        <v>595</v>
      </c>
      <c r="B154" s="354"/>
      <c r="C154" s="354"/>
      <c r="D154" s="354"/>
      <c r="E154" s="354"/>
      <c r="F154" s="348" t="str">
        <f>IF('PT V'!E27="","",'PT V'!E27)</f>
        <v>81488</v>
      </c>
      <c r="G154" s="349"/>
      <c r="H154" s="349"/>
      <c r="I154" s="354"/>
      <c r="J154" s="354"/>
      <c r="K154" s="354"/>
    </row>
    <row r="155" spans="1:12" ht="15.75">
      <c r="A155" s="354" t="s">
        <v>596</v>
      </c>
      <c r="B155" s="354"/>
      <c r="C155" s="354"/>
      <c r="D155" s="354"/>
      <c r="E155" s="354"/>
      <c r="F155" s="356" t="str">
        <f>IF('PT V'!E28="","",'PT V'!E28)</f>
        <v>24/08/2019</v>
      </c>
      <c r="G155" s="356"/>
      <c r="H155" s="356"/>
      <c r="I155" s="354"/>
      <c r="J155" s="354"/>
      <c r="K155" s="354"/>
    </row>
    <row r="156" spans="1:12" ht="15.75">
      <c r="A156" s="354" t="s">
        <v>598</v>
      </c>
      <c r="B156" s="354"/>
      <c r="C156" s="350" t="s">
        <v>597</v>
      </c>
      <c r="D156" s="351"/>
      <c r="E156" s="352"/>
      <c r="F156" s="349" t="str">
        <f>'PT V'!E29</f>
        <v>B-545</v>
      </c>
      <c r="G156" s="349"/>
      <c r="H156" s="347" t="s">
        <v>158</v>
      </c>
      <c r="I156" s="347"/>
      <c r="J156" s="349" t="str">
        <f>IF('PT V'!G29="","",'PT V'!G29)</f>
        <v>2ND</v>
      </c>
      <c r="K156" s="349"/>
    </row>
    <row r="157" spans="1:12" ht="78.75">
      <c r="A157" s="354"/>
      <c r="B157" s="354"/>
      <c r="C157" s="353" t="s">
        <v>614</v>
      </c>
      <c r="D157" s="347"/>
      <c r="E157" s="347"/>
      <c r="F157" s="349" t="str">
        <f>IF('PT V'!E30="","",'PT V'!E30)</f>
        <v/>
      </c>
      <c r="G157" s="349"/>
      <c r="H157" s="347" t="s">
        <v>601</v>
      </c>
      <c r="I157" s="347"/>
      <c r="J157" s="349" t="str">
        <f>'PT V'!G30</f>
        <v>NEHRU GROUND</v>
      </c>
      <c r="K157" s="349"/>
    </row>
    <row r="158" spans="1:12" ht="31.5">
      <c r="A158" s="354"/>
      <c r="B158" s="354"/>
      <c r="C158" s="347" t="s">
        <v>611</v>
      </c>
      <c r="D158" s="347"/>
      <c r="E158" s="347"/>
      <c r="F158" s="349" t="str">
        <f>'PT V'!E31</f>
        <v>FARIDABAD</v>
      </c>
      <c r="G158" s="349"/>
      <c r="H158" s="347" t="s">
        <v>600</v>
      </c>
      <c r="I158" s="347"/>
      <c r="J158" s="349" t="str">
        <f>'PT V'!G31</f>
        <v>FARIDABAD</v>
      </c>
      <c r="K158" s="349"/>
    </row>
    <row r="159" spans="1:12" ht="31.5">
      <c r="A159" s="354"/>
      <c r="B159" s="354"/>
      <c r="C159" s="350" t="s">
        <v>599</v>
      </c>
      <c r="D159" s="351"/>
      <c r="E159" s="352"/>
      <c r="F159" s="349" t="str">
        <f>'PT V'!E32</f>
        <v>HARYANA</v>
      </c>
      <c r="G159" s="349"/>
      <c r="H159" s="347" t="s">
        <v>602</v>
      </c>
      <c r="I159" s="347"/>
      <c r="J159" s="349">
        <f>'PT V'!G32</f>
        <v>121001</v>
      </c>
      <c r="K159" s="349"/>
    </row>
    <row r="160" spans="1:12" ht="15.75">
      <c r="A160" s="354"/>
      <c r="B160" s="354"/>
      <c r="C160" s="107"/>
      <c r="D160" s="107"/>
      <c r="E160" s="107"/>
      <c r="F160" s="366"/>
      <c r="G160" s="366"/>
      <c r="H160" s="107"/>
      <c r="I160" s="107"/>
      <c r="J160" s="366"/>
      <c r="K160" s="366"/>
    </row>
    <row r="161" spans="1:11" ht="31.5">
      <c r="A161" s="354" t="s">
        <v>628</v>
      </c>
      <c r="B161" s="417"/>
      <c r="C161" s="107"/>
      <c r="D161" s="107"/>
      <c r="E161" s="107"/>
      <c r="F161" s="376" t="str">
        <f>'PT V'!E34</f>
        <v>ABXPB5439M</v>
      </c>
      <c r="G161" s="376"/>
      <c r="H161" s="107"/>
      <c r="I161" s="107"/>
      <c r="J161" s="366"/>
      <c r="K161" s="366"/>
    </row>
    <row r="162" spans="1:11" ht="15.75">
      <c r="A162" s="354"/>
      <c r="B162" s="354"/>
      <c r="C162" s="354"/>
      <c r="D162" s="354"/>
      <c r="E162" s="354"/>
      <c r="F162" s="354"/>
      <c r="G162" s="354"/>
      <c r="H162" s="354"/>
      <c r="I162" s="354"/>
      <c r="J162" s="354"/>
      <c r="K162" s="354"/>
    </row>
    <row r="163" spans="1:11" ht="409.5">
      <c r="A163" s="354"/>
      <c r="B163" s="354"/>
      <c r="C163" s="377" t="s">
        <v>315</v>
      </c>
      <c r="D163" s="377"/>
      <c r="E163" s="377"/>
      <c r="F163" s="377"/>
      <c r="G163" s="377"/>
      <c r="H163" s="377"/>
      <c r="I163" s="377"/>
      <c r="J163" s="354"/>
      <c r="K163" s="354"/>
    </row>
    <row r="164" spans="1:11" ht="15.75">
      <c r="A164" s="354"/>
      <c r="B164" s="354"/>
      <c r="C164" s="377"/>
      <c r="D164" s="377"/>
      <c r="E164" s="377"/>
      <c r="F164" s="377"/>
      <c r="G164" s="377"/>
      <c r="H164" s="377"/>
      <c r="I164" s="377"/>
      <c r="J164" s="354"/>
      <c r="K164" s="354"/>
    </row>
    <row r="165" spans="1:11" ht="15.75">
      <c r="A165" s="354"/>
      <c r="B165" s="354"/>
      <c r="C165" s="377"/>
      <c r="D165" s="377"/>
      <c r="E165" s="377"/>
      <c r="F165" s="377"/>
      <c r="G165" s="377"/>
      <c r="H165" s="377"/>
      <c r="I165" s="377"/>
      <c r="J165" s="354"/>
      <c r="K165" s="354"/>
    </row>
    <row r="166" spans="1:11" ht="15.75">
      <c r="A166" s="354"/>
      <c r="B166" s="354"/>
      <c r="C166" s="377"/>
      <c r="D166" s="377"/>
      <c r="E166" s="377"/>
      <c r="F166" s="377"/>
      <c r="G166" s="377"/>
      <c r="H166" s="377"/>
      <c r="I166" s="377"/>
      <c r="J166" s="354"/>
      <c r="K166" s="354"/>
    </row>
    <row r="167" spans="1:11" ht="15.75">
      <c r="A167" s="354"/>
      <c r="B167" s="354"/>
      <c r="C167" s="377"/>
      <c r="D167" s="377"/>
      <c r="E167" s="377"/>
      <c r="F167" s="377"/>
      <c r="G167" s="377"/>
      <c r="H167" s="377"/>
      <c r="I167" s="377"/>
      <c r="J167" s="354"/>
      <c r="K167" s="354"/>
    </row>
    <row r="168" spans="1:11" ht="15.75">
      <c r="A168" s="354" t="str">
        <f>'Part B (i)'!B5</f>
        <v>I</v>
      </c>
      <c r="B168" s="373" t="s">
        <v>82</v>
      </c>
      <c r="C168" s="373"/>
      <c r="D168" s="373"/>
      <c r="E168" s="354"/>
      <c r="F168" s="354"/>
      <c r="G168" s="354"/>
      <c r="H168" s="354"/>
      <c r="I168" s="354"/>
      <c r="J168" s="354"/>
      <c r="K168" s="354"/>
    </row>
    <row r="169" spans="1:11" ht="15.75">
      <c r="A169" s="354"/>
      <c r="B169" s="354"/>
      <c r="C169" s="354"/>
      <c r="D169" s="354"/>
      <c r="E169" s="354"/>
      <c r="F169" s="354"/>
      <c r="G169" s="354"/>
      <c r="H169" s="354"/>
      <c r="I169" s="354"/>
      <c r="J169" s="354"/>
      <c r="K169" s="354"/>
    </row>
    <row r="170" spans="1:11" ht="15.75">
      <c r="A170" s="373" t="s">
        <v>603</v>
      </c>
      <c r="B170" s="373"/>
      <c r="C170" s="373"/>
      <c r="D170" s="373"/>
      <c r="E170" s="375" t="str">
        <f>'Part B (i)'!D7</f>
        <v>DD/MM/YYYY</v>
      </c>
      <c r="F170" s="359"/>
      <c r="G170" s="359"/>
      <c r="H170" s="354"/>
      <c r="I170" s="354"/>
      <c r="J170" s="354"/>
      <c r="K170" s="354"/>
    </row>
    <row r="171" spans="1:11" ht="15.75">
      <c r="A171" s="354"/>
      <c r="B171" s="354"/>
      <c r="C171" s="354"/>
      <c r="D171" s="354"/>
      <c r="E171" s="354"/>
      <c r="F171" s="354"/>
      <c r="G171" s="354"/>
      <c r="H171" s="354"/>
      <c r="I171" s="354"/>
      <c r="J171" s="354"/>
      <c r="K171" s="354"/>
    </row>
    <row r="172" spans="1:11" ht="15.75">
      <c r="A172" s="373" t="s">
        <v>604</v>
      </c>
      <c r="B172" s="373"/>
      <c r="C172" s="373"/>
      <c r="D172" s="373"/>
      <c r="E172" s="359" t="str">
        <f>'Part B (i)'!D9</f>
        <v>profit and loss account</v>
      </c>
      <c r="F172" s="359"/>
      <c r="G172" s="359"/>
      <c r="H172" s="359"/>
      <c r="I172" s="354"/>
      <c r="J172" s="354"/>
      <c r="K172" s="354"/>
    </row>
    <row r="173" spans="1:11" ht="15.75">
      <c r="A173" s="373" t="s">
        <v>605</v>
      </c>
      <c r="B173" s="373"/>
      <c r="C173" s="373"/>
      <c r="D173" s="373"/>
      <c r="E173" s="375" t="str">
        <f>'Part B (i)'!D10</f>
        <v>DD/MM/YYYY</v>
      </c>
      <c r="F173" s="359"/>
      <c r="G173" s="359"/>
      <c r="H173" s="354"/>
      <c r="I173" s="354"/>
      <c r="J173" s="354"/>
      <c r="K173" s="354"/>
    </row>
    <row r="174" spans="1:11" ht="15.75">
      <c r="A174" s="374" t="s">
        <v>606</v>
      </c>
      <c r="B174" s="374"/>
      <c r="C174" s="374"/>
      <c r="D174" s="374"/>
      <c r="E174" s="375" t="str">
        <f>'Part B (i)'!D11</f>
        <v>DD/MM/YYYY</v>
      </c>
      <c r="F174" s="359"/>
      <c r="G174" s="359"/>
      <c r="H174" s="354"/>
      <c r="I174" s="354"/>
      <c r="J174" s="354"/>
      <c r="K174" s="354"/>
    </row>
    <row r="175" spans="1:11" ht="15.75">
      <c r="A175" s="354"/>
      <c r="B175" s="354"/>
      <c r="C175" s="354"/>
      <c r="D175" s="354"/>
      <c r="E175" s="354"/>
      <c r="F175" s="354"/>
      <c r="G175" s="354"/>
      <c r="H175" s="354"/>
      <c r="I175" s="354"/>
      <c r="J175" s="354"/>
      <c r="K175" s="354"/>
    </row>
    <row r="176" spans="1:11" ht="15.75">
      <c r="A176" s="373" t="s">
        <v>72</v>
      </c>
      <c r="B176" s="373"/>
      <c r="C176" s="373"/>
      <c r="D176" s="373"/>
      <c r="E176" s="373"/>
      <c r="F176" s="373"/>
      <c r="G176" s="354"/>
      <c r="H176" s="354"/>
      <c r="I176" s="354"/>
      <c r="J176" s="354"/>
      <c r="K176" s="354"/>
    </row>
    <row r="177" spans="1:11" ht="15.75">
      <c r="A177" s="374" t="s">
        <v>607</v>
      </c>
      <c r="B177" s="374"/>
      <c r="C177" s="374"/>
      <c r="D177" s="374"/>
      <c r="E177" s="375" t="str">
        <f>'Part B (i)'!D14</f>
        <v>DD/MM/YYYY</v>
      </c>
      <c r="F177" s="359"/>
      <c r="G177" s="359"/>
      <c r="H177" s="354"/>
      <c r="I177" s="354"/>
      <c r="J177" s="354"/>
      <c r="K177" s="354"/>
    </row>
    <row r="178" spans="1:11" ht="15.75">
      <c r="A178" s="373" t="s">
        <v>608</v>
      </c>
      <c r="B178" s="373"/>
      <c r="C178" s="373"/>
      <c r="D178" s="373"/>
      <c r="E178" s="375" t="str">
        <f>'Part B (i)'!D15</f>
        <v>DD/MM/YYYY</v>
      </c>
      <c r="F178" s="359"/>
      <c r="G178" s="359"/>
      <c r="H178" s="354"/>
      <c r="I178" s="354"/>
      <c r="J178" s="354"/>
      <c r="K178" s="354"/>
    </row>
    <row r="179" spans="1:11" ht="15.75">
      <c r="A179" s="373" t="s">
        <v>73</v>
      </c>
      <c r="B179" s="373"/>
      <c r="C179" s="373"/>
      <c r="D179" s="354"/>
      <c r="E179" s="354"/>
      <c r="F179" s="354"/>
      <c r="G179" s="354"/>
      <c r="H179" s="354"/>
      <c r="I179" s="354"/>
      <c r="J179" s="354"/>
      <c r="K179" s="354"/>
    </row>
    <row r="180" spans="1:11" ht="15.75">
      <c r="A180" s="354"/>
      <c r="B180" s="354"/>
      <c r="C180" s="354"/>
      <c r="D180" s="354"/>
      <c r="E180" s="354"/>
      <c r="F180" s="354"/>
      <c r="G180" s="354"/>
      <c r="H180" s="354"/>
      <c r="I180" s="354"/>
      <c r="J180" s="354"/>
      <c r="K180" s="354"/>
    </row>
    <row r="181" spans="1:11" ht="15.75">
      <c r="A181" s="373" t="s">
        <v>609</v>
      </c>
      <c r="B181" s="354"/>
      <c r="C181" s="356" t="str">
        <f>'Part B (i)'!D19</f>
        <v>M/S</v>
      </c>
      <c r="D181" s="356"/>
      <c r="E181" s="348">
        <f>'Part B (i)'!E19</f>
        <v>0</v>
      </c>
      <c r="F181" s="349"/>
      <c r="G181" s="349"/>
      <c r="H181" s="354"/>
      <c r="I181" s="354"/>
      <c r="J181" s="354"/>
      <c r="K181" s="354"/>
    </row>
    <row r="182" spans="1:11" ht="15.75">
      <c r="A182" s="354"/>
      <c r="B182" s="354"/>
      <c r="C182" s="354"/>
      <c r="D182" s="354"/>
      <c r="E182" s="354"/>
      <c r="F182" s="354"/>
      <c r="G182" s="354"/>
      <c r="H182" s="354"/>
      <c r="I182" s="354"/>
      <c r="J182" s="354"/>
      <c r="K182" s="354"/>
    </row>
    <row r="183" spans="1:11" ht="15.75">
      <c r="A183" s="354" t="s">
        <v>610</v>
      </c>
      <c r="B183" s="354"/>
      <c r="C183" s="350" t="s">
        <v>597</v>
      </c>
      <c r="D183" s="351"/>
      <c r="E183" s="352"/>
      <c r="F183" s="348">
        <f>'Part B (i)'!E21</f>
        <v>0</v>
      </c>
      <c r="G183" s="349"/>
      <c r="H183" s="347" t="s">
        <v>158</v>
      </c>
      <c r="I183" s="347"/>
      <c r="J183" s="349" t="str">
        <f>IF('Part B (i)'!G21="","",'Part B (i)'!G21)</f>
        <v/>
      </c>
      <c r="K183" s="349"/>
    </row>
    <row r="184" spans="1:11" ht="78.75">
      <c r="A184" s="354"/>
      <c r="B184" s="354"/>
      <c r="C184" s="353" t="s">
        <v>614</v>
      </c>
      <c r="D184" s="347"/>
      <c r="E184" s="347"/>
      <c r="F184" s="349" t="str">
        <f>IF('Part B (i)'!E22="","",'Part B (i)'!E22)</f>
        <v/>
      </c>
      <c r="G184" s="349"/>
      <c r="H184" s="347" t="s">
        <v>601</v>
      </c>
      <c r="I184" s="347"/>
      <c r="J184" s="348">
        <f>'Part B (i)'!G22</f>
        <v>0</v>
      </c>
      <c r="K184" s="349"/>
    </row>
    <row r="185" spans="1:11" ht="15.75">
      <c r="A185" s="354"/>
      <c r="B185" s="354"/>
      <c r="C185" s="347" t="s">
        <v>611</v>
      </c>
      <c r="D185" s="347"/>
      <c r="E185" s="347"/>
      <c r="F185" s="348">
        <f>'Part B (i)'!E23</f>
        <v>0</v>
      </c>
      <c r="G185" s="349"/>
      <c r="H185" s="347" t="s">
        <v>600</v>
      </c>
      <c r="I185" s="347"/>
      <c r="J185" s="348">
        <f>'Part B (i)'!G23</f>
        <v>0</v>
      </c>
      <c r="K185" s="349"/>
    </row>
    <row r="186" spans="1:11" ht="15.75">
      <c r="A186" s="354"/>
      <c r="B186" s="354"/>
      <c r="C186" s="350" t="s">
        <v>599</v>
      </c>
      <c r="D186" s="351"/>
      <c r="E186" s="352"/>
      <c r="F186" s="349">
        <f>'Part B (i)'!E24</f>
        <v>0</v>
      </c>
      <c r="G186" s="349"/>
      <c r="H186" s="347" t="s">
        <v>602</v>
      </c>
      <c r="I186" s="347"/>
      <c r="J186" s="349">
        <f>'Part B (i)'!G24</f>
        <v>0</v>
      </c>
      <c r="K186" s="349"/>
    </row>
    <row r="187" spans="1:11" ht="15.75">
      <c r="A187" s="354"/>
      <c r="B187" s="354"/>
      <c r="C187" s="354"/>
      <c r="D187" s="354"/>
      <c r="E187" s="354"/>
      <c r="F187" s="354"/>
      <c r="G187" s="354"/>
      <c r="H187" s="354"/>
      <c r="I187" s="354"/>
      <c r="J187" s="354"/>
      <c r="K187" s="354"/>
    </row>
    <row r="188" spans="1:11" ht="15.75">
      <c r="A188" s="361" t="s">
        <v>588</v>
      </c>
      <c r="B188" s="361"/>
      <c r="C188" s="370">
        <f>'Part B (i)'!D27</f>
        <v>0</v>
      </c>
      <c r="D188" s="371"/>
      <c r="E188" s="371"/>
      <c r="F188" s="371"/>
      <c r="G188" s="372"/>
      <c r="H188" s="354"/>
      <c r="I188" s="354"/>
      <c r="J188" s="354"/>
      <c r="K188" s="354"/>
    </row>
    <row r="189" spans="1:11" ht="15.75">
      <c r="A189" s="354"/>
      <c r="B189" s="354"/>
      <c r="C189" s="354"/>
      <c r="D189" s="354"/>
      <c r="E189" s="354"/>
      <c r="F189" s="354"/>
      <c r="G189" s="354"/>
      <c r="H189" s="354"/>
      <c r="I189" s="354"/>
      <c r="J189" s="354"/>
      <c r="K189" s="354"/>
    </row>
    <row r="190" spans="1:11" ht="15.75">
      <c r="A190" s="118"/>
      <c r="B190" s="118"/>
      <c r="C190" s="354"/>
      <c r="D190" s="354"/>
      <c r="E190" s="354"/>
      <c r="F190" s="354"/>
      <c r="G190" s="354"/>
      <c r="H190" s="354"/>
      <c r="I190" s="354"/>
      <c r="J190" s="354"/>
      <c r="K190" s="354"/>
    </row>
    <row r="191" spans="1:11" ht="47.25">
      <c r="A191" s="366" t="s">
        <v>621</v>
      </c>
      <c r="B191" s="367"/>
      <c r="C191" s="350" t="s">
        <v>597</v>
      </c>
      <c r="D191" s="351"/>
      <c r="E191" s="352"/>
      <c r="F191" s="348">
        <f>'Part B (i)'!E29</f>
        <v>0</v>
      </c>
      <c r="G191" s="349"/>
      <c r="H191" s="365" t="s">
        <v>158</v>
      </c>
      <c r="I191" s="365"/>
      <c r="J191" s="349" t="str">
        <f>IF('Part B (i)'!G29="","",'Part B (i)'!G29)</f>
        <v/>
      </c>
      <c r="K191" s="349"/>
    </row>
    <row r="192" spans="1:11" ht="78.75">
      <c r="A192" s="119"/>
      <c r="B192" s="119"/>
      <c r="C192" s="353" t="s">
        <v>614</v>
      </c>
      <c r="D192" s="347"/>
      <c r="E192" s="347"/>
      <c r="F192" s="349" t="str">
        <f>IF('Part B (i)'!E30="","",'Part B (i)'!E30)</f>
        <v/>
      </c>
      <c r="G192" s="349"/>
      <c r="H192" s="365" t="s">
        <v>601</v>
      </c>
      <c r="I192" s="365"/>
      <c r="J192" s="348">
        <f>'Part B (i)'!G30</f>
        <v>0</v>
      </c>
      <c r="K192" s="349"/>
    </row>
    <row r="193" spans="1:11" ht="15.75">
      <c r="A193" s="354"/>
      <c r="B193" s="354"/>
      <c r="C193" s="365" t="s">
        <v>611</v>
      </c>
      <c r="D193" s="365"/>
      <c r="E193" s="365"/>
      <c r="F193" s="348">
        <f>'Part B (i)'!E31</f>
        <v>0</v>
      </c>
      <c r="G193" s="349"/>
      <c r="H193" s="365" t="s">
        <v>600</v>
      </c>
      <c r="I193" s="365"/>
      <c r="J193" s="368">
        <f>'Part B (i)'!G31</f>
        <v>0</v>
      </c>
      <c r="K193" s="369"/>
    </row>
    <row r="194" spans="1:11" ht="15.75">
      <c r="A194" s="354"/>
      <c r="B194" s="354"/>
      <c r="C194" s="362" t="s">
        <v>599</v>
      </c>
      <c r="D194" s="363"/>
      <c r="E194" s="364"/>
      <c r="F194" s="349">
        <f>'Part B (i)'!E32</f>
        <v>0</v>
      </c>
      <c r="G194" s="349"/>
      <c r="H194" s="365" t="s">
        <v>602</v>
      </c>
      <c r="I194" s="365"/>
      <c r="J194" s="349">
        <f>'Part B (i)'!G32</f>
        <v>0</v>
      </c>
      <c r="K194" s="349"/>
    </row>
    <row r="195" spans="1:11" ht="15.75">
      <c r="A195" s="354"/>
      <c r="B195" s="354"/>
      <c r="C195" s="354"/>
      <c r="D195" s="354"/>
      <c r="E195" s="354"/>
      <c r="F195" s="354"/>
      <c r="G195" s="354"/>
      <c r="H195" s="354"/>
      <c r="I195" s="354"/>
      <c r="J195" s="354"/>
      <c r="K195" s="354"/>
    </row>
    <row r="196" spans="1:11" ht="15.75">
      <c r="A196" s="119" t="s">
        <v>622</v>
      </c>
      <c r="B196" s="119"/>
      <c r="C196" s="354"/>
      <c r="D196" s="354"/>
      <c r="E196" s="354"/>
      <c r="F196" s="354"/>
      <c r="G196" s="354"/>
      <c r="H196" s="354"/>
      <c r="I196" s="354"/>
      <c r="J196" s="354"/>
      <c r="K196" s="354"/>
    </row>
    <row r="197" spans="1:11" ht="63">
      <c r="A197" s="366" t="s">
        <v>623</v>
      </c>
      <c r="B197" s="367"/>
      <c r="C197" s="350" t="s">
        <v>597</v>
      </c>
      <c r="D197" s="351"/>
      <c r="E197" s="352"/>
      <c r="F197" s="348">
        <f>'Part B (i)'!E34</f>
        <v>0</v>
      </c>
      <c r="G197" s="349"/>
      <c r="H197" s="347" t="s">
        <v>158</v>
      </c>
      <c r="I197" s="347"/>
      <c r="J197" s="349" t="str">
        <f>IF('Part B (i)'!G34="","",'Part B (i)'!G34)</f>
        <v/>
      </c>
      <c r="K197" s="349"/>
    </row>
    <row r="198" spans="1:11" ht="78.75">
      <c r="A198" s="366"/>
      <c r="B198" s="366"/>
      <c r="C198" s="353" t="s">
        <v>614</v>
      </c>
      <c r="D198" s="347"/>
      <c r="E198" s="347"/>
      <c r="F198" s="349" t="str">
        <f>IF('Part B (i)'!E35="","",'Part B (i)'!E35)</f>
        <v/>
      </c>
      <c r="G198" s="349"/>
      <c r="H198" s="347" t="s">
        <v>601</v>
      </c>
      <c r="I198" s="347"/>
      <c r="J198" s="348">
        <f>'Part B (i)'!G35</f>
        <v>0</v>
      </c>
      <c r="K198" s="349"/>
    </row>
    <row r="199" spans="1:11" ht="15.75">
      <c r="A199" s="354"/>
      <c r="B199" s="354"/>
      <c r="C199" s="347" t="s">
        <v>611</v>
      </c>
      <c r="D199" s="347"/>
      <c r="E199" s="347"/>
      <c r="F199" s="348">
        <f>'Part B (i)'!E36</f>
        <v>0</v>
      </c>
      <c r="G199" s="349"/>
      <c r="H199" s="347" t="s">
        <v>600</v>
      </c>
      <c r="I199" s="347"/>
      <c r="J199" s="348">
        <f>'Part B (i)'!G36</f>
        <v>0</v>
      </c>
      <c r="K199" s="349"/>
    </row>
    <row r="200" spans="1:11" ht="15.75">
      <c r="A200" s="354"/>
      <c r="B200" s="354"/>
      <c r="C200" s="350" t="s">
        <v>599</v>
      </c>
      <c r="D200" s="351"/>
      <c r="E200" s="352"/>
      <c r="F200" s="349">
        <f>'Part B (i)'!E37</f>
        <v>0</v>
      </c>
      <c r="G200" s="349"/>
      <c r="H200" s="347" t="s">
        <v>602</v>
      </c>
      <c r="I200" s="347"/>
      <c r="J200" s="349">
        <f>'Part B (i)'!G37</f>
        <v>0</v>
      </c>
      <c r="K200" s="349"/>
    </row>
    <row r="201" spans="1:11" ht="15.75">
      <c r="A201" s="354"/>
      <c r="B201" s="354"/>
      <c r="C201" s="354"/>
      <c r="D201" s="354"/>
      <c r="E201" s="354"/>
      <c r="F201" s="354"/>
      <c r="G201" s="354"/>
      <c r="H201" s="354"/>
      <c r="I201" s="354"/>
      <c r="J201" s="354"/>
      <c r="K201" s="354"/>
    </row>
    <row r="202" spans="1:11" ht="15.75">
      <c r="A202" s="360" t="s">
        <v>314</v>
      </c>
      <c r="B202" s="360"/>
      <c r="C202" s="360"/>
      <c r="D202" s="354" t="str">
        <f>A168</f>
        <v>I</v>
      </c>
      <c r="E202" s="361" t="s">
        <v>86</v>
      </c>
      <c r="F202" s="361"/>
      <c r="G202" s="361"/>
      <c r="H202" s="361"/>
      <c r="I202" s="354"/>
      <c r="J202" s="354"/>
      <c r="K202" s="354"/>
    </row>
    <row r="203" spans="1:11" ht="15.75">
      <c r="A203" s="354" t="str">
        <f>'Part B (i)'!B41</f>
        <v>has maintained the books of accounts, records and documents</v>
      </c>
      <c r="B203" s="354"/>
      <c r="C203" s="354"/>
      <c r="D203" s="354"/>
      <c r="E203" s="354"/>
      <c r="F203" s="354"/>
      <c r="G203" s="354"/>
      <c r="H203" s="354"/>
      <c r="I203" s="417" t="s">
        <v>300</v>
      </c>
      <c r="J203" s="354"/>
      <c r="K203" s="354"/>
    </row>
    <row r="204" spans="1:11" ht="15.75">
      <c r="A204" s="360" t="s">
        <v>299</v>
      </c>
      <c r="B204" s="360"/>
      <c r="C204" s="360"/>
      <c r="D204" s="360"/>
      <c r="E204" s="360"/>
      <c r="F204" s="360"/>
      <c r="G204" s="360"/>
      <c r="H204" s="360"/>
      <c r="I204" s="360"/>
      <c r="J204" s="360"/>
      <c r="K204" s="354"/>
    </row>
    <row r="205" spans="1:11" ht="15.75">
      <c r="A205" s="354"/>
      <c r="B205" s="354"/>
      <c r="C205" s="354"/>
      <c r="D205" s="354"/>
      <c r="E205" s="354"/>
      <c r="F205" s="354"/>
      <c r="G205" s="354"/>
      <c r="H205" s="354"/>
      <c r="I205" s="354"/>
      <c r="J205" s="354"/>
      <c r="K205" s="354"/>
    </row>
    <row r="206" spans="1:11" ht="15.75">
      <c r="A206" s="354"/>
      <c r="B206" s="354"/>
      <c r="C206" s="354"/>
      <c r="D206" s="354"/>
      <c r="E206" s="354"/>
      <c r="F206" s="354"/>
      <c r="G206" s="354"/>
      <c r="H206" s="354"/>
      <c r="I206" s="354"/>
      <c r="J206" s="354"/>
      <c r="K206" s="354"/>
    </row>
    <row r="207" spans="1:11" ht="15.75">
      <c r="A207" s="117" t="s">
        <v>89</v>
      </c>
      <c r="B207" s="354" t="str">
        <f>A168</f>
        <v>I</v>
      </c>
      <c r="C207" s="360" t="s">
        <v>313</v>
      </c>
      <c r="D207" s="360"/>
      <c r="E207" s="360"/>
      <c r="F207" s="360"/>
      <c r="G207" s="360"/>
      <c r="H207" s="360"/>
      <c r="I207" s="360"/>
      <c r="J207" s="360"/>
      <c r="K207" s="360"/>
    </row>
    <row r="208" spans="1:11" ht="15.75">
      <c r="A208" s="354" t="s">
        <v>312</v>
      </c>
      <c r="B208" s="354"/>
      <c r="C208" s="354"/>
      <c r="D208" s="354"/>
      <c r="E208" s="354"/>
      <c r="F208" s="354"/>
      <c r="G208" s="354"/>
      <c r="H208" s="354"/>
      <c r="I208" s="354"/>
      <c r="J208" s="354"/>
      <c r="K208" s="354"/>
    </row>
    <row r="209" spans="1:11" ht="15.75">
      <c r="A209" s="354"/>
      <c r="B209" s="354"/>
      <c r="C209" s="354"/>
      <c r="D209" s="354"/>
      <c r="E209" s="354"/>
      <c r="F209" s="354"/>
      <c r="G209" s="354"/>
      <c r="H209" s="354"/>
      <c r="I209" s="354"/>
      <c r="J209" s="354"/>
      <c r="K209" s="354"/>
    </row>
    <row r="210" spans="1:11" ht="15.75">
      <c r="A210" s="354" t="s">
        <v>90</v>
      </c>
      <c r="B210" s="354" t="str">
        <f>A168</f>
        <v>I</v>
      </c>
      <c r="C210" s="360" t="s">
        <v>91</v>
      </c>
      <c r="D210" s="360"/>
      <c r="E210" s="354"/>
      <c r="F210" s="354"/>
      <c r="G210" s="354"/>
      <c r="H210" s="354"/>
      <c r="I210" s="354"/>
      <c r="J210" s="354"/>
      <c r="K210" s="354"/>
    </row>
    <row r="211" spans="1:11" ht="15.75">
      <c r="A211" s="361" t="s">
        <v>92</v>
      </c>
      <c r="B211" s="354" t="str">
        <f>A168</f>
        <v>I</v>
      </c>
      <c r="C211" s="360" t="s">
        <v>93</v>
      </c>
      <c r="D211" s="360"/>
      <c r="E211" s="360"/>
      <c r="F211" s="360"/>
      <c r="G211" s="360"/>
      <c r="H211" s="360"/>
      <c r="I211" s="360"/>
      <c r="J211" s="360"/>
      <c r="K211" s="360" t="str">
        <f>IF($A168="I","my"," our")</f>
        <v>my</v>
      </c>
    </row>
    <row r="212" spans="1:11" ht="15.75">
      <c r="A212" s="417" t="s">
        <v>632</v>
      </c>
      <c r="B212" s="417"/>
      <c r="C212" s="417"/>
      <c r="D212" s="417"/>
      <c r="E212" s="417"/>
      <c r="F212" s="417"/>
      <c r="G212" s="417"/>
      <c r="H212" s="417"/>
      <c r="I212" s="417"/>
      <c r="J212" s="361"/>
      <c r="K212" s="361"/>
    </row>
    <row r="213" spans="1:11" ht="15.75">
      <c r="A213" s="354" t="s">
        <v>311</v>
      </c>
      <c r="B213" s="354"/>
      <c r="C213" s="354"/>
      <c r="D213" s="354" t="str">
        <f>IF($A168="I","my"," our")</f>
        <v>my</v>
      </c>
      <c r="E213" s="360" t="s">
        <v>310</v>
      </c>
      <c r="F213" s="360"/>
      <c r="G213" s="360"/>
      <c r="H213" s="360"/>
      <c r="I213" s="360"/>
      <c r="J213" s="360"/>
      <c r="K213" s="360"/>
    </row>
    <row r="214" spans="1:11" ht="15.75">
      <c r="A214" s="354" t="s">
        <v>309</v>
      </c>
      <c r="B214" s="354"/>
      <c r="C214" s="354"/>
      <c r="D214" s="354"/>
      <c r="E214" s="354"/>
      <c r="F214" s="354"/>
      <c r="G214" s="354"/>
      <c r="H214" s="354"/>
      <c r="I214" s="354"/>
      <c r="J214" s="354"/>
      <c r="K214" s="354"/>
    </row>
    <row r="215" spans="1:11" ht="15.75">
      <c r="A215" s="354" t="s">
        <v>308</v>
      </c>
      <c r="B215" s="354" t="str">
        <f>IF($A168="I","my"," our")</f>
        <v>my</v>
      </c>
      <c r="C215" s="417" t="s">
        <v>629</v>
      </c>
      <c r="D215" s="417"/>
      <c r="E215" s="417"/>
      <c r="F215" s="417"/>
      <c r="G215" s="359" t="str">
        <f>'Part B (i)'!G50</f>
        <v>have been</v>
      </c>
      <c r="H215" s="359"/>
      <c r="I215" s="359"/>
      <c r="J215" s="354" t="s">
        <v>630</v>
      </c>
      <c r="K215" s="354"/>
    </row>
    <row r="216" spans="1:11" ht="15.75">
      <c r="A216" s="354" t="s">
        <v>631</v>
      </c>
      <c r="E216" s="354"/>
      <c r="F216" s="354" t="str">
        <f>IF($A169="I","my"," our")</f>
        <v xml:space="preserve"> our</v>
      </c>
      <c r="G216" s="354" t="s">
        <v>101</v>
      </c>
      <c r="H216" s="354"/>
      <c r="I216" s="354"/>
      <c r="J216" s="354"/>
      <c r="K216" s="354"/>
    </row>
    <row r="217" spans="1:11" ht="15.75">
      <c r="A217" s="354" t="s">
        <v>307</v>
      </c>
      <c r="B217" s="354" t="str">
        <f>A168</f>
        <v>I</v>
      </c>
      <c r="C217" s="354" t="s">
        <v>103</v>
      </c>
      <c r="D217" s="354"/>
      <c r="E217" s="354"/>
      <c r="F217" s="354"/>
      <c r="G217" s="359" t="str">
        <f>E172</f>
        <v>profit and loss account</v>
      </c>
      <c r="H217" s="359"/>
      <c r="I217" s="359"/>
      <c r="J217" s="359"/>
      <c r="K217" s="359"/>
    </row>
    <row r="218" spans="1:11" ht="15.75">
      <c r="A218" s="354" t="s">
        <v>104</v>
      </c>
      <c r="B218" s="354"/>
      <c r="C218" s="354"/>
      <c r="D218" s="354"/>
      <c r="E218" s="359" t="str">
        <f>'Part B (i)'!I52</f>
        <v>in agreement</v>
      </c>
      <c r="F218" s="359"/>
      <c r="G218" s="359"/>
      <c r="H218" s="354" t="s">
        <v>306</v>
      </c>
      <c r="I218" s="354"/>
      <c r="J218" s="354"/>
      <c r="K218" s="354"/>
    </row>
    <row r="219" spans="1:11" ht="15.75">
      <c r="A219" s="354" t="s">
        <v>305</v>
      </c>
      <c r="B219" s="354"/>
      <c r="C219" s="354"/>
      <c r="D219" s="354"/>
      <c r="E219" s="354"/>
      <c r="F219" s="354"/>
      <c r="G219" s="417"/>
      <c r="H219" s="417"/>
      <c r="I219" s="417"/>
      <c r="J219" s="417"/>
      <c r="K219" s="417"/>
    </row>
    <row r="220" spans="1:11" ht="15.75">
      <c r="A220" s="359" t="str">
        <f>'Part B (i)'!F53</f>
        <v xml:space="preserve">, , , , , , , </v>
      </c>
      <c r="B220" s="359"/>
      <c r="C220" s="359"/>
      <c r="D220" s="359"/>
      <c r="E220" s="359"/>
      <c r="F220" s="359"/>
      <c r="G220" s="359"/>
      <c r="H220" s="359"/>
      <c r="I220" s="359"/>
      <c r="J220" s="359"/>
      <c r="K220" s="359"/>
    </row>
    <row r="221" spans="1:11" ht="15.75">
      <c r="A221" s="354" t="s">
        <v>119</v>
      </c>
      <c r="B221" s="359" t="str">
        <f>'Part B (i)'!C54</f>
        <v xml:space="preserve">, , , , , , , </v>
      </c>
      <c r="C221" s="359"/>
      <c r="D221" s="359"/>
      <c r="E221" s="359"/>
      <c r="F221" s="359"/>
      <c r="G221" s="359"/>
      <c r="H221" s="359"/>
      <c r="I221" s="359"/>
      <c r="J221" s="359"/>
      <c r="K221" s="359"/>
    </row>
    <row r="222" spans="1:11" ht="15.75">
      <c r="A222" s="354" t="s">
        <v>124</v>
      </c>
      <c r="B222" s="354"/>
      <c r="C222" s="354"/>
      <c r="D222" s="354"/>
      <c r="E222" s="354"/>
      <c r="F222" s="354"/>
      <c r="G222" s="354"/>
      <c r="H222" s="354"/>
      <c r="I222" s="354"/>
      <c r="J222" s="354"/>
      <c r="K222" s="354"/>
    </row>
    <row r="223" spans="1:11" ht="15.75">
      <c r="A223" s="354"/>
      <c r="B223" s="354"/>
      <c r="C223" s="354"/>
      <c r="D223" s="354"/>
      <c r="E223" s="354"/>
      <c r="F223" s="354"/>
      <c r="G223" s="354"/>
      <c r="H223" s="354"/>
      <c r="I223" s="354"/>
      <c r="J223" s="354"/>
      <c r="K223" s="354"/>
    </row>
    <row r="224" spans="1:11" ht="15.75">
      <c r="A224" s="354" t="s">
        <v>304</v>
      </c>
      <c r="B224" s="354"/>
      <c r="C224" s="354"/>
      <c r="D224" s="354"/>
      <c r="E224" s="354"/>
      <c r="F224" s="354"/>
      <c r="G224" s="354"/>
      <c r="H224" s="354"/>
      <c r="I224" s="354"/>
      <c r="J224" s="354"/>
      <c r="K224" s="354"/>
    </row>
    <row r="225" spans="1:11" ht="15.75">
      <c r="A225" s="354" t="s">
        <v>297</v>
      </c>
      <c r="B225" s="354"/>
      <c r="C225" s="354"/>
      <c r="D225" s="354"/>
      <c r="E225" s="354"/>
      <c r="F225" s="354"/>
      <c r="G225" s="354"/>
      <c r="H225" s="354"/>
      <c r="I225" s="354"/>
      <c r="J225" s="354"/>
      <c r="K225" s="354"/>
    </row>
    <row r="226" spans="1:11" ht="15.75">
      <c r="A226" s="354" t="s">
        <v>108</v>
      </c>
      <c r="B226" s="354"/>
      <c r="C226" s="354"/>
      <c r="D226" s="354"/>
      <c r="E226" s="354"/>
      <c r="F226" s="354"/>
      <c r="G226" s="354"/>
      <c r="H226" s="354"/>
      <c r="I226" s="354"/>
      <c r="J226" s="354"/>
      <c r="K226" s="354"/>
    </row>
    <row r="227" spans="1:11" ht="15.75">
      <c r="A227" s="354"/>
      <c r="B227" s="354"/>
      <c r="C227" s="354"/>
      <c r="D227" s="354"/>
      <c r="E227" s="354"/>
      <c r="F227" s="354"/>
      <c r="G227" s="354"/>
      <c r="H227" s="354"/>
      <c r="I227" s="354"/>
      <c r="J227" s="354"/>
      <c r="K227" s="354"/>
    </row>
    <row r="228" spans="1:11" ht="15.75">
      <c r="A228" s="354" t="s">
        <v>303</v>
      </c>
      <c r="B228" s="354" t="str">
        <f>'Part B (i)'!C59</f>
        <v>my</v>
      </c>
      <c r="C228" s="361" t="s">
        <v>109</v>
      </c>
      <c r="D228" s="354"/>
      <c r="E228" s="354"/>
      <c r="F228" s="354" t="str">
        <f>'Part B (i)'!E59</f>
        <v>my</v>
      </c>
      <c r="G228" s="354" t="s">
        <v>295</v>
      </c>
      <c r="H228" s="354"/>
      <c r="I228" s="354"/>
      <c r="J228" s="354"/>
      <c r="K228" s="354"/>
    </row>
    <row r="229" spans="1:11" ht="15.75">
      <c r="A229" s="354" t="s">
        <v>294</v>
      </c>
      <c r="B229" s="354"/>
      <c r="C229" s="354" t="str">
        <f>'Part B (i)'!H59</f>
        <v>me</v>
      </c>
      <c r="D229" s="354" t="s">
        <v>293</v>
      </c>
      <c r="E229" s="354"/>
      <c r="F229" s="354"/>
      <c r="G229" s="354"/>
      <c r="H229" s="354"/>
      <c r="I229" s="354"/>
      <c r="J229" s="354"/>
      <c r="K229" s="354"/>
    </row>
    <row r="230" spans="1:11" ht="15.75">
      <c r="A230" s="354" t="s">
        <v>292</v>
      </c>
      <c r="B230" s="354"/>
      <c r="C230" s="354"/>
      <c r="D230" s="354"/>
      <c r="E230" s="354"/>
      <c r="F230" s="354"/>
      <c r="G230" s="354"/>
      <c r="H230" s="354"/>
      <c r="I230" s="354"/>
      <c r="J230" s="354"/>
      <c r="K230" s="354"/>
    </row>
    <row r="231" spans="1:11" ht="15.75">
      <c r="A231" s="354"/>
      <c r="B231" s="354"/>
      <c r="C231" s="354"/>
      <c r="D231" s="354"/>
      <c r="E231" s="354"/>
      <c r="F231" s="354"/>
      <c r="G231" s="354"/>
      <c r="H231" s="354"/>
      <c r="I231" s="354"/>
      <c r="J231" s="354"/>
      <c r="K231" s="354"/>
    </row>
    <row r="232" spans="1:11" ht="15.75">
      <c r="A232" s="113" t="s">
        <v>81</v>
      </c>
      <c r="B232" s="354"/>
      <c r="C232" s="354"/>
      <c r="D232" s="354"/>
      <c r="E232" s="354"/>
      <c r="F232" s="354"/>
      <c r="G232" s="354"/>
      <c r="H232" s="354"/>
      <c r="I232" s="354"/>
      <c r="J232" s="354"/>
      <c r="K232" s="354"/>
    </row>
    <row r="233" spans="1:11" ht="15.75">
      <c r="A233" s="354"/>
      <c r="B233" s="354"/>
      <c r="C233" s="354"/>
      <c r="D233" s="354"/>
      <c r="E233" s="354"/>
      <c r="F233" s="354"/>
      <c r="G233" s="354"/>
      <c r="H233" s="354"/>
      <c r="I233" s="354"/>
      <c r="J233" s="354"/>
      <c r="K233" s="354"/>
    </row>
    <row r="234" spans="1:11" ht="15.75">
      <c r="A234" s="354"/>
      <c r="B234" s="358" t="s">
        <v>74</v>
      </c>
      <c r="C234" s="357" t="s">
        <v>75</v>
      </c>
      <c r="D234" s="357"/>
      <c r="E234" s="357"/>
      <c r="F234" s="357"/>
      <c r="G234" s="358" t="s">
        <v>76</v>
      </c>
      <c r="H234" s="358"/>
      <c r="I234" s="358"/>
      <c r="J234" s="354"/>
      <c r="K234" s="354"/>
    </row>
    <row r="235" spans="1:11" ht="15.75">
      <c r="A235" s="354"/>
      <c r="B235" s="356">
        <v>1</v>
      </c>
      <c r="C235" s="349"/>
      <c r="D235" s="349"/>
      <c r="E235" s="349"/>
      <c r="F235" s="349"/>
      <c r="G235" s="349"/>
      <c r="H235" s="349"/>
      <c r="I235" s="349"/>
      <c r="J235" s="354"/>
      <c r="K235" s="354"/>
    </row>
    <row r="236" spans="1:11" ht="15.75">
      <c r="A236" s="354"/>
      <c r="B236" s="354"/>
      <c r="C236" s="354"/>
      <c r="D236" s="354"/>
      <c r="E236" s="354"/>
      <c r="F236" s="354"/>
      <c r="G236" s="354"/>
      <c r="H236" s="354"/>
      <c r="I236" s="354"/>
      <c r="J236" s="354"/>
      <c r="K236" s="354"/>
    </row>
    <row r="237" spans="1:11" ht="15.75">
      <c r="A237" s="115" t="s">
        <v>80</v>
      </c>
      <c r="B237" s="354"/>
      <c r="C237" s="354"/>
      <c r="D237" s="354"/>
      <c r="E237" s="354"/>
      <c r="F237" s="354"/>
      <c r="G237" s="354"/>
      <c r="H237" s="354"/>
      <c r="I237" s="354"/>
      <c r="J237" s="354"/>
      <c r="K237" s="354"/>
    </row>
    <row r="238" spans="1:11" ht="15.75">
      <c r="A238" s="354"/>
      <c r="B238" s="354"/>
      <c r="C238" s="354"/>
      <c r="D238" s="354"/>
      <c r="E238" s="354"/>
      <c r="F238" s="354"/>
      <c r="G238" s="354"/>
      <c r="H238" s="354"/>
      <c r="I238" s="354"/>
      <c r="J238" s="354"/>
      <c r="K238" s="354"/>
    </row>
    <row r="239" spans="1:11" ht="15.75">
      <c r="A239" s="354" t="s">
        <v>593</v>
      </c>
      <c r="B239" s="354"/>
      <c r="C239" s="354"/>
      <c r="D239" s="354"/>
      <c r="E239" s="354"/>
      <c r="F239" s="348">
        <f>'Part B (i)'!D70</f>
        <v>0</v>
      </c>
      <c r="G239" s="349"/>
      <c r="H239" s="349"/>
      <c r="I239" s="354"/>
      <c r="J239" s="354"/>
      <c r="K239" s="354"/>
    </row>
    <row r="240" spans="1:11" ht="15.75">
      <c r="A240" s="354" t="s">
        <v>594</v>
      </c>
      <c r="B240" s="354"/>
      <c r="C240" s="354"/>
      <c r="D240" s="354"/>
      <c r="E240" s="354"/>
      <c r="F240" s="348">
        <f>'Part B (i)'!D71</f>
        <v>0</v>
      </c>
      <c r="G240" s="349"/>
      <c r="H240" s="349"/>
      <c r="I240" s="354"/>
      <c r="J240" s="354"/>
      <c r="K240" s="354"/>
    </row>
    <row r="241" spans="1:11" ht="15.75">
      <c r="A241" s="354" t="s">
        <v>595</v>
      </c>
      <c r="B241" s="354"/>
      <c r="C241" s="354"/>
      <c r="D241" s="354"/>
      <c r="E241" s="354"/>
      <c r="F241" s="348">
        <f>'Part B (i)'!D72</f>
        <v>0</v>
      </c>
      <c r="G241" s="349"/>
      <c r="H241" s="349"/>
      <c r="I241" s="354"/>
      <c r="J241" s="354"/>
      <c r="K241" s="354"/>
    </row>
    <row r="242" spans="1:11" ht="15.75">
      <c r="A242" s="354" t="s">
        <v>596</v>
      </c>
      <c r="B242" s="354"/>
      <c r="C242" s="354"/>
      <c r="D242" s="354"/>
      <c r="E242" s="354"/>
      <c r="F242" s="355" t="str">
        <f>'Part B (i)'!D73</f>
        <v>DD/MM/YYYY</v>
      </c>
      <c r="G242" s="356"/>
      <c r="H242" s="356"/>
      <c r="I242" s="354"/>
      <c r="J242" s="354"/>
      <c r="K242" s="354"/>
    </row>
    <row r="243" spans="1:11" ht="15.75">
      <c r="A243" s="354" t="s">
        <v>598</v>
      </c>
      <c r="B243" s="354"/>
      <c r="C243" s="350" t="s">
        <v>597</v>
      </c>
      <c r="D243" s="351"/>
      <c r="E243" s="352"/>
      <c r="F243" s="348">
        <f>'Part B (i)'!E74</f>
        <v>0</v>
      </c>
      <c r="G243" s="349"/>
      <c r="H243" s="347" t="s">
        <v>158</v>
      </c>
      <c r="I243" s="347"/>
      <c r="J243" s="348">
        <f>'Part B (i)'!G74</f>
        <v>0</v>
      </c>
      <c r="K243" s="349"/>
    </row>
    <row r="244" spans="1:11" ht="78.75">
      <c r="A244" s="354"/>
      <c r="B244" s="354"/>
      <c r="C244" s="353" t="s">
        <v>614</v>
      </c>
      <c r="D244" s="347"/>
      <c r="E244" s="347"/>
      <c r="F244" s="348">
        <f>'Part B (i)'!E75</f>
        <v>0</v>
      </c>
      <c r="G244" s="349"/>
      <c r="H244" s="347" t="s">
        <v>601</v>
      </c>
      <c r="I244" s="347"/>
      <c r="J244" s="348">
        <f>'Part B (i)'!G75</f>
        <v>0</v>
      </c>
      <c r="K244" s="349"/>
    </row>
    <row r="245" spans="1:11" ht="15.75">
      <c r="A245" s="354"/>
      <c r="B245" s="354"/>
      <c r="C245" s="347" t="s">
        <v>611</v>
      </c>
      <c r="D245" s="347"/>
      <c r="E245" s="347"/>
      <c r="F245" s="348">
        <f>'Part B (i)'!E76</f>
        <v>0</v>
      </c>
      <c r="G245" s="349"/>
      <c r="H245" s="347" t="s">
        <v>600</v>
      </c>
      <c r="I245" s="347"/>
      <c r="J245" s="348">
        <f>'Part B (i)'!G76</f>
        <v>0</v>
      </c>
      <c r="K245" s="349"/>
    </row>
    <row r="246" spans="1:11" ht="15.75">
      <c r="A246" s="354"/>
      <c r="B246" s="354"/>
      <c r="C246" s="350" t="s">
        <v>599</v>
      </c>
      <c r="D246" s="351"/>
      <c r="E246" s="352"/>
      <c r="F246" s="349">
        <f>'Part B (i)'!E77</f>
        <v>0</v>
      </c>
      <c r="G246" s="349"/>
      <c r="H246" s="347" t="s">
        <v>602</v>
      </c>
      <c r="I246" s="347"/>
      <c r="J246" s="348">
        <f>'Part B (i)'!G77</f>
        <v>0</v>
      </c>
      <c r="K246" s="349"/>
    </row>
    <row r="247" spans="1:11">
      <c r="A247" s="67"/>
      <c r="B247" s="67"/>
      <c r="C247" s="67"/>
      <c r="D247" s="67"/>
      <c r="E247" s="67"/>
      <c r="F247" s="67"/>
      <c r="G247" s="67"/>
      <c r="H247" s="67"/>
      <c r="I247" s="67"/>
      <c r="J247" s="67"/>
      <c r="K247" s="6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dimension ref="A1:L226"/>
  <sheetViews>
    <sheetView workbookViewId="0"/>
  </sheetViews>
  <sheetFormatPr defaultRowHeight="15"/>
  <cols>
    <col min="1" max="16384" width="9.140625" style="423"/>
  </cols>
  <sheetData>
    <row r="1" spans="1:12">
      <c r="D1" s="63"/>
    </row>
    <row r="2" spans="1:12" ht="173.25">
      <c r="E2" s="411" t="s">
        <v>321</v>
      </c>
      <c r="F2" s="411"/>
      <c r="G2" s="411"/>
    </row>
    <row r="3" spans="1:12" ht="31.5">
      <c r="A3" s="384" t="s">
        <v>567</v>
      </c>
      <c r="B3" s="384" t="s">
        <v>320</v>
      </c>
      <c r="C3" s="384"/>
      <c r="D3" s="384"/>
      <c r="E3" s="384"/>
      <c r="F3" s="384"/>
      <c r="G3" s="384"/>
      <c r="H3" s="384"/>
      <c r="I3" s="384"/>
      <c r="J3" s="384"/>
      <c r="K3" s="384"/>
      <c r="L3" s="68"/>
    </row>
    <row r="4" spans="1:12" ht="31.5">
      <c r="A4" s="122">
        <v>1</v>
      </c>
      <c r="B4" s="379" t="s">
        <v>164</v>
      </c>
      <c r="C4" s="379"/>
      <c r="D4" s="412"/>
      <c r="E4" s="412"/>
      <c r="F4" s="412"/>
      <c r="G4" s="412"/>
      <c r="H4" s="412"/>
      <c r="I4" s="412"/>
      <c r="J4" s="412"/>
      <c r="K4" s="412"/>
    </row>
    <row r="5" spans="1:12" ht="15.75">
      <c r="A5" s="123">
        <v>2</v>
      </c>
      <c r="B5" s="381" t="s">
        <v>165</v>
      </c>
      <c r="C5" s="381"/>
      <c r="D5" s="413"/>
      <c r="E5" s="413"/>
      <c r="F5" s="413"/>
      <c r="G5" s="413"/>
      <c r="H5" s="413"/>
      <c r="I5" s="413"/>
      <c r="J5" s="413"/>
      <c r="K5" s="413"/>
    </row>
    <row r="6" spans="1:12" ht="31.5">
      <c r="A6" s="384" t="s">
        <v>89</v>
      </c>
      <c r="B6" s="381" t="s">
        <v>166</v>
      </c>
      <c r="C6" s="381"/>
      <c r="D6" s="384"/>
      <c r="E6" s="384"/>
      <c r="F6" s="384"/>
      <c r="G6" s="384"/>
      <c r="H6" s="384"/>
      <c r="I6" s="384"/>
      <c r="J6" s="384"/>
      <c r="K6" s="384"/>
    </row>
    <row r="7" spans="1:12" ht="47.25">
      <c r="A7" s="410" t="s">
        <v>90</v>
      </c>
      <c r="B7" s="379" t="s">
        <v>167</v>
      </c>
      <c r="C7" s="379"/>
      <c r="D7" s="410"/>
      <c r="E7" s="410"/>
      <c r="F7" s="410"/>
      <c r="G7" s="410"/>
      <c r="H7" s="410"/>
      <c r="I7" s="410"/>
      <c r="J7" s="410"/>
      <c r="K7" s="410"/>
    </row>
    <row r="8" spans="1:12" ht="15.75">
      <c r="A8" s="410" t="s">
        <v>580</v>
      </c>
      <c r="B8" s="379" t="s">
        <v>582</v>
      </c>
      <c r="C8" s="379"/>
      <c r="D8" s="410" t="s">
        <v>585</v>
      </c>
      <c r="E8" s="410"/>
      <c r="F8" s="410"/>
      <c r="G8" s="410"/>
      <c r="H8" s="410"/>
      <c r="I8" s="410"/>
      <c r="J8" s="410"/>
      <c r="K8" s="410"/>
    </row>
    <row r="9" spans="1:12" ht="15.75">
      <c r="A9" s="410" t="s">
        <v>581</v>
      </c>
      <c r="B9" s="379" t="s">
        <v>583</v>
      </c>
      <c r="C9" s="379"/>
      <c r="D9" s="410" t="s">
        <v>585</v>
      </c>
      <c r="E9" s="410"/>
      <c r="F9" s="410"/>
      <c r="G9" s="410"/>
      <c r="H9" s="410"/>
      <c r="I9" s="410"/>
      <c r="J9" s="410"/>
      <c r="K9" s="410"/>
    </row>
    <row r="10" spans="1:12" ht="110.25">
      <c r="A10" s="123">
        <v>4</v>
      </c>
      <c r="B10" s="381" t="s">
        <v>586</v>
      </c>
      <c r="C10" s="381"/>
      <c r="D10" s="381"/>
      <c r="E10" s="381"/>
      <c r="F10" s="381"/>
      <c r="G10" s="381"/>
      <c r="H10" s="384"/>
      <c r="I10" s="384"/>
      <c r="J10" s="384"/>
      <c r="K10" s="384"/>
    </row>
    <row r="11" spans="1:12" ht="283.5">
      <c r="A11" s="123" t="s">
        <v>288</v>
      </c>
      <c r="B11" s="381" t="s">
        <v>584</v>
      </c>
      <c r="C11" s="381"/>
      <c r="D11" s="381"/>
      <c r="E11" s="381"/>
      <c r="F11" s="381"/>
      <c r="G11" s="381"/>
      <c r="H11" s="384"/>
      <c r="I11" s="384"/>
      <c r="J11" s="384"/>
      <c r="K11" s="384"/>
    </row>
    <row r="12" spans="1:12" ht="141.75">
      <c r="A12" s="103"/>
      <c r="B12" s="408"/>
      <c r="C12" s="408"/>
      <c r="D12" s="408"/>
      <c r="E12" s="408"/>
      <c r="F12" s="408"/>
      <c r="G12" s="409" t="s">
        <v>168</v>
      </c>
      <c r="H12" s="409"/>
      <c r="I12" s="409"/>
      <c r="J12" s="409"/>
      <c r="K12" s="409"/>
    </row>
    <row r="13" spans="1:12" ht="362.25">
      <c r="A13" s="384" t="s">
        <v>568</v>
      </c>
      <c r="B13" s="394" t="s">
        <v>322</v>
      </c>
      <c r="C13" s="394"/>
      <c r="D13" s="394"/>
      <c r="E13" s="394"/>
      <c r="F13" s="394"/>
      <c r="G13" s="394"/>
      <c r="H13" s="394"/>
      <c r="I13" s="394"/>
      <c r="J13" s="394"/>
      <c r="K13" s="394"/>
    </row>
    <row r="14" spans="1:12" ht="78.75">
      <c r="A14" s="123">
        <v>5</v>
      </c>
      <c r="B14" s="397" t="s">
        <v>169</v>
      </c>
      <c r="C14" s="397"/>
      <c r="D14" s="397"/>
      <c r="E14" s="397"/>
      <c r="F14" s="397"/>
      <c r="G14" s="397"/>
      <c r="H14" s="397"/>
      <c r="I14" s="397"/>
      <c r="J14" s="397"/>
      <c r="K14" s="397"/>
    </row>
    <row r="15" spans="1:12" ht="31.5">
      <c r="A15" s="123" t="s">
        <v>587</v>
      </c>
      <c r="B15" s="384" t="s">
        <v>24</v>
      </c>
      <c r="C15" s="397"/>
      <c r="D15" s="397"/>
      <c r="E15" s="397"/>
      <c r="F15" s="397"/>
      <c r="G15" s="397"/>
      <c r="H15" s="397"/>
      <c r="I15" s="384" t="s">
        <v>615</v>
      </c>
      <c r="J15" s="397"/>
      <c r="K15" s="397"/>
    </row>
    <row r="16" spans="1:12" ht="393.75">
      <c r="A16" s="410" t="s">
        <v>170</v>
      </c>
      <c r="B16" s="398" t="s">
        <v>171</v>
      </c>
      <c r="C16" s="398"/>
      <c r="D16" s="398"/>
      <c r="E16" s="398"/>
      <c r="F16" s="398"/>
      <c r="G16" s="398"/>
      <c r="H16" s="398"/>
      <c r="I16" s="380"/>
      <c r="J16" s="380"/>
      <c r="K16" s="380"/>
    </row>
    <row r="17" spans="1:11" ht="110.25">
      <c r="A17" s="384" t="s">
        <v>172</v>
      </c>
      <c r="B17" s="389" t="s">
        <v>173</v>
      </c>
      <c r="C17" s="389"/>
      <c r="D17" s="389"/>
      <c r="E17" s="389"/>
      <c r="F17" s="389"/>
      <c r="G17" s="389"/>
      <c r="H17" s="397" t="s">
        <v>589</v>
      </c>
      <c r="I17" s="380"/>
      <c r="J17" s="380"/>
      <c r="K17" s="380"/>
    </row>
    <row r="18" spans="1:11" ht="126">
      <c r="A18" s="384" t="s">
        <v>174</v>
      </c>
      <c r="B18" s="389" t="s">
        <v>175</v>
      </c>
      <c r="C18" s="389"/>
      <c r="D18" s="389"/>
      <c r="E18" s="389"/>
      <c r="F18" s="389"/>
      <c r="G18" s="389"/>
      <c r="H18" s="397" t="s">
        <v>589</v>
      </c>
      <c r="I18" s="380"/>
      <c r="J18" s="380"/>
      <c r="K18" s="380"/>
    </row>
    <row r="19" spans="1:11" ht="78.75">
      <c r="A19" s="384" t="s">
        <v>176</v>
      </c>
      <c r="B19" s="389" t="s">
        <v>177</v>
      </c>
      <c r="C19" s="389"/>
      <c r="D19" s="389"/>
      <c r="E19" s="389"/>
      <c r="F19" s="389"/>
      <c r="G19" s="389"/>
      <c r="H19" s="397" t="s">
        <v>589</v>
      </c>
      <c r="I19" s="380"/>
      <c r="J19" s="380"/>
      <c r="K19" s="380"/>
    </row>
    <row r="20" spans="1:11" ht="204.75">
      <c r="A20" s="384" t="s">
        <v>178</v>
      </c>
      <c r="B20" s="398" t="s">
        <v>179</v>
      </c>
      <c r="C20" s="398"/>
      <c r="D20" s="398"/>
      <c r="E20" s="398"/>
      <c r="F20" s="398"/>
      <c r="G20" s="398"/>
      <c r="H20" s="397" t="s">
        <v>589</v>
      </c>
      <c r="I20" s="380"/>
      <c r="J20" s="380"/>
      <c r="K20" s="380"/>
    </row>
    <row r="21" spans="1:11" ht="236.25">
      <c r="A21" s="384" t="s">
        <v>180</v>
      </c>
      <c r="B21" s="389" t="s">
        <v>289</v>
      </c>
      <c r="C21" s="389"/>
      <c r="D21" s="389"/>
      <c r="E21" s="389"/>
      <c r="F21" s="389"/>
      <c r="G21" s="389"/>
      <c r="H21" s="397" t="s">
        <v>589</v>
      </c>
      <c r="I21" s="380"/>
      <c r="J21" s="380"/>
      <c r="K21" s="380"/>
    </row>
    <row r="22" spans="1:11" ht="94.5">
      <c r="A22" s="384" t="s">
        <v>181</v>
      </c>
      <c r="B22" s="389" t="s">
        <v>182</v>
      </c>
      <c r="C22" s="389"/>
      <c r="D22" s="389"/>
      <c r="E22" s="389"/>
      <c r="F22" s="389"/>
      <c r="G22" s="389"/>
      <c r="H22" s="394" t="s">
        <v>590</v>
      </c>
      <c r="I22" s="380"/>
      <c r="J22" s="380"/>
      <c r="K22" s="380"/>
    </row>
    <row r="23" spans="1:11" ht="94.5">
      <c r="A23" s="384" t="s">
        <v>183</v>
      </c>
      <c r="B23" s="389" t="s">
        <v>184</v>
      </c>
      <c r="C23" s="389"/>
      <c r="D23" s="389"/>
      <c r="E23" s="389"/>
      <c r="F23" s="389"/>
      <c r="G23" s="389"/>
      <c r="H23" s="394" t="s">
        <v>590</v>
      </c>
      <c r="I23" s="380"/>
      <c r="J23" s="380"/>
      <c r="K23" s="380"/>
    </row>
    <row r="24" spans="1:11" ht="126">
      <c r="A24" s="384" t="s">
        <v>185</v>
      </c>
      <c r="B24" s="398" t="s">
        <v>186</v>
      </c>
      <c r="C24" s="398"/>
      <c r="D24" s="398"/>
      <c r="E24" s="398"/>
      <c r="F24" s="398"/>
      <c r="G24" s="398"/>
      <c r="H24" s="394" t="s">
        <v>590</v>
      </c>
      <c r="I24" s="380"/>
      <c r="J24" s="380"/>
      <c r="K24" s="380"/>
    </row>
    <row r="25" spans="1:11" ht="220.5">
      <c r="A25" s="384" t="s">
        <v>187</v>
      </c>
      <c r="B25" s="398" t="s">
        <v>188</v>
      </c>
      <c r="C25" s="398"/>
      <c r="D25" s="398"/>
      <c r="E25" s="398"/>
      <c r="F25" s="398"/>
      <c r="G25" s="398"/>
      <c r="H25" s="394" t="s">
        <v>590</v>
      </c>
      <c r="I25" s="380"/>
      <c r="J25" s="380"/>
      <c r="K25" s="380"/>
    </row>
    <row r="26" spans="1:11" ht="141.75">
      <c r="A26" s="384" t="s">
        <v>189</v>
      </c>
      <c r="B26" s="398" t="s">
        <v>190</v>
      </c>
      <c r="C26" s="398"/>
      <c r="D26" s="398"/>
      <c r="E26" s="398"/>
      <c r="F26" s="398"/>
      <c r="G26" s="398"/>
      <c r="H26" s="394" t="s">
        <v>590</v>
      </c>
      <c r="I26" s="380"/>
      <c r="J26" s="380"/>
      <c r="K26" s="380"/>
    </row>
    <row r="27" spans="1:11" ht="110.25">
      <c r="A27" s="384" t="s">
        <v>191</v>
      </c>
      <c r="B27" s="389" t="s">
        <v>192</v>
      </c>
      <c r="C27" s="389"/>
      <c r="D27" s="389"/>
      <c r="E27" s="389"/>
      <c r="F27" s="389"/>
      <c r="G27" s="389"/>
      <c r="H27" s="394" t="s">
        <v>590</v>
      </c>
      <c r="I27" s="380"/>
      <c r="J27" s="380"/>
      <c r="K27" s="380"/>
    </row>
    <row r="28" spans="1:11" ht="141.75">
      <c r="A28" s="384" t="s">
        <v>193</v>
      </c>
      <c r="B28" s="398" t="s">
        <v>194</v>
      </c>
      <c r="C28" s="398"/>
      <c r="D28" s="398"/>
      <c r="E28" s="398"/>
      <c r="F28" s="398"/>
      <c r="G28" s="398"/>
      <c r="H28" s="394" t="s">
        <v>591</v>
      </c>
      <c r="I28" s="380"/>
      <c r="J28" s="380"/>
      <c r="K28" s="380"/>
    </row>
    <row r="29" spans="1:11" ht="126">
      <c r="A29" s="384" t="s">
        <v>195</v>
      </c>
      <c r="B29" s="398" t="s">
        <v>196</v>
      </c>
      <c r="C29" s="398"/>
      <c r="D29" s="398"/>
      <c r="E29" s="398"/>
      <c r="F29" s="398"/>
      <c r="G29" s="398"/>
      <c r="H29" s="394" t="s">
        <v>591</v>
      </c>
      <c r="I29" s="380"/>
      <c r="J29" s="380"/>
      <c r="K29" s="380"/>
    </row>
    <row r="30" spans="1:11" ht="110.25">
      <c r="A30" s="384" t="s">
        <v>197</v>
      </c>
      <c r="B30" s="405" t="s">
        <v>634</v>
      </c>
      <c r="C30" s="405"/>
      <c r="D30" s="405"/>
      <c r="E30" s="405"/>
      <c r="F30" s="405"/>
      <c r="G30" s="405"/>
      <c r="H30" s="394" t="s">
        <v>591</v>
      </c>
      <c r="I30" s="380"/>
      <c r="J30" s="380"/>
      <c r="K30" s="380"/>
    </row>
    <row r="31" spans="1:11" ht="165">
      <c r="A31" s="384" t="s">
        <v>199</v>
      </c>
      <c r="B31" s="407" t="s">
        <v>627</v>
      </c>
      <c r="C31" s="407"/>
      <c r="D31" s="407"/>
      <c r="E31" s="407"/>
      <c r="F31" s="407"/>
      <c r="G31" s="407"/>
      <c r="H31" s="407"/>
      <c r="I31" s="391"/>
      <c r="J31" s="391"/>
      <c r="K31" s="391"/>
    </row>
    <row r="32" spans="1:11" ht="94.5">
      <c r="A32" s="384" t="s">
        <v>200</v>
      </c>
      <c r="B32" s="389" t="s">
        <v>201</v>
      </c>
      <c r="C32" s="389"/>
      <c r="D32" s="389"/>
      <c r="E32" s="389"/>
      <c r="F32" s="389"/>
      <c r="G32" s="389"/>
      <c r="H32" s="389"/>
      <c r="I32" s="380"/>
      <c r="J32" s="380"/>
      <c r="K32" s="380"/>
    </row>
    <row r="33" spans="1:11" ht="78.75">
      <c r="A33" s="384" t="s">
        <v>202</v>
      </c>
      <c r="B33" s="389" t="s">
        <v>203</v>
      </c>
      <c r="C33" s="389"/>
      <c r="D33" s="389"/>
      <c r="E33" s="389"/>
      <c r="F33" s="389"/>
      <c r="G33" s="389"/>
      <c r="H33" s="389"/>
      <c r="I33" s="421"/>
      <c r="J33" s="421"/>
      <c r="K33" s="421"/>
    </row>
    <row r="34" spans="1:11" ht="409.5">
      <c r="A34" s="123">
        <v>6</v>
      </c>
      <c r="B34" s="401" t="s">
        <v>204</v>
      </c>
      <c r="C34" s="401"/>
      <c r="D34" s="401"/>
      <c r="E34" s="401"/>
      <c r="F34" s="401"/>
      <c r="G34" s="401"/>
      <c r="H34" s="401"/>
      <c r="I34" s="401"/>
      <c r="J34" s="401"/>
      <c r="K34" s="401"/>
    </row>
    <row r="35" spans="1:11" ht="47.25">
      <c r="A35" s="384" t="s">
        <v>6</v>
      </c>
      <c r="B35" s="381" t="s">
        <v>317</v>
      </c>
      <c r="C35" s="381"/>
      <c r="D35" s="381"/>
      <c r="E35" s="381"/>
      <c r="F35" s="381"/>
      <c r="G35" s="381"/>
      <c r="H35" s="381"/>
      <c r="I35" s="381"/>
      <c r="J35" s="381"/>
      <c r="K35" s="381"/>
    </row>
    <row r="36" spans="1:11" ht="409.5">
      <c r="A36" s="123">
        <v>7</v>
      </c>
      <c r="B36" s="406" t="s">
        <v>205</v>
      </c>
      <c r="C36" s="406"/>
      <c r="D36" s="406"/>
      <c r="E36" s="406"/>
      <c r="F36" s="406"/>
      <c r="G36" s="406"/>
      <c r="H36" s="406"/>
      <c r="I36" s="406"/>
      <c r="J36" s="406"/>
      <c r="K36" s="406"/>
    </row>
    <row r="37" spans="1:11" ht="31.5">
      <c r="A37" s="123" t="s">
        <v>587</v>
      </c>
      <c r="B37" s="384" t="s">
        <v>24</v>
      </c>
      <c r="C37" s="397"/>
      <c r="D37" s="397"/>
      <c r="E37" s="397"/>
      <c r="F37" s="397"/>
      <c r="G37" s="397"/>
      <c r="H37" s="397"/>
      <c r="I37" s="384" t="s">
        <v>615</v>
      </c>
      <c r="J37" s="397"/>
      <c r="K37" s="397"/>
    </row>
    <row r="38" spans="1:11" ht="110.25">
      <c r="A38" s="410" t="s">
        <v>170</v>
      </c>
      <c r="B38" s="405" t="s">
        <v>206</v>
      </c>
      <c r="C38" s="405"/>
      <c r="D38" s="405"/>
      <c r="E38" s="405"/>
      <c r="F38" s="405"/>
      <c r="G38" s="405"/>
      <c r="H38" s="405"/>
      <c r="I38" s="391"/>
      <c r="J38" s="391"/>
      <c r="K38" s="391"/>
    </row>
    <row r="39" spans="1:11" ht="157.5">
      <c r="A39" s="410" t="s">
        <v>172</v>
      </c>
      <c r="B39" s="398" t="s">
        <v>207</v>
      </c>
      <c r="C39" s="398"/>
      <c r="D39" s="398"/>
      <c r="E39" s="398"/>
      <c r="F39" s="398"/>
      <c r="G39" s="398"/>
      <c r="H39" s="398"/>
      <c r="I39" s="380"/>
      <c r="J39" s="380"/>
      <c r="K39" s="380"/>
    </row>
    <row r="40" spans="1:11" ht="94.5">
      <c r="A40" s="384" t="s">
        <v>174</v>
      </c>
      <c r="B40" s="389" t="s">
        <v>208</v>
      </c>
      <c r="C40" s="389"/>
      <c r="D40" s="389"/>
      <c r="E40" s="389"/>
      <c r="F40" s="389"/>
      <c r="G40" s="389"/>
      <c r="H40" s="389"/>
      <c r="I40" s="380"/>
      <c r="J40" s="380"/>
      <c r="K40" s="380"/>
    </row>
    <row r="41" spans="1:11" ht="157.5">
      <c r="A41" s="384" t="s">
        <v>176</v>
      </c>
      <c r="B41" s="398" t="s">
        <v>209</v>
      </c>
      <c r="C41" s="398"/>
      <c r="D41" s="398"/>
      <c r="E41" s="398"/>
      <c r="F41" s="398"/>
      <c r="G41" s="398"/>
      <c r="H41" s="398"/>
      <c r="I41" s="380"/>
      <c r="J41" s="380"/>
      <c r="K41" s="380"/>
    </row>
    <row r="42" spans="1:11" ht="110.25">
      <c r="A42" s="384" t="s">
        <v>178</v>
      </c>
      <c r="B42" s="389" t="s">
        <v>210</v>
      </c>
      <c r="C42" s="389"/>
      <c r="D42" s="389"/>
      <c r="E42" s="389"/>
      <c r="F42" s="389"/>
      <c r="G42" s="389"/>
      <c r="H42" s="389"/>
      <c r="I42" s="391"/>
      <c r="J42" s="391"/>
      <c r="K42" s="391"/>
    </row>
    <row r="43" spans="1:11" ht="126">
      <c r="A43" s="384" t="s">
        <v>180</v>
      </c>
      <c r="B43" s="398" t="s">
        <v>211</v>
      </c>
      <c r="C43" s="398"/>
      <c r="D43" s="398"/>
      <c r="E43" s="398"/>
      <c r="F43" s="398"/>
      <c r="G43" s="398"/>
      <c r="H43" s="398"/>
      <c r="I43" s="380"/>
      <c r="J43" s="380"/>
      <c r="K43" s="380"/>
    </row>
    <row r="44" spans="1:11" ht="78.75">
      <c r="A44" s="384" t="s">
        <v>181</v>
      </c>
      <c r="B44" s="389" t="s">
        <v>212</v>
      </c>
      <c r="C44" s="389"/>
      <c r="D44" s="389"/>
      <c r="E44" s="389"/>
      <c r="F44" s="389"/>
      <c r="G44" s="389"/>
      <c r="H44" s="389"/>
      <c r="I44" s="391"/>
      <c r="J44" s="391"/>
      <c r="K44" s="391"/>
    </row>
    <row r="45" spans="1:11" ht="409.5">
      <c r="A45" s="123">
        <v>8</v>
      </c>
      <c r="B45" s="403" t="s">
        <v>213</v>
      </c>
      <c r="C45" s="403"/>
      <c r="D45" s="403"/>
      <c r="E45" s="403"/>
      <c r="F45" s="403"/>
      <c r="G45" s="403"/>
      <c r="H45" s="403"/>
      <c r="I45" s="403"/>
      <c r="J45" s="403"/>
      <c r="K45" s="403"/>
    </row>
    <row r="46" spans="1:11" ht="47.25">
      <c r="A46" s="384" t="s">
        <v>6</v>
      </c>
      <c r="B46" s="381" t="s">
        <v>317</v>
      </c>
      <c r="C46" s="381"/>
      <c r="D46" s="381"/>
      <c r="E46" s="381"/>
      <c r="F46" s="381"/>
      <c r="G46" s="381"/>
      <c r="H46" s="381"/>
      <c r="I46" s="381"/>
      <c r="J46" s="381"/>
      <c r="K46" s="381"/>
    </row>
    <row r="47" spans="1:11" ht="63">
      <c r="A47" s="384" t="s">
        <v>569</v>
      </c>
      <c r="B47" s="404" t="s">
        <v>323</v>
      </c>
      <c r="C47" s="404"/>
      <c r="D47" s="404"/>
      <c r="E47" s="404"/>
      <c r="F47" s="404"/>
      <c r="G47" s="404"/>
      <c r="H47" s="404"/>
      <c r="I47" s="404"/>
      <c r="J47" s="404"/>
      <c r="K47" s="404"/>
    </row>
    <row r="48" spans="1:11" ht="409.5">
      <c r="A48" s="123">
        <v>9</v>
      </c>
      <c r="B48" s="401" t="s">
        <v>214</v>
      </c>
      <c r="C48" s="401"/>
      <c r="D48" s="401"/>
      <c r="E48" s="401"/>
      <c r="F48" s="401"/>
      <c r="G48" s="401"/>
      <c r="H48" s="401"/>
      <c r="I48" s="401"/>
      <c r="J48" s="401"/>
      <c r="K48" s="401"/>
    </row>
    <row r="49" spans="1:11" ht="31.5">
      <c r="A49" s="402" t="s">
        <v>587</v>
      </c>
      <c r="B49" s="384" t="s">
        <v>216</v>
      </c>
      <c r="C49" s="384"/>
      <c r="D49" s="384" t="s">
        <v>217</v>
      </c>
      <c r="E49" s="384"/>
      <c r="F49" s="384" t="s">
        <v>215</v>
      </c>
      <c r="G49" s="384"/>
      <c r="H49" s="384"/>
      <c r="I49" s="384"/>
      <c r="J49" s="384"/>
      <c r="K49" s="384"/>
    </row>
    <row r="50" spans="1:11" ht="47.25">
      <c r="A50" s="402"/>
      <c r="B50" s="384"/>
      <c r="C50" s="384"/>
      <c r="D50" s="384"/>
      <c r="E50" s="384"/>
      <c r="F50" s="384" t="s">
        <v>49</v>
      </c>
      <c r="G50" s="384" t="s">
        <v>592</v>
      </c>
      <c r="H50" s="384" t="s">
        <v>218</v>
      </c>
      <c r="I50" s="384"/>
      <c r="J50" s="384" t="s">
        <v>616</v>
      </c>
      <c r="K50" s="385"/>
    </row>
    <row r="51" spans="1:11" ht="15.75">
      <c r="A51" s="384" t="s">
        <v>170</v>
      </c>
      <c r="B51" s="383">
        <v>0.05</v>
      </c>
      <c r="C51" s="383"/>
      <c r="D51" s="380"/>
      <c r="E51" s="380"/>
      <c r="F51" s="380"/>
      <c r="G51" s="380"/>
      <c r="H51" s="380"/>
      <c r="I51" s="380"/>
      <c r="J51" s="380"/>
      <c r="K51" s="380"/>
    </row>
    <row r="52" spans="1:11" ht="15.75">
      <c r="A52" s="384" t="s">
        <v>172</v>
      </c>
      <c r="B52" s="381" t="s">
        <v>219</v>
      </c>
      <c r="C52" s="381"/>
      <c r="D52" s="380"/>
      <c r="E52" s="380"/>
      <c r="F52" s="380"/>
      <c r="G52" s="380"/>
      <c r="H52" s="380"/>
      <c r="I52" s="380"/>
      <c r="J52" s="380"/>
      <c r="K52" s="380"/>
    </row>
    <row r="53" spans="1:11" ht="15.75">
      <c r="A53" s="384" t="s">
        <v>174</v>
      </c>
      <c r="B53" s="383">
        <v>0.12</v>
      </c>
      <c r="C53" s="383"/>
      <c r="D53" s="380"/>
      <c r="E53" s="380"/>
      <c r="F53" s="380"/>
      <c r="G53" s="380"/>
      <c r="H53" s="380"/>
      <c r="I53" s="380"/>
      <c r="J53" s="380"/>
      <c r="K53" s="380"/>
    </row>
    <row r="54" spans="1:11" ht="31.5">
      <c r="A54" s="384" t="s">
        <v>176</v>
      </c>
      <c r="B54" s="381" t="s">
        <v>220</v>
      </c>
      <c r="C54" s="381"/>
      <c r="D54" s="380"/>
      <c r="E54" s="380"/>
      <c r="F54" s="380"/>
      <c r="G54" s="380"/>
      <c r="H54" s="380"/>
      <c r="I54" s="380"/>
      <c r="J54" s="380"/>
      <c r="K54" s="380"/>
    </row>
    <row r="55" spans="1:11" ht="15.75">
      <c r="A55" s="384" t="s">
        <v>178</v>
      </c>
      <c r="B55" s="383">
        <v>0.18</v>
      </c>
      <c r="C55" s="383"/>
      <c r="D55" s="380"/>
      <c r="E55" s="380"/>
      <c r="F55" s="380"/>
      <c r="G55" s="380"/>
      <c r="H55" s="380"/>
      <c r="I55" s="380"/>
      <c r="J55" s="380"/>
      <c r="K55" s="380"/>
    </row>
    <row r="56" spans="1:11" ht="31.5">
      <c r="A56" s="384" t="s">
        <v>180</v>
      </c>
      <c r="B56" s="381" t="s">
        <v>221</v>
      </c>
      <c r="C56" s="381"/>
      <c r="D56" s="380"/>
      <c r="E56" s="380"/>
      <c r="F56" s="380"/>
      <c r="G56" s="380"/>
      <c r="H56" s="380"/>
      <c r="I56" s="380"/>
      <c r="J56" s="380"/>
      <c r="K56" s="380"/>
    </row>
    <row r="57" spans="1:11" ht="15.75">
      <c r="A57" s="384" t="s">
        <v>181</v>
      </c>
      <c r="B57" s="383">
        <v>0.28000000000000003</v>
      </c>
      <c r="C57" s="383"/>
      <c r="D57" s="380"/>
      <c r="E57" s="380"/>
      <c r="F57" s="380"/>
      <c r="G57" s="380"/>
      <c r="H57" s="380"/>
      <c r="I57" s="380"/>
      <c r="J57" s="380"/>
      <c r="K57" s="380"/>
    </row>
    <row r="58" spans="1:11" ht="31.5">
      <c r="A58" s="384" t="s">
        <v>183</v>
      </c>
      <c r="B58" s="381" t="s">
        <v>222</v>
      </c>
      <c r="C58" s="381"/>
      <c r="D58" s="380"/>
      <c r="E58" s="380"/>
      <c r="F58" s="380"/>
      <c r="G58" s="380"/>
      <c r="H58" s="380"/>
      <c r="I58" s="380"/>
      <c r="J58" s="380"/>
      <c r="K58" s="380"/>
    </row>
    <row r="59" spans="1:11" ht="15.75">
      <c r="A59" s="384" t="s">
        <v>185</v>
      </c>
      <c r="B59" s="383">
        <v>0.03</v>
      </c>
      <c r="C59" s="383"/>
      <c r="D59" s="380"/>
      <c r="E59" s="380"/>
      <c r="F59" s="380"/>
      <c r="G59" s="380"/>
      <c r="H59" s="380"/>
      <c r="I59" s="380"/>
      <c r="J59" s="380"/>
      <c r="K59" s="380"/>
    </row>
    <row r="60" spans="1:11" ht="15.75">
      <c r="A60" s="384" t="s">
        <v>187</v>
      </c>
      <c r="B60" s="382">
        <v>2.5000000000000001E-3</v>
      </c>
      <c r="C60" s="382"/>
      <c r="D60" s="380"/>
      <c r="E60" s="380"/>
      <c r="F60" s="380"/>
      <c r="G60" s="380"/>
      <c r="H60" s="380"/>
      <c r="I60" s="380"/>
      <c r="J60" s="380"/>
      <c r="K60" s="380"/>
    </row>
    <row r="61" spans="1:11" ht="15.75">
      <c r="A61" s="384" t="s">
        <v>189</v>
      </c>
      <c r="B61" s="382">
        <v>1E-3</v>
      </c>
      <c r="C61" s="382"/>
      <c r="D61" s="380"/>
      <c r="E61" s="380"/>
      <c r="F61" s="380"/>
      <c r="G61" s="380"/>
      <c r="H61" s="380"/>
      <c r="I61" s="380"/>
      <c r="J61" s="380"/>
      <c r="K61" s="380"/>
    </row>
    <row r="62" spans="1:11" ht="15.75">
      <c r="A62" s="384" t="s">
        <v>191</v>
      </c>
      <c r="B62" s="381" t="s">
        <v>223</v>
      </c>
      <c r="C62" s="381"/>
      <c r="D62" s="399"/>
      <c r="E62" s="399"/>
      <c r="F62" s="380"/>
      <c r="G62" s="380"/>
      <c r="H62" s="380"/>
      <c r="I62" s="380"/>
      <c r="J62" s="380"/>
      <c r="K62" s="380"/>
    </row>
    <row r="63" spans="1:11" ht="15.75">
      <c r="A63" s="384" t="s">
        <v>193</v>
      </c>
      <c r="B63" s="381" t="s">
        <v>224</v>
      </c>
      <c r="C63" s="381"/>
      <c r="D63" s="399"/>
      <c r="E63" s="399"/>
      <c r="F63" s="380"/>
      <c r="G63" s="380"/>
      <c r="H63" s="380"/>
      <c r="I63" s="380"/>
      <c r="J63" s="380"/>
      <c r="K63" s="380"/>
    </row>
    <row r="64" spans="1:11" ht="15.75">
      <c r="A64" s="384" t="s">
        <v>195</v>
      </c>
      <c r="B64" s="381" t="s">
        <v>225</v>
      </c>
      <c r="C64" s="381"/>
      <c r="D64" s="399"/>
      <c r="E64" s="399"/>
      <c r="F64" s="380"/>
      <c r="G64" s="380"/>
      <c r="H64" s="380"/>
      <c r="I64" s="380"/>
      <c r="J64" s="380"/>
      <c r="K64" s="380"/>
    </row>
    <row r="65" spans="1:11" ht="15.75">
      <c r="A65" s="384" t="s">
        <v>197</v>
      </c>
      <c r="B65" s="381" t="s">
        <v>226</v>
      </c>
      <c r="C65" s="381"/>
      <c r="D65" s="399"/>
      <c r="E65" s="399"/>
      <c r="F65" s="380"/>
      <c r="G65" s="380"/>
      <c r="H65" s="380"/>
      <c r="I65" s="380"/>
      <c r="J65" s="380"/>
      <c r="K65" s="380"/>
    </row>
    <row r="66" spans="1:11" ht="110.25">
      <c r="A66" s="384" t="s">
        <v>199</v>
      </c>
      <c r="B66" s="379" t="s">
        <v>227</v>
      </c>
      <c r="C66" s="379"/>
      <c r="D66" s="399"/>
      <c r="E66" s="399"/>
      <c r="F66" s="400"/>
      <c r="G66" s="400"/>
      <c r="H66" s="400"/>
      <c r="I66" s="400"/>
      <c r="J66" s="400"/>
      <c r="K66" s="400"/>
    </row>
    <row r="67" spans="1:11" ht="141.75">
      <c r="A67" s="384" t="s">
        <v>200</v>
      </c>
      <c r="B67" s="381" t="s">
        <v>228</v>
      </c>
      <c r="C67" s="379"/>
      <c r="D67" s="399"/>
      <c r="E67" s="399"/>
      <c r="F67" s="380"/>
      <c r="G67" s="380"/>
      <c r="H67" s="380"/>
      <c r="I67" s="380"/>
      <c r="J67" s="380"/>
      <c r="K67" s="380"/>
    </row>
    <row r="68" spans="1:11" ht="94.5">
      <c r="A68" s="384" t="s">
        <v>202</v>
      </c>
      <c r="B68" s="381" t="s">
        <v>229</v>
      </c>
      <c r="C68" s="381"/>
      <c r="D68" s="390"/>
      <c r="E68" s="390"/>
      <c r="F68" s="400"/>
      <c r="G68" s="400"/>
      <c r="H68" s="420"/>
      <c r="I68" s="420"/>
      <c r="J68" s="420"/>
      <c r="K68" s="420"/>
    </row>
    <row r="69" spans="1:11" ht="110.25">
      <c r="A69" s="123">
        <v>10</v>
      </c>
      <c r="B69" s="384" t="s">
        <v>230</v>
      </c>
      <c r="C69" s="397"/>
      <c r="D69" s="397"/>
      <c r="E69" s="397"/>
      <c r="F69" s="397"/>
      <c r="G69" s="397"/>
      <c r="H69" s="397"/>
      <c r="I69" s="397"/>
      <c r="J69" s="397"/>
      <c r="K69" s="397"/>
    </row>
    <row r="70" spans="1:11" ht="47.25">
      <c r="A70" s="384" t="s">
        <v>6</v>
      </c>
      <c r="B70" s="389" t="s">
        <v>317</v>
      </c>
      <c r="C70" s="389"/>
      <c r="D70" s="389"/>
      <c r="E70" s="381"/>
      <c r="F70" s="381"/>
      <c r="G70" s="381"/>
      <c r="H70" s="381"/>
      <c r="I70" s="381"/>
      <c r="J70" s="381"/>
      <c r="K70" s="381"/>
    </row>
    <row r="71" spans="1:11" ht="283.5">
      <c r="A71" s="123">
        <v>11</v>
      </c>
      <c r="B71" s="394" t="s">
        <v>231</v>
      </c>
      <c r="C71" s="394"/>
      <c r="D71" s="394"/>
      <c r="E71" s="394"/>
      <c r="F71" s="394"/>
      <c r="G71" s="394"/>
      <c r="H71" s="394"/>
      <c r="I71" s="394"/>
      <c r="J71" s="394"/>
      <c r="K71" s="394"/>
    </row>
    <row r="72" spans="1:11" ht="299.25">
      <c r="A72" s="385"/>
      <c r="B72" s="387"/>
      <c r="C72" s="387"/>
      <c r="D72" s="387"/>
      <c r="E72" s="387"/>
      <c r="F72" s="388" t="s">
        <v>232</v>
      </c>
      <c r="G72" s="388"/>
      <c r="H72" s="388"/>
      <c r="I72" s="388"/>
      <c r="J72" s="388"/>
      <c r="K72" s="388"/>
    </row>
    <row r="73" spans="1:11" ht="47.25">
      <c r="A73" s="402" t="s">
        <v>587</v>
      </c>
      <c r="B73" s="384" t="s">
        <v>216</v>
      </c>
      <c r="C73" s="384"/>
      <c r="D73" s="384" t="s">
        <v>217</v>
      </c>
      <c r="E73" s="384"/>
      <c r="F73" s="384" t="s">
        <v>49</v>
      </c>
      <c r="G73" s="384" t="s">
        <v>592</v>
      </c>
      <c r="H73" s="384" t="s">
        <v>48</v>
      </c>
      <c r="I73" s="384"/>
      <c r="J73" s="384" t="s">
        <v>617</v>
      </c>
      <c r="K73" s="385"/>
    </row>
    <row r="74" spans="1:11" ht="15.75">
      <c r="A74" s="402" t="s">
        <v>6</v>
      </c>
      <c r="B74" s="383">
        <v>0.05</v>
      </c>
      <c r="C74" s="383"/>
      <c r="D74" s="380"/>
      <c r="E74" s="380"/>
      <c r="F74" s="380"/>
      <c r="G74" s="380"/>
      <c r="H74" s="380"/>
      <c r="I74" s="380"/>
      <c r="J74" s="380"/>
      <c r="K74" s="380"/>
    </row>
    <row r="75" spans="1:11" ht="15.75">
      <c r="A75" s="402" t="s">
        <v>7</v>
      </c>
      <c r="B75" s="383">
        <v>0.12</v>
      </c>
      <c r="C75" s="383"/>
      <c r="D75" s="380"/>
      <c r="E75" s="380"/>
      <c r="F75" s="380"/>
      <c r="G75" s="380"/>
      <c r="H75" s="380"/>
      <c r="I75" s="380"/>
      <c r="J75" s="380"/>
      <c r="K75" s="380"/>
    </row>
    <row r="76" spans="1:11" ht="15.75">
      <c r="A76" s="402" t="s">
        <v>8</v>
      </c>
      <c r="B76" s="383">
        <v>0.18</v>
      </c>
      <c r="C76" s="383"/>
      <c r="D76" s="380"/>
      <c r="E76" s="380"/>
      <c r="F76" s="380"/>
      <c r="G76" s="380"/>
      <c r="H76" s="380"/>
      <c r="I76" s="380"/>
      <c r="J76" s="380"/>
      <c r="K76" s="380"/>
    </row>
    <row r="77" spans="1:11" ht="15.75">
      <c r="A77" s="402" t="s">
        <v>9</v>
      </c>
      <c r="B77" s="383">
        <v>0.28000000000000003</v>
      </c>
      <c r="C77" s="383"/>
      <c r="D77" s="380"/>
      <c r="E77" s="380"/>
      <c r="F77" s="380"/>
      <c r="G77" s="380"/>
      <c r="H77" s="380"/>
      <c r="I77" s="380"/>
      <c r="J77" s="380"/>
      <c r="K77" s="380"/>
    </row>
    <row r="78" spans="1:11" ht="15.75">
      <c r="A78" s="402" t="s">
        <v>10</v>
      </c>
      <c r="B78" s="383">
        <v>0.03</v>
      </c>
      <c r="C78" s="383"/>
      <c r="D78" s="380"/>
      <c r="E78" s="380"/>
      <c r="F78" s="380"/>
      <c r="G78" s="380"/>
      <c r="H78" s="380"/>
      <c r="I78" s="380"/>
      <c r="J78" s="380"/>
      <c r="K78" s="380"/>
    </row>
    <row r="79" spans="1:11" ht="15.75">
      <c r="A79" s="402" t="s">
        <v>11</v>
      </c>
      <c r="B79" s="382">
        <v>2.5000000000000001E-3</v>
      </c>
      <c r="C79" s="382"/>
      <c r="D79" s="380"/>
      <c r="E79" s="380"/>
      <c r="F79" s="380"/>
      <c r="G79" s="380"/>
      <c r="H79" s="380"/>
      <c r="I79" s="380"/>
      <c r="J79" s="380"/>
      <c r="K79" s="380"/>
    </row>
    <row r="80" spans="1:11" ht="15.75">
      <c r="A80" s="402" t="s">
        <v>12</v>
      </c>
      <c r="B80" s="382">
        <v>1E-3</v>
      </c>
      <c r="C80" s="382"/>
      <c r="D80" s="380"/>
      <c r="E80" s="380"/>
      <c r="F80" s="380"/>
      <c r="G80" s="380"/>
      <c r="H80" s="380"/>
      <c r="I80" s="380"/>
      <c r="J80" s="380"/>
      <c r="K80" s="380"/>
    </row>
    <row r="81" spans="1:11" ht="15.75">
      <c r="A81" s="402" t="s">
        <v>14</v>
      </c>
      <c r="B81" s="381" t="s">
        <v>223</v>
      </c>
      <c r="C81" s="381"/>
      <c r="D81" s="399"/>
      <c r="E81" s="399"/>
      <c r="F81" s="380"/>
      <c r="G81" s="380"/>
      <c r="H81" s="380"/>
      <c r="I81" s="380"/>
      <c r="J81" s="380"/>
      <c r="K81" s="380"/>
    </row>
    <row r="82" spans="1:11" ht="15.75">
      <c r="A82" s="402" t="s">
        <v>16</v>
      </c>
      <c r="B82" s="381" t="s">
        <v>224</v>
      </c>
      <c r="C82" s="381"/>
      <c r="D82" s="399"/>
      <c r="E82" s="399"/>
      <c r="F82" s="380"/>
      <c r="G82" s="380"/>
      <c r="H82" s="380"/>
      <c r="I82" s="380"/>
      <c r="J82" s="380"/>
      <c r="K82" s="380"/>
    </row>
    <row r="83" spans="1:11" ht="15.75">
      <c r="A83" s="402" t="s">
        <v>17</v>
      </c>
      <c r="B83" s="381" t="s">
        <v>225</v>
      </c>
      <c r="C83" s="381"/>
      <c r="D83" s="399"/>
      <c r="E83" s="399"/>
      <c r="F83" s="380"/>
      <c r="G83" s="380"/>
      <c r="H83" s="380"/>
      <c r="I83" s="380"/>
      <c r="J83" s="380"/>
      <c r="K83" s="380"/>
    </row>
    <row r="84" spans="1:11" ht="47.25">
      <c r="A84" s="402" t="s">
        <v>18</v>
      </c>
      <c r="B84" s="379" t="s">
        <v>233</v>
      </c>
      <c r="C84" s="379"/>
      <c r="D84" s="399"/>
      <c r="E84" s="399"/>
      <c r="F84" s="380"/>
      <c r="G84" s="380"/>
      <c r="H84" s="380"/>
      <c r="I84" s="380"/>
      <c r="J84" s="380"/>
      <c r="K84" s="380"/>
    </row>
    <row r="85" spans="1:11" ht="110.25">
      <c r="A85" s="384" t="s">
        <v>570</v>
      </c>
      <c r="B85" s="397" t="s">
        <v>325</v>
      </c>
      <c r="C85" s="397"/>
      <c r="D85" s="397"/>
      <c r="E85" s="397"/>
      <c r="F85" s="397"/>
      <c r="G85" s="397"/>
      <c r="H85" s="397"/>
      <c r="I85" s="397"/>
      <c r="J85" s="397"/>
      <c r="K85" s="397"/>
    </row>
    <row r="86" spans="1:11" ht="15.75">
      <c r="A86" s="384"/>
      <c r="B86" s="397"/>
      <c r="C86" s="397"/>
      <c r="D86" s="397"/>
      <c r="E86" s="397"/>
      <c r="F86" s="397"/>
      <c r="G86" s="397"/>
      <c r="H86" s="397"/>
      <c r="I86" s="397"/>
      <c r="J86" s="397"/>
      <c r="K86" s="397"/>
    </row>
    <row r="87" spans="1:11" ht="110.25">
      <c r="A87" s="123">
        <v>12</v>
      </c>
      <c r="B87" s="397" t="s">
        <v>234</v>
      </c>
      <c r="C87" s="397"/>
      <c r="D87" s="397"/>
      <c r="E87" s="397"/>
      <c r="F87" s="397"/>
      <c r="G87" s="397"/>
      <c r="H87" s="397"/>
      <c r="I87" s="397"/>
      <c r="J87" s="397"/>
      <c r="K87" s="397"/>
    </row>
    <row r="88" spans="1:11" ht="31.5">
      <c r="A88" s="123" t="s">
        <v>587</v>
      </c>
      <c r="B88" s="384" t="s">
        <v>24</v>
      </c>
      <c r="C88" s="397"/>
      <c r="D88" s="397"/>
      <c r="E88" s="397"/>
      <c r="F88" s="397"/>
      <c r="G88" s="397"/>
      <c r="H88" s="397"/>
      <c r="I88" s="384" t="s">
        <v>615</v>
      </c>
      <c r="J88" s="397"/>
      <c r="K88" s="397"/>
    </row>
    <row r="89" spans="1:11" ht="362.25">
      <c r="A89" s="410" t="s">
        <v>170</v>
      </c>
      <c r="B89" s="379" t="s">
        <v>235</v>
      </c>
      <c r="C89" s="379"/>
      <c r="D89" s="379"/>
      <c r="E89" s="379"/>
      <c r="F89" s="379"/>
      <c r="G89" s="379"/>
      <c r="H89" s="379"/>
      <c r="I89" s="380"/>
      <c r="J89" s="380"/>
      <c r="K89" s="380"/>
    </row>
    <row r="90" spans="1:11" ht="141.75">
      <c r="A90" s="410" t="s">
        <v>172</v>
      </c>
      <c r="B90" s="379" t="s">
        <v>236</v>
      </c>
      <c r="C90" s="379"/>
      <c r="D90" s="379"/>
      <c r="E90" s="379"/>
      <c r="F90" s="379"/>
      <c r="G90" s="379"/>
      <c r="H90" s="379"/>
      <c r="I90" s="380"/>
      <c r="J90" s="380"/>
      <c r="K90" s="380"/>
    </row>
    <row r="91" spans="1:11" ht="189">
      <c r="A91" s="410" t="s">
        <v>174</v>
      </c>
      <c r="B91" s="379" t="s">
        <v>237</v>
      </c>
      <c r="C91" s="379"/>
      <c r="D91" s="379"/>
      <c r="E91" s="379"/>
      <c r="F91" s="379"/>
      <c r="G91" s="379"/>
      <c r="H91" s="379"/>
      <c r="I91" s="380"/>
      <c r="J91" s="380"/>
      <c r="K91" s="380"/>
    </row>
    <row r="92" spans="1:11" ht="141.75">
      <c r="A92" s="410" t="s">
        <v>176</v>
      </c>
      <c r="B92" s="379" t="s">
        <v>238</v>
      </c>
      <c r="C92" s="379"/>
      <c r="D92" s="379"/>
      <c r="E92" s="379"/>
      <c r="F92" s="379"/>
      <c r="G92" s="379"/>
      <c r="H92" s="379"/>
      <c r="I92" s="391"/>
      <c r="J92" s="391"/>
      <c r="K92" s="391"/>
    </row>
    <row r="93" spans="1:11" ht="78.75">
      <c r="A93" s="384" t="s">
        <v>178</v>
      </c>
      <c r="B93" s="381" t="s">
        <v>239</v>
      </c>
      <c r="C93" s="381"/>
      <c r="D93" s="381"/>
      <c r="E93" s="381"/>
      <c r="F93" s="381"/>
      <c r="G93" s="381"/>
      <c r="H93" s="381"/>
      <c r="I93" s="380"/>
      <c r="J93" s="380"/>
      <c r="K93" s="380"/>
    </row>
    <row r="94" spans="1:11" ht="47.25">
      <c r="A94" s="384" t="s">
        <v>180</v>
      </c>
      <c r="B94" s="381" t="s">
        <v>240</v>
      </c>
      <c r="C94" s="381"/>
      <c r="D94" s="381"/>
      <c r="E94" s="381"/>
      <c r="F94" s="381"/>
      <c r="G94" s="381"/>
      <c r="H94" s="381"/>
      <c r="I94" s="391"/>
      <c r="J94" s="391"/>
      <c r="K94" s="391"/>
    </row>
    <row r="95" spans="1:11" ht="110.25">
      <c r="A95" s="123">
        <v>13</v>
      </c>
      <c r="B95" s="397" t="s">
        <v>241</v>
      </c>
      <c r="C95" s="397"/>
      <c r="D95" s="397"/>
      <c r="E95" s="397"/>
      <c r="F95" s="397"/>
      <c r="G95" s="397"/>
      <c r="H95" s="397"/>
      <c r="I95" s="397"/>
      <c r="J95" s="397"/>
      <c r="K95" s="397"/>
    </row>
    <row r="96" spans="1:11" ht="47.25">
      <c r="A96" s="384" t="s">
        <v>6</v>
      </c>
      <c r="B96" s="381" t="s">
        <v>317</v>
      </c>
      <c r="C96" s="381"/>
      <c r="D96" s="381"/>
      <c r="E96" s="381"/>
      <c r="F96" s="381"/>
      <c r="G96" s="381"/>
      <c r="H96" s="381"/>
      <c r="I96" s="381"/>
      <c r="J96" s="381"/>
      <c r="K96" s="381"/>
    </row>
    <row r="97" spans="1:11" ht="409.5">
      <c r="A97" s="123">
        <v>14</v>
      </c>
      <c r="B97" s="394" t="s">
        <v>242</v>
      </c>
      <c r="C97" s="394"/>
      <c r="D97" s="394"/>
      <c r="E97" s="394"/>
      <c r="F97" s="394"/>
      <c r="G97" s="394"/>
      <c r="H97" s="394"/>
      <c r="I97" s="394"/>
      <c r="J97" s="394"/>
      <c r="K97" s="394"/>
    </row>
    <row r="98" spans="1:11" ht="78.75">
      <c r="A98" s="131" t="s">
        <v>587</v>
      </c>
      <c r="B98" s="384" t="s">
        <v>216</v>
      </c>
      <c r="C98" s="384"/>
      <c r="D98" s="384"/>
      <c r="E98" s="384" t="s">
        <v>243</v>
      </c>
      <c r="F98" s="384"/>
      <c r="G98" s="395" t="s">
        <v>244</v>
      </c>
      <c r="H98" s="395"/>
      <c r="I98" s="396" t="s">
        <v>245</v>
      </c>
      <c r="J98" s="396"/>
      <c r="K98" s="396"/>
    </row>
    <row r="99" spans="1:11" ht="31.5">
      <c r="A99" s="384" t="s">
        <v>6</v>
      </c>
      <c r="B99" s="389" t="s">
        <v>259</v>
      </c>
      <c r="C99" s="389"/>
      <c r="D99" s="389"/>
      <c r="E99" s="380"/>
      <c r="F99" s="380"/>
      <c r="G99" s="380"/>
      <c r="H99" s="380"/>
      <c r="I99" s="380"/>
      <c r="J99" s="380"/>
      <c r="K99" s="380"/>
    </row>
    <row r="100" spans="1:11" ht="31.5">
      <c r="A100" s="384" t="s">
        <v>7</v>
      </c>
      <c r="B100" s="389" t="s">
        <v>56</v>
      </c>
      <c r="C100" s="389"/>
      <c r="D100" s="389"/>
      <c r="E100" s="380"/>
      <c r="F100" s="380"/>
      <c r="G100" s="380"/>
      <c r="H100" s="380"/>
      <c r="I100" s="380"/>
      <c r="J100" s="380"/>
      <c r="K100" s="380"/>
    </row>
    <row r="101" spans="1:11" ht="47.25">
      <c r="A101" s="384" t="s">
        <v>8</v>
      </c>
      <c r="B101" s="389" t="s">
        <v>156</v>
      </c>
      <c r="C101" s="389"/>
      <c r="D101" s="389"/>
      <c r="E101" s="380"/>
      <c r="F101" s="380"/>
      <c r="G101" s="380"/>
      <c r="H101" s="380"/>
      <c r="I101" s="380"/>
      <c r="J101" s="380"/>
      <c r="K101" s="380"/>
    </row>
    <row r="102" spans="1:11" ht="110.25">
      <c r="A102" s="384" t="s">
        <v>9</v>
      </c>
      <c r="B102" s="393" t="s">
        <v>157</v>
      </c>
      <c r="C102" s="393"/>
      <c r="D102" s="393"/>
      <c r="E102" s="380"/>
      <c r="F102" s="380"/>
      <c r="G102" s="380"/>
      <c r="H102" s="380"/>
      <c r="I102" s="380"/>
      <c r="J102" s="380"/>
      <c r="K102" s="380"/>
    </row>
    <row r="103" spans="1:11" ht="63">
      <c r="A103" s="384" t="s">
        <v>10</v>
      </c>
      <c r="B103" s="389" t="s">
        <v>35</v>
      </c>
      <c r="C103" s="389"/>
      <c r="D103" s="389"/>
      <c r="E103" s="380"/>
      <c r="F103" s="380"/>
      <c r="G103" s="380"/>
      <c r="H103" s="380"/>
      <c r="I103" s="380"/>
      <c r="J103" s="380"/>
      <c r="K103" s="380"/>
    </row>
    <row r="104" spans="1:11" ht="189">
      <c r="A104" s="410" t="s">
        <v>11</v>
      </c>
      <c r="B104" s="393" t="s">
        <v>36</v>
      </c>
      <c r="C104" s="393"/>
      <c r="D104" s="393"/>
      <c r="E104" s="380"/>
      <c r="F104" s="380"/>
      <c r="G104" s="380"/>
      <c r="H104" s="380"/>
      <c r="I104" s="380"/>
      <c r="J104" s="380"/>
      <c r="K104" s="380"/>
    </row>
    <row r="105" spans="1:11" ht="15.75">
      <c r="A105" s="384" t="s">
        <v>12</v>
      </c>
      <c r="B105" s="389" t="s">
        <v>37</v>
      </c>
      <c r="C105" s="389"/>
      <c r="D105" s="389"/>
      <c r="E105" s="380"/>
      <c r="F105" s="380"/>
      <c r="G105" s="380"/>
      <c r="H105" s="380"/>
      <c r="I105" s="380"/>
      <c r="J105" s="380"/>
      <c r="K105" s="380"/>
    </row>
    <row r="106" spans="1:11" ht="94.5">
      <c r="A106" s="384" t="s">
        <v>14</v>
      </c>
      <c r="B106" s="393" t="s">
        <v>327</v>
      </c>
      <c r="C106" s="393"/>
      <c r="D106" s="393"/>
      <c r="E106" s="380"/>
      <c r="F106" s="380"/>
      <c r="G106" s="380"/>
      <c r="H106" s="380"/>
      <c r="I106" s="380"/>
      <c r="J106" s="380"/>
      <c r="K106" s="380"/>
    </row>
    <row r="107" spans="1:11" ht="47.25">
      <c r="A107" s="384" t="s">
        <v>16</v>
      </c>
      <c r="B107" s="389" t="s">
        <v>38</v>
      </c>
      <c r="C107" s="389"/>
      <c r="D107" s="389"/>
      <c r="E107" s="380"/>
      <c r="F107" s="380"/>
      <c r="G107" s="380"/>
      <c r="H107" s="380"/>
      <c r="I107" s="380"/>
      <c r="J107" s="380"/>
      <c r="K107" s="380"/>
    </row>
    <row r="108" spans="1:11" ht="31.5">
      <c r="A108" s="384" t="s">
        <v>17</v>
      </c>
      <c r="B108" s="389" t="s">
        <v>39</v>
      </c>
      <c r="C108" s="389"/>
      <c r="D108" s="389"/>
      <c r="E108" s="380"/>
      <c r="F108" s="380"/>
      <c r="G108" s="380"/>
      <c r="H108" s="380"/>
      <c r="I108" s="380"/>
      <c r="J108" s="380"/>
      <c r="K108" s="380"/>
    </row>
    <row r="109" spans="1:11" ht="47.25">
      <c r="A109" s="384" t="s">
        <v>18</v>
      </c>
      <c r="B109" s="389" t="s">
        <v>40</v>
      </c>
      <c r="C109" s="389"/>
      <c r="D109" s="389"/>
      <c r="E109" s="380"/>
      <c r="F109" s="380"/>
      <c r="G109" s="380"/>
      <c r="H109" s="380"/>
      <c r="I109" s="380"/>
      <c r="J109" s="380"/>
      <c r="K109" s="380"/>
    </row>
    <row r="110" spans="1:11" ht="94.5">
      <c r="A110" s="384" t="s">
        <v>20</v>
      </c>
      <c r="B110" s="393" t="s">
        <v>41</v>
      </c>
      <c r="C110" s="393"/>
      <c r="D110" s="393"/>
      <c r="E110" s="380"/>
      <c r="F110" s="380"/>
      <c r="G110" s="380"/>
      <c r="H110" s="380"/>
      <c r="I110" s="380"/>
      <c r="J110" s="380"/>
      <c r="K110" s="380"/>
    </row>
    <row r="111" spans="1:11" ht="63">
      <c r="A111" s="384" t="s">
        <v>21</v>
      </c>
      <c r="B111" s="393" t="s">
        <v>42</v>
      </c>
      <c r="C111" s="393"/>
      <c r="D111" s="393"/>
      <c r="E111" s="380"/>
      <c r="F111" s="380"/>
      <c r="G111" s="380"/>
      <c r="H111" s="380"/>
      <c r="I111" s="380"/>
      <c r="J111" s="380"/>
      <c r="K111" s="380"/>
    </row>
    <row r="112" spans="1:11" ht="63">
      <c r="A112" s="384" t="s">
        <v>22</v>
      </c>
      <c r="B112" s="393" t="s">
        <v>260</v>
      </c>
      <c r="C112" s="393"/>
      <c r="D112" s="393"/>
      <c r="E112" s="380"/>
      <c r="F112" s="380"/>
      <c r="G112" s="380"/>
      <c r="H112" s="380"/>
      <c r="I112" s="380"/>
      <c r="J112" s="380"/>
      <c r="K112" s="380"/>
    </row>
    <row r="113" spans="1:11" ht="31.5">
      <c r="A113" s="384" t="s">
        <v>29</v>
      </c>
      <c r="B113" s="389" t="s">
        <v>43</v>
      </c>
      <c r="C113" s="389"/>
      <c r="D113" s="389"/>
      <c r="E113" s="380"/>
      <c r="F113" s="380"/>
      <c r="G113" s="380"/>
      <c r="H113" s="380"/>
      <c r="I113" s="380"/>
      <c r="J113" s="380"/>
      <c r="K113" s="380"/>
    </row>
    <row r="114" spans="1:11" ht="63">
      <c r="A114" s="384" t="s">
        <v>31</v>
      </c>
      <c r="B114" s="389" t="s">
        <v>44</v>
      </c>
      <c r="C114" s="389"/>
      <c r="D114" s="389"/>
      <c r="E114" s="380"/>
      <c r="F114" s="380"/>
      <c r="G114" s="380"/>
      <c r="H114" s="380"/>
      <c r="I114" s="380"/>
      <c r="J114" s="380"/>
      <c r="K114" s="380"/>
    </row>
    <row r="115" spans="1:11" ht="63">
      <c r="A115" s="384" t="s">
        <v>32</v>
      </c>
      <c r="B115" s="389" t="s">
        <v>45</v>
      </c>
      <c r="C115" s="389"/>
      <c r="D115" s="389"/>
      <c r="E115" s="380"/>
      <c r="F115" s="380"/>
      <c r="G115" s="380"/>
      <c r="H115" s="380"/>
      <c r="I115" s="380"/>
      <c r="J115" s="380"/>
      <c r="K115" s="380"/>
    </row>
    <row r="116" spans="1:11" ht="78.75">
      <c r="A116" s="384" t="s">
        <v>202</v>
      </c>
      <c r="B116" s="389" t="s">
        <v>618</v>
      </c>
      <c r="C116" s="389"/>
      <c r="D116" s="389"/>
      <c r="E116" s="390"/>
      <c r="F116" s="390"/>
      <c r="G116" s="390"/>
      <c r="H116" s="390"/>
      <c r="I116" s="391"/>
      <c r="J116" s="391"/>
      <c r="K116" s="391"/>
    </row>
    <row r="117" spans="1:11" ht="78.75">
      <c r="A117" s="384" t="s">
        <v>246</v>
      </c>
      <c r="B117" s="389" t="s">
        <v>619</v>
      </c>
      <c r="C117" s="389"/>
      <c r="D117" s="389"/>
      <c r="E117" s="390"/>
      <c r="F117" s="390"/>
      <c r="G117" s="390"/>
      <c r="H117" s="390"/>
      <c r="I117" s="380"/>
      <c r="J117" s="380"/>
      <c r="K117" s="380"/>
    </row>
    <row r="118" spans="1:11" ht="47.25">
      <c r="A118" s="384" t="s">
        <v>247</v>
      </c>
      <c r="B118" s="389" t="s">
        <v>240</v>
      </c>
      <c r="C118" s="389"/>
      <c r="D118" s="389"/>
      <c r="E118" s="390"/>
      <c r="F118" s="390"/>
      <c r="G118" s="390"/>
      <c r="H118" s="390"/>
      <c r="I118" s="391"/>
      <c r="J118" s="391"/>
      <c r="K118" s="391"/>
    </row>
    <row r="119" spans="1:11" ht="409.5">
      <c r="A119" s="123">
        <v>15</v>
      </c>
      <c r="B119" s="392" t="s">
        <v>248</v>
      </c>
      <c r="C119" s="392"/>
      <c r="D119" s="392"/>
      <c r="E119" s="392"/>
      <c r="F119" s="392"/>
      <c r="G119" s="392"/>
      <c r="H119" s="392"/>
      <c r="I119" s="392"/>
      <c r="J119" s="392"/>
      <c r="K119" s="392"/>
    </row>
    <row r="120" spans="1:11" ht="47.25">
      <c r="A120" s="384" t="s">
        <v>6</v>
      </c>
      <c r="B120" s="389" t="s">
        <v>317</v>
      </c>
      <c r="C120" s="389"/>
      <c r="D120" s="389"/>
      <c r="E120" s="381"/>
      <c r="F120" s="381"/>
      <c r="G120" s="381"/>
      <c r="H120" s="381"/>
      <c r="I120" s="381"/>
      <c r="J120" s="381"/>
      <c r="K120" s="381"/>
    </row>
    <row r="121" spans="1:11" ht="220.5">
      <c r="A121" s="122">
        <v>16</v>
      </c>
      <c r="B121" s="385" t="s">
        <v>249</v>
      </c>
      <c r="C121" s="385"/>
      <c r="D121" s="385"/>
      <c r="E121" s="385"/>
      <c r="F121" s="385"/>
      <c r="G121" s="385"/>
      <c r="H121" s="385"/>
      <c r="I121" s="385"/>
      <c r="J121" s="385"/>
      <c r="K121" s="385"/>
    </row>
    <row r="122" spans="1:11" ht="31.5">
      <c r="A122" s="402" t="s">
        <v>587</v>
      </c>
      <c r="B122" s="384" t="s">
        <v>216</v>
      </c>
      <c r="C122" s="384"/>
      <c r="D122" s="384" t="s">
        <v>250</v>
      </c>
      <c r="E122" s="384"/>
      <c r="F122" s="384"/>
      <c r="G122" s="384"/>
      <c r="H122" s="384"/>
      <c r="I122" s="384"/>
      <c r="J122" s="384"/>
      <c r="K122" s="384"/>
    </row>
    <row r="123" spans="1:11" ht="31.5">
      <c r="A123" s="402" t="s">
        <v>6</v>
      </c>
      <c r="B123" s="381" t="s">
        <v>251</v>
      </c>
      <c r="C123" s="381"/>
      <c r="D123" s="380"/>
      <c r="E123" s="380"/>
      <c r="F123" s="380"/>
      <c r="G123" s="380"/>
      <c r="H123" s="380"/>
      <c r="I123" s="380"/>
      <c r="J123" s="380"/>
      <c r="K123" s="380"/>
    </row>
    <row r="124" spans="1:11" ht="31.5">
      <c r="A124" s="402" t="s">
        <v>7</v>
      </c>
      <c r="B124" s="379" t="s">
        <v>252</v>
      </c>
      <c r="C124" s="379"/>
      <c r="D124" s="380"/>
      <c r="E124" s="380"/>
      <c r="F124" s="380"/>
      <c r="G124" s="380"/>
      <c r="H124" s="380"/>
      <c r="I124" s="380"/>
      <c r="J124" s="380"/>
      <c r="K124" s="380"/>
    </row>
    <row r="125" spans="1:11" ht="47.25">
      <c r="A125" s="402" t="s">
        <v>8</v>
      </c>
      <c r="B125" s="379" t="s">
        <v>253</v>
      </c>
      <c r="C125" s="379"/>
      <c r="D125" s="380"/>
      <c r="E125" s="380"/>
      <c r="F125" s="380"/>
      <c r="G125" s="380"/>
      <c r="H125" s="380"/>
      <c r="I125" s="380"/>
      <c r="J125" s="380"/>
      <c r="K125" s="380"/>
    </row>
    <row r="126" spans="1:11" ht="15.75">
      <c r="A126" s="402" t="s">
        <v>9</v>
      </c>
      <c r="B126" s="381" t="s">
        <v>254</v>
      </c>
      <c r="C126" s="381"/>
      <c r="D126" s="380"/>
      <c r="E126" s="380"/>
      <c r="F126" s="380"/>
      <c r="G126" s="380"/>
      <c r="H126" s="380"/>
      <c r="I126" s="380"/>
      <c r="J126" s="380"/>
      <c r="K126" s="380"/>
    </row>
    <row r="127" spans="1:11" ht="15.75">
      <c r="A127" s="402" t="s">
        <v>10</v>
      </c>
      <c r="B127" s="381" t="s">
        <v>223</v>
      </c>
      <c r="C127" s="381"/>
      <c r="D127" s="380"/>
      <c r="E127" s="380"/>
      <c r="F127" s="380"/>
      <c r="G127" s="380"/>
      <c r="H127" s="380"/>
      <c r="I127" s="380"/>
      <c r="J127" s="380"/>
      <c r="K127" s="380"/>
    </row>
    <row r="128" spans="1:11" ht="15.75">
      <c r="A128" s="402" t="s">
        <v>11</v>
      </c>
      <c r="B128" s="381" t="s">
        <v>225</v>
      </c>
      <c r="C128" s="381"/>
      <c r="D128" s="380"/>
      <c r="E128" s="380"/>
      <c r="F128" s="380"/>
      <c r="G128" s="380"/>
      <c r="H128" s="380"/>
      <c r="I128" s="380"/>
      <c r="J128" s="380"/>
      <c r="K128" s="380"/>
    </row>
    <row r="129" spans="1:11" ht="252">
      <c r="A129" s="384" t="s">
        <v>571</v>
      </c>
      <c r="B129" s="386" t="s">
        <v>318</v>
      </c>
      <c r="C129" s="386"/>
      <c r="D129" s="386"/>
      <c r="E129" s="386"/>
      <c r="F129" s="386"/>
      <c r="G129" s="386"/>
      <c r="H129" s="386"/>
      <c r="I129" s="386"/>
      <c r="J129" s="386"/>
      <c r="K129" s="386"/>
    </row>
    <row r="130" spans="1:11" ht="299.25">
      <c r="A130" s="385"/>
      <c r="B130" s="387"/>
      <c r="C130" s="387"/>
      <c r="D130" s="387"/>
      <c r="E130" s="387"/>
      <c r="F130" s="388" t="s">
        <v>232</v>
      </c>
      <c r="G130" s="388"/>
      <c r="H130" s="388"/>
      <c r="I130" s="388"/>
      <c r="J130" s="388"/>
      <c r="K130" s="388"/>
    </row>
    <row r="131" spans="1:11" ht="47.25">
      <c r="A131" s="402" t="s">
        <v>587</v>
      </c>
      <c r="B131" s="384" t="s">
        <v>216</v>
      </c>
      <c r="C131" s="384"/>
      <c r="D131" s="384" t="s">
        <v>243</v>
      </c>
      <c r="E131" s="384"/>
      <c r="F131" s="384" t="s">
        <v>49</v>
      </c>
      <c r="G131" s="384" t="s">
        <v>592</v>
      </c>
      <c r="H131" s="384" t="s">
        <v>48</v>
      </c>
      <c r="I131" s="384"/>
      <c r="J131" s="384" t="s">
        <v>324</v>
      </c>
      <c r="K131" s="385"/>
    </row>
    <row r="132" spans="1:11" ht="15.75">
      <c r="A132" s="402" t="s">
        <v>6</v>
      </c>
      <c r="B132" s="383">
        <v>0.05</v>
      </c>
      <c r="C132" s="383"/>
      <c r="D132" s="380"/>
      <c r="E132" s="380"/>
      <c r="F132" s="380"/>
      <c r="G132" s="380"/>
      <c r="H132" s="380"/>
      <c r="I132" s="380"/>
      <c r="J132" s="380"/>
      <c r="K132" s="380"/>
    </row>
    <row r="133" spans="1:11" ht="15.75">
      <c r="A133" s="402" t="s">
        <v>7</v>
      </c>
      <c r="B133" s="383">
        <v>0.12</v>
      </c>
      <c r="C133" s="383"/>
      <c r="D133" s="380"/>
      <c r="E133" s="380"/>
      <c r="F133" s="380"/>
      <c r="G133" s="380"/>
      <c r="H133" s="380"/>
      <c r="I133" s="380"/>
      <c r="J133" s="380"/>
      <c r="K133" s="380"/>
    </row>
    <row r="134" spans="1:11" ht="15.75">
      <c r="A134" s="402" t="s">
        <v>8</v>
      </c>
      <c r="B134" s="383">
        <v>0.18</v>
      </c>
      <c r="C134" s="383"/>
      <c r="D134" s="380"/>
      <c r="E134" s="380"/>
      <c r="F134" s="380"/>
      <c r="G134" s="380"/>
      <c r="H134" s="380"/>
      <c r="I134" s="380"/>
      <c r="J134" s="380"/>
      <c r="K134" s="380"/>
    </row>
    <row r="135" spans="1:11" ht="15.75">
      <c r="A135" s="402" t="s">
        <v>9</v>
      </c>
      <c r="B135" s="383">
        <v>0.28000000000000003</v>
      </c>
      <c r="C135" s="383"/>
      <c r="D135" s="380"/>
      <c r="E135" s="380"/>
      <c r="F135" s="380"/>
      <c r="G135" s="380"/>
      <c r="H135" s="380"/>
      <c r="I135" s="380"/>
      <c r="J135" s="380"/>
      <c r="K135" s="380"/>
    </row>
    <row r="136" spans="1:11" ht="15.75">
      <c r="A136" s="402" t="s">
        <v>10</v>
      </c>
      <c r="B136" s="383">
        <v>0.03</v>
      </c>
      <c r="C136" s="383"/>
      <c r="D136" s="380"/>
      <c r="E136" s="380"/>
      <c r="F136" s="380"/>
      <c r="G136" s="380"/>
      <c r="H136" s="380"/>
      <c r="I136" s="380"/>
      <c r="J136" s="380"/>
      <c r="K136" s="380"/>
    </row>
    <row r="137" spans="1:11" ht="15.75">
      <c r="A137" s="402" t="s">
        <v>11</v>
      </c>
      <c r="B137" s="382">
        <v>2.5000000000000001E-3</v>
      </c>
      <c r="C137" s="382"/>
      <c r="D137" s="380"/>
      <c r="E137" s="380"/>
      <c r="F137" s="380"/>
      <c r="G137" s="380"/>
      <c r="H137" s="380"/>
      <c r="I137" s="380"/>
      <c r="J137" s="380"/>
      <c r="K137" s="380"/>
    </row>
    <row r="138" spans="1:11" ht="15.75">
      <c r="A138" s="402" t="s">
        <v>12</v>
      </c>
      <c r="B138" s="382">
        <v>1E-3</v>
      </c>
      <c r="C138" s="382"/>
      <c r="D138" s="380"/>
      <c r="E138" s="380"/>
      <c r="F138" s="380"/>
      <c r="G138" s="380"/>
      <c r="H138" s="380"/>
      <c r="I138" s="380"/>
      <c r="J138" s="380"/>
      <c r="K138" s="380"/>
    </row>
    <row r="139" spans="1:11" ht="47.25">
      <c r="A139" s="402" t="s">
        <v>14</v>
      </c>
      <c r="B139" s="379" t="s">
        <v>255</v>
      </c>
      <c r="C139" s="379"/>
      <c r="D139" s="380"/>
      <c r="E139" s="380"/>
      <c r="F139" s="380"/>
      <c r="G139" s="380"/>
      <c r="H139" s="380"/>
      <c r="I139" s="380"/>
      <c r="J139" s="380"/>
      <c r="K139" s="380"/>
    </row>
    <row r="140" spans="1:11" ht="15.75">
      <c r="A140" s="402" t="s">
        <v>16</v>
      </c>
      <c r="B140" s="381" t="s">
        <v>223</v>
      </c>
      <c r="C140" s="381"/>
      <c r="D140" s="380"/>
      <c r="E140" s="380"/>
      <c r="F140" s="380"/>
      <c r="G140" s="380"/>
      <c r="H140" s="380"/>
      <c r="I140" s="380"/>
      <c r="J140" s="380"/>
      <c r="K140" s="380"/>
    </row>
    <row r="141" spans="1:11" ht="15.75">
      <c r="A141" s="402" t="s">
        <v>17</v>
      </c>
      <c r="B141" s="381" t="s">
        <v>224</v>
      </c>
      <c r="C141" s="381"/>
      <c r="D141" s="380"/>
      <c r="E141" s="380"/>
      <c r="F141" s="380"/>
      <c r="G141" s="380"/>
      <c r="H141" s="380"/>
      <c r="I141" s="380"/>
      <c r="J141" s="380"/>
      <c r="K141" s="380"/>
    </row>
    <row r="142" spans="1:11" ht="15.75">
      <c r="A142" s="402" t="s">
        <v>18</v>
      </c>
      <c r="B142" s="381" t="s">
        <v>225</v>
      </c>
      <c r="C142" s="381"/>
      <c r="D142" s="380"/>
      <c r="E142" s="380"/>
      <c r="F142" s="380"/>
      <c r="G142" s="380"/>
      <c r="H142" s="380"/>
      <c r="I142" s="380"/>
      <c r="J142" s="380"/>
      <c r="K142" s="380"/>
    </row>
    <row r="143" spans="1:11" ht="173.25">
      <c r="A143" s="402" t="s">
        <v>20</v>
      </c>
      <c r="B143" s="381" t="s">
        <v>326</v>
      </c>
      <c r="C143" s="379"/>
      <c r="D143" s="380"/>
      <c r="E143" s="380"/>
      <c r="F143" s="380"/>
      <c r="G143" s="380"/>
      <c r="H143" s="380"/>
      <c r="I143" s="380"/>
      <c r="J143" s="380"/>
      <c r="K143" s="380"/>
    </row>
    <row r="144" spans="1:11" ht="78.75">
      <c r="A144" s="402" t="s">
        <v>21</v>
      </c>
      <c r="B144" s="379" t="s">
        <v>256</v>
      </c>
      <c r="C144" s="379"/>
      <c r="D144" s="380"/>
      <c r="E144" s="380"/>
      <c r="F144" s="380"/>
      <c r="G144" s="380"/>
      <c r="H144" s="380"/>
      <c r="I144" s="380"/>
      <c r="J144" s="380"/>
      <c r="K144" s="380"/>
    </row>
    <row r="145" spans="1:12" ht="94.5">
      <c r="A145" s="402" t="s">
        <v>22</v>
      </c>
      <c r="B145" s="379" t="s">
        <v>257</v>
      </c>
      <c r="C145" s="379"/>
      <c r="D145" s="380"/>
      <c r="E145" s="380"/>
      <c r="F145" s="380"/>
      <c r="G145" s="380"/>
      <c r="H145" s="380"/>
      <c r="I145" s="380"/>
      <c r="J145" s="380"/>
      <c r="K145" s="380"/>
    </row>
    <row r="146" spans="1:12" ht="47.25">
      <c r="A146" s="402" t="s">
        <v>29</v>
      </c>
      <c r="B146" s="379" t="s">
        <v>258</v>
      </c>
      <c r="C146" s="379"/>
      <c r="D146" s="380"/>
      <c r="E146" s="380"/>
      <c r="F146" s="380"/>
      <c r="G146" s="380"/>
      <c r="H146" s="380"/>
      <c r="I146" s="380"/>
      <c r="J146" s="380"/>
      <c r="K146" s="380"/>
    </row>
    <row r="147" spans="1:12" ht="15.75">
      <c r="A147" s="62"/>
    </row>
    <row r="148" spans="1:12" ht="409.5">
      <c r="A148" s="378" t="s">
        <v>316</v>
      </c>
      <c r="B148" s="378"/>
      <c r="C148" s="378"/>
      <c r="D148" s="378"/>
      <c r="E148" s="378"/>
      <c r="F148" s="378"/>
      <c r="G148" s="378"/>
      <c r="H148" s="378"/>
      <c r="I148" s="378"/>
      <c r="J148" s="378"/>
      <c r="K148" s="378"/>
      <c r="L148" s="66"/>
    </row>
    <row r="149" spans="1:12" ht="15.75">
      <c r="A149" s="378"/>
      <c r="B149" s="378"/>
      <c r="C149" s="378"/>
      <c r="D149" s="378"/>
      <c r="E149" s="378"/>
      <c r="F149" s="378"/>
      <c r="G149" s="378"/>
      <c r="H149" s="378"/>
      <c r="I149" s="378"/>
      <c r="J149" s="378"/>
      <c r="K149" s="378"/>
      <c r="L149" s="66"/>
    </row>
    <row r="150" spans="1:12" ht="15.75">
      <c r="A150" s="378"/>
      <c r="B150" s="378"/>
      <c r="C150" s="378"/>
      <c r="D150" s="378"/>
      <c r="E150" s="378"/>
      <c r="F150" s="378"/>
      <c r="G150" s="378"/>
      <c r="H150" s="378"/>
      <c r="I150" s="378"/>
      <c r="J150" s="378"/>
      <c r="K150" s="378"/>
      <c r="L150" s="66"/>
    </row>
    <row r="151" spans="1:12" ht="15.75">
      <c r="A151" s="354"/>
      <c r="B151" s="354"/>
      <c r="C151" s="354"/>
      <c r="D151" s="354"/>
      <c r="E151" s="354"/>
      <c r="F151" s="354"/>
      <c r="G151" s="354"/>
      <c r="H151" s="354"/>
      <c r="I151" s="354"/>
      <c r="J151" s="354"/>
      <c r="K151" s="354"/>
    </row>
    <row r="152" spans="1:12" ht="31.5">
      <c r="A152" s="354" t="s">
        <v>593</v>
      </c>
      <c r="B152" s="354"/>
      <c r="C152" s="354"/>
      <c r="D152" s="354"/>
      <c r="E152" s="354"/>
      <c r="F152" s="349" t="str">
        <f>IF('PT V'!E25="","",'PT V'!E25)</f>
        <v>FARIDABAD</v>
      </c>
      <c r="G152" s="349"/>
      <c r="H152" s="349"/>
      <c r="I152" s="354"/>
      <c r="J152" s="354"/>
      <c r="K152" s="354"/>
    </row>
    <row r="153" spans="1:12" ht="47.25">
      <c r="A153" s="354" t="s">
        <v>594</v>
      </c>
      <c r="B153" s="354"/>
      <c r="C153" s="354"/>
      <c r="D153" s="354"/>
      <c r="E153" s="354"/>
      <c r="F153" s="349" t="str">
        <f>IF('PT V'!E26="","",'PT V'!E26)</f>
        <v>GYAN BHARDWAJ</v>
      </c>
      <c r="G153" s="349"/>
      <c r="H153" s="349"/>
      <c r="I153" s="354"/>
      <c r="J153" s="354"/>
      <c r="K153" s="354"/>
    </row>
    <row r="154" spans="1:12" ht="15.75">
      <c r="A154" s="354" t="s">
        <v>595</v>
      </c>
      <c r="B154" s="354"/>
      <c r="C154" s="354"/>
      <c r="D154" s="354"/>
      <c r="E154" s="354"/>
      <c r="F154" s="349" t="str">
        <f>IF('PT V'!E27="","",'PT V'!E27)</f>
        <v>81488</v>
      </c>
      <c r="G154" s="349"/>
      <c r="H154" s="349"/>
      <c r="I154" s="354"/>
      <c r="J154" s="354"/>
      <c r="K154" s="354"/>
    </row>
    <row r="155" spans="1:12" ht="15.75">
      <c r="A155" s="354" t="s">
        <v>596</v>
      </c>
      <c r="B155" s="354"/>
      <c r="C155" s="354"/>
      <c r="D155" s="354"/>
      <c r="E155" s="354"/>
      <c r="F155" s="356" t="str">
        <f>IF('PT V'!E28="","",'PT V'!E28)</f>
        <v>24/08/2019</v>
      </c>
      <c r="G155" s="356"/>
      <c r="H155" s="356"/>
      <c r="I155" s="354"/>
      <c r="J155" s="354"/>
      <c r="K155" s="354"/>
    </row>
    <row r="156" spans="1:12" ht="15.75">
      <c r="A156" s="354" t="s">
        <v>598</v>
      </c>
      <c r="B156" s="354"/>
      <c r="C156" s="350" t="s">
        <v>597</v>
      </c>
      <c r="D156" s="351"/>
      <c r="E156" s="352"/>
      <c r="F156" s="349" t="str">
        <f>'PT V'!E29</f>
        <v>B-545</v>
      </c>
      <c r="G156" s="349"/>
      <c r="H156" s="347" t="s">
        <v>158</v>
      </c>
      <c r="I156" s="347"/>
      <c r="J156" s="348" t="str">
        <f>IF('PT V'!G29="","",'PT V'!G29)</f>
        <v>2ND</v>
      </c>
      <c r="K156" s="349"/>
    </row>
    <row r="157" spans="1:12" ht="63">
      <c r="A157" s="354"/>
      <c r="B157" s="354"/>
      <c r="C157" s="353" t="s">
        <v>624</v>
      </c>
      <c r="D157" s="347"/>
      <c r="E157" s="347"/>
      <c r="F157" s="349" t="str">
        <f>IF('PT V'!E30="","",'PT V'!E30)</f>
        <v/>
      </c>
      <c r="G157" s="349"/>
      <c r="H157" s="347" t="s">
        <v>601</v>
      </c>
      <c r="I157" s="347"/>
      <c r="J157" s="349" t="str">
        <f>'PT V'!G30</f>
        <v>NEHRU GROUND</v>
      </c>
      <c r="K157" s="349"/>
    </row>
    <row r="158" spans="1:12" ht="31.5">
      <c r="A158" s="354"/>
      <c r="B158" s="354"/>
      <c r="C158" s="347" t="s">
        <v>611</v>
      </c>
      <c r="D158" s="347"/>
      <c r="E158" s="347"/>
      <c r="F158" s="349" t="str">
        <f>'PT V'!E31</f>
        <v>FARIDABAD</v>
      </c>
      <c r="G158" s="349"/>
      <c r="H158" s="347" t="s">
        <v>600</v>
      </c>
      <c r="I158" s="347"/>
      <c r="J158" s="349" t="str">
        <f>'PT V'!G31</f>
        <v>FARIDABAD</v>
      </c>
      <c r="K158" s="349"/>
    </row>
    <row r="159" spans="1:12" ht="31.5">
      <c r="A159" s="354"/>
      <c r="B159" s="354"/>
      <c r="C159" s="350" t="s">
        <v>599</v>
      </c>
      <c r="D159" s="351"/>
      <c r="E159" s="352"/>
      <c r="F159" s="349" t="str">
        <f>'PT V'!E32</f>
        <v>HARYANA</v>
      </c>
      <c r="G159" s="349"/>
      <c r="H159" s="347" t="s">
        <v>602</v>
      </c>
      <c r="I159" s="347"/>
      <c r="J159" s="349">
        <f>'PT V'!G32</f>
        <v>121001</v>
      </c>
      <c r="K159" s="349"/>
    </row>
    <row r="160" spans="1:12" ht="15.75">
      <c r="A160" s="354"/>
      <c r="B160" s="354"/>
      <c r="C160" s="107"/>
      <c r="D160" s="107"/>
      <c r="E160" s="107"/>
      <c r="F160" s="366"/>
      <c r="G160" s="366"/>
      <c r="H160" s="107"/>
      <c r="I160" s="107"/>
      <c r="J160" s="366"/>
      <c r="K160" s="366"/>
    </row>
    <row r="161" spans="1:11" ht="15.75">
      <c r="A161" s="354" t="s">
        <v>628</v>
      </c>
      <c r="B161" s="354"/>
      <c r="C161" s="354"/>
      <c r="D161" s="354"/>
      <c r="E161" s="354"/>
      <c r="F161" s="419" t="str">
        <f>'PT V'!E34</f>
        <v>ABXPB5439M</v>
      </c>
      <c r="G161" s="419"/>
      <c r="H161" s="354"/>
      <c r="I161" s="354"/>
      <c r="J161" s="354"/>
      <c r="K161" s="354"/>
    </row>
    <row r="162" spans="1:11" ht="15.75">
      <c r="A162" s="359"/>
      <c r="B162" s="359"/>
      <c r="C162" s="354"/>
      <c r="D162" s="354"/>
      <c r="E162" s="354"/>
      <c r="F162" s="359"/>
      <c r="G162" s="359"/>
      <c r="H162" s="354"/>
      <c r="I162" s="354"/>
      <c r="J162" s="354"/>
      <c r="K162" s="354"/>
    </row>
    <row r="163" spans="1:11" ht="409.5">
      <c r="A163" s="418" t="s">
        <v>613</v>
      </c>
      <c r="B163" s="418"/>
      <c r="C163" s="418"/>
      <c r="D163" s="418"/>
      <c r="E163" s="418"/>
      <c r="F163" s="418"/>
      <c r="G163" s="418"/>
      <c r="H163" s="418"/>
      <c r="I163" s="418"/>
      <c r="J163" s="418"/>
      <c r="K163" s="418"/>
    </row>
    <row r="164" spans="1:11" ht="15.75">
      <c r="A164" s="354"/>
      <c r="B164" s="354"/>
      <c r="C164" s="354"/>
      <c r="D164" s="354"/>
      <c r="E164" s="354"/>
      <c r="F164" s="354"/>
      <c r="G164" s="354"/>
      <c r="H164" s="354"/>
      <c r="I164" s="354"/>
      <c r="J164" s="354"/>
      <c r="K164" s="354"/>
    </row>
    <row r="165" spans="1:11" ht="15.75">
      <c r="A165" s="356" t="str">
        <f>'Part B (ii)'!B5</f>
        <v>I</v>
      </c>
      <c r="B165" s="354" t="s">
        <v>114</v>
      </c>
      <c r="C165" s="354"/>
      <c r="D165" s="354"/>
      <c r="E165" s="354"/>
      <c r="F165" s="354"/>
      <c r="G165" s="354"/>
      <c r="H165" s="354"/>
      <c r="I165" s="354"/>
      <c r="J165" s="354"/>
      <c r="K165" s="354"/>
    </row>
    <row r="166" spans="1:11" ht="15.75">
      <c r="A166" s="373"/>
      <c r="B166" s="354"/>
      <c r="C166" s="354"/>
      <c r="D166" s="354"/>
      <c r="E166" s="354"/>
      <c r="F166" s="354"/>
      <c r="G166" s="354"/>
      <c r="H166" s="354"/>
      <c r="I166" s="354"/>
      <c r="J166" s="354"/>
      <c r="K166" s="354"/>
    </row>
    <row r="167" spans="1:11" ht="141.75">
      <c r="A167" s="417" t="s">
        <v>609</v>
      </c>
      <c r="B167" s="354"/>
      <c r="C167" s="356" t="str">
        <f>'Part B (ii)'!C7</f>
        <v>M/S</v>
      </c>
      <c r="D167" s="356"/>
      <c r="E167" s="349" t="str">
        <f>'Part B (ii)'!D7</f>
        <v>AMCO DIGITAL SCALES PRIVATE LIMITED</v>
      </c>
      <c r="F167" s="349"/>
      <c r="G167" s="349"/>
      <c r="H167" s="354"/>
      <c r="I167" s="354"/>
      <c r="J167" s="354"/>
      <c r="K167" s="354"/>
    </row>
    <row r="168" spans="1:11" ht="15.75">
      <c r="A168" s="354"/>
      <c r="B168" s="354"/>
      <c r="C168" s="354"/>
      <c r="D168" s="354"/>
      <c r="E168" s="354"/>
      <c r="F168" s="354"/>
      <c r="G168" s="354"/>
      <c r="H168" s="354"/>
      <c r="I168" s="354"/>
      <c r="J168" s="354"/>
      <c r="K168" s="354"/>
    </row>
    <row r="169" spans="1:11" ht="31.5">
      <c r="A169" s="354" t="s">
        <v>610</v>
      </c>
      <c r="B169" s="354"/>
      <c r="C169" s="350" t="s">
        <v>597</v>
      </c>
      <c r="D169" s="351"/>
      <c r="E169" s="352"/>
      <c r="F169" s="348" t="str">
        <f>'Part B (ii)'!D9</f>
        <v>1B/6A</v>
      </c>
      <c r="G169" s="348"/>
      <c r="H169" s="347" t="s">
        <v>158</v>
      </c>
      <c r="I169" s="347"/>
      <c r="J169" s="349" t="str">
        <f>IF('Part B (ii)'!F9="","",'Part B (ii)'!F9)</f>
        <v>1ST FLOOR</v>
      </c>
      <c r="K169" s="349"/>
    </row>
    <row r="170" spans="1:11" ht="63">
      <c r="A170" s="354"/>
      <c r="B170" s="354"/>
      <c r="C170" s="353" t="s">
        <v>624</v>
      </c>
      <c r="D170" s="347"/>
      <c r="E170" s="347"/>
      <c r="F170" s="349" t="str">
        <f>IF('Part B (ii)'!D10="","",'Part B (ii)'!D10)</f>
        <v>SIDANA MARKET</v>
      </c>
      <c r="G170" s="349"/>
      <c r="H170" s="347" t="s">
        <v>601</v>
      </c>
      <c r="I170" s="347"/>
      <c r="J170" s="349" t="str">
        <f>IF('Part B (ii)'!F10="","",'Part B (ii)'!F10)</f>
        <v>NIT</v>
      </c>
      <c r="K170" s="349"/>
    </row>
    <row r="171" spans="1:11" ht="31.5">
      <c r="A171" s="354"/>
      <c r="B171" s="354"/>
      <c r="C171" s="347" t="s">
        <v>611</v>
      </c>
      <c r="D171" s="347"/>
      <c r="E171" s="347"/>
      <c r="F171" s="348" t="str">
        <f>'Part B (ii)'!D11</f>
        <v>FARIDABAD</v>
      </c>
      <c r="G171" s="348"/>
      <c r="H171" s="347" t="s">
        <v>600</v>
      </c>
      <c r="I171" s="347"/>
      <c r="J171" s="348" t="str">
        <f>'Part B (ii)'!F11</f>
        <v>FARIDABAD</v>
      </c>
      <c r="K171" s="348"/>
    </row>
    <row r="172" spans="1:11" ht="31.5">
      <c r="A172" s="354"/>
      <c r="B172" s="354"/>
      <c r="C172" s="350" t="s">
        <v>599</v>
      </c>
      <c r="D172" s="351"/>
      <c r="E172" s="352"/>
      <c r="F172" s="349" t="str">
        <f>'Part B (ii)'!D12</f>
        <v>HARYANA</v>
      </c>
      <c r="G172" s="349"/>
      <c r="H172" s="347" t="s">
        <v>602</v>
      </c>
      <c r="I172" s="347"/>
      <c r="J172" s="349">
        <f>'Part B (ii)'!F12</f>
        <v>121001</v>
      </c>
      <c r="K172" s="349"/>
    </row>
    <row r="173" spans="1:11" ht="15.75">
      <c r="A173" s="354"/>
      <c r="B173" s="354"/>
      <c r="C173" s="354"/>
      <c r="D173" s="354"/>
      <c r="E173" s="354"/>
      <c r="F173" s="354"/>
      <c r="G173" s="354"/>
      <c r="H173" s="354"/>
      <c r="I173" s="354"/>
      <c r="J173" s="354"/>
      <c r="K173" s="354"/>
    </row>
    <row r="174" spans="1:11" ht="15.75">
      <c r="A174" s="360" t="s">
        <v>115</v>
      </c>
      <c r="B174" s="360"/>
      <c r="C174" s="360"/>
      <c r="D174" s="354"/>
      <c r="E174" s="354"/>
      <c r="F174" s="354"/>
      <c r="G174" s="354"/>
      <c r="H174" s="354"/>
      <c r="I174" s="354"/>
      <c r="J174" s="354"/>
      <c r="K174" s="354"/>
    </row>
    <row r="175" spans="1:11" ht="15.75">
      <c r="A175" s="354"/>
      <c r="B175" s="354"/>
      <c r="C175" s="354"/>
      <c r="D175" s="354"/>
      <c r="E175" s="354"/>
      <c r="F175" s="354"/>
      <c r="G175" s="354"/>
      <c r="H175" s="354"/>
      <c r="I175" s="354"/>
      <c r="J175" s="354"/>
      <c r="K175" s="354"/>
    </row>
    <row r="176" spans="1:11" ht="78.75">
      <c r="A176" s="373" t="s">
        <v>609</v>
      </c>
      <c r="B176" s="354"/>
      <c r="C176" s="356" t="str">
        <f>'Part B (ii)'!C16</f>
        <v>M/S</v>
      </c>
      <c r="D176" s="356"/>
      <c r="E176" s="349" t="str">
        <f>'Part B (ii)'!D16</f>
        <v>BHARDWAJ AND COMPANY</v>
      </c>
      <c r="F176" s="349"/>
      <c r="G176" s="349"/>
      <c r="H176" s="354"/>
      <c r="I176" s="354"/>
      <c r="J176" s="354"/>
      <c r="K176" s="354"/>
    </row>
    <row r="177" spans="1:11" ht="15.75">
      <c r="A177" s="354"/>
      <c r="B177" s="354"/>
      <c r="C177" s="354"/>
      <c r="D177" s="354"/>
      <c r="E177" s="354"/>
      <c r="F177" s="354"/>
      <c r="G177" s="354"/>
      <c r="H177" s="354"/>
      <c r="I177" s="354"/>
      <c r="J177" s="354"/>
      <c r="K177" s="354"/>
    </row>
    <row r="178" spans="1:11" ht="31.5">
      <c r="A178" s="354" t="s">
        <v>610</v>
      </c>
      <c r="B178" s="354"/>
      <c r="C178" s="350" t="s">
        <v>597</v>
      </c>
      <c r="D178" s="351"/>
      <c r="E178" s="352"/>
      <c r="F178" s="348" t="str">
        <f>'Part B (ii)'!D18</f>
        <v>B-545</v>
      </c>
      <c r="G178" s="348"/>
      <c r="H178" s="347" t="s">
        <v>158</v>
      </c>
      <c r="I178" s="347"/>
      <c r="J178" s="349" t="str">
        <f>IF('Part B (ii)'!F18="","",'Part B (ii)'!F18)</f>
        <v>2ND FLOOR</v>
      </c>
      <c r="K178" s="349"/>
    </row>
    <row r="179" spans="1:11" ht="63">
      <c r="A179" s="354"/>
      <c r="B179" s="354"/>
      <c r="C179" s="353" t="s">
        <v>624</v>
      </c>
      <c r="D179" s="347"/>
      <c r="E179" s="347"/>
      <c r="F179" s="349" t="str">
        <f>IF('Part B (ii)'!D19="","",'Part B (ii)'!D19)</f>
        <v/>
      </c>
      <c r="G179" s="349"/>
      <c r="H179" s="347" t="s">
        <v>601</v>
      </c>
      <c r="I179" s="347"/>
      <c r="J179" s="349" t="str">
        <f>IF('Part B (ii)'!F19="","",'Part B (ii)'!F19)</f>
        <v>NEHRU GROUND NIT</v>
      </c>
      <c r="K179" s="349"/>
    </row>
    <row r="180" spans="1:11" ht="31.5">
      <c r="A180" s="354"/>
      <c r="B180" s="354"/>
      <c r="C180" s="347" t="s">
        <v>611</v>
      </c>
      <c r="D180" s="347"/>
      <c r="E180" s="347"/>
      <c r="F180" s="348" t="str">
        <f>'Part B (ii)'!D20</f>
        <v>FARIDABAD</v>
      </c>
      <c r="G180" s="348"/>
      <c r="H180" s="347" t="s">
        <v>600</v>
      </c>
      <c r="I180" s="347"/>
      <c r="J180" s="348" t="str">
        <f>'Part B (ii)'!F20</f>
        <v>FARIDABAD</v>
      </c>
      <c r="K180" s="348"/>
    </row>
    <row r="181" spans="1:11" ht="31.5">
      <c r="A181" s="354"/>
      <c r="B181" s="354"/>
      <c r="C181" s="350" t="s">
        <v>599</v>
      </c>
      <c r="D181" s="351"/>
      <c r="E181" s="352"/>
      <c r="F181" s="349" t="str">
        <f>'Part B (ii)'!D21</f>
        <v>HARYANA</v>
      </c>
      <c r="G181" s="349"/>
      <c r="H181" s="347" t="s">
        <v>602</v>
      </c>
      <c r="I181" s="347"/>
      <c r="J181" s="349">
        <f>'Part B (ii)'!F21</f>
        <v>121001</v>
      </c>
      <c r="K181" s="349"/>
    </row>
    <row r="182" spans="1:11" ht="15.75">
      <c r="A182" s="354"/>
      <c r="B182" s="354"/>
      <c r="C182" s="354"/>
      <c r="D182" s="354"/>
      <c r="E182" s="354"/>
      <c r="F182" s="354"/>
      <c r="G182" s="354"/>
      <c r="H182" s="354"/>
      <c r="I182" s="354"/>
      <c r="J182" s="354"/>
      <c r="K182" s="354"/>
    </row>
    <row r="183" spans="1:11" ht="15.75">
      <c r="A183" s="354" t="s">
        <v>116</v>
      </c>
      <c r="B183" s="354"/>
      <c r="C183" s="354"/>
      <c r="D183" s="354"/>
      <c r="E183" s="354"/>
      <c r="F183" s="354"/>
      <c r="G183" s="354"/>
      <c r="H183" s="354"/>
      <c r="I183" s="354"/>
      <c r="J183" s="354"/>
      <c r="K183" s="354"/>
    </row>
    <row r="184" spans="1:11" ht="15.75">
      <c r="A184" s="359" t="str">
        <f>'Part B (ii)'!E23</f>
        <v>Institute of Chartered Accountants of India</v>
      </c>
      <c r="B184" s="359"/>
      <c r="C184" s="359"/>
      <c r="D184" s="359"/>
      <c r="E184" s="359"/>
      <c r="F184" s="354" t="s">
        <v>106</v>
      </c>
      <c r="G184" s="354" t="str">
        <f>'Part B (ii)'!H23</f>
        <v>I</v>
      </c>
      <c r="H184" s="354" t="s">
        <v>302</v>
      </c>
      <c r="I184" s="354"/>
      <c r="J184" s="354"/>
      <c r="K184" s="354"/>
    </row>
    <row r="185" spans="1:11" ht="15.75">
      <c r="A185" s="354" t="s">
        <v>301</v>
      </c>
      <c r="B185" s="354"/>
      <c r="C185" s="417"/>
      <c r="D185" s="416" t="str">
        <f>'Part B (ii)'!D25</f>
        <v>04/09/2018</v>
      </c>
      <c r="E185" s="417"/>
      <c r="F185" s="361" t="s">
        <v>121</v>
      </c>
      <c r="G185" s="354"/>
      <c r="H185" s="354"/>
      <c r="I185" s="354"/>
      <c r="J185" s="354"/>
      <c r="K185" s="354"/>
    </row>
    <row r="186" spans="1:11" ht="15.75">
      <c r="A186" s="354"/>
      <c r="B186" s="354"/>
      <c r="C186" s="354"/>
      <c r="D186" s="354"/>
      <c r="E186" s="354"/>
      <c r="F186" s="354"/>
      <c r="G186" s="354"/>
      <c r="H186" s="354"/>
      <c r="I186" s="354"/>
      <c r="J186" s="354"/>
      <c r="K186" s="354"/>
    </row>
    <row r="187" spans="1:11" ht="15.75">
      <c r="A187" s="373" t="s">
        <v>603</v>
      </c>
      <c r="B187" s="373"/>
      <c r="C187" s="373"/>
      <c r="D187" s="373"/>
      <c r="E187" s="415" t="str">
        <f>'Part B (ii)'!D27</f>
        <v>31/03/2018</v>
      </c>
      <c r="F187" s="359"/>
      <c r="G187" s="359"/>
      <c r="H187" s="354"/>
      <c r="I187" s="354"/>
      <c r="J187" s="354"/>
      <c r="K187" s="354"/>
    </row>
    <row r="188" spans="1:11" ht="15.75">
      <c r="A188" s="354"/>
      <c r="B188" s="354"/>
      <c r="C188" s="354"/>
      <c r="D188" s="354"/>
      <c r="E188" s="354"/>
      <c r="F188" s="354"/>
      <c r="G188" s="354"/>
      <c r="H188" s="354"/>
      <c r="I188" s="354"/>
      <c r="J188" s="354"/>
      <c r="K188" s="354"/>
    </row>
    <row r="189" spans="1:11" ht="15.75">
      <c r="A189" s="373" t="s">
        <v>612</v>
      </c>
      <c r="B189" s="373"/>
      <c r="C189" s="373"/>
      <c r="D189" s="373"/>
      <c r="E189" s="359" t="str">
        <f>'Part B (ii)'!D29</f>
        <v>profit and loss account</v>
      </c>
      <c r="F189" s="359"/>
      <c r="G189" s="359"/>
      <c r="H189" s="359"/>
      <c r="I189" s="354"/>
      <c r="J189" s="354"/>
      <c r="K189" s="354"/>
    </row>
    <row r="190" spans="1:11" ht="15.75">
      <c r="A190" s="373" t="s">
        <v>605</v>
      </c>
      <c r="B190" s="373"/>
      <c r="C190" s="373"/>
      <c r="D190" s="373"/>
      <c r="E190" s="415" t="str">
        <f>'Part B (ii)'!D30</f>
        <v>01/04/2017</v>
      </c>
      <c r="F190" s="359"/>
      <c r="G190" s="359"/>
      <c r="H190" s="354"/>
      <c r="I190" s="354"/>
      <c r="J190" s="354"/>
      <c r="K190" s="354"/>
    </row>
    <row r="191" spans="1:11" ht="15.75">
      <c r="A191" s="374" t="s">
        <v>606</v>
      </c>
      <c r="B191" s="374"/>
      <c r="C191" s="374"/>
      <c r="D191" s="374"/>
      <c r="E191" s="415" t="str">
        <f>'Part B (ii)'!D31</f>
        <v>31/03/2018</v>
      </c>
      <c r="F191" s="359"/>
      <c r="G191" s="359"/>
      <c r="H191" s="354"/>
      <c r="I191" s="354"/>
      <c r="J191" s="354"/>
      <c r="K191" s="354"/>
    </row>
    <row r="192" spans="1:11" ht="15.75">
      <c r="A192" s="354"/>
      <c r="B192" s="354"/>
      <c r="C192" s="354"/>
      <c r="D192" s="354"/>
      <c r="E192" s="354"/>
      <c r="F192" s="354"/>
      <c r="G192" s="354"/>
      <c r="H192" s="354"/>
      <c r="I192" s="354"/>
      <c r="J192" s="354"/>
      <c r="K192" s="354"/>
    </row>
    <row r="193" spans="1:11" ht="15.75">
      <c r="A193" s="373" t="s">
        <v>72</v>
      </c>
      <c r="B193" s="373"/>
      <c r="C193" s="373"/>
      <c r="D193" s="373"/>
      <c r="E193" s="373"/>
      <c r="F193" s="373"/>
      <c r="G193" s="354"/>
      <c r="H193" s="354"/>
      <c r="I193" s="354"/>
      <c r="J193" s="354"/>
      <c r="K193" s="354"/>
    </row>
    <row r="194" spans="1:11" ht="15.75">
      <c r="A194" s="374" t="s">
        <v>607</v>
      </c>
      <c r="B194" s="374"/>
      <c r="C194" s="374"/>
      <c r="D194" s="374"/>
      <c r="E194" s="415" t="str">
        <f>'Part B (ii)'!D34</f>
        <v>01/04/2017</v>
      </c>
      <c r="F194" s="359"/>
      <c r="G194" s="359"/>
      <c r="H194" s="354"/>
      <c r="I194" s="354"/>
      <c r="J194" s="354"/>
      <c r="K194" s="354"/>
    </row>
    <row r="195" spans="1:11" ht="15.75">
      <c r="A195" s="373" t="s">
        <v>608</v>
      </c>
      <c r="B195" s="373"/>
      <c r="C195" s="373"/>
      <c r="D195" s="373"/>
      <c r="E195" s="415" t="str">
        <f>'Part B (ii)'!D35</f>
        <v>31/03/2018</v>
      </c>
      <c r="F195" s="359"/>
      <c r="G195" s="359"/>
      <c r="H195" s="354"/>
      <c r="I195" s="354"/>
      <c r="J195" s="354"/>
      <c r="K195" s="354"/>
    </row>
    <row r="196" spans="1:11" ht="15.75">
      <c r="A196" s="354"/>
      <c r="B196" s="354"/>
      <c r="C196" s="354"/>
      <c r="D196" s="354"/>
      <c r="E196" s="354"/>
      <c r="F196" s="354"/>
      <c r="G196" s="354"/>
      <c r="H196" s="354"/>
      <c r="I196" s="354"/>
      <c r="J196" s="354"/>
      <c r="K196" s="354"/>
    </row>
    <row r="197" spans="1:11" ht="15.75">
      <c r="A197" s="354" t="s">
        <v>319</v>
      </c>
      <c r="B197" s="354"/>
      <c r="C197" s="354"/>
      <c r="D197" s="354"/>
      <c r="E197" s="354"/>
      <c r="F197" s="354"/>
      <c r="G197" s="354"/>
      <c r="H197" s="359" t="str">
        <f>'Part B (ii)'!E37</f>
        <v>profit and loss account</v>
      </c>
      <c r="I197" s="359"/>
      <c r="J197" s="359"/>
      <c r="K197" s="359"/>
    </row>
    <row r="198" spans="1:11" ht="15.75">
      <c r="A198" s="354" t="s">
        <v>123</v>
      </c>
      <c r="B198" s="354"/>
      <c r="C198" s="354"/>
      <c r="D198" s="354"/>
      <c r="E198" s="354"/>
      <c r="F198" s="354"/>
      <c r="G198" s="354"/>
      <c r="H198" s="354"/>
      <c r="I198" s="354"/>
      <c r="J198" s="354"/>
      <c r="K198" s="354"/>
    </row>
    <row r="199" spans="1:11" ht="15.75">
      <c r="A199" s="354"/>
      <c r="B199" s="354"/>
      <c r="C199" s="354"/>
      <c r="D199" s="354"/>
      <c r="E199" s="354"/>
      <c r="F199" s="354"/>
      <c r="G199" s="354"/>
      <c r="H199" s="354"/>
      <c r="I199" s="354"/>
      <c r="J199" s="354"/>
      <c r="K199" s="354"/>
    </row>
    <row r="200" spans="1:11" ht="15.75">
      <c r="A200" s="360">
        <v>2</v>
      </c>
      <c r="B200" s="360" t="str">
        <f>'Part B (ii)'!B40:C40</f>
        <v>I</v>
      </c>
      <c r="C200" s="361" t="s">
        <v>86</v>
      </c>
      <c r="D200" s="354"/>
      <c r="E200" s="354"/>
      <c r="F200" s="361"/>
      <c r="G200" s="361"/>
      <c r="H200" s="361"/>
      <c r="I200" s="354"/>
      <c r="J200" s="354"/>
      <c r="K200" s="354"/>
    </row>
    <row r="201" spans="1:11" ht="15.75">
      <c r="A201" s="354" t="str">
        <f>'Part B (ii)'!B41</f>
        <v>has maintained the books of accounts, records and documents</v>
      </c>
      <c r="B201" s="354"/>
      <c r="C201" s="354"/>
      <c r="D201" s="354"/>
      <c r="E201" s="354"/>
      <c r="F201" s="354"/>
      <c r="G201" s="354"/>
      <c r="H201" s="354"/>
      <c r="I201" s="417" t="s">
        <v>300</v>
      </c>
      <c r="J201" s="354"/>
      <c r="K201" s="354"/>
    </row>
    <row r="202" spans="1:11" ht="15.75">
      <c r="A202" s="360" t="s">
        <v>299</v>
      </c>
      <c r="B202" s="360"/>
      <c r="C202" s="360"/>
      <c r="D202" s="360"/>
      <c r="E202" s="360"/>
      <c r="F202" s="360"/>
      <c r="G202" s="360"/>
      <c r="H202" s="360"/>
      <c r="I202" s="360"/>
      <c r="J202" s="360"/>
      <c r="K202" s="354"/>
    </row>
    <row r="203" spans="1:11" ht="15.75">
      <c r="A203" s="354"/>
      <c r="B203" s="354"/>
      <c r="C203" s="354"/>
      <c r="D203" s="354"/>
      <c r="E203" s="354"/>
      <c r="F203" s="354"/>
      <c r="G203" s="354"/>
      <c r="H203" s="354"/>
      <c r="I203" s="354"/>
      <c r="J203" s="354"/>
      <c r="K203" s="354"/>
    </row>
    <row r="204" spans="1:11" ht="15.75">
      <c r="A204" s="354" t="s">
        <v>298</v>
      </c>
      <c r="B204" s="354"/>
      <c r="C204" s="354"/>
      <c r="D204" s="354"/>
      <c r="E204" s="354"/>
      <c r="F204" s="354"/>
      <c r="G204" s="354"/>
      <c r="H204" s="354"/>
      <c r="I204" s="354"/>
      <c r="J204" s="354"/>
      <c r="K204" s="354"/>
    </row>
    <row r="205" spans="1:11" ht="15.75">
      <c r="A205" s="354" t="s">
        <v>297</v>
      </c>
      <c r="B205" s="354"/>
      <c r="C205" s="354"/>
      <c r="D205" s="354"/>
      <c r="E205" s="354"/>
      <c r="F205" s="354"/>
      <c r="G205" s="354"/>
      <c r="H205" s="354"/>
      <c r="I205" s="354"/>
      <c r="J205" s="354"/>
      <c r="K205" s="354"/>
    </row>
    <row r="206" spans="1:11" ht="15.75">
      <c r="A206" s="354" t="s">
        <v>108</v>
      </c>
      <c r="B206" s="354"/>
      <c r="C206" s="354"/>
      <c r="D206" s="354"/>
      <c r="E206" s="354"/>
      <c r="F206" s="354"/>
      <c r="G206" s="354"/>
      <c r="H206" s="354"/>
      <c r="I206" s="354"/>
      <c r="J206" s="354"/>
      <c r="K206" s="354"/>
    </row>
    <row r="207" spans="1:11" ht="15.75">
      <c r="A207" s="354"/>
      <c r="B207" s="354"/>
      <c r="C207" s="354"/>
      <c r="D207" s="354"/>
      <c r="E207" s="354"/>
      <c r="F207" s="354"/>
      <c r="G207" s="354"/>
      <c r="H207" s="354"/>
      <c r="I207" s="354"/>
      <c r="J207" s="354"/>
      <c r="K207" s="354"/>
    </row>
    <row r="208" spans="1:11" ht="15.75">
      <c r="A208" s="354" t="s">
        <v>296</v>
      </c>
      <c r="B208" s="354" t="str">
        <f>'Part B (ii)'!C47</f>
        <v>my</v>
      </c>
      <c r="C208" s="361" t="s">
        <v>109</v>
      </c>
      <c r="D208" s="354"/>
      <c r="E208" s="354"/>
      <c r="F208" s="354" t="str">
        <f>'Part B (ii)'!E47</f>
        <v>my</v>
      </c>
      <c r="G208" s="354" t="s">
        <v>295</v>
      </c>
      <c r="H208" s="354"/>
      <c r="I208" s="354"/>
      <c r="J208" s="354"/>
      <c r="K208" s="354"/>
    </row>
    <row r="209" spans="1:11" ht="15.75">
      <c r="A209" s="354" t="s">
        <v>294</v>
      </c>
      <c r="B209" s="354"/>
      <c r="C209" s="354" t="str">
        <f>'Part B (ii)'!H47</f>
        <v>my</v>
      </c>
      <c r="D209" s="354" t="s">
        <v>293</v>
      </c>
      <c r="E209" s="354"/>
      <c r="F209" s="354"/>
      <c r="G209" s="354"/>
      <c r="H209" s="354"/>
      <c r="I209" s="354"/>
      <c r="J209" s="354"/>
      <c r="K209" s="354"/>
    </row>
    <row r="210" spans="1:11" ht="15.75">
      <c r="A210" s="354" t="s">
        <v>292</v>
      </c>
      <c r="B210" s="354"/>
      <c r="C210" s="354"/>
      <c r="D210" s="354"/>
      <c r="E210" s="354"/>
      <c r="F210" s="354"/>
      <c r="G210" s="354"/>
      <c r="H210" s="354"/>
      <c r="I210" s="354"/>
      <c r="J210" s="354"/>
      <c r="K210" s="354"/>
    </row>
    <row r="211" spans="1:11" ht="15.75">
      <c r="A211" s="354"/>
      <c r="B211" s="354"/>
      <c r="C211" s="354"/>
      <c r="D211" s="354"/>
      <c r="E211" s="354"/>
      <c r="F211" s="354"/>
      <c r="G211" s="354"/>
      <c r="H211" s="354"/>
      <c r="I211" s="354"/>
      <c r="J211" s="354"/>
      <c r="K211" s="354"/>
    </row>
    <row r="212" spans="1:11" ht="15.75">
      <c r="A212" s="113" t="s">
        <v>81</v>
      </c>
      <c r="B212" s="354"/>
      <c r="C212" s="354"/>
      <c r="D212" s="354"/>
      <c r="E212" s="354"/>
      <c r="F212" s="354"/>
      <c r="G212" s="354"/>
      <c r="H212" s="354"/>
      <c r="I212" s="354"/>
      <c r="J212" s="354"/>
      <c r="K212" s="354"/>
    </row>
    <row r="213" spans="1:11" ht="15.75">
      <c r="A213" s="354"/>
      <c r="B213" s="354"/>
      <c r="C213" s="354"/>
      <c r="D213" s="354"/>
      <c r="E213" s="354"/>
      <c r="F213" s="354"/>
      <c r="G213" s="354"/>
      <c r="H213" s="354"/>
      <c r="I213" s="354"/>
      <c r="J213" s="354"/>
      <c r="K213" s="354"/>
    </row>
    <row r="214" spans="1:11" ht="15.75">
      <c r="A214" s="354"/>
      <c r="B214" s="358" t="s">
        <v>74</v>
      </c>
      <c r="C214" s="357" t="s">
        <v>75</v>
      </c>
      <c r="D214" s="357"/>
      <c r="E214" s="357"/>
      <c r="F214" s="357"/>
      <c r="G214" s="358" t="s">
        <v>76</v>
      </c>
      <c r="H214" s="358"/>
      <c r="I214" s="358"/>
      <c r="J214" s="354"/>
      <c r="K214" s="354"/>
    </row>
    <row r="215" spans="1:11" ht="15.75">
      <c r="A215" s="354"/>
      <c r="B215" s="356">
        <v>1</v>
      </c>
      <c r="C215" s="349"/>
      <c r="D215" s="349"/>
      <c r="E215" s="349"/>
      <c r="F215" s="349"/>
      <c r="G215" s="349"/>
      <c r="H215" s="349"/>
      <c r="I215" s="349"/>
      <c r="J215" s="354"/>
      <c r="K215" s="354"/>
    </row>
    <row r="216" spans="1:11" ht="15.75">
      <c r="A216" s="354"/>
      <c r="B216" s="354"/>
      <c r="C216" s="354"/>
      <c r="D216" s="354"/>
      <c r="E216" s="354"/>
      <c r="F216" s="354"/>
      <c r="G216" s="354"/>
      <c r="H216" s="354"/>
      <c r="I216" s="354"/>
      <c r="J216" s="354"/>
      <c r="K216" s="354"/>
    </row>
    <row r="217" spans="1:11" ht="15.75">
      <c r="A217" s="115" t="s">
        <v>80</v>
      </c>
      <c r="B217" s="354"/>
      <c r="C217" s="354"/>
      <c r="D217" s="354"/>
      <c r="E217" s="354"/>
      <c r="F217" s="354"/>
      <c r="G217" s="354"/>
      <c r="H217" s="354"/>
      <c r="I217" s="354"/>
      <c r="J217" s="354"/>
      <c r="K217" s="354"/>
    </row>
    <row r="218" spans="1:11" ht="15.75">
      <c r="A218" s="354"/>
      <c r="B218" s="354"/>
      <c r="C218" s="354"/>
      <c r="D218" s="354"/>
      <c r="E218" s="354"/>
      <c r="F218" s="354"/>
      <c r="G218" s="354"/>
      <c r="H218" s="354"/>
      <c r="I218" s="354"/>
      <c r="J218" s="354"/>
      <c r="K218" s="354"/>
    </row>
    <row r="219" spans="1:11" ht="31.5">
      <c r="A219" s="354" t="s">
        <v>593</v>
      </c>
      <c r="B219" s="354"/>
      <c r="C219" s="354"/>
      <c r="D219" s="354"/>
      <c r="E219" s="354"/>
      <c r="F219" s="349" t="str">
        <f>'Part B (ii)'!D58</f>
        <v>FARIDABAD</v>
      </c>
      <c r="G219" s="349"/>
      <c r="H219" s="349"/>
      <c r="I219" s="354"/>
      <c r="J219" s="354"/>
      <c r="K219" s="354"/>
    </row>
    <row r="220" spans="1:11" ht="47.25">
      <c r="A220" s="354" t="s">
        <v>594</v>
      </c>
      <c r="B220" s="354"/>
      <c r="C220" s="354"/>
      <c r="D220" s="354"/>
      <c r="E220" s="354"/>
      <c r="F220" s="349" t="str">
        <f>'Part B (ii)'!D59</f>
        <v>GYAN BHARDWAJ</v>
      </c>
      <c r="G220" s="349"/>
      <c r="H220" s="349"/>
      <c r="I220" s="354"/>
      <c r="J220" s="354"/>
      <c r="K220" s="354"/>
    </row>
    <row r="221" spans="1:11" ht="15.75">
      <c r="A221" s="354" t="s">
        <v>595</v>
      </c>
      <c r="B221" s="354"/>
      <c r="C221" s="354"/>
      <c r="D221" s="354"/>
      <c r="E221" s="354"/>
      <c r="F221" s="349" t="str">
        <f>'Part B (ii)'!D60</f>
        <v>81488</v>
      </c>
      <c r="G221" s="349"/>
      <c r="H221" s="349"/>
      <c r="I221" s="354"/>
      <c r="J221" s="354"/>
      <c r="K221" s="354"/>
    </row>
    <row r="222" spans="1:11" ht="15.75">
      <c r="A222" s="354" t="s">
        <v>596</v>
      </c>
      <c r="B222" s="354"/>
      <c r="C222" s="354"/>
      <c r="D222" s="354"/>
      <c r="E222" s="354"/>
      <c r="F222" s="414" t="str">
        <f>'Part B (ii)'!D61</f>
        <v>DD/MM/YYYY</v>
      </c>
      <c r="G222" s="356"/>
      <c r="H222" s="356"/>
      <c r="I222" s="354"/>
      <c r="J222" s="354"/>
      <c r="K222" s="354"/>
    </row>
    <row r="223" spans="1:11" ht="15.75">
      <c r="A223" s="354" t="s">
        <v>598</v>
      </c>
      <c r="B223" s="354"/>
      <c r="C223" s="350" t="s">
        <v>597</v>
      </c>
      <c r="D223" s="351"/>
      <c r="E223" s="352"/>
      <c r="F223" s="349" t="str">
        <f>'Part B (ii)'!E62</f>
        <v/>
      </c>
      <c r="G223" s="349"/>
      <c r="H223" s="347" t="s">
        <v>158</v>
      </c>
      <c r="I223" s="347"/>
      <c r="J223" s="349" t="str">
        <f>IF('Part B (ii)'!G62="","",'Part B (ii)'!G62)</f>
        <v/>
      </c>
      <c r="K223" s="349"/>
    </row>
    <row r="224" spans="1:11" ht="78.75">
      <c r="A224" s="354"/>
      <c r="B224" s="354"/>
      <c r="C224" s="353" t="s">
        <v>614</v>
      </c>
      <c r="D224" s="347"/>
      <c r="E224" s="347"/>
      <c r="F224" s="349" t="str">
        <f>IF('Part B (ii)'!E63="","",'Part B (ii)'!E63)</f>
        <v/>
      </c>
      <c r="G224" s="349"/>
      <c r="H224" s="347" t="s">
        <v>601</v>
      </c>
      <c r="I224" s="347"/>
      <c r="J224" s="349">
        <f>'Part B (ii)'!G63</f>
        <v>0</v>
      </c>
      <c r="K224" s="349"/>
    </row>
    <row r="225" spans="1:11" ht="15.75">
      <c r="A225" s="354"/>
      <c r="B225" s="354"/>
      <c r="C225" s="347" t="s">
        <v>611</v>
      </c>
      <c r="D225" s="347"/>
      <c r="E225" s="347"/>
      <c r="F225" s="349" t="str">
        <f>'Part B (ii)'!E64</f>
        <v/>
      </c>
      <c r="G225" s="349"/>
      <c r="H225" s="347" t="s">
        <v>600</v>
      </c>
      <c r="I225" s="347"/>
      <c r="J225" s="349" t="str">
        <f>'Part B (ii)'!G64</f>
        <v/>
      </c>
      <c r="K225" s="349"/>
    </row>
    <row r="226" spans="1:11" ht="15.75">
      <c r="A226" s="354"/>
      <c r="B226" s="354"/>
      <c r="C226" s="350" t="s">
        <v>599</v>
      </c>
      <c r="D226" s="351"/>
      <c r="E226" s="352"/>
      <c r="F226" s="349">
        <f>'Part B (ii)'!E65</f>
        <v>0</v>
      </c>
      <c r="G226" s="349"/>
      <c r="H226" s="347" t="s">
        <v>602</v>
      </c>
      <c r="I226" s="347"/>
      <c r="J226" s="349">
        <f>'Part B (ii)'!G65</f>
        <v>0</v>
      </c>
      <c r="K226" s="34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dimension ref="A1"/>
  <sheetViews>
    <sheetView workbookViewId="0"/>
  </sheetViews>
  <sheetFormatPr defaultRowHeight="15"/>
  <sheetData/>
  <sheetProtection password="CB83"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Read Me</vt:lpstr>
      <vt:lpstr>Home</vt:lpstr>
      <vt:lpstr>PT II (5)</vt:lpstr>
      <vt:lpstr>PT II (6)</vt:lpstr>
      <vt:lpstr>PT II (7)</vt:lpstr>
      <vt:lpstr>PT II (8)</vt:lpstr>
      <vt:lpstr>PT III (9)</vt:lpstr>
      <vt:lpstr>PT III (10)</vt:lpstr>
      <vt:lpstr>PT III (11)</vt:lpstr>
      <vt:lpstr>PT IV (12)</vt:lpstr>
      <vt:lpstr>PT IV(13)</vt:lpstr>
      <vt:lpstr>PT IV (14)</vt:lpstr>
      <vt:lpstr>PT IV (15)</vt:lpstr>
      <vt:lpstr>PT IV (16)</vt:lpstr>
      <vt:lpstr>PT V</vt:lpstr>
      <vt:lpstr>Part B (i)</vt:lpstr>
      <vt:lpstr>Part B (ii)</vt:lpstr>
      <vt:lpstr>State dropdown</vt:lpstr>
      <vt:lpstr>Sheet3</vt:lpstr>
      <vt:lpstr>HashChkBi</vt:lpstr>
      <vt:lpstr>HashChkBii</vt:lpstr>
      <vt:lpstr>HashChkEgt</vt:lpstr>
      <vt:lpstr>HashChkFtn</vt:lpstr>
      <vt:lpstr>HashChkSix</vt:lpstr>
      <vt:lpstr>HashChkTen</vt:lpstr>
      <vt:lpstr>HashChkTtn</vt:lpstr>
      <vt:lpstr>ZeroRange</vt:lpstr>
      <vt:lpstr>ZeroRangeTV</vt:lpstr>
    </vt:vector>
  </TitlesOfParts>
  <Company>Infosys Ltd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Richi Jain</dc:creator>
  <cp:lastModifiedBy>Dell</cp:lastModifiedBy>
  <cp:lastPrinted>2019-04-07T18:39:21Z</cp:lastPrinted>
  <dcterms:created xsi:type="dcterms:W3CDTF">2018-09-27T10:58:35Z</dcterms:created>
  <dcterms:modified xsi:type="dcterms:W3CDTF">2025-12-20T09:27:55Z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richi.jain@ad.infosys.com</vt:lpwstr>
  </property>
  <property fmtid="{D5CDD505-2E9C-101B-9397-08002B2CF9AE}" pid="5" name="MSIP_Label_be4b3411-284d-4d31-bd4f-bc13ef7f1fd6_SetDate">
    <vt:lpwstr>2018-10-04T19:27:53.2177784Z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richi.jain@ad.infosys.com</vt:lpwstr>
  </property>
  <property fmtid="{D5CDD505-2E9C-101B-9397-08002B2CF9AE}" pid="12" name="MSIP_Label_a0819fa7-4367-4500-ba88-dd630d977609_SetDate">
    <vt:lpwstr>2018-10-04T19:27:53.2177784Z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ies>
</file>