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disgroup1-my.sharepoint.com/personal/mj_yasselou_southcomp-polaris_com/Documents/Bureau/ANNEE 2025/Liste de prix/"/>
    </mc:Choice>
  </mc:AlternateContent>
  <xr:revisionPtr revIDLastSave="0" documentId="8_{670E02B5-09D3-40D9-B388-A05D14A61C88}" xr6:coauthVersionLast="47" xr6:coauthVersionMax="47" xr10:uidLastSave="{00000000-0000-0000-0000-000000000000}"/>
  <bookViews>
    <workbookView xWindow="0" yWindow="0" windowWidth="24000" windowHeight="12900" tabRatio="881" xr2:uid="{00000000-000D-0000-FFFF-FFFF00000000}"/>
  </bookViews>
  <sheets>
    <sheet name="Index" sheetId="1" r:id="rId1"/>
    <sheet name="HP Print" sheetId="19" r:id="rId2"/>
    <sheet name="HP Inc." sheetId="4" r:id="rId3"/>
    <sheet name="HPE" sheetId="3" r:id="rId4"/>
    <sheet name="Lenovo" sheetId="5" r:id="rId5"/>
    <sheet name="HP Consommables" sheetId="11" r:id="rId6"/>
    <sheet name="Microsoft" sheetId="7" r:id="rId7"/>
    <sheet name="APC" sheetId="8" r:id="rId8"/>
    <sheet name="DELL" sheetId="6" r:id="rId9"/>
    <sheet name="Divers" sheetId="13" r:id="rId10"/>
    <sheet name="Pour Bon de Commande" sheetId="17" r:id="rId11"/>
  </sheets>
  <externalReferences>
    <externalReference r:id="rId12"/>
  </externalReferences>
  <definedNames>
    <definedName name="_xlnm._FilterDatabase" localSheetId="7" hidden="1">APC!$A$8:$F$88</definedName>
    <definedName name="_xlnm._FilterDatabase" localSheetId="5" hidden="1">'HP Consommables'!$A$8:$M$167</definedName>
    <definedName name="_xlnm._FilterDatabase" localSheetId="1" hidden="1">'HP Print'!$A$8:$L$43</definedName>
    <definedName name="_xlnm._FilterDatabase" localSheetId="4" hidden="1">Lenovo!$A$8:$F$41</definedName>
    <definedName name="_xlnm._FilterDatabase" localSheetId="10" hidden="1">'Pour Bon de Commande'!$B$11:$P$896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" i="5" l="1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12" i="5"/>
  <c r="H13" i="5"/>
  <c r="H11" i="5"/>
  <c r="F790" i="17"/>
  <c r="C790" i="17"/>
  <c r="E790" i="17" s="1"/>
  <c r="F789" i="17"/>
  <c r="C789" i="17"/>
  <c r="E789" i="17" s="1"/>
  <c r="F788" i="17"/>
  <c r="C788" i="17"/>
  <c r="F787" i="17"/>
  <c r="C787" i="17"/>
  <c r="E787" i="17" s="1"/>
  <c r="G787" i="17" s="1"/>
  <c r="F786" i="17"/>
  <c r="C786" i="17"/>
  <c r="E786" i="17" s="1"/>
  <c r="F785" i="17"/>
  <c r="C785" i="17"/>
  <c r="E785" i="17" s="1"/>
  <c r="F784" i="17"/>
  <c r="C784" i="17"/>
  <c r="F783" i="17"/>
  <c r="C783" i="17"/>
  <c r="E783" i="17" s="1"/>
  <c r="G783" i="17" s="1"/>
  <c r="F782" i="17"/>
  <c r="C782" i="17"/>
  <c r="E782" i="17" s="1"/>
  <c r="F781" i="17"/>
  <c r="C781" i="17"/>
  <c r="E781" i="17" s="1"/>
  <c r="F780" i="17"/>
  <c r="C780" i="17"/>
  <c r="F779" i="17"/>
  <c r="C779" i="17"/>
  <c r="E779" i="17" s="1"/>
  <c r="F778" i="17"/>
  <c r="C778" i="17"/>
  <c r="D778" i="17" s="1"/>
  <c r="F777" i="17"/>
  <c r="C777" i="17"/>
  <c r="D777" i="17" s="1"/>
  <c r="F776" i="17"/>
  <c r="C776" i="17"/>
  <c r="F775" i="17"/>
  <c r="C775" i="17"/>
  <c r="E775" i="17" s="1"/>
  <c r="F774" i="17"/>
  <c r="C774" i="17"/>
  <c r="D774" i="17" s="1"/>
  <c r="F773" i="17"/>
  <c r="C773" i="17"/>
  <c r="D773" i="17" s="1"/>
  <c r="F772" i="17"/>
  <c r="C772" i="17"/>
  <c r="F771" i="17"/>
  <c r="C771" i="17"/>
  <c r="E771" i="17" s="1"/>
  <c r="F770" i="17"/>
  <c r="C770" i="17"/>
  <c r="E770" i="17" s="1"/>
  <c r="F769" i="17"/>
  <c r="C769" i="17"/>
  <c r="E769" i="17" s="1"/>
  <c r="F768" i="17"/>
  <c r="C768" i="17"/>
  <c r="F767" i="17"/>
  <c r="C767" i="17"/>
  <c r="E767" i="17" s="1"/>
  <c r="F766" i="17"/>
  <c r="C766" i="17"/>
  <c r="E766" i="17" s="1"/>
  <c r="F765" i="17"/>
  <c r="C765" i="17"/>
  <c r="E765" i="17" s="1"/>
  <c r="F764" i="17"/>
  <c r="C764" i="17"/>
  <c r="F763" i="17"/>
  <c r="C763" i="17"/>
  <c r="E763" i="17" s="1"/>
  <c r="F762" i="17"/>
  <c r="C762" i="17"/>
  <c r="E762" i="17" s="1"/>
  <c r="F761" i="17"/>
  <c r="C761" i="17"/>
  <c r="E761" i="17" s="1"/>
  <c r="F760" i="17"/>
  <c r="C760" i="17"/>
  <c r="F759" i="17"/>
  <c r="C759" i="17"/>
  <c r="E759" i="17" s="1"/>
  <c r="F758" i="17"/>
  <c r="C758" i="17"/>
  <c r="E758" i="17" s="1"/>
  <c r="F757" i="17"/>
  <c r="C757" i="17"/>
  <c r="E757" i="17" s="1"/>
  <c r="F756" i="17"/>
  <c r="C756" i="17"/>
  <c r="F755" i="17"/>
  <c r="C755" i="17"/>
  <c r="E755" i="17" s="1"/>
  <c r="F754" i="17"/>
  <c r="C754" i="17"/>
  <c r="D754" i="17" s="1"/>
  <c r="F753" i="17"/>
  <c r="C753" i="17"/>
  <c r="D753" i="17" s="1"/>
  <c r="F752" i="17"/>
  <c r="C752" i="17"/>
  <c r="F751" i="17"/>
  <c r="C751" i="17"/>
  <c r="E751" i="17" s="1"/>
  <c r="F750" i="17"/>
  <c r="C750" i="17"/>
  <c r="D750" i="17" s="1"/>
  <c r="F749" i="17"/>
  <c r="C749" i="17"/>
  <c r="D749" i="17" s="1"/>
  <c r="F748" i="17"/>
  <c r="C748" i="17"/>
  <c r="F747" i="17"/>
  <c r="C747" i="17"/>
  <c r="E747" i="17" s="1"/>
  <c r="F746" i="17"/>
  <c r="C746" i="17"/>
  <c r="E746" i="17" s="1"/>
  <c r="G746" i="17" s="1"/>
  <c r="F745" i="17"/>
  <c r="C745" i="17"/>
  <c r="E745" i="17" s="1"/>
  <c r="F744" i="17"/>
  <c r="C744" i="17"/>
  <c r="F743" i="17"/>
  <c r="C743" i="17"/>
  <c r="E743" i="17" s="1"/>
  <c r="F742" i="17"/>
  <c r="C742" i="17"/>
  <c r="E742" i="17" s="1"/>
  <c r="G742" i="17" s="1"/>
  <c r="F741" i="17"/>
  <c r="C741" i="17"/>
  <c r="E741" i="17" s="1"/>
  <c r="F740" i="17"/>
  <c r="C740" i="17"/>
  <c r="F739" i="17"/>
  <c r="C739" i="17"/>
  <c r="E739" i="17" s="1"/>
  <c r="F738" i="17"/>
  <c r="C738" i="17"/>
  <c r="E738" i="17" s="1"/>
  <c r="F737" i="17"/>
  <c r="C737" i="17"/>
  <c r="E737" i="17" s="1"/>
  <c r="F736" i="17"/>
  <c r="C736" i="17"/>
  <c r="F735" i="17"/>
  <c r="C735" i="17"/>
  <c r="E735" i="17" s="1"/>
  <c r="F734" i="17"/>
  <c r="C734" i="17"/>
  <c r="E734" i="17" s="1"/>
  <c r="F733" i="17"/>
  <c r="C733" i="17"/>
  <c r="E733" i="17" s="1"/>
  <c r="F732" i="17"/>
  <c r="C732" i="17"/>
  <c r="F111" i="17"/>
  <c r="C111" i="17"/>
  <c r="E111" i="17" s="1"/>
  <c r="F110" i="17"/>
  <c r="C110" i="17"/>
  <c r="E110" i="17" s="1"/>
  <c r="F109" i="17"/>
  <c r="C109" i="17"/>
  <c r="E109" i="17" s="1"/>
  <c r="F108" i="17"/>
  <c r="C108" i="17"/>
  <c r="F107" i="17"/>
  <c r="C107" i="17"/>
  <c r="E107" i="17" s="1"/>
  <c r="F106" i="17"/>
  <c r="C106" i="17"/>
  <c r="E106" i="17" s="1"/>
  <c r="F105" i="17"/>
  <c r="C105" i="17"/>
  <c r="E105" i="17" s="1"/>
  <c r="F104" i="17"/>
  <c r="C104" i="17"/>
  <c r="F103" i="17"/>
  <c r="C103" i="17"/>
  <c r="E103" i="17" s="1"/>
  <c r="F102" i="17"/>
  <c r="C102" i="17"/>
  <c r="E102" i="17" s="1"/>
  <c r="G102" i="17" s="1"/>
  <c r="F101" i="17"/>
  <c r="C101" i="17"/>
  <c r="E101" i="17" s="1"/>
  <c r="F100" i="17"/>
  <c r="C100" i="17"/>
  <c r="F99" i="17"/>
  <c r="C99" i="17"/>
  <c r="E99" i="17" s="1"/>
  <c r="F98" i="17"/>
  <c r="C98" i="17"/>
  <c r="E98" i="17" s="1"/>
  <c r="G98" i="17" s="1"/>
  <c r="F97" i="17"/>
  <c r="C97" i="17"/>
  <c r="E97" i="17" s="1"/>
  <c r="F96" i="17"/>
  <c r="C96" i="17"/>
  <c r="F95" i="17"/>
  <c r="C95" i="17"/>
  <c r="E95" i="17" s="1"/>
  <c r="F94" i="17"/>
  <c r="C94" i="17"/>
  <c r="D94" i="17" s="1"/>
  <c r="F93" i="17"/>
  <c r="C93" i="17"/>
  <c r="D93" i="17" s="1"/>
  <c r="F92" i="17"/>
  <c r="C92" i="17"/>
  <c r="F91" i="17"/>
  <c r="C91" i="17"/>
  <c r="E91" i="17" s="1"/>
  <c r="F90" i="17"/>
  <c r="C90" i="17"/>
  <c r="D90" i="17" s="1"/>
  <c r="F89" i="17"/>
  <c r="C89" i="17"/>
  <c r="D89" i="17" s="1"/>
  <c r="F88" i="17"/>
  <c r="C88" i="17"/>
  <c r="F87" i="17"/>
  <c r="C87" i="17"/>
  <c r="E87" i="17" s="1"/>
  <c r="F86" i="17"/>
  <c r="C86" i="17"/>
  <c r="D86" i="17" s="1"/>
  <c r="F85" i="17"/>
  <c r="C85" i="17"/>
  <c r="D85" i="17" s="1"/>
  <c r="F84" i="17"/>
  <c r="C84" i="17"/>
  <c r="F83" i="17"/>
  <c r="C83" i="17"/>
  <c r="E83" i="17" s="1"/>
  <c r="F82" i="17"/>
  <c r="C82" i="17"/>
  <c r="E82" i="17" s="1"/>
  <c r="F81" i="17"/>
  <c r="C81" i="17"/>
  <c r="E81" i="17" s="1"/>
  <c r="F80" i="17"/>
  <c r="C80" i="17"/>
  <c r="F79" i="17"/>
  <c r="C79" i="17"/>
  <c r="E79" i="17" s="1"/>
  <c r="F78" i="17"/>
  <c r="C78" i="17"/>
  <c r="E78" i="17" s="1"/>
  <c r="F77" i="17"/>
  <c r="C77" i="17"/>
  <c r="E77" i="17" s="1"/>
  <c r="F76" i="17"/>
  <c r="C76" i="17"/>
  <c r="F75" i="17"/>
  <c r="C75" i="17"/>
  <c r="E75" i="17" s="1"/>
  <c r="F74" i="17"/>
  <c r="C74" i="17"/>
  <c r="E74" i="17" s="1"/>
  <c r="G74" i="17" s="1"/>
  <c r="F73" i="17"/>
  <c r="C73" i="17"/>
  <c r="E73" i="17" s="1"/>
  <c r="F72" i="17"/>
  <c r="C72" i="17"/>
  <c r="F71" i="17"/>
  <c r="C71" i="17"/>
  <c r="E71" i="17" s="1"/>
  <c r="F70" i="17"/>
  <c r="C70" i="17"/>
  <c r="E70" i="17" s="1"/>
  <c r="F69" i="17"/>
  <c r="C69" i="17"/>
  <c r="E69" i="17" s="1"/>
  <c r="F68" i="17"/>
  <c r="C68" i="17"/>
  <c r="F67" i="17"/>
  <c r="G67" i="17" s="1"/>
  <c r="D67" i="17"/>
  <c r="C67" i="17"/>
  <c r="E67" i="17" s="1"/>
  <c r="F66" i="17"/>
  <c r="E66" i="17"/>
  <c r="D66" i="17"/>
  <c r="C66" i="17"/>
  <c r="F65" i="17"/>
  <c r="E65" i="17"/>
  <c r="D65" i="17"/>
  <c r="C65" i="17"/>
  <c r="F64" i="17"/>
  <c r="C64" i="17"/>
  <c r="F63" i="17"/>
  <c r="C63" i="17"/>
  <c r="E63" i="17" s="1"/>
  <c r="F62" i="17"/>
  <c r="E62" i="17"/>
  <c r="D62" i="17"/>
  <c r="C62" i="17"/>
  <c r="F61" i="17"/>
  <c r="C61" i="17"/>
  <c r="D61" i="17" s="1"/>
  <c r="F60" i="17"/>
  <c r="C60" i="17"/>
  <c r="F59" i="17"/>
  <c r="C59" i="17"/>
  <c r="E59" i="17" s="1"/>
  <c r="G59" i="17" s="1"/>
  <c r="F58" i="17"/>
  <c r="C58" i="17"/>
  <c r="D58" i="17" s="1"/>
  <c r="F57" i="17"/>
  <c r="C57" i="17"/>
  <c r="D57" i="17" s="1"/>
  <c r="F56" i="17"/>
  <c r="C56" i="17"/>
  <c r="E56" i="17" s="1"/>
  <c r="F55" i="17"/>
  <c r="C55" i="17"/>
  <c r="D55" i="17" s="1"/>
  <c r="F54" i="17"/>
  <c r="C54" i="17"/>
  <c r="E54" i="17" s="1"/>
  <c r="F53" i="17"/>
  <c r="C53" i="17"/>
  <c r="E53" i="17" s="1"/>
  <c r="F52" i="17"/>
  <c r="C52" i="17"/>
  <c r="E52" i="17" s="1"/>
  <c r="F51" i="17"/>
  <c r="C51" i="17"/>
  <c r="D51" i="17" s="1"/>
  <c r="F50" i="17"/>
  <c r="C50" i="17"/>
  <c r="E50" i="17" s="1"/>
  <c r="F49" i="17"/>
  <c r="C49" i="17"/>
  <c r="E49" i="17" s="1"/>
  <c r="F48" i="17"/>
  <c r="C48" i="17"/>
  <c r="E48" i="17" s="1"/>
  <c r="F47" i="17"/>
  <c r="C47" i="17"/>
  <c r="D47" i="17" s="1"/>
  <c r="F46" i="17"/>
  <c r="C46" i="17"/>
  <c r="E46" i="17" s="1"/>
  <c r="F45" i="17"/>
  <c r="C45" i="17"/>
  <c r="E45" i="17" s="1"/>
  <c r="F44" i="17"/>
  <c r="C44" i="17"/>
  <c r="E44" i="17" s="1"/>
  <c r="F43" i="17"/>
  <c r="C43" i="17"/>
  <c r="D43" i="17" s="1"/>
  <c r="F42" i="17"/>
  <c r="C42" i="17"/>
  <c r="E42" i="17" s="1"/>
  <c r="F41" i="17"/>
  <c r="C41" i="17"/>
  <c r="E41" i="17" s="1"/>
  <c r="F40" i="17"/>
  <c r="C40" i="17"/>
  <c r="E40" i="17" s="1"/>
  <c r="F39" i="17"/>
  <c r="C39" i="17"/>
  <c r="D39" i="17" s="1"/>
  <c r="F38" i="17"/>
  <c r="C38" i="17"/>
  <c r="E38" i="17" s="1"/>
  <c r="F37" i="17"/>
  <c r="C37" i="17"/>
  <c r="E37" i="17" s="1"/>
  <c r="F36" i="17"/>
  <c r="C36" i="17"/>
  <c r="E36" i="17" s="1"/>
  <c r="F35" i="17"/>
  <c r="C35" i="17"/>
  <c r="D35" i="17" s="1"/>
  <c r="F34" i="17"/>
  <c r="C34" i="17"/>
  <c r="E34" i="17" s="1"/>
  <c r="F33" i="17"/>
  <c r="C33" i="17"/>
  <c r="E33" i="17" s="1"/>
  <c r="F32" i="17"/>
  <c r="C32" i="17"/>
  <c r="E32" i="17" s="1"/>
  <c r="F31" i="17"/>
  <c r="C31" i="17"/>
  <c r="D31" i="17" s="1"/>
  <c r="F30" i="17"/>
  <c r="C30" i="17"/>
  <c r="D30" i="17" s="1"/>
  <c r="F29" i="17"/>
  <c r="C29" i="17"/>
  <c r="E29" i="17" s="1"/>
  <c r="F28" i="17"/>
  <c r="C28" i="17"/>
  <c r="E28" i="17" s="1"/>
  <c r="F27" i="17"/>
  <c r="C27" i="17"/>
  <c r="D27" i="17" s="1"/>
  <c r="F26" i="17"/>
  <c r="C26" i="17"/>
  <c r="E26" i="17" s="1"/>
  <c r="F25" i="17"/>
  <c r="C25" i="17"/>
  <c r="E25" i="17" s="1"/>
  <c r="F24" i="17"/>
  <c r="C24" i="17"/>
  <c r="E24" i="17" s="1"/>
  <c r="F23" i="17"/>
  <c r="C23" i="17"/>
  <c r="D23" i="17" s="1"/>
  <c r="F22" i="17"/>
  <c r="C22" i="17"/>
  <c r="E22" i="17" s="1"/>
  <c r="F21" i="17"/>
  <c r="C21" i="17"/>
  <c r="E21" i="17" s="1"/>
  <c r="F20" i="17"/>
  <c r="C20" i="17"/>
  <c r="E20" i="17" s="1"/>
  <c r="F19" i="17"/>
  <c r="C19" i="17"/>
  <c r="D19" i="17" s="1"/>
  <c r="F18" i="17"/>
  <c r="C18" i="17"/>
  <c r="D18" i="17" s="1"/>
  <c r="F17" i="17"/>
  <c r="C17" i="17"/>
  <c r="E17" i="17" s="1"/>
  <c r="F16" i="17"/>
  <c r="C16" i="17"/>
  <c r="E16" i="17" s="1"/>
  <c r="F15" i="17"/>
  <c r="C15" i="17"/>
  <c r="D15" i="17" s="1"/>
  <c r="F14" i="17"/>
  <c r="C14" i="17"/>
  <c r="E14" i="17" s="1"/>
  <c r="F13" i="17"/>
  <c r="C13" i="17"/>
  <c r="E13" i="17" s="1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11" i="8"/>
  <c r="F731" i="17"/>
  <c r="C731" i="17"/>
  <c r="E731" i="17" s="1"/>
  <c r="F730" i="17"/>
  <c r="C730" i="17"/>
  <c r="E730" i="17" s="1"/>
  <c r="F729" i="17"/>
  <c r="C729" i="17"/>
  <c r="E729" i="17" s="1"/>
  <c r="F728" i="17"/>
  <c r="C728" i="17"/>
  <c r="F727" i="17"/>
  <c r="C727" i="17"/>
  <c r="E727" i="17" s="1"/>
  <c r="F726" i="17"/>
  <c r="C726" i="17"/>
  <c r="E726" i="17" s="1"/>
  <c r="F725" i="17"/>
  <c r="C725" i="17"/>
  <c r="E725" i="17" s="1"/>
  <c r="F724" i="17"/>
  <c r="C724" i="17"/>
  <c r="F723" i="17"/>
  <c r="C723" i="17"/>
  <c r="E723" i="17" s="1"/>
  <c r="F722" i="17"/>
  <c r="C722" i="17"/>
  <c r="E722" i="17" s="1"/>
  <c r="F721" i="17"/>
  <c r="C721" i="17"/>
  <c r="E721" i="17" s="1"/>
  <c r="F720" i="17"/>
  <c r="C720" i="17"/>
  <c r="F719" i="17"/>
  <c r="C719" i="17"/>
  <c r="E719" i="17" s="1"/>
  <c r="F718" i="17"/>
  <c r="C718" i="17"/>
  <c r="E718" i="17" s="1"/>
  <c r="F717" i="17"/>
  <c r="C717" i="17"/>
  <c r="E717" i="17" s="1"/>
  <c r="F716" i="17"/>
  <c r="C716" i="17"/>
  <c r="F715" i="17"/>
  <c r="C715" i="17"/>
  <c r="E715" i="17" s="1"/>
  <c r="F714" i="17"/>
  <c r="C714" i="17"/>
  <c r="E714" i="17" s="1"/>
  <c r="F713" i="17"/>
  <c r="C713" i="17"/>
  <c r="E713" i="17" s="1"/>
  <c r="F712" i="17"/>
  <c r="C712" i="17"/>
  <c r="F711" i="17"/>
  <c r="C711" i="17"/>
  <c r="E711" i="17" s="1"/>
  <c r="F710" i="17"/>
  <c r="C710" i="17"/>
  <c r="E710" i="17" s="1"/>
  <c r="F709" i="17"/>
  <c r="C709" i="17"/>
  <c r="E709" i="17" s="1"/>
  <c r="F708" i="17"/>
  <c r="C708" i="17"/>
  <c r="F707" i="17"/>
  <c r="C707" i="17"/>
  <c r="E707" i="17" s="1"/>
  <c r="F706" i="17"/>
  <c r="C706" i="17"/>
  <c r="E706" i="17" s="1"/>
  <c r="F705" i="17"/>
  <c r="C705" i="17"/>
  <c r="E705" i="17" s="1"/>
  <c r="F704" i="17"/>
  <c r="C704" i="17"/>
  <c r="F703" i="17"/>
  <c r="C703" i="17"/>
  <c r="E703" i="17" s="1"/>
  <c r="F702" i="17"/>
  <c r="C702" i="17"/>
  <c r="E702" i="17" s="1"/>
  <c r="F701" i="17"/>
  <c r="C701" i="17"/>
  <c r="E701" i="17" s="1"/>
  <c r="F700" i="17"/>
  <c r="C700" i="17"/>
  <c r="F699" i="17"/>
  <c r="C699" i="17"/>
  <c r="E699" i="17" s="1"/>
  <c r="F698" i="17"/>
  <c r="C698" i="17"/>
  <c r="E698" i="17" s="1"/>
  <c r="F697" i="17"/>
  <c r="C697" i="17"/>
  <c r="E697" i="17" s="1"/>
  <c r="F696" i="17"/>
  <c r="C696" i="17"/>
  <c r="F695" i="17"/>
  <c r="C695" i="17"/>
  <c r="E695" i="17" s="1"/>
  <c r="F694" i="17"/>
  <c r="C694" i="17"/>
  <c r="E694" i="17" s="1"/>
  <c r="F693" i="17"/>
  <c r="C693" i="17"/>
  <c r="E693" i="17" s="1"/>
  <c r="F692" i="17"/>
  <c r="C692" i="17"/>
  <c r="F691" i="17"/>
  <c r="C691" i="17"/>
  <c r="E691" i="17" s="1"/>
  <c r="F690" i="17"/>
  <c r="C690" i="17"/>
  <c r="E690" i="17" s="1"/>
  <c r="F689" i="17"/>
  <c r="C689" i="17"/>
  <c r="E689" i="17" s="1"/>
  <c r="F688" i="17"/>
  <c r="C688" i="17"/>
  <c r="F687" i="17"/>
  <c r="C687" i="17"/>
  <c r="E687" i="17" s="1"/>
  <c r="F686" i="17"/>
  <c r="C686" i="17"/>
  <c r="E686" i="17" s="1"/>
  <c r="F685" i="17"/>
  <c r="C685" i="17"/>
  <c r="E685" i="17" s="1"/>
  <c r="F684" i="17"/>
  <c r="C684" i="17"/>
  <c r="F683" i="17"/>
  <c r="C683" i="17"/>
  <c r="E683" i="17" s="1"/>
  <c r="F682" i="17"/>
  <c r="C682" i="17"/>
  <c r="E682" i="17" s="1"/>
  <c r="F681" i="17"/>
  <c r="C681" i="17"/>
  <c r="E681" i="17" s="1"/>
  <c r="F680" i="17"/>
  <c r="C680" i="17"/>
  <c r="F679" i="17"/>
  <c r="C679" i="17"/>
  <c r="E679" i="17" s="1"/>
  <c r="F678" i="17"/>
  <c r="C678" i="17"/>
  <c r="E678" i="17" s="1"/>
  <c r="F677" i="17"/>
  <c r="C677" i="17"/>
  <c r="E677" i="17" s="1"/>
  <c r="F676" i="17"/>
  <c r="C676" i="17"/>
  <c r="F675" i="17"/>
  <c r="C675" i="17"/>
  <c r="E675" i="17" s="1"/>
  <c r="F674" i="17"/>
  <c r="C674" i="17"/>
  <c r="E674" i="17" s="1"/>
  <c r="F673" i="17"/>
  <c r="C673" i="17"/>
  <c r="E673" i="17" s="1"/>
  <c r="F672" i="17"/>
  <c r="C672" i="17"/>
  <c r="F671" i="17"/>
  <c r="C671" i="17"/>
  <c r="E671" i="17" s="1"/>
  <c r="F670" i="17"/>
  <c r="C670" i="17"/>
  <c r="D670" i="17" s="1"/>
  <c r="F669" i="17"/>
  <c r="C669" i="17"/>
  <c r="E669" i="17" s="1"/>
  <c r="F668" i="17"/>
  <c r="C668" i="17"/>
  <c r="F667" i="17"/>
  <c r="C667" i="17"/>
  <c r="D667" i="17" s="1"/>
  <c r="F666" i="17"/>
  <c r="C666" i="17"/>
  <c r="D666" i="17" s="1"/>
  <c r="F665" i="17"/>
  <c r="C665" i="17"/>
  <c r="E665" i="17" s="1"/>
  <c r="F664" i="17"/>
  <c r="C664" i="17"/>
  <c r="F663" i="17"/>
  <c r="C663" i="17"/>
  <c r="D663" i="17" s="1"/>
  <c r="F662" i="17"/>
  <c r="C662" i="17"/>
  <c r="D662" i="17" s="1"/>
  <c r="F661" i="17"/>
  <c r="C661" i="17"/>
  <c r="E661" i="17" s="1"/>
  <c r="F660" i="17"/>
  <c r="C660" i="17"/>
  <c r="E660" i="17" s="1"/>
  <c r="F659" i="17"/>
  <c r="C659" i="17"/>
  <c r="E659" i="17" s="1"/>
  <c r="F658" i="17"/>
  <c r="C658" i="17"/>
  <c r="E658" i="17" s="1"/>
  <c r="F657" i="17"/>
  <c r="C657" i="17"/>
  <c r="E657" i="17" s="1"/>
  <c r="F656" i="17"/>
  <c r="C656" i="17"/>
  <c r="E656" i="17" s="1"/>
  <c r="F655" i="17"/>
  <c r="C655" i="17"/>
  <c r="E655" i="17" s="1"/>
  <c r="F654" i="17"/>
  <c r="C654" i="17"/>
  <c r="D654" i="17" s="1"/>
  <c r="F653" i="17"/>
  <c r="C653" i="17"/>
  <c r="D653" i="17" s="1"/>
  <c r="F652" i="17"/>
  <c r="C652" i="17"/>
  <c r="F651" i="17"/>
  <c r="C651" i="17"/>
  <c r="E651" i="17" s="1"/>
  <c r="F650" i="17"/>
  <c r="C650" i="17"/>
  <c r="D650" i="17" s="1"/>
  <c r="F649" i="17"/>
  <c r="C649" i="17"/>
  <c r="D649" i="17" s="1"/>
  <c r="F648" i="17"/>
  <c r="C648" i="17"/>
  <c r="E648" i="17" s="1"/>
  <c r="F647" i="17"/>
  <c r="C647" i="17"/>
  <c r="D647" i="17" s="1"/>
  <c r="F646" i="17"/>
  <c r="C646" i="17"/>
  <c r="D646" i="17" s="1"/>
  <c r="F645" i="17"/>
  <c r="C645" i="17"/>
  <c r="F895" i="17"/>
  <c r="C895" i="17"/>
  <c r="E895" i="17" s="1"/>
  <c r="F894" i="17"/>
  <c r="C894" i="17"/>
  <c r="D894" i="17" s="1"/>
  <c r="F893" i="17"/>
  <c r="C893" i="17"/>
  <c r="D893" i="17" s="1"/>
  <c r="F892" i="17"/>
  <c r="C892" i="17"/>
  <c r="E892" i="17" s="1"/>
  <c r="F891" i="17"/>
  <c r="C891" i="17"/>
  <c r="E891" i="17" s="1"/>
  <c r="F890" i="17"/>
  <c r="C890" i="17"/>
  <c r="D890" i="17" s="1"/>
  <c r="F889" i="17"/>
  <c r="C889" i="17"/>
  <c r="D889" i="17" s="1"/>
  <c r="F888" i="17"/>
  <c r="C888" i="17"/>
  <c r="E888" i="17" s="1"/>
  <c r="F887" i="17"/>
  <c r="C887" i="17"/>
  <c r="E887" i="17" s="1"/>
  <c r="F886" i="17"/>
  <c r="C886" i="17"/>
  <c r="D886" i="17" s="1"/>
  <c r="F885" i="17"/>
  <c r="C885" i="17"/>
  <c r="D885" i="17" s="1"/>
  <c r="F884" i="17"/>
  <c r="C884" i="17"/>
  <c r="E884" i="17" s="1"/>
  <c r="F883" i="17"/>
  <c r="C883" i="17"/>
  <c r="E883" i="17" s="1"/>
  <c r="F882" i="17"/>
  <c r="C882" i="17"/>
  <c r="D882" i="17" s="1"/>
  <c r="F881" i="17"/>
  <c r="C881" i="17"/>
  <c r="D881" i="17" s="1"/>
  <c r="F880" i="17"/>
  <c r="C880" i="17"/>
  <c r="E880" i="17" s="1"/>
  <c r="F879" i="17"/>
  <c r="C879" i="17"/>
  <c r="E879" i="17" s="1"/>
  <c r="F878" i="17"/>
  <c r="C878" i="17"/>
  <c r="D878" i="17" s="1"/>
  <c r="F877" i="17"/>
  <c r="C877" i="17"/>
  <c r="D877" i="17" s="1"/>
  <c r="F876" i="17"/>
  <c r="C876" i="17"/>
  <c r="E876" i="17" s="1"/>
  <c r="F875" i="17"/>
  <c r="C875" i="17"/>
  <c r="E875" i="17" s="1"/>
  <c r="F874" i="17"/>
  <c r="C874" i="17"/>
  <c r="D874" i="17" s="1"/>
  <c r="F873" i="17"/>
  <c r="C873" i="17"/>
  <c r="D873" i="17" s="1"/>
  <c r="F872" i="17"/>
  <c r="C872" i="17"/>
  <c r="E872" i="17" s="1"/>
  <c r="F871" i="17"/>
  <c r="C871" i="17"/>
  <c r="E871" i="17" s="1"/>
  <c r="F870" i="17"/>
  <c r="C870" i="17"/>
  <c r="D870" i="17" s="1"/>
  <c r="F869" i="17"/>
  <c r="C869" i="17"/>
  <c r="D869" i="17" s="1"/>
  <c r="F868" i="17"/>
  <c r="C868" i="17"/>
  <c r="E868" i="17" s="1"/>
  <c r="F867" i="17"/>
  <c r="C867" i="17"/>
  <c r="E867" i="17" s="1"/>
  <c r="F866" i="17"/>
  <c r="C866" i="17"/>
  <c r="D866" i="17" s="1"/>
  <c r="F865" i="17"/>
  <c r="C865" i="17"/>
  <c r="D865" i="17" s="1"/>
  <c r="F864" i="17"/>
  <c r="C864" i="17"/>
  <c r="E864" i="17" s="1"/>
  <c r="F863" i="17"/>
  <c r="C863" i="17"/>
  <c r="E863" i="17" s="1"/>
  <c r="F862" i="17"/>
  <c r="C862" i="17"/>
  <c r="D862" i="17" s="1"/>
  <c r="F861" i="17"/>
  <c r="C861" i="17"/>
  <c r="D861" i="17" s="1"/>
  <c r="F860" i="17"/>
  <c r="C860" i="17"/>
  <c r="E860" i="17" s="1"/>
  <c r="F859" i="17"/>
  <c r="C859" i="17"/>
  <c r="E859" i="17" s="1"/>
  <c r="F858" i="17"/>
  <c r="C858" i="17"/>
  <c r="D858" i="17" s="1"/>
  <c r="F857" i="17"/>
  <c r="C857" i="17"/>
  <c r="D857" i="17" s="1"/>
  <c r="F856" i="17"/>
  <c r="C856" i="17"/>
  <c r="E856" i="17" s="1"/>
  <c r="F855" i="17"/>
  <c r="C855" i="17"/>
  <c r="E855" i="17" s="1"/>
  <c r="F854" i="17"/>
  <c r="C854" i="17"/>
  <c r="D854" i="17" s="1"/>
  <c r="F853" i="17"/>
  <c r="C853" i="17"/>
  <c r="D853" i="17" s="1"/>
  <c r="F852" i="17"/>
  <c r="C852" i="17"/>
  <c r="E852" i="17" s="1"/>
  <c r="F851" i="17"/>
  <c r="C851" i="17"/>
  <c r="E851" i="17" s="1"/>
  <c r="F850" i="17"/>
  <c r="C850" i="17"/>
  <c r="D850" i="17" s="1"/>
  <c r="F849" i="17"/>
  <c r="C849" i="17"/>
  <c r="D849" i="17" s="1"/>
  <c r="F848" i="17"/>
  <c r="C848" i="17"/>
  <c r="E848" i="17" s="1"/>
  <c r="F847" i="17"/>
  <c r="C847" i="17"/>
  <c r="E847" i="17" s="1"/>
  <c r="F846" i="17"/>
  <c r="C846" i="17"/>
  <c r="D846" i="17" s="1"/>
  <c r="F845" i="17"/>
  <c r="C845" i="17"/>
  <c r="D845" i="17" s="1"/>
  <c r="F844" i="17"/>
  <c r="C844" i="17"/>
  <c r="E844" i="17" s="1"/>
  <c r="F843" i="17"/>
  <c r="C843" i="17"/>
  <c r="E843" i="17" s="1"/>
  <c r="F842" i="17"/>
  <c r="C842" i="17"/>
  <c r="D842" i="17" s="1"/>
  <c r="F841" i="17"/>
  <c r="C841" i="17"/>
  <c r="D841" i="17" s="1"/>
  <c r="F840" i="17"/>
  <c r="C840" i="17"/>
  <c r="E840" i="17" s="1"/>
  <c r="F839" i="17"/>
  <c r="C839" i="17"/>
  <c r="E839" i="17" s="1"/>
  <c r="F838" i="17"/>
  <c r="C838" i="17"/>
  <c r="D838" i="17" s="1"/>
  <c r="F837" i="17"/>
  <c r="C837" i="17"/>
  <c r="E837" i="17" s="1"/>
  <c r="F836" i="17"/>
  <c r="C836" i="17"/>
  <c r="E836" i="17" s="1"/>
  <c r="F835" i="17"/>
  <c r="C835" i="17"/>
  <c r="E835" i="17" s="1"/>
  <c r="F834" i="17"/>
  <c r="C834" i="17"/>
  <c r="D834" i="17" s="1"/>
  <c r="F833" i="17"/>
  <c r="C833" i="17"/>
  <c r="E833" i="17" s="1"/>
  <c r="F832" i="17"/>
  <c r="C832" i="17"/>
  <c r="E832" i="17" s="1"/>
  <c r="F831" i="17"/>
  <c r="C831" i="17"/>
  <c r="E831" i="17" s="1"/>
  <c r="F830" i="17"/>
  <c r="C830" i="17"/>
  <c r="D830" i="17" s="1"/>
  <c r="F829" i="17"/>
  <c r="C829" i="17"/>
  <c r="E829" i="17" s="1"/>
  <c r="F828" i="17"/>
  <c r="C828" i="17"/>
  <c r="E828" i="17" s="1"/>
  <c r="F827" i="17"/>
  <c r="C827" i="17"/>
  <c r="E827" i="17" s="1"/>
  <c r="F826" i="17"/>
  <c r="C826" i="17"/>
  <c r="D826" i="17" s="1"/>
  <c r="F825" i="17"/>
  <c r="C825" i="17"/>
  <c r="E825" i="17" s="1"/>
  <c r="F824" i="17"/>
  <c r="C824" i="17"/>
  <c r="E824" i="17" s="1"/>
  <c r="F823" i="17"/>
  <c r="C823" i="17"/>
  <c r="E823" i="17" s="1"/>
  <c r="F822" i="17"/>
  <c r="C822" i="17"/>
  <c r="D822" i="17" s="1"/>
  <c r="F821" i="17"/>
  <c r="C821" i="17"/>
  <c r="E821" i="17" s="1"/>
  <c r="F820" i="17"/>
  <c r="C820" i="17"/>
  <c r="E820" i="17" s="1"/>
  <c r="F819" i="17"/>
  <c r="C819" i="17"/>
  <c r="E819" i="17" s="1"/>
  <c r="F818" i="17"/>
  <c r="C818" i="17"/>
  <c r="D818" i="17" s="1"/>
  <c r="F817" i="17"/>
  <c r="C817" i="17"/>
  <c r="E817" i="17" s="1"/>
  <c r="F816" i="17"/>
  <c r="C816" i="17"/>
  <c r="E816" i="17" s="1"/>
  <c r="F815" i="17"/>
  <c r="C815" i="17"/>
  <c r="D815" i="17" s="1"/>
  <c r="F814" i="17"/>
  <c r="C814" i="17"/>
  <c r="E814" i="17" s="1"/>
  <c r="F643" i="17"/>
  <c r="C643" i="17"/>
  <c r="E643" i="17" s="1"/>
  <c r="F642" i="17"/>
  <c r="C642" i="17"/>
  <c r="E642" i="17" s="1"/>
  <c r="F641" i="17"/>
  <c r="C641" i="17"/>
  <c r="E641" i="17" s="1"/>
  <c r="F640" i="17"/>
  <c r="C640" i="17"/>
  <c r="D640" i="17" s="1"/>
  <c r="F639" i="17"/>
  <c r="C639" i="17"/>
  <c r="E639" i="17" s="1"/>
  <c r="F638" i="17"/>
  <c r="C638" i="17"/>
  <c r="E638" i="17" s="1"/>
  <c r="F637" i="17"/>
  <c r="C637" i="17"/>
  <c r="E637" i="17" s="1"/>
  <c r="F636" i="17"/>
  <c r="C636" i="17"/>
  <c r="D636" i="17" s="1"/>
  <c r="F635" i="17"/>
  <c r="C635" i="17"/>
  <c r="E635" i="17" s="1"/>
  <c r="F634" i="17"/>
  <c r="C634" i="17"/>
  <c r="E634" i="17" s="1"/>
  <c r="F633" i="17"/>
  <c r="C633" i="17"/>
  <c r="E633" i="17" s="1"/>
  <c r="F632" i="17"/>
  <c r="C632" i="17"/>
  <c r="D632" i="17" s="1"/>
  <c r="F631" i="17"/>
  <c r="C631" i="17"/>
  <c r="E631" i="17" s="1"/>
  <c r="F630" i="17"/>
  <c r="C630" i="17"/>
  <c r="E630" i="17" s="1"/>
  <c r="F629" i="17"/>
  <c r="C629" i="17"/>
  <c r="E629" i="17" s="1"/>
  <c r="F628" i="17"/>
  <c r="C628" i="17"/>
  <c r="E628" i="17" s="1"/>
  <c r="F627" i="17"/>
  <c r="C627" i="17"/>
  <c r="E627" i="17" s="1"/>
  <c r="F626" i="17"/>
  <c r="C626" i="17"/>
  <c r="E626" i="17" s="1"/>
  <c r="F625" i="17"/>
  <c r="C625" i="17"/>
  <c r="E625" i="17" s="1"/>
  <c r="F624" i="17"/>
  <c r="C624" i="17"/>
  <c r="E624" i="17" s="1"/>
  <c r="F623" i="17"/>
  <c r="C623" i="17"/>
  <c r="E623" i="17" s="1"/>
  <c r="F622" i="17"/>
  <c r="C622" i="17"/>
  <c r="E622" i="17" s="1"/>
  <c r="F621" i="17"/>
  <c r="C621" i="17"/>
  <c r="E621" i="17" s="1"/>
  <c r="F620" i="17"/>
  <c r="C620" i="17"/>
  <c r="D620" i="17" s="1"/>
  <c r="F619" i="17"/>
  <c r="C619" i="17"/>
  <c r="E619" i="17" s="1"/>
  <c r="F618" i="17"/>
  <c r="C618" i="17"/>
  <c r="E618" i="17" s="1"/>
  <c r="F617" i="17"/>
  <c r="C617" i="17"/>
  <c r="E617" i="17" s="1"/>
  <c r="F616" i="17"/>
  <c r="C616" i="17"/>
  <c r="E616" i="17" s="1"/>
  <c r="F615" i="17"/>
  <c r="C615" i="17"/>
  <c r="E615" i="17" s="1"/>
  <c r="F614" i="17"/>
  <c r="C614" i="17"/>
  <c r="E614" i="17" s="1"/>
  <c r="F613" i="17"/>
  <c r="C613" i="17"/>
  <c r="E613" i="17" s="1"/>
  <c r="F612" i="17"/>
  <c r="C612" i="17"/>
  <c r="D612" i="17" s="1"/>
  <c r="F611" i="17"/>
  <c r="C611" i="17"/>
  <c r="E611" i="17" s="1"/>
  <c r="F610" i="17"/>
  <c r="C610" i="17"/>
  <c r="E610" i="17" s="1"/>
  <c r="F609" i="17"/>
  <c r="C609" i="17"/>
  <c r="E609" i="17" s="1"/>
  <c r="F608" i="17"/>
  <c r="C608" i="17"/>
  <c r="D608" i="17" s="1"/>
  <c r="F607" i="17"/>
  <c r="C607" i="17"/>
  <c r="E607" i="17" s="1"/>
  <c r="F606" i="17"/>
  <c r="C606" i="17"/>
  <c r="D606" i="17" s="1"/>
  <c r="F605" i="17"/>
  <c r="C605" i="17"/>
  <c r="E605" i="17" s="1"/>
  <c r="F604" i="17"/>
  <c r="C604" i="17"/>
  <c r="D604" i="17" s="1"/>
  <c r="F603" i="17"/>
  <c r="C603" i="17"/>
  <c r="D603" i="17" s="1"/>
  <c r="F602" i="17"/>
  <c r="C602" i="17"/>
  <c r="D602" i="17" s="1"/>
  <c r="F601" i="17"/>
  <c r="C601" i="17"/>
  <c r="E601" i="17" s="1"/>
  <c r="F600" i="17"/>
  <c r="C600" i="17"/>
  <c r="E600" i="17" s="1"/>
  <c r="F598" i="17"/>
  <c r="C598" i="17"/>
  <c r="E598" i="17" s="1"/>
  <c r="F597" i="17"/>
  <c r="C597" i="17"/>
  <c r="E597" i="17" s="1"/>
  <c r="G597" i="17" s="1"/>
  <c r="F596" i="17"/>
  <c r="C596" i="17"/>
  <c r="E596" i="17" s="1"/>
  <c r="F595" i="17"/>
  <c r="C595" i="17"/>
  <c r="E595" i="17" s="1"/>
  <c r="F594" i="17"/>
  <c r="C594" i="17"/>
  <c r="E594" i="17" s="1"/>
  <c r="F593" i="17"/>
  <c r="C593" i="17"/>
  <c r="D593" i="17" s="1"/>
  <c r="F592" i="17"/>
  <c r="C592" i="17"/>
  <c r="F591" i="17"/>
  <c r="C591" i="17"/>
  <c r="E591" i="17" s="1"/>
  <c r="F590" i="17"/>
  <c r="C590" i="17"/>
  <c r="E590" i="17" s="1"/>
  <c r="F589" i="17"/>
  <c r="C589" i="17"/>
  <c r="E589" i="17" s="1"/>
  <c r="F588" i="17"/>
  <c r="C588" i="17"/>
  <c r="D588" i="17" s="1"/>
  <c r="F587" i="17"/>
  <c r="C587" i="17"/>
  <c r="E587" i="17" s="1"/>
  <c r="F586" i="17"/>
  <c r="C586" i="17"/>
  <c r="E586" i="17" s="1"/>
  <c r="F585" i="17"/>
  <c r="C585" i="17"/>
  <c r="E585" i="17" s="1"/>
  <c r="F584" i="17"/>
  <c r="C584" i="17"/>
  <c r="E584" i="17" s="1"/>
  <c r="F583" i="17"/>
  <c r="C583" i="17"/>
  <c r="E583" i="17" s="1"/>
  <c r="F582" i="17"/>
  <c r="C582" i="17"/>
  <c r="E582" i="17" s="1"/>
  <c r="F581" i="17"/>
  <c r="C581" i="17"/>
  <c r="D581" i="17" s="1"/>
  <c r="F580" i="17"/>
  <c r="C580" i="17"/>
  <c r="E580" i="17" s="1"/>
  <c r="F579" i="17"/>
  <c r="C579" i="17"/>
  <c r="E579" i="17" s="1"/>
  <c r="F578" i="17"/>
  <c r="C578" i="17"/>
  <c r="E578" i="17" s="1"/>
  <c r="F577" i="17"/>
  <c r="C577" i="17"/>
  <c r="D577" i="17" s="1"/>
  <c r="F576" i="17"/>
  <c r="C576" i="17"/>
  <c r="E576" i="17" s="1"/>
  <c r="F575" i="17"/>
  <c r="C575" i="17"/>
  <c r="E575" i="17" s="1"/>
  <c r="F574" i="17"/>
  <c r="C574" i="17"/>
  <c r="E574" i="17" s="1"/>
  <c r="F573" i="17"/>
  <c r="C573" i="17"/>
  <c r="D573" i="17" s="1"/>
  <c r="F572" i="17"/>
  <c r="C572" i="17"/>
  <c r="E572" i="17" s="1"/>
  <c r="F571" i="17"/>
  <c r="C571" i="17"/>
  <c r="E571" i="17" s="1"/>
  <c r="F570" i="17"/>
  <c r="C570" i="17"/>
  <c r="E570" i="17" s="1"/>
  <c r="F569" i="17"/>
  <c r="C569" i="17"/>
  <c r="D569" i="17" s="1"/>
  <c r="F568" i="17"/>
  <c r="C568" i="17"/>
  <c r="E568" i="17" s="1"/>
  <c r="F567" i="17"/>
  <c r="C567" i="17"/>
  <c r="E567" i="17" s="1"/>
  <c r="F566" i="17"/>
  <c r="C566" i="17"/>
  <c r="E566" i="17" s="1"/>
  <c r="F565" i="17"/>
  <c r="C565" i="17"/>
  <c r="D565" i="17" s="1"/>
  <c r="F564" i="17"/>
  <c r="C564" i="17"/>
  <c r="E564" i="17" s="1"/>
  <c r="F563" i="17"/>
  <c r="C563" i="17"/>
  <c r="E563" i="17" s="1"/>
  <c r="F562" i="17"/>
  <c r="C562" i="17"/>
  <c r="E562" i="17" s="1"/>
  <c r="F561" i="17"/>
  <c r="C561" i="17"/>
  <c r="D561" i="17" s="1"/>
  <c r="F560" i="17"/>
  <c r="C560" i="17"/>
  <c r="E560" i="17" s="1"/>
  <c r="F559" i="17"/>
  <c r="C559" i="17"/>
  <c r="E559" i="17" s="1"/>
  <c r="F558" i="17"/>
  <c r="C558" i="17"/>
  <c r="E558" i="17" s="1"/>
  <c r="F557" i="17"/>
  <c r="C557" i="17"/>
  <c r="D557" i="17" s="1"/>
  <c r="F556" i="17"/>
  <c r="C556" i="17"/>
  <c r="E556" i="17" s="1"/>
  <c r="F555" i="17"/>
  <c r="C555" i="17"/>
  <c r="E555" i="17" s="1"/>
  <c r="F554" i="17"/>
  <c r="C554" i="17"/>
  <c r="E554" i="17" s="1"/>
  <c r="F553" i="17"/>
  <c r="C553" i="17"/>
  <c r="D553" i="17" s="1"/>
  <c r="F552" i="17"/>
  <c r="C552" i="17"/>
  <c r="E552" i="17" s="1"/>
  <c r="F551" i="17"/>
  <c r="C551" i="17"/>
  <c r="E551" i="17" s="1"/>
  <c r="F550" i="17"/>
  <c r="C550" i="17"/>
  <c r="E550" i="17" s="1"/>
  <c r="F804" i="17"/>
  <c r="C804" i="17"/>
  <c r="E804" i="17" s="1"/>
  <c r="F803" i="17"/>
  <c r="C803" i="17"/>
  <c r="E803" i="17" s="1"/>
  <c r="F802" i="17"/>
  <c r="C802" i="17"/>
  <c r="E802" i="17" s="1"/>
  <c r="F801" i="17"/>
  <c r="C801" i="17"/>
  <c r="E801" i="17" s="1"/>
  <c r="F548" i="17"/>
  <c r="C548" i="17"/>
  <c r="E548" i="17" s="1"/>
  <c r="F547" i="17"/>
  <c r="C547" i="17"/>
  <c r="E547" i="17" s="1"/>
  <c r="F546" i="17"/>
  <c r="C546" i="17"/>
  <c r="E546" i="17" s="1"/>
  <c r="F545" i="17"/>
  <c r="C545" i="17"/>
  <c r="E545" i="17" s="1"/>
  <c r="F544" i="17"/>
  <c r="C544" i="17"/>
  <c r="E544" i="17" s="1"/>
  <c r="F543" i="17"/>
  <c r="C543" i="17"/>
  <c r="E543" i="17" s="1"/>
  <c r="F542" i="17"/>
  <c r="C542" i="17"/>
  <c r="E542" i="17" s="1"/>
  <c r="F541" i="17"/>
  <c r="C541" i="17"/>
  <c r="E541" i="17" s="1"/>
  <c r="F540" i="17"/>
  <c r="C540" i="17"/>
  <c r="E540" i="17" s="1"/>
  <c r="F539" i="17"/>
  <c r="C539" i="17"/>
  <c r="E539" i="17" s="1"/>
  <c r="F538" i="17"/>
  <c r="C538" i="17"/>
  <c r="E538" i="17" s="1"/>
  <c r="F537" i="17"/>
  <c r="C537" i="17"/>
  <c r="E537" i="17" s="1"/>
  <c r="F536" i="17"/>
  <c r="C536" i="17"/>
  <c r="E536" i="17" s="1"/>
  <c r="F535" i="17"/>
  <c r="C535" i="17"/>
  <c r="E535" i="17" s="1"/>
  <c r="F534" i="17"/>
  <c r="C534" i="17"/>
  <c r="E534" i="17" s="1"/>
  <c r="F533" i="17"/>
  <c r="C533" i="17"/>
  <c r="E533" i="17" s="1"/>
  <c r="F532" i="17"/>
  <c r="C532" i="17"/>
  <c r="E532" i="17" s="1"/>
  <c r="F531" i="17"/>
  <c r="C531" i="17"/>
  <c r="E531" i="17" s="1"/>
  <c r="F530" i="17"/>
  <c r="C530" i="17"/>
  <c r="E530" i="17" s="1"/>
  <c r="F529" i="17"/>
  <c r="C529" i="17"/>
  <c r="E529" i="17" s="1"/>
  <c r="F528" i="17"/>
  <c r="C528" i="17"/>
  <c r="E528" i="17" s="1"/>
  <c r="F527" i="17"/>
  <c r="C527" i="17"/>
  <c r="E527" i="17" s="1"/>
  <c r="F526" i="17"/>
  <c r="C526" i="17"/>
  <c r="E526" i="17" s="1"/>
  <c r="F525" i="17"/>
  <c r="C525" i="17"/>
  <c r="E525" i="17" s="1"/>
  <c r="F524" i="17"/>
  <c r="C524" i="17"/>
  <c r="E524" i="17" s="1"/>
  <c r="F523" i="17"/>
  <c r="C523" i="17"/>
  <c r="E523" i="17" s="1"/>
  <c r="F522" i="17"/>
  <c r="C522" i="17"/>
  <c r="E522" i="17" s="1"/>
  <c r="F521" i="17"/>
  <c r="C521" i="17"/>
  <c r="E521" i="17" s="1"/>
  <c r="F520" i="17"/>
  <c r="C520" i="17"/>
  <c r="E520" i="17" s="1"/>
  <c r="F519" i="17"/>
  <c r="C519" i="17"/>
  <c r="E519" i="17" s="1"/>
  <c r="F518" i="17"/>
  <c r="C518" i="17"/>
  <c r="E518" i="17" s="1"/>
  <c r="F517" i="17"/>
  <c r="C517" i="17"/>
  <c r="E517" i="17" s="1"/>
  <c r="F516" i="17"/>
  <c r="C516" i="17"/>
  <c r="E516" i="17" s="1"/>
  <c r="F515" i="17"/>
  <c r="C515" i="17"/>
  <c r="E515" i="17" s="1"/>
  <c r="F514" i="17"/>
  <c r="C514" i="17"/>
  <c r="E514" i="17" s="1"/>
  <c r="F513" i="17"/>
  <c r="C513" i="17"/>
  <c r="E513" i="17" s="1"/>
  <c r="F512" i="17"/>
  <c r="C512" i="17"/>
  <c r="E512" i="17" s="1"/>
  <c r="F511" i="17"/>
  <c r="C511" i="17"/>
  <c r="E511" i="17" s="1"/>
  <c r="F510" i="17"/>
  <c r="C510" i="17"/>
  <c r="E510" i="17" s="1"/>
  <c r="F509" i="17"/>
  <c r="C509" i="17"/>
  <c r="E509" i="17" s="1"/>
  <c r="F508" i="17"/>
  <c r="C508" i="17"/>
  <c r="E508" i="17" s="1"/>
  <c r="F507" i="17"/>
  <c r="C507" i="17"/>
  <c r="E507" i="17" s="1"/>
  <c r="F506" i="17"/>
  <c r="C506" i="17"/>
  <c r="E506" i="17" s="1"/>
  <c r="F505" i="17"/>
  <c r="C505" i="17"/>
  <c r="E505" i="17" s="1"/>
  <c r="F504" i="17"/>
  <c r="C504" i="17"/>
  <c r="E504" i="17" s="1"/>
  <c r="F503" i="17"/>
  <c r="C503" i="17"/>
  <c r="E503" i="17" s="1"/>
  <c r="F502" i="17"/>
  <c r="C502" i="17"/>
  <c r="E502" i="17" s="1"/>
  <c r="F501" i="17"/>
  <c r="C501" i="17"/>
  <c r="E501" i="17" s="1"/>
  <c r="F500" i="17"/>
  <c r="C500" i="17"/>
  <c r="E500" i="17" s="1"/>
  <c r="F499" i="17"/>
  <c r="C499" i="17"/>
  <c r="E499" i="17" s="1"/>
  <c r="F498" i="17"/>
  <c r="C498" i="17"/>
  <c r="E498" i="17" s="1"/>
  <c r="F497" i="17"/>
  <c r="C497" i="17"/>
  <c r="D497" i="17" s="1"/>
  <c r="F496" i="17"/>
  <c r="C496" i="17"/>
  <c r="E496" i="17" s="1"/>
  <c r="F495" i="17"/>
  <c r="C495" i="17"/>
  <c r="E495" i="17" s="1"/>
  <c r="F494" i="17"/>
  <c r="C494" i="17"/>
  <c r="E494" i="17" s="1"/>
  <c r="F493" i="17"/>
  <c r="C493" i="17"/>
  <c r="E493" i="17" s="1"/>
  <c r="F492" i="17"/>
  <c r="C492" i="17"/>
  <c r="E492" i="17" s="1"/>
  <c r="F491" i="17"/>
  <c r="C491" i="17"/>
  <c r="E491" i="17" s="1"/>
  <c r="F490" i="17"/>
  <c r="C490" i="17"/>
  <c r="E490" i="17" s="1"/>
  <c r="F489" i="17"/>
  <c r="C489" i="17"/>
  <c r="E489" i="17" s="1"/>
  <c r="F488" i="17"/>
  <c r="C488" i="17"/>
  <c r="E488" i="17" s="1"/>
  <c r="F487" i="17"/>
  <c r="C487" i="17"/>
  <c r="E487" i="17" s="1"/>
  <c r="F486" i="17"/>
  <c r="C486" i="17"/>
  <c r="E486" i="17" s="1"/>
  <c r="F485" i="17"/>
  <c r="C485" i="17"/>
  <c r="E485" i="17" s="1"/>
  <c r="F484" i="17"/>
  <c r="C484" i="17"/>
  <c r="E484" i="17" s="1"/>
  <c r="F483" i="17"/>
  <c r="C483" i="17"/>
  <c r="E483" i="17" s="1"/>
  <c r="F482" i="17"/>
  <c r="C482" i="17"/>
  <c r="E482" i="17" s="1"/>
  <c r="F481" i="17"/>
  <c r="C481" i="17"/>
  <c r="E481" i="17" s="1"/>
  <c r="F480" i="17"/>
  <c r="C480" i="17"/>
  <c r="E480" i="17" s="1"/>
  <c r="F479" i="17"/>
  <c r="C479" i="17"/>
  <c r="D479" i="17" s="1"/>
  <c r="F478" i="17"/>
  <c r="C478" i="17"/>
  <c r="E478" i="17" s="1"/>
  <c r="F477" i="17"/>
  <c r="C477" i="17"/>
  <c r="E477" i="17" s="1"/>
  <c r="F476" i="17"/>
  <c r="C476" i="17"/>
  <c r="E476" i="17" s="1"/>
  <c r="F475" i="17"/>
  <c r="C475" i="17"/>
  <c r="E475" i="17" s="1"/>
  <c r="F474" i="17"/>
  <c r="C474" i="17"/>
  <c r="E474" i="17" s="1"/>
  <c r="F473" i="17"/>
  <c r="C473" i="17"/>
  <c r="E473" i="17" s="1"/>
  <c r="F472" i="17"/>
  <c r="C472" i="17"/>
  <c r="E472" i="17" s="1"/>
  <c r="F471" i="17"/>
  <c r="C471" i="17"/>
  <c r="E471" i="17" s="1"/>
  <c r="F470" i="17"/>
  <c r="C470" i="17"/>
  <c r="E470" i="17" s="1"/>
  <c r="F469" i="17"/>
  <c r="C469" i="17"/>
  <c r="E469" i="17" s="1"/>
  <c r="F468" i="17"/>
  <c r="C468" i="17"/>
  <c r="E468" i="17" s="1"/>
  <c r="F467" i="17"/>
  <c r="C467" i="17"/>
  <c r="E467" i="17" s="1"/>
  <c r="F466" i="17"/>
  <c r="C466" i="17"/>
  <c r="E466" i="17" s="1"/>
  <c r="F465" i="17"/>
  <c r="C465" i="17"/>
  <c r="D465" i="17" s="1"/>
  <c r="F464" i="17"/>
  <c r="C464" i="17"/>
  <c r="E464" i="17" s="1"/>
  <c r="F463" i="17"/>
  <c r="C463" i="17"/>
  <c r="E463" i="17" s="1"/>
  <c r="F462" i="17"/>
  <c r="C462" i="17"/>
  <c r="E462" i="17" s="1"/>
  <c r="F461" i="17"/>
  <c r="C461" i="17"/>
  <c r="E461" i="17" s="1"/>
  <c r="F460" i="17"/>
  <c r="C460" i="17"/>
  <c r="E460" i="17" s="1"/>
  <c r="F459" i="17"/>
  <c r="C459" i="17"/>
  <c r="E459" i="17" s="1"/>
  <c r="F458" i="17"/>
  <c r="C458" i="17"/>
  <c r="D458" i="17" s="1"/>
  <c r="F457" i="17"/>
  <c r="C457" i="17"/>
  <c r="E457" i="17" s="1"/>
  <c r="F456" i="17"/>
  <c r="C456" i="17"/>
  <c r="E456" i="17" s="1"/>
  <c r="F455" i="17"/>
  <c r="C455" i="17"/>
  <c r="E455" i="17" s="1"/>
  <c r="F454" i="17"/>
  <c r="C454" i="17"/>
  <c r="E454" i="17" s="1"/>
  <c r="F453" i="17"/>
  <c r="C453" i="17"/>
  <c r="E453" i="17" s="1"/>
  <c r="F452" i="17"/>
  <c r="C452" i="17"/>
  <c r="D452" i="17" s="1"/>
  <c r="F451" i="17"/>
  <c r="C451" i="17"/>
  <c r="E451" i="17" s="1"/>
  <c r="F800" i="17"/>
  <c r="C800" i="17"/>
  <c r="E800" i="17" s="1"/>
  <c r="F799" i="17"/>
  <c r="C799" i="17"/>
  <c r="F798" i="17"/>
  <c r="C798" i="17"/>
  <c r="F797" i="17"/>
  <c r="C797" i="17"/>
  <c r="F796" i="17"/>
  <c r="C796" i="17"/>
  <c r="E796" i="17" s="1"/>
  <c r="F795" i="17"/>
  <c r="C795" i="17"/>
  <c r="F794" i="17"/>
  <c r="C794" i="17"/>
  <c r="F793" i="17"/>
  <c r="C793" i="17"/>
  <c r="F792" i="17"/>
  <c r="C792" i="17"/>
  <c r="E792" i="17" s="1"/>
  <c r="F791" i="17"/>
  <c r="C791" i="17"/>
  <c r="F449" i="17"/>
  <c r="C449" i="17"/>
  <c r="F448" i="17"/>
  <c r="C448" i="17"/>
  <c r="F447" i="17"/>
  <c r="C447" i="17"/>
  <c r="E447" i="17" s="1"/>
  <c r="F446" i="17"/>
  <c r="C446" i="17"/>
  <c r="F445" i="17"/>
  <c r="C445" i="17"/>
  <c r="F444" i="17"/>
  <c r="C444" i="17"/>
  <c r="F443" i="17"/>
  <c r="C443" i="17"/>
  <c r="E443" i="17" s="1"/>
  <c r="F442" i="17"/>
  <c r="C442" i="17"/>
  <c r="F441" i="17"/>
  <c r="C441" i="17"/>
  <c r="F440" i="17"/>
  <c r="C440" i="17"/>
  <c r="F439" i="17"/>
  <c r="C439" i="17"/>
  <c r="E439" i="17" s="1"/>
  <c r="F438" i="17"/>
  <c r="C438" i="17"/>
  <c r="F437" i="17"/>
  <c r="C437" i="17"/>
  <c r="F436" i="17"/>
  <c r="C436" i="17"/>
  <c r="F435" i="17"/>
  <c r="C435" i="17"/>
  <c r="E435" i="17" s="1"/>
  <c r="F434" i="17"/>
  <c r="C434" i="17"/>
  <c r="F433" i="17"/>
  <c r="C433" i="17"/>
  <c r="F432" i="17"/>
  <c r="C432" i="17"/>
  <c r="F431" i="17"/>
  <c r="C431" i="17"/>
  <c r="E431" i="17" s="1"/>
  <c r="F430" i="17"/>
  <c r="C430" i="17"/>
  <c r="F429" i="17"/>
  <c r="C429" i="17"/>
  <c r="F428" i="17"/>
  <c r="C428" i="17"/>
  <c r="F427" i="17"/>
  <c r="C427" i="17"/>
  <c r="E427" i="17" s="1"/>
  <c r="F426" i="17"/>
  <c r="C426" i="17"/>
  <c r="F425" i="17"/>
  <c r="C425" i="17"/>
  <c r="F424" i="17"/>
  <c r="C424" i="17"/>
  <c r="F423" i="17"/>
  <c r="C423" i="17"/>
  <c r="E423" i="17" s="1"/>
  <c r="F422" i="17"/>
  <c r="C422" i="17"/>
  <c r="F421" i="17"/>
  <c r="C421" i="17"/>
  <c r="F420" i="17"/>
  <c r="C420" i="17"/>
  <c r="F419" i="17"/>
  <c r="C419" i="17"/>
  <c r="E419" i="17" s="1"/>
  <c r="F418" i="17"/>
  <c r="C418" i="17"/>
  <c r="F417" i="17"/>
  <c r="C417" i="17"/>
  <c r="F416" i="17"/>
  <c r="C416" i="17"/>
  <c r="F415" i="17"/>
  <c r="C415" i="17"/>
  <c r="E415" i="17" s="1"/>
  <c r="F414" i="17"/>
  <c r="C414" i="17"/>
  <c r="F413" i="17"/>
  <c r="C413" i="17"/>
  <c r="F412" i="17"/>
  <c r="C412" i="17"/>
  <c r="F411" i="17"/>
  <c r="C411" i="17"/>
  <c r="E411" i="17" s="1"/>
  <c r="F410" i="17"/>
  <c r="C410" i="17"/>
  <c r="F409" i="17"/>
  <c r="C409" i="17"/>
  <c r="F408" i="17"/>
  <c r="C408" i="17"/>
  <c r="F407" i="17"/>
  <c r="C407" i="17"/>
  <c r="E407" i="17" s="1"/>
  <c r="F406" i="17"/>
  <c r="C406" i="17"/>
  <c r="F405" i="17"/>
  <c r="C405" i="17"/>
  <c r="F404" i="17"/>
  <c r="C404" i="17"/>
  <c r="F403" i="17"/>
  <c r="C403" i="17"/>
  <c r="E403" i="17" s="1"/>
  <c r="F402" i="17"/>
  <c r="C402" i="17"/>
  <c r="F401" i="17"/>
  <c r="C401" i="17"/>
  <c r="F400" i="17"/>
  <c r="C400" i="17"/>
  <c r="F399" i="17"/>
  <c r="C399" i="17"/>
  <c r="E399" i="17" s="1"/>
  <c r="F398" i="17"/>
  <c r="C398" i="17"/>
  <c r="F397" i="17"/>
  <c r="C397" i="17"/>
  <c r="F396" i="17"/>
  <c r="C396" i="17"/>
  <c r="F395" i="17"/>
  <c r="C395" i="17"/>
  <c r="E395" i="17" s="1"/>
  <c r="F394" i="17"/>
  <c r="C394" i="17"/>
  <c r="F393" i="17"/>
  <c r="C393" i="17"/>
  <c r="F392" i="17"/>
  <c r="C392" i="17"/>
  <c r="F391" i="17"/>
  <c r="C391" i="17"/>
  <c r="E391" i="17" s="1"/>
  <c r="F390" i="17"/>
  <c r="C390" i="17"/>
  <c r="F389" i="17"/>
  <c r="C389" i="17"/>
  <c r="F388" i="17"/>
  <c r="C388" i="17"/>
  <c r="F387" i="17"/>
  <c r="C387" i="17"/>
  <c r="E387" i="17" s="1"/>
  <c r="F386" i="17"/>
  <c r="C386" i="17"/>
  <c r="F385" i="17"/>
  <c r="C385" i="17"/>
  <c r="F384" i="17"/>
  <c r="C384" i="17"/>
  <c r="F383" i="17"/>
  <c r="C383" i="17"/>
  <c r="E383" i="17" s="1"/>
  <c r="F382" i="17"/>
  <c r="C382" i="17"/>
  <c r="F381" i="17"/>
  <c r="C381" i="17"/>
  <c r="F380" i="17"/>
  <c r="C380" i="17"/>
  <c r="F379" i="17"/>
  <c r="C379" i="17"/>
  <c r="E379" i="17" s="1"/>
  <c r="F378" i="17"/>
  <c r="C378" i="17"/>
  <c r="D378" i="17" s="1"/>
  <c r="F377" i="17"/>
  <c r="C377" i="17"/>
  <c r="E377" i="17" s="1"/>
  <c r="F376" i="17"/>
  <c r="C376" i="17"/>
  <c r="D376" i="17" s="1"/>
  <c r="F375" i="17"/>
  <c r="C375" i="17"/>
  <c r="E375" i="17" s="1"/>
  <c r="F374" i="17"/>
  <c r="C374" i="17"/>
  <c r="D374" i="17" s="1"/>
  <c r="F373" i="17"/>
  <c r="C373" i="17"/>
  <c r="E373" i="17" s="1"/>
  <c r="F372" i="17"/>
  <c r="C372" i="17"/>
  <c r="F371" i="17"/>
  <c r="C371" i="17"/>
  <c r="E371" i="17" s="1"/>
  <c r="F370" i="17"/>
  <c r="C370" i="17"/>
  <c r="F369" i="17"/>
  <c r="C369" i="17"/>
  <c r="E369" i="17" s="1"/>
  <c r="F368" i="17"/>
  <c r="C368" i="17"/>
  <c r="F367" i="17"/>
  <c r="C367" i="17"/>
  <c r="E367" i="17" s="1"/>
  <c r="F366" i="17"/>
  <c r="C366" i="17"/>
  <c r="D366" i="17" s="1"/>
  <c r="F365" i="17"/>
  <c r="C365" i="17"/>
  <c r="E365" i="17" s="1"/>
  <c r="F364" i="17"/>
  <c r="C364" i="17"/>
  <c r="F363" i="17"/>
  <c r="C363" i="17"/>
  <c r="E363" i="17" s="1"/>
  <c r="F362" i="17"/>
  <c r="C362" i="17"/>
  <c r="F361" i="17"/>
  <c r="C361" i="17"/>
  <c r="E361" i="17" s="1"/>
  <c r="F360" i="17"/>
  <c r="C360" i="17"/>
  <c r="F359" i="17"/>
  <c r="C359" i="17"/>
  <c r="F358" i="17"/>
  <c r="C358" i="17"/>
  <c r="E358" i="17" s="1"/>
  <c r="F357" i="17"/>
  <c r="C357" i="17"/>
  <c r="E357" i="17" s="1"/>
  <c r="F356" i="17"/>
  <c r="C356" i="17"/>
  <c r="D356" i="17" s="1"/>
  <c r="F355" i="17"/>
  <c r="C355" i="17"/>
  <c r="E355" i="17" s="1"/>
  <c r="F354" i="17"/>
  <c r="C354" i="17"/>
  <c r="D354" i="17" s="1"/>
  <c r="F353" i="17"/>
  <c r="C353" i="17"/>
  <c r="E353" i="17" s="1"/>
  <c r="F352" i="17"/>
  <c r="C352" i="17"/>
  <c r="D352" i="17" s="1"/>
  <c r="F351" i="17"/>
  <c r="C351" i="17"/>
  <c r="E351" i="17" s="1"/>
  <c r="F350" i="17"/>
  <c r="C350" i="17"/>
  <c r="E350" i="17" s="1"/>
  <c r="F349" i="17"/>
  <c r="C349" i="17"/>
  <c r="E349" i="17" s="1"/>
  <c r="F348" i="17"/>
  <c r="C348" i="17"/>
  <c r="D348" i="17" s="1"/>
  <c r="F347" i="17"/>
  <c r="C347" i="17"/>
  <c r="E347" i="17" s="1"/>
  <c r="F346" i="17"/>
  <c r="C346" i="17"/>
  <c r="F345" i="17"/>
  <c r="C345" i="17"/>
  <c r="D345" i="17" s="1"/>
  <c r="F344" i="17"/>
  <c r="C344" i="17"/>
  <c r="D344" i="17" s="1"/>
  <c r="F343" i="17"/>
  <c r="C343" i="17"/>
  <c r="E343" i="17" s="1"/>
  <c r="F342" i="17"/>
  <c r="C342" i="17"/>
  <c r="F341" i="17"/>
  <c r="C341" i="17"/>
  <c r="D341" i="17" s="1"/>
  <c r="F340" i="17"/>
  <c r="C340" i="17"/>
  <c r="D340" i="17" s="1"/>
  <c r="F339" i="17"/>
  <c r="C339" i="17"/>
  <c r="E339" i="17" s="1"/>
  <c r="F338" i="17"/>
  <c r="C338" i="17"/>
  <c r="F337" i="17"/>
  <c r="C337" i="17"/>
  <c r="E337" i="17" s="1"/>
  <c r="F336" i="17"/>
  <c r="C336" i="17"/>
  <c r="D336" i="17" s="1"/>
  <c r="F335" i="17"/>
  <c r="C335" i="17"/>
  <c r="E335" i="17" s="1"/>
  <c r="F334" i="17"/>
  <c r="C334" i="17"/>
  <c r="F333" i="17"/>
  <c r="C333" i="17"/>
  <c r="D333" i="17" s="1"/>
  <c r="F332" i="17"/>
  <c r="C332" i="17"/>
  <c r="D332" i="17" s="1"/>
  <c r="F331" i="17"/>
  <c r="C331" i="17"/>
  <c r="E331" i="17" s="1"/>
  <c r="F330" i="17"/>
  <c r="C330" i="17"/>
  <c r="F329" i="17"/>
  <c r="C329" i="17"/>
  <c r="E329" i="17" s="1"/>
  <c r="F328" i="17"/>
  <c r="C328" i="17"/>
  <c r="D328" i="17" s="1"/>
  <c r="F327" i="17"/>
  <c r="C327" i="17"/>
  <c r="E327" i="17" s="1"/>
  <c r="F326" i="17"/>
  <c r="C326" i="17"/>
  <c r="F325" i="17"/>
  <c r="C325" i="17"/>
  <c r="E325" i="17" s="1"/>
  <c r="F324" i="17"/>
  <c r="C324" i="17"/>
  <c r="D324" i="17" s="1"/>
  <c r="F323" i="17"/>
  <c r="C323" i="17"/>
  <c r="E323" i="17" s="1"/>
  <c r="F322" i="17"/>
  <c r="C322" i="17"/>
  <c r="F321" i="17"/>
  <c r="C321" i="17"/>
  <c r="E321" i="17" s="1"/>
  <c r="F320" i="17"/>
  <c r="C320" i="17"/>
  <c r="D320" i="17" s="1"/>
  <c r="F319" i="17"/>
  <c r="C319" i="17"/>
  <c r="E319" i="17" s="1"/>
  <c r="F318" i="17"/>
  <c r="C318" i="17"/>
  <c r="F317" i="17"/>
  <c r="C317" i="17"/>
  <c r="E317" i="17" s="1"/>
  <c r="F316" i="17"/>
  <c r="C316" i="17"/>
  <c r="D316" i="17" s="1"/>
  <c r="F315" i="17"/>
  <c r="C315" i="17"/>
  <c r="E315" i="17" s="1"/>
  <c r="F314" i="17"/>
  <c r="C314" i="17"/>
  <c r="F313" i="17"/>
  <c r="C313" i="17"/>
  <c r="E313" i="17" s="1"/>
  <c r="F312" i="17"/>
  <c r="C312" i="17"/>
  <c r="D312" i="17" s="1"/>
  <c r="F311" i="17"/>
  <c r="C311" i="17"/>
  <c r="E311" i="17" s="1"/>
  <c r="F310" i="17"/>
  <c r="C310" i="17"/>
  <c r="F309" i="17"/>
  <c r="C309" i="17"/>
  <c r="E309" i="17" s="1"/>
  <c r="F308" i="17"/>
  <c r="C308" i="17"/>
  <c r="D308" i="17" s="1"/>
  <c r="F307" i="17"/>
  <c r="C307" i="17"/>
  <c r="E307" i="17" s="1"/>
  <c r="F306" i="17"/>
  <c r="C306" i="17"/>
  <c r="F305" i="17"/>
  <c r="C305" i="17"/>
  <c r="E305" i="17" s="1"/>
  <c r="F304" i="17"/>
  <c r="C304" i="17"/>
  <c r="D304" i="17" s="1"/>
  <c r="F303" i="17"/>
  <c r="C303" i="17"/>
  <c r="E303" i="17" s="1"/>
  <c r="F302" i="17"/>
  <c r="C302" i="17"/>
  <c r="F301" i="17"/>
  <c r="C301" i="17"/>
  <c r="E301" i="17" s="1"/>
  <c r="F300" i="17"/>
  <c r="C300" i="17"/>
  <c r="D300" i="17" s="1"/>
  <c r="F299" i="17"/>
  <c r="C299" i="17"/>
  <c r="E299" i="17" s="1"/>
  <c r="F298" i="17"/>
  <c r="C298" i="17"/>
  <c r="F297" i="17"/>
  <c r="C297" i="17"/>
  <c r="E297" i="17" s="1"/>
  <c r="F296" i="17"/>
  <c r="C296" i="17"/>
  <c r="D296" i="17" s="1"/>
  <c r="F295" i="17"/>
  <c r="C295" i="17"/>
  <c r="E295" i="17" s="1"/>
  <c r="F294" i="17"/>
  <c r="C294" i="17"/>
  <c r="F293" i="17"/>
  <c r="C293" i="17"/>
  <c r="E293" i="17" s="1"/>
  <c r="F292" i="17"/>
  <c r="C292" i="17"/>
  <c r="D292" i="17" s="1"/>
  <c r="F291" i="17"/>
  <c r="C291" i="17"/>
  <c r="E291" i="17" s="1"/>
  <c r="F290" i="17"/>
  <c r="C290" i="17"/>
  <c r="F289" i="17"/>
  <c r="C289" i="17"/>
  <c r="E289" i="17" s="1"/>
  <c r="F288" i="17"/>
  <c r="C288" i="17"/>
  <c r="D288" i="17" s="1"/>
  <c r="F287" i="17"/>
  <c r="C287" i="17"/>
  <c r="E287" i="17" s="1"/>
  <c r="F286" i="17"/>
  <c r="C286" i="17"/>
  <c r="F285" i="17"/>
  <c r="C285" i="17"/>
  <c r="E285" i="17" s="1"/>
  <c r="F284" i="17"/>
  <c r="C284" i="17"/>
  <c r="D284" i="17" s="1"/>
  <c r="F283" i="17"/>
  <c r="C283" i="17"/>
  <c r="E283" i="17" s="1"/>
  <c r="F282" i="17"/>
  <c r="C282" i="17"/>
  <c r="F281" i="17"/>
  <c r="C281" i="17"/>
  <c r="E281" i="17" s="1"/>
  <c r="F280" i="17"/>
  <c r="C280" i="17"/>
  <c r="D280" i="17" s="1"/>
  <c r="F279" i="17"/>
  <c r="C279" i="17"/>
  <c r="E279" i="17" s="1"/>
  <c r="F278" i="17"/>
  <c r="C278" i="17"/>
  <c r="F277" i="17"/>
  <c r="C277" i="17"/>
  <c r="E277" i="17" s="1"/>
  <c r="F276" i="17"/>
  <c r="C276" i="17"/>
  <c r="D276" i="17" s="1"/>
  <c r="F275" i="17"/>
  <c r="C275" i="17"/>
  <c r="E275" i="17" s="1"/>
  <c r="F274" i="17"/>
  <c r="C274" i="17"/>
  <c r="F273" i="17"/>
  <c r="C273" i="17"/>
  <c r="E273" i="17" s="1"/>
  <c r="F272" i="17"/>
  <c r="C272" i="17"/>
  <c r="D272" i="17" s="1"/>
  <c r="F271" i="17"/>
  <c r="C271" i="17"/>
  <c r="E271" i="17" s="1"/>
  <c r="F270" i="17"/>
  <c r="C270" i="17"/>
  <c r="F269" i="17"/>
  <c r="C269" i="17"/>
  <c r="E269" i="17" s="1"/>
  <c r="F268" i="17"/>
  <c r="C268" i="17"/>
  <c r="D268" i="17" s="1"/>
  <c r="F267" i="17"/>
  <c r="C267" i="17"/>
  <c r="E267" i="17" s="1"/>
  <c r="F266" i="17"/>
  <c r="C266" i="17"/>
  <c r="F265" i="17"/>
  <c r="C265" i="17"/>
  <c r="E265" i="17" s="1"/>
  <c r="F264" i="17"/>
  <c r="C264" i="17"/>
  <c r="E264" i="17" s="1"/>
  <c r="F263" i="17"/>
  <c r="C263" i="17"/>
  <c r="E263" i="17" s="1"/>
  <c r="F262" i="17"/>
  <c r="C262" i="17"/>
  <c r="E262" i="17" s="1"/>
  <c r="F261" i="17"/>
  <c r="C261" i="17"/>
  <c r="E261" i="17" s="1"/>
  <c r="F260" i="17"/>
  <c r="C260" i="17"/>
  <c r="E260" i="17" s="1"/>
  <c r="F259" i="17"/>
  <c r="C259" i="17"/>
  <c r="E259" i="17" s="1"/>
  <c r="F258" i="17"/>
  <c r="C258" i="17"/>
  <c r="E258" i="17" s="1"/>
  <c r="F257" i="17"/>
  <c r="C257" i="17"/>
  <c r="E257" i="17" s="1"/>
  <c r="F256" i="17"/>
  <c r="C256" i="17"/>
  <c r="E256" i="17" s="1"/>
  <c r="F255" i="17"/>
  <c r="C255" i="17"/>
  <c r="E255" i="17" s="1"/>
  <c r="F254" i="17"/>
  <c r="C254" i="17"/>
  <c r="E254" i="17" s="1"/>
  <c r="F812" i="17"/>
  <c r="C812" i="17"/>
  <c r="D812" i="17" s="1"/>
  <c r="F811" i="17"/>
  <c r="C811" i="17"/>
  <c r="D811" i="17" s="1"/>
  <c r="F810" i="17"/>
  <c r="C810" i="17"/>
  <c r="E810" i="17" s="1"/>
  <c r="F809" i="17"/>
  <c r="C809" i="17"/>
  <c r="D809" i="17" s="1"/>
  <c r="F808" i="17"/>
  <c r="C808" i="17"/>
  <c r="D808" i="17" s="1"/>
  <c r="F807" i="17"/>
  <c r="C807" i="17"/>
  <c r="D807" i="17" s="1"/>
  <c r="F806" i="17"/>
  <c r="C806" i="17"/>
  <c r="E806" i="17" s="1"/>
  <c r="F805" i="17"/>
  <c r="C805" i="17"/>
  <c r="D805" i="17" s="1"/>
  <c r="F252" i="17"/>
  <c r="C252" i="17"/>
  <c r="D252" i="17" s="1"/>
  <c r="F251" i="17"/>
  <c r="C251" i="17"/>
  <c r="D251" i="17" s="1"/>
  <c r="F250" i="17"/>
  <c r="C250" i="17"/>
  <c r="E250" i="17" s="1"/>
  <c r="F249" i="17"/>
  <c r="C249" i="17"/>
  <c r="D249" i="17" s="1"/>
  <c r="F248" i="17"/>
  <c r="C248" i="17"/>
  <c r="D248" i="17" s="1"/>
  <c r="F247" i="17"/>
  <c r="C247" i="17"/>
  <c r="D247" i="17" s="1"/>
  <c r="F246" i="17"/>
  <c r="C246" i="17"/>
  <c r="E246" i="17" s="1"/>
  <c r="F245" i="17"/>
  <c r="C245" i="17"/>
  <c r="E245" i="17" s="1"/>
  <c r="F244" i="17"/>
  <c r="C244" i="17"/>
  <c r="D244" i="17" s="1"/>
  <c r="F243" i="17"/>
  <c r="C243" i="17"/>
  <c r="D243" i="17" s="1"/>
  <c r="F242" i="17"/>
  <c r="C242" i="17"/>
  <c r="E242" i="17" s="1"/>
  <c r="F241" i="17"/>
  <c r="C241" i="17"/>
  <c r="E241" i="17" s="1"/>
  <c r="F240" i="17"/>
  <c r="C240" i="17"/>
  <c r="D240" i="17" s="1"/>
  <c r="F239" i="17"/>
  <c r="C239" i="17"/>
  <c r="D239" i="17" s="1"/>
  <c r="F238" i="17"/>
  <c r="C238" i="17"/>
  <c r="E238" i="17" s="1"/>
  <c r="F237" i="17"/>
  <c r="C237" i="17"/>
  <c r="E237" i="17" s="1"/>
  <c r="F236" i="17"/>
  <c r="E236" i="17"/>
  <c r="C236" i="17"/>
  <c r="D236" i="17" s="1"/>
  <c r="F235" i="17"/>
  <c r="C235" i="17"/>
  <c r="D235" i="17" s="1"/>
  <c r="F234" i="17"/>
  <c r="C234" i="17"/>
  <c r="E234" i="17" s="1"/>
  <c r="F233" i="17"/>
  <c r="C233" i="17"/>
  <c r="E233" i="17" s="1"/>
  <c r="F232" i="17"/>
  <c r="C232" i="17"/>
  <c r="E232" i="17" s="1"/>
  <c r="F231" i="17"/>
  <c r="C231" i="17"/>
  <c r="D231" i="17" s="1"/>
  <c r="F230" i="17"/>
  <c r="C230" i="17"/>
  <c r="E230" i="17" s="1"/>
  <c r="F229" i="17"/>
  <c r="C229" i="17"/>
  <c r="D229" i="17" s="1"/>
  <c r="F228" i="17"/>
  <c r="C228" i="17"/>
  <c r="E228" i="17" s="1"/>
  <c r="F227" i="17"/>
  <c r="C227" i="17"/>
  <c r="D227" i="17" s="1"/>
  <c r="F226" i="17"/>
  <c r="C226" i="17"/>
  <c r="E226" i="17" s="1"/>
  <c r="F225" i="17"/>
  <c r="C225" i="17"/>
  <c r="E225" i="17" s="1"/>
  <c r="F224" i="17"/>
  <c r="C224" i="17"/>
  <c r="E224" i="17" s="1"/>
  <c r="F223" i="17"/>
  <c r="C223" i="17"/>
  <c r="E223" i="17" s="1"/>
  <c r="F222" i="17"/>
  <c r="C222" i="17"/>
  <c r="E222" i="17" s="1"/>
  <c r="F221" i="17"/>
  <c r="C221" i="17"/>
  <c r="E221" i="17" s="1"/>
  <c r="F220" i="17"/>
  <c r="C220" i="17"/>
  <c r="E220" i="17" s="1"/>
  <c r="F219" i="17"/>
  <c r="C219" i="17"/>
  <c r="E219" i="17" s="1"/>
  <c r="F218" i="17"/>
  <c r="C218" i="17"/>
  <c r="E218" i="17" s="1"/>
  <c r="F216" i="17"/>
  <c r="C216" i="17"/>
  <c r="D216" i="17" s="1"/>
  <c r="F215" i="17"/>
  <c r="C215" i="17"/>
  <c r="D215" i="17" s="1"/>
  <c r="F214" i="17"/>
  <c r="C214" i="17"/>
  <c r="E214" i="17" s="1"/>
  <c r="F213" i="17"/>
  <c r="C213" i="17"/>
  <c r="E213" i="17" s="1"/>
  <c r="F212" i="17"/>
  <c r="C212" i="17"/>
  <c r="D212" i="17" s="1"/>
  <c r="F211" i="17"/>
  <c r="C211" i="17"/>
  <c r="D211" i="17" s="1"/>
  <c r="F210" i="17"/>
  <c r="C210" i="17"/>
  <c r="E210" i="17" s="1"/>
  <c r="F209" i="17"/>
  <c r="C209" i="17"/>
  <c r="E209" i="17" s="1"/>
  <c r="F208" i="17"/>
  <c r="C208" i="17"/>
  <c r="D208" i="17" s="1"/>
  <c r="F207" i="17"/>
  <c r="C207" i="17"/>
  <c r="D207" i="17" s="1"/>
  <c r="F206" i="17"/>
  <c r="C206" i="17"/>
  <c r="E206" i="17" s="1"/>
  <c r="F205" i="17"/>
  <c r="C205" i="17"/>
  <c r="E205" i="17" s="1"/>
  <c r="F204" i="17"/>
  <c r="C204" i="17"/>
  <c r="D204" i="17" s="1"/>
  <c r="F203" i="17"/>
  <c r="C203" i="17"/>
  <c r="D203" i="17" s="1"/>
  <c r="F202" i="17"/>
  <c r="C202" i="17"/>
  <c r="E202" i="17" s="1"/>
  <c r="F201" i="17"/>
  <c r="C201" i="17"/>
  <c r="E201" i="17" s="1"/>
  <c r="F200" i="17"/>
  <c r="C200" i="17"/>
  <c r="D200" i="17" s="1"/>
  <c r="F199" i="17"/>
  <c r="C199" i="17"/>
  <c r="D199" i="17" s="1"/>
  <c r="F198" i="17"/>
  <c r="C198" i="17"/>
  <c r="E198" i="17" s="1"/>
  <c r="F197" i="17"/>
  <c r="C197" i="17"/>
  <c r="E197" i="17" s="1"/>
  <c r="F196" i="17"/>
  <c r="C196" i="17"/>
  <c r="D196" i="17" s="1"/>
  <c r="F195" i="17"/>
  <c r="C195" i="17"/>
  <c r="D195" i="17" s="1"/>
  <c r="F194" i="17"/>
  <c r="C194" i="17"/>
  <c r="E194" i="17" s="1"/>
  <c r="F193" i="17"/>
  <c r="C193" i="17"/>
  <c r="E193" i="17" s="1"/>
  <c r="F192" i="17"/>
  <c r="C192" i="17"/>
  <c r="D192" i="17" s="1"/>
  <c r="F191" i="17"/>
  <c r="C191" i="17"/>
  <c r="D191" i="17" s="1"/>
  <c r="F190" i="17"/>
  <c r="C190" i="17"/>
  <c r="E190" i="17" s="1"/>
  <c r="F189" i="17"/>
  <c r="C189" i="17"/>
  <c r="E189" i="17" s="1"/>
  <c r="F188" i="17"/>
  <c r="C188" i="17"/>
  <c r="D188" i="17" s="1"/>
  <c r="F187" i="17"/>
  <c r="C187" i="17"/>
  <c r="D187" i="17" s="1"/>
  <c r="F186" i="17"/>
  <c r="C186" i="17"/>
  <c r="E186" i="17" s="1"/>
  <c r="F185" i="17"/>
  <c r="C185" i="17"/>
  <c r="E185" i="17" s="1"/>
  <c r="F184" i="17"/>
  <c r="C184" i="17"/>
  <c r="D184" i="17" s="1"/>
  <c r="F183" i="17"/>
  <c r="C183" i="17"/>
  <c r="D183" i="17" s="1"/>
  <c r="F182" i="17"/>
  <c r="C182" i="17"/>
  <c r="E182" i="17" s="1"/>
  <c r="F181" i="17"/>
  <c r="C181" i="17"/>
  <c r="E181" i="17" s="1"/>
  <c r="F180" i="17"/>
  <c r="C180" i="17"/>
  <c r="D180" i="17" s="1"/>
  <c r="F179" i="17"/>
  <c r="C179" i="17"/>
  <c r="D179" i="17" s="1"/>
  <c r="F178" i="17"/>
  <c r="C178" i="17"/>
  <c r="E178" i="17" s="1"/>
  <c r="F177" i="17"/>
  <c r="C177" i="17"/>
  <c r="E177" i="17" s="1"/>
  <c r="F176" i="17"/>
  <c r="C176" i="17"/>
  <c r="D176" i="17" s="1"/>
  <c r="F175" i="17"/>
  <c r="C175" i="17"/>
  <c r="D175" i="17" s="1"/>
  <c r="F174" i="17"/>
  <c r="C174" i="17"/>
  <c r="E174" i="17" s="1"/>
  <c r="F173" i="17"/>
  <c r="C173" i="17"/>
  <c r="E173" i="17" s="1"/>
  <c r="F172" i="17"/>
  <c r="C172" i="17"/>
  <c r="D172" i="17" s="1"/>
  <c r="F171" i="17"/>
  <c r="C171" i="17"/>
  <c r="D171" i="17" s="1"/>
  <c r="F170" i="17"/>
  <c r="C170" i="17"/>
  <c r="E170" i="17" s="1"/>
  <c r="F169" i="17"/>
  <c r="C169" i="17"/>
  <c r="E169" i="17" s="1"/>
  <c r="F168" i="17"/>
  <c r="C168" i="17"/>
  <c r="D168" i="17" s="1"/>
  <c r="F167" i="17"/>
  <c r="C167" i="17"/>
  <c r="D167" i="17" s="1"/>
  <c r="F166" i="17"/>
  <c r="C166" i="17"/>
  <c r="E166" i="17" s="1"/>
  <c r="F165" i="17"/>
  <c r="C165" i="17"/>
  <c r="E165" i="17" s="1"/>
  <c r="F164" i="17"/>
  <c r="C164" i="17"/>
  <c r="D164" i="17" s="1"/>
  <c r="F163" i="17"/>
  <c r="C163" i="17"/>
  <c r="D163" i="17" s="1"/>
  <c r="F162" i="17"/>
  <c r="C162" i="17"/>
  <c r="E162" i="17" s="1"/>
  <c r="F161" i="17"/>
  <c r="C161" i="17"/>
  <c r="E161" i="17" s="1"/>
  <c r="F160" i="17"/>
  <c r="C160" i="17"/>
  <c r="D160" i="17" s="1"/>
  <c r="F159" i="17"/>
  <c r="C159" i="17"/>
  <c r="D159" i="17" s="1"/>
  <c r="F158" i="17"/>
  <c r="C158" i="17"/>
  <c r="E158" i="17" s="1"/>
  <c r="F157" i="17"/>
  <c r="C157" i="17"/>
  <c r="E157" i="17" s="1"/>
  <c r="F156" i="17"/>
  <c r="C156" i="17"/>
  <c r="E156" i="17" s="1"/>
  <c r="F155" i="17"/>
  <c r="C155" i="17"/>
  <c r="D155" i="17" s="1"/>
  <c r="F154" i="17"/>
  <c r="C154" i="17"/>
  <c r="E154" i="17" s="1"/>
  <c r="F153" i="17"/>
  <c r="C153" i="17"/>
  <c r="E153" i="17" s="1"/>
  <c r="F152" i="17"/>
  <c r="C152" i="17"/>
  <c r="E152" i="17" s="1"/>
  <c r="F151" i="17"/>
  <c r="C151" i="17"/>
  <c r="D151" i="17" s="1"/>
  <c r="F150" i="17"/>
  <c r="C150" i="17"/>
  <c r="E150" i="17" s="1"/>
  <c r="F149" i="17"/>
  <c r="C149" i="17"/>
  <c r="E149" i="17" s="1"/>
  <c r="F148" i="17"/>
  <c r="C148" i="17"/>
  <c r="E148" i="17" s="1"/>
  <c r="F147" i="17"/>
  <c r="C147" i="17"/>
  <c r="E147" i="17" s="1"/>
  <c r="F146" i="17"/>
  <c r="C146" i="17"/>
  <c r="E146" i="17" s="1"/>
  <c r="F145" i="17"/>
  <c r="C145" i="17"/>
  <c r="E145" i="17" s="1"/>
  <c r="F144" i="17"/>
  <c r="C144" i="17"/>
  <c r="E144" i="17" s="1"/>
  <c r="F143" i="17"/>
  <c r="C143" i="17"/>
  <c r="D143" i="17" s="1"/>
  <c r="F142" i="17"/>
  <c r="C142" i="17"/>
  <c r="D142" i="17" s="1"/>
  <c r="F141" i="17"/>
  <c r="C141" i="17"/>
  <c r="E141" i="17" s="1"/>
  <c r="F140" i="17"/>
  <c r="C140" i="17"/>
  <c r="E140" i="17" s="1"/>
  <c r="F139" i="17"/>
  <c r="C139" i="17"/>
  <c r="D139" i="17" s="1"/>
  <c r="F138" i="17"/>
  <c r="C138" i="17"/>
  <c r="E138" i="17" s="1"/>
  <c r="F137" i="17"/>
  <c r="C137" i="17"/>
  <c r="E137" i="17" s="1"/>
  <c r="F136" i="17"/>
  <c r="C136" i="17"/>
  <c r="E136" i="17" s="1"/>
  <c r="F135" i="17"/>
  <c r="C135" i="17"/>
  <c r="D135" i="17" s="1"/>
  <c r="F134" i="17"/>
  <c r="C134" i="17"/>
  <c r="E134" i="17" s="1"/>
  <c r="F133" i="17"/>
  <c r="C133" i="17"/>
  <c r="E133" i="17" s="1"/>
  <c r="F132" i="17"/>
  <c r="C132" i="17"/>
  <c r="E132" i="17" s="1"/>
  <c r="F131" i="17"/>
  <c r="C131" i="17"/>
  <c r="D131" i="17" s="1"/>
  <c r="F130" i="17"/>
  <c r="C130" i="17"/>
  <c r="E130" i="17" s="1"/>
  <c r="F129" i="17"/>
  <c r="C129" i="17"/>
  <c r="E129" i="17" s="1"/>
  <c r="F128" i="17"/>
  <c r="C128" i="17"/>
  <c r="E128" i="17" s="1"/>
  <c r="F127" i="17"/>
  <c r="C127" i="17"/>
  <c r="D127" i="17" s="1"/>
  <c r="F126" i="17"/>
  <c r="C126" i="17"/>
  <c r="E126" i="17" s="1"/>
  <c r="F125" i="17"/>
  <c r="C125" i="17"/>
  <c r="E125" i="17" s="1"/>
  <c r="F124" i="17"/>
  <c r="C124" i="17"/>
  <c r="E124" i="17" s="1"/>
  <c r="F123" i="17"/>
  <c r="C123" i="17"/>
  <c r="D123" i="17" s="1"/>
  <c r="F122" i="17"/>
  <c r="C122" i="17"/>
  <c r="E122" i="17" s="1"/>
  <c r="F121" i="17"/>
  <c r="C121" i="17"/>
  <c r="F120" i="17"/>
  <c r="C120" i="17"/>
  <c r="E120" i="17" s="1"/>
  <c r="F119" i="17"/>
  <c r="C119" i="17"/>
  <c r="D119" i="17" s="1"/>
  <c r="F118" i="17"/>
  <c r="C118" i="17"/>
  <c r="E118" i="17" s="1"/>
  <c r="F117" i="17"/>
  <c r="C117" i="17"/>
  <c r="F116" i="17"/>
  <c r="C116" i="17"/>
  <c r="E116" i="17" s="1"/>
  <c r="F115" i="17"/>
  <c r="C115" i="17"/>
  <c r="E115" i="17" s="1"/>
  <c r="F114" i="17"/>
  <c r="C114" i="17"/>
  <c r="E114" i="17" s="1"/>
  <c r="F113" i="17"/>
  <c r="C113" i="17"/>
  <c r="F813" i="17"/>
  <c r="C813" i="17"/>
  <c r="G763" i="17" l="1"/>
  <c r="E777" i="17"/>
  <c r="G777" i="17" s="1"/>
  <c r="E30" i="17"/>
  <c r="D762" i="17"/>
  <c r="E180" i="17"/>
  <c r="G75" i="17"/>
  <c r="G79" i="17"/>
  <c r="D439" i="17"/>
  <c r="E19" i="17"/>
  <c r="D50" i="17"/>
  <c r="E51" i="17"/>
  <c r="G51" i="17" s="1"/>
  <c r="G747" i="17"/>
  <c r="E749" i="17"/>
  <c r="E235" i="17"/>
  <c r="G235" i="17" s="1"/>
  <c r="G181" i="17"/>
  <c r="G185" i="17"/>
  <c r="G189" i="17"/>
  <c r="G193" i="17"/>
  <c r="G197" i="17"/>
  <c r="G201" i="17"/>
  <c r="G205" i="17"/>
  <c r="G209" i="17"/>
  <c r="G213" i="17"/>
  <c r="G237" i="17"/>
  <c r="E179" i="17"/>
  <c r="G56" i="17"/>
  <c r="D763" i="17"/>
  <c r="E778" i="17"/>
  <c r="G858" i="17" s="1"/>
  <c r="E164" i="17"/>
  <c r="E252" i="17"/>
  <c r="E845" i="17"/>
  <c r="E18" i="17"/>
  <c r="G18" i="17" s="1"/>
  <c r="D46" i="17"/>
  <c r="E47" i="17"/>
  <c r="G47" i="17" s="1"/>
  <c r="E57" i="17"/>
  <c r="G57" i="17" s="1"/>
  <c r="G95" i="17"/>
  <c r="D105" i="17"/>
  <c r="D106" i="17"/>
  <c r="D109" i="17"/>
  <c r="D110" i="17"/>
  <c r="D111" i="17"/>
  <c r="D757" i="17"/>
  <c r="E163" i="17"/>
  <c r="G163" i="17" s="1"/>
  <c r="E251" i="17"/>
  <c r="D363" i="17"/>
  <c r="D596" i="17"/>
  <c r="E877" i="17"/>
  <c r="D14" i="17"/>
  <c r="E15" i="17"/>
  <c r="G15" i="17" s="1"/>
  <c r="D34" i="17"/>
  <c r="E35" i="17"/>
  <c r="G35" i="17" s="1"/>
  <c r="D73" i="17"/>
  <c r="E90" i="17"/>
  <c r="G90" i="17" s="1"/>
  <c r="G111" i="17"/>
  <c r="D737" i="17"/>
  <c r="G739" i="17"/>
  <c r="G821" i="17"/>
  <c r="G743" i="17"/>
  <c r="G825" i="17"/>
  <c r="E754" i="17"/>
  <c r="G754" i="17" s="1"/>
  <c r="G165" i="17"/>
  <c r="G884" i="17"/>
  <c r="G571" i="17"/>
  <c r="G585" i="17"/>
  <c r="G587" i="17"/>
  <c r="G589" i="17"/>
  <c r="G591" i="17"/>
  <c r="E31" i="17"/>
  <c r="G31" i="17" s="1"/>
  <c r="D70" i="17"/>
  <c r="E89" i="17"/>
  <c r="G734" i="17"/>
  <c r="G751" i="17"/>
  <c r="G758" i="17"/>
  <c r="G38" i="17"/>
  <c r="G54" i="17"/>
  <c r="E172" i="17"/>
  <c r="G172" i="17" s="1"/>
  <c r="E244" i="17"/>
  <c r="G244" i="17" s="1"/>
  <c r="E853" i="17"/>
  <c r="E885" i="17"/>
  <c r="D26" i="17"/>
  <c r="E27" i="17"/>
  <c r="G27" i="17" s="1"/>
  <c r="D42" i="17"/>
  <c r="E43" i="17"/>
  <c r="G43" i="17" s="1"/>
  <c r="G50" i="17"/>
  <c r="D69" i="17"/>
  <c r="D75" i="17"/>
  <c r="E86" i="17"/>
  <c r="G86" i="17" s="1"/>
  <c r="E94" i="17"/>
  <c r="D734" i="17"/>
  <c r="E753" i="17"/>
  <c r="G833" i="17" s="1"/>
  <c r="D761" i="17"/>
  <c r="D765" i="17"/>
  <c r="D766" i="17"/>
  <c r="D769" i="17"/>
  <c r="D770" i="17"/>
  <c r="D771" i="17"/>
  <c r="E774" i="17"/>
  <c r="G774" i="17" s="1"/>
  <c r="E171" i="17"/>
  <c r="G171" i="17" s="1"/>
  <c r="E243" i="17"/>
  <c r="G243" i="17" s="1"/>
  <c r="E811" i="17"/>
  <c r="G891" i="17" s="1"/>
  <c r="D357" i="17"/>
  <c r="D358" i="17"/>
  <c r="D361" i="17"/>
  <c r="D407" i="17"/>
  <c r="D803" i="17"/>
  <c r="G582" i="17"/>
  <c r="G586" i="17"/>
  <c r="G590" i="17"/>
  <c r="D597" i="17"/>
  <c r="E861" i="17"/>
  <c r="E893" i="17"/>
  <c r="G14" i="17"/>
  <c r="D22" i="17"/>
  <c r="E23" i="17"/>
  <c r="G23" i="17" s="1"/>
  <c r="G30" i="17"/>
  <c r="D38" i="17"/>
  <c r="E39" i="17"/>
  <c r="G39" i="17" s="1"/>
  <c r="G46" i="17"/>
  <c r="D54" i="17"/>
  <c r="E55" i="17"/>
  <c r="G55" i="17" s="1"/>
  <c r="E58" i="17"/>
  <c r="G58" i="17" s="1"/>
  <c r="D74" i="17"/>
  <c r="G83" i="17"/>
  <c r="E85" i="17"/>
  <c r="G85" i="17" s="1"/>
  <c r="E93" i="17"/>
  <c r="G93" i="17" s="1"/>
  <c r="G109" i="17"/>
  <c r="D733" i="17"/>
  <c r="G738" i="17"/>
  <c r="D739" i="17"/>
  <c r="E750" i="17"/>
  <c r="G750" i="17" s="1"/>
  <c r="D758" i="17"/>
  <c r="E773" i="17"/>
  <c r="G853" i="17" s="1"/>
  <c r="G779" i="17"/>
  <c r="D789" i="17"/>
  <c r="D790" i="17"/>
  <c r="G22" i="17"/>
  <c r="E812" i="17"/>
  <c r="G812" i="17" s="1"/>
  <c r="D373" i="17"/>
  <c r="D598" i="17"/>
  <c r="G34" i="17"/>
  <c r="G157" i="17"/>
  <c r="G173" i="17"/>
  <c r="G245" i="17"/>
  <c r="G890" i="17"/>
  <c r="G264" i="17"/>
  <c r="G872" i="17"/>
  <c r="G876" i="17"/>
  <c r="E869" i="17"/>
  <c r="G26" i="17"/>
  <c r="G42" i="17"/>
  <c r="G70" i="17"/>
  <c r="G78" i="17"/>
  <c r="G82" i="17"/>
  <c r="G87" i="17"/>
  <c r="G99" i="17"/>
  <c r="G103" i="17"/>
  <c r="D738" i="17"/>
  <c r="G762" i="17"/>
  <c r="G845" i="17"/>
  <c r="G775" i="17"/>
  <c r="G778" i="17"/>
  <c r="G782" i="17"/>
  <c r="G786" i="17"/>
  <c r="E160" i="17"/>
  <c r="E240" i="17"/>
  <c r="G240" i="17" s="1"/>
  <c r="E248" i="17"/>
  <c r="G248" i="17" s="1"/>
  <c r="E808" i="17"/>
  <c r="G808" i="17" s="1"/>
  <c r="G358" i="17"/>
  <c r="D391" i="17"/>
  <c r="D796" i="17"/>
  <c r="G880" i="17"/>
  <c r="G480" i="17"/>
  <c r="G484" i="17"/>
  <c r="G488" i="17"/>
  <c r="G492" i="17"/>
  <c r="G496" i="17"/>
  <c r="G500" i="17"/>
  <c r="G504" i="17"/>
  <c r="G508" i="17"/>
  <c r="G512" i="17"/>
  <c r="G516" i="17"/>
  <c r="G520" i="17"/>
  <c r="G524" i="17"/>
  <c r="G528" i="17"/>
  <c r="G532" i="17"/>
  <c r="G536" i="17"/>
  <c r="G540" i="17"/>
  <c r="G544" i="17"/>
  <c r="G548" i="17"/>
  <c r="E841" i="17"/>
  <c r="E857" i="17"/>
  <c r="E873" i="17"/>
  <c r="E889" i="17"/>
  <c r="D16" i="17"/>
  <c r="D20" i="17"/>
  <c r="D24" i="17"/>
  <c r="D28" i="17"/>
  <c r="D32" i="17"/>
  <c r="D36" i="17"/>
  <c r="D40" i="17"/>
  <c r="D44" i="17"/>
  <c r="D48" i="17"/>
  <c r="D52" i="17"/>
  <c r="D56" i="17"/>
  <c r="G63" i="17"/>
  <c r="D77" i="17"/>
  <c r="D78" i="17"/>
  <c r="D81" i="17"/>
  <c r="D82" i="17"/>
  <c r="D83" i="17"/>
  <c r="G89" i="17"/>
  <c r="G94" i="17"/>
  <c r="D97" i="17"/>
  <c r="D98" i="17"/>
  <c r="D101" i="17"/>
  <c r="D102" i="17"/>
  <c r="D103" i="17"/>
  <c r="G107" i="17"/>
  <c r="D741" i="17"/>
  <c r="D742" i="17"/>
  <c r="D745" i="17"/>
  <c r="D746" i="17"/>
  <c r="D747" i="17"/>
  <c r="G767" i="17"/>
  <c r="G771" i="17"/>
  <c r="D781" i="17"/>
  <c r="D782" i="17"/>
  <c r="D785" i="17"/>
  <c r="D786" i="17"/>
  <c r="D787" i="17"/>
  <c r="E168" i="17"/>
  <c r="G168" i="17" s="1"/>
  <c r="E176" i="17"/>
  <c r="G176" i="17" s="1"/>
  <c r="E159" i="17"/>
  <c r="G159" i="17" s="1"/>
  <c r="E167" i="17"/>
  <c r="E175" i="17"/>
  <c r="G175" i="17" s="1"/>
  <c r="E239" i="17"/>
  <c r="G239" i="17" s="1"/>
  <c r="E247" i="17"/>
  <c r="G247" i="17" s="1"/>
  <c r="E807" i="17"/>
  <c r="G887" i="17" s="1"/>
  <c r="G19" i="17"/>
  <c r="G73" i="17"/>
  <c r="G91" i="17"/>
  <c r="G755" i="17"/>
  <c r="G761" i="17"/>
  <c r="G161" i="17"/>
  <c r="G169" i="17"/>
  <c r="G177" i="17"/>
  <c r="G221" i="17"/>
  <c r="G236" i="17"/>
  <c r="G241" i="17"/>
  <c r="G252" i="17"/>
  <c r="G886" i="17"/>
  <c r="G355" i="17"/>
  <c r="D371" i="17"/>
  <c r="D423" i="17"/>
  <c r="E593" i="17"/>
  <c r="G593" i="17" s="1"/>
  <c r="G595" i="17"/>
  <c r="E849" i="17"/>
  <c r="E865" i="17"/>
  <c r="E881" i="17"/>
  <c r="G13" i="17"/>
  <c r="G17" i="17"/>
  <c r="G21" i="17"/>
  <c r="G25" i="17"/>
  <c r="G29" i="17"/>
  <c r="G33" i="17"/>
  <c r="G37" i="17"/>
  <c r="G41" i="17"/>
  <c r="G45" i="17"/>
  <c r="G49" i="17"/>
  <c r="G53" i="17"/>
  <c r="E61" i="17"/>
  <c r="G62" i="17"/>
  <c r="G66" i="17"/>
  <c r="G71" i="17"/>
  <c r="D91" i="17"/>
  <c r="D95" i="17"/>
  <c r="G106" i="17"/>
  <c r="G110" i="17"/>
  <c r="G735" i="17"/>
  <c r="G745" i="17"/>
  <c r="D755" i="17"/>
  <c r="G759" i="17"/>
  <c r="G766" i="17"/>
  <c r="G770" i="17"/>
  <c r="D779" i="17"/>
  <c r="G65" i="17"/>
  <c r="G81" i="17"/>
  <c r="G101" i="17"/>
  <c r="G737" i="17"/>
  <c r="G769" i="17"/>
  <c r="G785" i="17"/>
  <c r="G671" i="17"/>
  <c r="G675" i="17"/>
  <c r="G679" i="17"/>
  <c r="G683" i="17"/>
  <c r="G687" i="17"/>
  <c r="G691" i="17"/>
  <c r="G695" i="17"/>
  <c r="G699" i="17"/>
  <c r="G703" i="17"/>
  <c r="G707" i="17"/>
  <c r="G711" i="17"/>
  <c r="G715" i="17"/>
  <c r="G719" i="17"/>
  <c r="G723" i="17"/>
  <c r="G727" i="17"/>
  <c r="G731" i="17"/>
  <c r="G16" i="17"/>
  <c r="G20" i="17"/>
  <c r="G24" i="17"/>
  <c r="G28" i="17"/>
  <c r="G32" i="17"/>
  <c r="G36" i="17"/>
  <c r="G40" i="17"/>
  <c r="G44" i="17"/>
  <c r="G48" i="17"/>
  <c r="G52" i="17"/>
  <c r="E64" i="17"/>
  <c r="G64" i="17" s="1"/>
  <c r="D64" i="17"/>
  <c r="E760" i="17"/>
  <c r="G760" i="17" s="1"/>
  <c r="D760" i="17"/>
  <c r="E776" i="17"/>
  <c r="G776" i="17" s="1"/>
  <c r="D776" i="17"/>
  <c r="G849" i="17"/>
  <c r="D13" i="17"/>
  <c r="D17" i="17"/>
  <c r="D21" i="17"/>
  <c r="D25" i="17"/>
  <c r="D29" i="17"/>
  <c r="D33" i="17"/>
  <c r="D37" i="17"/>
  <c r="D41" i="17"/>
  <c r="D45" i="17"/>
  <c r="D49" i="17"/>
  <c r="D53" i="17"/>
  <c r="D63" i="17"/>
  <c r="G69" i="17"/>
  <c r="E76" i="17"/>
  <c r="G76" i="17" s="1"/>
  <c r="D76" i="17"/>
  <c r="D79" i="17"/>
  <c r="E92" i="17"/>
  <c r="G92" i="17" s="1"/>
  <c r="D92" i="17"/>
  <c r="G97" i="17"/>
  <c r="E104" i="17"/>
  <c r="G104" i="17" s="1"/>
  <c r="D104" i="17"/>
  <c r="D107" i="17"/>
  <c r="G733" i="17"/>
  <c r="E740" i="17"/>
  <c r="G740" i="17" s="1"/>
  <c r="D740" i="17"/>
  <c r="D743" i="17"/>
  <c r="G749" i="17"/>
  <c r="E756" i="17"/>
  <c r="G756" i="17" s="1"/>
  <c r="D756" i="17"/>
  <c r="D759" i="17"/>
  <c r="G765" i="17"/>
  <c r="E772" i="17"/>
  <c r="G772" i="17" s="1"/>
  <c r="D772" i="17"/>
  <c r="D775" i="17"/>
  <c r="G781" i="17"/>
  <c r="E788" i="17"/>
  <c r="G788" i="17" s="1"/>
  <c r="D788" i="17"/>
  <c r="E80" i="17"/>
  <c r="G80" i="17" s="1"/>
  <c r="D80" i="17"/>
  <c r="E108" i="17"/>
  <c r="G108" i="17" s="1"/>
  <c r="D108" i="17"/>
  <c r="E60" i="17"/>
  <c r="G60" i="17" s="1"/>
  <c r="D60" i="17"/>
  <c r="E72" i="17"/>
  <c r="G72" i="17" s="1"/>
  <c r="D72" i="17"/>
  <c r="E88" i="17"/>
  <c r="G88" i="17" s="1"/>
  <c r="D88" i="17"/>
  <c r="E100" i="17"/>
  <c r="G100" i="17" s="1"/>
  <c r="D100" i="17"/>
  <c r="E736" i="17"/>
  <c r="G736" i="17" s="1"/>
  <c r="D736" i="17"/>
  <c r="E752" i="17"/>
  <c r="G752" i="17" s="1"/>
  <c r="D752" i="17"/>
  <c r="E768" i="17"/>
  <c r="G768" i="17" s="1"/>
  <c r="D768" i="17"/>
  <c r="E784" i="17"/>
  <c r="G784" i="17" s="1"/>
  <c r="D784" i="17"/>
  <c r="E744" i="17"/>
  <c r="G744" i="17" s="1"/>
  <c r="D744" i="17"/>
  <c r="D59" i="17"/>
  <c r="G61" i="17"/>
  <c r="E68" i="17"/>
  <c r="G68" i="17" s="1"/>
  <c r="D68" i="17"/>
  <c r="D71" i="17"/>
  <c r="G77" i="17"/>
  <c r="E84" i="17"/>
  <c r="G84" i="17" s="1"/>
  <c r="D84" i="17"/>
  <c r="D87" i="17"/>
  <c r="E96" i="17"/>
  <c r="G96" i="17" s="1"/>
  <c r="D96" i="17"/>
  <c r="D99" i="17"/>
  <c r="G105" i="17"/>
  <c r="E732" i="17"/>
  <c r="G732" i="17" s="1"/>
  <c r="D732" i="17"/>
  <c r="D735" i="17"/>
  <c r="G741" i="17"/>
  <c r="E748" i="17"/>
  <c r="G748" i="17" s="1"/>
  <c r="D748" i="17"/>
  <c r="D751" i="17"/>
  <c r="G757" i="17"/>
  <c r="E764" i="17"/>
  <c r="G764" i="17" s="1"/>
  <c r="D764" i="17"/>
  <c r="D767" i="17"/>
  <c r="E780" i="17"/>
  <c r="G780" i="17" s="1"/>
  <c r="D780" i="17"/>
  <c r="D783" i="17"/>
  <c r="G789" i="17"/>
  <c r="G790" i="17"/>
  <c r="G865" i="17"/>
  <c r="G814" i="17"/>
  <c r="G869" i="17"/>
  <c r="G837" i="17"/>
  <c r="G870" i="17"/>
  <c r="G841" i="17"/>
  <c r="G829" i="17"/>
  <c r="G861" i="17"/>
  <c r="E183" i="17"/>
  <c r="G183" i="17" s="1"/>
  <c r="E184" i="17"/>
  <c r="G184" i="17" s="1"/>
  <c r="E187" i="17"/>
  <c r="E188" i="17"/>
  <c r="G188" i="17" s="1"/>
  <c r="E191" i="17"/>
  <c r="G191" i="17" s="1"/>
  <c r="E192" i="17"/>
  <c r="G192" i="17" s="1"/>
  <c r="E195" i="17"/>
  <c r="G195" i="17" s="1"/>
  <c r="E196" i="17"/>
  <c r="G196" i="17" s="1"/>
  <c r="E199" i="17"/>
  <c r="G199" i="17" s="1"/>
  <c r="E200" i="17"/>
  <c r="G200" i="17" s="1"/>
  <c r="E203" i="17"/>
  <c r="G203" i="17" s="1"/>
  <c r="E204" i="17"/>
  <c r="G204" i="17" s="1"/>
  <c r="E207" i="17"/>
  <c r="G207" i="17" s="1"/>
  <c r="E208" i="17"/>
  <c r="G208" i="17" s="1"/>
  <c r="E211" i="17"/>
  <c r="G211" i="17" s="1"/>
  <c r="E212" i="17"/>
  <c r="G212" i="17" s="1"/>
  <c r="E215" i="17"/>
  <c r="G215" i="17" s="1"/>
  <c r="E216" i="17"/>
  <c r="G216" i="17" s="1"/>
  <c r="D355" i="17"/>
  <c r="E366" i="17"/>
  <c r="G366" i="17" s="1"/>
  <c r="D369" i="17"/>
  <c r="D375" i="17"/>
  <c r="E378" i="17"/>
  <c r="G378" i="17" s="1"/>
  <c r="D383" i="17"/>
  <c r="E385" i="17"/>
  <c r="G385" i="17" s="1"/>
  <c r="D385" i="17"/>
  <c r="D394" i="17"/>
  <c r="E394" i="17"/>
  <c r="G394" i="17" s="1"/>
  <c r="D399" i="17"/>
  <c r="E401" i="17"/>
  <c r="G401" i="17" s="1"/>
  <c r="D401" i="17"/>
  <c r="D410" i="17"/>
  <c r="E410" i="17"/>
  <c r="G410" i="17" s="1"/>
  <c r="D415" i="17"/>
  <c r="E417" i="17"/>
  <c r="G417" i="17" s="1"/>
  <c r="D417" i="17"/>
  <c r="D426" i="17"/>
  <c r="E426" i="17"/>
  <c r="G426" i="17" s="1"/>
  <c r="D431" i="17"/>
  <c r="E433" i="17"/>
  <c r="G433" i="17" s="1"/>
  <c r="D433" i="17"/>
  <c r="D442" i="17"/>
  <c r="E442" i="17"/>
  <c r="G442" i="17" s="1"/>
  <c r="D447" i="17"/>
  <c r="E449" i="17"/>
  <c r="G449" i="17" s="1"/>
  <c r="D449" i="17"/>
  <c r="D799" i="17"/>
  <c r="E799" i="17"/>
  <c r="G799" i="17" s="1"/>
  <c r="G160" i="17"/>
  <c r="G164" i="17"/>
  <c r="E354" i="17"/>
  <c r="G354" i="17" s="1"/>
  <c r="D365" i="17"/>
  <c r="E374" i="17"/>
  <c r="G374" i="17" s="1"/>
  <c r="D377" i="17"/>
  <c r="D382" i="17"/>
  <c r="E382" i="17"/>
  <c r="G382" i="17" s="1"/>
  <c r="D387" i="17"/>
  <c r="E389" i="17"/>
  <c r="G389" i="17" s="1"/>
  <c r="D389" i="17"/>
  <c r="D398" i="17"/>
  <c r="E398" i="17"/>
  <c r="G398" i="17" s="1"/>
  <c r="D403" i="17"/>
  <c r="E405" i="17"/>
  <c r="G405" i="17" s="1"/>
  <c r="D405" i="17"/>
  <c r="D414" i="17"/>
  <c r="E414" i="17"/>
  <c r="G414" i="17" s="1"/>
  <c r="D419" i="17"/>
  <c r="E421" i="17"/>
  <c r="G421" i="17" s="1"/>
  <c r="D421" i="17"/>
  <c r="D430" i="17"/>
  <c r="E430" i="17"/>
  <c r="G430" i="17" s="1"/>
  <c r="D435" i="17"/>
  <c r="E437" i="17"/>
  <c r="G437" i="17" s="1"/>
  <c r="D437" i="17"/>
  <c r="D446" i="17"/>
  <c r="E446" i="17"/>
  <c r="G446" i="17" s="1"/>
  <c r="D792" i="17"/>
  <c r="E794" i="17"/>
  <c r="G874" i="17" s="1"/>
  <c r="D794" i="17"/>
  <c r="D364" i="17"/>
  <c r="E364" i="17"/>
  <c r="G364" i="17" s="1"/>
  <c r="D386" i="17"/>
  <c r="E386" i="17"/>
  <c r="G386" i="17" s="1"/>
  <c r="E393" i="17"/>
  <c r="G393" i="17" s="1"/>
  <c r="D393" i="17"/>
  <c r="D402" i="17"/>
  <c r="E402" i="17"/>
  <c r="G402" i="17" s="1"/>
  <c r="E409" i="17"/>
  <c r="G409" i="17" s="1"/>
  <c r="D409" i="17"/>
  <c r="D418" i="17"/>
  <c r="E418" i="17"/>
  <c r="G418" i="17" s="1"/>
  <c r="E425" i="17"/>
  <c r="G425" i="17" s="1"/>
  <c r="D425" i="17"/>
  <c r="D434" i="17"/>
  <c r="E434" i="17"/>
  <c r="G434" i="17" s="1"/>
  <c r="E441" i="17"/>
  <c r="G441" i="17" s="1"/>
  <c r="D441" i="17"/>
  <c r="D791" i="17"/>
  <c r="E791" i="17"/>
  <c r="G791" i="17" s="1"/>
  <c r="E798" i="17"/>
  <c r="G878" i="17" s="1"/>
  <c r="D798" i="17"/>
  <c r="D592" i="17"/>
  <c r="E592" i="17"/>
  <c r="G592" i="17" s="1"/>
  <c r="E356" i="17"/>
  <c r="G356" i="17" s="1"/>
  <c r="D367" i="17"/>
  <c r="D372" i="17"/>
  <c r="E372" i="17"/>
  <c r="G372" i="17" s="1"/>
  <c r="D379" i="17"/>
  <c r="E381" i="17"/>
  <c r="G381" i="17" s="1"/>
  <c r="D381" i="17"/>
  <c r="D390" i="17"/>
  <c r="E390" i="17"/>
  <c r="G390" i="17" s="1"/>
  <c r="D395" i="17"/>
  <c r="E397" i="17"/>
  <c r="G397" i="17" s="1"/>
  <c r="D397" i="17"/>
  <c r="D406" i="17"/>
  <c r="E406" i="17"/>
  <c r="G406" i="17" s="1"/>
  <c r="D411" i="17"/>
  <c r="E413" i="17"/>
  <c r="G413" i="17" s="1"/>
  <c r="D413" i="17"/>
  <c r="D422" i="17"/>
  <c r="E422" i="17"/>
  <c r="G422" i="17" s="1"/>
  <c r="D427" i="17"/>
  <c r="E429" i="17"/>
  <c r="G429" i="17" s="1"/>
  <c r="D429" i="17"/>
  <c r="D438" i="17"/>
  <c r="E438" i="17"/>
  <c r="G438" i="17" s="1"/>
  <c r="D443" i="17"/>
  <c r="E445" i="17"/>
  <c r="G445" i="17" s="1"/>
  <c r="D445" i="17"/>
  <c r="D795" i="17"/>
  <c r="E795" i="17"/>
  <c r="G795" i="17" s="1"/>
  <c r="D800" i="17"/>
  <c r="D671" i="17"/>
  <c r="D674" i="17"/>
  <c r="D675" i="17"/>
  <c r="D678" i="17"/>
  <c r="D679" i="17"/>
  <c r="D682" i="17"/>
  <c r="D683" i="17"/>
  <c r="D686" i="17"/>
  <c r="D687" i="17"/>
  <c r="D690" i="17"/>
  <c r="D691" i="17"/>
  <c r="D694" i="17"/>
  <c r="D695" i="17"/>
  <c r="D698" i="17"/>
  <c r="D699" i="17"/>
  <c r="D702" i="17"/>
  <c r="D703" i="17"/>
  <c r="D706" i="17"/>
  <c r="D707" i="17"/>
  <c r="D710" i="17"/>
  <c r="D711" i="17"/>
  <c r="D714" i="17"/>
  <c r="D715" i="17"/>
  <c r="D718" i="17"/>
  <c r="D719" i="17"/>
  <c r="D722" i="17"/>
  <c r="D723" i="17"/>
  <c r="D726" i="17"/>
  <c r="D727" i="17"/>
  <c r="D730" i="17"/>
  <c r="D731" i="17"/>
  <c r="D843" i="17"/>
  <c r="D847" i="17"/>
  <c r="D851" i="17"/>
  <c r="D855" i="17"/>
  <c r="D859" i="17"/>
  <c r="D863" i="17"/>
  <c r="D867" i="17"/>
  <c r="D871" i="17"/>
  <c r="D875" i="17"/>
  <c r="D879" i="17"/>
  <c r="D883" i="17"/>
  <c r="D887" i="17"/>
  <c r="D891" i="17"/>
  <c r="D895" i="17"/>
  <c r="G363" i="17"/>
  <c r="G481" i="17"/>
  <c r="G485" i="17"/>
  <c r="G489" i="17"/>
  <c r="G493" i="17"/>
  <c r="G501" i="17"/>
  <c r="G505" i="17"/>
  <c r="G509" i="17"/>
  <c r="G513" i="17"/>
  <c r="G517" i="17"/>
  <c r="G521" i="17"/>
  <c r="G525" i="17"/>
  <c r="G529" i="17"/>
  <c r="G533" i="17"/>
  <c r="G537" i="17"/>
  <c r="G541" i="17"/>
  <c r="G545" i="17"/>
  <c r="G801" i="17"/>
  <c r="G883" i="17"/>
  <c r="D594" i="17"/>
  <c r="E842" i="17"/>
  <c r="E846" i="17"/>
  <c r="E850" i="17"/>
  <c r="E854" i="17"/>
  <c r="E858" i="17"/>
  <c r="E862" i="17"/>
  <c r="E866" i="17"/>
  <c r="E870" i="17"/>
  <c r="E874" i="17"/>
  <c r="E878" i="17"/>
  <c r="E882" i="17"/>
  <c r="E886" i="17"/>
  <c r="E890" i="17"/>
  <c r="E894" i="17"/>
  <c r="D584" i="17"/>
  <c r="D585" i="17"/>
  <c r="D586" i="17"/>
  <c r="D589" i="17"/>
  <c r="D590" i="17"/>
  <c r="G594" i="17"/>
  <c r="D582" i="17"/>
  <c r="G583" i="17"/>
  <c r="E588" i="17"/>
  <c r="G588" i="17" s="1"/>
  <c r="D570" i="17"/>
  <c r="G347" i="17"/>
  <c r="G648" i="17"/>
  <c r="G651" i="17"/>
  <c r="D275" i="17"/>
  <c r="D323" i="17"/>
  <c r="E647" i="17"/>
  <c r="G647" i="17" s="1"/>
  <c r="G657" i="17"/>
  <c r="G660" i="17"/>
  <c r="E333" i="17"/>
  <c r="G333" i="17" s="1"/>
  <c r="D140" i="17"/>
  <c r="G133" i="17"/>
  <c r="G147" i="17"/>
  <c r="E653" i="17"/>
  <c r="G653" i="17" s="1"/>
  <c r="E650" i="17"/>
  <c r="G650" i="17" s="1"/>
  <c r="D656" i="17"/>
  <c r="D657" i="17"/>
  <c r="D659" i="17"/>
  <c r="D660" i="17"/>
  <c r="E646" i="17"/>
  <c r="G646" i="17" s="1"/>
  <c r="E649" i="17"/>
  <c r="G649" i="17" s="1"/>
  <c r="D281" i="17"/>
  <c r="D303" i="17"/>
  <c r="D337" i="17"/>
  <c r="E654" i="17"/>
  <c r="G654" i="17" s="1"/>
  <c r="G661" i="17"/>
  <c r="G220" i="17"/>
  <c r="G224" i="17"/>
  <c r="E830" i="17"/>
  <c r="D819" i="17"/>
  <c r="D120" i="17"/>
  <c r="D126" i="17"/>
  <c r="G655" i="17"/>
  <c r="G659" i="17"/>
  <c r="E662" i="17"/>
  <c r="G662" i="17" s="1"/>
  <c r="E663" i="17"/>
  <c r="G663" i="17" s="1"/>
  <c r="E666" i="17"/>
  <c r="G666" i="17" s="1"/>
  <c r="E667" i="17"/>
  <c r="G667" i="17" s="1"/>
  <c r="E670" i="17"/>
  <c r="G670" i="17" s="1"/>
  <c r="D655" i="17"/>
  <c r="G658" i="17"/>
  <c r="D255" i="17"/>
  <c r="D262" i="17"/>
  <c r="D277" i="17"/>
  <c r="E292" i="17"/>
  <c r="G292" i="17" s="1"/>
  <c r="D319" i="17"/>
  <c r="E345" i="17"/>
  <c r="G345" i="17" s="1"/>
  <c r="D261" i="17"/>
  <c r="G256" i="17"/>
  <c r="G258" i="17"/>
  <c r="G350" i="17"/>
  <c r="D550" i="17"/>
  <c r="G551" i="17"/>
  <c r="G457" i="17"/>
  <c r="E603" i="17"/>
  <c r="G603" i="17" s="1"/>
  <c r="D658" i="17"/>
  <c r="D484" i="17"/>
  <c r="D487" i="17"/>
  <c r="D491" i="17"/>
  <c r="D500" i="17"/>
  <c r="D503" i="17"/>
  <c r="D508" i="17"/>
  <c r="D512" i="17"/>
  <c r="D515" i="17"/>
  <c r="D520" i="17"/>
  <c r="D523" i="17"/>
  <c r="D536" i="17"/>
  <c r="D804" i="17"/>
  <c r="D480" i="17"/>
  <c r="D483" i="17"/>
  <c r="D488" i="17"/>
  <c r="D492" i="17"/>
  <c r="D495" i="17"/>
  <c r="D496" i="17"/>
  <c r="D499" i="17"/>
  <c r="D504" i="17"/>
  <c r="D507" i="17"/>
  <c r="D511" i="17"/>
  <c r="D516" i="17"/>
  <c r="D519" i="17"/>
  <c r="D524" i="17"/>
  <c r="D527" i="17"/>
  <c r="D528" i="17"/>
  <c r="D531" i="17"/>
  <c r="D532" i="17"/>
  <c r="D535" i="17"/>
  <c r="D539" i="17"/>
  <c r="D540" i="17"/>
  <c r="D543" i="17"/>
  <c r="D544" i="17"/>
  <c r="D547" i="17"/>
  <c r="D548" i="17"/>
  <c r="E452" i="17"/>
  <c r="G452" i="17" s="1"/>
  <c r="G882" i="17"/>
  <c r="G665" i="17"/>
  <c r="G669" i="17"/>
  <c r="G681" i="17"/>
  <c r="G682" i="17"/>
  <c r="G685" i="17"/>
  <c r="G686" i="17"/>
  <c r="G697" i="17"/>
  <c r="G698" i="17"/>
  <c r="G701" i="17"/>
  <c r="G702" i="17"/>
  <c r="G713" i="17"/>
  <c r="G714" i="17"/>
  <c r="G717" i="17"/>
  <c r="G718" i="17"/>
  <c r="E668" i="17"/>
  <c r="G668" i="17" s="1"/>
  <c r="D668" i="17"/>
  <c r="D684" i="17"/>
  <c r="E684" i="17"/>
  <c r="G684" i="17" s="1"/>
  <c r="E716" i="17"/>
  <c r="G716" i="17" s="1"/>
  <c r="D716" i="17"/>
  <c r="G673" i="17"/>
  <c r="G674" i="17"/>
  <c r="E688" i="17"/>
  <c r="G688" i="17" s="1"/>
  <c r="D688" i="17"/>
  <c r="G705" i="17"/>
  <c r="D720" i="17"/>
  <c r="E720" i="17"/>
  <c r="G720" i="17" s="1"/>
  <c r="E645" i="17"/>
  <c r="G645" i="17" s="1"/>
  <c r="D645" i="17"/>
  <c r="D648" i="17"/>
  <c r="D661" i="17"/>
  <c r="E676" i="17"/>
  <c r="G676" i="17" s="1"/>
  <c r="D676" i="17"/>
  <c r="G677" i="17"/>
  <c r="G678" i="17"/>
  <c r="E692" i="17"/>
  <c r="G692" i="17" s="1"/>
  <c r="D692" i="17"/>
  <c r="G693" i="17"/>
  <c r="G694" i="17"/>
  <c r="E708" i="17"/>
  <c r="G708" i="17" s="1"/>
  <c r="D708" i="17"/>
  <c r="G709" i="17"/>
  <c r="G710" i="17"/>
  <c r="D724" i="17"/>
  <c r="E724" i="17"/>
  <c r="G724" i="17" s="1"/>
  <c r="G725" i="17"/>
  <c r="G726" i="17"/>
  <c r="E652" i="17"/>
  <c r="G652" i="17" s="1"/>
  <c r="D652" i="17"/>
  <c r="D700" i="17"/>
  <c r="E700" i="17"/>
  <c r="G700" i="17" s="1"/>
  <c r="D651" i="17"/>
  <c r="G656" i="17"/>
  <c r="D672" i="17"/>
  <c r="E672" i="17"/>
  <c r="G672" i="17" s="1"/>
  <c r="G689" i="17"/>
  <c r="G690" i="17"/>
  <c r="D704" i="17"/>
  <c r="E704" i="17"/>
  <c r="G704" i="17" s="1"/>
  <c r="G706" i="17"/>
  <c r="G721" i="17"/>
  <c r="G722" i="17"/>
  <c r="E664" i="17"/>
  <c r="G664" i="17" s="1"/>
  <c r="D664" i="17"/>
  <c r="D680" i="17"/>
  <c r="E680" i="17"/>
  <c r="G680" i="17" s="1"/>
  <c r="E696" i="17"/>
  <c r="G696" i="17" s="1"/>
  <c r="D696" i="17"/>
  <c r="E712" i="17"/>
  <c r="G712" i="17" s="1"/>
  <c r="D712" i="17"/>
  <c r="E728" i="17"/>
  <c r="G728" i="17" s="1"/>
  <c r="D728" i="17"/>
  <c r="G729" i="17"/>
  <c r="G730" i="17"/>
  <c r="D665" i="17"/>
  <c r="D669" i="17"/>
  <c r="D673" i="17"/>
  <c r="D677" i="17"/>
  <c r="D681" i="17"/>
  <c r="D685" i="17"/>
  <c r="D689" i="17"/>
  <c r="D693" i="17"/>
  <c r="D697" i="17"/>
  <c r="D701" i="17"/>
  <c r="D705" i="17"/>
  <c r="D709" i="17"/>
  <c r="D713" i="17"/>
  <c r="D717" i="17"/>
  <c r="D721" i="17"/>
  <c r="D725" i="17"/>
  <c r="D729" i="17"/>
  <c r="G225" i="17"/>
  <c r="E815" i="17"/>
  <c r="G895" i="17" s="1"/>
  <c r="G128" i="17"/>
  <c r="D307" i="17"/>
  <c r="D269" i="17"/>
  <c r="D287" i="17"/>
  <c r="E316" i="17"/>
  <c r="G316" i="17" s="1"/>
  <c r="D560" i="17"/>
  <c r="E606" i="17"/>
  <c r="G606" i="17" s="1"/>
  <c r="G232" i="17"/>
  <c r="G137" i="17"/>
  <c r="D150" i="17"/>
  <c r="G149" i="17"/>
  <c r="G125" i="17"/>
  <c r="D132" i="17"/>
  <c r="G255" i="17"/>
  <c r="D263" i="17"/>
  <c r="D279" i="17"/>
  <c r="E284" i="17"/>
  <c r="G284" i="17" s="1"/>
  <c r="D289" i="17"/>
  <c r="D311" i="17"/>
  <c r="E332" i="17"/>
  <c r="G332" i="17" s="1"/>
  <c r="D327" i="17"/>
  <c r="G254" i="17"/>
  <c r="D317" i="17"/>
  <c r="E340" i="17"/>
  <c r="G340" i="17" s="1"/>
  <c r="E569" i="17"/>
  <c r="G569" i="17" s="1"/>
  <c r="G559" i="17"/>
  <c r="D232" i="17"/>
  <c r="D829" i="17"/>
  <c r="D839" i="17"/>
  <c r="E826" i="17"/>
  <c r="E834" i="17"/>
  <c r="E818" i="17"/>
  <c r="D825" i="17"/>
  <c r="D833" i="17"/>
  <c r="E123" i="17"/>
  <c r="G123" i="17" s="1"/>
  <c r="D128" i="17"/>
  <c r="G129" i="17"/>
  <c r="G144" i="17"/>
  <c r="G148" i="17"/>
  <c r="E155" i="17"/>
  <c r="G155" i="17" s="1"/>
  <c r="D267" i="17"/>
  <c r="E272" i="17"/>
  <c r="G272" i="17" s="1"/>
  <c r="D297" i="17"/>
  <c r="E341" i="17"/>
  <c r="G341" i="17" s="1"/>
  <c r="E336" i="17"/>
  <c r="G336" i="17" s="1"/>
  <c r="G259" i="17"/>
  <c r="D254" i="17"/>
  <c r="D295" i="17"/>
  <c r="E300" i="17"/>
  <c r="G300" i="17" s="1"/>
  <c r="D305" i="17"/>
  <c r="E308" i="17"/>
  <c r="G308" i="17" s="1"/>
  <c r="D313" i="17"/>
  <c r="D321" i="17"/>
  <c r="E324" i="17"/>
  <c r="G324" i="17" s="1"/>
  <c r="D329" i="17"/>
  <c r="E344" i="17"/>
  <c r="G344" i="17" s="1"/>
  <c r="D353" i="17"/>
  <c r="D556" i="17"/>
  <c r="E557" i="17"/>
  <c r="G557" i="17" s="1"/>
  <c r="D566" i="17"/>
  <c r="D578" i="17"/>
  <c r="E553" i="17"/>
  <c r="G553" i="17" s="1"/>
  <c r="G555" i="17"/>
  <c r="E577" i="17"/>
  <c r="G577" i="17" s="1"/>
  <c r="D552" i="17"/>
  <c r="G579" i="17"/>
  <c r="G464" i="17"/>
  <c r="G468" i="17"/>
  <c r="G472" i="17"/>
  <c r="G476" i="17"/>
  <c r="G454" i="17"/>
  <c r="G461" i="17"/>
  <c r="G469" i="17"/>
  <c r="G473" i="17"/>
  <c r="G477" i="17"/>
  <c r="D607" i="17"/>
  <c r="D610" i="17"/>
  <c r="D611" i="17"/>
  <c r="D614" i="17"/>
  <c r="D615" i="17"/>
  <c r="D618" i="17"/>
  <c r="D619" i="17"/>
  <c r="D622" i="17"/>
  <c r="D623" i="17"/>
  <c r="D626" i="17"/>
  <c r="D627" i="17"/>
  <c r="D630" i="17"/>
  <c r="D631" i="17"/>
  <c r="D634" i="17"/>
  <c r="D635" i="17"/>
  <c r="D638" i="17"/>
  <c r="D639" i="17"/>
  <c r="D642" i="17"/>
  <c r="D643" i="17"/>
  <c r="E602" i="17"/>
  <c r="G602" i="17" s="1"/>
  <c r="G835" i="17"/>
  <c r="G881" i="17"/>
  <c r="G818" i="17"/>
  <c r="G867" i="17"/>
  <c r="D228" i="17"/>
  <c r="E231" i="17"/>
  <c r="G231" i="17" s="1"/>
  <c r="D219" i="17"/>
  <c r="D220" i="17"/>
  <c r="D223" i="17"/>
  <c r="D224" i="17"/>
  <c r="E227" i="17"/>
  <c r="G227" i="17" s="1"/>
  <c r="G233" i="17"/>
  <c r="D821" i="17"/>
  <c r="D837" i="17"/>
  <c r="E838" i="17"/>
  <c r="D823" i="17"/>
  <c r="D827" i="17"/>
  <c r="D831" i="17"/>
  <c r="D835" i="17"/>
  <c r="E119" i="17"/>
  <c r="G119" i="17" s="1"/>
  <c r="D136" i="17"/>
  <c r="G141" i="17"/>
  <c r="E142" i="17"/>
  <c r="G142" i="17" s="1"/>
  <c r="E143" i="17"/>
  <c r="G143" i="17" s="1"/>
  <c r="D146" i="17"/>
  <c r="D147" i="17"/>
  <c r="D148" i="17"/>
  <c r="D152" i="17"/>
  <c r="D115" i="17"/>
  <c r="D116" i="17"/>
  <c r="D124" i="17"/>
  <c r="E127" i="17"/>
  <c r="G127" i="17" s="1"/>
  <c r="E135" i="17"/>
  <c r="G135" i="17" s="1"/>
  <c r="G145" i="17"/>
  <c r="E151" i="17"/>
  <c r="G151" i="17" s="1"/>
  <c r="G153" i="17"/>
  <c r="D156" i="17"/>
  <c r="E131" i="17"/>
  <c r="G131" i="17" s="1"/>
  <c r="E139" i="17"/>
  <c r="G139" i="17" s="1"/>
  <c r="D144" i="17"/>
  <c r="G260" i="17"/>
  <c r="G262" i="17"/>
  <c r="D265" i="17"/>
  <c r="E268" i="17"/>
  <c r="G268" i="17" s="1"/>
  <c r="D271" i="17"/>
  <c r="D285" i="17"/>
  <c r="E288" i="17"/>
  <c r="G288" i="17" s="1"/>
  <c r="D291" i="17"/>
  <c r="D301" i="17"/>
  <c r="E304" i="17"/>
  <c r="G304" i="17" s="1"/>
  <c r="E320" i="17"/>
  <c r="G320" i="17" s="1"/>
  <c r="D349" i="17"/>
  <c r="D350" i="17"/>
  <c r="E348" i="17"/>
  <c r="G348" i="17" s="1"/>
  <c r="D257" i="17"/>
  <c r="D258" i="17"/>
  <c r="D259" i="17"/>
  <c r="G263" i="17"/>
  <c r="D273" i="17"/>
  <c r="E276" i="17"/>
  <c r="G276" i="17" s="1"/>
  <c r="E280" i="17"/>
  <c r="G280" i="17" s="1"/>
  <c r="D283" i="17"/>
  <c r="D293" i="17"/>
  <c r="E296" i="17"/>
  <c r="G296" i="17" s="1"/>
  <c r="D299" i="17"/>
  <c r="D309" i="17"/>
  <c r="E312" i="17"/>
  <c r="G312" i="17" s="1"/>
  <c r="D315" i="17"/>
  <c r="D325" i="17"/>
  <c r="E328" i="17"/>
  <c r="G328" i="17" s="1"/>
  <c r="D331" i="17"/>
  <c r="D335" i="17"/>
  <c r="D339" i="17"/>
  <c r="D343" i="17"/>
  <c r="D347" i="17"/>
  <c r="D554" i="17"/>
  <c r="D558" i="17"/>
  <c r="E561" i="17"/>
  <c r="G561" i="17" s="1"/>
  <c r="D564" i="17"/>
  <c r="G567" i="17"/>
  <c r="E573" i="17"/>
  <c r="G573" i="17" s="1"/>
  <c r="E581" i="17"/>
  <c r="G581" i="17" s="1"/>
  <c r="G563" i="17"/>
  <c r="G575" i="17"/>
  <c r="D562" i="17"/>
  <c r="E565" i="17"/>
  <c r="G565" i="17" s="1"/>
  <c r="D568" i="17"/>
  <c r="D574" i="17"/>
  <c r="D453" i="17"/>
  <c r="D456" i="17"/>
  <c r="D457" i="17"/>
  <c r="D460" i="17"/>
  <c r="D463" i="17"/>
  <c r="D464" i="17"/>
  <c r="D467" i="17"/>
  <c r="D468" i="17"/>
  <c r="D471" i="17"/>
  <c r="D472" i="17"/>
  <c r="D475" i="17"/>
  <c r="D476" i="17"/>
  <c r="E479" i="17"/>
  <c r="G479" i="17" s="1"/>
  <c r="G616" i="17"/>
  <c r="G624" i="17"/>
  <c r="G628" i="17"/>
  <c r="G600" i="17"/>
  <c r="G607" i="17"/>
  <c r="G611" i="17"/>
  <c r="G615" i="17"/>
  <c r="G619" i="17"/>
  <c r="G623" i="17"/>
  <c r="G627" i="17"/>
  <c r="G631" i="17"/>
  <c r="G635" i="17"/>
  <c r="G639" i="17"/>
  <c r="G822" i="17"/>
  <c r="G839" i="17"/>
  <c r="G846" i="17"/>
  <c r="G843" i="17"/>
  <c r="G815" i="17"/>
  <c r="G826" i="17"/>
  <c r="G831" i="17"/>
  <c r="G850" i="17"/>
  <c r="G863" i="17"/>
  <c r="E822" i="17"/>
  <c r="D816" i="17"/>
  <c r="G894" i="17"/>
  <c r="D814" i="17"/>
  <c r="G816" i="17"/>
  <c r="G823" i="17"/>
  <c r="G827" i="17"/>
  <c r="G847" i="17"/>
  <c r="G851" i="17"/>
  <c r="G855" i="17"/>
  <c r="G859" i="17"/>
  <c r="G605" i="17"/>
  <c r="G819" i="17"/>
  <c r="D817" i="17"/>
  <c r="D820" i="17"/>
  <c r="D824" i="17"/>
  <c r="D828" i="17"/>
  <c r="D832" i="17"/>
  <c r="D836" i="17"/>
  <c r="D840" i="17"/>
  <c r="D844" i="17"/>
  <c r="D848" i="17"/>
  <c r="D852" i="17"/>
  <c r="D856" i="17"/>
  <c r="D860" i="17"/>
  <c r="D864" i="17"/>
  <c r="D868" i="17"/>
  <c r="D872" i="17"/>
  <c r="D876" i="17"/>
  <c r="D880" i="17"/>
  <c r="D884" i="17"/>
  <c r="D888" i="17"/>
  <c r="D892" i="17"/>
  <c r="G453" i="17"/>
  <c r="G455" i="17"/>
  <c r="G456" i="17"/>
  <c r="G459" i="17"/>
  <c r="G460" i="17"/>
  <c r="G462" i="17"/>
  <c r="G463" i="17"/>
  <c r="G466" i="17"/>
  <c r="G467" i="17"/>
  <c r="G470" i="17"/>
  <c r="G471" i="17"/>
  <c r="G474" i="17"/>
  <c r="G475" i="17"/>
  <c r="G478" i="17"/>
  <c r="G576" i="17"/>
  <c r="G596" i="17"/>
  <c r="G365" i="17"/>
  <c r="G562" i="17"/>
  <c r="G568" i="17"/>
  <c r="G574" i="17"/>
  <c r="G610" i="17"/>
  <c r="G614" i="17"/>
  <c r="G618" i="17"/>
  <c r="G622" i="17"/>
  <c r="G626" i="17"/>
  <c r="G630" i="17"/>
  <c r="G634" i="17"/>
  <c r="G638" i="17"/>
  <c r="G642" i="17"/>
  <c r="G643" i="17"/>
  <c r="G601" i="17"/>
  <c r="G609" i="17"/>
  <c r="G613" i="17"/>
  <c r="G617" i="17"/>
  <c r="G621" i="17"/>
  <c r="G625" i="17"/>
  <c r="G629" i="17"/>
  <c r="G633" i="17"/>
  <c r="G637" i="17"/>
  <c r="G641" i="17"/>
  <c r="D600" i="17"/>
  <c r="D616" i="17"/>
  <c r="D624" i="17"/>
  <c r="D628" i="17"/>
  <c r="D601" i="17"/>
  <c r="E604" i="17"/>
  <c r="G604" i="17" s="1"/>
  <c r="D605" i="17"/>
  <c r="E608" i="17"/>
  <c r="G608" i="17" s="1"/>
  <c r="D609" i="17"/>
  <c r="E612" i="17"/>
  <c r="G612" i="17" s="1"/>
  <c r="D613" i="17"/>
  <c r="D617" i="17"/>
  <c r="E620" i="17"/>
  <c r="G620" i="17" s="1"/>
  <c r="D621" i="17"/>
  <c r="D625" i="17"/>
  <c r="D629" i="17"/>
  <c r="E632" i="17"/>
  <c r="G632" i="17" s="1"/>
  <c r="D633" i="17"/>
  <c r="E636" i="17"/>
  <c r="G636" i="17" s="1"/>
  <c r="D637" i="17"/>
  <c r="E640" i="17"/>
  <c r="G640" i="17" s="1"/>
  <c r="D641" i="17"/>
  <c r="G357" i="17"/>
  <c r="G572" i="17"/>
  <c r="G580" i="17"/>
  <c r="G584" i="17"/>
  <c r="G293" i="17"/>
  <c r="G309" i="17"/>
  <c r="G325" i="17"/>
  <c r="G335" i="17"/>
  <c r="G339" i="17"/>
  <c r="G367" i="17"/>
  <c r="G375" i="17"/>
  <c r="G383" i="17"/>
  <c r="G387" i="17"/>
  <c r="G399" i="17"/>
  <c r="G403" i="17"/>
  <c r="G415" i="17"/>
  <c r="G419" i="17"/>
  <c r="G431" i="17"/>
  <c r="G435" i="17"/>
  <c r="G447" i="17"/>
  <c r="G792" i="17"/>
  <c r="G803" i="17"/>
  <c r="G552" i="17"/>
  <c r="G556" i="17"/>
  <c r="G566" i="17"/>
  <c r="G598" i="17"/>
  <c r="G554" i="17"/>
  <c r="G558" i="17"/>
  <c r="G564" i="17"/>
  <c r="G550" i="17"/>
  <c r="G560" i="17"/>
  <c r="G570" i="17"/>
  <c r="G578" i="17"/>
  <c r="D551" i="17"/>
  <c r="D555" i="17"/>
  <c r="D559" i="17"/>
  <c r="D563" i="17"/>
  <c r="D567" i="17"/>
  <c r="D571" i="17"/>
  <c r="D575" i="17"/>
  <c r="D579" i="17"/>
  <c r="D583" i="17"/>
  <c r="D587" i="17"/>
  <c r="D591" i="17"/>
  <c r="D595" i="17"/>
  <c r="D572" i="17"/>
  <c r="D576" i="17"/>
  <c r="D580" i="17"/>
  <c r="G281" i="17"/>
  <c r="G297" i="17"/>
  <c r="G313" i="17"/>
  <c r="G329" i="17"/>
  <c r="G118" i="17"/>
  <c r="G273" i="17"/>
  <c r="G277" i="17"/>
  <c r="G351" i="17"/>
  <c r="G483" i="17"/>
  <c r="G487" i="17"/>
  <c r="G491" i="17"/>
  <c r="G495" i="17"/>
  <c r="G499" i="17"/>
  <c r="G503" i="17"/>
  <c r="G507" i="17"/>
  <c r="G511" i="17"/>
  <c r="G515" i="17"/>
  <c r="G519" i="17"/>
  <c r="G523" i="17"/>
  <c r="G527" i="17"/>
  <c r="G531" i="17"/>
  <c r="G535" i="17"/>
  <c r="G539" i="17"/>
  <c r="G543" i="17"/>
  <c r="G547" i="17"/>
  <c r="G804" i="17"/>
  <c r="G451" i="17"/>
  <c r="G482" i="17"/>
  <c r="G486" i="17"/>
  <c r="G490" i="17"/>
  <c r="G494" i="17"/>
  <c r="G498" i="17"/>
  <c r="G502" i="17"/>
  <c r="G506" i="17"/>
  <c r="G510" i="17"/>
  <c r="G514" i="17"/>
  <c r="G518" i="17"/>
  <c r="G522" i="17"/>
  <c r="G526" i="17"/>
  <c r="G530" i="17"/>
  <c r="G534" i="17"/>
  <c r="G538" i="17"/>
  <c r="G542" i="17"/>
  <c r="G546" i="17"/>
  <c r="G802" i="17"/>
  <c r="D454" i="17"/>
  <c r="D461" i="17"/>
  <c r="D469" i="17"/>
  <c r="D473" i="17"/>
  <c r="D477" i="17"/>
  <c r="D481" i="17"/>
  <c r="D485" i="17"/>
  <c r="D489" i="17"/>
  <c r="D493" i="17"/>
  <c r="D501" i="17"/>
  <c r="D505" i="17"/>
  <c r="D509" i="17"/>
  <c r="D513" i="17"/>
  <c r="D517" i="17"/>
  <c r="D521" i="17"/>
  <c r="D525" i="17"/>
  <c r="D529" i="17"/>
  <c r="D533" i="17"/>
  <c r="D537" i="17"/>
  <c r="D541" i="17"/>
  <c r="D545" i="17"/>
  <c r="D801" i="17"/>
  <c r="D451" i="17"/>
  <c r="D455" i="17"/>
  <c r="E458" i="17"/>
  <c r="G458" i="17" s="1"/>
  <c r="D459" i="17"/>
  <c r="D462" i="17"/>
  <c r="E465" i="17"/>
  <c r="G465" i="17" s="1"/>
  <c r="D466" i="17"/>
  <c r="D470" i="17"/>
  <c r="D474" i="17"/>
  <c r="D478" i="17"/>
  <c r="D482" i="17"/>
  <c r="D486" i="17"/>
  <c r="D490" i="17"/>
  <c r="D494" i="17"/>
  <c r="E497" i="17"/>
  <c r="G497" i="17" s="1"/>
  <c r="D498" i="17"/>
  <c r="D502" i="17"/>
  <c r="D506" i="17"/>
  <c r="D510" i="17"/>
  <c r="D514" i="17"/>
  <c r="D518" i="17"/>
  <c r="D522" i="17"/>
  <c r="D526" i="17"/>
  <c r="D530" i="17"/>
  <c r="D534" i="17"/>
  <c r="D538" i="17"/>
  <c r="D542" i="17"/>
  <c r="D546" i="17"/>
  <c r="D802" i="17"/>
  <c r="G114" i="17"/>
  <c r="G115" i="17"/>
  <c r="G150" i="17"/>
  <c r="G167" i="17"/>
  <c r="G179" i="17"/>
  <c r="G180" i="17"/>
  <c r="G228" i="17"/>
  <c r="G230" i="17"/>
  <c r="G257" i="17"/>
  <c r="G269" i="17"/>
  <c r="G289" i="17"/>
  <c r="G305" i="17"/>
  <c r="G321" i="17"/>
  <c r="G349" i="17"/>
  <c r="G369" i="17"/>
  <c r="G373" i="17"/>
  <c r="G377" i="17"/>
  <c r="G794" i="17"/>
  <c r="G261" i="17"/>
  <c r="G265" i="17"/>
  <c r="G285" i="17"/>
  <c r="G301" i="17"/>
  <c r="G317" i="17"/>
  <c r="G337" i="17"/>
  <c r="E266" i="17"/>
  <c r="G266" i="17" s="1"/>
  <c r="D266" i="17"/>
  <c r="E270" i="17"/>
  <c r="G270" i="17" s="1"/>
  <c r="D270" i="17"/>
  <c r="E274" i="17"/>
  <c r="G274" i="17" s="1"/>
  <c r="D274" i="17"/>
  <c r="E342" i="17"/>
  <c r="G342" i="17" s="1"/>
  <c r="D342" i="17"/>
  <c r="E396" i="17"/>
  <c r="G396" i="17" s="1"/>
  <c r="D396" i="17"/>
  <c r="D256" i="17"/>
  <c r="D260" i="17"/>
  <c r="D264" i="17"/>
  <c r="G267" i="17"/>
  <c r="G271" i="17"/>
  <c r="G275" i="17"/>
  <c r="E278" i="17"/>
  <c r="G278" i="17" s="1"/>
  <c r="D278" i="17"/>
  <c r="E282" i="17"/>
  <c r="G282" i="17" s="1"/>
  <c r="D282" i="17"/>
  <c r="E286" i="17"/>
  <c r="G286" i="17" s="1"/>
  <c r="D286" i="17"/>
  <c r="E290" i="17"/>
  <c r="G290" i="17" s="1"/>
  <c r="D290" i="17"/>
  <c r="E294" i="17"/>
  <c r="G294" i="17" s="1"/>
  <c r="D294" i="17"/>
  <c r="E298" i="17"/>
  <c r="G298" i="17" s="1"/>
  <c r="D298" i="17"/>
  <c r="E302" i="17"/>
  <c r="G302" i="17" s="1"/>
  <c r="D302" i="17"/>
  <c r="E306" i="17"/>
  <c r="G306" i="17" s="1"/>
  <c r="D306" i="17"/>
  <c r="E310" i="17"/>
  <c r="G310" i="17" s="1"/>
  <c r="D310" i="17"/>
  <c r="E314" i="17"/>
  <c r="G314" i="17" s="1"/>
  <c r="D314" i="17"/>
  <c r="E318" i="17"/>
  <c r="G318" i="17" s="1"/>
  <c r="D318" i="17"/>
  <c r="E322" i="17"/>
  <c r="G322" i="17" s="1"/>
  <c r="D322" i="17"/>
  <c r="E326" i="17"/>
  <c r="G326" i="17" s="1"/>
  <c r="D326" i="17"/>
  <c r="E330" i="17"/>
  <c r="G330" i="17" s="1"/>
  <c r="D330" i="17"/>
  <c r="G343" i="17"/>
  <c r="E346" i="17"/>
  <c r="G346" i="17" s="1"/>
  <c r="D346" i="17"/>
  <c r="E359" i="17"/>
  <c r="D359" i="17"/>
  <c r="E362" i="17"/>
  <c r="G362" i="17" s="1"/>
  <c r="D362" i="17"/>
  <c r="D370" i="17"/>
  <c r="E370" i="17"/>
  <c r="G370" i="17" s="1"/>
  <c r="E412" i="17"/>
  <c r="G412" i="17" s="1"/>
  <c r="D412" i="17"/>
  <c r="G279" i="17"/>
  <c r="G283" i="17"/>
  <c r="G287" i="17"/>
  <c r="G291" i="17"/>
  <c r="G295" i="17"/>
  <c r="G299" i="17"/>
  <c r="G303" i="17"/>
  <c r="G307" i="17"/>
  <c r="G311" i="17"/>
  <c r="G315" i="17"/>
  <c r="G319" i="17"/>
  <c r="G323" i="17"/>
  <c r="G327" i="17"/>
  <c r="G331" i="17"/>
  <c r="E334" i="17"/>
  <c r="G334" i="17" s="1"/>
  <c r="D334" i="17"/>
  <c r="G359" i="17"/>
  <c r="E428" i="17"/>
  <c r="G428" i="17" s="1"/>
  <c r="D428" i="17"/>
  <c r="E338" i="17"/>
  <c r="G338" i="17" s="1"/>
  <c r="D338" i="17"/>
  <c r="D360" i="17"/>
  <c r="E360" i="17"/>
  <c r="G360" i="17" s="1"/>
  <c r="D368" i="17"/>
  <c r="E368" i="17"/>
  <c r="G368" i="17" s="1"/>
  <c r="E380" i="17"/>
  <c r="G380" i="17" s="1"/>
  <c r="D380" i="17"/>
  <c r="E444" i="17"/>
  <c r="G444" i="17" s="1"/>
  <c r="D444" i="17"/>
  <c r="G353" i="17"/>
  <c r="E384" i="17"/>
  <c r="G384" i="17" s="1"/>
  <c r="D384" i="17"/>
  <c r="E400" i="17"/>
  <c r="G400" i="17" s="1"/>
  <c r="D400" i="17"/>
  <c r="E416" i="17"/>
  <c r="G416" i="17" s="1"/>
  <c r="D416" i="17"/>
  <c r="E432" i="17"/>
  <c r="G432" i="17" s="1"/>
  <c r="D432" i="17"/>
  <c r="E448" i="17"/>
  <c r="G448" i="17" s="1"/>
  <c r="D448" i="17"/>
  <c r="G371" i="17"/>
  <c r="E388" i="17"/>
  <c r="G388" i="17" s="1"/>
  <c r="D388" i="17"/>
  <c r="G391" i="17"/>
  <c r="E404" i="17"/>
  <c r="G404" i="17" s="1"/>
  <c r="D404" i="17"/>
  <c r="G407" i="17"/>
  <c r="E420" i="17"/>
  <c r="G420" i="17" s="1"/>
  <c r="D420" i="17"/>
  <c r="G423" i="17"/>
  <c r="E436" i="17"/>
  <c r="G436" i="17" s="1"/>
  <c r="D436" i="17"/>
  <c r="G439" i="17"/>
  <c r="E793" i="17"/>
  <c r="D793" i="17"/>
  <c r="G796" i="17"/>
  <c r="D351" i="17"/>
  <c r="E352" i="17"/>
  <c r="G352" i="17" s="1"/>
  <c r="G361" i="17"/>
  <c r="E376" i="17"/>
  <c r="G376" i="17" s="1"/>
  <c r="G379" i="17"/>
  <c r="E392" i="17"/>
  <c r="G392" i="17" s="1"/>
  <c r="D392" i="17"/>
  <c r="G395" i="17"/>
  <c r="E408" i="17"/>
  <c r="G408" i="17" s="1"/>
  <c r="D408" i="17"/>
  <c r="G411" i="17"/>
  <c r="E424" i="17"/>
  <c r="G424" i="17" s="1"/>
  <c r="D424" i="17"/>
  <c r="G427" i="17"/>
  <c r="E440" i="17"/>
  <c r="G440" i="17" s="1"/>
  <c r="D440" i="17"/>
  <c r="G443" i="17"/>
  <c r="E797" i="17"/>
  <c r="D797" i="17"/>
  <c r="G800" i="17"/>
  <c r="G219" i="17"/>
  <c r="G223" i="17"/>
  <c r="G234" i="17"/>
  <c r="G238" i="17"/>
  <c r="G242" i="17"/>
  <c r="G246" i="17"/>
  <c r="G250" i="17"/>
  <c r="G251" i="17"/>
  <c r="G806" i="17"/>
  <c r="G810" i="17"/>
  <c r="G226" i="17"/>
  <c r="G218" i="17"/>
  <c r="G222" i="17"/>
  <c r="D221" i="17"/>
  <c r="D225" i="17"/>
  <c r="D233" i="17"/>
  <c r="D237" i="17"/>
  <c r="D241" i="17"/>
  <c r="D245" i="17"/>
  <c r="D218" i="17"/>
  <c r="D222" i="17"/>
  <c r="D226" i="17"/>
  <c r="E229" i="17"/>
  <c r="G229" i="17" s="1"/>
  <c r="D230" i="17"/>
  <c r="D234" i="17"/>
  <c r="D238" i="17"/>
  <c r="D242" i="17"/>
  <c r="D246" i="17"/>
  <c r="E249" i="17"/>
  <c r="G249" i="17" s="1"/>
  <c r="D250" i="17"/>
  <c r="E805" i="17"/>
  <c r="D806" i="17"/>
  <c r="E809" i="17"/>
  <c r="D810" i="17"/>
  <c r="G130" i="17"/>
  <c r="G136" i="17"/>
  <c r="G138" i="17"/>
  <c r="G152" i="17"/>
  <c r="G154" i="17"/>
  <c r="G124" i="17"/>
  <c r="G146" i="17"/>
  <c r="G187" i="17"/>
  <c r="G120" i="17"/>
  <c r="G126" i="17"/>
  <c r="G132" i="17"/>
  <c r="G134" i="17"/>
  <c r="G140" i="17"/>
  <c r="G156" i="17"/>
  <c r="G158" i="17"/>
  <c r="G162" i="17"/>
  <c r="G166" i="17"/>
  <c r="G170" i="17"/>
  <c r="G174" i="17"/>
  <c r="G178" i="17"/>
  <c r="G182" i="17"/>
  <c r="G116" i="17"/>
  <c r="E121" i="17"/>
  <c r="G121" i="17" s="1"/>
  <c r="D121" i="17"/>
  <c r="G122" i="17"/>
  <c r="E113" i="17"/>
  <c r="G113" i="17" s="1"/>
  <c r="D113" i="17"/>
  <c r="E117" i="17"/>
  <c r="G117" i="17" s="1"/>
  <c r="D117" i="17"/>
  <c r="G186" i="17"/>
  <c r="G190" i="17"/>
  <c r="G194" i="17"/>
  <c r="G198" i="17"/>
  <c r="G202" i="17"/>
  <c r="G206" i="17"/>
  <c r="G210" i="17"/>
  <c r="G214" i="17"/>
  <c r="D125" i="17"/>
  <c r="D129" i="17"/>
  <c r="D133" i="17"/>
  <c r="D137" i="17"/>
  <c r="D141" i="17"/>
  <c r="D145" i="17"/>
  <c r="D149" i="17"/>
  <c r="D153" i="17"/>
  <c r="D157" i="17"/>
  <c r="D161" i="17"/>
  <c r="D165" i="17"/>
  <c r="D169" i="17"/>
  <c r="D173" i="17"/>
  <c r="D177" i="17"/>
  <c r="D181" i="17"/>
  <c r="D185" i="17"/>
  <c r="D189" i="17"/>
  <c r="D193" i="17"/>
  <c r="D197" i="17"/>
  <c r="D201" i="17"/>
  <c r="D205" i="17"/>
  <c r="D209" i="17"/>
  <c r="D213" i="17"/>
  <c r="D114" i="17"/>
  <c r="D118" i="17"/>
  <c r="D122" i="17"/>
  <c r="D130" i="17"/>
  <c r="D134" i="17"/>
  <c r="D138" i="17"/>
  <c r="D154" i="17"/>
  <c r="D158" i="17"/>
  <c r="D162" i="17"/>
  <c r="D166" i="17"/>
  <c r="D170" i="17"/>
  <c r="D174" i="17"/>
  <c r="D178" i="17"/>
  <c r="D182" i="17"/>
  <c r="D186" i="17"/>
  <c r="D190" i="17"/>
  <c r="D194" i="17"/>
  <c r="D198" i="17"/>
  <c r="D202" i="17"/>
  <c r="D206" i="17"/>
  <c r="D210" i="17"/>
  <c r="D214" i="17"/>
  <c r="D813" i="17"/>
  <c r="E813" i="17"/>
  <c r="G893" i="17" s="1"/>
  <c r="G892" i="17" l="1"/>
  <c r="G854" i="17"/>
  <c r="G857" i="17"/>
  <c r="G753" i="17"/>
  <c r="G807" i="17"/>
  <c r="G798" i="17"/>
  <c r="G773" i="17"/>
  <c r="G811" i="17"/>
  <c r="G888" i="17"/>
  <c r="G830" i="17"/>
  <c r="G875" i="17"/>
  <c r="G879" i="17"/>
  <c r="G871" i="17"/>
  <c r="G866" i="17"/>
  <c r="G862" i="17"/>
  <c r="G834" i="17"/>
  <c r="G838" i="17"/>
  <c r="G842" i="17"/>
  <c r="G824" i="17"/>
  <c r="G852" i="17"/>
  <c r="G828" i="17"/>
  <c r="G864" i="17"/>
  <c r="G817" i="17"/>
  <c r="G836" i="17"/>
  <c r="G840" i="17"/>
  <c r="G820" i="17"/>
  <c r="G856" i="17"/>
  <c r="G860" i="17"/>
  <c r="G868" i="17"/>
  <c r="G848" i="17"/>
  <c r="G832" i="17"/>
  <c r="G805" i="17"/>
  <c r="G885" i="17"/>
  <c r="G797" i="17"/>
  <c r="G877" i="17"/>
  <c r="G793" i="17"/>
  <c r="G873" i="17"/>
  <c r="G844" i="17"/>
  <c r="G809" i="17"/>
  <c r="G889" i="17"/>
  <c r="G813" i="17" l="1"/>
  <c r="C599" i="17" l="1"/>
  <c r="D599" i="17" s="1"/>
  <c r="F599" i="17"/>
  <c r="E599" i="17" l="1"/>
  <c r="G599" i="17" s="1"/>
  <c r="F450" i="17" l="1"/>
  <c r="F549" i="17" l="1"/>
  <c r="C549" i="17"/>
  <c r="E549" i="17" s="1"/>
  <c r="D549" i="17" l="1"/>
  <c r="G549" i="17"/>
  <c r="C450" i="17" l="1"/>
  <c r="D450" i="17" s="1"/>
  <c r="E450" i="17" l="1"/>
  <c r="G450" i="17" s="1"/>
  <c r="I36" i="5" l="1"/>
  <c r="F112" i="17" l="1"/>
  <c r="C112" i="17"/>
  <c r="E112" i="17" l="1"/>
  <c r="D112" i="17"/>
  <c r="F12" i="17" l="1"/>
  <c r="C12" i="17"/>
  <c r="E12" i="17" s="1"/>
  <c r="G12" i="17" l="1"/>
  <c r="D12" i="17"/>
  <c r="D7" i="17" l="1"/>
  <c r="F644" i="17" l="1"/>
  <c r="C644" i="17"/>
  <c r="E644" i="17" s="1"/>
  <c r="G644" i="17" l="1"/>
  <c r="D644" i="17"/>
  <c r="F253" i="17" l="1"/>
  <c r="C253" i="17"/>
  <c r="E253" i="17" s="1"/>
  <c r="G253" i="17" l="1"/>
  <c r="D253" i="17"/>
  <c r="F217" i="17" l="1"/>
  <c r="C217" i="17"/>
  <c r="E217" i="17" s="1"/>
  <c r="G217" i="17" l="1"/>
  <c r="G112" i="17"/>
  <c r="G896" i="17" s="1"/>
  <c r="D217" i="17"/>
</calcChain>
</file>

<file path=xl/sharedStrings.xml><?xml version="1.0" encoding="utf-8"?>
<sst xmlns="http://schemas.openxmlformats.org/spreadsheetml/2006/main" count="2586" uniqueCount="856">
  <si>
    <t>Extensions</t>
  </si>
  <si>
    <t>Index</t>
  </si>
  <si>
    <t>Service Commerciale</t>
  </si>
  <si>
    <t>Téléphone</t>
  </si>
  <si>
    <t>Fixe: +225 27 21 75 19 43</t>
  </si>
  <si>
    <t xml:space="preserve">SAV </t>
  </si>
  <si>
    <t>Compatibilité</t>
  </si>
  <si>
    <t>HPE</t>
  </si>
  <si>
    <t>HP Inc.</t>
  </si>
  <si>
    <t xml:space="preserve">Lenovo </t>
  </si>
  <si>
    <t>DELL</t>
  </si>
  <si>
    <t>Microsoft</t>
  </si>
  <si>
    <t>APC</t>
  </si>
  <si>
    <t>Désignation</t>
  </si>
  <si>
    <t>Référence</t>
  </si>
  <si>
    <t>HP 123 Tri-color Original Ink Cartridge</t>
  </si>
  <si>
    <t>HP 652 Tri-color Original Ink Advantage Cartridge</t>
  </si>
  <si>
    <t>F6V16AE</t>
  </si>
  <si>
    <t>Prix Unitaire HT</t>
  </si>
  <si>
    <t>CE255A</t>
  </si>
  <si>
    <t>CE402A</t>
  </si>
  <si>
    <t>CE403A</t>
  </si>
  <si>
    <t>CF214A</t>
  </si>
  <si>
    <t>QTY</t>
  </si>
  <si>
    <t>BV1000I</t>
  </si>
  <si>
    <t>BVX2200LI</t>
  </si>
  <si>
    <t>FCFA</t>
  </si>
  <si>
    <t>E3SUPS15KHB1</t>
  </si>
  <si>
    <t>SMART UPS</t>
  </si>
  <si>
    <t>E3SOPT001</t>
  </si>
  <si>
    <t>Easy UPS 3 Series Network Card</t>
  </si>
  <si>
    <t>SMV2000AI</t>
  </si>
  <si>
    <t>BACKUP UPS - Line Interactive</t>
  </si>
  <si>
    <t>SNMP-Network</t>
  </si>
  <si>
    <t>SRV10KI</t>
  </si>
  <si>
    <t>SRV2KI</t>
  </si>
  <si>
    <t>SRV3KI</t>
  </si>
  <si>
    <t>SRV6KI</t>
  </si>
  <si>
    <t>BV</t>
  </si>
  <si>
    <t>BVX</t>
  </si>
  <si>
    <t>SMV</t>
  </si>
  <si>
    <t>PDU</t>
  </si>
  <si>
    <t>ACCESSOIRES</t>
  </si>
  <si>
    <t>AP8853</t>
  </si>
  <si>
    <t>PDU-RACK</t>
  </si>
  <si>
    <t>Gamme</t>
  </si>
  <si>
    <t>QQ2-00007</t>
  </si>
  <si>
    <t>6GQ-00087</t>
  </si>
  <si>
    <t>KLQ-00216</t>
  </si>
  <si>
    <t>Microsoft Office</t>
  </si>
  <si>
    <t>Microsoft Windows</t>
  </si>
  <si>
    <t>CF219A</t>
  </si>
  <si>
    <t>HP 19A Original LaserJet Imaging Drum</t>
  </si>
  <si>
    <t>Ink</t>
  </si>
  <si>
    <t>TONER</t>
  </si>
  <si>
    <t>TONER LASER</t>
  </si>
  <si>
    <t>Conso</t>
  </si>
  <si>
    <t>HP LaserJet Enterprise P3015dn (CE528A#ABA) ; HP LaserJet Enterprise P3015n (CE527A#ABA) ; HP LaserJet Enterprise P3015d (CE526A#ABA) ; HP LaserJet Enterprise P3015x (CE529A#ABA) ; HP LaserJet Pro MFP M521dn (A8P79A#BGJ) ; HP LaserJet Enterprise flow MFP M525c (CF118A#BGJ) ; HP LaserJet Enterprise 500 MFP M525f (CF117A#BGJ) ; HP LaserJet Enterprise 500 MFP M525dn (CF116A#BGJ)</t>
  </si>
  <si>
    <t>HP LaserJet Pro P1606dn (CE749A#BGJ)</t>
  </si>
  <si>
    <t>HP TopShot LaserJet Pro M275 MFP (CF040A#BGJ) ; HP LaserJet Pro 100 color MFP M175nw (CE866A#BGJ) ; HP LaserJet Pro CP1025nw Color (CE914A#BGJ)</t>
  </si>
  <si>
    <t>HP LaserJet Enterprise 500 color M551n (CF081A#BGJ) ; HP LaserJet Enterprise color flow MFP M575c (CD646A#BGJ) ; HP LaserJet Pro 500 color MFP M570dn (CZ271A#BGJ) ; HP LaserJet Enterprise 500 color M551dn (CF082A#BGJ) ; HP LaserJet Enterprise 500 color MFP M575f (CD645A#BGJ) ; HP LaserJet Enterprise 500 color MFP M575dn (CD644A#BGJ) ; HP LaserJet Enterprise 500 color M551xh (CF083A#BGJ)</t>
  </si>
  <si>
    <t>HP LaserJet Pro 400 color M451dw (CE958A#BGJ) ; HP LaserJet Pro 300 color MFP M375nw (CE903A#BGJ) ; HP LaserJet Pro 400 color M451dn (CE957A#BGJ) ; HP LaserJet Pro 400 color M451nw (CE956A#BGJ)</t>
  </si>
  <si>
    <t>HP LaserJet P2035 (CE461A#ABA) ; HP LaserJet P2055d (CE457A#ABA) ; HP LaserJet P2035n (CE462A#ABA) ; HP LaserJet P2055x (CE460A#ABA) ; HP LaserJet P2055dn (CE459A#ABA)</t>
  </si>
  <si>
    <t>HP LaserJet Enterprise 700 M712dn (CF236A#BGJ) ; HP LaserJet Enterprise 700 M712n (CF235A#BGJ) ; HP LaserJet Enterprise MFP M725dn (CF066A#BGJ) ; HP LaserJet Enterprise 700 M712xh (CF238A#BGJ)</t>
  </si>
  <si>
    <t>HP LaserJet Pro MFP M426fdw (F6W15A#BGJ) ; HP LaserJet Pro MFP M426fdn (F6W14A#BGJ) ; HP LaserJet Pro M402n (C5F93A#BGJ) ; HP LaserJet Pro M402dn (C5F94A#BGJ) ; HP LaserJet Pro M402dw (C5F95A#BGJ) ; HP LaserJet Pro M402dne (C5J91A#BGJ)</t>
  </si>
  <si>
    <t>HP LaserJet Pro M203dw (G3Q47A#BGJ) ; HP LaserJet Pro MFP M227fdn (G3Q79A#BGJ) ; HP LaserJet Pro MFP M227fdw (G3Q75A#BGJ)</t>
  </si>
  <si>
    <t>HP LaserJet Pro 400 M401dn (CF278A#BGJ) ; HP LaserJet Pro 400 M401n (CZ195A#BGJ) ; HP LaserJet Pro 400 M401dw (CF285A#BGJ) ; HP LaserJet Pro 400 M401dne (CF399A#BGJ) ; HP LaserJet Pro 400 MFP M425dn (CF286A#BGJ)</t>
  </si>
  <si>
    <t>HP LaserJet Pro MFP M225dw (CF485A#BGJ) ; HP LaserJet Pro MFP M225dn (CF484A#BGJ) ; HP LaserJet Pro M201dw (CF456A#BGJ) ; HP LaserJet Pro MFP M127fw (CZ183A#BGJ) ; HP LaserJet Pro MFP M127fn (CZ181A#BGJ)</t>
  </si>
  <si>
    <t>HP Color LaserJet Pro MFP M177fw (CZ165A#BGJ) ; HP Color LaserJet Pro MFP M176n (CF547A#BGJ)</t>
  </si>
  <si>
    <t>HP Color LaserJet Pro M252dw (B4A22A#BGJ) ; HP Color LaserJet Pro MFP M277dw (B3Q11A#BGJ)</t>
  </si>
  <si>
    <t>HP Laser 107a (4ZB77A); HP Laser 107r (5UE14A); HP Laser 107w (4ZB78A); HP Laser MFP 135a (4ZB82A); HP Laser MFP 135r (5UE15A); HP Laser MFP 135w (4ZB83A); HP Laser MFP 137fnw (4ZB84A);</t>
  </si>
  <si>
    <t>HP Color LaserJet Enterprise M751dn (T3U44A#BGJ) ; HP Color LaserJet Enterprise M751n (T3U43A#BGJ)</t>
  </si>
  <si>
    <t>HP Color LaserJet Pro M255dw (7KW64A); MFP M282nw (7KW72A); MFP M283fdn (7KW74A); MFP M283fdw (7KW75A);</t>
  </si>
  <si>
    <t>HP Color LaserJet Pro MFP M182n (7KW54A); MFP M183fw (7KW56A);</t>
  </si>
  <si>
    <t>HP Deskjet Ink Advantage 2515 and 2515 e-All-in-One Printers</t>
  </si>
  <si>
    <t>HP DeskJet Ink Advantage 4535 All-in-One Printer (F0V64C); 2135 All-in-One Printer (F5S29C); 4675 All-in-One Printer (F1H97C); 2136 All-in-One Printer (F5S33C); 3835 All-in-One Printer (F5R96C); 3635 All-in-One Printer (F5S44C); 1115 Printer (F5S21C); 3636 All-in-One Printer (F5S53C);</t>
  </si>
  <si>
    <t>HP LaserJet Pro M102 Printers, HP LaserJet Pro M104 Printers, HP LaserJet Pro MFP M130, HP LaserJet Pro MFP M132</t>
  </si>
  <si>
    <t>PIÈCES DÉTACHÉES</t>
  </si>
  <si>
    <t>Serveur</t>
  </si>
  <si>
    <t>Serveur HP</t>
  </si>
  <si>
    <t>Disque</t>
  </si>
  <si>
    <t>Desktop</t>
  </si>
  <si>
    <t>Laptop</t>
  </si>
  <si>
    <t>Ecran</t>
  </si>
  <si>
    <t>Accessoires</t>
  </si>
  <si>
    <t>CONSOMMABLES HP</t>
  </si>
  <si>
    <t>LENOVO</t>
  </si>
  <si>
    <t>DESKTOP</t>
  </si>
  <si>
    <t>LAPTOP</t>
  </si>
  <si>
    <t>Thinkbook</t>
  </si>
  <si>
    <t>ECRAN</t>
  </si>
  <si>
    <t>Case</t>
  </si>
  <si>
    <t>Poweredge</t>
  </si>
  <si>
    <t>CN31</t>
  </si>
  <si>
    <t>Targus Notebook Case - Sacoche pour portable - 15.4" - 16" Noir</t>
  </si>
  <si>
    <t>Accessoires Serveurs HP</t>
  </si>
  <si>
    <t>Toner</t>
  </si>
  <si>
    <t>Consommables</t>
  </si>
  <si>
    <t xml:space="preserve">Tablette </t>
  </si>
  <si>
    <t>Veritas</t>
  </si>
  <si>
    <t>Divers</t>
  </si>
  <si>
    <t>17, Rue des Foreurs
Treichville Zone 3 Abidjan, Côte d’Ivoire</t>
  </si>
  <si>
    <t>état du Stock</t>
  </si>
  <si>
    <t xml:space="preserve">Disponible </t>
  </si>
  <si>
    <t xml:space="preserve">Package </t>
  </si>
  <si>
    <t>Package</t>
  </si>
  <si>
    <t>Pas Disponible</t>
  </si>
  <si>
    <t>Lic-Electronique</t>
  </si>
  <si>
    <t>E3SOPT002</t>
  </si>
  <si>
    <t>APC Easy UPS 3S Parallel Kit</t>
  </si>
  <si>
    <t>SRV3KRI</t>
  </si>
  <si>
    <t>Batterie</t>
  </si>
  <si>
    <t>ENCRE</t>
  </si>
  <si>
    <t>F6V17AE</t>
  </si>
  <si>
    <t>HP 123 Black Original Ink Cartridge</t>
  </si>
  <si>
    <t>Encre</t>
  </si>
  <si>
    <t>HP LaserJet Pro P1100 Printer series; HP LaserJet Pro M1130 and M1210 MFP series</t>
  </si>
  <si>
    <t>HP LaserJet Pro M102 Printers, HP LaserJet Pro MFP M130</t>
  </si>
  <si>
    <t>CF237A</t>
  </si>
  <si>
    <t xml:space="preserve">	HP LaserJet Enterprise MFP M631, M632, M633 series, HP LaserJet Enterprise M607, M608, M609 series</t>
  </si>
  <si>
    <t>HP Color LaserJet Enterprise M856 Printer series, HP Color LaserJet Enterprise MFP M776 series</t>
  </si>
  <si>
    <t xml:space="preserve">	HP Color LaserJet Pro M252 Printer series, HP Color Laserjet Pro MFP M277 series</t>
  </si>
  <si>
    <t>HP Color LaserJet Pro M252 Printer series, HP Color Laserjet Pro MFP M277 series</t>
  </si>
  <si>
    <t>HP Color LaserJet Enterprise M455dn (3PZ95A); MFP M480f (3QA55A); M454dn (W1Y44A); M454dw (W1Y45A); MFP M479dw (W1A77A); MFP M479fdn (W1A79A); MFP M479fdw (W1A80A); MFP M479fnw (W1A78A);</t>
  </si>
  <si>
    <t>Microsoft Visio</t>
  </si>
  <si>
    <t>Microsoft Project</t>
  </si>
  <si>
    <t>Date:</t>
  </si>
  <si>
    <t xml:space="preserve">Nom du Partenaire: </t>
  </si>
  <si>
    <t>HP Consommables</t>
  </si>
  <si>
    <t>Promo En Cours</t>
  </si>
  <si>
    <t xml:space="preserve">Pour Bon de Commande </t>
  </si>
  <si>
    <t>BC</t>
  </si>
  <si>
    <t>Inserez la quantité</t>
  </si>
  <si>
    <t>Lenovo</t>
  </si>
  <si>
    <t>Filtrez et enlevez le "0"</t>
  </si>
  <si>
    <t>Fixe: +225 27 21 75 19 41</t>
  </si>
  <si>
    <t>Fixe: +225 27 21 75 19 48</t>
  </si>
  <si>
    <t>Fixe: +225 27 21 75 19 44 / 46 / 49</t>
  </si>
  <si>
    <t>Comptabilité</t>
  </si>
  <si>
    <t>Addresses Mails</t>
  </si>
  <si>
    <t>Service Après Ventes</t>
  </si>
  <si>
    <t>HP 55A Black Original LaserJet Toner Cartridge</t>
  </si>
  <si>
    <t>HP 78A Black Original LaserJet Toner Cartridge</t>
  </si>
  <si>
    <t>HP 126A Magenta Original LaserJet Toner Cartridge</t>
  </si>
  <si>
    <t>HP 507A Yellow Original LaserJet Toner Cartridge</t>
  </si>
  <si>
    <t>HP 507A Magenta Original LaserJet Toner Cartridge</t>
  </si>
  <si>
    <t>HP 305A Black Original LaserJet Toner Cartridge</t>
  </si>
  <si>
    <t>HP 305A Cyan Original LaserJet Toner Cartridge</t>
  </si>
  <si>
    <t>HP 305A Yellow Original LaserJet Toner Cartridge</t>
  </si>
  <si>
    <t>HP 305A Magenta Original LaserJet Toner Cartridge</t>
  </si>
  <si>
    <t>HP 650 Black Original Ink Advantage Cartridge</t>
  </si>
  <si>
    <t>HP 650 Tri-color Original Ink Advantage Cartridge</t>
  </si>
  <si>
    <t>HP 122 Black Original Ink Cartridge</t>
  </si>
  <si>
    <t>Notes :</t>
  </si>
  <si>
    <t xml:space="preserve">3. Merci de nous envoyer votre sélection pour confirmer la disponibilité surtout pour les références de moins de 10 unités en stock. </t>
  </si>
  <si>
    <t xml:space="preserve">4. Pour vos besoins de confirmation de disponibilités, merci d’envoyer votre sélection avec l’onglet « Bon de commande » </t>
  </si>
  <si>
    <t xml:space="preserve"> </t>
  </si>
  <si>
    <t>.</t>
  </si>
  <si>
    <t>Appuyez sur "REFRESH" pour réinitialiser  la fiche</t>
  </si>
  <si>
    <r>
      <t>1. Validité des prix :</t>
    </r>
    <r>
      <rPr>
        <sz val="9"/>
        <color theme="1"/>
        <rFont val="Calibri"/>
        <family val="2"/>
        <scheme val="minor"/>
      </rPr>
      <t xml:space="preserve"> Deux (2) semaines </t>
    </r>
    <r>
      <rPr>
        <b/>
        <u/>
        <sz val="9"/>
        <color theme="1"/>
        <rFont val="Calibri"/>
        <family val="2"/>
        <scheme val="minor"/>
      </rPr>
      <t>ou</t>
    </r>
    <r>
      <rPr>
        <sz val="9"/>
        <color theme="1"/>
        <rFont val="Calibri"/>
        <family val="2"/>
        <scheme val="minor"/>
      </rPr>
      <t xml:space="preserve"> jusqu'à épuisement du stock de certain produits</t>
    </r>
  </si>
  <si>
    <r>
      <t>2. Polaris distribution</t>
    </r>
    <r>
      <rPr>
        <sz val="9"/>
        <color theme="1"/>
        <rFont val="Calibri"/>
        <family val="2"/>
        <scheme val="minor"/>
      </rPr>
      <t xml:space="preserve"> se réserve le droit de modifier les prix de cette liste sans préavis dès que nous subissons une hausse.</t>
    </r>
  </si>
  <si>
    <t xml:space="preserve">index </t>
  </si>
  <si>
    <t xml:space="preserve">RACK </t>
  </si>
  <si>
    <t>HP 05A Black Original LaserJet Toner Cartridge</t>
  </si>
  <si>
    <t>HP 14A Black Original LaserJet Toner Cartridge</t>
  </si>
  <si>
    <t>HP 26A Black Original LaserJet Toner Cartridge</t>
  </si>
  <si>
    <t>HP 30A Black Original LaserJet Toner Cartridge</t>
  </si>
  <si>
    <t>HP 80A Black Original LaserJet Toner Cartridge</t>
  </si>
  <si>
    <t>HP 83A Black Original LaserJet Toner Cartridge</t>
  </si>
  <si>
    <t>HP 130A Black Original LaserJet Toner Cartridge</t>
  </si>
  <si>
    <t>HP 130A Cyan Original LaserJet Toner Cartridge</t>
  </si>
  <si>
    <t>HP 130A Yellow Original LaserJet Toner Cartridge</t>
  </si>
  <si>
    <t>HP 130A Magenta Original LaserJet Toner Cartridge</t>
  </si>
  <si>
    <t>HP 201A Black Original LaserJet Toner Cartridge</t>
  </si>
  <si>
    <t>HP 201A Cyan Original LaserJet Toner Cartridge</t>
  </si>
  <si>
    <t>HP 201A Yellow Original LaserJet Toner Cartridge</t>
  </si>
  <si>
    <t>HP 201A Magenta Original LaserJet Toner Cartridge</t>
  </si>
  <si>
    <t>HP 410A Black Original LaserJet Toner Cartridge</t>
  </si>
  <si>
    <t>HP 106A Black Original Laser Toner Cartridge</t>
  </si>
  <si>
    <t>HP 658A Black Original LaserJet Toner Cartridge</t>
  </si>
  <si>
    <t>HP 207A Black Original LaserJet Toner Cartridge</t>
  </si>
  <si>
    <t>HP 207A Yellow Original LaserJet Toner Cartridge</t>
  </si>
  <si>
    <t>HP 207A Cyan Original LaserJet Toner Cartridge</t>
  </si>
  <si>
    <t>HP 207A Magenta Original LaserJet Toner Cartridge</t>
  </si>
  <si>
    <t>HP 216A Magenta Original LaserJet Toner Cartridge</t>
  </si>
  <si>
    <t>HP 216A Cyan Original LaserJet Toner Cartridge</t>
  </si>
  <si>
    <t>HP 216A Yellow Original LaserJet Toner Cartridge</t>
  </si>
  <si>
    <t>HP 85A Black Original LaserJet Toner Cartridge</t>
  </si>
  <si>
    <t>HP 17A Black Original LaserJet Toner Cartridge</t>
  </si>
  <si>
    <t>HP 37A Black Original LaserJet Toner Cartridge</t>
  </si>
  <si>
    <t>HP 59A Black Original LaserJet Toner Cartridge</t>
  </si>
  <si>
    <t>HP 205A Black Original LaserJet Toner Cartridge</t>
  </si>
  <si>
    <t>HP 205A Cyan Original LaserJet Toner Cartridge</t>
  </si>
  <si>
    <t>HP 205A Yellow Original LaserJet Toner Cartridge</t>
  </si>
  <si>
    <t>HP 205A Magenta Original LaserJet Toner Cartridge</t>
  </si>
  <si>
    <t>HP 203A Black Original LaserJet Toner Cartridge</t>
  </si>
  <si>
    <t>HP 203A Cyan Original LaserJet Toner Cartridge</t>
  </si>
  <si>
    <t>HP 203A Yellow Original LaserJet Toner Cartridge</t>
  </si>
  <si>
    <t>HP 203A Magenta Original LaserJet Toner Cartridge</t>
  </si>
  <si>
    <t>HP 415A Black Original LaserJet Toner Cartridge</t>
  </si>
  <si>
    <t>HP 415A Cyan Original LaserJet Toner Cartridge</t>
  </si>
  <si>
    <t>HP 415A Yellow Original LaserJet Toner Cartridge</t>
  </si>
  <si>
    <t>HP 415A Magenta Original LaserJet Toner Cartridge</t>
  </si>
  <si>
    <t>HP 216A Black Original LaserJet Toner Cartridge</t>
  </si>
  <si>
    <t>Arrivage</t>
  </si>
  <si>
    <t>Disponible</t>
  </si>
  <si>
    <t>Pas disponible</t>
  </si>
  <si>
    <t>6GQ-01574</t>
  </si>
  <si>
    <t>M365 Family French Subscr 1YR Africa Only Medialeless</t>
  </si>
  <si>
    <t>AP9572</t>
  </si>
  <si>
    <t>E3MUPS60KHB1S</t>
  </si>
  <si>
    <t>CF256A</t>
  </si>
  <si>
    <t>HP 56A Black Original LaserJet Toner Cartridge</t>
  </si>
  <si>
    <t>HP 652 Black Original Ink Advantage Cartridge</t>
  </si>
  <si>
    <t>FQC-10572</t>
  </si>
  <si>
    <t>KW9-00664</t>
  </si>
  <si>
    <t>Microsoft® WIN HOME 11 64-bit All Languages Online Product Key License 1 License Downloadable ESD NR</t>
  </si>
  <si>
    <t>Microsoft® Windows Professional 11 64-bit All Languages Online Product Key License 1 License Downloadable ESD NR</t>
  </si>
  <si>
    <t>Microsoft®365 Bus Standard Retail Mac/Win All Languages Subscription Online Product Key License 1 License Africa Only Downloadable ESD NR 1 Year</t>
  </si>
  <si>
    <t>FQC-10532</t>
  </si>
  <si>
    <t>Win 11 Pro 64Bit French 1pk DSP OEI DVD</t>
  </si>
  <si>
    <t>Windows Svr Std 2022 64Bit French 1pk DSP OEI DVD 16 Core</t>
  </si>
  <si>
    <t>P73-08329</t>
  </si>
  <si>
    <t>Sur commande</t>
  </si>
  <si>
    <t>Windows Svr Datacntr 2022 64Bit French 1pk DSP OEI DVD 16 Core</t>
  </si>
  <si>
    <t>P71-09390</t>
  </si>
  <si>
    <t>Dock</t>
  </si>
  <si>
    <r>
      <t xml:space="preserve">Microsoft® 365 </t>
    </r>
    <r>
      <rPr>
        <b/>
        <sz val="11"/>
        <color theme="1"/>
        <rFont val="Calibri"/>
        <family val="2"/>
        <scheme val="minor"/>
      </rPr>
      <t>Personal</t>
    </r>
    <r>
      <rPr>
        <sz val="11"/>
        <color theme="1"/>
        <rFont val="Calibri"/>
        <family val="2"/>
        <scheme val="minor"/>
      </rPr>
      <t xml:space="preserve"> 32-bit/x64 All Languages Subscription Emerging Market Online Product Key License 1 License Africa Only Downloadable Cli</t>
    </r>
  </si>
  <si>
    <r>
      <t xml:space="preserve">Microsoft® 365 </t>
    </r>
    <r>
      <rPr>
        <b/>
        <sz val="11"/>
        <color theme="1"/>
        <rFont val="Calibri"/>
        <family val="2"/>
        <scheme val="minor"/>
      </rPr>
      <t>Family</t>
    </r>
    <r>
      <rPr>
        <sz val="11"/>
        <color theme="1"/>
        <rFont val="Calibri"/>
        <family val="2"/>
        <scheme val="minor"/>
      </rPr>
      <t xml:space="preserve"> 32-bit/x64 All Languages Sub Online Prod Key 1 Lic Africa Only Downloadable Click to Run NR</t>
    </r>
  </si>
  <si>
    <t>Rack PDU, Basic, Zero U, 16A, 208/230V, 15 x C13 IEC</t>
  </si>
  <si>
    <t>HP Inc. - Consumer</t>
  </si>
  <si>
    <t>HP Inc. - Printers et Scanners</t>
  </si>
  <si>
    <t xml:space="preserve">Imprimante </t>
  </si>
  <si>
    <t>Scanner</t>
  </si>
  <si>
    <t>W1360A</t>
  </si>
  <si>
    <t>MFP</t>
  </si>
  <si>
    <r>
      <t xml:space="preserve">HP </t>
    </r>
    <r>
      <rPr>
        <b/>
        <sz val="11"/>
        <color theme="1"/>
        <rFont val="Calibri"/>
        <family val="2"/>
        <scheme val="minor"/>
      </rPr>
      <t>Color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Laser</t>
    </r>
    <r>
      <rPr>
        <sz val="11"/>
        <color theme="1"/>
        <rFont val="Calibri"/>
        <family val="2"/>
        <scheme val="minor"/>
      </rPr>
      <t xml:space="preserve"> MFP </t>
    </r>
    <r>
      <rPr>
        <b/>
        <sz val="11"/>
        <color theme="1"/>
        <rFont val="Calibri"/>
        <family val="2"/>
        <scheme val="minor"/>
      </rPr>
      <t>178nw</t>
    </r>
    <r>
      <rPr>
        <sz val="11"/>
        <color theme="1"/>
        <rFont val="Calibri"/>
        <family val="2"/>
        <scheme val="minor"/>
      </rPr>
      <t xml:space="preserve"> Printer, Copier, Scanner, 18 ppm N/B, 4 ppm Couleur, </t>
    </r>
    <r>
      <rPr>
        <b/>
        <sz val="11"/>
        <color theme="1"/>
        <rFont val="Calibri"/>
        <family val="2"/>
        <scheme val="minor"/>
      </rPr>
      <t>A4</t>
    </r>
    <r>
      <rPr>
        <sz val="11"/>
        <color theme="1"/>
        <rFont val="Calibri"/>
        <family val="2"/>
        <scheme val="minor"/>
      </rPr>
      <t>, Entrée/Sortie - 150/50 papiers, USB, RJ45, WIFI, Mobile Printing.</t>
    </r>
  </si>
  <si>
    <t>HP PRINT</t>
  </si>
  <si>
    <t>Services</t>
  </si>
  <si>
    <t>Service 0-10</t>
  </si>
  <si>
    <t>Service 10-20</t>
  </si>
  <si>
    <t>Service 20-30</t>
  </si>
  <si>
    <t>Service 30-80</t>
  </si>
  <si>
    <t>Service-Mono</t>
  </si>
  <si>
    <t>Service-Tri</t>
  </si>
  <si>
    <t>Triphasé*</t>
  </si>
  <si>
    <t>Mono F</t>
  </si>
  <si>
    <t>Laser Monochrome</t>
  </si>
  <si>
    <t>Laser Couleur</t>
  </si>
  <si>
    <r>
      <t xml:space="preserve">HP </t>
    </r>
    <r>
      <rPr>
        <b/>
        <sz val="11"/>
        <color theme="1"/>
        <rFont val="Calibri"/>
        <family val="2"/>
        <scheme val="minor"/>
      </rPr>
      <t>OfficeJet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Pro 7740</t>
    </r>
    <r>
      <rPr>
        <sz val="11"/>
        <color theme="1"/>
        <rFont val="Calibri"/>
        <family val="2"/>
        <scheme val="minor"/>
      </rPr>
      <t xml:space="preserve"> WF AiO Printer, Copier, Scanner, 22 ppm N/B, 18 ppm Couleur, 11 ppm duplex, </t>
    </r>
    <r>
      <rPr>
        <b/>
        <sz val="11"/>
        <color theme="1"/>
        <rFont val="Calibri"/>
        <family val="2"/>
        <scheme val="minor"/>
      </rPr>
      <t>A3</t>
    </r>
    <r>
      <rPr>
        <sz val="11"/>
        <color theme="1"/>
        <rFont val="Calibri"/>
        <family val="2"/>
        <scheme val="minor"/>
      </rPr>
      <t>, MFP, Fax, USB, RJ45, WIFI, Mobile Printing, Entrée/Sortie - 250/75 papiers, ADF - 35 papiers.</t>
    </r>
  </si>
  <si>
    <t>Module de RAM Kingston-4Go-DDR4 SDRAM-2666Mhz DDR4-2666/PC4-2</t>
  </si>
  <si>
    <t>KCP426NS6/4</t>
  </si>
  <si>
    <t>KINGSTON 8GB DDR4 2666MHz SODIMM</t>
  </si>
  <si>
    <t>KCP426SS8/8</t>
  </si>
  <si>
    <t>Kingston - Desktop</t>
  </si>
  <si>
    <t>Kingston - Laptop</t>
  </si>
  <si>
    <t>Kingston - Serveur</t>
  </si>
  <si>
    <r>
      <t xml:space="preserve">APC Easy UPS SRV </t>
    </r>
    <r>
      <rPr>
        <b/>
        <sz val="11"/>
        <color theme="1"/>
        <rFont val="Calibri"/>
        <family val="2"/>
        <scheme val="minor"/>
      </rPr>
      <t>3 000VA</t>
    </r>
    <r>
      <rPr>
        <sz val="11"/>
        <color theme="1"/>
        <rFont val="Calibri"/>
        <family val="2"/>
        <scheme val="minor"/>
      </rPr>
      <t xml:space="preserve"> 230V, 6 x IEC Sockets</t>
    </r>
  </si>
  <si>
    <r>
      <t xml:space="preserve">APC Easy UPS SRV </t>
    </r>
    <r>
      <rPr>
        <b/>
        <sz val="11"/>
        <color theme="1"/>
        <rFont val="Calibri"/>
        <family val="2"/>
        <scheme val="minor"/>
      </rPr>
      <t>2 000VA</t>
    </r>
    <r>
      <rPr>
        <sz val="11"/>
        <color theme="1"/>
        <rFont val="Calibri"/>
        <family val="2"/>
        <scheme val="minor"/>
      </rPr>
      <t xml:space="preserve"> 230V, 4 x IEC Sockets</t>
    </r>
  </si>
  <si>
    <r>
      <t xml:space="preserve">APC Easy UPS SRV </t>
    </r>
    <r>
      <rPr>
        <b/>
        <sz val="11"/>
        <color theme="1"/>
        <rFont val="Calibri"/>
        <family val="2"/>
        <scheme val="minor"/>
      </rPr>
      <t xml:space="preserve">3 000VA </t>
    </r>
    <r>
      <rPr>
        <sz val="11"/>
        <color theme="1"/>
        <rFont val="Calibri"/>
        <family val="2"/>
        <scheme val="minor"/>
      </rPr>
      <t xml:space="preserve">230V, </t>
    </r>
    <r>
      <rPr>
        <b/>
        <sz val="11"/>
        <color theme="1"/>
        <rFont val="Calibri"/>
        <family val="2"/>
        <scheme val="minor"/>
      </rPr>
      <t>Rack</t>
    </r>
    <r>
      <rPr>
        <sz val="11"/>
        <color theme="1"/>
        <rFont val="Calibri"/>
        <family val="2"/>
        <scheme val="minor"/>
      </rPr>
      <t xml:space="preserve">, 2U, 6 x IEC Scokets, 1.5 m Cordon detaché </t>
    </r>
  </si>
  <si>
    <r>
      <t xml:space="preserve">APC Easy UPS SMV </t>
    </r>
    <r>
      <rPr>
        <b/>
        <sz val="11"/>
        <color theme="1"/>
        <rFont val="Calibri"/>
        <family val="2"/>
        <scheme val="minor"/>
      </rPr>
      <t>3 000VA</t>
    </r>
    <r>
      <rPr>
        <sz val="11"/>
        <color theme="1"/>
        <rFont val="Calibri"/>
        <family val="2"/>
        <scheme val="minor"/>
      </rPr>
      <t xml:space="preserve"> 230V, ACR, 6 x IEC Sockets, cordon detaché</t>
    </r>
  </si>
  <si>
    <r>
      <t xml:space="preserve">APC Easy UPS </t>
    </r>
    <r>
      <rPr>
        <b/>
        <sz val="11"/>
        <color theme="1"/>
        <rFont val="Calibri"/>
        <family val="2"/>
        <scheme val="minor"/>
      </rPr>
      <t>2 200VA</t>
    </r>
    <r>
      <rPr>
        <sz val="11"/>
        <color theme="1"/>
        <rFont val="Calibri"/>
        <family val="2"/>
        <scheme val="minor"/>
      </rPr>
      <t>, 230V, AVR, 6 x IEC Sockets, 1.2 m cordon detaché</t>
    </r>
  </si>
  <si>
    <r>
      <t xml:space="preserve">APC Easy SMV </t>
    </r>
    <r>
      <rPr>
        <b/>
        <sz val="11"/>
        <color theme="1"/>
        <rFont val="Calibri"/>
        <family val="2"/>
        <scheme val="minor"/>
      </rPr>
      <t>2 000VA</t>
    </r>
    <r>
      <rPr>
        <sz val="11"/>
        <color theme="1"/>
        <rFont val="Calibri"/>
        <family val="2"/>
        <scheme val="minor"/>
      </rPr>
      <t xml:space="preserve"> 230V, AVR, 6 x IEC Sockets, cordon detaché</t>
    </r>
  </si>
  <si>
    <t>Monophasé</t>
  </si>
  <si>
    <r>
      <t xml:space="preserve">APC Easy UPS SRV </t>
    </r>
    <r>
      <rPr>
        <b/>
        <sz val="11"/>
        <color theme="1"/>
        <rFont val="Calibri"/>
        <family val="2"/>
        <scheme val="minor"/>
      </rPr>
      <t>10 000VA</t>
    </r>
    <r>
      <rPr>
        <sz val="11"/>
        <color theme="1"/>
        <rFont val="Calibri"/>
        <family val="2"/>
        <scheme val="minor"/>
      </rPr>
      <t xml:space="preserve"> 230V, </t>
    </r>
    <r>
      <rPr>
        <b/>
        <sz val="11"/>
        <color theme="1"/>
        <rFont val="Calibri"/>
        <family val="2"/>
        <scheme val="minor"/>
      </rPr>
      <t>Tour</t>
    </r>
    <r>
      <rPr>
        <sz val="11"/>
        <color theme="1"/>
        <rFont val="Calibri"/>
        <family val="2"/>
        <scheme val="minor"/>
      </rPr>
      <t>, 1 x Hard wire 3-wire (H N + E)</t>
    </r>
  </si>
  <si>
    <t>E3SUPS10KHB1</t>
  </si>
  <si>
    <t>T5D-03523</t>
  </si>
  <si>
    <t>Office Home and Business 2021 French Africa Only</t>
  </si>
  <si>
    <t>Laptop - Consumer</t>
  </si>
  <si>
    <t>Laptop - Commercial</t>
  </si>
  <si>
    <t>358T6EA/BH4</t>
  </si>
  <si>
    <t>3YM62AE</t>
  </si>
  <si>
    <t>3YM63AE</t>
  </si>
  <si>
    <t>HP 305XL High Yield Black Original Ink Cartridge</t>
  </si>
  <si>
    <t>HP 305XL High Yield Tri-color Original Ink Cartridge</t>
  </si>
  <si>
    <t>CE400A</t>
  </si>
  <si>
    <t>CE401A</t>
  </si>
  <si>
    <t>HP 507A Black Original LaserJet Toner Cartridge</t>
  </si>
  <si>
    <t>HP 507A Cyan Original LaserJet Toner Cartridge</t>
  </si>
  <si>
    <t>CH561HE</t>
  </si>
  <si>
    <t>HP 136A Black Original LaserJet Toner Cartridge</t>
  </si>
  <si>
    <t>HP 147A Black LaserJet Toner Cartridge</t>
  </si>
  <si>
    <t>CH562HE</t>
  </si>
  <si>
    <t>HP 122 Tri-color Original Ink Cartridge</t>
  </si>
  <si>
    <t>BV1000I-GR</t>
  </si>
  <si>
    <t>inserez le nom du partenaire</t>
  </si>
  <si>
    <t>CE278A/SER</t>
  </si>
  <si>
    <t>CF226A/SER</t>
  </si>
  <si>
    <t>CF280A/SER</t>
  </si>
  <si>
    <t>CE412A/SER</t>
  </si>
  <si>
    <t>CE411A/SER</t>
  </si>
  <si>
    <t>CF283A/SER</t>
  </si>
  <si>
    <t>CF350A/SER</t>
  </si>
  <si>
    <t>CF351A/SER</t>
  </si>
  <si>
    <t>CF352A/SER</t>
  </si>
  <si>
    <t>CF353A/SER</t>
  </si>
  <si>
    <t>CF543A/SER</t>
  </si>
  <si>
    <t>CE410A/SER</t>
  </si>
  <si>
    <t>CE413A/SER</t>
  </si>
  <si>
    <t>CE505A/SER</t>
  </si>
  <si>
    <t>CF410A/SER</t>
  </si>
  <si>
    <t>W2000A/SER</t>
  </si>
  <si>
    <t>CF542A/SER</t>
  </si>
  <si>
    <t>Kingston SSD</t>
  </si>
  <si>
    <t>CF541A/SER</t>
  </si>
  <si>
    <t>HP Color LaserJet Pro M452 Printer series, HP Color LaserJet Pro MFP M477 series</t>
  </si>
  <si>
    <t>CE313A/SER</t>
  </si>
  <si>
    <t>CF411A/SER</t>
  </si>
  <si>
    <t>CF413A/SER</t>
  </si>
  <si>
    <t>HP 410A Cyan Original LaserJet Toner Cartridge</t>
  </si>
  <si>
    <t>HP 410A Yellow Original LaserJet Toner Cartridge</t>
  </si>
  <si>
    <t>HP 410A Magenta ORIGINAL LASERJET TONER Cartridge</t>
  </si>
  <si>
    <t>KCP432SS8/16</t>
  </si>
  <si>
    <t>KINGSTON 16Go DDR4 3200MHz Single Rank SODIMM</t>
  </si>
  <si>
    <t>Total HT</t>
  </si>
  <si>
    <t>PM5-FR</t>
  </si>
  <si>
    <t>Promo</t>
  </si>
  <si>
    <t>Mise en service et Enregistrement des onduleurs APC Triphasés de 30 - 80 Kva</t>
  </si>
  <si>
    <t>Mise en service et Enregistrement des onduleurs APC Triphasés de 20 - 30 Kva</t>
  </si>
  <si>
    <t>Mise en service et Enregistrement des onduleurs APC Triphasés de 10 - 20 Kva</t>
  </si>
  <si>
    <t>Mise en service et Enregistrement des onduleurs APC Monophasés de 0 - 10 Kva</t>
  </si>
  <si>
    <t>HP DeskJet 2700, 2730, 4100 HP ENVY 6000e</t>
  </si>
  <si>
    <t>ThinkVision 21.5" S22e-20 (1920x1080) HDMI, VGA Monitor</t>
  </si>
  <si>
    <t>KINGSTON 32Go DDR4-3200MHz Reg ECC Module</t>
  </si>
  <si>
    <t>Prodesk</t>
  </si>
  <si>
    <t xml:space="preserve">ACCESSOIRES </t>
  </si>
  <si>
    <t xml:space="preserve">ACCESSOIRES - UPS and Rack </t>
  </si>
  <si>
    <t>4X90S91831</t>
  </si>
  <si>
    <t>Adaptateur</t>
  </si>
  <si>
    <t>SNV2S/1000G</t>
  </si>
  <si>
    <t>KINGSTON 1000Go NV2 M.2 2280 PCle 4.0 NVMe SSD</t>
  </si>
  <si>
    <t>KINGSTON 500Go NV2 M.2 2280 PCle 4.0 NVMe SSD</t>
  </si>
  <si>
    <t>SNV2S/500G</t>
  </si>
  <si>
    <t>E3SBTH4</t>
  </si>
  <si>
    <t>HP Inc</t>
  </si>
  <si>
    <t>BV650I-GR</t>
  </si>
  <si>
    <t>SRV6KRI</t>
  </si>
  <si>
    <r>
      <t xml:space="preserve">APC Easy UPS SRV </t>
    </r>
    <r>
      <rPr>
        <b/>
        <sz val="11"/>
        <color theme="1"/>
        <rFont val="Calibri"/>
        <family val="2"/>
        <scheme val="minor"/>
      </rPr>
      <t>Rack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 xml:space="preserve">6000VA </t>
    </r>
    <r>
      <rPr>
        <sz val="11"/>
        <color theme="1"/>
        <rFont val="Calibri"/>
        <family val="2"/>
        <scheme val="minor"/>
      </rPr>
      <t>230V, 1 x Hard wire 3-wire (H N + E)</t>
    </r>
  </si>
  <si>
    <r>
      <t xml:space="preserve">APC Easy UPS </t>
    </r>
    <r>
      <rPr>
        <b/>
        <sz val="11"/>
        <color theme="1"/>
        <rFont val="Calibri"/>
        <family val="2"/>
        <scheme val="minor"/>
      </rPr>
      <t>BV 650VA</t>
    </r>
    <r>
      <rPr>
        <sz val="11"/>
        <color theme="1"/>
        <rFont val="Calibri"/>
        <family val="2"/>
        <scheme val="minor"/>
      </rPr>
      <t>, AVR, (4) Schuko CEE-7 Outlet, 230V, 1,5 m cordon integré</t>
    </r>
  </si>
  <si>
    <r>
      <t xml:space="preserve">APC Easy UPS </t>
    </r>
    <r>
      <rPr>
        <b/>
        <sz val="11"/>
        <color theme="1"/>
        <rFont val="Calibri"/>
        <family val="2"/>
        <scheme val="minor"/>
      </rPr>
      <t>BV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1 000VA</t>
    </r>
    <r>
      <rPr>
        <sz val="11"/>
        <color theme="1"/>
        <rFont val="Calibri"/>
        <family val="2"/>
        <scheme val="minor"/>
      </rPr>
      <t xml:space="preserve">, AVR, 6 x </t>
    </r>
    <r>
      <rPr>
        <b/>
        <sz val="11"/>
        <color theme="1"/>
        <rFont val="Calibri"/>
        <family val="2"/>
        <scheme val="minor"/>
      </rPr>
      <t>IEC</t>
    </r>
    <r>
      <rPr>
        <sz val="11"/>
        <color theme="1"/>
        <rFont val="Calibri"/>
        <family val="2"/>
        <scheme val="minor"/>
      </rPr>
      <t xml:space="preserve"> Outlet, 230V, 1,5 m cordon integré</t>
    </r>
  </si>
  <si>
    <r>
      <t xml:space="preserve">APC Easy UPS </t>
    </r>
    <r>
      <rPr>
        <b/>
        <sz val="11"/>
        <color theme="1"/>
        <rFont val="Calibri"/>
        <family val="2"/>
        <scheme val="minor"/>
      </rPr>
      <t>BV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1 000VA</t>
    </r>
    <r>
      <rPr>
        <sz val="11"/>
        <color theme="1"/>
        <rFont val="Calibri"/>
        <family val="2"/>
        <scheme val="minor"/>
      </rPr>
      <t xml:space="preserve">, AVR, 4 x </t>
    </r>
    <r>
      <rPr>
        <b/>
        <sz val="11"/>
        <color theme="1"/>
        <rFont val="Calibri"/>
        <family val="2"/>
        <scheme val="minor"/>
      </rPr>
      <t>Schuko</t>
    </r>
    <r>
      <rPr>
        <sz val="11"/>
        <color theme="1"/>
        <rFont val="Calibri"/>
        <family val="2"/>
        <scheme val="minor"/>
      </rPr>
      <t xml:space="preserve"> Outlet, 230V, 1,5 m cordon integré</t>
    </r>
  </si>
  <si>
    <t>SMV1500AI</t>
  </si>
  <si>
    <r>
      <t>APC Easy SMV 1</t>
    </r>
    <r>
      <rPr>
        <b/>
        <sz val="11"/>
        <color theme="1"/>
        <rFont val="Calibri"/>
        <family val="2"/>
        <scheme val="minor"/>
      </rPr>
      <t xml:space="preserve"> 500VA</t>
    </r>
    <r>
      <rPr>
        <sz val="11"/>
        <color theme="1"/>
        <rFont val="Calibri"/>
        <family val="2"/>
        <scheme val="minor"/>
      </rPr>
      <t xml:space="preserve"> 230V, AVR, 6 x IEC Sockets, cordon detaché</t>
    </r>
  </si>
  <si>
    <t>BX</t>
  </si>
  <si>
    <t>BX2200MI-GR</t>
  </si>
  <si>
    <t>P28586-B21</t>
  </si>
  <si>
    <t>P28610-B21</t>
  </si>
  <si>
    <t>P38995-B21</t>
  </si>
  <si>
    <r>
      <t xml:space="preserve">HPE 1.2TB SAS 10K SFF BC MV HDD Pour </t>
    </r>
    <r>
      <rPr>
        <b/>
        <sz val="11"/>
        <color rgb="FFFF0000"/>
        <rFont val="Calibri"/>
        <family val="2"/>
        <scheme val="minor"/>
      </rPr>
      <t>Gen 10 Plus</t>
    </r>
  </si>
  <si>
    <r>
      <t xml:space="preserve">HPE 1TB SATA 7.2K SFF BC HDD Pour </t>
    </r>
    <r>
      <rPr>
        <b/>
        <sz val="11"/>
        <color rgb="FFFF0000"/>
        <rFont val="Calibri"/>
        <family val="2"/>
        <scheme val="minor"/>
      </rPr>
      <t>Gen 10 Plus</t>
    </r>
  </si>
  <si>
    <r>
      <t xml:space="preserve">HPE 800W FS Plat Ht Plg LH PS Kit Pour </t>
    </r>
    <r>
      <rPr>
        <b/>
        <sz val="11"/>
        <color rgb="FFFF0000"/>
        <rFont val="Calibri"/>
        <family val="2"/>
        <scheme val="minor"/>
      </rPr>
      <t>Gen 10 Plus</t>
    </r>
  </si>
  <si>
    <t>SRV10KRI</t>
  </si>
  <si>
    <r>
      <t xml:space="preserve">APC Easy UPS SRV </t>
    </r>
    <r>
      <rPr>
        <b/>
        <sz val="11"/>
        <color theme="1"/>
        <rFont val="Calibri"/>
        <family val="2"/>
        <scheme val="minor"/>
      </rPr>
      <t>RM 10 000VA</t>
    </r>
    <r>
      <rPr>
        <sz val="11"/>
        <color theme="1"/>
        <rFont val="Calibri"/>
        <family val="2"/>
        <scheme val="minor"/>
      </rPr>
      <t xml:space="preserve"> 230V, </t>
    </r>
    <r>
      <rPr>
        <b/>
        <sz val="11"/>
        <color theme="1"/>
        <rFont val="Calibri"/>
        <family val="2"/>
        <scheme val="minor"/>
      </rPr>
      <t>Rack</t>
    </r>
    <r>
      <rPr>
        <sz val="11"/>
        <color theme="1"/>
        <rFont val="Calibri"/>
        <family val="2"/>
        <scheme val="minor"/>
      </rPr>
      <t>,  Hard wire 3-wire (1P + N + E) 1</t>
    </r>
  </si>
  <si>
    <r>
      <t xml:space="preserve">Rack PDU 2G, </t>
    </r>
    <r>
      <rPr>
        <b/>
        <sz val="11"/>
        <color theme="1"/>
        <rFont val="Calibri"/>
        <family val="2"/>
        <scheme val="minor"/>
      </rPr>
      <t>Metered</t>
    </r>
    <r>
      <rPr>
        <sz val="11"/>
        <color theme="1"/>
        <rFont val="Calibri"/>
        <family val="2"/>
        <scheme val="minor"/>
      </rPr>
      <t>, ZeroU, 32A, 230V, 36 x C13 IEC, 6 x C19 IEC Socket</t>
    </r>
  </si>
  <si>
    <t>CF217A/SER</t>
  </si>
  <si>
    <t>F6V24AE/BHL</t>
  </si>
  <si>
    <t>F6V25AE/BHL</t>
  </si>
  <si>
    <t>W2070A</t>
  </si>
  <si>
    <t>HP 117A Black Original Laser Toner Cartridge</t>
  </si>
  <si>
    <t>HP 117A Cyan Original Laser Toner Cartridge</t>
  </si>
  <si>
    <t>HP 117A Yellow Original Laser Toner Cartridge</t>
  </si>
  <si>
    <t>HP 117A Magenta Original Laser Toner Cartridge</t>
  </si>
  <si>
    <r>
      <t xml:space="preserve">Cable: Lenovo </t>
    </r>
    <r>
      <rPr>
        <b/>
        <sz val="11"/>
        <color theme="1"/>
        <rFont val="Calibri"/>
        <family val="2"/>
        <scheme val="minor"/>
      </rPr>
      <t xml:space="preserve">USB-C </t>
    </r>
    <r>
      <rPr>
        <sz val="11"/>
        <color theme="1"/>
        <rFont val="Calibri"/>
        <family val="2"/>
        <scheme val="minor"/>
      </rPr>
      <t>to Ethernet Adapter</t>
    </r>
  </si>
  <si>
    <t>R18-06431</t>
  </si>
  <si>
    <t>Windows Server CAL 2022 French 1pk DSP OEI 5 Clt Device CAL</t>
  </si>
  <si>
    <t>R18-06413</t>
  </si>
  <si>
    <t>Windows Server CAL 2022 French 1pk DSP OEI 1 Clt Device CAL</t>
  </si>
  <si>
    <t>R18-06467</t>
  </si>
  <si>
    <t>R18-06449</t>
  </si>
  <si>
    <t>Windows Server CAL 2022 French 1pk DSP OEI 5 Clt User CAL</t>
  </si>
  <si>
    <t>Windows Server CAL 2022 French 1pk DSP OEI 1 Clt User CAL</t>
  </si>
  <si>
    <t>Tanguy Gnanzou - BDM</t>
  </si>
  <si>
    <t>Dell Dock WD19S, 130W 3Y</t>
  </si>
  <si>
    <t>P51178-B21</t>
  </si>
  <si>
    <r>
      <t xml:space="preserve">Broadcom 5719 1GB 4 port BASE-T Adprter Pour </t>
    </r>
    <r>
      <rPr>
        <b/>
        <sz val="11"/>
        <color rgb="FFFF0000"/>
        <rFont val="Calibri"/>
        <family val="2"/>
        <scheme val="minor"/>
      </rPr>
      <t>Gen 10 Plus</t>
    </r>
  </si>
  <si>
    <t>Sac</t>
  </si>
  <si>
    <r>
      <t xml:space="preserve">APC Essential </t>
    </r>
    <r>
      <rPr>
        <b/>
        <sz val="11"/>
        <color rgb="FFFF0000"/>
        <rFont val="Calibri"/>
        <family val="2"/>
        <scheme val="minor"/>
      </rPr>
      <t>Parafoudre</t>
    </r>
    <r>
      <rPr>
        <sz val="11"/>
        <color theme="1"/>
        <rFont val="Calibri"/>
        <family val="2"/>
        <scheme val="minor"/>
      </rPr>
      <t xml:space="preserve"> 5 outlets 230V White France</t>
    </r>
  </si>
  <si>
    <t>P28352-B21</t>
  </si>
  <si>
    <t>4X40T84061</t>
  </si>
  <si>
    <t>Case: Lenovo T210 Toploader 15.6 (Black)</t>
  </si>
  <si>
    <t>CZ101AE/BHL</t>
  </si>
  <si>
    <t>HP 305 Tri-color Original Ink Cartridge</t>
  </si>
  <si>
    <t>3YM61AE/UUS</t>
  </si>
  <si>
    <t>HP 305 Black Original Ink Cartridge</t>
  </si>
  <si>
    <t>62C6KAT1EU</t>
  </si>
  <si>
    <r>
      <t xml:space="preserve">HPE 2.4TB SAS 10K SFF BC 512e MV HDD Pour </t>
    </r>
    <r>
      <rPr>
        <b/>
        <sz val="11"/>
        <color rgb="FFFF0000"/>
        <rFont val="Calibri"/>
        <family val="2"/>
        <scheme val="minor"/>
      </rPr>
      <t>Gen 10 Plus</t>
    </r>
  </si>
  <si>
    <t>4ZB96A/B19</t>
  </si>
  <si>
    <t>20G05A/B19</t>
  </si>
  <si>
    <t>20G06A/B19</t>
  </si>
  <si>
    <t>20G07A/B19</t>
  </si>
  <si>
    <t>HP ScanJet Pro 3600 f1 Scanner, 30ppm, A4, USB</t>
  </si>
  <si>
    <t>HP ScanJet Pro 2600 f1 Scanner, 25ppm, A4, USB</t>
  </si>
  <si>
    <t>HP ScanJet Pro N4600 fnw1 Scanner, 40ppm, A4, USB, RJ45, WIFI</t>
  </si>
  <si>
    <t>1KR49B/A80</t>
  </si>
  <si>
    <r>
      <t xml:space="preserve">HP </t>
    </r>
    <r>
      <rPr>
        <b/>
        <sz val="11"/>
        <color theme="1"/>
        <rFont val="Calibri"/>
        <family val="2"/>
        <scheme val="minor"/>
      </rPr>
      <t>OfficeJet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Pro 9013</t>
    </r>
    <r>
      <rPr>
        <sz val="11"/>
        <color theme="1"/>
        <rFont val="Calibri"/>
        <family val="2"/>
        <scheme val="minor"/>
      </rPr>
      <t xml:space="preserve"> AiO Printer, Copier, Scanner, 22 ppm N/B, 18 ppm Couleur, Automatic Duplex, </t>
    </r>
    <r>
      <rPr>
        <b/>
        <sz val="11"/>
        <color theme="1"/>
        <rFont val="Calibri"/>
        <family val="2"/>
        <scheme val="minor"/>
      </rPr>
      <t>A4</t>
    </r>
    <r>
      <rPr>
        <sz val="11"/>
        <color theme="1"/>
        <rFont val="Calibri"/>
        <family val="2"/>
        <scheme val="minor"/>
      </rPr>
      <t>, MFP, Fax, USB, RJ45, WIFI, Mobile Printing, Entrée/Sortie - 225/60 papiers, ADF - 35 papiers.</t>
    </r>
  </si>
  <si>
    <t>7KW74A/B19</t>
  </si>
  <si>
    <t>4ZB84A/B19</t>
  </si>
  <si>
    <r>
      <t xml:space="preserve">HP Laser </t>
    </r>
    <r>
      <rPr>
        <b/>
        <sz val="11"/>
        <color theme="1"/>
        <rFont val="Calibri"/>
        <family val="2"/>
        <scheme val="minor"/>
      </rPr>
      <t>137fnw</t>
    </r>
    <r>
      <rPr>
        <sz val="11"/>
        <color theme="1"/>
        <rFont val="Calibri"/>
        <family val="2"/>
        <scheme val="minor"/>
      </rPr>
      <t xml:space="preserve"> Printer, Copier, Scanner, 20 ppm, 18 ppm Duplex, </t>
    </r>
    <r>
      <rPr>
        <b/>
        <sz val="11"/>
        <color theme="1"/>
        <rFont val="Calibri"/>
        <family val="2"/>
        <scheme val="minor"/>
      </rPr>
      <t>A4</t>
    </r>
    <r>
      <rPr>
        <sz val="11"/>
        <color theme="1"/>
        <rFont val="Calibri"/>
        <family val="2"/>
        <scheme val="minor"/>
      </rPr>
      <t>, MFP, Monochrome N/B, Entrée/Sortie - 150/100 papiers, Fax, WIFI, USB, RJ45, Mobile Print.</t>
    </r>
  </si>
  <si>
    <t>2Z628A/B19</t>
  </si>
  <si>
    <t>2Z629A/B19</t>
  </si>
  <si>
    <r>
      <t xml:space="preserve">HP </t>
    </r>
    <r>
      <rPr>
        <b/>
        <sz val="11"/>
        <color theme="1"/>
        <rFont val="Calibri"/>
        <family val="2"/>
        <scheme val="minor"/>
      </rPr>
      <t>LaserJet Pro MFP 4103fdn</t>
    </r>
    <r>
      <rPr>
        <sz val="11"/>
        <color theme="1"/>
        <rFont val="Calibri"/>
        <family val="2"/>
        <scheme val="minor"/>
      </rPr>
      <t xml:space="preserve"> Printer, Copier, Scanner, 40 ppm, </t>
    </r>
    <r>
      <rPr>
        <b/>
        <sz val="11"/>
        <color theme="1"/>
        <rFont val="Calibri"/>
        <family val="2"/>
        <scheme val="minor"/>
      </rPr>
      <t>A4</t>
    </r>
    <r>
      <rPr>
        <sz val="11"/>
        <color theme="1"/>
        <rFont val="Calibri"/>
        <family val="2"/>
        <scheme val="minor"/>
      </rPr>
      <t>, MFP, Monochrome N/B, Entrée/Sortie - 250/150 papiers, Fax, USB, RJ45, Mobile Print.</t>
    </r>
  </si>
  <si>
    <t>7MD67A/B19</t>
  </si>
  <si>
    <t>7MD74A/B19</t>
  </si>
  <si>
    <r>
      <t xml:space="preserve">HP </t>
    </r>
    <r>
      <rPr>
        <b/>
        <sz val="11"/>
        <color theme="1"/>
        <rFont val="Calibri"/>
        <family val="2"/>
        <scheme val="minor"/>
      </rPr>
      <t>Laser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M141w, MFP</t>
    </r>
    <r>
      <rPr>
        <sz val="11"/>
        <color theme="1"/>
        <rFont val="Calibri"/>
        <family val="2"/>
        <scheme val="minor"/>
      </rPr>
      <t xml:space="preserve"> Printer, Copier, Scanner a Plat, 20 ppm, </t>
    </r>
    <r>
      <rPr>
        <b/>
        <sz val="11"/>
        <color theme="1"/>
        <rFont val="Calibri"/>
        <family val="2"/>
        <scheme val="minor"/>
      </rPr>
      <t>A4</t>
    </r>
    <r>
      <rPr>
        <sz val="11"/>
        <color theme="1"/>
        <rFont val="Calibri"/>
        <family val="2"/>
        <scheme val="minor"/>
      </rPr>
      <t>, Monochrome N/B, Entrée/Sortie - 150/100 papiers, USB, WIFI, Mobile Print.</t>
    </r>
  </si>
  <si>
    <t>mjyasselou@southcomp-polaris.com</t>
  </si>
  <si>
    <t>tgnanzou@southcomp-polaris.com</t>
  </si>
  <si>
    <t>sav-polaris@southcomp-polaris.com</t>
  </si>
  <si>
    <t>KCP432NS6/8</t>
  </si>
  <si>
    <t>KINGSTON 8Go DDR4 3200MHz Single Rank DIMM Module</t>
  </si>
  <si>
    <t xml:space="preserve">sur commande </t>
  </si>
  <si>
    <t>3YM60AE</t>
  </si>
  <si>
    <t>Server Accessoires</t>
  </si>
  <si>
    <t>E9PD7D701EZ1</t>
  </si>
  <si>
    <t>Optoma</t>
  </si>
  <si>
    <t>OPTOMA W381 DLP Video Projector WXGA 1280x800 3900Lumens 25000:1 VGA</t>
  </si>
  <si>
    <t>Armoire</t>
  </si>
  <si>
    <t>E3SXR6</t>
  </si>
  <si>
    <t>APC Easy UPS 3S Modular Battery Cabinet</t>
  </si>
  <si>
    <t>G5J38A/A80</t>
  </si>
  <si>
    <t>E3SUPS20KHB1</t>
  </si>
  <si>
    <t>NIC</t>
  </si>
  <si>
    <t>TS1TMTE400S</t>
  </si>
  <si>
    <t>034317-HD2.4TB</t>
  </si>
  <si>
    <r>
      <t xml:space="preserve">2.4TB 10K RPM SAS ISE 12Gbps 512e 2.5in Hot-plug Hard Drive, 3.5in HY Pour </t>
    </r>
    <r>
      <rPr>
        <b/>
        <sz val="11"/>
        <color theme="1"/>
        <rFont val="Calibri"/>
        <family val="2"/>
        <scheme val="minor"/>
      </rPr>
      <t>Poweredge R750</t>
    </r>
  </si>
  <si>
    <t>034318-HD1.2TB</t>
  </si>
  <si>
    <r>
      <t xml:space="preserve">1.2TB 10K RPM SAS ISE 12Gbps 512n 2.5in Hot-plug Hard Drive, 3.5in HY Pour </t>
    </r>
    <r>
      <rPr>
        <b/>
        <sz val="11"/>
        <color theme="1"/>
        <rFont val="Calibri"/>
        <family val="2"/>
        <scheme val="minor"/>
      </rPr>
      <t>Poweredge R750</t>
    </r>
  </si>
  <si>
    <t>034319-HD480GB</t>
  </si>
  <si>
    <r>
      <t xml:space="preserve">480GB SSD SATA Mixed Use 6Gbps 512e 2.5in with 3.5in HYB CARR, Hot-pl Pour </t>
    </r>
    <r>
      <rPr>
        <b/>
        <sz val="11"/>
        <color theme="1"/>
        <rFont val="Calibri"/>
        <family val="2"/>
        <scheme val="minor"/>
      </rPr>
      <t>Poweredge R750</t>
    </r>
  </si>
  <si>
    <t>034320-HD8TB</t>
  </si>
  <si>
    <r>
      <t xml:space="preserve">8TB 7.2K RPM SATA 6Gbps 512e 3.5in Hot-plug Hard Drive, CK Pour </t>
    </r>
    <r>
      <rPr>
        <b/>
        <sz val="11"/>
        <color theme="1"/>
        <rFont val="Calibri"/>
        <family val="2"/>
        <scheme val="minor"/>
      </rPr>
      <t>Poweredge R750</t>
    </r>
  </si>
  <si>
    <t>7KW75A/B19</t>
  </si>
  <si>
    <t>CZ102AE/BHL</t>
  </si>
  <si>
    <t>KTH-PL432E/32G</t>
  </si>
  <si>
    <t>KINGSTON 32Go DDR4-3200MHz Reg ECC/ ML30/ T150/</t>
  </si>
  <si>
    <t>5HH67A/B19</t>
  </si>
  <si>
    <t xml:space="preserve">Pas disponible </t>
  </si>
  <si>
    <t>HP 963XL High Yield Cyan Original Ink Cartridge</t>
  </si>
  <si>
    <t>HP 963XL High Yield Magenta Original Ink Cartridge</t>
  </si>
  <si>
    <t>HP 963XL High Yield Yellow Original Ink Cartridge</t>
  </si>
  <si>
    <t>HP 963XL High Yield Black Original Ink Cartridge</t>
  </si>
  <si>
    <t>3JA30AE/BGX</t>
  </si>
  <si>
    <t>3JA27AE/BGX</t>
  </si>
  <si>
    <t>3JA28AE/BGX</t>
  </si>
  <si>
    <t>3JA29AE/BGX</t>
  </si>
  <si>
    <t>843266-B21</t>
  </si>
  <si>
    <t xml:space="preserve">HP 1-TB 6G 7.2K NHP SATA </t>
  </si>
  <si>
    <t>SRV20KRILRK</t>
  </si>
  <si>
    <t>SRTGRK1</t>
  </si>
  <si>
    <t>APC SMART-UPS RT 19" Rail Kit For 5k/6k/8k/10k/15k/20kVA</t>
  </si>
  <si>
    <t>Rack mount kit</t>
  </si>
  <si>
    <t>E3SUPS30KHB1</t>
  </si>
  <si>
    <t>AP9544</t>
  </si>
  <si>
    <t>Network Management Card for Easy UPS, 1-Phase</t>
  </si>
  <si>
    <t>EPDU1132B</t>
  </si>
  <si>
    <r>
      <rPr>
        <b/>
        <sz val="11"/>
        <color theme="1"/>
        <rFont val="Calibri"/>
        <family val="2"/>
        <scheme val="minor"/>
      </rPr>
      <t>Easy PDU</t>
    </r>
    <r>
      <rPr>
        <sz val="11"/>
        <color theme="1"/>
        <rFont val="Calibri"/>
        <family val="2"/>
        <scheme val="minor"/>
      </rPr>
      <t xml:space="preserve"> Basic Zero U 32A 230V (20)C13 (4)C19 IEC309</t>
    </r>
  </si>
  <si>
    <t>EPDU1016B</t>
  </si>
  <si>
    <t>EPDU1116B</t>
  </si>
  <si>
    <r>
      <rPr>
        <b/>
        <sz val="11"/>
        <color theme="1"/>
        <rFont val="Calibri"/>
        <family val="2"/>
        <scheme val="minor"/>
      </rPr>
      <t>Easy PDU</t>
    </r>
    <r>
      <rPr>
        <sz val="11"/>
        <color theme="1"/>
        <rFont val="Calibri"/>
        <family val="2"/>
        <scheme val="minor"/>
      </rPr>
      <t xml:space="preserve"> Basic 1U 16A 230V (8)C13</t>
    </r>
  </si>
  <si>
    <r>
      <rPr>
        <b/>
        <sz val="11"/>
        <color theme="1"/>
        <rFont val="Calibri"/>
        <family val="2"/>
        <scheme val="minor"/>
      </rPr>
      <t>Easy PDU</t>
    </r>
    <r>
      <rPr>
        <sz val="11"/>
        <color theme="1"/>
        <rFont val="Calibri"/>
        <family val="2"/>
        <scheme val="minor"/>
      </rPr>
      <t xml:space="preserve"> Basic ZeroU 16A 230V (20)C13 (4)C19 IEC309</t>
    </r>
  </si>
  <si>
    <t>Easy PDU</t>
  </si>
  <si>
    <t>AR3100</t>
  </si>
  <si>
    <t>62C6KAT1EU/G</t>
  </si>
  <si>
    <t>4ZB97A/B19</t>
  </si>
  <si>
    <t>7KW56A/B19</t>
  </si>
  <si>
    <t>9YG09A/B19</t>
  </si>
  <si>
    <r>
      <t xml:space="preserve">HP </t>
    </r>
    <r>
      <rPr>
        <b/>
        <sz val="11"/>
        <color theme="1"/>
        <rFont val="Calibri"/>
        <family val="2"/>
        <scheme val="minor"/>
      </rPr>
      <t>LaserJet Pro MFP 236sdw</t>
    </r>
    <r>
      <rPr>
        <sz val="11"/>
        <color theme="1"/>
        <rFont val="Calibri"/>
        <family val="2"/>
        <scheme val="minor"/>
      </rPr>
      <t xml:space="preserve"> Printer, Copier, Scanner, 29 ppm, </t>
    </r>
    <r>
      <rPr>
        <b/>
        <sz val="11"/>
        <color theme="1"/>
        <rFont val="Calibri"/>
        <family val="2"/>
        <scheme val="minor"/>
      </rPr>
      <t>A4</t>
    </r>
    <r>
      <rPr>
        <sz val="11"/>
        <color theme="1"/>
        <rFont val="Calibri"/>
        <family val="2"/>
        <scheme val="minor"/>
      </rPr>
      <t>, MFP, Monochrome N/B, Entrée/Sortie - 250/150 papiers, Cargeur - 35 papiers, USB, RJ45, Wi-Fi, Mobile Print.</t>
    </r>
  </si>
  <si>
    <r>
      <t xml:space="preserve">APC Easy UPS On-Line </t>
    </r>
    <r>
      <rPr>
        <b/>
        <sz val="11"/>
        <color theme="1"/>
        <rFont val="Calibri"/>
        <family val="2"/>
        <scheme val="minor"/>
      </rPr>
      <t>SRV RM 20kVA</t>
    </r>
    <r>
      <rPr>
        <sz val="11"/>
        <color theme="1"/>
        <rFont val="Calibri"/>
        <family val="2"/>
        <scheme val="minor"/>
      </rPr>
      <t xml:space="preserve"> 230V with Rail kit Batt pack</t>
    </r>
    <r>
      <rPr>
        <b/>
        <sz val="11"/>
        <color rgb="FFFF0000"/>
        <rFont val="Calibri"/>
        <family val="2"/>
        <scheme val="minor"/>
      </rPr>
      <t xml:space="preserve"> + 1 x SRV120RLBP2-9A (Tri-Mono)</t>
    </r>
  </si>
  <si>
    <t>APC NetShelter SX, Server Rack Enclosure, 42U, Black, 1991H x 600W x 1070D mm</t>
  </si>
  <si>
    <t>E3SUPS40KHB1</t>
  </si>
  <si>
    <t>861564-T550</t>
  </si>
  <si>
    <t>CF412A/SER</t>
  </si>
  <si>
    <t>BVX1600LI-GR</t>
  </si>
  <si>
    <r>
      <t xml:space="preserve">APC Easy UPS </t>
    </r>
    <r>
      <rPr>
        <b/>
        <sz val="11"/>
        <color theme="1"/>
        <rFont val="Calibri"/>
        <family val="2"/>
        <scheme val="minor"/>
      </rPr>
      <t>1 600VA</t>
    </r>
    <r>
      <rPr>
        <sz val="11"/>
        <color theme="1"/>
        <rFont val="Calibri"/>
        <family val="2"/>
        <scheme val="minor"/>
      </rPr>
      <t>, 230V, AVR, 4 x Schuko Sockets, 1.2 m cordon detaché</t>
    </r>
  </si>
  <si>
    <t>SRT5KXLI</t>
  </si>
  <si>
    <t>SRT6KXLI</t>
  </si>
  <si>
    <t>APC Smart-UPS SRT 5000VA 230V</t>
  </si>
  <si>
    <t>APC Smart-UPS SRT 6000VA 230V</t>
  </si>
  <si>
    <t>SRTRK2</t>
  </si>
  <si>
    <t>APC Smart-UPS SRT 19" Rail Kit for Smart-UPS SRT 5/6/8/10kVA</t>
  </si>
  <si>
    <t>SRTG5KXLI</t>
  </si>
  <si>
    <t>SRTG6KXLI</t>
  </si>
  <si>
    <t>SRTG10KXLI</t>
  </si>
  <si>
    <t>APC Smart-UPS RT 10kVA 230V</t>
  </si>
  <si>
    <t>APC Smart-UPS RT 6kVA 230V</t>
  </si>
  <si>
    <t>SMART - ONLINE UPS</t>
  </si>
  <si>
    <t>SMV3000AI</t>
  </si>
  <si>
    <t>Ti-Mono</t>
  </si>
  <si>
    <t>SRV</t>
  </si>
  <si>
    <t xml:space="preserve"> Triphase - EASY</t>
  </si>
  <si>
    <t>BX750MI-MS</t>
  </si>
  <si>
    <t>240J6AA/ABB</t>
  </si>
  <si>
    <t>3L1E7AA/ABF</t>
  </si>
  <si>
    <t>K0B38AA/ABB</t>
  </si>
  <si>
    <t>HP 150 Wiired Mouse EURO</t>
  </si>
  <si>
    <t>HP 230 Wireless Keyboard (Black) WW</t>
  </si>
  <si>
    <t>HP 15.6 Essential Topload</t>
  </si>
  <si>
    <t>Souris</t>
  </si>
  <si>
    <t>Sacoche</t>
  </si>
  <si>
    <t>Clavier</t>
  </si>
  <si>
    <t>SRTG8KXLI</t>
  </si>
  <si>
    <t>SRTGRKI</t>
  </si>
  <si>
    <t>5W7U8ES/BH4</t>
  </si>
  <si>
    <t>HP 290 G9 i3-12100 8Go/512Go No-ODD Wifi+BT DOS + P22v G5</t>
  </si>
  <si>
    <t>64X66AS/ABB</t>
  </si>
  <si>
    <t>64X69AS/ABB</t>
  </si>
  <si>
    <t>HP P24 G5 FHD Monitor</t>
  </si>
  <si>
    <t>HP P27 G5 FHD Monitor</t>
  </si>
  <si>
    <t>6U4U4EA/BH4</t>
  </si>
  <si>
    <t xml:space="preserve">HP 400 G9 TWR i5-13500 8Go/512Go SSD DVD-Writer Freedos+P22v G5/vPro </t>
  </si>
  <si>
    <t xml:space="preserve">HP 290 G9 i5-12500 8Go/512Go DVD-RW Realtek AC 2x2 BT 5.0 DOS + P22v </t>
  </si>
  <si>
    <t>HP 400 G9 Mini i5-13500T 8Go/512Go Wifi DOS</t>
  </si>
  <si>
    <t>8A3N6EA/BH4</t>
  </si>
  <si>
    <t>HP Dragonfly G4 i7-1355U 16Go/512Go Touch Natural SIlver</t>
  </si>
  <si>
    <t>FMN-00004</t>
  </si>
  <si>
    <t>Microsoft Surface Pro Type Cover ( M1725) -clavier Azerty</t>
  </si>
  <si>
    <t>Microsoft Surface</t>
  </si>
  <si>
    <t>007236-3000</t>
  </si>
  <si>
    <t>OPT 3000-N T Acceleration i3-12100 4C 4.3GHz 8GB 512GB 8DVD LX 1Y</t>
  </si>
  <si>
    <t>OPT 3000 T CI5-12500 6C 4.6GHz 8GB 512GB 8DVD LX 1Y</t>
  </si>
  <si>
    <t>Optiplex 3000</t>
  </si>
  <si>
    <t>Dell 22 Monitor - E2222H - 54.48cm (21.5") 3Y</t>
  </si>
  <si>
    <t>Dell 22 Monitor - SE2222H - 54.5 cm (21.6") 3Y</t>
  </si>
  <si>
    <t>907570-T350</t>
  </si>
  <si>
    <t>E3MUPS60KHB2S</t>
  </si>
  <si>
    <t>E3SUPS20KHB</t>
  </si>
  <si>
    <r>
      <t xml:space="preserve">Easy UPS 3S </t>
    </r>
    <r>
      <rPr>
        <b/>
        <sz val="11"/>
        <color theme="1"/>
        <rFont val="Calibri"/>
        <family val="2"/>
        <scheme val="minor"/>
      </rPr>
      <t>20 kVA</t>
    </r>
    <r>
      <rPr>
        <sz val="11"/>
        <color theme="1"/>
        <rFont val="Calibri"/>
        <family val="2"/>
        <scheme val="minor"/>
      </rPr>
      <t xml:space="preserve"> 400V 3:3 UPS, </t>
    </r>
    <r>
      <rPr>
        <sz val="11"/>
        <color rgb="FFFF0000"/>
        <rFont val="Calibri"/>
        <family val="2"/>
        <scheme val="minor"/>
      </rPr>
      <t>0 x internal 7Ah modular battery strings</t>
    </r>
    <r>
      <rPr>
        <sz val="11"/>
        <color theme="1"/>
        <rFont val="Calibri"/>
        <family val="2"/>
        <scheme val="minor"/>
      </rPr>
      <t>, expandable to 3</t>
    </r>
  </si>
  <si>
    <t>Easy UPS 3S - Chaîne de batterie - 7,2 Ah</t>
  </si>
  <si>
    <t>Easy UPS 3S - Chaîne de batterie haute capacité - 9Ah</t>
  </si>
  <si>
    <t>SRTG</t>
  </si>
  <si>
    <t>SRT</t>
  </si>
  <si>
    <t>5HH66A/B19</t>
  </si>
  <si>
    <t>Thinkcenter</t>
  </si>
  <si>
    <t>63DFKAT4EU</t>
  </si>
  <si>
    <t>M.Bohoussou@southcomp-polaris.com</t>
  </si>
  <si>
    <t>Marie Josée - Inside Sales Stock</t>
  </si>
  <si>
    <t>Marie Noelle - Inside Sales Projet</t>
  </si>
  <si>
    <t>Yassine Drioui - Product Specialist DELL</t>
  </si>
  <si>
    <t>y.drioui@southcomp-polaris.com</t>
  </si>
  <si>
    <t>ThinkPad</t>
  </si>
  <si>
    <r>
      <rPr>
        <b/>
        <sz val="11"/>
        <rFont val="Calibri"/>
        <family val="2"/>
        <scheme val="minor"/>
      </rPr>
      <t xml:space="preserve">Contact: Tanguy Gnanzou </t>
    </r>
    <r>
      <rPr>
        <u/>
        <sz val="11"/>
        <color indexed="12"/>
        <rFont val="Calibri"/>
        <family val="2"/>
        <scheme val="minor"/>
      </rPr>
      <t>G.gnanzou@southcomp-polaris.com</t>
    </r>
  </si>
  <si>
    <r>
      <rPr>
        <sz val="11"/>
        <rFont val="Calibri"/>
        <family val="2"/>
        <scheme val="minor"/>
      </rPr>
      <t>Contact</t>
    </r>
    <r>
      <rPr>
        <b/>
        <sz val="11"/>
        <rFont val="Calibri"/>
        <family val="2"/>
        <scheme val="minor"/>
      </rPr>
      <t xml:space="preserve">: Marie Noelle </t>
    </r>
    <r>
      <rPr>
        <u/>
        <sz val="11"/>
        <color indexed="12"/>
        <rFont val="Calibri"/>
        <family val="2"/>
        <scheme val="minor"/>
      </rPr>
      <t>M.Bohoussou@southcomp-polaris.com</t>
    </r>
  </si>
  <si>
    <r>
      <rPr>
        <sz val="11"/>
        <rFont val="Calibri"/>
        <family val="2"/>
        <scheme val="minor"/>
      </rPr>
      <t>Contact</t>
    </r>
    <r>
      <rPr>
        <b/>
        <sz val="11"/>
        <rFont val="Calibri"/>
        <family val="2"/>
        <scheme val="minor"/>
      </rPr>
      <t xml:space="preserve">: Marie Jose </t>
    </r>
    <r>
      <rPr>
        <u/>
        <sz val="11"/>
        <color indexed="12"/>
        <rFont val="Calibri"/>
        <family val="2"/>
        <scheme val="minor"/>
      </rPr>
      <t>mjyasselou@southcomp-polaris.com</t>
    </r>
  </si>
  <si>
    <r>
      <rPr>
        <sz val="11"/>
        <rFont val="Calibri"/>
        <family val="2"/>
        <scheme val="minor"/>
      </rPr>
      <t>Contact</t>
    </r>
    <r>
      <rPr>
        <b/>
        <sz val="11"/>
        <rFont val="Calibri"/>
        <family val="2"/>
        <scheme val="minor"/>
      </rPr>
      <t xml:space="preserve">: Tanguy Gnanzou </t>
    </r>
    <r>
      <rPr>
        <u/>
        <sz val="11"/>
        <color indexed="12"/>
        <rFont val="Calibri"/>
        <family val="2"/>
        <scheme val="minor"/>
      </rPr>
      <t>G.gnanzou@southcomp-polaris.com</t>
    </r>
  </si>
  <si>
    <r>
      <rPr>
        <sz val="11"/>
        <rFont val="Calibri"/>
        <family val="2"/>
        <scheme val="minor"/>
      </rPr>
      <t>Contact:</t>
    </r>
    <r>
      <rPr>
        <b/>
        <sz val="11"/>
        <rFont val="Calibri"/>
        <family val="2"/>
        <scheme val="minor"/>
      </rPr>
      <t xml:space="preserve"> Yassine Drioui </t>
    </r>
    <r>
      <rPr>
        <u/>
        <sz val="11"/>
        <color indexed="12"/>
        <rFont val="Calibri"/>
        <family val="2"/>
        <scheme val="minor"/>
      </rPr>
      <t>y.drioui@southcomp-polaris.com</t>
    </r>
  </si>
  <si>
    <t>Tanguy Gnanzou</t>
  </si>
  <si>
    <t>G.gnanzou@southcomp-polaris.com</t>
  </si>
  <si>
    <t>Marie Jose</t>
  </si>
  <si>
    <t xml:space="preserve">mjyasselou@southcomp-polaris.com </t>
  </si>
  <si>
    <t>DELL Technologies</t>
  </si>
  <si>
    <t>Yassine Drioui</t>
  </si>
  <si>
    <t xml:space="preserve">y.drioui@southcomp-polaris.com </t>
  </si>
  <si>
    <t>Marie Noelle</t>
  </si>
  <si>
    <t>Microsoft / Divers</t>
  </si>
  <si>
    <t>E3MUPS100KHS</t>
  </si>
  <si>
    <t>E3MUPS120KHS</t>
  </si>
  <si>
    <t>Easy UPS 3M 120kVA 400V 3:3 UPS for external batteries</t>
  </si>
  <si>
    <t>APC Easy UPS 3M 100kVA 400V 3:3 UPS for external batteries</t>
  </si>
  <si>
    <t>E3SUPS10KHB</t>
  </si>
  <si>
    <r>
      <t xml:space="preserve">Easy UPS 3S </t>
    </r>
    <r>
      <rPr>
        <b/>
        <sz val="11"/>
        <color theme="1"/>
        <rFont val="Calibri"/>
        <family val="2"/>
        <scheme val="minor"/>
      </rPr>
      <t>10 kVA</t>
    </r>
    <r>
      <rPr>
        <sz val="11"/>
        <color theme="1"/>
        <rFont val="Calibri"/>
        <family val="2"/>
        <scheme val="minor"/>
      </rPr>
      <t xml:space="preserve"> 400V 3:3 UPS, </t>
    </r>
    <r>
      <rPr>
        <sz val="11"/>
        <color rgb="FFFF0101"/>
        <rFont val="Calibri"/>
        <family val="2"/>
        <scheme val="minor"/>
      </rPr>
      <t>0 x internal 7Ah modular battery string</t>
    </r>
    <r>
      <rPr>
        <sz val="11"/>
        <color theme="1"/>
        <rFont val="Calibri"/>
        <family val="2"/>
        <scheme val="minor"/>
      </rPr>
      <t>, expandable to 3</t>
    </r>
  </si>
  <si>
    <t>SMV1500AI-GR</t>
  </si>
  <si>
    <t>APC Easy UPS SMV 1500VA, Schuko Outlet, 230V</t>
  </si>
  <si>
    <t>SMV2000AI-GR</t>
  </si>
  <si>
    <t>APC Easy UPS SMV 2000VA, Schuko Outlet, 230V</t>
  </si>
  <si>
    <t>SMV3000AI-GR</t>
  </si>
  <si>
    <t>APC Easy UPS SMV 3000VA, Schuko Outlet, 230V</t>
  </si>
  <si>
    <t>SRV1KI</t>
  </si>
  <si>
    <t>APC EASY UPS SRV 1000 VA 230V</t>
  </si>
  <si>
    <t>SRV10KIL</t>
  </si>
  <si>
    <r>
      <t xml:space="preserve">APC Easy UPS SRV 10000VA 230V </t>
    </r>
    <r>
      <rPr>
        <b/>
        <sz val="11"/>
        <color rgb="FFFF0101"/>
        <rFont val="Calibri"/>
        <family val="2"/>
        <scheme val="minor"/>
      </rPr>
      <t>with External Battery Pack</t>
    </r>
  </si>
  <si>
    <t>E3SUPS30KHB</t>
  </si>
  <si>
    <r>
      <t xml:space="preserve">Easy UPS 3S </t>
    </r>
    <r>
      <rPr>
        <b/>
        <sz val="11"/>
        <color theme="1"/>
        <rFont val="Calibri"/>
        <family val="2"/>
        <scheme val="minor"/>
      </rPr>
      <t>30 kVA</t>
    </r>
    <r>
      <rPr>
        <sz val="11"/>
        <color theme="1"/>
        <rFont val="Calibri"/>
        <family val="2"/>
        <scheme val="minor"/>
      </rPr>
      <t xml:space="preserve"> 400V 3:3 UPS,</t>
    </r>
    <r>
      <rPr>
        <sz val="11"/>
        <color rgb="FFFF0101"/>
        <rFont val="Calibri"/>
        <family val="2"/>
        <scheme val="minor"/>
      </rPr>
      <t xml:space="preserve"> 0 x internal 7Ah modular battery strings</t>
    </r>
    <r>
      <rPr>
        <sz val="11"/>
        <color theme="1"/>
        <rFont val="Calibri"/>
        <family val="2"/>
        <scheme val="minor"/>
      </rPr>
      <t>, expandable to 4</t>
    </r>
  </si>
  <si>
    <t>E3MCBC10A</t>
  </si>
  <si>
    <t>E3MCBC7D</t>
  </si>
  <si>
    <t>ER6202FP1</t>
  </si>
  <si>
    <t>Easy Rack Flat Pack 600mm 42U 1000mm Roof Side feet ** 1 RACK **</t>
  </si>
  <si>
    <t>APC Easy UPS 3M Classic Battery Cabinet 700mm IEC With - Pour Onduleur 60 KVA et plus</t>
  </si>
  <si>
    <t>Easy UPS 3M Classic Battery Cabinet 1000mm IEC With Batteries Config  - Pour Onduleur 60 KVA et plus</t>
  </si>
  <si>
    <t>PowerEdge T350, 1U Tour, Intel Xeon E-2314 (4 coeurs 2.8GHz) 16GB RAM, 2x1TB SATA, DVD PH355, Idrac 9, 3 ans Garantie</t>
  </si>
  <si>
    <t>PowerEdge T550, Intel Xeon Silver 4310 12C 2.1G, 1x32GB RAM, 2x8TB SAS, DVD IDRAC9 Ent DVD PH755 2 ans de garantie</t>
  </si>
  <si>
    <t>084381-WM126</t>
  </si>
  <si>
    <t>084383-KB216</t>
  </si>
  <si>
    <t>084390-HOUSSE</t>
  </si>
  <si>
    <t>084393-S2721HG</t>
  </si>
  <si>
    <t>084400-HOUSSE</t>
  </si>
  <si>
    <t>Dell Wireless Mouse-WM126</t>
  </si>
  <si>
    <t>Dell Multimedia Keyboard-KB216 - French (AZERTY) -Black</t>
  </si>
  <si>
    <t>Dell Ecoloop Pro Sleeve 11-14 CV5423 (11-14")</t>
  </si>
  <si>
    <t>Dell Ecoloop Pro Briefcase 15 - CC5623</t>
  </si>
  <si>
    <t>Mouse</t>
  </si>
  <si>
    <t>Keyboard</t>
  </si>
  <si>
    <t>302415-MS116</t>
  </si>
  <si>
    <t>Dell Optical Mouse-MS116 - Black</t>
  </si>
  <si>
    <t>361627-SE2422H</t>
  </si>
  <si>
    <t>361630-SE2222H</t>
  </si>
  <si>
    <t>361637-E2222H</t>
  </si>
  <si>
    <t>Dell 24 Monitor - SE2422H- 60.5cm (23.8’’) 3Y</t>
  </si>
  <si>
    <t>993181-DA305</t>
  </si>
  <si>
    <t>993272-DA310</t>
  </si>
  <si>
    <t>993273-HOUSSE</t>
  </si>
  <si>
    <t>Dell 6-in-1 USB-C Multiport Adapter- DA305</t>
  </si>
  <si>
    <t>Dell DA310 USB-C Mobile Adapter</t>
  </si>
  <si>
    <t>Dell Eco Pro Slim Briefcase 15 - PO1520CS - Fits most laptops up to15</t>
  </si>
  <si>
    <t>1KR64B/A80</t>
  </si>
  <si>
    <t>Laser Enterprise</t>
  </si>
  <si>
    <t>7PS84A/B19</t>
  </si>
  <si>
    <t>7PS86A/B19</t>
  </si>
  <si>
    <t>Deskjet / OfficeJet / Smart Tank</t>
  </si>
  <si>
    <t>Smart Tank</t>
  </si>
  <si>
    <t>4A8D4A/BEW</t>
  </si>
  <si>
    <r>
      <t xml:space="preserve">Imprimante tout-en-un </t>
    </r>
    <r>
      <rPr>
        <b/>
        <sz val="11"/>
        <color theme="1"/>
        <rFont val="Calibri"/>
        <family val="2"/>
        <scheme val="minor"/>
      </rPr>
      <t>HP OfficeJet Pro 8023</t>
    </r>
    <r>
      <rPr>
        <sz val="11"/>
        <color theme="1"/>
        <rFont val="Calibri"/>
        <family val="2"/>
        <scheme val="minor"/>
      </rPr>
      <t>, A4, Impression, copie, scan, fax, 20 ppm Noir, 10 ppm couleur, 1 port USB 2.0; 1 Ethernet; 1 port sans fil 802.11 a/b/g/n; 1 RJ-11 Fax, 20,000 pages mensuel, Ecran 2.7 pouces</t>
    </r>
  </si>
  <si>
    <t>SF</t>
  </si>
  <si>
    <t>7MD68A/B19</t>
  </si>
  <si>
    <t>1PV87A/B19</t>
  </si>
  <si>
    <r>
      <rPr>
        <b/>
        <sz val="11"/>
        <color theme="1"/>
        <rFont val="Calibri"/>
        <family val="2"/>
        <scheme val="minor"/>
      </rPr>
      <t>HP LaserJet Enterprise M507dn</t>
    </r>
    <r>
      <rPr>
        <sz val="11"/>
        <color theme="1"/>
        <rFont val="Calibri"/>
        <family val="2"/>
        <scheme val="minor"/>
      </rPr>
      <t>, 43 ppm Recto/Verso, 2 000 à 7 500 pages mensuel, 1 port périphérique USB 2.0 haut débit; 2 ports USB 2.0 haut débit (hôte) ; 1 Gigabit Ethernet ; 1 compartiment d'intégration matérielle</t>
    </r>
  </si>
  <si>
    <t>7PJ38AA</t>
  </si>
  <si>
    <t>HP USB-C Travel Hub G2</t>
  </si>
  <si>
    <t>KCP432SD8/32</t>
  </si>
  <si>
    <t>KINGSTON 32Go DDR4 3200MHz SODIMM (Desktop)</t>
  </si>
  <si>
    <t>CE740A</t>
  </si>
  <si>
    <t>CE742A</t>
  </si>
  <si>
    <t>CE743A</t>
  </si>
  <si>
    <t>HP 151A Black Original LaserJet Toner Cartridge</t>
  </si>
  <si>
    <t>HP 307A Black Original LaserJet Toner Cartridge</t>
  </si>
  <si>
    <t>HP 307A Cyan Original LaserJet Toner Cartridge</t>
  </si>
  <si>
    <t>HP 307A Yellow Original LaserJet Toner Cartridge</t>
  </si>
  <si>
    <t>HP 307A Magenta Original LaserJet Toner Cartridge</t>
  </si>
  <si>
    <t>HP Color LaserJet Pro CP5200, CP5225, CP5225n, CP5225dn.</t>
  </si>
  <si>
    <t>HP Color Laser 150/a/mw, 178nw/nwg, 179fng/fnw/fwg.</t>
  </si>
  <si>
    <t>HP Laserjet MFP M436, M436n, M436nda.</t>
  </si>
  <si>
    <t>HP LaserJet Pro MFP 4103fdn, 4003dn, 4103dw.</t>
  </si>
  <si>
    <t>HP LaserJet MFP M236dw, M236sdw, M211dw .</t>
  </si>
  <si>
    <t>LaserJet Enterprise flow MFP M634h, M635z, M636z, M610dn, M610n, M611dn, M612dn, M612x.</t>
  </si>
  <si>
    <t>HP OfficeJet Pro 9010 9012 9013 9014 9015 9016 9018 9019 9020 9022 9023 9025 9026.</t>
  </si>
  <si>
    <t>HP DeskJet 2700, 2730, 4100, 4134, Envy Series 6020, 6030, 6420, 6430</t>
  </si>
  <si>
    <t>HP DeskJet 2700, 2710, 2720, 2721, 2722.</t>
  </si>
  <si>
    <t>HP DeskJet 1000, 1050, 1050A, 1510, 2000, 2050, 2050A, 2054A, 3000, 3050, 3050A, 3052A, 3054A</t>
  </si>
  <si>
    <t>HP DeskJet 2130 All-in-One Printer</t>
  </si>
  <si>
    <r>
      <t xml:space="preserve">Dell </t>
    </r>
    <r>
      <rPr>
        <b/>
        <sz val="11"/>
        <color rgb="FFFF0000"/>
        <rFont val="Calibri"/>
        <family val="2"/>
        <scheme val="minor"/>
      </rPr>
      <t>27 Curved Gaming Monitor</t>
    </r>
    <r>
      <rPr>
        <sz val="11"/>
        <color theme="1"/>
        <rFont val="Calibri"/>
        <family val="2"/>
        <scheme val="minor"/>
      </rPr>
      <t>|S2721HGFA-69cm(27") 3Y</t>
    </r>
  </si>
  <si>
    <t>E3SUPS40KHB</t>
  </si>
  <si>
    <r>
      <t xml:space="preserve">Easy UPS 3S </t>
    </r>
    <r>
      <rPr>
        <b/>
        <sz val="11"/>
        <color theme="1"/>
        <rFont val="Calibri"/>
        <family val="2"/>
        <scheme val="minor"/>
      </rPr>
      <t>40 kVA</t>
    </r>
    <r>
      <rPr>
        <sz val="11"/>
        <color theme="1"/>
        <rFont val="Calibri"/>
        <family val="2"/>
        <scheme val="minor"/>
      </rPr>
      <t xml:space="preserve"> 400V 3:3 UPS, </t>
    </r>
    <r>
      <rPr>
        <sz val="11"/>
        <color rgb="FFFF0000"/>
        <rFont val="Calibri"/>
        <family val="2"/>
        <scheme val="minor"/>
      </rPr>
      <t>0 x internal 7Ah modular battery strings</t>
    </r>
    <r>
      <rPr>
        <sz val="11"/>
        <color theme="1"/>
        <rFont val="Calibri"/>
        <family val="2"/>
        <scheme val="minor"/>
      </rPr>
      <t>, expandable to 4</t>
    </r>
  </si>
  <si>
    <t>21KH0060FE</t>
  </si>
  <si>
    <t>ThinkBook 16-G6-IRL 16FHD Ci7-13700H 8GB 512SSD FPR Free Dos 1Y</t>
  </si>
  <si>
    <t>21KG005RFE/CI</t>
  </si>
  <si>
    <t>21KH003RFE/CI</t>
  </si>
  <si>
    <t>21JN00CVFE/CI</t>
  </si>
  <si>
    <t>21HM008UFE/CI</t>
  </si>
  <si>
    <t>21HQ006CFE/CI</t>
  </si>
  <si>
    <t>ThinkPad X1 Carbon-G11 14FHD Ci7-1355U 32GB 1T-SSD Win11 Pro 3Y</t>
  </si>
  <si>
    <t>ThinkPad X1 Yoga-G8 14"Touch Ci7-1355U 16GB 1T-SSD Win11 Pro 3Y</t>
  </si>
  <si>
    <t>ThinkPad X13-G4 13.3FHD Ci7-1355U 16GB 1T-SSD Win11 Pro 3Y</t>
  </si>
  <si>
    <t>078527-E2222HS</t>
  </si>
  <si>
    <t>Dell 22 Monitor - E2222HS - 54.5cm (21.5") 1Y</t>
  </si>
  <si>
    <t>KCP552SS6-8</t>
  </si>
  <si>
    <t>KINGSTON 8Go DDR5 5200MT/s SODIMM</t>
  </si>
  <si>
    <t>HP Print</t>
  </si>
  <si>
    <t>E3SBT4</t>
  </si>
  <si>
    <t>9M946AT/BH4</t>
  </si>
  <si>
    <t>HP 150A Black Original LaserJet Toner Cartridge</t>
  </si>
  <si>
    <t>HP LaserJet MFP M141ca, imprimante HP LaserJet MFP M141cw, M109-M112, M111, M141</t>
  </si>
  <si>
    <t>W2031A</t>
  </si>
  <si>
    <r>
      <t xml:space="preserve">APC Easy UPS SRV </t>
    </r>
    <r>
      <rPr>
        <b/>
        <sz val="11"/>
        <color theme="1"/>
        <rFont val="Calibri"/>
        <family val="2"/>
        <scheme val="minor"/>
      </rPr>
      <t>Tour 6 000VA</t>
    </r>
    <r>
      <rPr>
        <sz val="11"/>
        <color theme="1"/>
        <rFont val="Calibri"/>
        <family val="2"/>
        <scheme val="minor"/>
      </rPr>
      <t xml:space="preserve"> 230V, 1 x Hard wire 3-wire (H N + E)</t>
    </r>
  </si>
  <si>
    <t>CE741A</t>
  </si>
  <si>
    <t>W1500A/SER</t>
  </si>
  <si>
    <t>W2410A/SR</t>
  </si>
  <si>
    <t>W2411A/SR</t>
  </si>
  <si>
    <t>W2412A/SR</t>
  </si>
  <si>
    <t>W2413A/SR</t>
  </si>
  <si>
    <r>
      <rPr>
        <sz val="11"/>
        <rFont val="Calibri"/>
        <family val="2"/>
        <scheme val="minor"/>
      </rPr>
      <t>Contact</t>
    </r>
    <r>
      <rPr>
        <b/>
        <sz val="11"/>
        <rFont val="Calibri"/>
        <family val="2"/>
        <scheme val="minor"/>
      </rPr>
      <t xml:space="preserve">: Marie Josée </t>
    </r>
    <r>
      <rPr>
        <u/>
        <sz val="11"/>
        <color indexed="12"/>
        <rFont val="Calibri"/>
        <family val="2"/>
        <scheme val="minor"/>
      </rPr>
      <t>mjyasselou@southcomp-polaris.com</t>
    </r>
  </si>
  <si>
    <t>CF230A/SR</t>
  </si>
  <si>
    <t>CE285A/SR</t>
  </si>
  <si>
    <t>Contact: Marie Josée mjyasselou@southcomp-polaris.com</t>
  </si>
  <si>
    <t>21EX0000VFE/CI</t>
  </si>
  <si>
    <t>21JK009YFE/CI</t>
  </si>
  <si>
    <t>21JK00DGFE/CI</t>
  </si>
  <si>
    <t xml:space="preserve">APC / HPE </t>
  </si>
  <si>
    <t xml:space="preserve">HP / Consommables </t>
  </si>
  <si>
    <r>
      <t>Contact</t>
    </r>
    <r>
      <rPr>
        <b/>
        <sz val="11"/>
        <rFont val="Calibri"/>
        <family val="2"/>
        <scheme val="minor"/>
      </rPr>
      <t>: G.gnanzou@southcomp-polaris.com</t>
    </r>
  </si>
  <si>
    <t>P54644-421</t>
  </si>
  <si>
    <t>HPE MicroSvr G10+v2 G6405 16GB NHP Svr</t>
  </si>
  <si>
    <t>P59548-421</t>
  </si>
  <si>
    <t>HPE ML350 Gen10 4210R 1P 16G 8SFF Svr</t>
  </si>
  <si>
    <t>Serveur  HPE</t>
  </si>
  <si>
    <t>21KG0053FE</t>
  </si>
  <si>
    <t>ThinkBook 14-G6-IRL 14FHD Ci7-13700H 8GB 512SSD FPR Free Dos 1Y</t>
  </si>
  <si>
    <t>Accessoires Serveurs HPE</t>
  </si>
  <si>
    <t>W2133A</t>
  </si>
  <si>
    <t>HP 213A Magenta Original LaserJet Toner Cartridge</t>
  </si>
  <si>
    <t>W2132A</t>
  </si>
  <si>
    <t>HP 213A Yellow Original LaserJet Toner Cartridge</t>
  </si>
  <si>
    <t>W2131A</t>
  </si>
  <si>
    <t>HP 213A Cyan Original LaserJet Toner Cartridge</t>
  </si>
  <si>
    <t>W2130A</t>
  </si>
  <si>
    <t>HP 213A Black Original LaserJet Toner Cartridge</t>
  </si>
  <si>
    <t>885R1EA/BH4</t>
  </si>
  <si>
    <t>KCP432SS8</t>
  </si>
  <si>
    <t>KINGSTON 8GB DDR4 3200Mhz Non ECC</t>
  </si>
  <si>
    <t>Latitude 3450</t>
  </si>
  <si>
    <t>Lati 3450/Core i5-1335U/8GB/512GB SSD Gen4/14.0" FHD/Integrated/FgrPr/FHD/IR Cam/Mic/WLAN + BT/Backlit Kb/3 Cell/Ubuntu 1Y</t>
  </si>
  <si>
    <t>021673-5450</t>
  </si>
  <si>
    <t>Latitude 5450</t>
  </si>
  <si>
    <t>Lati 5450/Ultra 5 125U/8GB/512GB SSD Gen4/14.0" FHD/Integrated/FgrPr/FHD/IR Cam/Mic/WLAN + BT/Backlit Kb/3 Cell/Ubuntu 1Y</t>
  </si>
  <si>
    <t>021674-5450</t>
  </si>
  <si>
    <t>021717-5450</t>
  </si>
  <si>
    <t>Lati 5450/Ultra 7 155U/16GB/512GB SSD Gen4/14.0" FHD/Integrated/FgrPr/FHD/IR Cam/Mic/WLAN + BT/Backlit Kb/3 Cell/Ubuntu 1Y</t>
  </si>
  <si>
    <t>021755-5550</t>
  </si>
  <si>
    <t>Latitude 5550</t>
  </si>
  <si>
    <t>Lati 5550/Ultra 5 125U/16GB/512GB SSD Gen4/15.6" FHD/Integrated/FgrPr/FHD/IR Cam/Mic/WLAN + BT/Backlit Kb/3 Cell/Ubuntu 1Y</t>
  </si>
  <si>
    <t>021793-5550</t>
  </si>
  <si>
    <t>Lati 5550/Ultra 7 155U/16GB/512GB SSD Gen4/15.6" FHD/Integrated/FgrPr/FHD/IR Cam/Mic/WLAN + BT/Backlit Kb/3 Cell/Ubuntu 1Y</t>
  </si>
  <si>
    <t>021856-9340</t>
  </si>
  <si>
    <t>XPS 13 9340</t>
  </si>
  <si>
    <t>XPS 13 9340/Ultra 7 155H/16GB/512GB SSD/13.4" FHD+ AntiGlare/Arc/FgrPr/WLAN + BT/Backlit Kb/3 Cell/W11Pro/1Y</t>
  </si>
  <si>
    <t>021908-9640</t>
  </si>
  <si>
    <t>XPS 16 9640</t>
  </si>
  <si>
    <r>
      <t xml:space="preserve">XPS </t>
    </r>
    <r>
      <rPr>
        <b/>
        <sz val="11"/>
        <color theme="1"/>
        <rFont val="Calibri"/>
        <family val="2"/>
        <scheme val="minor"/>
      </rPr>
      <t>16 9640</t>
    </r>
    <r>
      <rPr>
        <sz val="11"/>
        <color theme="1"/>
        <rFont val="Calibri"/>
        <family val="2"/>
        <scheme val="minor"/>
      </rPr>
      <t>/Ultra 7 155H/16GB/1TB SSD/16.3" FHD+/GeForce RTX 4050/WLAN + BT/Backlit Kb/6 Cell/W11Pro/1Y</t>
    </r>
  </si>
  <si>
    <t>W2300A/SR</t>
  </si>
  <si>
    <t>W2301A/SER</t>
  </si>
  <si>
    <t>W2302A/SR</t>
  </si>
  <si>
    <t>W2303A/SR</t>
  </si>
  <si>
    <t>HP 230A Black Original LaserJet Toner Cartridge</t>
  </si>
  <si>
    <t>HP 230A Cyan Original LaserJet Toner Cartridge</t>
  </si>
  <si>
    <t>HP 230A Yellow Original LaserJet Toner Cartridge</t>
  </si>
  <si>
    <t>HP 230A Magenta Original LaserJet Toner Cartridge</t>
  </si>
  <si>
    <t>M0H54AE</t>
  </si>
  <si>
    <t>M0H55AE</t>
  </si>
  <si>
    <t>M0H56AE</t>
  </si>
  <si>
    <t>HP GT52 Cyan Original Ink Bottle</t>
  </si>
  <si>
    <t>HP GT52 Magenta Original Ink Bottle</t>
  </si>
  <si>
    <t>HP GT52 Yellow Original Ink Bottle</t>
  </si>
  <si>
    <t>623Z2ET/BH4</t>
  </si>
  <si>
    <t>HP 240 G10 AiO 23.8'' i5-1335 FHD 8Go/512Go SSD Realtek Wi-Fi 6 WLAN</t>
  </si>
  <si>
    <t>9G2L8ET/BH4</t>
  </si>
  <si>
    <t>HP 440 G10 i7-1355U UMA 14" HD 8Go/512Go SSD Freedos Pike Silver Alum</t>
  </si>
  <si>
    <t>9G2N5ET/BH4</t>
  </si>
  <si>
    <t>HP 450 G10 i7-1355U UMA 15.6'' 8Go/512GoSSD Wifi 6 BT DOS Pike Silver</t>
  </si>
  <si>
    <t>99N25ET/BH4</t>
  </si>
  <si>
    <t>HP 400 G9 TWR i7-13700 8Go/512Go SSD DVD-RW DOS + P22v G5 / vPro</t>
  </si>
  <si>
    <t>6N4E2AA/ABB/BID</t>
  </si>
  <si>
    <t>HP E27 G5 FHD Monitor</t>
  </si>
  <si>
    <t>HP Campus XL Tie dye Backpack</t>
  </si>
  <si>
    <t>7J593AA</t>
  </si>
  <si>
    <t>DTX/64GB</t>
  </si>
  <si>
    <t>Kingston Data Traveler Exode - clé USB - 64 Go</t>
  </si>
  <si>
    <t>DTX/128GB</t>
  </si>
  <si>
    <t>Kingston Data Traveler Exode - clé USB - 128 Go</t>
  </si>
  <si>
    <t>150951-WD19S</t>
  </si>
  <si>
    <t>150949-KM3322W</t>
  </si>
  <si>
    <t>Dell Wireless Keyboard and Mouse - KM3322W - French (AZERTY)</t>
  </si>
  <si>
    <t>150950-KM5221W</t>
  </si>
  <si>
    <t>Dell Pro Wireless Keyboard and Mouse - KM5221W - French (AZERTY) - Black</t>
  </si>
  <si>
    <t>014604-3000</t>
  </si>
  <si>
    <t>262020-P2725H</t>
  </si>
  <si>
    <t>Dell 27 Monitor - P2725H, 68.6cm (27.0")</t>
  </si>
  <si>
    <t>054407-R750XS</t>
  </si>
  <si>
    <t>Keyboard - Mouse</t>
  </si>
  <si>
    <t>APC Smart-UPS RT 5kVA 230V + Rack/Tower + Network Card</t>
  </si>
  <si>
    <t>CF400A/SR</t>
  </si>
  <si>
    <t>CF401A/SR</t>
  </si>
  <si>
    <t>CF402A/SR</t>
  </si>
  <si>
    <t>CF403A/SR</t>
  </si>
  <si>
    <t>W1106A/SR</t>
  </si>
  <si>
    <t>CF530A/SR</t>
  </si>
  <si>
    <t>CF532A/SR</t>
  </si>
  <si>
    <t>CF533A/SR</t>
  </si>
  <si>
    <t>CF540A/SR</t>
  </si>
  <si>
    <t>W2033A</t>
  </si>
  <si>
    <t>W2030A/SR</t>
  </si>
  <si>
    <t>W2032A/SR</t>
  </si>
  <si>
    <t>W2071A/SR</t>
  </si>
  <si>
    <t>W2073A/SR</t>
  </si>
  <si>
    <t>W1470A</t>
  </si>
  <si>
    <t>12JD00ACFM</t>
  </si>
  <si>
    <t>21KH0056FE/CI</t>
  </si>
  <si>
    <r>
      <t>Poweredge R750XS</t>
    </r>
    <r>
      <rPr>
        <b/>
        <sz val="11"/>
        <color rgb="FFFF0000"/>
        <rFont val="Calibri"/>
        <family val="2"/>
        <scheme val="minor"/>
      </rPr>
      <t xml:space="preserve"> 2xXeon Silver 4314 16C/32T 2x16GB 2x2.4TB</t>
    </r>
    <r>
      <rPr>
        <sz val="11"/>
        <color theme="1"/>
        <rFont val="Calibri"/>
        <family val="2"/>
        <scheme val="minor"/>
      </rPr>
      <t xml:space="preserve"> IDC9EN DR 3Y Prosupport</t>
    </r>
  </si>
  <si>
    <r>
      <t>APC Back-UPS,</t>
    </r>
    <r>
      <rPr>
        <b/>
        <sz val="11"/>
        <color theme="1"/>
        <rFont val="Calibri"/>
        <family val="2"/>
        <scheme val="minor"/>
      </rPr>
      <t xml:space="preserve"> 750VA</t>
    </r>
    <r>
      <rPr>
        <sz val="11"/>
        <color theme="1"/>
        <rFont val="Calibri"/>
        <family val="2"/>
        <scheme val="minor"/>
      </rPr>
      <t xml:space="preserve">, Tower, 230V, 2 Universal + 1 IEC C13 outlets, AVR + </t>
    </r>
    <r>
      <rPr>
        <b/>
        <sz val="11"/>
        <color rgb="FFFF0000"/>
        <rFont val="Calibri"/>
        <family val="2"/>
        <scheme val="minor"/>
      </rPr>
      <t>Software, PowerChute</t>
    </r>
  </si>
  <si>
    <t>* La livraison des onduleurs de grande capacité n'est pas incluse dans les prix*</t>
  </si>
  <si>
    <t>-</t>
  </si>
  <si>
    <t>CF531A</t>
  </si>
  <si>
    <t>APC Smart-UPS RT 8kVA 230V</t>
  </si>
  <si>
    <r>
      <t xml:space="preserve">Easy UPS 3S </t>
    </r>
    <r>
      <rPr>
        <b/>
        <sz val="11"/>
        <color theme="1"/>
        <rFont val="Calibri"/>
        <family val="2"/>
        <scheme val="minor"/>
      </rPr>
      <t>10 kVA</t>
    </r>
    <r>
      <rPr>
        <sz val="11"/>
        <color theme="1"/>
        <rFont val="Calibri"/>
        <family val="2"/>
        <scheme val="minor"/>
      </rPr>
      <t xml:space="preserve"> 400V 3:3 UPS, </t>
    </r>
    <r>
      <rPr>
        <sz val="11"/>
        <color rgb="FFFF0000"/>
        <rFont val="Calibri"/>
        <family val="2"/>
        <scheme val="minor"/>
      </rPr>
      <t>1 x internal 7Ah modular battery string,</t>
    </r>
    <r>
      <rPr>
        <sz val="11"/>
        <color theme="1"/>
        <rFont val="Calibri"/>
        <family val="2"/>
        <scheme val="minor"/>
      </rPr>
      <t xml:space="preserve"> expandable to 3</t>
    </r>
  </si>
  <si>
    <r>
      <t xml:space="preserve">Easy UPS 3S </t>
    </r>
    <r>
      <rPr>
        <b/>
        <sz val="11"/>
        <color theme="1"/>
        <rFont val="Calibri"/>
        <family val="2"/>
        <scheme val="minor"/>
      </rPr>
      <t>15 kVA</t>
    </r>
    <r>
      <rPr>
        <sz val="11"/>
        <color theme="1"/>
        <rFont val="Calibri"/>
        <family val="2"/>
        <scheme val="minor"/>
      </rPr>
      <t xml:space="preserve"> 400V 3:3 UPS, </t>
    </r>
    <r>
      <rPr>
        <sz val="11"/>
        <color rgb="FFFF0000"/>
        <rFont val="Calibri"/>
        <family val="2"/>
        <scheme val="minor"/>
      </rPr>
      <t>1 x internal 7Ah modular battery string,</t>
    </r>
    <r>
      <rPr>
        <sz val="11"/>
        <color theme="1"/>
        <rFont val="Calibri"/>
        <family val="2"/>
        <scheme val="minor"/>
      </rPr>
      <t xml:space="preserve"> expandable to 3</t>
    </r>
  </si>
  <si>
    <r>
      <t xml:space="preserve">Easy UPS 3S </t>
    </r>
    <r>
      <rPr>
        <b/>
        <sz val="11"/>
        <color theme="1"/>
        <rFont val="Calibri"/>
        <family val="2"/>
        <scheme val="minor"/>
      </rPr>
      <t>20 kVA</t>
    </r>
    <r>
      <rPr>
        <sz val="11"/>
        <color theme="1"/>
        <rFont val="Calibri"/>
        <family val="2"/>
        <scheme val="minor"/>
      </rPr>
      <t xml:space="preserve"> 400V 3:3 UPS, </t>
    </r>
    <r>
      <rPr>
        <sz val="11"/>
        <color rgb="FFFF0000"/>
        <rFont val="Calibri"/>
        <family val="2"/>
        <scheme val="minor"/>
      </rPr>
      <t>2 x internal 7Ah modular battery strings</t>
    </r>
    <r>
      <rPr>
        <sz val="11"/>
        <color theme="1"/>
        <rFont val="Calibri"/>
        <family val="2"/>
        <scheme val="minor"/>
      </rPr>
      <t>, expandable to 3</t>
    </r>
  </si>
  <si>
    <r>
      <t xml:space="preserve">Easy UPS 3S </t>
    </r>
    <r>
      <rPr>
        <b/>
        <sz val="11"/>
        <color theme="1"/>
        <rFont val="Calibri"/>
        <family val="2"/>
        <scheme val="minor"/>
      </rPr>
      <t>30 kVA</t>
    </r>
    <r>
      <rPr>
        <sz val="11"/>
        <color theme="1"/>
        <rFont val="Calibri"/>
        <family val="2"/>
        <scheme val="minor"/>
      </rPr>
      <t xml:space="preserve"> 400V 3:3 UPS, </t>
    </r>
    <r>
      <rPr>
        <sz val="11"/>
        <color rgb="FFFF0000"/>
        <rFont val="Calibri"/>
        <family val="2"/>
        <scheme val="minor"/>
      </rPr>
      <t>2 x internal 7Ah modular battery strings</t>
    </r>
    <r>
      <rPr>
        <sz val="11"/>
        <color theme="1"/>
        <rFont val="Calibri"/>
        <family val="2"/>
        <scheme val="minor"/>
      </rPr>
      <t>, expandable to 4</t>
    </r>
  </si>
  <si>
    <r>
      <t xml:space="preserve">Easy UPS 3S </t>
    </r>
    <r>
      <rPr>
        <b/>
        <sz val="11"/>
        <color theme="1"/>
        <rFont val="Calibri"/>
        <family val="2"/>
        <scheme val="minor"/>
      </rPr>
      <t>40 kVA</t>
    </r>
    <r>
      <rPr>
        <sz val="11"/>
        <color theme="1"/>
        <rFont val="Calibri"/>
        <family val="2"/>
        <scheme val="minor"/>
      </rPr>
      <t xml:space="preserve"> 400V 3:3 UPS, </t>
    </r>
    <r>
      <rPr>
        <sz val="11"/>
        <color rgb="FFFF0000"/>
        <rFont val="Calibri"/>
        <family val="2"/>
        <scheme val="minor"/>
      </rPr>
      <t>3 x internal 7Ah modular battery strings</t>
    </r>
    <r>
      <rPr>
        <sz val="11"/>
        <color theme="1"/>
        <rFont val="Calibri"/>
        <family val="2"/>
        <scheme val="minor"/>
      </rPr>
      <t>, expandable to 4</t>
    </r>
  </si>
  <si>
    <r>
      <t xml:space="preserve">Easy UPS 3M </t>
    </r>
    <r>
      <rPr>
        <b/>
        <sz val="11"/>
        <color theme="1"/>
        <rFont val="Calibri"/>
        <family val="2"/>
        <scheme val="minor"/>
      </rPr>
      <t>60kVA</t>
    </r>
    <r>
      <rPr>
        <sz val="11"/>
        <color theme="1"/>
        <rFont val="Calibri"/>
        <family val="2"/>
        <scheme val="minor"/>
      </rPr>
      <t xml:space="preserve"> 400V 3:3 UPS, </t>
    </r>
    <r>
      <rPr>
        <sz val="11"/>
        <color rgb="FFFF0000"/>
        <rFont val="Calibri"/>
        <family val="2"/>
        <scheme val="minor"/>
      </rPr>
      <t xml:space="preserve">3 internal 9Ah modular battery strings </t>
    </r>
    <r>
      <rPr>
        <sz val="11"/>
        <color theme="1"/>
        <rFont val="Calibri"/>
        <family val="2"/>
        <scheme val="minor"/>
      </rPr>
      <t>expandable to 6, Start-up 5x8</t>
    </r>
  </si>
  <si>
    <r>
      <t xml:space="preserve">Easy UPS 3M </t>
    </r>
    <r>
      <rPr>
        <b/>
        <sz val="11"/>
        <color theme="1"/>
        <rFont val="Calibri"/>
        <family val="2"/>
        <scheme val="minor"/>
      </rPr>
      <t>60kVA</t>
    </r>
    <r>
      <rPr>
        <sz val="11"/>
        <color theme="1"/>
        <rFont val="Calibri"/>
        <family val="2"/>
        <scheme val="minor"/>
      </rPr>
      <t xml:space="preserve"> 400V 3:3 UPS, </t>
    </r>
    <r>
      <rPr>
        <sz val="11"/>
        <color rgb="FFFF0000"/>
        <rFont val="Calibri"/>
        <family val="2"/>
        <scheme val="minor"/>
      </rPr>
      <t>4 internal 9Ah modular battery strings</t>
    </r>
    <r>
      <rPr>
        <sz val="11"/>
        <color theme="1"/>
        <rFont val="Calibri"/>
        <family val="2"/>
        <scheme val="minor"/>
      </rPr>
      <t xml:space="preserve"> expandable to 6, Start-up 5x8</t>
    </r>
  </si>
  <si>
    <t>ThinkVision 27" S27i-30 (1920x1080) HDMI VGA tilt</t>
  </si>
  <si>
    <t>Monitor</t>
  </si>
  <si>
    <r>
      <t>ThinkBook 14-G6 14FHD Ci7-13700H 8GB 512SSD Free Dos 2Y + TL TL</t>
    </r>
    <r>
      <rPr>
        <sz val="11"/>
        <color rgb="FFFF0000"/>
        <rFont val="Calibri"/>
        <family val="2"/>
        <scheme val="minor"/>
      </rPr>
      <t>(House de Transport)</t>
    </r>
  </si>
  <si>
    <r>
      <t xml:space="preserve">ThinkBook 16-G6 16FHD Ci5-1335U 8GB 512SSD Free Dos 2Y + TL </t>
    </r>
    <r>
      <rPr>
        <sz val="11"/>
        <color rgb="FFFF0000"/>
        <rFont val="Calibri"/>
        <family val="2"/>
        <scheme val="minor"/>
      </rPr>
      <t>(House de Transport)</t>
    </r>
  </si>
  <si>
    <r>
      <t xml:space="preserve">ThinkBook 16-G6 16FHD Ci7-13700H 8GB 512SSD Free Dos 2Y + TL </t>
    </r>
    <r>
      <rPr>
        <sz val="11"/>
        <color rgb="FFFF0000"/>
        <rFont val="Calibri"/>
        <family val="2"/>
        <scheme val="minor"/>
      </rPr>
      <t>(House de Transport)</t>
    </r>
  </si>
  <si>
    <r>
      <t>ThinkPad E16-G1 16FHD Ci7-13700H 16GB 512SSD Free Dos 2Y + TL</t>
    </r>
    <r>
      <rPr>
        <sz val="11"/>
        <color rgb="FFFF0000"/>
        <rFont val="Calibri"/>
        <family val="2"/>
        <scheme val="minor"/>
      </rPr>
      <t xml:space="preserve"> (House de Transport)</t>
    </r>
  </si>
  <si>
    <r>
      <t xml:space="preserve">ThinkCentre Neo 50t-G4 TWR Ci7-12700 </t>
    </r>
    <r>
      <rPr>
        <sz val="11"/>
        <color rgb="FFFF0000"/>
        <rFont val="Calibri"/>
        <family val="2"/>
        <scheme val="minor"/>
      </rPr>
      <t>16GB 512SSD</t>
    </r>
    <r>
      <rPr>
        <sz val="11"/>
        <color theme="1"/>
        <rFont val="Calibri"/>
        <family val="2"/>
        <scheme val="minor"/>
      </rPr>
      <t xml:space="preserve"> DVD Wifi+BT Free Dos</t>
    </r>
  </si>
  <si>
    <r>
      <t xml:space="preserve">APC Easy UPS </t>
    </r>
    <r>
      <rPr>
        <b/>
        <sz val="11"/>
        <color theme="1"/>
        <rFont val="Calibri"/>
        <family val="2"/>
        <scheme val="minor"/>
      </rPr>
      <t>2 200VA</t>
    </r>
    <r>
      <rPr>
        <sz val="11"/>
        <color theme="1"/>
        <rFont val="Calibri"/>
        <family val="2"/>
        <scheme val="minor"/>
      </rPr>
      <t xml:space="preserve">, 230V, AVR, 4 Schuko outlets, 1.2 m cordon detaché  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+</t>
    </r>
    <r>
      <rPr>
        <b/>
        <sz val="11"/>
        <color rgb="FFFF0000"/>
        <rFont val="Calibri"/>
        <family val="2"/>
        <scheme val="minor"/>
      </rPr>
      <t xml:space="preserve"> Software, PowerChute</t>
    </r>
  </si>
  <si>
    <r>
      <t xml:space="preserve">Imprimante Tout-en-un </t>
    </r>
    <r>
      <rPr>
        <b/>
        <sz val="11"/>
        <color rgb="FF000000"/>
        <rFont val="Calibri"/>
        <family val="2"/>
        <scheme val="minor"/>
      </rPr>
      <t>HP Smart Tank 581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FF0000"/>
        <rFont val="Calibri"/>
        <family val="2"/>
        <scheme val="minor"/>
      </rPr>
      <t>NEW!</t>
    </r>
    <r>
      <rPr>
        <sz val="11"/>
        <color rgb="FF000000"/>
        <rFont val="Calibri"/>
        <family val="2"/>
        <scheme val="minor"/>
      </rPr>
      <t xml:space="preserve"> - </t>
    </r>
    <r>
      <rPr>
        <b/>
        <sz val="11"/>
        <color rgb="FF000000"/>
        <rFont val="Calibri"/>
        <family val="2"/>
        <scheme val="minor"/>
      </rPr>
      <t>Toner  HP 1VV21AE - M0H54AE - M0H55AE - M0H56AE</t>
    </r>
  </si>
  <si>
    <r>
      <t>Imprimante HP LaserJet M111a</t>
    </r>
    <r>
      <rPr>
        <sz val="11"/>
        <color rgb="FF000000"/>
        <rFont val="Calibri"/>
        <family val="2"/>
        <scheme val="minor"/>
      </rPr>
      <t xml:space="preserve">, 21 ppm, 100 à 1000 pages mensuel, 1 port USB haut débit  </t>
    </r>
    <r>
      <rPr>
        <b/>
        <sz val="11"/>
        <color rgb="FF000000"/>
        <rFont val="Calibri"/>
        <family val="2"/>
        <scheme val="minor"/>
      </rPr>
      <t>- W1500A 150A</t>
    </r>
    <r>
      <rPr>
        <sz val="11"/>
        <color rgb="FF000000"/>
        <rFont val="Calibri"/>
        <family val="2"/>
        <scheme val="minor"/>
      </rPr>
      <t xml:space="preserve"> </t>
    </r>
    <r>
      <rPr>
        <b/>
        <sz val="11"/>
        <color rgb="FF000000"/>
        <rFont val="Calibri"/>
        <family val="2"/>
        <scheme val="minor"/>
      </rPr>
      <t>Black</t>
    </r>
  </si>
  <si>
    <r>
      <rPr>
        <b/>
        <sz val="11"/>
        <color theme="1"/>
        <rFont val="Calibri"/>
        <family val="2"/>
        <scheme val="minor"/>
      </rPr>
      <t>Imprimante HP LaserJet M111w</t>
    </r>
    <r>
      <rPr>
        <sz val="11"/>
        <color theme="1"/>
        <rFont val="Calibri"/>
        <family val="2"/>
        <scheme val="minor"/>
      </rPr>
      <t xml:space="preserve">, 21 ppm, 100 à 1000 pages mensuel, 1 port USB 2.0 haut débit (appareil); Sans fil 802.11b/g/n 2,4 GHz - </t>
    </r>
    <r>
      <rPr>
        <b/>
        <sz val="11"/>
        <rFont val="Calibri"/>
        <family val="2"/>
        <scheme val="minor"/>
      </rPr>
      <t>W1500A 150A Black</t>
    </r>
  </si>
  <si>
    <r>
      <t xml:space="preserve">HP </t>
    </r>
    <r>
      <rPr>
        <b/>
        <sz val="11"/>
        <color theme="1"/>
        <rFont val="Calibri"/>
        <family val="2"/>
        <scheme val="minor"/>
      </rPr>
      <t>LaserJet Pro MFP 4103fdw</t>
    </r>
    <r>
      <rPr>
        <sz val="11"/>
        <color theme="1"/>
        <rFont val="Calibri"/>
        <family val="2"/>
        <scheme val="minor"/>
      </rPr>
      <t xml:space="preserve"> Printer, Copier, Scanner, 40 ppm, </t>
    </r>
    <r>
      <rPr>
        <b/>
        <sz val="11"/>
        <color theme="1"/>
        <rFont val="Calibri"/>
        <family val="2"/>
        <scheme val="minor"/>
      </rPr>
      <t>A4</t>
    </r>
    <r>
      <rPr>
        <sz val="11"/>
        <color theme="1"/>
        <rFont val="Calibri"/>
        <family val="2"/>
        <scheme val="minor"/>
      </rPr>
      <t xml:space="preserve">, MFP, Monochrome N/B, Entrée/Sortie - 250/150 papiers, Fax, USB, WIFI, RJ45, Mobile Print - </t>
    </r>
    <r>
      <rPr>
        <b/>
        <sz val="11"/>
        <rFont val="Calibri"/>
        <family val="2"/>
        <scheme val="minor"/>
      </rPr>
      <t>W1510A Toner HP 151A Black</t>
    </r>
  </si>
  <si>
    <r>
      <t xml:space="preserve">HP </t>
    </r>
    <r>
      <rPr>
        <b/>
        <sz val="11"/>
        <color theme="1"/>
        <rFont val="Calibri"/>
        <family val="2"/>
        <scheme val="minor"/>
      </rPr>
      <t>Color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Laser</t>
    </r>
    <r>
      <rPr>
        <sz val="11"/>
        <color theme="1"/>
        <rFont val="Calibri"/>
        <family val="2"/>
        <scheme val="minor"/>
      </rPr>
      <t xml:space="preserve"> MFP </t>
    </r>
    <r>
      <rPr>
        <b/>
        <sz val="11"/>
        <color theme="1"/>
        <rFont val="Calibri"/>
        <family val="2"/>
        <scheme val="minor"/>
      </rPr>
      <t xml:space="preserve">183fw </t>
    </r>
    <r>
      <rPr>
        <sz val="11"/>
        <color theme="1"/>
        <rFont val="Calibri"/>
        <family val="2"/>
        <scheme val="minor"/>
      </rPr>
      <t xml:space="preserve">Printer, Copier, Scanner, 16 ppm N/B, 4 ppm Couleur, </t>
    </r>
    <r>
      <rPr>
        <b/>
        <sz val="11"/>
        <color theme="1"/>
        <rFont val="Calibri"/>
        <family val="2"/>
        <scheme val="minor"/>
      </rPr>
      <t>A4</t>
    </r>
    <r>
      <rPr>
        <sz val="11"/>
        <color theme="1"/>
        <rFont val="Calibri"/>
        <family val="2"/>
        <scheme val="minor"/>
      </rPr>
      <t xml:space="preserve">, Entrée/Sortie - 150/50 papiers,  ADF - 35 papiers, USB, RJ45, WIFI, </t>
    </r>
    <r>
      <rPr>
        <b/>
        <sz val="11"/>
        <color theme="1"/>
        <rFont val="Calibri"/>
        <family val="2"/>
        <scheme val="minor"/>
      </rPr>
      <t>Fax</t>
    </r>
    <r>
      <rPr>
        <sz val="11"/>
        <color theme="1"/>
        <rFont val="Calibri"/>
        <family val="2"/>
        <scheme val="minor"/>
      </rPr>
      <t>, Mobile Printing.</t>
    </r>
    <r>
      <rPr>
        <b/>
        <sz val="11"/>
        <color theme="1"/>
        <rFont val="Calibri"/>
        <family val="2"/>
        <scheme val="minor"/>
      </rPr>
      <t xml:space="preserve"> Toner HP 216A - W2410A - W2411A - W2412A - W2413A </t>
    </r>
  </si>
  <si>
    <r>
      <t xml:space="preserve">HP </t>
    </r>
    <r>
      <rPr>
        <b/>
        <sz val="11"/>
        <color theme="1"/>
        <rFont val="Calibri"/>
        <family val="2"/>
        <scheme val="minor"/>
      </rPr>
      <t>Color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Laser</t>
    </r>
    <r>
      <rPr>
        <sz val="11"/>
        <color theme="1"/>
        <rFont val="Calibri"/>
        <family val="2"/>
        <scheme val="minor"/>
      </rPr>
      <t xml:space="preserve"> MFP </t>
    </r>
    <r>
      <rPr>
        <b/>
        <sz val="11"/>
        <color theme="1"/>
        <rFont val="Calibri"/>
        <family val="2"/>
        <scheme val="minor"/>
      </rPr>
      <t>179nw</t>
    </r>
    <r>
      <rPr>
        <sz val="11"/>
        <color theme="1"/>
        <rFont val="Calibri"/>
        <family val="2"/>
        <scheme val="minor"/>
      </rPr>
      <t xml:space="preserve"> Printer, Copier, Scanner, 18 ppm N/B, 4 ppm Couleur, </t>
    </r>
    <r>
      <rPr>
        <b/>
        <sz val="11"/>
        <color theme="1"/>
        <rFont val="Calibri"/>
        <family val="2"/>
        <scheme val="minor"/>
      </rPr>
      <t>A4</t>
    </r>
    <r>
      <rPr>
        <sz val="11"/>
        <color theme="1"/>
        <rFont val="Calibri"/>
        <family val="2"/>
        <scheme val="minor"/>
      </rPr>
      <t xml:space="preserve">, Entrée/Sortie - 150/50 papiers,  ADF - 35 papiers,  USB, RJ45, WIFI, </t>
    </r>
    <r>
      <rPr>
        <b/>
        <sz val="11"/>
        <color theme="1"/>
        <rFont val="Calibri"/>
        <family val="2"/>
        <scheme val="minor"/>
      </rPr>
      <t>Fax</t>
    </r>
    <r>
      <rPr>
        <sz val="11"/>
        <color theme="1"/>
        <rFont val="Calibri"/>
        <family val="2"/>
        <scheme val="minor"/>
      </rPr>
      <t xml:space="preserve">, Mobile Printing - </t>
    </r>
    <r>
      <rPr>
        <b/>
        <sz val="11"/>
        <color theme="1"/>
        <rFont val="Calibri"/>
        <family val="2"/>
        <scheme val="minor"/>
      </rPr>
      <t xml:space="preserve">Toner HP 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W2070A - W2071A - W2072A - W2073A  Toner HP 117A</t>
    </r>
  </si>
  <si>
    <r>
      <t xml:space="preserve">HP </t>
    </r>
    <r>
      <rPr>
        <b/>
        <sz val="11"/>
        <color theme="1"/>
        <rFont val="Calibri"/>
        <family val="2"/>
        <scheme val="minor"/>
      </rPr>
      <t>Color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LaserJet</t>
    </r>
    <r>
      <rPr>
        <sz val="11"/>
        <color theme="1"/>
        <rFont val="Calibri"/>
        <family val="2"/>
        <scheme val="minor"/>
      </rPr>
      <t xml:space="preserve"> Pro MFP </t>
    </r>
    <r>
      <rPr>
        <b/>
        <sz val="11"/>
        <color theme="1"/>
        <rFont val="Calibri"/>
        <family val="2"/>
        <scheme val="minor"/>
      </rPr>
      <t>M283fdn</t>
    </r>
    <r>
      <rPr>
        <sz val="11"/>
        <color theme="1"/>
        <rFont val="Calibri"/>
        <family val="2"/>
        <scheme val="minor"/>
      </rPr>
      <t xml:space="preserve"> Printer, 21 ppm Noir/Couleur, 12 ppm duplex, </t>
    </r>
    <r>
      <rPr>
        <b/>
        <sz val="11"/>
        <color theme="1"/>
        <rFont val="Calibri"/>
        <family val="2"/>
        <scheme val="minor"/>
      </rPr>
      <t>A4</t>
    </r>
    <r>
      <rPr>
        <sz val="11"/>
        <color theme="1"/>
        <rFont val="Calibri"/>
        <family val="2"/>
        <scheme val="minor"/>
      </rPr>
      <t xml:space="preserve">, Entrée/Sortie - 250/100 papiers, ADF  (Recto-Verso ) - 50 papiers, Fax, USB, RJ45, Mobile Printing. </t>
    </r>
    <r>
      <rPr>
        <b/>
        <sz val="11"/>
        <color theme="1"/>
        <rFont val="Calibri"/>
        <family val="2"/>
        <scheme val="minor"/>
      </rPr>
      <t>Toner HP 207A W2210A - W2211A - W2212A - W2213A</t>
    </r>
  </si>
  <si>
    <r>
      <t xml:space="preserve">HP </t>
    </r>
    <r>
      <rPr>
        <b/>
        <sz val="11"/>
        <color theme="1"/>
        <rFont val="Calibri"/>
        <family val="2"/>
        <scheme val="minor"/>
      </rPr>
      <t>Color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LaserJet</t>
    </r>
    <r>
      <rPr>
        <sz val="11"/>
        <color theme="1"/>
        <rFont val="Calibri"/>
        <family val="2"/>
        <scheme val="minor"/>
      </rPr>
      <t xml:space="preserve"> Pro MFP </t>
    </r>
    <r>
      <rPr>
        <b/>
        <sz val="11"/>
        <color theme="1"/>
        <rFont val="Calibri"/>
        <family val="2"/>
        <scheme val="minor"/>
      </rPr>
      <t>M283fdw</t>
    </r>
    <r>
      <rPr>
        <sz val="11"/>
        <color theme="1"/>
        <rFont val="Calibri"/>
        <family val="2"/>
        <scheme val="minor"/>
      </rPr>
      <t xml:space="preserve"> Printer, 21 ppm Noir/Couleur, 12 ppm  duplex, </t>
    </r>
    <r>
      <rPr>
        <b/>
        <sz val="11"/>
        <color theme="1"/>
        <rFont val="Calibri"/>
        <family val="2"/>
        <scheme val="minor"/>
      </rPr>
      <t>A4</t>
    </r>
    <r>
      <rPr>
        <sz val="11"/>
        <color theme="1"/>
        <rFont val="Calibri"/>
        <family val="2"/>
        <scheme val="minor"/>
      </rPr>
      <t>, Entrée/Sortie - 250/100 papiers, ADF (Recto-Verso ) - 50 papiers, Fax, USB, RJ45, WIFI, Mobile Printing.</t>
    </r>
    <r>
      <rPr>
        <b/>
        <sz val="11"/>
        <rFont val="Calibri"/>
        <family val="2"/>
        <scheme val="minor"/>
      </rPr>
      <t>Toner HP 207A W2210A - W2211A - W2212A - W2213A</t>
    </r>
  </si>
  <si>
    <r>
      <t xml:space="preserve">HP </t>
    </r>
    <r>
      <rPr>
        <b/>
        <sz val="11"/>
        <color theme="1"/>
        <rFont val="Calibri"/>
        <family val="2"/>
        <scheme val="minor"/>
      </rPr>
      <t>Color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LaserJet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Pro MFP 4303fdw</t>
    </r>
    <r>
      <rPr>
        <sz val="11"/>
        <color theme="1"/>
        <rFont val="Calibri"/>
        <family val="2"/>
        <scheme val="minor"/>
      </rPr>
      <t xml:space="preserve"> Printer, 35 ppm Noir/Couleur, duplex printing, </t>
    </r>
    <r>
      <rPr>
        <b/>
        <sz val="11"/>
        <color theme="1"/>
        <rFont val="Calibri"/>
        <family val="2"/>
        <scheme val="minor"/>
      </rPr>
      <t>A4</t>
    </r>
    <r>
      <rPr>
        <sz val="11"/>
        <color theme="1"/>
        <rFont val="Calibri"/>
        <family val="2"/>
        <scheme val="minor"/>
      </rPr>
      <t>, Entrée/Sortie - 250/100 papiers, ADF (Recto-Verso ) - 50 papiers, Fax, USB, RJ45, WIFI, Mobile Printing.</t>
    </r>
    <r>
      <rPr>
        <b/>
        <sz val="11"/>
        <rFont val="Calibri"/>
        <family val="2"/>
        <scheme val="minor"/>
      </rPr>
      <t xml:space="preserve"> Toner HP 230A W2300A - W2301A - W2302A - W2303A</t>
    </r>
  </si>
  <si>
    <r>
      <t xml:space="preserve">HP </t>
    </r>
    <r>
      <rPr>
        <b/>
        <sz val="11"/>
        <color theme="1"/>
        <rFont val="Calibri"/>
        <family val="2"/>
        <scheme val="minor"/>
      </rPr>
      <t>Color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LaserJet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Pro MFP 4303fdn</t>
    </r>
    <r>
      <rPr>
        <sz val="11"/>
        <color theme="1"/>
        <rFont val="Calibri"/>
        <family val="2"/>
        <scheme val="minor"/>
      </rPr>
      <t xml:space="preserve"> Printer, 35 ppm Noir/Couleur, duplex printing, </t>
    </r>
    <r>
      <rPr>
        <b/>
        <sz val="11"/>
        <color theme="1"/>
        <rFont val="Calibri"/>
        <family val="2"/>
        <scheme val="minor"/>
      </rPr>
      <t>A4</t>
    </r>
    <r>
      <rPr>
        <sz val="11"/>
        <color theme="1"/>
        <rFont val="Calibri"/>
        <family val="2"/>
        <scheme val="minor"/>
      </rPr>
      <t xml:space="preserve">, Entrée/Sortie - 250/100 papiers, ADF (Recto-Verso ) - 50 papiers, Fax, USB, RJ45, Mobile Printing. </t>
    </r>
    <r>
      <rPr>
        <b/>
        <sz val="11"/>
        <color theme="1"/>
        <rFont val="Calibri"/>
        <family val="2"/>
        <scheme val="minor"/>
      </rPr>
      <t>Toner HP 230A W2300A - W2301A - W2302A - W2303A</t>
    </r>
  </si>
  <si>
    <r>
      <t xml:space="preserve">HP </t>
    </r>
    <r>
      <rPr>
        <b/>
        <sz val="11"/>
        <color theme="1"/>
        <rFont val="Calibri"/>
        <family val="2"/>
        <scheme val="minor"/>
      </rPr>
      <t>LaserJet Enterprise M611dn</t>
    </r>
    <r>
      <rPr>
        <sz val="11"/>
        <color theme="1"/>
        <rFont val="Calibri"/>
        <family val="2"/>
        <scheme val="minor"/>
      </rPr>
      <t xml:space="preserve">, 61 ppm, Recto/Verso (automatique), 5 000 à 25 000 pages mensuel, 1 port périphérique USB 2.0 haut débit; 2 ports hôte USB 2.0 haut débit; 1 port réseau Gigabit Ethernet 10/100/1000T; 1 logement d'intégration matérielle, </t>
    </r>
    <r>
      <rPr>
        <b/>
        <sz val="11"/>
        <color theme="1"/>
        <rFont val="Calibri"/>
        <family val="2"/>
        <scheme val="minor"/>
      </rPr>
      <t xml:space="preserve"> W1470A HP 147A Black</t>
    </r>
  </si>
  <si>
    <r>
      <t xml:space="preserve">HP </t>
    </r>
    <r>
      <rPr>
        <b/>
        <sz val="11"/>
        <color theme="1"/>
        <rFont val="Calibri"/>
        <family val="2"/>
        <scheme val="minor"/>
      </rPr>
      <t>LaserJet Enterprise M612dn</t>
    </r>
    <r>
      <rPr>
        <sz val="11"/>
        <color theme="1"/>
        <rFont val="Calibri"/>
        <family val="2"/>
        <scheme val="minor"/>
      </rPr>
      <t xml:space="preserve">, 71 ppm, 5 000 à 30 000 pages mensuel, 1 port périphérique USB 2.0 haut débit; 2 ports hôte USB 2.0 haut débit; 1 port réseau Gigabit Ethernet 10/100/1000T; 1 logement d'intégration matérielle - </t>
    </r>
    <r>
      <rPr>
        <b/>
        <sz val="11"/>
        <color theme="1"/>
        <rFont val="Calibri"/>
        <family val="2"/>
        <scheme val="minor"/>
      </rPr>
      <t xml:space="preserve"> W1470A HP 147A Black</t>
    </r>
  </si>
  <si>
    <t>CF259A/SR</t>
  </si>
  <si>
    <t>W1510A/SR</t>
  </si>
  <si>
    <t>W2210A/SR</t>
  </si>
  <si>
    <t>W2211A/SR</t>
  </si>
  <si>
    <t>W2212A/SR</t>
  </si>
  <si>
    <t>W2213A/SR</t>
  </si>
  <si>
    <t>W2072A/SR</t>
  </si>
  <si>
    <t>P55279-421</t>
  </si>
  <si>
    <t>HPE DL380 G10+ 4310 MR416i-p NC EU Svr</t>
  </si>
  <si>
    <t>P55278-421</t>
  </si>
  <si>
    <t>HPE DL380 G10+ 4309Y MR416i-p NC EU Svr</t>
  </si>
  <si>
    <t>P52560-421</t>
  </si>
  <si>
    <t>HPE DL380 G11 4410Y MR408i-o NC 8SFF Svr</t>
  </si>
  <si>
    <t>P55280-421</t>
  </si>
  <si>
    <t>HPE DL380 G10+ 4314 MR416i-p NC EU Svr</t>
  </si>
  <si>
    <t>P77170-425</t>
  </si>
  <si>
    <r>
      <t xml:space="preserve">HPE ProLiant DL380 G10 Plus 4309Y 8c </t>
    </r>
    <r>
      <rPr>
        <b/>
        <sz val="11"/>
        <color rgb="FFFF0000"/>
        <rFont val="Calibri"/>
        <family val="2"/>
        <scheme val="minor"/>
      </rPr>
      <t>64GB-R 8SFF SR416i-a 2x480GB SSD 2x800w</t>
    </r>
    <r>
      <rPr>
        <sz val="11"/>
        <color theme="1"/>
        <rFont val="Calibri"/>
        <family val="2"/>
        <scheme val="minor"/>
      </rPr>
      <t xml:space="preserve"> SRV</t>
    </r>
  </si>
  <si>
    <t>PS</t>
  </si>
  <si>
    <t>96Z52ET/BH4</t>
  </si>
  <si>
    <t>A38FRET/BH4</t>
  </si>
  <si>
    <t>HP 460 G11 U5-125U 16'' 8Go/512Go SSD Wifi + BT DOS 2Y</t>
  </si>
  <si>
    <t>HP x360 830 G10 i7-1355U 16Go/1To SSD 13.3 Touch W11p64 - 1yw</t>
  </si>
  <si>
    <t>TOTAL HT</t>
  </si>
  <si>
    <t>Office Home 2024 All Lng Retail Online Africa Only ESD</t>
  </si>
  <si>
    <t>EP2-06794</t>
  </si>
  <si>
    <t>Project Standard 2024 All Lng Retail Online ESD</t>
  </si>
  <si>
    <t>EP2-07057</t>
  </si>
  <si>
    <t>Office Home and Business 2024 All Lng Retail Online Africa Only ESD</t>
  </si>
  <si>
    <t>EP2-06602</t>
  </si>
  <si>
    <t>Project Pro 2024 All Lng Retail Online ESD</t>
  </si>
  <si>
    <t>EP2-07001</t>
  </si>
  <si>
    <t>Visio Pro 2024 All Lng Retail Online ESD</t>
  </si>
  <si>
    <t>EP2-07111</t>
  </si>
  <si>
    <t>Visio Std 2024 All Lng Retail Online ESD</t>
  </si>
  <si>
    <t>EP2-07167</t>
  </si>
  <si>
    <t>BVX1600LI</t>
  </si>
  <si>
    <t>APC Easy UPS 1600VA ,230V ,AVR ,IEC Sockets</t>
  </si>
  <si>
    <t>12SA000FFM</t>
  </si>
  <si>
    <t>ThinkCentre Neo 50a 27-G5 AIO 27 Non-T Ci5-13420H 8GB 512SSD Free Dos</t>
  </si>
  <si>
    <t>12SC000XFM</t>
  </si>
  <si>
    <t>ThinkCentre Neo 50a 24-G5 AIO 23.8Non-T Ci7-13620H 8GB 512SSD FreeDos</t>
  </si>
  <si>
    <t>12UD005QFM</t>
  </si>
  <si>
    <t>ThinkCentre Neo 50t-G5 TWR Ci5-14400 8GB 512SSD DVD  WIFI+BT Free Dos</t>
  </si>
  <si>
    <t xml:space="preserve">ThinkCentre Neo 50t-G4 TWR Ci7-12700 16GB 512SSD DVD Wifi+BT Free Dos </t>
  </si>
  <si>
    <t>62AEKAT2EU/G</t>
  </si>
  <si>
    <t>ThinkVision 23.8" S24e-20 (1020x1080) FHD HDMI, VGA Monitor</t>
  </si>
  <si>
    <r>
      <t xml:space="preserve">ThinkPad E14-G5 14FHD Ci5-1335U 8GB 512SSD Free Dos 2Y+TL </t>
    </r>
    <r>
      <rPr>
        <i/>
        <sz val="11"/>
        <color rgb="FFFF0000"/>
        <rFont val="Calibri"/>
        <family val="2"/>
        <scheme val="minor"/>
      </rPr>
      <t>(House de Transport)</t>
    </r>
  </si>
  <si>
    <r>
      <t xml:space="preserve">ThinkPad E14-G5 14FHD Ci7- 13700H 16GB 512SSD Free Dos 2Y +TL </t>
    </r>
    <r>
      <rPr>
        <i/>
        <sz val="9"/>
        <color rgb="FFFF0000"/>
        <rFont val="Arial"/>
        <family val="2"/>
      </rPr>
      <t>(House de Transport)</t>
    </r>
  </si>
  <si>
    <t>KTH-PL432</t>
  </si>
  <si>
    <t>021583-3450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</si>
</sst>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&quot;£&quot;* #,##0.00_-;\-&quot;£&quot;* #,##0.00_-;_-&quot;£&quot;* &quot;-&quot;??_-;_-@_-"/>
    <numFmt numFmtId="167" formatCode="[$$-C09]#,##0"/>
    <numFmt numFmtId="168" formatCode="_ &quot;￥&quot;* #,##0.00_ ;_ &quot;￥&quot;* \-#,##0.00_ ;_ &quot;￥&quot;* &quot;-&quot;??_ ;_ @_ "/>
    <numFmt numFmtId="169" formatCode="\F\C\F\A"/>
    <numFmt numFmtId="170" formatCode="_(* #,##0_);_(* \(#,##0\);_(* &quot;-&quot;??_);_(@_)"/>
    <numFmt numFmtId="171" formatCode="#,##0\ \F\C\F\A"/>
    <numFmt numFmtId="172" formatCode="#,##0\ &quot;CFA&quot;"/>
  </numFmts>
  <fonts count="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0"/>
      <name val="MS Sans Serif"/>
      <family val="2"/>
      <charset val="178"/>
    </font>
    <font>
      <u/>
      <sz val="8"/>
      <color indexed="12"/>
      <name val="Arial"/>
      <family val="2"/>
    </font>
    <font>
      <sz val="10"/>
      <name val="Arial"/>
      <family val="2"/>
    </font>
    <font>
      <sz val="9"/>
      <name val="돋움"/>
      <family val="3"/>
      <charset val="129"/>
    </font>
    <font>
      <sz val="12"/>
      <name val="新細明體"/>
      <family val="1"/>
      <charset val="136"/>
    </font>
    <font>
      <sz val="12"/>
      <name val="宋体"/>
      <charset val="134"/>
    </font>
    <font>
      <sz val="10"/>
      <color indexed="8"/>
      <name val="匠牥晩††††††††††"/>
    </font>
    <font>
      <sz val="10"/>
      <name val="Helv"/>
    </font>
    <font>
      <sz val="10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indexed="8"/>
      <name val="慲楢⁣牔湡灳牡湥⁴†††††††††"/>
    </font>
    <font>
      <sz val="12"/>
      <name val="宋体"/>
      <family val="3"/>
      <charset val="134"/>
    </font>
    <font>
      <sz val="10"/>
      <color indexed="8"/>
      <name val="Arial Narrow"/>
      <family val="2"/>
    </font>
    <font>
      <sz val="11"/>
      <color theme="1"/>
      <name val="Calibri"/>
      <family val="2"/>
      <charset val="134"/>
      <scheme val="minor"/>
    </font>
    <font>
      <i/>
      <sz val="9"/>
      <color theme="1"/>
      <name val="Calibri"/>
      <family val="2"/>
      <scheme val="minor"/>
    </font>
    <font>
      <sz val="9"/>
      <name val="Arial"/>
      <family val="2"/>
    </font>
    <font>
      <i/>
      <sz val="11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9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8"/>
      <color rgb="FFFF0000"/>
      <name val="Arial"/>
      <family val="2"/>
    </font>
    <font>
      <u/>
      <sz val="10"/>
      <color indexed="12"/>
      <name val="Arial"/>
      <family val="2"/>
    </font>
    <font>
      <b/>
      <sz val="11"/>
      <color theme="7" tint="0.3999755851924192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9"/>
      <color indexed="12"/>
      <name val="Arial"/>
      <family val="2"/>
    </font>
    <font>
      <i/>
      <sz val="9"/>
      <name val="Arial"/>
      <family val="2"/>
    </font>
    <font>
      <sz val="9"/>
      <color theme="1"/>
      <name val="Arial"/>
      <family val="2"/>
    </font>
    <font>
      <b/>
      <u/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5" tint="-0.249977111117893"/>
      <name val="Calibri"/>
      <family val="2"/>
      <scheme val="minor"/>
    </font>
    <font>
      <i/>
      <sz val="10"/>
      <color theme="5" tint="-0.249977111117893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8"/>
      <name val="Arial"/>
      <family val="2"/>
    </font>
    <font>
      <i/>
      <sz val="11"/>
      <color rgb="FFFF010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indexed="12"/>
      <name val="Calibri"/>
      <family val="2"/>
      <scheme val="minor"/>
    </font>
    <font>
      <sz val="11"/>
      <color rgb="FFFF0101"/>
      <name val="Calibri"/>
      <family val="2"/>
      <scheme val="minor"/>
    </font>
    <font>
      <b/>
      <sz val="11"/>
      <color rgb="FFFF010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6"/>
      <color rgb="FFFF0000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u/>
      <sz val="8"/>
      <color indexed="12"/>
      <name val="Arial"/>
      <family val="2"/>
    </font>
    <font>
      <i/>
      <u/>
      <sz val="11"/>
      <color indexed="12"/>
      <name val="Arial"/>
      <family val="2"/>
    </font>
    <font>
      <i/>
      <u/>
      <sz val="11"/>
      <color theme="4" tint="-0.499984740745262"/>
      <name val="Calibri"/>
      <family val="2"/>
      <scheme val="minor"/>
    </font>
    <font>
      <i/>
      <sz val="9"/>
      <color theme="1"/>
      <name val="Arial"/>
      <family val="2"/>
    </font>
    <font>
      <i/>
      <sz val="9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1">
    <xf numFmtId="0" fontId="0" fillId="0" borderId="0"/>
    <xf numFmtId="0" fontId="3" fillId="0" borderId="0"/>
    <xf numFmtId="0" fontId="11" fillId="0" borderId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0" fontId="4" fillId="0" borderId="0" applyNumberForma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12" fillId="0" borderId="0" applyFont="0" applyFill="0" applyBorder="0" applyAlignment="0" applyProtection="0"/>
    <xf numFmtId="164" fontId="10" fillId="0" borderId="0" applyFont="0" applyFill="0" applyBorder="0" applyAlignment="0" applyProtection="0"/>
    <xf numFmtId="168" fontId="1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6" fillId="0" borderId="0"/>
    <xf numFmtId="0" fontId="1" fillId="0" borderId="0"/>
    <xf numFmtId="0" fontId="1" fillId="0" borderId="0"/>
    <xf numFmtId="167" fontId="6" fillId="0" borderId="0"/>
    <xf numFmtId="0" fontId="6" fillId="0" borderId="0"/>
    <xf numFmtId="0" fontId="12" fillId="0" borderId="0"/>
    <xf numFmtId="0" fontId="10" fillId="0" borderId="0"/>
    <xf numFmtId="0" fontId="9" fillId="0" borderId="0"/>
    <xf numFmtId="0" fontId="4" fillId="0" borderId="0" applyNumberFormat="0" applyFill="0" applyBorder="0" applyAlignment="0" applyProtection="0"/>
    <xf numFmtId="0" fontId="7" fillId="0" borderId="0"/>
    <xf numFmtId="0" fontId="9" fillId="0" borderId="0"/>
    <xf numFmtId="0" fontId="8" fillId="0" borderId="0"/>
    <xf numFmtId="0" fontId="14" fillId="0" borderId="0" applyNumberFormat="0" applyFill="0" applyBorder="0" applyProtection="0">
      <alignment horizontal="left" vertical="center"/>
    </xf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15" fillId="0" borderId="0"/>
    <xf numFmtId="0" fontId="15" fillId="0" borderId="0">
      <alignment vertical="center"/>
    </xf>
    <xf numFmtId="0" fontId="15" fillId="0" borderId="0"/>
    <xf numFmtId="0" fontId="15" fillId="0" borderId="0"/>
    <xf numFmtId="0" fontId="16" fillId="0" borderId="0">
      <alignment vertical="center"/>
    </xf>
    <xf numFmtId="0" fontId="15" fillId="0" borderId="0">
      <alignment vertical="center"/>
    </xf>
    <xf numFmtId="0" fontId="15" fillId="0" borderId="0"/>
    <xf numFmtId="0" fontId="17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41" fontId="1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167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5" fillId="0" borderId="0" applyNumberFormat="0" applyFont="0" applyFill="0" applyBorder="0" applyAlignment="0" applyProtection="0"/>
    <xf numFmtId="41" fontId="1" fillId="0" borderId="0" applyFont="0" applyFill="0" applyBorder="0" applyAlignment="0" applyProtection="0"/>
    <xf numFmtId="0" fontId="1" fillId="0" borderId="0"/>
    <xf numFmtId="165" fontId="3" fillId="0" borderId="0" applyFont="0" applyFill="0" applyBorder="0" applyAlignment="0" applyProtection="0"/>
    <xf numFmtId="0" fontId="3" fillId="0" borderId="0"/>
    <xf numFmtId="0" fontId="3" fillId="0" borderId="0"/>
  </cellStyleXfs>
  <cellXfs count="415">
    <xf numFmtId="0" fontId="0" fillId="0" borderId="0" xfId="0"/>
    <xf numFmtId="0" fontId="0" fillId="2" borderId="0" xfId="0" applyFill="1"/>
    <xf numFmtId="0" fontId="5" fillId="2" borderId="0" xfId="15" applyFill="1" applyAlignment="1" applyProtection="1"/>
    <xf numFmtId="0" fontId="5" fillId="0" borderId="0" xfId="15" applyFill="1" applyAlignment="1" applyProtection="1"/>
    <xf numFmtId="0" fontId="0" fillId="2" borderId="1" xfId="0" applyFill="1" applyBorder="1"/>
    <xf numFmtId="0" fontId="2" fillId="4" borderId="0" xfId="0" applyFont="1" applyFill="1"/>
    <xf numFmtId="0" fontId="2" fillId="2" borderId="1" xfId="0" applyFont="1" applyFill="1" applyBorder="1" applyAlignment="1">
      <alignment horizontal="center" vertical="center"/>
    </xf>
    <xf numFmtId="169" fontId="18" fillId="2" borderId="0" xfId="0" applyNumberFormat="1" applyFont="1" applyFill="1"/>
    <xf numFmtId="0" fontId="26" fillId="2" borderId="1" xfId="0" applyFont="1" applyFill="1" applyBorder="1"/>
    <xf numFmtId="0" fontId="2" fillId="5" borderId="3" xfId="0" applyFont="1" applyFill="1" applyBorder="1"/>
    <xf numFmtId="0" fontId="2" fillId="3" borderId="3" xfId="0" applyFont="1" applyFill="1" applyBorder="1" applyAlignment="1">
      <alignment horizontal="center"/>
    </xf>
    <xf numFmtId="170" fontId="28" fillId="2" borderId="0" xfId="15" applyNumberFormat="1" applyFont="1" applyFill="1" applyAlignment="1" applyProtection="1"/>
    <xf numFmtId="0" fontId="26" fillId="2" borderId="8" xfId="0" applyFont="1" applyFill="1" applyBorder="1"/>
    <xf numFmtId="0" fontId="26" fillId="2" borderId="11" xfId="0" applyFont="1" applyFill="1" applyBorder="1"/>
    <xf numFmtId="0" fontId="26" fillId="2" borderId="12" xfId="0" applyFont="1" applyFill="1" applyBorder="1"/>
    <xf numFmtId="0" fontId="0" fillId="2" borderId="0" xfId="0" applyFill="1" applyProtection="1">
      <protection locked="0"/>
    </xf>
    <xf numFmtId="169" fontId="0" fillId="2" borderId="0" xfId="0" applyNumberFormat="1" applyFill="1" applyProtection="1">
      <protection locked="0"/>
    </xf>
    <xf numFmtId="170" fontId="21" fillId="2" borderId="0" xfId="50" applyNumberFormat="1" applyFont="1" applyFill="1" applyProtection="1">
      <protection locked="0"/>
    </xf>
    <xf numFmtId="0" fontId="2" fillId="4" borderId="0" xfId="0" applyFont="1" applyFill="1" applyProtection="1">
      <protection locked="0"/>
    </xf>
    <xf numFmtId="0" fontId="2" fillId="5" borderId="5" xfId="0" applyFont="1" applyFill="1" applyBorder="1" applyProtection="1">
      <protection locked="0"/>
    </xf>
    <xf numFmtId="170" fontId="0" fillId="2" borderId="1" xfId="50" applyNumberFormat="1" applyFont="1" applyFill="1" applyBorder="1" applyProtection="1">
      <protection locked="0"/>
    </xf>
    <xf numFmtId="0" fontId="2" fillId="3" borderId="5" xfId="0" applyFont="1" applyFill="1" applyBorder="1" applyProtection="1">
      <protection locked="0"/>
    </xf>
    <xf numFmtId="0" fontId="2" fillId="3" borderId="3" xfId="0" applyFont="1" applyFill="1" applyBorder="1"/>
    <xf numFmtId="0" fontId="2" fillId="3" borderId="4" xfId="0" applyFont="1" applyFill="1" applyBorder="1"/>
    <xf numFmtId="170" fontId="0" fillId="2" borderId="0" xfId="50" applyNumberFormat="1" applyFont="1" applyFill="1" applyProtection="1"/>
    <xf numFmtId="169" fontId="2" fillId="2" borderId="0" xfId="0" applyNumberFormat="1" applyFont="1" applyFill="1" applyAlignment="1">
      <alignment horizontal="center"/>
    </xf>
    <xf numFmtId="170" fontId="2" fillId="2" borderId="0" xfId="50" applyNumberFormat="1" applyFont="1" applyFill="1" applyAlignment="1" applyProtection="1">
      <alignment horizontal="right"/>
    </xf>
    <xf numFmtId="169" fontId="2" fillId="2" borderId="1" xfId="0" applyNumberFormat="1" applyFont="1" applyFill="1" applyBorder="1" applyAlignment="1">
      <alignment horizontal="center" vertical="center"/>
    </xf>
    <xf numFmtId="170" fontId="2" fillId="2" borderId="1" xfId="50" applyNumberFormat="1" applyFont="1" applyFill="1" applyBorder="1" applyAlignment="1" applyProtection="1">
      <alignment horizontal="center" vertical="center"/>
    </xf>
    <xf numFmtId="170" fontId="2" fillId="4" borderId="0" xfId="50" applyNumberFormat="1" applyFont="1" applyFill="1" applyBorder="1" applyProtection="1"/>
    <xf numFmtId="0" fontId="2" fillId="5" borderId="4" xfId="0" applyFont="1" applyFill="1" applyBorder="1"/>
    <xf numFmtId="0" fontId="2" fillId="5" borderId="3" xfId="0" applyFont="1" applyFill="1" applyBorder="1" applyAlignment="1">
      <alignment horizontal="center"/>
    </xf>
    <xf numFmtId="170" fontId="18" fillId="2" borderId="0" xfId="50" applyNumberFormat="1" applyFont="1" applyFill="1" applyProtection="1"/>
    <xf numFmtId="0" fontId="18" fillId="2" borderId="0" xfId="0" applyFont="1" applyFill="1"/>
    <xf numFmtId="170" fontId="21" fillId="2" borderId="0" xfId="50" applyNumberFormat="1" applyFont="1" applyFill="1" applyProtection="1"/>
    <xf numFmtId="169" fontId="21" fillId="2" borderId="0" xfId="0" applyNumberFormat="1" applyFont="1" applyFill="1"/>
    <xf numFmtId="169" fontId="0" fillId="2" borderId="0" xfId="0" applyNumberFormat="1" applyFill="1"/>
    <xf numFmtId="169" fontId="2" fillId="2" borderId="0" xfId="0" applyNumberFormat="1" applyFont="1" applyFill="1" applyAlignment="1">
      <alignment horizontal="right"/>
    </xf>
    <xf numFmtId="169" fontId="23" fillId="2" borderId="0" xfId="0" applyNumberFormat="1" applyFont="1" applyFill="1" applyProtection="1">
      <protection locked="0"/>
    </xf>
    <xf numFmtId="0" fontId="24" fillId="4" borderId="0" xfId="0" applyFont="1" applyFill="1" applyProtection="1">
      <protection locked="0"/>
    </xf>
    <xf numFmtId="170" fontId="1" fillId="2" borderId="1" xfId="50" applyNumberFormat="1" applyFont="1" applyFill="1" applyBorder="1" applyProtection="1">
      <protection locked="0"/>
    </xf>
    <xf numFmtId="0" fontId="2" fillId="2" borderId="0" xfId="0" applyFont="1" applyFill="1"/>
    <xf numFmtId="170" fontId="23" fillId="2" borderId="1" xfId="50" applyNumberFormat="1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>
      <alignment wrapText="1"/>
    </xf>
    <xf numFmtId="170" fontId="23" fillId="2" borderId="0" xfId="50" applyNumberFormat="1" applyFont="1" applyFill="1" applyAlignment="1" applyProtection="1">
      <alignment horizontal="center"/>
      <protection locked="0"/>
    </xf>
    <xf numFmtId="0" fontId="25" fillId="2" borderId="0" xfId="0" applyFont="1" applyFill="1" applyProtection="1">
      <protection locked="0"/>
    </xf>
    <xf numFmtId="170" fontId="0" fillId="2" borderId="0" xfId="50" applyNumberFormat="1" applyFont="1" applyFill="1" applyAlignment="1" applyProtection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6" xfId="0" applyFont="1" applyFill="1" applyBorder="1"/>
    <xf numFmtId="170" fontId="2" fillId="4" borderId="0" xfId="50" applyNumberFormat="1" applyFont="1" applyFill="1" applyBorder="1" applyAlignment="1" applyProtection="1">
      <alignment horizontal="center"/>
    </xf>
    <xf numFmtId="0" fontId="24" fillId="4" borderId="0" xfId="0" applyFont="1" applyFill="1"/>
    <xf numFmtId="170" fontId="24" fillId="4" borderId="0" xfId="50" applyNumberFormat="1" applyFont="1" applyFill="1" applyBorder="1" applyAlignment="1" applyProtection="1">
      <alignment horizontal="center"/>
    </xf>
    <xf numFmtId="0" fontId="24" fillId="5" borderId="4" xfId="0" applyFont="1" applyFill="1" applyBorder="1"/>
    <xf numFmtId="0" fontId="25" fillId="2" borderId="0" xfId="0" applyFont="1" applyFill="1"/>
    <xf numFmtId="170" fontId="0" fillId="2" borderId="0" xfId="50" applyNumberFormat="1" applyFont="1" applyFill="1" applyAlignment="1" applyProtection="1">
      <alignment horizontal="center" vertical="center"/>
      <protection locked="0"/>
    </xf>
    <xf numFmtId="170" fontId="0" fillId="2" borderId="0" xfId="50" applyNumberFormat="1" applyFont="1" applyFill="1" applyAlignment="1" applyProtection="1">
      <alignment horizontal="center" vertical="center"/>
    </xf>
    <xf numFmtId="170" fontId="2" fillId="2" borderId="6" xfId="50" applyNumberFormat="1" applyFont="1" applyFill="1" applyBorder="1" applyAlignment="1" applyProtection="1">
      <alignment horizontal="center" vertical="center"/>
    </xf>
    <xf numFmtId="170" fontId="2" fillId="2" borderId="6" xfId="50" applyNumberFormat="1" applyFont="1" applyFill="1" applyBorder="1" applyAlignment="1" applyProtection="1">
      <alignment vertical="center"/>
    </xf>
    <xf numFmtId="171" fontId="2" fillId="2" borderId="1" xfId="50" applyNumberFormat="1" applyFont="1" applyFill="1" applyBorder="1" applyAlignment="1" applyProtection="1">
      <alignment horizontal="center" vertical="center"/>
    </xf>
    <xf numFmtId="170" fontId="2" fillId="4" borderId="0" xfId="50" applyNumberFormat="1" applyFont="1" applyFill="1" applyBorder="1" applyAlignment="1" applyProtection="1">
      <alignment horizontal="center" vertical="center"/>
    </xf>
    <xf numFmtId="170" fontId="5" fillId="2" borderId="1" xfId="15" applyNumberFormat="1" applyFill="1" applyBorder="1" applyAlignment="1" applyProtection="1">
      <alignment horizontal="center" vertical="center"/>
      <protection locked="0"/>
    </xf>
    <xf numFmtId="0" fontId="24" fillId="4" borderId="1" xfId="0" applyFont="1" applyFill="1" applyBorder="1" applyProtection="1">
      <protection locked="0"/>
    </xf>
    <xf numFmtId="0" fontId="2" fillId="5" borderId="1" xfId="0" applyFont="1" applyFill="1" applyBorder="1" applyProtection="1">
      <protection locked="0"/>
    </xf>
    <xf numFmtId="0" fontId="13" fillId="2" borderId="0" xfId="0" applyFont="1" applyFill="1"/>
    <xf numFmtId="0" fontId="29" fillId="2" borderId="0" xfId="15" applyFont="1" applyFill="1" applyAlignment="1" applyProtection="1"/>
    <xf numFmtId="0" fontId="30" fillId="5" borderId="3" xfId="0" applyFont="1" applyFill="1" applyBorder="1"/>
    <xf numFmtId="0" fontId="31" fillId="4" borderId="0" xfId="0" applyFont="1" applyFill="1"/>
    <xf numFmtId="0" fontId="32" fillId="2" borderId="3" xfId="0" applyFont="1" applyFill="1" applyBorder="1"/>
    <xf numFmtId="0" fontId="32" fillId="2" borderId="4" xfId="0" applyFont="1" applyFill="1" applyBorder="1"/>
    <xf numFmtId="0" fontId="32" fillId="2" borderId="5" xfId="0" applyFont="1" applyFill="1" applyBorder="1"/>
    <xf numFmtId="0" fontId="32" fillId="2" borderId="0" xfId="0" applyFont="1" applyFill="1"/>
    <xf numFmtId="0" fontId="32" fillId="2" borderId="7" xfId="0" applyFont="1" applyFill="1" applyBorder="1"/>
    <xf numFmtId="0" fontId="32" fillId="2" borderId="9" xfId="0" applyFont="1" applyFill="1" applyBorder="1"/>
    <xf numFmtId="0" fontId="32" fillId="2" borderId="7" xfId="21" applyFont="1" applyFill="1" applyBorder="1"/>
    <xf numFmtId="0" fontId="32" fillId="2" borderId="0" xfId="21" applyFont="1" applyFill="1"/>
    <xf numFmtId="0" fontId="33" fillId="0" borderId="14" xfId="21" applyFont="1" applyBorder="1"/>
    <xf numFmtId="0" fontId="33" fillId="0" borderId="1" xfId="21" applyFont="1" applyBorder="1" applyAlignment="1">
      <alignment horizontal="left"/>
    </xf>
    <xf numFmtId="0" fontId="34" fillId="2" borderId="7" xfId="15" applyFont="1" applyFill="1" applyBorder="1" applyAlignment="1" applyProtection="1"/>
    <xf numFmtId="0" fontId="18" fillId="2" borderId="0" xfId="21" applyFont="1" applyFill="1"/>
    <xf numFmtId="0" fontId="34" fillId="2" borderId="7" xfId="15" quotePrefix="1" applyFont="1" applyFill="1" applyBorder="1" applyAlignment="1" applyProtection="1"/>
    <xf numFmtId="0" fontId="33" fillId="3" borderId="3" xfId="21" applyFont="1" applyFill="1" applyBorder="1"/>
    <xf numFmtId="0" fontId="33" fillId="3" borderId="4" xfId="21" applyFont="1" applyFill="1" applyBorder="1"/>
    <xf numFmtId="0" fontId="33" fillId="3" borderId="5" xfId="21" applyFont="1" applyFill="1" applyBorder="1"/>
    <xf numFmtId="0" fontId="34" fillId="0" borderId="7" xfId="15" applyFont="1" applyFill="1" applyBorder="1" applyAlignment="1" applyProtection="1"/>
    <xf numFmtId="0" fontId="35" fillId="2" borderId="1" xfId="15" applyFont="1" applyFill="1" applyBorder="1" applyAlignment="1" applyProtection="1"/>
    <xf numFmtId="0" fontId="35" fillId="2" borderId="8" xfId="15" applyFont="1" applyFill="1" applyBorder="1" applyAlignment="1" applyProtection="1"/>
    <xf numFmtId="0" fontId="33" fillId="2" borderId="0" xfId="21" applyFont="1" applyFill="1"/>
    <xf numFmtId="0" fontId="19" fillId="0" borderId="0" xfId="1" applyFont="1"/>
    <xf numFmtId="0" fontId="34" fillId="2" borderId="10" xfId="15" applyFont="1" applyFill="1" applyBorder="1" applyAlignment="1" applyProtection="1"/>
    <xf numFmtId="0" fontId="36" fillId="2" borderId="6" xfId="21" applyFont="1" applyFill="1" applyBorder="1"/>
    <xf numFmtId="0" fontId="37" fillId="2" borderId="0" xfId="0" applyFont="1" applyFill="1" applyAlignment="1">
      <alignment vertical="center"/>
    </xf>
    <xf numFmtId="0" fontId="33" fillId="2" borderId="0" xfId="0" applyFont="1" applyFill="1" applyAlignment="1">
      <alignment horizontal="left" vertical="center" indent="1"/>
    </xf>
    <xf numFmtId="0" fontId="32" fillId="2" borderId="0" xfId="0" applyFont="1" applyFill="1" applyAlignment="1">
      <alignment horizontal="left" vertical="center" indent="1"/>
    </xf>
    <xf numFmtId="170" fontId="13" fillId="2" borderId="0" xfId="50" applyNumberFormat="1" applyFont="1" applyFill="1" applyAlignment="1" applyProtection="1">
      <alignment horizontal="center" vertical="center"/>
    </xf>
    <xf numFmtId="170" fontId="13" fillId="2" borderId="0" xfId="50" applyNumberFormat="1" applyFont="1" applyFill="1" applyAlignment="1" applyProtection="1">
      <alignment horizontal="center" vertical="center"/>
      <protection locked="0"/>
    </xf>
    <xf numFmtId="170" fontId="38" fillId="2" borderId="0" xfId="50" applyNumberFormat="1" applyFont="1" applyFill="1" applyProtection="1"/>
    <xf numFmtId="0" fontId="13" fillId="2" borderId="0" xfId="0" applyFont="1" applyFill="1" applyProtection="1">
      <protection locked="0"/>
    </xf>
    <xf numFmtId="170" fontId="39" fillId="2" borderId="6" xfId="50" applyNumberFormat="1" applyFont="1" applyFill="1" applyBorder="1" applyAlignment="1" applyProtection="1">
      <alignment horizontal="center" vertical="center"/>
    </xf>
    <xf numFmtId="170" fontId="39" fillId="2" borderId="6" xfId="50" applyNumberFormat="1" applyFont="1" applyFill="1" applyBorder="1" applyAlignment="1" applyProtection="1">
      <alignment vertical="center"/>
    </xf>
    <xf numFmtId="170" fontId="40" fillId="2" borderId="0" xfId="50" applyNumberFormat="1" applyFont="1" applyFill="1" applyProtection="1">
      <protection locked="0"/>
    </xf>
    <xf numFmtId="0" fontId="39" fillId="3" borderId="3" xfId="0" applyFont="1" applyFill="1" applyBorder="1"/>
    <xf numFmtId="0" fontId="39" fillId="3" borderId="4" xfId="0" applyFont="1" applyFill="1" applyBorder="1"/>
    <xf numFmtId="0" fontId="39" fillId="3" borderId="3" xfId="0" applyFont="1" applyFill="1" applyBorder="1" applyAlignment="1">
      <alignment horizontal="center"/>
    </xf>
    <xf numFmtId="0" fontId="39" fillId="3" borderId="5" xfId="0" applyFont="1" applyFill="1" applyBorder="1" applyProtection="1">
      <protection locked="0"/>
    </xf>
    <xf numFmtId="0" fontId="38" fillId="2" borderId="0" xfId="0" applyFont="1" applyFill="1"/>
    <xf numFmtId="0" fontId="39" fillId="2" borderId="1" xfId="0" applyFont="1" applyFill="1" applyBorder="1" applyAlignment="1">
      <alignment horizontal="center" vertical="center"/>
    </xf>
    <xf numFmtId="171" fontId="39" fillId="2" borderId="1" xfId="50" applyNumberFormat="1" applyFont="1" applyFill="1" applyBorder="1" applyAlignment="1" applyProtection="1">
      <alignment horizontal="center" vertical="center"/>
    </xf>
    <xf numFmtId="170" fontId="39" fillId="2" borderId="1" xfId="50" applyNumberFormat="1" applyFont="1" applyFill="1" applyBorder="1" applyAlignment="1" applyProtection="1">
      <alignment horizontal="center" vertical="center"/>
    </xf>
    <xf numFmtId="170" fontId="29" fillId="2" borderId="1" xfId="15" applyNumberFormat="1" applyFont="1" applyFill="1" applyBorder="1" applyAlignment="1" applyProtection="1">
      <alignment horizontal="center" vertical="center"/>
      <protection locked="0"/>
    </xf>
    <xf numFmtId="0" fontId="39" fillId="4" borderId="0" xfId="0" applyFont="1" applyFill="1"/>
    <xf numFmtId="170" fontId="39" fillId="4" borderId="0" xfId="50" applyNumberFormat="1" applyFont="1" applyFill="1" applyBorder="1" applyAlignment="1" applyProtection="1">
      <alignment horizontal="center" vertical="center"/>
    </xf>
    <xf numFmtId="0" fontId="39" fillId="5" borderId="3" xfId="0" applyFont="1" applyFill="1" applyBorder="1"/>
    <xf numFmtId="0" fontId="39" fillId="5" borderId="4" xfId="0" applyFont="1" applyFill="1" applyBorder="1"/>
    <xf numFmtId="0" fontId="39" fillId="5" borderId="3" xfId="0" applyFont="1" applyFill="1" applyBorder="1" applyAlignment="1">
      <alignment horizontal="center"/>
    </xf>
    <xf numFmtId="0" fontId="13" fillId="2" borderId="1" xfId="0" applyFont="1" applyFill="1" applyBorder="1"/>
    <xf numFmtId="170" fontId="13" fillId="2" borderId="1" xfId="50" applyNumberFormat="1" applyFont="1" applyFill="1" applyBorder="1" applyAlignment="1" applyProtection="1">
      <alignment horizontal="center" vertical="center"/>
      <protection locked="0"/>
    </xf>
    <xf numFmtId="0" fontId="41" fillId="4" borderId="0" xfId="0" applyFont="1" applyFill="1"/>
    <xf numFmtId="169" fontId="38" fillId="2" borderId="0" xfId="0" applyNumberFormat="1" applyFont="1" applyFill="1"/>
    <xf numFmtId="0" fontId="13" fillId="2" borderId="0" xfId="0" applyFont="1" applyFill="1" applyAlignment="1" applyProtection="1">
      <alignment horizontal="center"/>
      <protection locked="0"/>
    </xf>
    <xf numFmtId="0" fontId="13" fillId="2" borderId="0" xfId="0" applyFont="1" applyFill="1" applyAlignment="1" applyProtection="1">
      <alignment horizontal="center" vertical="center"/>
      <protection locked="0"/>
    </xf>
    <xf numFmtId="169" fontId="0" fillId="2" borderId="0" xfId="0" applyNumberFormat="1" applyFill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5" borderId="4" xfId="0" applyFont="1" applyFill="1" applyBorder="1" applyAlignment="1">
      <alignment horizontal="center"/>
    </xf>
    <xf numFmtId="41" fontId="23" fillId="2" borderId="0" xfId="52" applyFont="1" applyFill="1" applyProtection="1">
      <protection locked="0"/>
    </xf>
    <xf numFmtId="41" fontId="21" fillId="2" borderId="0" xfId="52" applyFont="1" applyFill="1" applyProtection="1">
      <protection locked="0"/>
    </xf>
    <xf numFmtId="41" fontId="2" fillId="3" borderId="5" xfId="52" applyFont="1" applyFill="1" applyBorder="1" applyAlignment="1" applyProtection="1">
      <protection locked="0"/>
    </xf>
    <xf numFmtId="41" fontId="5" fillId="0" borderId="1" xfId="52" applyFont="1" applyFill="1" applyBorder="1" applyAlignment="1" applyProtection="1">
      <alignment horizontal="center" vertical="center"/>
    </xf>
    <xf numFmtId="41" fontId="2" fillId="4" borderId="1" xfId="52" applyFont="1" applyFill="1" applyBorder="1" applyAlignment="1" applyProtection="1">
      <alignment horizontal="center"/>
    </xf>
    <xf numFmtId="170" fontId="0" fillId="2" borderId="17" xfId="50" applyNumberFormat="1" applyFont="1" applyFill="1" applyBorder="1" applyAlignment="1" applyProtection="1">
      <alignment horizontal="center" vertical="center"/>
    </xf>
    <xf numFmtId="170" fontId="20" fillId="2" borderId="17" xfId="50" applyNumberFormat="1" applyFont="1" applyFill="1" applyBorder="1" applyAlignment="1" applyProtection="1">
      <alignment horizontal="center" vertical="center"/>
    </xf>
    <xf numFmtId="0" fontId="2" fillId="4" borderId="1" xfId="0" applyFont="1" applyFill="1" applyBorder="1" applyProtection="1">
      <protection locked="0"/>
    </xf>
    <xf numFmtId="170" fontId="22" fillId="2" borderId="17" xfId="50" applyNumberFormat="1" applyFont="1" applyFill="1" applyBorder="1" applyAlignment="1" applyProtection="1">
      <alignment horizontal="center" vertical="center"/>
    </xf>
    <xf numFmtId="170" fontId="27" fillId="2" borderId="17" xfId="50" applyNumberFormat="1" applyFont="1" applyFill="1" applyBorder="1" applyAlignment="1" applyProtection="1">
      <alignment horizontal="center" vertical="center"/>
    </xf>
    <xf numFmtId="170" fontId="24" fillId="4" borderId="1" xfId="50" applyNumberFormat="1" applyFont="1" applyFill="1" applyBorder="1" applyAlignment="1" applyProtection="1">
      <alignment horizontal="center"/>
      <protection locked="0"/>
    </xf>
    <xf numFmtId="0" fontId="24" fillId="5" borderId="1" xfId="0" applyFont="1" applyFill="1" applyBorder="1" applyProtection="1">
      <protection locked="0"/>
    </xf>
    <xf numFmtId="170" fontId="2" fillId="4" borderId="1" xfId="50" applyNumberFormat="1" applyFont="1" applyFill="1" applyBorder="1" applyAlignment="1" applyProtection="1">
      <alignment horizontal="center" vertical="center"/>
      <protection locked="0"/>
    </xf>
    <xf numFmtId="170" fontId="39" fillId="4" borderId="1" xfId="50" applyNumberFormat="1" applyFont="1" applyFill="1" applyBorder="1" applyAlignment="1" applyProtection="1">
      <alignment horizontal="center" vertical="center"/>
      <protection locked="0"/>
    </xf>
    <xf numFmtId="0" fontId="39" fillId="5" borderId="1" xfId="0" applyFont="1" applyFill="1" applyBorder="1" applyProtection="1">
      <protection locked="0"/>
    </xf>
    <xf numFmtId="170" fontId="2" fillId="2" borderId="17" xfId="50" applyNumberFormat="1" applyFont="1" applyFill="1" applyBorder="1" applyAlignment="1" applyProtection="1">
      <alignment horizontal="center" vertical="center"/>
    </xf>
    <xf numFmtId="0" fontId="0" fillId="2" borderId="15" xfId="0" applyFill="1" applyBorder="1"/>
    <xf numFmtId="0" fontId="0" fillId="2" borderId="16" xfId="0" applyFill="1" applyBorder="1"/>
    <xf numFmtId="0" fontId="0" fillId="2" borderId="18" xfId="0" applyFill="1" applyBorder="1"/>
    <xf numFmtId="0" fontId="0" fillId="2" borderId="19" xfId="0" applyFill="1" applyBorder="1"/>
    <xf numFmtId="41" fontId="0" fillId="2" borderId="20" xfId="52" applyFont="1" applyFill="1" applyBorder="1" applyProtection="1">
      <protection locked="0"/>
    </xf>
    <xf numFmtId="0" fontId="0" fillId="2" borderId="14" xfId="0" applyFill="1" applyBorder="1"/>
    <xf numFmtId="41" fontId="0" fillId="2" borderId="8" xfId="52" applyFont="1" applyFill="1" applyBorder="1" applyProtection="1">
      <protection locked="0"/>
    </xf>
    <xf numFmtId="0" fontId="0" fillId="2" borderId="21" xfId="0" applyFill="1" applyBorder="1"/>
    <xf numFmtId="0" fontId="0" fillId="2" borderId="11" xfId="0" applyFill="1" applyBorder="1"/>
    <xf numFmtId="41" fontId="0" fillId="2" borderId="12" xfId="52" applyFont="1" applyFill="1" applyBorder="1" applyProtection="1">
      <protection locked="0"/>
    </xf>
    <xf numFmtId="170" fontId="20" fillId="2" borderId="1" xfId="50" applyNumberFormat="1" applyFont="1" applyFill="1" applyBorder="1" applyAlignment="1" applyProtection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3" fillId="2" borderId="1" xfId="0" applyFont="1" applyFill="1" applyBorder="1" applyAlignment="1">
      <alignment horizontal="center"/>
    </xf>
    <xf numFmtId="0" fontId="39" fillId="7" borderId="1" xfId="0" applyFont="1" applyFill="1" applyBorder="1" applyAlignment="1">
      <alignment horizontal="center" vertical="center"/>
    </xf>
    <xf numFmtId="0" fontId="39" fillId="7" borderId="1" xfId="0" applyFont="1" applyFill="1" applyBorder="1" applyAlignment="1">
      <alignment horizontal="center" vertical="center" wrapText="1"/>
    </xf>
    <xf numFmtId="170" fontId="39" fillId="7" borderId="1" xfId="50" applyNumberFormat="1" applyFont="1" applyFill="1" applyBorder="1" applyAlignment="1" applyProtection="1">
      <alignment horizontal="center" vertical="center"/>
    </xf>
    <xf numFmtId="171" fontId="13" fillId="2" borderId="1" xfId="50" applyNumberFormat="1" applyFont="1" applyFill="1" applyBorder="1" applyAlignment="1" applyProtection="1">
      <alignment horizontal="center" vertical="center"/>
    </xf>
    <xf numFmtId="170" fontId="0" fillId="2" borderId="17" xfId="50" applyNumberFormat="1" applyFont="1" applyFill="1" applyBorder="1" applyAlignment="1" applyProtection="1">
      <alignment horizontal="center"/>
    </xf>
    <xf numFmtId="0" fontId="0" fillId="2" borderId="0" xfId="0" applyFill="1" applyAlignment="1">
      <alignment wrapText="1"/>
    </xf>
    <xf numFmtId="0" fontId="2" fillId="3" borderId="3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4" borderId="0" xfId="0" applyFont="1" applyFill="1" applyAlignment="1">
      <alignment wrapText="1"/>
    </xf>
    <xf numFmtId="0" fontId="2" fillId="5" borderId="3" xfId="0" applyFont="1" applyFill="1" applyBorder="1" applyAlignment="1">
      <alignment horizontal="center" wrapText="1"/>
    </xf>
    <xf numFmtId="0" fontId="23" fillId="2" borderId="1" xfId="0" applyFont="1" applyFill="1" applyBorder="1" applyAlignment="1">
      <alignment wrapText="1"/>
    </xf>
    <xf numFmtId="0" fontId="25" fillId="2" borderId="1" xfId="0" applyFont="1" applyFill="1" applyBorder="1" applyAlignment="1">
      <alignment wrapText="1"/>
    </xf>
    <xf numFmtId="0" fontId="24" fillId="4" borderId="0" xfId="0" applyFont="1" applyFill="1" applyAlignment="1">
      <alignment wrapText="1"/>
    </xf>
    <xf numFmtId="0" fontId="24" fillId="5" borderId="3" xfId="0" applyFont="1" applyFill="1" applyBorder="1" applyAlignment="1">
      <alignment horizontal="center" wrapText="1"/>
    </xf>
    <xf numFmtId="0" fontId="0" fillId="2" borderId="1" xfId="0" applyFill="1" applyBorder="1" applyAlignment="1">
      <alignment vertical="center"/>
    </xf>
    <xf numFmtId="0" fontId="25" fillId="2" borderId="1" xfId="0" applyFont="1" applyFill="1" applyBorder="1" applyAlignment="1">
      <alignment vertical="center"/>
    </xf>
    <xf numFmtId="0" fontId="23" fillId="2" borderId="1" xfId="0" applyFont="1" applyFill="1" applyBorder="1" applyAlignment="1">
      <alignment vertical="center"/>
    </xf>
    <xf numFmtId="0" fontId="31" fillId="4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30" fillId="5" borderId="3" xfId="0" applyFont="1" applyFill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0" fontId="24" fillId="4" borderId="0" xfId="0" applyFont="1" applyFill="1" applyAlignment="1">
      <alignment vertical="center"/>
    </xf>
    <xf numFmtId="0" fontId="24" fillId="5" borderId="4" xfId="0" applyFont="1" applyFill="1" applyBorder="1" applyAlignment="1">
      <alignment vertical="center"/>
    </xf>
    <xf numFmtId="171" fontId="0" fillId="2" borderId="0" xfId="0" applyNumberFormat="1" applyFill="1"/>
    <xf numFmtId="0" fontId="40" fillId="2" borderId="0" xfId="0" applyFont="1" applyFill="1" applyAlignment="1" applyProtection="1">
      <alignment horizontal="left"/>
      <protection locked="0"/>
    </xf>
    <xf numFmtId="0" fontId="0" fillId="2" borderId="23" xfId="0" applyFill="1" applyBorder="1"/>
    <xf numFmtId="41" fontId="0" fillId="2" borderId="24" xfId="52" applyFont="1" applyFill="1" applyBorder="1" applyProtection="1">
      <protection locked="0"/>
    </xf>
    <xf numFmtId="0" fontId="0" fillId="2" borderId="15" xfId="0" applyFill="1" applyBorder="1" applyAlignment="1">
      <alignment vertical="center"/>
    </xf>
    <xf numFmtId="0" fontId="31" fillId="4" borderId="16" xfId="0" applyFont="1" applyFill="1" applyBorder="1"/>
    <xf numFmtId="0" fontId="2" fillId="4" borderId="16" xfId="0" applyFont="1" applyFill="1" applyBorder="1"/>
    <xf numFmtId="0" fontId="2" fillId="4" borderId="16" xfId="0" applyFont="1" applyFill="1" applyBorder="1" applyAlignment="1">
      <alignment horizontal="center"/>
    </xf>
    <xf numFmtId="0" fontId="0" fillId="2" borderId="25" xfId="0" applyFill="1" applyBorder="1"/>
    <xf numFmtId="0" fontId="0" fillId="2" borderId="22" xfId="0" applyFill="1" applyBorder="1"/>
    <xf numFmtId="41" fontId="0" fillId="2" borderId="26" xfId="52" applyFont="1" applyFill="1" applyBorder="1" applyProtection="1">
      <protection locked="0"/>
    </xf>
    <xf numFmtId="41" fontId="2" fillId="5" borderId="15" xfId="52" applyFont="1" applyFill="1" applyBorder="1" applyAlignment="1" applyProtection="1">
      <alignment horizontal="center"/>
    </xf>
    <xf numFmtId="0" fontId="30" fillId="5" borderId="15" xfId="0" applyFont="1" applyFill="1" applyBorder="1"/>
    <xf numFmtId="0" fontId="2" fillId="5" borderId="15" xfId="0" applyFont="1" applyFill="1" applyBorder="1"/>
    <xf numFmtId="0" fontId="2" fillId="5" borderId="15" xfId="0" applyFont="1" applyFill="1" applyBorder="1" applyAlignment="1">
      <alignment horizontal="center"/>
    </xf>
    <xf numFmtId="41" fontId="2" fillId="4" borderId="16" xfId="52" applyFont="1" applyFill="1" applyBorder="1" applyAlignment="1" applyProtection="1">
      <alignment horizontal="center"/>
    </xf>
    <xf numFmtId="170" fontId="23" fillId="2" borderId="20" xfId="50" applyNumberFormat="1" applyFont="1" applyFill="1" applyBorder="1" applyAlignment="1" applyProtection="1">
      <alignment horizontal="center" vertical="center"/>
      <protection locked="0"/>
    </xf>
    <xf numFmtId="0" fontId="24" fillId="4" borderId="16" xfId="0" applyFont="1" applyFill="1" applyBorder="1" applyProtection="1">
      <protection locked="0"/>
    </xf>
    <xf numFmtId="0" fontId="0" fillId="2" borderId="1" xfId="0" applyFill="1" applyBorder="1" applyAlignment="1">
      <alignment vertical="center" wrapText="1"/>
    </xf>
    <xf numFmtId="41" fontId="0" fillId="2" borderId="28" xfId="52" applyFont="1" applyFill="1" applyBorder="1" applyProtection="1">
      <protection locked="0"/>
    </xf>
    <xf numFmtId="0" fontId="0" fillId="2" borderId="27" xfId="0" applyFill="1" applyBorder="1"/>
    <xf numFmtId="165" fontId="0" fillId="2" borderId="0" xfId="0" applyNumberFormat="1" applyFill="1" applyProtection="1">
      <protection locked="0"/>
    </xf>
    <xf numFmtId="165" fontId="0" fillId="2" borderId="0" xfId="0" applyNumberFormat="1" applyFill="1"/>
    <xf numFmtId="0" fontId="0" fillId="2" borderId="1" xfId="0" applyFill="1" applyBorder="1" applyAlignment="1">
      <alignment horizontal="left" vertical="center"/>
    </xf>
    <xf numFmtId="0" fontId="32" fillId="2" borderId="0" xfId="0" applyFont="1" applyFill="1" applyAlignment="1">
      <alignment horizontal="left"/>
    </xf>
    <xf numFmtId="0" fontId="18" fillId="2" borderId="0" xfId="0" applyFont="1" applyFill="1" applyAlignment="1">
      <alignment horizontal="left"/>
    </xf>
    <xf numFmtId="0" fontId="31" fillId="4" borderId="0" xfId="0" applyFont="1" applyFill="1" applyAlignment="1">
      <alignment horizontal="left" vertical="center"/>
    </xf>
    <xf numFmtId="0" fontId="30" fillId="5" borderId="3" xfId="0" applyFont="1" applyFill="1" applyBorder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2" fillId="5" borderId="4" xfId="0" applyFont="1" applyFill="1" applyBorder="1" applyAlignment="1">
      <alignment horizontal="left" vertical="center"/>
    </xf>
    <xf numFmtId="170" fontId="23" fillId="2" borderId="17" xfId="50" applyNumberFormat="1" applyFont="1" applyFill="1" applyBorder="1" applyAlignment="1" applyProtection="1">
      <alignment horizontal="center" vertical="center"/>
    </xf>
    <xf numFmtId="170" fontId="43" fillId="2" borderId="1" xfId="50" applyNumberFormat="1" applyFont="1" applyFill="1" applyBorder="1" applyAlignment="1" applyProtection="1">
      <alignment horizontal="center" vertical="center"/>
      <protection locked="0"/>
    </xf>
    <xf numFmtId="170" fontId="44" fillId="2" borderId="0" xfId="50" applyNumberFormat="1" applyFont="1" applyFill="1" applyProtection="1"/>
    <xf numFmtId="165" fontId="0" fillId="2" borderId="0" xfId="50" applyFont="1" applyFill="1"/>
    <xf numFmtId="170" fontId="23" fillId="2" borderId="11" xfId="50" applyNumberFormat="1" applyFont="1" applyFill="1" applyBorder="1" applyAlignment="1" applyProtection="1">
      <alignment horizontal="center" vertical="center"/>
    </xf>
    <xf numFmtId="171" fontId="23" fillId="2" borderId="1" xfId="50" applyNumberFormat="1" applyFont="1" applyFill="1" applyBorder="1" applyAlignment="1" applyProtection="1">
      <alignment horizontal="center" vertical="center"/>
    </xf>
    <xf numFmtId="171" fontId="0" fillId="2" borderId="1" xfId="50" applyNumberFormat="1" applyFont="1" applyFill="1" applyBorder="1" applyAlignment="1" applyProtection="1">
      <alignment horizontal="center"/>
    </xf>
    <xf numFmtId="170" fontId="23" fillId="2" borderId="1" xfId="50" applyNumberFormat="1" applyFont="1" applyFill="1" applyBorder="1" applyAlignment="1" applyProtection="1">
      <alignment horizontal="center"/>
    </xf>
    <xf numFmtId="0" fontId="0" fillId="2" borderId="32" xfId="0" applyFill="1" applyBorder="1"/>
    <xf numFmtId="0" fontId="0" fillId="2" borderId="33" xfId="0" applyFill="1" applyBorder="1"/>
    <xf numFmtId="170" fontId="23" fillId="2" borderId="19" xfId="50" applyNumberFormat="1" applyFont="1" applyFill="1" applyBorder="1" applyAlignment="1" applyProtection="1">
      <alignment horizontal="center"/>
    </xf>
    <xf numFmtId="41" fontId="0" fillId="2" borderId="1" xfId="52" applyFont="1" applyFill="1" applyBorder="1" applyProtection="1">
      <protection locked="0"/>
    </xf>
    <xf numFmtId="0" fontId="46" fillId="2" borderId="0" xfId="15" applyFont="1" applyFill="1" applyAlignment="1" applyProtection="1"/>
    <xf numFmtId="170" fontId="21" fillId="2" borderId="0" xfId="50" applyNumberFormat="1" applyFont="1" applyFill="1" applyAlignment="1" applyProtection="1">
      <alignment vertical="center"/>
    </xf>
    <xf numFmtId="0" fontId="47" fillId="3" borderId="3" xfId="15" applyFont="1" applyFill="1" applyBorder="1" applyAlignment="1" applyProtection="1">
      <alignment horizontal="center"/>
    </xf>
    <xf numFmtId="0" fontId="2" fillId="5" borderId="15" xfId="0" applyFont="1" applyFill="1" applyBorder="1" applyProtection="1">
      <protection locked="0"/>
    </xf>
    <xf numFmtId="0" fontId="2" fillId="4" borderId="16" xfId="0" applyFont="1" applyFill="1" applyBorder="1" applyProtection="1">
      <protection locked="0"/>
    </xf>
    <xf numFmtId="165" fontId="0" fillId="2" borderId="0" xfId="50" applyFont="1" applyFill="1" applyProtection="1">
      <protection locked="0"/>
    </xf>
    <xf numFmtId="0" fontId="0" fillId="2" borderId="29" xfId="0" applyFill="1" applyBorder="1"/>
    <xf numFmtId="0" fontId="0" fillId="2" borderId="30" xfId="0" applyFill="1" applyBorder="1"/>
    <xf numFmtId="41" fontId="0" fillId="2" borderId="35" xfId="52" applyFont="1" applyFill="1" applyBorder="1" applyProtection="1">
      <protection locked="0"/>
    </xf>
    <xf numFmtId="0" fontId="49" fillId="4" borderId="0" xfId="0" applyFont="1" applyFill="1"/>
    <xf numFmtId="165" fontId="0" fillId="2" borderId="0" xfId="50" applyFont="1" applyFill="1" applyAlignment="1"/>
    <xf numFmtId="0" fontId="39" fillId="2" borderId="0" xfId="0" applyFont="1" applyFill="1"/>
    <xf numFmtId="0" fontId="29" fillId="2" borderId="0" xfId="15" applyFont="1" applyFill="1" applyAlignment="1" applyProtection="1">
      <alignment horizontal="center" vertical="center"/>
      <protection locked="0"/>
    </xf>
    <xf numFmtId="0" fontId="39" fillId="2" borderId="0" xfId="0" applyFont="1" applyFill="1" applyProtection="1">
      <protection locked="0"/>
    </xf>
    <xf numFmtId="0" fontId="40" fillId="6" borderId="0" xfId="0" applyFont="1" applyFill="1"/>
    <xf numFmtId="0" fontId="13" fillId="2" borderId="0" xfId="0" applyFont="1" applyFill="1" applyAlignment="1" applyProtection="1">
      <alignment wrapText="1"/>
      <protection locked="0"/>
    </xf>
    <xf numFmtId="14" fontId="13" fillId="2" borderId="0" xfId="0" applyNumberFormat="1" applyFont="1" applyFill="1" applyAlignment="1">
      <alignment horizontal="left" wrapText="1"/>
    </xf>
    <xf numFmtId="0" fontId="40" fillId="2" borderId="0" xfId="0" applyFont="1" applyFill="1" applyAlignment="1" applyProtection="1">
      <alignment wrapText="1"/>
      <protection locked="0"/>
    </xf>
    <xf numFmtId="171" fontId="0" fillId="2" borderId="19" xfId="50" applyNumberFormat="1" applyFont="1" applyFill="1" applyBorder="1" applyAlignment="1" applyProtection="1"/>
    <xf numFmtId="41" fontId="0" fillId="2" borderId="20" xfId="52" applyFont="1" applyFill="1" applyBorder="1" applyAlignment="1" applyProtection="1">
      <protection locked="0"/>
    </xf>
    <xf numFmtId="41" fontId="0" fillId="2" borderId="8" xfId="52" applyFont="1" applyFill="1" applyBorder="1" applyAlignment="1" applyProtection="1">
      <protection locked="0"/>
    </xf>
    <xf numFmtId="0" fontId="0" fillId="2" borderId="37" xfId="0" applyFill="1" applyBorder="1"/>
    <xf numFmtId="0" fontId="0" fillId="2" borderId="31" xfId="0" applyFill="1" applyBorder="1"/>
    <xf numFmtId="41" fontId="0" fillId="2" borderId="38" xfId="52" applyFont="1" applyFill="1" applyBorder="1" applyProtection="1">
      <protection locked="0"/>
    </xf>
    <xf numFmtId="170" fontId="23" fillId="2" borderId="36" xfId="50" applyNumberFormat="1" applyFont="1" applyFill="1" applyBorder="1" applyAlignment="1" applyProtection="1">
      <alignment horizontal="center" vertical="center"/>
    </xf>
    <xf numFmtId="0" fontId="0" fillId="2" borderId="18" xfId="0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170" fontId="20" fillId="2" borderId="11" xfId="50" applyNumberFormat="1" applyFont="1" applyFill="1" applyBorder="1" applyAlignment="1" applyProtection="1">
      <alignment horizontal="center" vertical="center"/>
    </xf>
    <xf numFmtId="170" fontId="20" fillId="2" borderId="19" xfId="50" applyNumberFormat="1" applyFont="1" applyFill="1" applyBorder="1" applyAlignment="1" applyProtection="1">
      <alignment horizontal="center"/>
    </xf>
    <xf numFmtId="41" fontId="0" fillId="2" borderId="34" xfId="52" applyFont="1" applyFill="1" applyBorder="1" applyProtection="1">
      <protection locked="0"/>
    </xf>
    <xf numFmtId="0" fontId="0" fillId="2" borderId="25" xfId="0" applyFill="1" applyBorder="1" applyAlignment="1">
      <alignment vertical="center"/>
    </xf>
    <xf numFmtId="0" fontId="0" fillId="2" borderId="22" xfId="0" applyFill="1" applyBorder="1" applyAlignment="1">
      <alignment vertical="center"/>
    </xf>
    <xf numFmtId="171" fontId="0" fillId="2" borderId="22" xfId="50" applyNumberFormat="1" applyFont="1" applyFill="1" applyBorder="1" applyAlignment="1" applyProtection="1">
      <alignment horizontal="center" vertical="center"/>
    </xf>
    <xf numFmtId="170" fontId="23" fillId="2" borderId="26" xfId="50" applyNumberFormat="1" applyFont="1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>
      <alignment vertical="center" wrapText="1"/>
    </xf>
    <xf numFmtId="0" fontId="0" fillId="6" borderId="1" xfId="0" applyFill="1" applyBorder="1" applyAlignment="1">
      <alignment horizontal="left" vertical="center"/>
    </xf>
    <xf numFmtId="41" fontId="0" fillId="2" borderId="24" xfId="52" applyFont="1" applyFill="1" applyBorder="1" applyAlignment="1" applyProtection="1">
      <protection locked="0"/>
    </xf>
    <xf numFmtId="0" fontId="37" fillId="2" borderId="0" xfId="0" applyFont="1" applyFill="1" applyAlignment="1">
      <alignment horizontal="left"/>
    </xf>
    <xf numFmtId="0" fontId="5" fillId="2" borderId="7" xfId="15" applyFill="1" applyBorder="1" applyAlignment="1" applyProtection="1"/>
    <xf numFmtId="4" fontId="0" fillId="0" borderId="0" xfId="0" applyNumberFormat="1" applyAlignment="1">
      <alignment horizontal="right" vertical="center"/>
    </xf>
    <xf numFmtId="170" fontId="0" fillId="2" borderId="0" xfId="0" applyNumberFormat="1" applyFill="1"/>
    <xf numFmtId="170" fontId="1" fillId="2" borderId="1" xfId="50" applyNumberFormat="1" applyFont="1" applyFill="1" applyBorder="1" applyAlignment="1" applyProtection="1">
      <alignment horizontal="center" vertical="center"/>
    </xf>
    <xf numFmtId="170" fontId="1" fillId="2" borderId="22" xfId="50" applyNumberFormat="1" applyFont="1" applyFill="1" applyBorder="1" applyAlignment="1" applyProtection="1">
      <alignment horizontal="center" vertical="center"/>
    </xf>
    <xf numFmtId="170" fontId="23" fillId="2" borderId="19" xfId="50" applyNumberFormat="1" applyFont="1" applyFill="1" applyBorder="1" applyAlignment="1" applyProtection="1">
      <alignment horizontal="center" vertical="center"/>
    </xf>
    <xf numFmtId="170" fontId="23" fillId="2" borderId="11" xfId="50" applyNumberFormat="1" applyFont="1" applyFill="1" applyBorder="1" applyAlignment="1" applyProtection="1">
      <alignment horizontal="center"/>
    </xf>
    <xf numFmtId="171" fontId="25" fillId="2" borderId="0" xfId="0" applyNumberFormat="1" applyFont="1" applyFill="1"/>
    <xf numFmtId="170" fontId="0" fillId="2" borderId="1" xfId="50" applyNumberFormat="1" applyFont="1" applyFill="1" applyBorder="1" applyAlignment="1" applyProtection="1">
      <alignment horizontal="center" vertical="center"/>
      <protection locked="0"/>
    </xf>
    <xf numFmtId="170" fontId="50" fillId="2" borderId="0" xfId="50" applyNumberFormat="1" applyFont="1" applyFill="1" applyProtection="1"/>
    <xf numFmtId="4" fontId="0" fillId="2" borderId="0" xfId="0" applyNumberFormat="1" applyFill="1"/>
    <xf numFmtId="171" fontId="20" fillId="2" borderId="1" xfId="50" applyNumberFormat="1" applyFont="1" applyFill="1" applyBorder="1" applyAlignment="1" applyProtection="1">
      <alignment horizontal="center" vertical="center"/>
    </xf>
    <xf numFmtId="170" fontId="23" fillId="2" borderId="15" xfId="50" applyNumberFormat="1" applyFont="1" applyFill="1" applyBorder="1" applyAlignment="1" applyProtection="1">
      <alignment horizontal="center"/>
    </xf>
    <xf numFmtId="171" fontId="0" fillId="2" borderId="0" xfId="0" applyNumberFormat="1" applyFill="1" applyProtection="1">
      <protection locked="0"/>
    </xf>
    <xf numFmtId="0" fontId="2" fillId="2" borderId="1" xfId="0" applyFont="1" applyFill="1" applyBorder="1" applyAlignment="1">
      <alignment horizontal="left" vertical="center"/>
    </xf>
    <xf numFmtId="0" fontId="13" fillId="2" borderId="16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wrapText="1"/>
    </xf>
    <xf numFmtId="171" fontId="13" fillId="2" borderId="16" xfId="50" applyNumberFormat="1" applyFont="1" applyFill="1" applyBorder="1" applyAlignment="1" applyProtection="1">
      <alignment horizontal="center" vertical="center"/>
    </xf>
    <xf numFmtId="0" fontId="13" fillId="2" borderId="16" xfId="0" applyFont="1" applyFill="1" applyBorder="1" applyAlignment="1">
      <alignment horizontal="center"/>
    </xf>
    <xf numFmtId="0" fontId="0" fillId="0" borderId="1" xfId="0" applyBorder="1" applyAlignment="1">
      <alignment vertical="center" wrapText="1"/>
    </xf>
    <xf numFmtId="0" fontId="0" fillId="2" borderId="16" xfId="0" applyFill="1" applyBorder="1" applyAlignment="1">
      <alignment vertical="center"/>
    </xf>
    <xf numFmtId="0" fontId="0" fillId="2" borderId="16" xfId="0" applyFill="1" applyBorder="1" applyAlignment="1">
      <alignment wrapText="1"/>
    </xf>
    <xf numFmtId="170" fontId="23" fillId="2" borderId="16" xfId="50" applyNumberFormat="1" applyFont="1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>
      <alignment wrapText="1"/>
    </xf>
    <xf numFmtId="171" fontId="23" fillId="2" borderId="19" xfId="50" applyNumberFormat="1" applyFont="1" applyFill="1" applyBorder="1" applyAlignment="1" applyProtection="1">
      <alignment horizontal="center" vertical="center"/>
    </xf>
    <xf numFmtId="170" fontId="0" fillId="2" borderId="39" xfId="50" applyNumberFormat="1" applyFont="1" applyFill="1" applyBorder="1" applyAlignment="1" applyProtection="1">
      <alignment horizontal="center" vertical="center"/>
    </xf>
    <xf numFmtId="0" fontId="0" fillId="2" borderId="22" xfId="0" applyFill="1" applyBorder="1" applyAlignment="1">
      <alignment wrapText="1"/>
    </xf>
    <xf numFmtId="170" fontId="0" fillId="2" borderId="40" xfId="50" applyNumberFormat="1" applyFont="1" applyFill="1" applyBorder="1" applyAlignment="1" applyProtection="1">
      <alignment horizontal="center" vertical="center"/>
    </xf>
    <xf numFmtId="170" fontId="23" fillId="2" borderId="1" xfId="50" applyNumberFormat="1" applyFont="1" applyFill="1" applyBorder="1" applyAlignment="1" applyProtection="1">
      <alignment horizontal="center" vertical="center"/>
    </xf>
    <xf numFmtId="0" fontId="5" fillId="2" borderId="7" xfId="15" quotePrefix="1" applyFill="1" applyBorder="1" applyAlignment="1" applyProtection="1"/>
    <xf numFmtId="0" fontId="51" fillId="2" borderId="0" xfId="15" applyFont="1" applyFill="1" applyAlignment="1" applyProtection="1"/>
    <xf numFmtId="9" fontId="0" fillId="2" borderId="0" xfId="0" applyNumberFormat="1" applyFill="1" applyProtection="1">
      <protection locked="0"/>
    </xf>
    <xf numFmtId="170" fontId="40" fillId="2" borderId="0" xfId="50" applyNumberFormat="1" applyFont="1" applyFill="1" applyProtection="1"/>
    <xf numFmtId="0" fontId="2" fillId="6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70" fontId="0" fillId="2" borderId="0" xfId="50" applyNumberFormat="1" applyFont="1" applyFill="1"/>
    <xf numFmtId="0" fontId="2" fillId="2" borderId="1" xfId="0" applyFont="1" applyFill="1" applyBorder="1"/>
    <xf numFmtId="0" fontId="0" fillId="6" borderId="0" xfId="0" applyFill="1" applyAlignment="1">
      <alignment horizontal="left" vertical="center"/>
    </xf>
    <xf numFmtId="170" fontId="0" fillId="6" borderId="17" xfId="50" applyNumberFormat="1" applyFont="1" applyFill="1" applyBorder="1" applyAlignment="1" applyProtection="1">
      <alignment horizontal="center" vertical="center"/>
    </xf>
    <xf numFmtId="170" fontId="23" fillId="2" borderId="15" xfId="50" applyNumberFormat="1" applyFont="1" applyFill="1" applyBorder="1" applyAlignment="1" applyProtection="1">
      <alignment horizontal="center" vertical="center"/>
    </xf>
    <xf numFmtId="170" fontId="48" fillId="2" borderId="31" xfId="50" applyNumberFormat="1" applyFont="1" applyFill="1" applyBorder="1" applyAlignment="1" applyProtection="1">
      <alignment horizontal="center"/>
    </xf>
    <xf numFmtId="170" fontId="23" fillId="2" borderId="31" xfId="50" applyNumberFormat="1" applyFont="1" applyFill="1" applyBorder="1" applyAlignment="1" applyProtection="1">
      <alignment horizontal="center"/>
    </xf>
    <xf numFmtId="170" fontId="48" fillId="2" borderId="19" xfId="50" applyNumberFormat="1" applyFont="1" applyFill="1" applyBorder="1" applyAlignment="1" applyProtection="1">
      <alignment horizontal="center"/>
    </xf>
    <xf numFmtId="170" fontId="1" fillId="2" borderId="1" xfId="50" applyNumberFormat="1" applyFont="1" applyFill="1" applyBorder="1" applyAlignment="1" applyProtection="1">
      <alignment horizontal="center" vertical="center"/>
      <protection locked="0"/>
    </xf>
    <xf numFmtId="169" fontId="32" fillId="2" borderId="0" xfId="0" applyNumberFormat="1" applyFont="1" applyFill="1"/>
    <xf numFmtId="165" fontId="1" fillId="2" borderId="0" xfId="50" applyFont="1" applyFill="1" applyProtection="1">
      <protection locked="0"/>
    </xf>
    <xf numFmtId="0" fontId="23" fillId="2" borderId="14" xfId="0" applyFont="1" applyFill="1" applyBorder="1"/>
    <xf numFmtId="0" fontId="23" fillId="2" borderId="1" xfId="0" applyFont="1" applyFill="1" applyBorder="1"/>
    <xf numFmtId="0" fontId="23" fillId="2" borderId="21" xfId="0" applyFont="1" applyFill="1" applyBorder="1"/>
    <xf numFmtId="0" fontId="23" fillId="2" borderId="11" xfId="0" applyFont="1" applyFill="1" applyBorder="1"/>
    <xf numFmtId="0" fontId="23" fillId="2" borderId="0" xfId="15" applyFont="1" applyFill="1" applyAlignment="1" applyProtection="1"/>
    <xf numFmtId="49" fontId="36" fillId="0" borderId="0" xfId="0" applyNumberFormat="1" applyFont="1"/>
    <xf numFmtId="170" fontId="32" fillId="2" borderId="17" xfId="50" applyNumberFormat="1" applyFont="1" applyFill="1" applyBorder="1" applyAlignment="1">
      <alignment horizontal="center" vertical="center"/>
    </xf>
    <xf numFmtId="170" fontId="21" fillId="2" borderId="19" xfId="50" applyNumberFormat="1" applyFont="1" applyFill="1" applyBorder="1" applyAlignment="1" applyProtection="1">
      <alignment horizontal="center"/>
    </xf>
    <xf numFmtId="170" fontId="21" fillId="2" borderId="17" xfId="50" applyNumberFormat="1" applyFont="1" applyFill="1" applyBorder="1" applyAlignment="1">
      <alignment horizontal="center" vertical="center"/>
    </xf>
    <xf numFmtId="171" fontId="13" fillId="2" borderId="0" xfId="50" applyNumberFormat="1" applyFont="1" applyFill="1" applyAlignment="1" applyProtection="1">
      <alignment horizontal="center"/>
    </xf>
    <xf numFmtId="0" fontId="39" fillId="3" borderId="4" xfId="0" applyFont="1" applyFill="1" applyBorder="1" applyAlignment="1">
      <alignment horizontal="center"/>
    </xf>
    <xf numFmtId="171" fontId="39" fillId="4" borderId="0" xfId="50" applyNumberFormat="1" applyFont="1" applyFill="1" applyBorder="1" applyAlignment="1" applyProtection="1">
      <alignment horizontal="center"/>
    </xf>
    <xf numFmtId="0" fontId="39" fillId="5" borderId="4" xfId="0" applyFont="1" applyFill="1" applyBorder="1" applyAlignment="1">
      <alignment horizontal="center"/>
    </xf>
    <xf numFmtId="171" fontId="32" fillId="2" borderId="1" xfId="50" applyNumberFormat="1" applyFont="1" applyFill="1" applyBorder="1" applyAlignment="1">
      <alignment horizontal="center"/>
    </xf>
    <xf numFmtId="171" fontId="21" fillId="2" borderId="19" xfId="50" applyNumberFormat="1" applyFont="1" applyFill="1" applyBorder="1" applyAlignment="1" applyProtection="1">
      <alignment horizontal="center"/>
    </xf>
    <xf numFmtId="170" fontId="21" fillId="2" borderId="0" xfId="50" applyNumberFormat="1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5" borderId="1" xfId="0" applyFont="1" applyFill="1" applyBorder="1" applyAlignment="1" applyProtection="1">
      <alignment horizontal="center"/>
      <protection locked="0"/>
    </xf>
    <xf numFmtId="170" fontId="20" fillId="2" borderId="19" xfId="50" applyNumberFormat="1" applyFont="1" applyFill="1" applyBorder="1" applyAlignment="1" applyProtection="1">
      <alignment horizontal="center" vertical="center"/>
    </xf>
    <xf numFmtId="49" fontId="36" fillId="0" borderId="1" xfId="0" applyNumberFormat="1" applyFont="1" applyBorder="1"/>
    <xf numFmtId="0" fontId="0" fillId="0" borderId="1" xfId="0" applyBorder="1"/>
    <xf numFmtId="41" fontId="0" fillId="2" borderId="15" xfId="52" applyFont="1" applyFill="1" applyBorder="1" applyProtection="1">
      <protection locked="0"/>
    </xf>
    <xf numFmtId="41" fontId="0" fillId="2" borderId="16" xfId="52" applyFont="1" applyFill="1" applyBorder="1" applyProtection="1">
      <protection locked="0"/>
    </xf>
    <xf numFmtId="49" fontId="36" fillId="0" borderId="18" xfId="0" applyNumberFormat="1" applyFont="1" applyBorder="1"/>
    <xf numFmtId="0" fontId="0" fillId="0" borderId="19" xfId="0" applyBorder="1"/>
    <xf numFmtId="49" fontId="36" fillId="0" borderId="19" xfId="0" applyNumberFormat="1" applyFont="1" applyBorder="1"/>
    <xf numFmtId="49" fontId="36" fillId="0" borderId="14" xfId="0" applyNumberFormat="1" applyFont="1" applyBorder="1"/>
    <xf numFmtId="49" fontId="36" fillId="0" borderId="21" xfId="0" applyNumberFormat="1" applyFont="1" applyBorder="1"/>
    <xf numFmtId="0" fontId="0" fillId="0" borderId="11" xfId="0" applyBorder="1"/>
    <xf numFmtId="49" fontId="36" fillId="0" borderId="11" xfId="0" applyNumberFormat="1" applyFont="1" applyBorder="1"/>
    <xf numFmtId="41" fontId="23" fillId="2" borderId="12" xfId="52" applyFont="1" applyFill="1" applyBorder="1" applyProtection="1">
      <protection locked="0"/>
    </xf>
    <xf numFmtId="49" fontId="36" fillId="0" borderId="41" xfId="0" applyNumberFormat="1" applyFont="1" applyBorder="1"/>
    <xf numFmtId="171" fontId="0" fillId="2" borderId="11" xfId="50" applyNumberFormat="1" applyFont="1" applyFill="1" applyBorder="1" applyProtection="1"/>
    <xf numFmtId="170" fontId="48" fillId="2" borderId="22" xfId="50" applyNumberFormat="1" applyFont="1" applyFill="1" applyBorder="1" applyAlignment="1" applyProtection="1">
      <alignment horizontal="center"/>
    </xf>
    <xf numFmtId="0" fontId="56" fillId="2" borderId="0" xfId="0" applyFont="1" applyFill="1" applyAlignment="1">
      <alignment horizontal="left"/>
    </xf>
    <xf numFmtId="0" fontId="2" fillId="2" borderId="0" xfId="0" applyFont="1" applyFill="1" applyAlignment="1">
      <alignment horizontal="center"/>
    </xf>
    <xf numFmtId="171" fontId="50" fillId="2" borderId="19" xfId="50" applyNumberFormat="1" applyFont="1" applyFill="1" applyBorder="1" applyAlignment="1" applyProtection="1">
      <alignment horizontal="center"/>
    </xf>
    <xf numFmtId="171" fontId="20" fillId="2" borderId="1" xfId="50" applyNumberFormat="1" applyFont="1" applyFill="1" applyBorder="1" applyAlignment="1" applyProtection="1">
      <alignment horizontal="center"/>
    </xf>
    <xf numFmtId="0" fontId="0" fillId="2" borderId="42" xfId="0" applyFill="1" applyBorder="1"/>
    <xf numFmtId="0" fontId="0" fillId="2" borderId="43" xfId="0" applyFill="1" applyBorder="1"/>
    <xf numFmtId="0" fontId="0" fillId="2" borderId="44" xfId="0" applyFill="1" applyBorder="1"/>
    <xf numFmtId="49" fontId="36" fillId="0" borderId="45" xfId="0" applyNumberFormat="1" applyFont="1" applyBorder="1"/>
    <xf numFmtId="49" fontId="36" fillId="0" borderId="46" xfId="0" applyNumberFormat="1" applyFont="1" applyBorder="1"/>
    <xf numFmtId="49" fontId="36" fillId="0" borderId="47" xfId="0" applyNumberFormat="1" applyFont="1" applyBorder="1"/>
    <xf numFmtId="0" fontId="0" fillId="2" borderId="0" xfId="0" applyFill="1" applyAlignment="1">
      <alignment horizontal="center"/>
    </xf>
    <xf numFmtId="0" fontId="2" fillId="5" borderId="4" xfId="0" applyFont="1" applyFill="1" applyBorder="1" applyAlignment="1">
      <alignment horizontal="center" vertical="center"/>
    </xf>
    <xf numFmtId="171" fontId="1" fillId="6" borderId="1" xfId="5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>
      <alignment horizontal="center" vertical="center"/>
    </xf>
    <xf numFmtId="171" fontId="1" fillId="2" borderId="1" xfId="50" applyNumberFormat="1" applyFont="1" applyFill="1" applyBorder="1" applyAlignment="1" applyProtection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4" fillId="5" borderId="4" xfId="0" applyFont="1" applyFill="1" applyBorder="1" applyAlignment="1">
      <alignment horizontal="center" vertical="center"/>
    </xf>
    <xf numFmtId="171" fontId="23" fillId="2" borderId="1" xfId="50" applyNumberFormat="1" applyFont="1" applyFill="1" applyBorder="1" applyAlignment="1" applyProtection="1">
      <alignment horizontal="center"/>
    </xf>
    <xf numFmtId="171" fontId="48" fillId="2" borderId="1" xfId="50" applyNumberFormat="1" applyFont="1" applyFill="1" applyBorder="1" applyAlignment="1" applyProtection="1">
      <alignment horizontal="center" vertical="center"/>
    </xf>
    <xf numFmtId="171" fontId="23" fillId="0" borderId="1" xfId="50" applyNumberFormat="1" applyFont="1" applyFill="1" applyBorder="1" applyAlignment="1" applyProtection="1">
      <alignment horizontal="center"/>
    </xf>
    <xf numFmtId="171" fontId="1" fillId="2" borderId="15" xfId="50" applyNumberFormat="1" applyFont="1" applyFill="1" applyBorder="1" applyAlignment="1" applyProtection="1">
      <alignment horizontal="center"/>
    </xf>
    <xf numFmtId="171" fontId="25" fillId="2" borderId="1" xfId="50" applyNumberFormat="1" applyFont="1" applyFill="1" applyBorder="1" applyAlignment="1" applyProtection="1">
      <alignment horizontal="center" vertical="center"/>
    </xf>
    <xf numFmtId="171" fontId="0" fillId="2" borderId="0" xfId="50" applyNumberFormat="1" applyFont="1" applyFill="1" applyAlignment="1" applyProtection="1">
      <alignment horizontal="center"/>
    </xf>
    <xf numFmtId="171" fontId="2" fillId="4" borderId="0" xfId="50" applyNumberFormat="1" applyFont="1" applyFill="1" applyBorder="1" applyAlignment="1" applyProtection="1">
      <alignment horizontal="center"/>
    </xf>
    <xf numFmtId="171" fontId="2" fillId="4" borderId="0" xfId="50" applyNumberFormat="1" applyFont="1" applyFill="1" applyBorder="1" applyAlignment="1" applyProtection="1">
      <alignment horizontal="center" vertical="center"/>
    </xf>
    <xf numFmtId="171" fontId="0" fillId="2" borderId="1" xfId="50" applyNumberFormat="1" applyFont="1" applyFill="1" applyBorder="1" applyAlignment="1" applyProtection="1">
      <alignment horizontal="center" vertical="center"/>
    </xf>
    <xf numFmtId="0" fontId="57" fillId="2" borderId="0" xfId="0" applyFont="1" applyFill="1" applyAlignment="1">
      <alignment horizontal="center" wrapText="1"/>
    </xf>
    <xf numFmtId="0" fontId="23" fillId="2" borderId="1" xfId="0" applyFont="1" applyFill="1" applyBorder="1" applyAlignment="1">
      <alignment vertical="center" wrapText="1"/>
    </xf>
    <xf numFmtId="0" fontId="24" fillId="4" borderId="0" xfId="0" applyFont="1" applyFill="1" applyAlignment="1">
      <alignment horizontal="center"/>
    </xf>
    <xf numFmtId="0" fontId="24" fillId="5" borderId="4" xfId="0" applyFont="1" applyFill="1" applyBorder="1" applyAlignment="1">
      <alignment horizontal="center"/>
    </xf>
    <xf numFmtId="171" fontId="23" fillId="2" borderId="19" xfId="50" applyNumberFormat="1" applyFont="1" applyFill="1" applyBorder="1" applyAlignment="1" applyProtection="1">
      <alignment horizontal="center"/>
    </xf>
    <xf numFmtId="171" fontId="23" fillId="2" borderId="11" xfId="50" applyNumberFormat="1" applyFont="1" applyFill="1" applyBorder="1" applyAlignment="1" applyProtection="1">
      <alignment horizontal="center"/>
    </xf>
    <xf numFmtId="171" fontId="20" fillId="2" borderId="19" xfId="50" applyNumberFormat="1" applyFont="1" applyFill="1" applyBorder="1" applyAlignment="1" applyProtection="1">
      <alignment horizontal="center"/>
    </xf>
    <xf numFmtId="171" fontId="20" fillId="2" borderId="11" xfId="50" applyNumberFormat="1" applyFont="1" applyFill="1" applyBorder="1" applyAlignment="1" applyProtection="1">
      <alignment horizontal="center"/>
    </xf>
    <xf numFmtId="171" fontId="23" fillId="2" borderId="31" xfId="50" applyNumberFormat="1" applyFont="1" applyFill="1" applyBorder="1" applyAlignment="1" applyProtection="1">
      <alignment horizontal="center"/>
    </xf>
    <xf numFmtId="171" fontId="20" fillId="0" borderId="11" xfId="50" applyNumberFormat="1" applyFont="1" applyFill="1" applyBorder="1" applyAlignment="1" applyProtection="1">
      <alignment horizontal="center"/>
    </xf>
    <xf numFmtId="171" fontId="20" fillId="2" borderId="31" xfId="50" applyNumberFormat="1" applyFont="1" applyFill="1" applyBorder="1" applyAlignment="1" applyProtection="1">
      <alignment horizontal="center"/>
    </xf>
    <xf numFmtId="171" fontId="23" fillId="0" borderId="19" xfId="50" applyNumberFormat="1" applyFont="1" applyFill="1" applyBorder="1" applyAlignment="1" applyProtection="1">
      <alignment horizontal="center"/>
    </xf>
    <xf numFmtId="171" fontId="23" fillId="2" borderId="15" xfId="50" applyNumberFormat="1" applyFont="1" applyFill="1" applyBorder="1" applyAlignment="1" applyProtection="1">
      <alignment horizontal="center"/>
    </xf>
    <xf numFmtId="171" fontId="23" fillId="2" borderId="16" xfId="50" applyNumberFormat="1" applyFont="1" applyFill="1" applyBorder="1" applyAlignment="1" applyProtection="1">
      <alignment horizontal="center"/>
    </xf>
    <xf numFmtId="171" fontId="48" fillId="2" borderId="31" xfId="50" applyNumberFormat="1" applyFont="1" applyFill="1" applyBorder="1" applyAlignment="1" applyProtection="1">
      <alignment horizontal="center"/>
    </xf>
    <xf numFmtId="171" fontId="22" fillId="2" borderId="11" xfId="50" applyNumberFormat="1" applyFont="1" applyFill="1" applyBorder="1" applyAlignment="1" applyProtection="1">
      <alignment horizontal="center"/>
    </xf>
    <xf numFmtId="171" fontId="22" fillId="2" borderId="15" xfId="50" applyNumberFormat="1" applyFont="1" applyFill="1" applyBorder="1" applyAlignment="1" applyProtection="1">
      <alignment horizontal="center"/>
    </xf>
    <xf numFmtId="171" fontId="22" fillId="2" borderId="22" xfId="50" applyNumberFormat="1" applyFont="1" applyFill="1" applyBorder="1" applyAlignment="1" applyProtection="1">
      <alignment horizontal="center"/>
    </xf>
    <xf numFmtId="171" fontId="23" fillId="2" borderId="33" xfId="50" applyNumberFormat="1" applyFont="1" applyFill="1" applyBorder="1" applyAlignment="1" applyProtection="1">
      <alignment horizontal="center"/>
    </xf>
    <xf numFmtId="171" fontId="48" fillId="2" borderId="19" xfId="50" applyNumberFormat="1" applyFont="1" applyFill="1" applyBorder="1" applyAlignment="1" applyProtection="1">
      <alignment horizontal="center"/>
    </xf>
    <xf numFmtId="171" fontId="48" fillId="2" borderId="22" xfId="50" applyNumberFormat="1" applyFont="1" applyFill="1" applyBorder="1" applyAlignment="1" applyProtection="1">
      <alignment horizontal="center"/>
    </xf>
    <xf numFmtId="0" fontId="5" fillId="2" borderId="0" xfId="15" applyFill="1" applyAlignment="1" applyProtection="1">
      <alignment horizontal="center"/>
    </xf>
    <xf numFmtId="0" fontId="2" fillId="6" borderId="1" xfId="0" applyFont="1" applyFill="1" applyBorder="1" applyAlignment="1">
      <alignment vertical="center"/>
    </xf>
    <xf numFmtId="171" fontId="2" fillId="6" borderId="1" xfId="50" applyNumberFormat="1" applyFont="1" applyFill="1" applyBorder="1" applyAlignment="1" applyProtection="1">
      <alignment horizontal="center" vertical="center"/>
    </xf>
    <xf numFmtId="170" fontId="24" fillId="6" borderId="17" xfId="50" applyNumberFormat="1" applyFont="1" applyFill="1" applyBorder="1" applyAlignment="1" applyProtection="1">
      <alignment horizontal="center" vertical="center"/>
    </xf>
    <xf numFmtId="0" fontId="40" fillId="2" borderId="0" xfId="0" applyFont="1" applyFill="1"/>
    <xf numFmtId="0" fontId="58" fillId="6" borderId="0" xfId="0" applyFont="1" applyFill="1"/>
    <xf numFmtId="0" fontId="59" fillId="0" borderId="0" xfId="0" applyFont="1"/>
    <xf numFmtId="171" fontId="1" fillId="2" borderId="1" xfId="50" applyNumberFormat="1" applyFont="1" applyFill="1" applyBorder="1" applyAlignment="1" applyProtection="1">
      <alignment horizontal="center"/>
    </xf>
    <xf numFmtId="170" fontId="1" fillId="2" borderId="17" xfId="50" applyNumberFormat="1" applyFont="1" applyFill="1" applyBorder="1" applyAlignment="1" applyProtection="1">
      <alignment horizontal="center" vertical="center"/>
    </xf>
    <xf numFmtId="0" fontId="0" fillId="2" borderId="1" xfId="0" applyFill="1" applyBorder="1" applyAlignment="1">
      <alignment horizontal="center"/>
    </xf>
    <xf numFmtId="0" fontId="27" fillId="2" borderId="0" xfId="0" applyFont="1" applyFill="1"/>
    <xf numFmtId="0" fontId="60" fillId="2" borderId="0" xfId="15" applyFont="1" applyFill="1" applyAlignment="1" applyProtection="1"/>
    <xf numFmtId="0" fontId="61" fillId="2" borderId="0" xfId="15" applyFont="1" applyFill="1" applyAlignment="1" applyProtection="1"/>
    <xf numFmtId="0" fontId="62" fillId="2" borderId="0" xfId="0" applyFont="1" applyFill="1"/>
    <xf numFmtId="171" fontId="13" fillId="2" borderId="17" xfId="50" applyNumberFormat="1" applyFont="1" applyFill="1" applyBorder="1" applyAlignment="1" applyProtection="1">
      <alignment horizontal="center" vertical="center"/>
    </xf>
    <xf numFmtId="172" fontId="0" fillId="2" borderId="1" xfId="0" applyNumberFormat="1" applyFill="1" applyBorder="1" applyAlignment="1">
      <alignment horizontal="center"/>
    </xf>
    <xf numFmtId="171" fontId="1" fillId="2" borderId="15" xfId="50" applyNumberFormat="1" applyFont="1" applyFill="1" applyBorder="1" applyAlignment="1" applyProtection="1">
      <alignment horizontal="center" vertical="center"/>
    </xf>
    <xf numFmtId="171" fontId="25" fillId="2" borderId="1" xfId="50" applyNumberFormat="1" applyFont="1" applyFill="1" applyBorder="1" applyAlignment="1" applyProtection="1">
      <alignment horizontal="center"/>
    </xf>
    <xf numFmtId="0" fontId="27" fillId="6" borderId="14" xfId="0" applyFont="1" applyFill="1" applyBorder="1"/>
    <xf numFmtId="0" fontId="27" fillId="6" borderId="1" xfId="0" applyFont="1" applyFill="1" applyBorder="1" applyAlignment="1">
      <alignment horizontal="center"/>
    </xf>
    <xf numFmtId="0" fontId="27" fillId="6" borderId="1" xfId="0" applyFont="1" applyFill="1" applyBorder="1"/>
    <xf numFmtId="171" fontId="27" fillId="6" borderId="15" xfId="50" applyNumberFormat="1" applyFont="1" applyFill="1" applyBorder="1" applyAlignment="1" applyProtection="1">
      <alignment horizontal="center"/>
    </xf>
    <xf numFmtId="170" fontId="27" fillId="6" borderId="1" xfId="50" applyNumberFormat="1" applyFont="1" applyFill="1" applyBorder="1" applyAlignment="1" applyProtection="1">
      <alignment horizontal="center" vertical="center"/>
    </xf>
    <xf numFmtId="170" fontId="27" fillId="6" borderId="1" xfId="50" applyNumberFormat="1" applyFont="1" applyFill="1" applyBorder="1" applyProtection="1">
      <protection locked="0"/>
    </xf>
    <xf numFmtId="49" fontId="63" fillId="6" borderId="0" xfId="0" applyNumberFormat="1" applyFont="1" applyFill="1"/>
    <xf numFmtId="0" fontId="25" fillId="0" borderId="0" xfId="0" applyFont="1"/>
    <xf numFmtId="0" fontId="33" fillId="3" borderId="7" xfId="21" applyFont="1" applyFill="1" applyBorder="1" applyAlignment="1">
      <alignment horizontal="center"/>
    </xf>
    <xf numFmtId="0" fontId="33" fillId="3" borderId="0" xfId="21" applyFont="1" applyFill="1" applyAlignment="1">
      <alignment horizontal="center"/>
    </xf>
    <xf numFmtId="0" fontId="33" fillId="3" borderId="13" xfId="21" applyFont="1" applyFill="1" applyBorder="1" applyAlignment="1">
      <alignment horizontal="center"/>
    </xf>
    <xf numFmtId="0" fontId="33" fillId="3" borderId="2" xfId="21" applyFont="1" applyFill="1" applyBorder="1" applyAlignment="1">
      <alignment horizontal="center"/>
    </xf>
    <xf numFmtId="0" fontId="33" fillId="2" borderId="1" xfId="0" applyFont="1" applyFill="1" applyBorder="1" applyAlignment="1">
      <alignment horizontal="center" vertical="center" wrapText="1"/>
    </xf>
  </cellXfs>
  <cellStyles count="71">
    <cellStyle name="_ET_STYLE_NoName_00_" xfId="2" xr:uid="{00000000-0005-0000-0000-000000000000}"/>
    <cellStyle name="Comma [0] 2" xfId="3" xr:uid="{00000000-0005-0000-0000-000001000000}"/>
    <cellStyle name="Comma [0] 2 2" xfId="4" xr:uid="{00000000-0005-0000-0000-000002000000}"/>
    <cellStyle name="Comma [0] 2 2 2" xfId="54" xr:uid="{00000000-0005-0000-0000-000003000000}"/>
    <cellStyle name="Comma [0] 2 3" xfId="53" xr:uid="{00000000-0005-0000-0000-000004000000}"/>
    <cellStyle name="Comma [0] 3" xfId="66" xr:uid="{00000000-0005-0000-0000-000005000000}"/>
    <cellStyle name="Comma 3 2" xfId="68" xr:uid="{00000000-0005-0000-0000-000006000000}"/>
    <cellStyle name="Comma0" xfId="5" xr:uid="{00000000-0005-0000-0000-000007000000}"/>
    <cellStyle name="Currency 10" xfId="32" xr:uid="{00000000-0005-0000-0000-000008000000}"/>
    <cellStyle name="Currency 10 2" xfId="64" xr:uid="{00000000-0005-0000-0000-000009000000}"/>
    <cellStyle name="Currency 2" xfId="6" xr:uid="{00000000-0005-0000-0000-00000A000000}"/>
    <cellStyle name="Currency 2 2" xfId="55" xr:uid="{00000000-0005-0000-0000-00000B000000}"/>
    <cellStyle name="Currency 3" xfId="7" xr:uid="{00000000-0005-0000-0000-00000C000000}"/>
    <cellStyle name="Currency 3 2" xfId="8" xr:uid="{00000000-0005-0000-0000-00000D000000}"/>
    <cellStyle name="Currency 3 2 2" xfId="57" xr:uid="{00000000-0005-0000-0000-00000E000000}"/>
    <cellStyle name="Currency 3 3" xfId="56" xr:uid="{00000000-0005-0000-0000-00000F000000}"/>
    <cellStyle name="Currency 4" xfId="9" xr:uid="{00000000-0005-0000-0000-000010000000}"/>
    <cellStyle name="Currency 5" xfId="10" xr:uid="{00000000-0005-0000-0000-000011000000}"/>
    <cellStyle name="Currency 6" xfId="11" xr:uid="{00000000-0005-0000-0000-000012000000}"/>
    <cellStyle name="Currency 7" xfId="29" xr:uid="{00000000-0005-0000-0000-000013000000}"/>
    <cellStyle name="Currency 8" xfId="31" xr:uid="{00000000-0005-0000-0000-000014000000}"/>
    <cellStyle name="Currency 8 2" xfId="63" xr:uid="{00000000-0005-0000-0000-000015000000}"/>
    <cellStyle name="Currency 9" xfId="48" xr:uid="{00000000-0005-0000-0000-000016000000}"/>
    <cellStyle name="Currency0" xfId="12" xr:uid="{00000000-0005-0000-0000-000017000000}"/>
    <cellStyle name="Heading 1 2" xfId="13" xr:uid="{00000000-0005-0000-0000-000018000000}"/>
    <cellStyle name="Heading 2 2" xfId="14" xr:uid="{00000000-0005-0000-0000-000019000000}"/>
    <cellStyle name="Jun" xfId="16" xr:uid="{00000000-0005-0000-0000-00001A000000}"/>
    <cellStyle name="Jun 2" xfId="17" xr:uid="{00000000-0005-0000-0000-00001B000000}"/>
    <cellStyle name="Jun 2 2" xfId="30" xr:uid="{00000000-0005-0000-0000-00001C000000}"/>
    <cellStyle name="Jun 2 2 2" xfId="62" xr:uid="{00000000-0005-0000-0000-00001D000000}"/>
    <cellStyle name="Jun 2 3" xfId="59" xr:uid="{00000000-0005-0000-0000-00001E000000}"/>
    <cellStyle name="Jun 3" xfId="58" xr:uid="{00000000-0005-0000-0000-00001F000000}"/>
    <cellStyle name="Lien hypertexte" xfId="15" builtinId="8"/>
    <cellStyle name="Milliers" xfId="50" builtinId="3"/>
    <cellStyle name="Milliers [0]" xfId="52" builtinId="6"/>
    <cellStyle name="NiveauLigne_4 2" xfId="70" xr:uid="{00000000-0005-0000-0000-000023000000}"/>
    <cellStyle name="Normal" xfId="0" builtinId="0"/>
    <cellStyle name="Normal 10" xfId="65" xr:uid="{00000000-0005-0000-0000-000025000000}"/>
    <cellStyle name="Normal 2" xfId="18" xr:uid="{00000000-0005-0000-0000-000026000000}"/>
    <cellStyle name="Normal 2 10" xfId="69" xr:uid="{00000000-0005-0000-0000-000027000000}"/>
    <cellStyle name="Normal 2 2" xfId="19" xr:uid="{00000000-0005-0000-0000-000028000000}"/>
    <cellStyle name="Normal 2 2 12 7" xfId="51" xr:uid="{00000000-0005-0000-0000-000029000000}"/>
    <cellStyle name="Normal 2 2 2" xfId="42" xr:uid="{00000000-0005-0000-0000-00002A000000}"/>
    <cellStyle name="Normal 2 2 3" xfId="44" xr:uid="{00000000-0005-0000-0000-00002B000000}"/>
    <cellStyle name="Normal 2 2 4" xfId="46" xr:uid="{00000000-0005-0000-0000-00002C000000}"/>
    <cellStyle name="Normal 2 3" xfId="20" xr:uid="{00000000-0005-0000-0000-00002D000000}"/>
    <cellStyle name="Normal 2 3 2" xfId="60" xr:uid="{00000000-0005-0000-0000-00002E000000}"/>
    <cellStyle name="Normal 2 4" xfId="41" xr:uid="{00000000-0005-0000-0000-00002F000000}"/>
    <cellStyle name="Normal 2 5" xfId="43" xr:uid="{00000000-0005-0000-0000-000030000000}"/>
    <cellStyle name="Normal 2 6" xfId="45" xr:uid="{00000000-0005-0000-0000-000031000000}"/>
    <cellStyle name="Normal 2 7" xfId="49" xr:uid="{00000000-0005-0000-0000-000032000000}"/>
    <cellStyle name="Normal 3" xfId="40" xr:uid="{00000000-0005-0000-0000-000033000000}"/>
    <cellStyle name="Normal 4" xfId="21" xr:uid="{00000000-0005-0000-0000-000034000000}"/>
    <cellStyle name="Normal 4 2" xfId="61" xr:uid="{00000000-0005-0000-0000-000035000000}"/>
    <cellStyle name="Normal 5" xfId="22" xr:uid="{00000000-0005-0000-0000-000036000000}"/>
    <cellStyle name="Normal 6" xfId="23" xr:uid="{00000000-0005-0000-0000-000037000000}"/>
    <cellStyle name="Normal 6 2" xfId="67" xr:uid="{00000000-0005-0000-0000-000038000000}"/>
    <cellStyle name="Normal 7" xfId="24" xr:uid="{00000000-0005-0000-0000-000039000000}"/>
    <cellStyle name="Normal 8" xfId="47" xr:uid="{00000000-0005-0000-0000-00003A000000}"/>
    <cellStyle name="Normal 9" xfId="1" xr:uid="{00000000-0005-0000-0000-00003B000000}"/>
    <cellStyle name="Total 2" xfId="25" xr:uid="{00000000-0005-0000-0000-00003C000000}"/>
    <cellStyle name="표준_Cartridge Price(ELS)" xfId="26" xr:uid="{00000000-0005-0000-0000-00003D000000}"/>
    <cellStyle name="常规 10" xfId="33" xr:uid="{00000000-0005-0000-0000-00003E000000}"/>
    <cellStyle name="常规 10 2" xfId="35" xr:uid="{00000000-0005-0000-0000-00003F000000}"/>
    <cellStyle name="常规 2" xfId="27" xr:uid="{00000000-0005-0000-0000-000040000000}"/>
    <cellStyle name="常规 2 2" xfId="36" xr:uid="{00000000-0005-0000-0000-000041000000}"/>
    <cellStyle name="常规 2 2 2" xfId="34" xr:uid="{00000000-0005-0000-0000-000042000000}"/>
    <cellStyle name="常规 2 6 4" xfId="38" xr:uid="{00000000-0005-0000-0000-000043000000}"/>
    <cellStyle name="常规 2 7" xfId="37" xr:uid="{00000000-0005-0000-0000-000044000000}"/>
    <cellStyle name="常规 37" xfId="39" xr:uid="{00000000-0005-0000-0000-000045000000}"/>
    <cellStyle name="常规_030220" xfId="28" xr:uid="{00000000-0005-0000-0000-000046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romos!B24"/><Relationship Id="rId2" Type="http://schemas.openxmlformats.org/officeDocument/2006/relationships/image" Target="../media/image3.png"/><Relationship Id="rId1" Type="http://schemas.openxmlformats.org/officeDocument/2006/relationships/image" Target="../media/image1.jp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romos!B24"/><Relationship Id="rId2" Type="http://schemas.openxmlformats.org/officeDocument/2006/relationships/image" Target="../media/image3.png"/><Relationship Id="rId1" Type="http://schemas.openxmlformats.org/officeDocument/2006/relationships/image" Target="../media/image1.jp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romos!B24"/><Relationship Id="rId2" Type="http://schemas.openxmlformats.org/officeDocument/2006/relationships/image" Target="../media/image3.png"/><Relationship Id="rId1" Type="http://schemas.openxmlformats.org/officeDocument/2006/relationships/image" Target="../media/image1.jpg"/><Relationship Id="rId4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romos!B24"/><Relationship Id="rId2" Type="http://schemas.openxmlformats.org/officeDocument/2006/relationships/image" Target="../media/image7.png"/><Relationship Id="rId1" Type="http://schemas.openxmlformats.org/officeDocument/2006/relationships/image" Target="../media/image1.jpg"/><Relationship Id="rId4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144780</xdr:colOff>
      <xdr:row>0</xdr:row>
      <xdr:rowOff>160020</xdr:rowOff>
    </xdr:from>
    <xdr:to>
      <xdr:col>0</xdr:col>
      <xdr:colOff>1767840</xdr:colOff>
      <xdr:row>4</xdr:row>
      <xdr:rowOff>144780</xdr:rowOff>
    </xdr:to>
    <xdr:pic>
      <xdr:nvPicPr>
        <xdr:cNvPr id="2" name="Imag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" y="160020"/>
          <a:ext cx="1623060" cy="6019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91440</xdr:colOff>
      <xdr:row>5</xdr:row>
      <xdr:rowOff>7620</xdr:rowOff>
    </xdr:from>
    <xdr:to>
      <xdr:col>3</xdr:col>
      <xdr:colOff>213360</xdr:colOff>
      <xdr:row>10</xdr:row>
      <xdr:rowOff>69098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3880" y="1120140"/>
          <a:ext cx="1965960" cy="823478"/>
        </a:xfrm>
        <a:prstGeom prst="rect">
          <a:avLst/>
        </a:prstGeom>
      </xdr:spPr>
    </xdr:pic>
    <xdr:clientData/>
  </xdr:twoCellAnchor>
  <xdr:oneCellAnchor>
    <xdr:from>
      <xdr:col>3</xdr:col>
      <xdr:colOff>434340</xdr:colOff>
      <xdr:row>5</xdr:row>
      <xdr:rowOff>15240</xdr:rowOff>
    </xdr:from>
    <xdr:ext cx="845041" cy="84582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0820" y="1127760"/>
          <a:ext cx="845041" cy="845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4</xdr:col>
      <xdr:colOff>461010</xdr:colOff>
      <xdr:row>9</xdr:row>
      <xdr:rowOff>125730</xdr:rowOff>
    </xdr:from>
    <xdr:to>
      <xdr:col>7</xdr:col>
      <xdr:colOff>3654</xdr:colOff>
      <xdr:row>14</xdr:row>
      <xdr:rowOff>80010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95260" y="1649730"/>
          <a:ext cx="2150009" cy="716280"/>
        </a:xfrm>
        <a:prstGeom prst="rect">
          <a:avLst/>
        </a:prstGeom>
      </xdr:spPr>
    </xdr:pic>
    <xdr:clientData/>
  </xdr:twoCellAnchor>
  <xdr:oneCellAnchor>
    <xdr:from>
      <xdr:col>2</xdr:col>
      <xdr:colOff>5699</xdr:colOff>
      <xdr:row>10</xdr:row>
      <xdr:rowOff>142539</xdr:rowOff>
    </xdr:from>
    <xdr:ext cx="901845" cy="891539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884" y="1663337"/>
          <a:ext cx="901845" cy="891539"/>
        </a:xfrm>
        <a:prstGeom prst="rect">
          <a:avLst/>
        </a:prstGeom>
      </xdr:spPr>
    </xdr:pic>
    <xdr:clientData/>
  </xdr:oneCellAnchor>
  <xdr:twoCellAnchor editAs="oneCell">
    <xdr:from>
      <xdr:col>4</xdr:col>
      <xdr:colOff>358140</xdr:colOff>
      <xdr:row>5</xdr:row>
      <xdr:rowOff>175260</xdr:rowOff>
    </xdr:from>
    <xdr:to>
      <xdr:col>6</xdr:col>
      <xdr:colOff>642620</xdr:colOff>
      <xdr:row>8</xdr:row>
      <xdr:rowOff>144780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0960" y="1287780"/>
          <a:ext cx="2105660" cy="44958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952500</xdr:colOff>
      <xdr:row>9</xdr:row>
      <xdr:rowOff>91440</xdr:rowOff>
    </xdr:from>
    <xdr:to>
      <xdr:col>4</xdr:col>
      <xdr:colOff>297180</xdr:colOff>
      <xdr:row>14</xdr:row>
      <xdr:rowOff>74893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4940" y="1615440"/>
          <a:ext cx="2385060" cy="745453"/>
        </a:xfrm>
        <a:prstGeom prst="rect">
          <a:avLst/>
        </a:prstGeom>
      </xdr:spPr>
    </xdr:pic>
    <xdr:clientData/>
  </xdr:twoCellAnchor>
  <xdr:twoCellAnchor editAs="oneCell">
    <xdr:from>
      <xdr:col>3</xdr:col>
      <xdr:colOff>7620</xdr:colOff>
      <xdr:row>14</xdr:row>
      <xdr:rowOff>0</xdr:rowOff>
    </xdr:from>
    <xdr:to>
      <xdr:col>4</xdr:col>
      <xdr:colOff>232825</xdr:colOff>
      <xdr:row>15</xdr:row>
      <xdr:rowOff>123825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92"/>
        <a:stretch/>
      </xdr:blipFill>
      <xdr:spPr>
        <a:xfrm>
          <a:off x="6134100" y="2575560"/>
          <a:ext cx="1421545" cy="2762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45</xdr:row>
          <xdr:rowOff>142875</xdr:rowOff>
        </xdr:from>
        <xdr:to>
          <xdr:col>0</xdr:col>
          <xdr:colOff>1343025</xdr:colOff>
          <xdr:row>47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stock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95250</xdr:rowOff>
        </xdr:from>
        <xdr:to>
          <xdr:col>0</xdr:col>
          <xdr:colOff>1400175</xdr:colOff>
          <xdr:row>48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check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142875</xdr:rowOff>
        </xdr:from>
        <xdr:to>
          <xdr:col>0</xdr:col>
          <xdr:colOff>1343025</xdr:colOff>
          <xdr:row>50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cmd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51</xdr:row>
          <xdr:rowOff>95250</xdr:rowOff>
        </xdr:from>
        <xdr:to>
          <xdr:col>0</xdr:col>
          <xdr:colOff>1352550</xdr:colOff>
          <xdr:row>52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check cmd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54</xdr:row>
          <xdr:rowOff>66675</xdr:rowOff>
        </xdr:from>
        <xdr:to>
          <xdr:col>0</xdr:col>
          <xdr:colOff>1390650</xdr:colOff>
          <xdr:row>55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res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56</xdr:row>
          <xdr:rowOff>85725</xdr:rowOff>
        </xdr:from>
        <xdr:to>
          <xdr:col>0</xdr:col>
          <xdr:colOff>1428750</xdr:colOff>
          <xdr:row>57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Check res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167577</xdr:colOff>
      <xdr:row>1</xdr:row>
      <xdr:rowOff>59615</xdr:rowOff>
    </xdr:from>
    <xdr:to>
      <xdr:col>1</xdr:col>
      <xdr:colOff>753421</xdr:colOff>
      <xdr:row>4</xdr:row>
      <xdr:rowOff>112955</xdr:rowOff>
    </xdr:to>
    <xdr:pic>
      <xdr:nvPicPr>
        <xdr:cNvPr id="2" name="Image 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577" y="244672"/>
          <a:ext cx="1625109" cy="60851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4</xdr:col>
      <xdr:colOff>403860</xdr:colOff>
      <xdr:row>0</xdr:row>
      <xdr:rowOff>99060</xdr:rowOff>
    </xdr:from>
    <xdr:ext cx="845041" cy="845820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59340" y="99060"/>
          <a:ext cx="845041" cy="845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3</xdr:col>
      <xdr:colOff>78441</xdr:colOff>
      <xdr:row>0</xdr:row>
      <xdr:rowOff>11206</xdr:rowOff>
    </xdr:from>
    <xdr:to>
      <xdr:col>3</xdr:col>
      <xdr:colOff>975507</xdr:colOff>
      <xdr:row>5</xdr:row>
      <xdr:rowOff>9028</xdr:rowOff>
    </xdr:to>
    <xdr:pic>
      <xdr:nvPicPr>
        <xdr:cNvPr id="6" name="Pictur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0" y="11206"/>
          <a:ext cx="897066" cy="95032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58720</xdr:colOff>
      <xdr:row>1</xdr:row>
      <xdr:rowOff>59615</xdr:rowOff>
    </xdr:from>
    <xdr:to>
      <xdr:col>1</xdr:col>
      <xdr:colOff>470842</xdr:colOff>
      <xdr:row>4</xdr:row>
      <xdr:rowOff>112955</xdr:rowOff>
    </xdr:to>
    <xdr:pic>
      <xdr:nvPicPr>
        <xdr:cNvPr id="3" name="Image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720" y="238909"/>
          <a:ext cx="1616785" cy="59122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4</xdr:col>
      <xdr:colOff>403860</xdr:colOff>
      <xdr:row>0</xdr:row>
      <xdr:rowOff>99060</xdr:rowOff>
    </xdr:from>
    <xdr:ext cx="845041" cy="84582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9260" y="99060"/>
          <a:ext cx="845041" cy="845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3</xdr:col>
      <xdr:colOff>100854</xdr:colOff>
      <xdr:row>0</xdr:row>
      <xdr:rowOff>11204</xdr:rowOff>
    </xdr:from>
    <xdr:to>
      <xdr:col>3</xdr:col>
      <xdr:colOff>997920</xdr:colOff>
      <xdr:row>5</xdr:row>
      <xdr:rowOff>9026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8678" y="11204"/>
          <a:ext cx="897066" cy="9503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297181</xdr:colOff>
      <xdr:row>0</xdr:row>
      <xdr:rowOff>60962</xdr:rowOff>
    </xdr:from>
    <xdr:to>
      <xdr:col>5</xdr:col>
      <xdr:colOff>18827</xdr:colOff>
      <xdr:row>4</xdr:row>
      <xdr:rowOff>152920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1741" y="60962"/>
          <a:ext cx="1965960" cy="823478"/>
        </a:xfrm>
        <a:prstGeom prst="rect">
          <a:avLst/>
        </a:prstGeom>
      </xdr:spPr>
    </xdr:pic>
    <xdr:clientData/>
  </xdr:twoCellAnchor>
  <xdr:twoCellAnchor editAs="oneCell">
    <xdr:from>
      <xdr:col>0</xdr:col>
      <xdr:colOff>191588</xdr:colOff>
      <xdr:row>1</xdr:row>
      <xdr:rowOff>90352</xdr:rowOff>
    </xdr:from>
    <xdr:to>
      <xdr:col>1</xdr:col>
      <xdr:colOff>698318</xdr:colOff>
      <xdr:row>4</xdr:row>
      <xdr:rowOff>143692</xdr:rowOff>
    </xdr:to>
    <xdr:pic>
      <xdr:nvPicPr>
        <xdr:cNvPr id="4" name="Image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588" y="275409"/>
          <a:ext cx="1608909" cy="6085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83820</xdr:colOff>
      <xdr:row>1</xdr:row>
      <xdr:rowOff>60960</xdr:rowOff>
    </xdr:from>
    <xdr:to>
      <xdr:col>1</xdr:col>
      <xdr:colOff>607359</xdr:colOff>
      <xdr:row>4</xdr:row>
      <xdr:rowOff>114300</xdr:rowOff>
    </xdr:to>
    <xdr:pic>
      <xdr:nvPicPr>
        <xdr:cNvPr id="2" name="Image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" y="243840"/>
          <a:ext cx="1623060" cy="6019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281940</xdr:colOff>
      <xdr:row>0</xdr:row>
      <xdr:rowOff>160021</xdr:rowOff>
    </xdr:from>
    <xdr:to>
      <xdr:col>5</xdr:col>
      <xdr:colOff>153682</xdr:colOff>
      <xdr:row>4</xdr:row>
      <xdr:rowOff>144781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4360" y="160021"/>
          <a:ext cx="2151914" cy="7162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1</xdr:row>
      <xdr:rowOff>45720</xdr:rowOff>
    </xdr:from>
    <xdr:to>
      <xdr:col>2</xdr:col>
      <xdr:colOff>106680</xdr:colOff>
      <xdr:row>4</xdr:row>
      <xdr:rowOff>99060</xdr:rowOff>
    </xdr:to>
    <xdr:pic>
      <xdr:nvPicPr>
        <xdr:cNvPr id="3" name="Image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" y="228600"/>
          <a:ext cx="1623060" cy="601980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4</xdr:col>
      <xdr:colOff>487680</xdr:colOff>
      <xdr:row>0</xdr:row>
      <xdr:rowOff>76200</xdr:rowOff>
    </xdr:from>
    <xdr:ext cx="845041" cy="84582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76200"/>
          <a:ext cx="845041" cy="845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</xdr:col>
      <xdr:colOff>3795584</xdr:colOff>
      <xdr:row>0</xdr:row>
      <xdr:rowOff>4234</xdr:rowOff>
    </xdr:from>
    <xdr:to>
      <xdr:col>3</xdr:col>
      <xdr:colOff>511175</xdr:colOff>
      <xdr:row>4</xdr:row>
      <xdr:rowOff>157694</xdr:rowOff>
    </xdr:to>
    <xdr:pic>
      <xdr:nvPicPr>
        <xdr:cNvPr id="5" name="Pictur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0534" y="4234"/>
          <a:ext cx="897066" cy="91546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</xdr:row>
      <xdr:rowOff>68580</xdr:rowOff>
    </xdr:from>
    <xdr:to>
      <xdr:col>1</xdr:col>
      <xdr:colOff>762000</xdr:colOff>
      <xdr:row>4</xdr:row>
      <xdr:rowOff>121920</xdr:rowOff>
    </xdr:to>
    <xdr:pic>
      <xdr:nvPicPr>
        <xdr:cNvPr id="2" name="Image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251460"/>
          <a:ext cx="1623060" cy="6019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640080</xdr:colOff>
      <xdr:row>1</xdr:row>
      <xdr:rowOff>22860</xdr:rowOff>
    </xdr:from>
    <xdr:to>
      <xdr:col>5</xdr:col>
      <xdr:colOff>509431</xdr:colOff>
      <xdr:row>3</xdr:row>
      <xdr:rowOff>106680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3740" y="205740"/>
          <a:ext cx="2105660" cy="44958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83820</xdr:colOff>
      <xdr:row>1</xdr:row>
      <xdr:rowOff>53340</xdr:rowOff>
    </xdr:from>
    <xdr:to>
      <xdr:col>1</xdr:col>
      <xdr:colOff>430306</xdr:colOff>
      <xdr:row>4</xdr:row>
      <xdr:rowOff>106680</xdr:rowOff>
    </xdr:to>
    <xdr:pic>
      <xdr:nvPicPr>
        <xdr:cNvPr id="2" name="Image 4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" y="236220"/>
          <a:ext cx="1623060" cy="6019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403860</xdr:colOff>
      <xdr:row>0</xdr:row>
      <xdr:rowOff>83820</xdr:rowOff>
    </xdr:from>
    <xdr:to>
      <xdr:col>5</xdr:col>
      <xdr:colOff>407669</xdr:colOff>
      <xdr:row>4</xdr:row>
      <xdr:rowOff>97753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5120" y="83820"/>
          <a:ext cx="2385060" cy="745453"/>
        </a:xfrm>
        <a:prstGeom prst="rect">
          <a:avLst/>
        </a:prstGeom>
      </xdr:spPr>
    </xdr:pic>
    <xdr:clientData/>
  </xdr:twoCellAnchor>
  <xdr:twoCellAnchor editAs="oneCell">
    <xdr:from>
      <xdr:col>2</xdr:col>
      <xdr:colOff>5602941</xdr:colOff>
      <xdr:row>0</xdr:row>
      <xdr:rowOff>0</xdr:rowOff>
    </xdr:from>
    <xdr:to>
      <xdr:col>3</xdr:col>
      <xdr:colOff>270657</xdr:colOff>
      <xdr:row>5</xdr:row>
      <xdr:rowOff>1557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5566" y="0"/>
          <a:ext cx="897066" cy="95032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7620</xdr:rowOff>
    </xdr:from>
    <xdr:to>
      <xdr:col>1</xdr:col>
      <xdr:colOff>363071</xdr:colOff>
      <xdr:row>4</xdr:row>
      <xdr:rowOff>60960</xdr:rowOff>
    </xdr:to>
    <xdr:pic>
      <xdr:nvPicPr>
        <xdr:cNvPr id="2" name="Image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90500"/>
          <a:ext cx="1623060" cy="601980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4</xdr:col>
      <xdr:colOff>365761</xdr:colOff>
      <xdr:row>0</xdr:row>
      <xdr:rowOff>83820</xdr:rowOff>
    </xdr:from>
    <xdr:ext cx="901845" cy="891539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1" y="83820"/>
          <a:ext cx="901845" cy="891539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220980</xdr:colOff>
      <xdr:row>1</xdr:row>
      <xdr:rowOff>53340</xdr:rowOff>
    </xdr:from>
    <xdr:to>
      <xdr:col>1</xdr:col>
      <xdr:colOff>350520</xdr:colOff>
      <xdr:row>4</xdr:row>
      <xdr:rowOff>129540</xdr:rowOff>
    </xdr:to>
    <xdr:pic>
      <xdr:nvPicPr>
        <xdr:cNvPr id="2" name="Image 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80" y="236220"/>
          <a:ext cx="1623060" cy="60198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205442</xdr:colOff>
      <xdr:row>2</xdr:row>
      <xdr:rowOff>56031</xdr:rowOff>
    </xdr:from>
    <xdr:to>
      <xdr:col>2</xdr:col>
      <xdr:colOff>746686</xdr:colOff>
      <xdr:row>5</xdr:row>
      <xdr:rowOff>109370</xdr:rowOff>
    </xdr:to>
    <xdr:pic>
      <xdr:nvPicPr>
        <xdr:cNvPr id="2" name="Image 4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486" y="429560"/>
          <a:ext cx="1587126" cy="61363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8</xdr:row>
          <xdr:rowOff>95250</xdr:rowOff>
        </xdr:from>
        <xdr:to>
          <xdr:col>9</xdr:col>
          <xdr:colOff>819150</xdr:colOff>
          <xdr:row>9</xdr:row>
          <xdr:rowOff>171450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I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idisgroup1-my.sharepoint.com/personal/g_gnanzou_southcomp-polaris_com/Documents/Bureau/PRIX_LIST/stock%20polaris%20%2003022025.xlsx" TargetMode="External"/><Relationship Id="rId1" Type="http://schemas.openxmlformats.org/officeDocument/2006/relationships/externalLinkPath" Target="/personal/g_gnanzou_southcomp-polaris_com/Documents/Bureau/PRIX_LIST/stock%20polaris%20%200302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ventaire"/>
      <sheetName val="Inventaire - 1"/>
    </sheetNames>
    <sheetDataSet>
      <sheetData sheetId="0">
        <row r="13">
          <cell r="A13" t="str">
            <v>1N</v>
          </cell>
        </row>
        <row r="14">
          <cell r="A14" t="str">
            <v>CH562HE</v>
          </cell>
          <cell r="B14" t="str">
            <v>HP 122 Tri-Color Original Ink Cartridge</v>
          </cell>
          <cell r="C14">
            <v>50</v>
          </cell>
        </row>
        <row r="15">
          <cell r="A15" t="str">
            <v>CZ101AE/BHL</v>
          </cell>
          <cell r="B15" t="str">
            <v>HP 650 Black Original Ink Advantage Cartridge</v>
          </cell>
          <cell r="C15">
            <v>180</v>
          </cell>
        </row>
        <row r="16">
          <cell r="A16" t="str">
            <v>CZ102AE/BHL</v>
          </cell>
          <cell r="B16" t="str">
            <v>HP 650 Tri-color Original Ink Advantage Cartridge</v>
          </cell>
          <cell r="C16">
            <v>100</v>
          </cell>
        </row>
        <row r="17">
          <cell r="A17" t="str">
            <v>F6V16AE</v>
          </cell>
          <cell r="B17" t="str">
            <v>HP 123 Tri-color Original Ink Cartridge</v>
          </cell>
          <cell r="C17">
            <v>207</v>
          </cell>
        </row>
        <row r="18">
          <cell r="A18" t="str">
            <v>F6V17AE</v>
          </cell>
          <cell r="B18" t="str">
            <v>HP 123 Black Original Ink Cartridge</v>
          </cell>
          <cell r="C18">
            <v>177</v>
          </cell>
        </row>
        <row r="19">
          <cell r="A19" t="str">
            <v>F6V24AE/BHL</v>
          </cell>
          <cell r="B19" t="str">
            <v>HP 652 Tri-color Original Ink Advantage Cartridge</v>
          </cell>
          <cell r="C19">
            <v>110</v>
          </cell>
        </row>
        <row r="20">
          <cell r="A20" t="str">
            <v>F6V25AE/BHL</v>
          </cell>
          <cell r="B20" t="str">
            <v>HP 652 Black Original Ink Advantage Cartridge</v>
          </cell>
          <cell r="C20">
            <v>235</v>
          </cell>
        </row>
        <row r="21">
          <cell r="A21" t="str">
            <v>Total</v>
          </cell>
          <cell r="C21">
            <v>1059</v>
          </cell>
        </row>
        <row r="22">
          <cell r="A22" t="str">
            <v>5T</v>
          </cell>
        </row>
        <row r="23">
          <cell r="A23" t="str">
            <v>CE255A</v>
          </cell>
          <cell r="B23" t="str">
            <v>HP 55A BLACK PRINT CARTRIDGE P3015</v>
          </cell>
          <cell r="C23">
            <v>4</v>
          </cell>
        </row>
        <row r="24">
          <cell r="A24" t="str">
            <v>CE270A</v>
          </cell>
          <cell r="B24" t="str">
            <v>TONER CARTRIDGE BLACK FOR COLOR LASERJET CP5525</v>
          </cell>
          <cell r="C24">
            <v>3</v>
          </cell>
        </row>
        <row r="25">
          <cell r="A25" t="str">
            <v>CE271A</v>
          </cell>
          <cell r="B25" t="str">
            <v>TONER CARTRIDGE CYAN FOR COLOR LASERJET CP5525</v>
          </cell>
          <cell r="C25">
            <v>2</v>
          </cell>
        </row>
        <row r="26">
          <cell r="A26" t="str">
            <v>CE272A</v>
          </cell>
          <cell r="B26" t="str">
            <v>TONER CARTRIDGE YELLOW FOR COLOR LASERJET CP5525</v>
          </cell>
          <cell r="C26">
            <v>2</v>
          </cell>
        </row>
        <row r="27">
          <cell r="A27" t="str">
            <v>CE273A</v>
          </cell>
          <cell r="B27" t="str">
            <v>TONER CARTRIDGE MAGENTA FOR COLOR LASERJET CP5525</v>
          </cell>
          <cell r="C27">
            <v>2</v>
          </cell>
        </row>
        <row r="28">
          <cell r="A28" t="str">
            <v>CE313A/SER</v>
          </cell>
          <cell r="B28" t="str">
            <v>HP TONER CARTRIDGE MAGENTA 126A FOR LASERJET</v>
          </cell>
          <cell r="C28">
            <v>2</v>
          </cell>
        </row>
        <row r="29">
          <cell r="A29" t="str">
            <v>CE741A</v>
          </cell>
          <cell r="B29" t="str">
            <v>CYAN PRINT CARTRIDGE CE741A HP COLOR LASERJET</v>
          </cell>
          <cell r="C29">
            <v>3</v>
          </cell>
        </row>
        <row r="30">
          <cell r="A30" t="str">
            <v>CE742A</v>
          </cell>
          <cell r="B30" t="str">
            <v>YELLOW PRINT CARTRIDGE CE742A HP COLOR LASERJET</v>
          </cell>
          <cell r="C30">
            <v>5</v>
          </cell>
        </row>
        <row r="31">
          <cell r="A31" t="str">
            <v>CE743A</v>
          </cell>
          <cell r="B31" t="str">
            <v>MAGENTA PRINT CARTRIDGE CE743A HP COLOR LASERJET</v>
          </cell>
          <cell r="C31">
            <v>5</v>
          </cell>
        </row>
        <row r="32">
          <cell r="A32" t="str">
            <v>CF226A/SER</v>
          </cell>
          <cell r="B32" t="str">
            <v>HP 26A Black Original LaserJet Toner Cartridge</v>
          </cell>
          <cell r="C32">
            <v>53</v>
          </cell>
        </row>
        <row r="33">
          <cell r="A33" t="str">
            <v>CF226A/SR</v>
          </cell>
          <cell r="B33" t="str">
            <v>HP 26A Black Original LaserJet Toner Cartridge</v>
          </cell>
          <cell r="C33">
            <v>25</v>
          </cell>
        </row>
        <row r="34">
          <cell r="A34" t="str">
            <v>CF237A</v>
          </cell>
          <cell r="B34" t="str">
            <v>HP 37A Black Original LaserJet Toner Cartridge</v>
          </cell>
          <cell r="C34">
            <v>5</v>
          </cell>
        </row>
        <row r="35">
          <cell r="A35" t="str">
            <v>CF350A/SER</v>
          </cell>
          <cell r="B35" t="str">
            <v>HP 130A Black LaserJet Toner Cartridge (CF350A)</v>
          </cell>
          <cell r="C35">
            <v>21</v>
          </cell>
        </row>
        <row r="36">
          <cell r="A36" t="str">
            <v>CF351A/SER</v>
          </cell>
          <cell r="B36" t="str">
            <v>HP 130A Cyan LaserJet Toner Cartridge (CF351A)</v>
          </cell>
          <cell r="C36">
            <v>4</v>
          </cell>
        </row>
        <row r="37">
          <cell r="A37" t="str">
            <v>CF352A/SER</v>
          </cell>
          <cell r="B37" t="str">
            <v>HP 130A YELLOW LASERJET TONER CARTRIDGE</v>
          </cell>
          <cell r="C37">
            <v>4</v>
          </cell>
        </row>
        <row r="38">
          <cell r="A38" t="str">
            <v>CF353A/SER</v>
          </cell>
          <cell r="B38" t="str">
            <v>HP 130A MAGENTA LASERJET TONER CARTRIDGE</v>
          </cell>
          <cell r="C38">
            <v>4</v>
          </cell>
        </row>
        <row r="39">
          <cell r="A39" t="str">
            <v>CF531A</v>
          </cell>
          <cell r="B39" t="str">
            <v>HP 205A Cyan Original LaserJet Toner Cartridge</v>
          </cell>
          <cell r="C39">
            <v>27</v>
          </cell>
        </row>
        <row r="40">
          <cell r="A40" t="str">
            <v>CF541A/SER</v>
          </cell>
          <cell r="B40" t="str">
            <v>HP 203A Cyan Original LaserJet Toner Cartridge</v>
          </cell>
          <cell r="C40">
            <v>6</v>
          </cell>
        </row>
        <row r="41">
          <cell r="A41" t="str">
            <v>CF542A/SER</v>
          </cell>
          <cell r="B41" t="str">
            <v>HP 203A Yellow Original LaserJet Toner Cartridge</v>
          </cell>
          <cell r="C41">
            <v>17</v>
          </cell>
        </row>
        <row r="42">
          <cell r="A42" t="str">
            <v>CF543A/SER</v>
          </cell>
          <cell r="B42" t="str">
            <v>HP 203A Magenta Original LaserJet Toner Cartridge</v>
          </cell>
          <cell r="C42">
            <v>10</v>
          </cell>
        </row>
        <row r="43">
          <cell r="A43" t="str">
            <v>M0H54AE</v>
          </cell>
          <cell r="B43" t="str">
            <v>HP GT52 Cyan Original Ink Bottle</v>
          </cell>
          <cell r="C43">
            <v>10</v>
          </cell>
        </row>
        <row r="44">
          <cell r="A44" t="str">
            <v>M0H55AE</v>
          </cell>
          <cell r="B44" t="str">
            <v>HP GT52 Magenta Original Ink Bottle</v>
          </cell>
          <cell r="C44">
            <v>10</v>
          </cell>
        </row>
        <row r="45">
          <cell r="A45" t="str">
            <v>M0H56AE</v>
          </cell>
          <cell r="B45" t="str">
            <v>HP GT52 Yellow Original Ink Bottle</v>
          </cell>
          <cell r="C45">
            <v>10</v>
          </cell>
        </row>
        <row r="46">
          <cell r="A46" t="str">
            <v>W1470A</v>
          </cell>
          <cell r="B46" t="str">
            <v>HP 147A Black LaserJet Toner Cartridge</v>
          </cell>
          <cell r="C46">
            <v>25</v>
          </cell>
        </row>
        <row r="47">
          <cell r="A47" t="str">
            <v>W1500A/SER</v>
          </cell>
          <cell r="B47" t="str">
            <v>HP 150A Black Original LaserJet Toner Cartridge</v>
          </cell>
          <cell r="C47">
            <v>18</v>
          </cell>
        </row>
        <row r="48">
          <cell r="A48" t="str">
            <v>W2000A/SER</v>
          </cell>
          <cell r="B48" t="str">
            <v>HP 658A BLACK ORIGINAL LASERJET TONER CARTRIDGE</v>
          </cell>
          <cell r="C48">
            <v>3</v>
          </cell>
        </row>
        <row r="49">
          <cell r="A49" t="str">
            <v>W2031A</v>
          </cell>
          <cell r="B49" t="str">
            <v>HP 415A Cyan Original LaserJet Toner Cartridge</v>
          </cell>
          <cell r="C49">
            <v>44</v>
          </cell>
        </row>
        <row r="50">
          <cell r="A50" t="str">
            <v>W2033A</v>
          </cell>
          <cell r="B50" t="str">
            <v>HP 415A Magenta Original LaserJet Toner Cartridge</v>
          </cell>
          <cell r="C50">
            <v>1</v>
          </cell>
        </row>
        <row r="51">
          <cell r="A51" t="str">
            <v>W2070A</v>
          </cell>
          <cell r="B51" t="str">
            <v>HP 117A Black Original Laser Toner Cartridge</v>
          </cell>
          <cell r="C51">
            <v>24</v>
          </cell>
        </row>
        <row r="52">
          <cell r="A52" t="str">
            <v>W2071A/SR</v>
          </cell>
          <cell r="B52" t="str">
            <v>HP 117A Cyan Original Laser Toner Cartridge</v>
          </cell>
          <cell r="C52">
            <v>28</v>
          </cell>
        </row>
        <row r="53">
          <cell r="A53" t="str">
            <v>W2072A</v>
          </cell>
          <cell r="B53" t="str">
            <v>HP 117A Yellow Original Laser Toner Cartri</v>
          </cell>
          <cell r="C53">
            <v>24</v>
          </cell>
        </row>
        <row r="54">
          <cell r="A54" t="str">
            <v>W2130A</v>
          </cell>
          <cell r="B54" t="str">
            <v>HP 213A Black Original LaserJet Toner Cartridge</v>
          </cell>
          <cell r="C54">
            <v>2</v>
          </cell>
        </row>
        <row r="55">
          <cell r="A55" t="str">
            <v>W2131A</v>
          </cell>
          <cell r="B55" t="str">
            <v>HP 213A Cyan Original LaserJet Toner Cartridge</v>
          </cell>
          <cell r="C55">
            <v>1</v>
          </cell>
        </row>
        <row r="56">
          <cell r="A56" t="str">
            <v>W2132A</v>
          </cell>
          <cell r="B56" t="str">
            <v>HP 213A Yellow Original LaserJet Toner Cartridge</v>
          </cell>
          <cell r="C56">
            <v>1</v>
          </cell>
        </row>
        <row r="57">
          <cell r="A57" t="str">
            <v>W2133A</v>
          </cell>
          <cell r="B57" t="str">
            <v>HP 213A Magenta Original LaserJet Toner Cartridge</v>
          </cell>
          <cell r="C57">
            <v>1</v>
          </cell>
        </row>
        <row r="58">
          <cell r="A58" t="str">
            <v>W2211A/SR</v>
          </cell>
          <cell r="B58" t="str">
            <v>HP 207A Cyan Original LaserJet Toner Cartridge</v>
          </cell>
          <cell r="C58">
            <v>25</v>
          </cell>
        </row>
        <row r="59">
          <cell r="A59" t="str">
            <v>W2212A/SR</v>
          </cell>
          <cell r="B59" t="str">
            <v>HP 207A Yellow Original LaserJet Toner Cartridge</v>
          </cell>
          <cell r="C59">
            <v>25</v>
          </cell>
        </row>
        <row r="60">
          <cell r="A60" t="str">
            <v>W2213A/SR</v>
          </cell>
          <cell r="B60" t="str">
            <v>HP 207A Magenta Original LaserJet Toner Cartridge</v>
          </cell>
          <cell r="C60">
            <v>25</v>
          </cell>
        </row>
        <row r="61">
          <cell r="A61" t="str">
            <v>W2301A/SER</v>
          </cell>
          <cell r="B61" t="str">
            <v>HP 230A Cyan Original LaserJet Toner Cartridge</v>
          </cell>
          <cell r="C61">
            <v>20</v>
          </cell>
        </row>
        <row r="62">
          <cell r="A62" t="str">
            <v>W2410A/SR</v>
          </cell>
          <cell r="B62" t="str">
            <v>HP 216A Black Original LaserJet Toner Cartridge</v>
          </cell>
          <cell r="C62">
            <v>63</v>
          </cell>
        </row>
        <row r="63">
          <cell r="A63" t="str">
            <v>W2411A/SR</v>
          </cell>
          <cell r="B63" t="str">
            <v>HP 216A Cyan Original LaserJet Toner Cartridge</v>
          </cell>
          <cell r="C63">
            <v>64</v>
          </cell>
        </row>
        <row r="64">
          <cell r="A64" t="str">
            <v>W2412A/SR</v>
          </cell>
          <cell r="B64" t="str">
            <v>HP 216A Yellow Original LaserJet Toner Cartridge</v>
          </cell>
          <cell r="C64">
            <v>64</v>
          </cell>
        </row>
        <row r="65">
          <cell r="A65" t="str">
            <v>W2413A/SR</v>
          </cell>
          <cell r="B65" t="str">
            <v>HP 216A Magenta Original LaserJet Toner Cartridge</v>
          </cell>
          <cell r="C65">
            <v>64</v>
          </cell>
        </row>
        <row r="66">
          <cell r="A66" t="str">
            <v>Total</v>
          </cell>
          <cell r="C66">
            <v>756</v>
          </cell>
        </row>
        <row r="67">
          <cell r="A67" t="str">
            <v>APC</v>
          </cell>
        </row>
        <row r="68">
          <cell r="A68" t="str">
            <v>AP4422A</v>
          </cell>
          <cell r="B68" t="str">
            <v>RACKS ATS 203V 16A (2) IEC 309in (1) IEC 309 Out</v>
          </cell>
          <cell r="C68">
            <v>20</v>
          </cell>
        </row>
        <row r="69">
          <cell r="A69" t="str">
            <v>AP4424A</v>
          </cell>
          <cell r="B69" t="str">
            <v>RACK ATS 230V 32A IEC 309 in ( 16) C13 (2 ) C19 out</v>
          </cell>
          <cell r="C69">
            <v>10</v>
          </cell>
        </row>
        <row r="70">
          <cell r="A70" t="str">
            <v>AP8853</v>
          </cell>
          <cell r="B70" t="str">
            <v>Rack PDU 2G, Metered, ZeroU, 32A, 230V, (36) C13 &amp; (6) C19</v>
          </cell>
          <cell r="C70">
            <v>21</v>
          </cell>
        </row>
        <row r="71">
          <cell r="A71" t="str">
            <v>AP9544</v>
          </cell>
          <cell r="B71" t="str">
            <v>Network Management Card for Easy UPS, 1-Phase</v>
          </cell>
          <cell r="C71">
            <v>23</v>
          </cell>
        </row>
        <row r="72">
          <cell r="A72" t="str">
            <v>AP9572</v>
          </cell>
          <cell r="B72" t="str">
            <v>Rack PDU, Basic, Zero U, 16A, 208/230V, (15) C13</v>
          </cell>
          <cell r="C72">
            <v>1</v>
          </cell>
        </row>
        <row r="73">
          <cell r="A73" t="str">
            <v>AR3100</v>
          </cell>
          <cell r="B73" t="str">
            <v>NetShelter SX 42U 600mm Wide x 1070mm Deep</v>
          </cell>
          <cell r="C73">
            <v>4</v>
          </cell>
        </row>
        <row r="74">
          <cell r="A74" t="str">
            <v>BV1000I</v>
          </cell>
          <cell r="B74" t="str">
            <v>APC EASY UPS BV 1000VA with AVR, IEC Outlets, 230V</v>
          </cell>
          <cell r="C74">
            <v>181</v>
          </cell>
        </row>
        <row r="75">
          <cell r="A75" t="str">
            <v>BV1000I-GR</v>
          </cell>
          <cell r="B75" t="str">
            <v>APC Easy UPS BV 1000VA, AVR, Schuko Outlet, 230V</v>
          </cell>
          <cell r="C75">
            <v>516</v>
          </cell>
        </row>
        <row r="76">
          <cell r="A76" t="str">
            <v>BV650I-GR</v>
          </cell>
          <cell r="B76" t="str">
            <v>APC Easy UPS BV 650VA, AVR, Schuko Outlet, 230V</v>
          </cell>
          <cell r="C76">
            <v>20</v>
          </cell>
        </row>
        <row r="77">
          <cell r="A77" t="str">
            <v>BVX1600LI</v>
          </cell>
          <cell r="B77" t="str">
            <v>APC Easy UPS 1600VA ,230V ,AVR ,IEC Sockets</v>
          </cell>
          <cell r="C77">
            <v>19</v>
          </cell>
        </row>
        <row r="78">
          <cell r="A78" t="str">
            <v>BVX1600LI-GR</v>
          </cell>
          <cell r="B78" t="str">
            <v>APC Easy UPS 1600 VA 230V AVR Schuko Sockets</v>
          </cell>
          <cell r="C78">
            <v>22</v>
          </cell>
        </row>
        <row r="79">
          <cell r="A79" t="str">
            <v>BVX2200LI</v>
          </cell>
          <cell r="B79" t="str">
            <v>APC Easy UPS 2200VA 230V AVR IEC Sockets</v>
          </cell>
          <cell r="C79">
            <v>23</v>
          </cell>
        </row>
        <row r="80">
          <cell r="A80" t="str">
            <v>BX1600MI-GR</v>
          </cell>
          <cell r="B80" t="str">
            <v>APC Back-UPS 1600VA, 230V, AVR, Schuko Sockets</v>
          </cell>
          <cell r="C80">
            <v>20</v>
          </cell>
        </row>
        <row r="81">
          <cell r="A81" t="str">
            <v>BX2200MI-GR</v>
          </cell>
          <cell r="B81" t="str">
            <v>APC Back-UPS 2200VA, 230V, AVR, Schuko Sockets</v>
          </cell>
          <cell r="C81">
            <v>15</v>
          </cell>
        </row>
        <row r="82">
          <cell r="A82" t="str">
            <v>E3MCBC10A</v>
          </cell>
          <cell r="B82" t="str">
            <v>Easy UPS 3M Classic Battery Cabinet 1000mm IEC With Batteries Config</v>
          </cell>
          <cell r="C82">
            <v>1</v>
          </cell>
        </row>
        <row r="83">
          <cell r="A83" t="str">
            <v>E3MCBC7D</v>
          </cell>
          <cell r="B83" t="str">
            <v>APC Easy UPS 3M Classic Battery Cabinet 700mm IEC With</v>
          </cell>
          <cell r="C83">
            <v>1</v>
          </cell>
        </row>
        <row r="84">
          <cell r="A84" t="str">
            <v>E3MUPS100KHS</v>
          </cell>
          <cell r="B84" t="str">
            <v>APC Easy UPS 3M 100kVA 400V 3:3 UPS for external batteries</v>
          </cell>
          <cell r="C84">
            <v>1</v>
          </cell>
        </row>
        <row r="85">
          <cell r="A85" t="str">
            <v>E3MUPS120KHS</v>
          </cell>
          <cell r="B85" t="str">
            <v>Easy UPS 3M 120kVA 400V 3:3 UPS for external batteries</v>
          </cell>
          <cell r="C85">
            <v>1</v>
          </cell>
        </row>
        <row r="86">
          <cell r="A86" t="str">
            <v>E3MUPS60KHB2S</v>
          </cell>
          <cell r="B86" t="str">
            <v>Easy UPS 3M 60kVA 400V 3:3 UPS 4 internal 9Ah modular</v>
          </cell>
          <cell r="C86">
            <v>1</v>
          </cell>
        </row>
        <row r="87">
          <cell r="A87" t="str">
            <v>E3SBT4</v>
          </cell>
          <cell r="B87" t="str">
            <v>Easy UPS 3S Battery String</v>
          </cell>
          <cell r="C87">
            <v>2</v>
          </cell>
        </row>
        <row r="88">
          <cell r="A88" t="str">
            <v>E3SBTH4</v>
          </cell>
          <cell r="B88" t="str">
            <v>Easy UPS 3S High Capacity Battery String</v>
          </cell>
          <cell r="C88">
            <v>1</v>
          </cell>
        </row>
        <row r="89">
          <cell r="A89" t="str">
            <v>E3SOPT001</v>
          </cell>
          <cell r="B89" t="str">
            <v>Easy UPS 3 Series Network Card</v>
          </cell>
          <cell r="C89">
            <v>14</v>
          </cell>
        </row>
        <row r="90">
          <cell r="A90" t="str">
            <v>E3SOPT002</v>
          </cell>
          <cell r="B90" t="str">
            <v>Easy UPS 3S Parallel Kit</v>
          </cell>
          <cell r="C90">
            <v>6</v>
          </cell>
        </row>
        <row r="91">
          <cell r="A91" t="str">
            <v>E3SUPS10KHB</v>
          </cell>
          <cell r="B91" t="str">
            <v>Easy UPS 10kVA 400V 3:3 UPS  for internal batteries +1</v>
          </cell>
          <cell r="C91">
            <v>4</v>
          </cell>
        </row>
        <row r="92">
          <cell r="A92" t="str">
            <v>E3SUPS15KHB1</v>
          </cell>
          <cell r="B92" t="str">
            <v>Easy UPS 3S 15kVA 400V 3:3 UPS 10 min +1</v>
          </cell>
          <cell r="C92">
            <v>4</v>
          </cell>
        </row>
        <row r="93">
          <cell r="A93" t="str">
            <v>E3SUPS20KHB</v>
          </cell>
          <cell r="B93" t="str">
            <v>Easy UPS 3S 20kVA 400V 3:3 UPS for internal batteries+2</v>
          </cell>
          <cell r="C93">
            <v>8</v>
          </cell>
        </row>
        <row r="94">
          <cell r="A94" t="str">
            <v>E3SUPS40KHB</v>
          </cell>
          <cell r="B94" t="str">
            <v>Easy UPS 3S 40kVA 400V 3:3 UPS For internal batteries+3</v>
          </cell>
          <cell r="C94">
            <v>7</v>
          </cell>
        </row>
        <row r="95">
          <cell r="A95" t="str">
            <v>EPDU1016B</v>
          </cell>
          <cell r="B95" t="str">
            <v>Easy PDU Basic 1U 16A 230V (8 ) C13</v>
          </cell>
          <cell r="C95">
            <v>8</v>
          </cell>
        </row>
        <row r="96">
          <cell r="A96" t="str">
            <v>EPDU1116B</v>
          </cell>
          <cell r="B96" t="str">
            <v>Easy PDU Basic ZeroU 16A 230V (20) C13 (4) C19 IEC309</v>
          </cell>
          <cell r="C96">
            <v>14</v>
          </cell>
        </row>
        <row r="97">
          <cell r="A97" t="str">
            <v>ER6202FP1</v>
          </cell>
          <cell r="B97" t="str">
            <v>Easy Rack Flat Pack 600mm 42U 1000mm Roof Side feet ** 1 RACK **</v>
          </cell>
          <cell r="C97">
            <v>3</v>
          </cell>
        </row>
        <row r="98">
          <cell r="A98" t="str">
            <v>PM5-FR</v>
          </cell>
          <cell r="B98" t="str">
            <v>APC Essential SurgeArrest 5 outlets 230V France</v>
          </cell>
          <cell r="C98">
            <v>1</v>
          </cell>
        </row>
        <row r="99">
          <cell r="A99" t="str">
            <v>SMV1500AI</v>
          </cell>
          <cell r="B99" t="str">
            <v>APC Easy UPS SMV 1500VA 230V</v>
          </cell>
          <cell r="C99">
            <v>21</v>
          </cell>
        </row>
        <row r="100">
          <cell r="A100" t="str">
            <v>SMV1500AI-GR</v>
          </cell>
          <cell r="B100" t="str">
            <v>APC Easy UPS SMV 1500VA, Schuko Outlet, 230V</v>
          </cell>
          <cell r="C100">
            <v>18</v>
          </cell>
        </row>
        <row r="101">
          <cell r="A101" t="str">
            <v>SMV2000AI</v>
          </cell>
          <cell r="B101" t="str">
            <v>APC Easy SMV 2000VA 230V</v>
          </cell>
          <cell r="C101">
            <v>11</v>
          </cell>
        </row>
        <row r="102">
          <cell r="A102" t="str">
            <v>SMV2000AI-GR</v>
          </cell>
          <cell r="B102" t="str">
            <v>APC Easy UPS SMV 2000VA, Schuko Outlet, 230V</v>
          </cell>
          <cell r="C102">
            <v>8</v>
          </cell>
        </row>
        <row r="103">
          <cell r="A103" t="str">
            <v>SRT5KXLI</v>
          </cell>
          <cell r="B103" t="str">
            <v>APC Smart-UPS SRT 5000VA 230V</v>
          </cell>
          <cell r="C103">
            <v>2</v>
          </cell>
        </row>
        <row r="104">
          <cell r="A104" t="str">
            <v>SRT6KXLI</v>
          </cell>
          <cell r="B104" t="str">
            <v>APC Smart-UPS SRT 6000VA 230V</v>
          </cell>
          <cell r="C104">
            <v>2</v>
          </cell>
        </row>
        <row r="105">
          <cell r="A105" t="str">
            <v>SRTG10KXLI</v>
          </cell>
          <cell r="B105" t="str">
            <v>APC Smart-UPS RT 10KVA 230V</v>
          </cell>
          <cell r="C105">
            <v>2</v>
          </cell>
        </row>
        <row r="106">
          <cell r="A106" t="str">
            <v>SRTG6KXLI</v>
          </cell>
          <cell r="B106" t="str">
            <v>APC Smart-UPS RT 6kVA 230V</v>
          </cell>
          <cell r="C106">
            <v>3</v>
          </cell>
        </row>
        <row r="107">
          <cell r="A107" t="str">
            <v>SRTG8KXLI</v>
          </cell>
          <cell r="B107" t="str">
            <v>APC Smart-UPS 8k VA</v>
          </cell>
          <cell r="C107">
            <v>2</v>
          </cell>
        </row>
        <row r="108">
          <cell r="A108" t="str">
            <v>SRTGRK1</v>
          </cell>
          <cell r="B108" t="str">
            <v>APC SMART-UPS RT 19 Rail Kit For 4k/6k/8k/10k/15k/20k VA</v>
          </cell>
          <cell r="C108">
            <v>6</v>
          </cell>
        </row>
        <row r="109">
          <cell r="A109" t="str">
            <v>SRTGRKI</v>
          </cell>
          <cell r="B109" t="str">
            <v>APC SMART UPS RT 19 Rail Kit For 5k/6k/8k/10k/15k/20kVA</v>
          </cell>
          <cell r="C109">
            <v>4</v>
          </cell>
        </row>
        <row r="110">
          <cell r="A110" t="str">
            <v>SRV10KI</v>
          </cell>
          <cell r="B110" t="str">
            <v>APC Easy UPS SRV 10000VA 230V (MOMO-MOMO ° )</v>
          </cell>
          <cell r="C110">
            <v>56</v>
          </cell>
        </row>
        <row r="111">
          <cell r="A111" t="str">
            <v>SRV10KIL</v>
          </cell>
          <cell r="B111" t="str">
            <v>APC Easy UPS SRV 10000VA 230V with External Battery Pack</v>
          </cell>
          <cell r="C111">
            <v>1</v>
          </cell>
        </row>
        <row r="112">
          <cell r="A112" t="str">
            <v>SRV10KRI</v>
          </cell>
          <cell r="B112" t="str">
            <v>APC Easy UPS SRV RM 10000VA 230V</v>
          </cell>
          <cell r="C112">
            <v>22</v>
          </cell>
        </row>
        <row r="113">
          <cell r="A113" t="str">
            <v>SRV2KI</v>
          </cell>
          <cell r="B113" t="str">
            <v>APC EASY UPS SRV 2000 VA 230V</v>
          </cell>
          <cell r="C113">
            <v>9</v>
          </cell>
        </row>
        <row r="114">
          <cell r="A114" t="str">
            <v>SRV6KI</v>
          </cell>
          <cell r="B114" t="str">
            <v>APC Smart-UPS RV 6000VA 230V ONE LINE</v>
          </cell>
          <cell r="C114">
            <v>18</v>
          </cell>
        </row>
        <row r="115">
          <cell r="A115" t="str">
            <v>SRV6KRI</v>
          </cell>
          <cell r="B115" t="str">
            <v>APC Easy UPS SRV RM 6000VA 230V</v>
          </cell>
          <cell r="C115">
            <v>2</v>
          </cell>
        </row>
        <row r="116">
          <cell r="A116" t="str">
            <v>Total</v>
          </cell>
          <cell r="C116">
            <v>1159</v>
          </cell>
        </row>
        <row r="117">
          <cell r="A117" t="str">
            <v>DELLACCE</v>
          </cell>
        </row>
        <row r="118">
          <cell r="A118" t="str">
            <v>084381-WM126</v>
          </cell>
          <cell r="B118" t="str">
            <v>Dell Wireless Mouse-WM126</v>
          </cell>
          <cell r="C118">
            <v>12</v>
          </cell>
        </row>
        <row r="119">
          <cell r="A119" t="str">
            <v>084383-KB216</v>
          </cell>
          <cell r="B119" t="str">
            <v>Dell Multimedia Keyboard-KB216 - French (AZERTY) -Black</v>
          </cell>
          <cell r="C119">
            <v>20</v>
          </cell>
        </row>
        <row r="120">
          <cell r="A120" t="str">
            <v>084390-HOUSSE</v>
          </cell>
          <cell r="B120" t="str">
            <v>Dell Ecoloop Pro Sleeve 11-14 CV5423 (11-14")</v>
          </cell>
          <cell r="C120">
            <v>70</v>
          </cell>
        </row>
        <row r="121">
          <cell r="A121" t="str">
            <v>084400-HOUSSE</v>
          </cell>
          <cell r="B121" t="str">
            <v>Dell Ecoloop Pro Briefcase 15 - CC5623</v>
          </cell>
          <cell r="C121">
            <v>30</v>
          </cell>
        </row>
        <row r="122">
          <cell r="A122" t="str">
            <v>150949-KM3322W</v>
          </cell>
          <cell r="B122" t="str">
            <v>Dell Wireless Keyboard and Mouse-KM3322W - French</v>
          </cell>
          <cell r="C122">
            <v>35</v>
          </cell>
        </row>
        <row r="123">
          <cell r="A123" t="str">
            <v>150950-KM5221W</v>
          </cell>
          <cell r="B123" t="str">
            <v>Dell Pro Wireless Keyboard and Mouse - KM5221W - French</v>
          </cell>
          <cell r="C123">
            <v>4</v>
          </cell>
        </row>
        <row r="124">
          <cell r="A124" t="str">
            <v>860066-MS116</v>
          </cell>
          <cell r="B124" t="str">
            <v>Dell Optical Mouse-MS116 - Black</v>
          </cell>
          <cell r="C124">
            <v>1</v>
          </cell>
        </row>
        <row r="125">
          <cell r="A125" t="str">
            <v>993181-DA305</v>
          </cell>
          <cell r="B125" t="str">
            <v>Dell 6-in-1 USB-C Multiport Adapter- DA305</v>
          </cell>
          <cell r="C125">
            <v>1</v>
          </cell>
        </row>
        <row r="126">
          <cell r="A126" t="str">
            <v>993272-DA310</v>
          </cell>
          <cell r="B126" t="str">
            <v>Dell DA310 USB-C Mobile Adapter</v>
          </cell>
          <cell r="C126">
            <v>8</v>
          </cell>
        </row>
        <row r="127">
          <cell r="A127" t="str">
            <v>993273-HOUSSE</v>
          </cell>
          <cell r="B127" t="str">
            <v>Dell Eco Pro Slim Briefcase 15 - PO1520CS - Fits most laptops up to15</v>
          </cell>
          <cell r="C127">
            <v>43</v>
          </cell>
        </row>
        <row r="128">
          <cell r="A128" t="str">
            <v>Total</v>
          </cell>
          <cell r="C128">
            <v>224</v>
          </cell>
        </row>
        <row r="129">
          <cell r="A129" t="str">
            <v>DELLMONIT</v>
          </cell>
        </row>
        <row r="130">
          <cell r="A130" t="str">
            <v>078527-E2222HS</v>
          </cell>
          <cell r="B130" t="str">
            <v>Dell 22 Monitor - E2222HS - 54.5cm (21.5") 1Y</v>
          </cell>
          <cell r="C130">
            <v>21</v>
          </cell>
        </row>
        <row r="131">
          <cell r="A131" t="str">
            <v>262020-P2725H</v>
          </cell>
          <cell r="B131" t="str">
            <v>Dell 27 Monitor - P2725H 3Y</v>
          </cell>
          <cell r="C131">
            <v>1</v>
          </cell>
        </row>
        <row r="132">
          <cell r="A132" t="str">
            <v>361627-SE2422H</v>
          </cell>
          <cell r="B132" t="str">
            <v>Dell 24 Monitor - SE2422H- 60.5cm (23.8’’) 3Y</v>
          </cell>
          <cell r="C132">
            <v>66</v>
          </cell>
        </row>
        <row r="133">
          <cell r="A133" t="str">
            <v>361637-E2222H</v>
          </cell>
          <cell r="B133" t="str">
            <v>Dell 22 Monitor - E2222H - 54.48cm (21.5") 3Y</v>
          </cell>
          <cell r="C133">
            <v>102</v>
          </cell>
        </row>
        <row r="134">
          <cell r="A134" t="str">
            <v>860066-P2725H</v>
          </cell>
          <cell r="B134" t="str">
            <v xml:space="preserve"> Dell 27 Monitor - P2725H 1Y</v>
          </cell>
          <cell r="C134">
            <v>1</v>
          </cell>
        </row>
        <row r="135">
          <cell r="A135" t="str">
            <v>Total</v>
          </cell>
          <cell r="C135">
            <v>191</v>
          </cell>
        </row>
        <row r="136">
          <cell r="A136" t="str">
            <v>DELLPOROPT</v>
          </cell>
        </row>
        <row r="137">
          <cell r="A137" t="str">
            <v>150951-WD19S</v>
          </cell>
          <cell r="B137" t="str">
            <v>Dell Dock WD19S, 130W 3Y</v>
          </cell>
          <cell r="C137">
            <v>18</v>
          </cell>
        </row>
        <row r="138">
          <cell r="A138" t="str">
            <v>860066-ADAPTER</v>
          </cell>
          <cell r="B138" t="str">
            <v>Dell DA310 USB-C Mobile Adapter</v>
          </cell>
          <cell r="C138">
            <v>1</v>
          </cell>
        </row>
        <row r="139">
          <cell r="A139" t="str">
            <v>Total</v>
          </cell>
          <cell r="C139">
            <v>19</v>
          </cell>
        </row>
        <row r="140">
          <cell r="A140" t="str">
            <v>DELLPORTAB</v>
          </cell>
        </row>
        <row r="141">
          <cell r="A141" t="str">
            <v>021583-3450</v>
          </cell>
          <cell r="B141" t="str">
            <v>LAT 3450-N 14" Ci5-1335U 10C 4.60GHz 8GB 512GB WIFIBT UBUNTU 1Y</v>
          </cell>
          <cell r="C141">
            <v>23</v>
          </cell>
        </row>
        <row r="142">
          <cell r="A142" t="str">
            <v>021673-5450</v>
          </cell>
          <cell r="B142" t="str">
            <v>LAT 5450-N 14" Cu5-125U 12C 4.3GHz 8GB 512GB WIFIBT UBUNTU 1Y</v>
          </cell>
          <cell r="C142">
            <v>49</v>
          </cell>
        </row>
        <row r="143">
          <cell r="A143" t="str">
            <v>021674-5450</v>
          </cell>
          <cell r="B143" t="str">
            <v>LAT 5450-N 14" Cu5-125U 12C 4.3GHz 8GB 512GB WIFIBT UBUNTU 1Y</v>
          </cell>
          <cell r="C143">
            <v>9</v>
          </cell>
        </row>
        <row r="144">
          <cell r="A144" t="str">
            <v>021717-5450</v>
          </cell>
          <cell r="B144" t="str">
            <v>LAT 5450 14" Cu7-155U 12C 4..8GHz 16GB 512GB WIFIBT UBUNTU 1Y</v>
          </cell>
          <cell r="C144">
            <v>16</v>
          </cell>
        </row>
        <row r="145">
          <cell r="A145" t="str">
            <v>021755-5550</v>
          </cell>
          <cell r="B145" t="str">
            <v>LAT 5550 15.6" Cu5-125U 12C 4.3GHz 16GB 512GB WIFIBT UBUNTU 1Y</v>
          </cell>
          <cell r="C145">
            <v>22</v>
          </cell>
        </row>
        <row r="146">
          <cell r="A146" t="str">
            <v>021793-5550</v>
          </cell>
          <cell r="B146" t="str">
            <v>LAT 5550-N 15.6" Cu7-155U 12C 4.8GHz 16GB 512GB WIFIBT UBUNTU 1Y</v>
          </cell>
          <cell r="C146">
            <v>3</v>
          </cell>
        </row>
        <row r="147">
          <cell r="A147" t="str">
            <v>021856-9340</v>
          </cell>
          <cell r="B147" t="str">
            <v xml:space="preserve"> XPS 13 9340 13.4" Cu7-155H 16C 4.8GHz 16GB 512GB WIFIBT W11P 1Y</v>
          </cell>
          <cell r="C147">
            <v>1</v>
          </cell>
        </row>
        <row r="148">
          <cell r="A148" t="str">
            <v>021908-9640</v>
          </cell>
          <cell r="B148" t="str">
            <v>XPS 16 9640 16.3" Cu7-155H 16C 4.8GHz 16GB 1TB 6GB W11P 1Y</v>
          </cell>
          <cell r="C148">
            <v>2</v>
          </cell>
        </row>
        <row r="149">
          <cell r="A149" t="str">
            <v>860066-BACKPACK</v>
          </cell>
          <cell r="B149" t="str">
            <v>Dell EcoLoop Pro Slim Backpack 15 - CP5724S</v>
          </cell>
          <cell r="C149">
            <v>1</v>
          </cell>
        </row>
        <row r="150">
          <cell r="A150" t="str">
            <v>Total</v>
          </cell>
          <cell r="C150">
            <v>126</v>
          </cell>
        </row>
        <row r="151">
          <cell r="A151" t="str">
            <v>DELLSERVEU</v>
          </cell>
        </row>
        <row r="152">
          <cell r="A152" t="str">
            <v>861564-T550</v>
          </cell>
          <cell r="B152" t="str">
            <v>PE T550 Xeon Silver 4310 2.1G 2x32GB 2x8TB DVD ID9E PH755 2Y</v>
          </cell>
          <cell r="C152">
            <v>5</v>
          </cell>
        </row>
        <row r="153">
          <cell r="A153" t="str">
            <v>907570-T350</v>
          </cell>
          <cell r="B153" t="str">
            <v>PE T350 Xeon E-2314 2.8GHz 16GB 2x1TB DVD ID9E H355 3Y</v>
          </cell>
          <cell r="C153">
            <v>4</v>
          </cell>
        </row>
        <row r="154">
          <cell r="A154" t="str">
            <v>Total</v>
          </cell>
          <cell r="C154">
            <v>9</v>
          </cell>
        </row>
        <row r="155">
          <cell r="A155" t="str">
            <v>DELLUC</v>
          </cell>
        </row>
        <row r="156">
          <cell r="A156" t="str">
            <v>007236-3000</v>
          </cell>
          <cell r="B156" t="str">
            <v>OPT 3000-N T Acceleration i3-12100 4C 4.3GHz 8GB 512GB 8DVD LX 1Y</v>
          </cell>
          <cell r="C156">
            <v>1</v>
          </cell>
        </row>
        <row r="157">
          <cell r="A157" t="str">
            <v>Total</v>
          </cell>
          <cell r="C157">
            <v>1</v>
          </cell>
        </row>
        <row r="158">
          <cell r="A158" t="str">
            <v>DIVMATERIE</v>
          </cell>
        </row>
        <row r="159">
          <cell r="A159" t="str">
            <v>DTX/128GB</v>
          </cell>
          <cell r="B159" t="str">
            <v>Kingston Data Traveler Exode - clé USB - 128 Go</v>
          </cell>
          <cell r="C159">
            <v>43</v>
          </cell>
        </row>
        <row r="160">
          <cell r="A160" t="str">
            <v>DTX/64GB</v>
          </cell>
          <cell r="B160" t="str">
            <v>Kingston Data Traveler Exode - clé USB - 64 Go</v>
          </cell>
          <cell r="C160">
            <v>170</v>
          </cell>
        </row>
        <row r="161">
          <cell r="A161" t="str">
            <v>KCP432NS6/8</v>
          </cell>
          <cell r="B161" t="str">
            <v>KINGSTON 8Go DDR4 3200MHz Single Rank DIMM Module</v>
          </cell>
          <cell r="C161">
            <v>46</v>
          </cell>
        </row>
        <row r="162">
          <cell r="A162" t="str">
            <v>KCP432SD8/32</v>
          </cell>
          <cell r="B162" t="str">
            <v>KINGSTON 32Go DDR4 3200MHz SODIMM</v>
          </cell>
          <cell r="C162">
            <v>1</v>
          </cell>
        </row>
        <row r="163">
          <cell r="A163" t="str">
            <v>KCP432SS8</v>
          </cell>
          <cell r="B163" t="str">
            <v>KINGSTON 8GB DDR4 3200Mhz Non ECC</v>
          </cell>
          <cell r="C163">
            <v>4</v>
          </cell>
        </row>
        <row r="164">
          <cell r="A164" t="str">
            <v>KTH-PL432</v>
          </cell>
          <cell r="B164" t="str">
            <v>KINGSON 32GB DDR4-3200MT/s Reg ECC Module</v>
          </cell>
          <cell r="C164">
            <v>9</v>
          </cell>
        </row>
        <row r="165">
          <cell r="A165" t="str">
            <v>SDCG3/512GB</v>
          </cell>
          <cell r="B165" t="str">
            <v>KINGSTON 512GB microSDXC Canvas Go Plus 170R A2 U3 V30 Card + ADP</v>
          </cell>
          <cell r="C165">
            <v>2</v>
          </cell>
        </row>
        <row r="166">
          <cell r="A166" t="str">
            <v>SNV2S/1000G</v>
          </cell>
          <cell r="B166" t="str">
            <v>KINGSTON 1000Go NV2 M.2 2280 PCle 4.0 NVMe SSD</v>
          </cell>
          <cell r="C166">
            <v>30</v>
          </cell>
        </row>
        <row r="167">
          <cell r="A167" t="str">
            <v>SNV2S/500G</v>
          </cell>
          <cell r="B167" t="str">
            <v>KINGSTON 500Go NV2 M.2 2280 PCle 4.0 NVMe SSD</v>
          </cell>
          <cell r="C167">
            <v>64</v>
          </cell>
        </row>
        <row r="168">
          <cell r="A168" t="str">
            <v>Total</v>
          </cell>
          <cell r="C168">
            <v>369</v>
          </cell>
        </row>
        <row r="169">
          <cell r="A169" t="str">
            <v>HPIPGCL</v>
          </cell>
        </row>
        <row r="170">
          <cell r="A170" t="str">
            <v>5HH66A/B19</v>
          </cell>
          <cell r="B170" t="str">
            <v>HP Color LaserJet Pro MFP 4303fdn Prmtr</v>
          </cell>
          <cell r="C170">
            <v>39</v>
          </cell>
        </row>
        <row r="171">
          <cell r="A171" t="str">
            <v>7KW56A/B19</v>
          </cell>
          <cell r="B171" t="str">
            <v>HP Color LaserJet Pro MFP M183fw/W2410A/W2411A/W2412A/W2413A</v>
          </cell>
          <cell r="C171">
            <v>59</v>
          </cell>
        </row>
        <row r="172">
          <cell r="A172" t="str">
            <v>Total</v>
          </cell>
          <cell r="C172">
            <v>98</v>
          </cell>
        </row>
        <row r="173">
          <cell r="A173" t="str">
            <v>HPIPGIP</v>
          </cell>
        </row>
        <row r="174">
          <cell r="A174" t="str">
            <v>4A8D4A/BEW</v>
          </cell>
          <cell r="B174" t="str">
            <v>HP Smart Tank 581 All-in-One</v>
          </cell>
          <cell r="C174">
            <v>27</v>
          </cell>
        </row>
        <row r="175">
          <cell r="A175" t="str">
            <v>Total</v>
          </cell>
          <cell r="C175">
            <v>27</v>
          </cell>
        </row>
        <row r="176">
          <cell r="A176" t="str">
            <v>HPIPGPL</v>
          </cell>
        </row>
        <row r="177">
          <cell r="A177" t="str">
            <v>4ZB97A/B19</v>
          </cell>
          <cell r="B177" t="str">
            <v>HP Color Laser MFP 179fnw Printer</v>
          </cell>
          <cell r="C177">
            <v>4</v>
          </cell>
        </row>
        <row r="178">
          <cell r="A178" t="str">
            <v>Total</v>
          </cell>
          <cell r="C178">
            <v>4</v>
          </cell>
        </row>
        <row r="179">
          <cell r="A179" t="str">
            <v>HPIPGSL</v>
          </cell>
        </row>
        <row r="180">
          <cell r="A180" t="str">
            <v>7MD67A/B19</v>
          </cell>
          <cell r="B180" t="str">
            <v>HP  LaserJet M111a Printer</v>
          </cell>
          <cell r="C180">
            <v>57</v>
          </cell>
        </row>
        <row r="181">
          <cell r="A181" t="str">
            <v>7PS84A/B19</v>
          </cell>
          <cell r="B181" t="str">
            <v>HP LaserJet Ent M611dn Printer/W1470A</v>
          </cell>
          <cell r="C181">
            <v>5</v>
          </cell>
        </row>
        <row r="182">
          <cell r="A182" t="str">
            <v>Total</v>
          </cell>
          <cell r="C182">
            <v>62</v>
          </cell>
        </row>
        <row r="183">
          <cell r="A183" t="str">
            <v>HPTONER</v>
          </cell>
        </row>
        <row r="184">
          <cell r="A184" t="str">
            <v>CF400A/SR</v>
          </cell>
          <cell r="B184" t="str">
            <v>HP 201A Black Original LaserJet Toner Cartridge</v>
          </cell>
          <cell r="C184">
            <v>8</v>
          </cell>
        </row>
        <row r="185">
          <cell r="A185" t="str">
            <v>CF401A/SR</v>
          </cell>
          <cell r="B185" t="str">
            <v>HP 201A Cyan Original LaserJet Toner Cartridge</v>
          </cell>
          <cell r="C185">
            <v>22</v>
          </cell>
        </row>
        <row r="186">
          <cell r="A186" t="str">
            <v>CF402A/SR</v>
          </cell>
          <cell r="B186" t="str">
            <v>HP 201A Yellow Original LaserJet Toner Cartridge</v>
          </cell>
          <cell r="C186">
            <v>14</v>
          </cell>
        </row>
        <row r="187">
          <cell r="A187" t="str">
            <v>CF403A/SR</v>
          </cell>
          <cell r="B187" t="str">
            <v>HP 201A Magenta Original LaserJet Toner Cartridge</v>
          </cell>
          <cell r="C187">
            <v>14</v>
          </cell>
        </row>
        <row r="188">
          <cell r="A188" t="str">
            <v>CF530A/SR</v>
          </cell>
          <cell r="B188" t="str">
            <v>HP 205A Black Original LaserJet Toner Cartridge</v>
          </cell>
          <cell r="C188">
            <v>13</v>
          </cell>
        </row>
        <row r="189">
          <cell r="A189" t="str">
            <v>CF532A/SR</v>
          </cell>
          <cell r="B189" t="str">
            <v>HP 205A Yellow Original LaserJet Toner Cartridge</v>
          </cell>
          <cell r="C189">
            <v>27</v>
          </cell>
        </row>
        <row r="190">
          <cell r="A190" t="str">
            <v>CF533A/SR</v>
          </cell>
          <cell r="B190" t="str">
            <v>HP 205A Magenta Original LaserJet Toner Cartridge</v>
          </cell>
          <cell r="C190">
            <v>27</v>
          </cell>
        </row>
        <row r="191">
          <cell r="A191" t="str">
            <v>W1360A/SR</v>
          </cell>
          <cell r="B191" t="str">
            <v>HP 136A Black Original LaserJet Toner Cartridge</v>
          </cell>
          <cell r="C191">
            <v>19</v>
          </cell>
        </row>
        <row r="192">
          <cell r="A192" t="str">
            <v>W2072A/SR</v>
          </cell>
          <cell r="B192" t="str">
            <v>HP 117A Yellow Original LaserJet Toner Cartridge</v>
          </cell>
          <cell r="C192">
            <v>6</v>
          </cell>
        </row>
        <row r="193">
          <cell r="A193" t="str">
            <v>W2073A/SR</v>
          </cell>
          <cell r="B193" t="str">
            <v>HP 117A Magenta Original LaserJet Toner Cartridge</v>
          </cell>
          <cell r="C193">
            <v>29</v>
          </cell>
        </row>
        <row r="194">
          <cell r="A194" t="str">
            <v>W2300A/SR</v>
          </cell>
          <cell r="B194" t="str">
            <v>HP 230A Black Original LaserJet Toner Cartridge</v>
          </cell>
          <cell r="C194">
            <v>22</v>
          </cell>
        </row>
        <row r="195">
          <cell r="A195" t="str">
            <v>W2302A/SR</v>
          </cell>
          <cell r="B195" t="str">
            <v>HP 230A Yellow Original LaserJet Toner Cartridge</v>
          </cell>
          <cell r="C195">
            <v>20</v>
          </cell>
        </row>
        <row r="196">
          <cell r="A196" t="str">
            <v>W2303A/SR</v>
          </cell>
          <cell r="B196" t="str">
            <v>HP 230A Magenta Original LaserJet Toner Cartridge</v>
          </cell>
          <cell r="C196">
            <v>20</v>
          </cell>
        </row>
        <row r="197">
          <cell r="A197" t="str">
            <v>Total</v>
          </cell>
          <cell r="C197">
            <v>241</v>
          </cell>
        </row>
        <row r="198">
          <cell r="A198" t="str">
            <v>LENOVO</v>
          </cell>
        </row>
        <row r="199">
          <cell r="A199" t="str">
            <v>21EX0000VFE/CI</v>
          </cell>
          <cell r="B199" t="str">
            <v>ThinkPad X13-G4 13.3FHD Ci7-1355U 16GB 1T-SSD Win11 Pro 3Y</v>
          </cell>
          <cell r="C199">
            <v>11</v>
          </cell>
        </row>
        <row r="200">
          <cell r="A200" t="str">
            <v>21HM008UFE/CI</v>
          </cell>
          <cell r="B200" t="str">
            <v>ThinkPad X1 Carbon-G11 14FHD Ci7-1355U 32GB 1T-SSD Win11 Pro 3Y</v>
          </cell>
          <cell r="C200">
            <v>1</v>
          </cell>
        </row>
        <row r="201">
          <cell r="A201" t="str">
            <v>21HQ006CFE/CI</v>
          </cell>
          <cell r="B201" t="str">
            <v>ThinkPad X1 Yoga-G8 14 Touch Ci7-1355U 16GB 1T-SSD Win11 Pro 3Y</v>
          </cell>
          <cell r="C201">
            <v>12</v>
          </cell>
        </row>
        <row r="202">
          <cell r="A202" t="str">
            <v>21JK009YFE/CI</v>
          </cell>
          <cell r="B202" t="str">
            <v>ThinkPad E14-G5 14FHD Ci5-1335U 8GB 512SSD Free Dos 2Y+TL</v>
          </cell>
          <cell r="C202">
            <v>4</v>
          </cell>
        </row>
        <row r="203">
          <cell r="A203" t="str">
            <v>21JK00DGFE/CI</v>
          </cell>
          <cell r="B203" t="str">
            <v>ThinkPad E14-G5 14FHD Ci7- 13700H 16GB 512SSD Free Dos 2Y +TL</v>
          </cell>
          <cell r="C203">
            <v>51</v>
          </cell>
        </row>
        <row r="204">
          <cell r="A204" t="str">
            <v>21JN00CVFE/CI</v>
          </cell>
          <cell r="B204" t="str">
            <v>ThinkPad E16-G1 15FHD Ci7-13700H 16GB 512SSD Free Dos 2Y+TL</v>
          </cell>
          <cell r="C204">
            <v>24</v>
          </cell>
        </row>
        <row r="205">
          <cell r="A205" t="str">
            <v>21KG0053FE</v>
          </cell>
          <cell r="B205" t="str">
            <v>ThinkBook 14-G6-IRL 14FHD Ci7-13700H 8GB 512SSD FPR Free Dos 1Y</v>
          </cell>
          <cell r="C205">
            <v>6</v>
          </cell>
        </row>
        <row r="206">
          <cell r="A206" t="str">
            <v>21KG005RFE/CI</v>
          </cell>
          <cell r="B206" t="str">
            <v>ThinkBook 14-G6 14FHD Ci7-13700H 8GB 512SSD Free Dos 2Y+ TL</v>
          </cell>
          <cell r="C206">
            <v>35</v>
          </cell>
        </row>
        <row r="207">
          <cell r="A207" t="str">
            <v>21KH003RFE/CI</v>
          </cell>
          <cell r="B207" t="str">
            <v>ThinkBook 16-G6 16FHD Ci5-1335U 8GB 512SSD FreeDos 2Y+TL</v>
          </cell>
          <cell r="C207">
            <v>3</v>
          </cell>
        </row>
        <row r="208">
          <cell r="A208" t="str">
            <v>21KH0056FE/CI</v>
          </cell>
          <cell r="B208" t="str">
            <v>ThinkBook 16-G6 16FHD Ci7-13700H 8GB 512SSD Free Dos 2Y+ TL</v>
          </cell>
          <cell r="C208">
            <v>42</v>
          </cell>
        </row>
        <row r="209">
          <cell r="A209" t="str">
            <v>21KH0060FE</v>
          </cell>
          <cell r="B209" t="str">
            <v>ThinkBook 16-G6-IRL 16FHD Ci7-13700H 8GB 512SSD FPR Free Dos 1Y</v>
          </cell>
          <cell r="C209">
            <v>8</v>
          </cell>
        </row>
        <row r="210">
          <cell r="A210" t="str">
            <v>Total</v>
          </cell>
          <cell r="C210">
            <v>197</v>
          </cell>
        </row>
        <row r="211">
          <cell r="A211" t="str">
            <v>LENOVOACCE</v>
          </cell>
        </row>
        <row r="212">
          <cell r="A212" t="str">
            <v>4X90S91831</v>
          </cell>
          <cell r="B212" t="str">
            <v>Lenovo USB-C to Ethernet Adapter</v>
          </cell>
          <cell r="C212">
            <v>20</v>
          </cell>
        </row>
        <row r="213">
          <cell r="A213" t="str">
            <v>5D10V82394</v>
          </cell>
          <cell r="B213" t="str">
            <v>Ecran 14 pouce lenovo non touch anti glare</v>
          </cell>
          <cell r="C213">
            <v>5</v>
          </cell>
        </row>
        <row r="214">
          <cell r="A214" t="str">
            <v>Total</v>
          </cell>
          <cell r="C214">
            <v>25</v>
          </cell>
        </row>
        <row r="215">
          <cell r="A215" t="str">
            <v>LENOVOACNT</v>
          </cell>
        </row>
        <row r="216">
          <cell r="A216" t="str">
            <v>4X40T84061</v>
          </cell>
          <cell r="B216" t="str">
            <v>Case: Lenovo T210 Toploader 15.6 (Black)</v>
          </cell>
          <cell r="C216">
            <v>16</v>
          </cell>
        </row>
        <row r="217">
          <cell r="A217" t="str">
            <v>Total</v>
          </cell>
          <cell r="C217">
            <v>16</v>
          </cell>
        </row>
        <row r="218">
          <cell r="A218" t="str">
            <v>LENOVOECRA</v>
          </cell>
        </row>
        <row r="219">
          <cell r="A219" t="str">
            <v>62C6KAT1EU</v>
          </cell>
          <cell r="B219" t="str">
            <v>ThinkVision 21.5" S22e-20 (1920x1080) HDMI, VGA Monitor</v>
          </cell>
          <cell r="C219">
            <v>71</v>
          </cell>
        </row>
        <row r="220">
          <cell r="A220" t="str">
            <v>62C6KAT1EU/G</v>
          </cell>
          <cell r="B220" t="str">
            <v>ThinkVision 21.5 S22e-20 (1920X1080° HDMI VGA Monitor</v>
          </cell>
          <cell r="C220">
            <v>10</v>
          </cell>
        </row>
        <row r="221">
          <cell r="A221" t="str">
            <v>Total</v>
          </cell>
          <cell r="C221">
            <v>81</v>
          </cell>
        </row>
        <row r="222">
          <cell r="A222" t="str">
            <v>MSPDOEMFR</v>
          </cell>
        </row>
        <row r="223">
          <cell r="A223" t="str">
            <v>FQC-10532</v>
          </cell>
          <cell r="B223" t="str">
            <v>Win 11 Pro 64Bit French 1pk DSP OEI DVD</v>
          </cell>
          <cell r="C223">
            <v>43</v>
          </cell>
        </row>
        <row r="224">
          <cell r="A224" t="str">
            <v>P73-08329</v>
          </cell>
          <cell r="B224" t="str">
            <v>Windows Svr Std 2022 64Bit French 1pk DSP OEI DVD 16 Core</v>
          </cell>
          <cell r="C224">
            <v>5</v>
          </cell>
        </row>
        <row r="225">
          <cell r="A225" t="str">
            <v>T5D-03523</v>
          </cell>
          <cell r="B225" t="str">
            <v>Office Home and Business 2021 French Africa Only Medialess</v>
          </cell>
          <cell r="C225">
            <v>34</v>
          </cell>
        </row>
        <row r="226">
          <cell r="A226" t="str">
            <v>Total</v>
          </cell>
          <cell r="C226">
            <v>82</v>
          </cell>
        </row>
        <row r="227">
          <cell r="A227" t="str">
            <v>PCFRHP</v>
          </cell>
        </row>
        <row r="228">
          <cell r="A228" t="str">
            <v>9M946AT/BH4</v>
          </cell>
          <cell r="B228" t="str">
            <v>HP 290 G9 TWR i5-12500 8Go/512Go SSD DVD-RW Wifi +BT DOS +P22v G5</v>
          </cell>
          <cell r="C228">
            <v>61</v>
          </cell>
        </row>
        <row r="229">
          <cell r="A229" t="str">
            <v>Total</v>
          </cell>
          <cell r="C229">
            <v>61</v>
          </cell>
        </row>
        <row r="230">
          <cell r="A230" t="str">
            <v>PCOPTIONS</v>
          </cell>
        </row>
        <row r="231">
          <cell r="A231" t="str">
            <v>240J6AA/ABB</v>
          </cell>
          <cell r="B231" t="str">
            <v>HP 150 Wiired Mouse EURO</v>
          </cell>
          <cell r="C231">
            <v>16</v>
          </cell>
        </row>
        <row r="232">
          <cell r="A232" t="str">
            <v>Total</v>
          </cell>
          <cell r="C232">
            <v>16</v>
          </cell>
        </row>
        <row r="233">
          <cell r="A233" t="str">
            <v>PORTFRCPQ</v>
          </cell>
        </row>
        <row r="234">
          <cell r="A234" t="str">
            <v>85D64EA/BH4</v>
          </cell>
          <cell r="B234" t="str">
            <v>HP 440 G10 i7-1355U G10 14" HD 8Go/512Go SSD Freedos Pike Silver Alu</v>
          </cell>
          <cell r="C234">
            <v>5</v>
          </cell>
        </row>
        <row r="235">
          <cell r="A235" t="str">
            <v>8A3N6EA/BH4</v>
          </cell>
          <cell r="B235" t="str">
            <v>HP Dragonfly G4 i7-1355U 16Go/512Go Touch Natural Silver</v>
          </cell>
          <cell r="C235">
            <v>3</v>
          </cell>
        </row>
        <row r="236">
          <cell r="A236" t="str">
            <v>9G2L8ET/BH4</v>
          </cell>
          <cell r="B236" t="str">
            <v>HP 440 G10 i7-1355U UMA 14" HD 8Go/512Go SSD Freedos Pike Silver Alum</v>
          </cell>
          <cell r="C236">
            <v>44</v>
          </cell>
        </row>
        <row r="237">
          <cell r="A237" t="str">
            <v>9G2N5ET/BH4</v>
          </cell>
          <cell r="B237" t="str">
            <v>HP 450 G10 i7-1355U UMA 15.6'' 8Go/512GoSSD Wifi 6 BT DOS Pike Silver</v>
          </cell>
          <cell r="C237">
            <v>1</v>
          </cell>
        </row>
        <row r="238">
          <cell r="A238" t="str">
            <v>A38FRET/BH4</v>
          </cell>
          <cell r="B238" t="str">
            <v>HP 460 G11 U5-125U 16'' 8Go/512Go SSD Wifi + BT DOS 2Y</v>
          </cell>
          <cell r="C238">
            <v>47</v>
          </cell>
        </row>
        <row r="239">
          <cell r="A239" t="str">
            <v>Total</v>
          </cell>
          <cell r="C239">
            <v>100</v>
          </cell>
        </row>
        <row r="240">
          <cell r="A240" t="str">
            <v>PORTOPTION</v>
          </cell>
        </row>
        <row r="241">
          <cell r="A241" t="str">
            <v>3L1E7AA/ABF</v>
          </cell>
          <cell r="B241" t="str">
            <v>HP 230 Wireless Keyboard (Black) WW</v>
          </cell>
          <cell r="C241">
            <v>17</v>
          </cell>
        </row>
        <row r="242">
          <cell r="A242" t="str">
            <v>7J593AA</v>
          </cell>
          <cell r="B242" t="str">
            <v>HP Campus XL Tie dye Backpack</v>
          </cell>
          <cell r="C242">
            <v>105</v>
          </cell>
        </row>
        <row r="243">
          <cell r="A243" t="str">
            <v>7PJ38AA</v>
          </cell>
          <cell r="B243" t="str">
            <v>HP USB-C Travel Hub G2</v>
          </cell>
          <cell r="C243">
            <v>15</v>
          </cell>
        </row>
        <row r="244">
          <cell r="A244" t="str">
            <v>Total</v>
          </cell>
          <cell r="C244">
            <v>137</v>
          </cell>
        </row>
        <row r="245">
          <cell r="A245" t="str">
            <v>SERDDSCSI</v>
          </cell>
        </row>
        <row r="246">
          <cell r="A246" t="str">
            <v>P28352-B21</v>
          </cell>
          <cell r="B246" t="str">
            <v>HPE 2.4TB SAS 10k SFF BC 512e MV HDD</v>
          </cell>
          <cell r="C246">
            <v>10</v>
          </cell>
        </row>
        <row r="247">
          <cell r="A247" t="str">
            <v>Total</v>
          </cell>
          <cell r="C247">
            <v>10</v>
          </cell>
        </row>
        <row r="248">
          <cell r="A248" t="str">
            <v>SERVDDHPL</v>
          </cell>
        </row>
        <row r="249">
          <cell r="A249" t="str">
            <v>P28610-B21</v>
          </cell>
          <cell r="B249" t="str">
            <v>HPE 1TB SATA 7.2K SFF BC HDD</v>
          </cell>
          <cell r="C249">
            <v>24</v>
          </cell>
        </row>
        <row r="250">
          <cell r="A250" t="str">
            <v>Total</v>
          </cell>
          <cell r="C250">
            <v>24</v>
          </cell>
        </row>
        <row r="251">
          <cell r="A251" t="str">
            <v>SERVDDNPL</v>
          </cell>
        </row>
        <row r="252">
          <cell r="A252" t="str">
            <v>843266-B21</v>
          </cell>
          <cell r="B252" t="str">
            <v>HPE 1TB SATA 7.2K LFF RW HDD</v>
          </cell>
          <cell r="C252">
            <v>12</v>
          </cell>
        </row>
        <row r="253">
          <cell r="A253" t="str">
            <v>P28586-B21</v>
          </cell>
          <cell r="B253" t="str">
            <v>HPE 1.2TB SAS 10K SFF BC MV HDD</v>
          </cell>
          <cell r="C253">
            <v>18</v>
          </cell>
        </row>
        <row r="254">
          <cell r="A254" t="str">
            <v>Total</v>
          </cell>
          <cell r="C254">
            <v>30</v>
          </cell>
        </row>
        <row r="255">
          <cell r="A255" t="str">
            <v>SERVFR</v>
          </cell>
        </row>
        <row r="256">
          <cell r="A256" t="str">
            <v>P52560-421</v>
          </cell>
          <cell r="B256" t="str">
            <v>HPE DL380 G11 4410Y MR4081-o NC 8SFF Svr</v>
          </cell>
          <cell r="C256">
            <v>1</v>
          </cell>
        </row>
        <row r="257">
          <cell r="A257" t="str">
            <v>P55278-421</v>
          </cell>
          <cell r="B257" t="str">
            <v>HPE DL380 G10+ 4309Y MR416i-p NC EU Svr</v>
          </cell>
          <cell r="C257">
            <v>1</v>
          </cell>
        </row>
        <row r="258">
          <cell r="A258" t="str">
            <v>P55279-421</v>
          </cell>
          <cell r="B258" t="str">
            <v>HPE DL380 G10+ 4310 MR416i-p NC EU Svr</v>
          </cell>
          <cell r="C258">
            <v>6</v>
          </cell>
        </row>
        <row r="259">
          <cell r="A259" t="str">
            <v>P59548-421</v>
          </cell>
          <cell r="B259" t="str">
            <v>HPE ML350 Gen10 4210R 1P 16G 8SFF Svr</v>
          </cell>
          <cell r="C259">
            <v>1</v>
          </cell>
        </row>
        <row r="260">
          <cell r="A260" t="str">
            <v>Total</v>
          </cell>
          <cell r="C260">
            <v>9</v>
          </cell>
        </row>
        <row r="261">
          <cell r="A261" t="str">
            <v>SERVRAID</v>
          </cell>
        </row>
        <row r="262">
          <cell r="A262" t="str">
            <v>P38995-B21</v>
          </cell>
          <cell r="B262" t="str">
            <v>HPE 800W FS Plat Ht Plg LH PS Kit</v>
          </cell>
          <cell r="C262">
            <v>2</v>
          </cell>
        </row>
        <row r="263">
          <cell r="A263" t="str">
            <v>Total</v>
          </cell>
          <cell r="C263">
            <v>2</v>
          </cell>
        </row>
        <row r="264">
          <cell r="A264" t="str">
            <v>SERVRESO</v>
          </cell>
        </row>
        <row r="265">
          <cell r="A265" t="str">
            <v>P51178-B21</v>
          </cell>
          <cell r="B265" t="str">
            <v>BCM 5719 1Gb 4p BASE-T Adptr</v>
          </cell>
          <cell r="C265">
            <v>7</v>
          </cell>
        </row>
        <row r="266">
          <cell r="A266" t="str">
            <v>P9D93A</v>
          </cell>
          <cell r="B266" t="str">
            <v>HPE SN1100Q 16Gb 1p FC HBA</v>
          </cell>
          <cell r="C266">
            <v>1</v>
          </cell>
        </row>
        <row r="267">
          <cell r="A267" t="str">
            <v>Total</v>
          </cell>
          <cell r="C267">
            <v>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externalLinkPath" Target="/personal/g_gnanzou_southcomp-polaris_com/Documents/Bureau/PRIX_LIST/Liste%20de%20prix%20Polaris%2010092024%20-%20Copie.xlsm" TargetMode="External"/><Relationship Id="rId13" Type="http://schemas.openxmlformats.org/officeDocument/2006/relationships/hyperlink" Target="mailto:sav-polaris@polarisci.com" TargetMode="External"/><Relationship Id="rId18" Type="http://schemas.openxmlformats.org/officeDocument/2006/relationships/ctrlProp" Target="../ctrlProps/ctrlProp2.xml"/><Relationship Id="rId3" Type="http://schemas.openxmlformats.org/officeDocument/2006/relationships/externalLinkPath" Target="/personal/g_gnanzou_southcomp-polaris_com/Documents/Bureau/PRIX_LIST/Liste%20de%20prix%20Polaris%2010092024%20-%20Copie.xlsm" TargetMode="External"/><Relationship Id="rId21" Type="http://schemas.openxmlformats.org/officeDocument/2006/relationships/ctrlProp" Target="../ctrlProps/ctrlProp5.xml"/><Relationship Id="rId7" Type="http://schemas.openxmlformats.org/officeDocument/2006/relationships/externalLinkPath" Target="/personal/g_gnanzou_southcomp-polaris_com/Documents/Bureau/PRIX_LIST/Liste%20de%20prix%20Polaris%2010092024%20-%20Copie.xlsm" TargetMode="External"/><Relationship Id="rId12" Type="http://schemas.openxmlformats.org/officeDocument/2006/relationships/hyperlink" Target="mailto:M.Bohoussou@southcomp-polaris.com" TargetMode="External"/><Relationship Id="rId17" Type="http://schemas.openxmlformats.org/officeDocument/2006/relationships/ctrlProp" Target="../ctrlProps/ctrlProp1.xml"/><Relationship Id="rId2" Type="http://schemas.openxmlformats.org/officeDocument/2006/relationships/externalLinkPath" Target="/personal/g_gnanzou_southcomp-polaris_com/Documents/Bureau/PRIX_LIST/Liste%20de%20prix%20Polaris%2010092024%20-%20Copie.xlsm" TargetMode="External"/><Relationship Id="rId16" Type="http://schemas.openxmlformats.org/officeDocument/2006/relationships/vmlDrawing" Target="../drawings/vmlDrawing1.vml"/><Relationship Id="rId20" Type="http://schemas.openxmlformats.org/officeDocument/2006/relationships/ctrlProp" Target="../ctrlProps/ctrlProp4.xml"/><Relationship Id="rId1" Type="http://schemas.openxmlformats.org/officeDocument/2006/relationships/externalLinkPath" Target="file:///C:\Users\m.haddad\AppData\Roaming\Microsoft\Excel\Liste%20de%20prix%20Polaris%2012022023%20(version%201).xlsb" TargetMode="External"/><Relationship Id="rId6" Type="http://schemas.openxmlformats.org/officeDocument/2006/relationships/externalLinkPath" Target="/personal/g_gnanzou_southcomp-polaris_com/Documents/Bureau/PRIX_LIST/Liste%20de%20prix%20Polaris%2010092024%20-%20Copie.xlsm" TargetMode="External"/><Relationship Id="rId11" Type="http://schemas.openxmlformats.org/officeDocument/2006/relationships/hyperlink" Target="mailto:sav-polaris@polarisci.com" TargetMode="External"/><Relationship Id="rId5" Type="http://schemas.openxmlformats.org/officeDocument/2006/relationships/externalLinkPath" Target="/personal/g_gnanzou_southcomp-polaris_com/Documents/Bureau/PRIX_LIST/Liste%20de%20prix%20Polaris%2010092024%20-%20Copie.xlsm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mailto:y.drioui@southcomp-polaris.com" TargetMode="External"/><Relationship Id="rId19" Type="http://schemas.openxmlformats.org/officeDocument/2006/relationships/ctrlProp" Target="../ctrlProps/ctrlProp3.xml"/><Relationship Id="rId4" Type="http://schemas.openxmlformats.org/officeDocument/2006/relationships/externalLinkPath" Target="/personal/g_gnanzou_southcomp-polaris_com/Documents/Bureau/PRIX_LIST/Liste%20de%20prix%20Polaris%2010092024%20-%20Copie.xlsm" TargetMode="External"/><Relationship Id="rId9" Type="http://schemas.openxmlformats.org/officeDocument/2006/relationships/externalLinkPath" Target="/personal/g_gnanzou_southcomp-polaris_com/Documents/Bureau/PRIX_LIST/Liste%20de%20prix%20Polaris%2010092024%20-%20Copie.xlsm" TargetMode="External"/><Relationship Id="rId14" Type="http://schemas.openxmlformats.org/officeDocument/2006/relationships/printerSettings" Target="../printerSettings/printerSettings1.bin"/><Relationship Id="rId22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jyasselou@southcomp-polaris.com?subject=Stock%20Disponible%20Imprimante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jyasselou@southcomp-polaris.com;%20g.gnanzou@southcomp-polaris.com?subject=Stock%20disponible%20HPinc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g.gnanzou@southcomp-polaris.com?subject=Stock%20disponible%20HPinc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.Bohoussou@southcomp-polaris.com?subject=Stock%20disponible%20HPinc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jyasselou@southcomp-polaris.com?subject=Stock%20Disponible%20Imprimant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jyasselou@southcomp-polaris.com?subject=Stock%20Disponible%20Imprimante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g.gnanzou@southcomp-polaris.com?subject=Stock%20disponible%20HPinc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y.drioui@southcomp-polaris.com?subject=Stock%20disponible%20HPin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jyasselou@southcomp-polaris.com?subject=Stock%20Disponible%20Imprimante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mailto:y.drioui@southcomp-polaris.com" TargetMode="External"/><Relationship Id="rId7" Type="http://schemas.openxmlformats.org/officeDocument/2006/relationships/ctrlProp" Target="../ctrlProps/ctrlProp7.xml"/><Relationship Id="rId2" Type="http://schemas.openxmlformats.org/officeDocument/2006/relationships/hyperlink" Target="mailto:mjyasselou@southcomp-polaris.com" TargetMode="External"/><Relationship Id="rId1" Type="http://schemas.openxmlformats.org/officeDocument/2006/relationships/hyperlink" Target="mailto:G.gnanzou@southcomp-polaris.com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11.xml"/><Relationship Id="rId4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499984740745262"/>
  </sheetPr>
  <dimension ref="A1:G51"/>
  <sheetViews>
    <sheetView tabSelected="1" topLeftCell="A3" zoomScaleNormal="100" workbookViewId="0">
      <selection activeCell="K26" sqref="K26"/>
    </sheetView>
  </sheetViews>
  <sheetFormatPr baseColWidth="10" defaultColWidth="8.85546875" defaultRowHeight="12"/>
  <cols>
    <col min="1" max="1" width="30.85546875" style="70" customWidth="1"/>
    <col min="2" max="2" width="35.140625" style="70" customWidth="1"/>
    <col min="3" max="3" width="26.85546875" style="70" bestFit="1" customWidth="1"/>
    <col min="4" max="4" width="17.42578125" style="70" bestFit="1" customWidth="1"/>
    <col min="5" max="5" width="14" style="70" bestFit="1" customWidth="1"/>
    <col min="6" max="6" width="12.5703125" style="70" bestFit="1" customWidth="1"/>
    <col min="7" max="7" width="11.7109375" style="70" customWidth="1"/>
    <col min="8" max="16384" width="8.85546875" style="70"/>
  </cols>
  <sheetData>
    <row r="1" spans="1:7">
      <c r="A1" s="67" t="s">
        <v>156</v>
      </c>
      <c r="B1" s="68"/>
      <c r="C1" s="68"/>
      <c r="D1" s="68"/>
      <c r="E1" s="68"/>
      <c r="F1" s="68"/>
      <c r="G1" s="69" t="s">
        <v>156</v>
      </c>
    </row>
    <row r="2" spans="1:7">
      <c r="A2" s="71"/>
      <c r="G2" s="72"/>
    </row>
    <row r="3" spans="1:7">
      <c r="A3" s="71"/>
      <c r="G3" s="72"/>
    </row>
    <row r="4" spans="1:7">
      <c r="A4" s="71"/>
      <c r="G4" s="72"/>
    </row>
    <row r="5" spans="1:7">
      <c r="A5" s="71"/>
      <c r="G5" s="72"/>
    </row>
    <row r="6" spans="1:7">
      <c r="A6" s="410" t="s">
        <v>3</v>
      </c>
      <c r="B6" s="411"/>
      <c r="G6" s="72"/>
    </row>
    <row r="7" spans="1:7">
      <c r="A7" s="73" t="s">
        <v>135</v>
      </c>
      <c r="B7" s="74"/>
      <c r="G7" s="72"/>
    </row>
    <row r="8" spans="1:7">
      <c r="A8" s="412" t="s">
        <v>0</v>
      </c>
      <c r="B8" s="413"/>
      <c r="G8" s="72"/>
    </row>
    <row r="9" spans="1:7">
      <c r="A9" s="75" t="s">
        <v>2</v>
      </c>
      <c r="B9" s="76" t="s">
        <v>4</v>
      </c>
      <c r="G9" s="72"/>
    </row>
    <row r="10" spans="1:7">
      <c r="A10" s="75" t="s">
        <v>138</v>
      </c>
      <c r="B10" s="76" t="s">
        <v>136</v>
      </c>
      <c r="G10" s="72"/>
    </row>
    <row r="11" spans="1:7">
      <c r="A11" s="75" t="s">
        <v>5</v>
      </c>
      <c r="B11" s="76" t="s">
        <v>137</v>
      </c>
      <c r="G11" s="72"/>
    </row>
    <row r="12" spans="1:7">
      <c r="A12" s="73"/>
      <c r="B12" s="74"/>
      <c r="G12" s="72"/>
    </row>
    <row r="13" spans="1:7">
      <c r="A13" s="410" t="s">
        <v>139</v>
      </c>
      <c r="B13" s="411"/>
      <c r="G13" s="72"/>
    </row>
    <row r="14" spans="1:7">
      <c r="A14" s="257"/>
      <c r="B14" s="78"/>
      <c r="G14" s="72"/>
    </row>
    <row r="15" spans="1:7">
      <c r="A15" s="79" t="s">
        <v>404</v>
      </c>
      <c r="B15" s="78" t="s">
        <v>534</v>
      </c>
      <c r="G15" s="72"/>
    </row>
    <row r="16" spans="1:7">
      <c r="A16" s="257" t="s">
        <v>533</v>
      </c>
      <c r="B16" s="78" t="s">
        <v>535</v>
      </c>
      <c r="G16" s="72"/>
    </row>
    <row r="17" spans="1:7">
      <c r="A17" s="79" t="s">
        <v>405</v>
      </c>
      <c r="B17" s="78" t="s">
        <v>371</v>
      </c>
      <c r="G17" s="72"/>
    </row>
    <row r="18" spans="1:7">
      <c r="A18" s="286" t="s">
        <v>537</v>
      </c>
      <c r="B18" s="78" t="s">
        <v>536</v>
      </c>
      <c r="G18" s="72"/>
    </row>
    <row r="19" spans="1:7" ht="12.75" thickBot="1">
      <c r="A19" s="79" t="s">
        <v>406</v>
      </c>
      <c r="B19" s="78" t="s">
        <v>140</v>
      </c>
      <c r="G19" s="72"/>
    </row>
    <row r="20" spans="1:7">
      <c r="A20" s="80" t="s">
        <v>1</v>
      </c>
      <c r="B20" s="81"/>
      <c r="C20" s="81"/>
      <c r="D20" s="81"/>
      <c r="E20" s="81"/>
      <c r="F20" s="81"/>
      <c r="G20" s="82"/>
    </row>
    <row r="21" spans="1:7">
      <c r="A21" s="83" t="s">
        <v>7</v>
      </c>
      <c r="B21" s="74"/>
      <c r="C21" s="8" t="s">
        <v>79</v>
      </c>
      <c r="D21" s="8" t="s">
        <v>95</v>
      </c>
      <c r="E21" s="8"/>
      <c r="F21" s="8"/>
      <c r="G21" s="12"/>
    </row>
    <row r="22" spans="1:7">
      <c r="A22" s="77" t="s">
        <v>230</v>
      </c>
      <c r="B22" s="74"/>
      <c r="C22" s="8" t="s">
        <v>81</v>
      </c>
      <c r="D22" s="8" t="s">
        <v>82</v>
      </c>
      <c r="E22" s="8" t="s">
        <v>83</v>
      </c>
      <c r="F22" s="8"/>
      <c r="G22" s="12"/>
    </row>
    <row r="23" spans="1:7">
      <c r="A23" s="77" t="s">
        <v>231</v>
      </c>
      <c r="B23" s="74"/>
      <c r="C23" s="8" t="s">
        <v>232</v>
      </c>
      <c r="D23" s="8" t="s">
        <v>233</v>
      </c>
      <c r="E23" s="8"/>
      <c r="F23" s="8"/>
      <c r="G23" s="12"/>
    </row>
    <row r="24" spans="1:7">
      <c r="A24" s="83" t="s">
        <v>128</v>
      </c>
      <c r="B24" s="74"/>
      <c r="C24" s="8" t="s">
        <v>55</v>
      </c>
      <c r="D24" s="8" t="s">
        <v>112</v>
      </c>
      <c r="E24" s="8" t="s">
        <v>77</v>
      </c>
      <c r="F24" s="8"/>
      <c r="G24" s="12"/>
    </row>
    <row r="25" spans="1:7">
      <c r="A25" s="77" t="s">
        <v>9</v>
      </c>
      <c r="B25" s="74"/>
      <c r="C25" s="84" t="s">
        <v>81</v>
      </c>
      <c r="D25" s="84" t="s">
        <v>82</v>
      </c>
      <c r="E25" s="84" t="s">
        <v>83</v>
      </c>
      <c r="F25" s="84" t="s">
        <v>98</v>
      </c>
      <c r="G25" s="85" t="s">
        <v>84</v>
      </c>
    </row>
    <row r="26" spans="1:7">
      <c r="A26" s="77" t="s">
        <v>10</v>
      </c>
      <c r="B26" s="74"/>
      <c r="C26" s="84" t="s">
        <v>81</v>
      </c>
      <c r="D26" s="84" t="s">
        <v>82</v>
      </c>
      <c r="E26" s="84" t="s">
        <v>83</v>
      </c>
      <c r="F26" s="84" t="s">
        <v>78</v>
      </c>
      <c r="G26" s="85" t="s">
        <v>84</v>
      </c>
    </row>
    <row r="27" spans="1:7">
      <c r="A27" s="77" t="s">
        <v>11</v>
      </c>
      <c r="B27" s="74"/>
      <c r="C27" s="84" t="s">
        <v>49</v>
      </c>
      <c r="D27" s="84" t="s">
        <v>50</v>
      </c>
      <c r="E27" s="84" t="s">
        <v>124</v>
      </c>
      <c r="F27" s="84" t="s">
        <v>125</v>
      </c>
      <c r="G27" s="12"/>
    </row>
    <row r="28" spans="1:7">
      <c r="A28" s="77" t="s">
        <v>12</v>
      </c>
      <c r="B28" s="74"/>
      <c r="C28" s="84" t="s">
        <v>32</v>
      </c>
      <c r="D28" s="84" t="s">
        <v>28</v>
      </c>
      <c r="E28" s="84" t="s">
        <v>42</v>
      </c>
      <c r="F28" s="8"/>
      <c r="G28" s="12"/>
    </row>
    <row r="29" spans="1:7">
      <c r="A29" s="77" t="s">
        <v>99</v>
      </c>
      <c r="B29" s="74"/>
      <c r="C29" s="84" t="s">
        <v>99</v>
      </c>
      <c r="D29" s="8"/>
      <c r="E29" s="8"/>
      <c r="F29" s="8"/>
      <c r="G29" s="12"/>
    </row>
    <row r="30" spans="1:7">
      <c r="A30" s="77" t="s">
        <v>100</v>
      </c>
      <c r="B30" s="86"/>
      <c r="C30" s="84" t="s">
        <v>100</v>
      </c>
      <c r="D30" s="8"/>
      <c r="E30" s="8"/>
      <c r="F30" s="8"/>
      <c r="G30" s="12"/>
    </row>
    <row r="31" spans="1:7">
      <c r="A31" s="77" t="s">
        <v>129</v>
      </c>
      <c r="B31" s="87"/>
      <c r="C31" s="8"/>
      <c r="D31" s="8"/>
      <c r="E31" s="8"/>
      <c r="F31" s="8"/>
      <c r="G31" s="12"/>
    </row>
    <row r="32" spans="1:7" ht="12.75" thickBot="1">
      <c r="A32" s="88" t="s">
        <v>130</v>
      </c>
      <c r="B32" s="89"/>
      <c r="C32" s="13"/>
      <c r="D32" s="13"/>
      <c r="E32" s="13"/>
      <c r="F32" s="13"/>
      <c r="G32" s="14"/>
    </row>
    <row r="34" spans="1:7">
      <c r="A34" s="90" t="s">
        <v>153</v>
      </c>
    </row>
    <row r="35" spans="1:7">
      <c r="A35" s="91" t="s">
        <v>159</v>
      </c>
    </row>
    <row r="36" spans="1:7">
      <c r="A36" s="91" t="s">
        <v>160</v>
      </c>
    </row>
    <row r="37" spans="1:7">
      <c r="A37" s="92" t="s">
        <v>154</v>
      </c>
    </row>
    <row r="38" spans="1:7">
      <c r="A38" s="92" t="s">
        <v>155</v>
      </c>
    </row>
    <row r="40" spans="1:7" ht="30" customHeight="1">
      <c r="A40" s="414" t="s">
        <v>101</v>
      </c>
      <c r="B40" s="414"/>
      <c r="C40" s="414"/>
      <c r="D40" s="414"/>
      <c r="E40" s="414"/>
      <c r="F40" s="414"/>
      <c r="G40" s="414"/>
    </row>
    <row r="51" ht="25.5" customHeight="1"/>
  </sheetData>
  <sheetProtection insertHyperlinks="0" deleteColumns="0" deleteRows="0"/>
  <dataConsolidate>
    <dataRefs count="9">
      <dataRef ref="A1:A1048576" sheet="Vertiv" r:id="rId1"/>
      <dataRef ref="A1:A1048576" sheet="APC" r:id="rId2"/>
      <dataRef ref="A1:A1048576" sheet="DELL" r:id="rId3"/>
      <dataRef ref="A1:A1048576" sheet="Divers" r:id="rId4"/>
      <dataRef ref="A1:A1048576" sheet="HP Consommables" r:id="rId5"/>
      <dataRef ref="A1:A1048576" sheet="HP Inc." r:id="rId6"/>
      <dataRef ref="A1:A1048576" sheet="HPE" r:id="rId7"/>
      <dataRef ref="A1:A1048576" sheet="Lenovo" r:id="rId8"/>
      <dataRef ref="A1:A1048576" sheet="Microsoft" r:id="rId9"/>
    </dataRefs>
  </dataConsolidate>
  <mergeCells count="4">
    <mergeCell ref="A13:B13"/>
    <mergeCell ref="A8:B8"/>
    <mergeCell ref="A6:B6"/>
    <mergeCell ref="A40:G40"/>
  </mergeCells>
  <hyperlinks>
    <hyperlink ref="A21" location="HPE!A1" display="HPE" xr:uid="{00000000-0004-0000-0000-000000000000}"/>
    <hyperlink ref="A22" location="'HP Inc.'!A1" display="HP Inc." xr:uid="{00000000-0004-0000-0000-000001000000}"/>
    <hyperlink ref="A25" location="Lenovo!A1" display="Lenovo " xr:uid="{00000000-0004-0000-0000-000002000000}"/>
    <hyperlink ref="A26" location="DELL!A1" display="DELL" xr:uid="{00000000-0004-0000-0000-000003000000}"/>
    <hyperlink ref="A27" location="Microsoft!A1" display="Microsoft" xr:uid="{00000000-0004-0000-0000-000004000000}"/>
    <hyperlink ref="A28" location="APC!A1" display="APC" xr:uid="{00000000-0004-0000-0000-000005000000}"/>
    <hyperlink ref="A24" location="'HP Consommables'!A1" display="HP Consommables" xr:uid="{00000000-0004-0000-0000-000006000000}"/>
    <hyperlink ref="C21" location="HPE!A10" display="Serveur HP" xr:uid="{00000000-0004-0000-0000-000007000000}"/>
    <hyperlink ref="D21" location="HPE!A18" display="Accessoires Serveurs HP" xr:uid="{00000000-0004-0000-0000-000008000000}"/>
    <hyperlink ref="C22" location="'HP Inc.'!A10" display="Desktop" xr:uid="{00000000-0004-0000-0000-000009000000}"/>
    <hyperlink ref="D22" location="'HP Inc.'!A14" display="Laptop" xr:uid="{00000000-0004-0000-0000-00000A000000}"/>
    <hyperlink ref="E22" location="'HP Inc.'!A18" display="Ecran" xr:uid="{00000000-0004-0000-0000-00000B000000}"/>
    <hyperlink ref="C24" location="'HP Consommables'!A10" display="TONER LASER" xr:uid="{00000000-0004-0000-0000-00000C000000}"/>
    <hyperlink ref="D24" location="'HP Consommables'!A93" display="ENCRE" xr:uid="{00000000-0004-0000-0000-00000D000000}"/>
    <hyperlink ref="E24" location="'HP Consommables'!A124" display="PIÈCES DÉTACHÉES" xr:uid="{00000000-0004-0000-0000-00000E000000}"/>
    <hyperlink ref="C30" location="Divers!A10" display="Divers" xr:uid="{00000000-0004-0000-0000-00000F000000}"/>
    <hyperlink ref="C28" location="APC!A10" display="BACKUP UPS - Line Interactive" xr:uid="{00000000-0004-0000-0000-000010000000}"/>
    <hyperlink ref="D28" location="APC!A20" display="SMART UPS" xr:uid="{00000000-0004-0000-0000-000011000000}"/>
    <hyperlink ref="E28" location="APC!A34" display="ACCESSOIRES" xr:uid="{00000000-0004-0000-0000-000012000000}"/>
    <hyperlink ref="C27" location="Microsoft!A10" display="Microsoft Office" xr:uid="{00000000-0004-0000-0000-000013000000}"/>
    <hyperlink ref="D27" location="Microsoft!A22" display="Microsoft Windows" xr:uid="{00000000-0004-0000-0000-000014000000}"/>
    <hyperlink ref="E27" location="Microsoft!A27" display="Microsoft Visio" xr:uid="{00000000-0004-0000-0000-000015000000}"/>
    <hyperlink ref="F27" location="Index!A32" display="Microsoft Project" xr:uid="{00000000-0004-0000-0000-000016000000}"/>
    <hyperlink ref="C26" location="DELL!A10" display="Desktop" xr:uid="{00000000-0004-0000-0000-000017000000}"/>
    <hyperlink ref="D26" location="DELL!A20" display="Laptop" xr:uid="{00000000-0004-0000-0000-000018000000}"/>
    <hyperlink ref="E26" location="DELL!A29" display="Ecran" xr:uid="{00000000-0004-0000-0000-000019000000}"/>
    <hyperlink ref="F26" location="DELL!A38" display="Serveur" xr:uid="{00000000-0004-0000-0000-00001A000000}"/>
    <hyperlink ref="G26" location="DELL!A49" display="Accessoires" xr:uid="{00000000-0004-0000-0000-00001B000000}"/>
    <hyperlink ref="C25" location="Lenovo!A10" display="Desktop" xr:uid="{00000000-0004-0000-0000-00001C000000}"/>
    <hyperlink ref="D25" location="Lenovo!A15" display="Laptop" xr:uid="{00000000-0004-0000-0000-00001D000000}"/>
    <hyperlink ref="E25" location="Lenovo!A26" display="Ecran" xr:uid="{00000000-0004-0000-0000-00001E000000}"/>
    <hyperlink ref="F25" location="Lenovo!A26" display="Tablette " xr:uid="{00000000-0004-0000-0000-00001F000000}"/>
    <hyperlink ref="G25" location="Lenovo!A31" display="Accessoires" xr:uid="{00000000-0004-0000-0000-000020000000}"/>
    <hyperlink ref="C29" location="Veritas!A10" display="Veritas" xr:uid="{00000000-0004-0000-0000-000021000000}"/>
    <hyperlink ref="A29" location="Veritas!A1" display="Veritas" xr:uid="{00000000-0004-0000-0000-000022000000}"/>
    <hyperlink ref="A30" location="Divers!A1" display="Divers" xr:uid="{00000000-0004-0000-0000-000023000000}"/>
    <hyperlink ref="A31" location="'Promo en Cours'!A1" display="Promo En Cours" xr:uid="{00000000-0004-0000-0000-000024000000}"/>
    <hyperlink ref="A32" location="'Pour Bon de Commande'!A1" display="Pour Bon de Commande " xr:uid="{00000000-0004-0000-0000-000025000000}"/>
    <hyperlink ref="A18" r:id="rId10" xr:uid="{00000000-0004-0000-0000-000026000000}"/>
    <hyperlink ref="A19" r:id="rId11" display="sav-polaris@polarisci.com" xr:uid="{00000000-0004-0000-0000-000027000000}"/>
    <hyperlink ref="A23" location="'HP Inc.'!A1" display="HP Inc." xr:uid="{00000000-0004-0000-0000-000028000000}"/>
    <hyperlink ref="C23" location="'HP Print'!A1" display="Imprimante " xr:uid="{00000000-0004-0000-0000-000029000000}"/>
    <hyperlink ref="D23" location="'HP Print'!A1" display="Scanner" xr:uid="{00000000-0004-0000-0000-00002A000000}"/>
    <hyperlink ref="A16" r:id="rId12" xr:uid="{00000000-0004-0000-0000-00002B000000}"/>
    <hyperlink ref="A17" r:id="rId13" display="sav-polaris@polarisci.com" xr:uid="{00000000-0004-0000-0000-00002C000000}"/>
  </hyperlinks>
  <pageMargins left="0.7" right="0.7" top="0.75" bottom="0.75" header="0.3" footer="0.3"/>
  <pageSetup orientation="portrait" r:id="rId14"/>
  <drawing r:id="rId15"/>
  <legacyDrawing r:id="rId1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7" name="Button 1">
              <controlPr defaultSize="0" print="0" autoFill="0" autoPict="0" macro="[0]!checkstock">
                <anchor moveWithCells="1">
                  <from>
                    <xdr:col>0</xdr:col>
                    <xdr:colOff>28575</xdr:colOff>
                    <xdr:row>45</xdr:row>
                    <xdr:rowOff>142875</xdr:rowOff>
                  </from>
                  <to>
                    <xdr:col>0</xdr:col>
                    <xdr:colOff>1343025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8" name="Button 2">
              <controlPr defaultSize="0" print="0" autoFill="0" autoPict="0" macro="[0]!clearcheckstock">
                <anchor moveWithCells="1">
                  <from>
                    <xdr:col>0</xdr:col>
                    <xdr:colOff>0</xdr:colOff>
                    <xdr:row>47</xdr:row>
                    <xdr:rowOff>95250</xdr:rowOff>
                  </from>
                  <to>
                    <xdr:col>0</xdr:col>
                    <xdr:colOff>1400175</xdr:colOff>
                    <xdr:row>48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9" name="Button 3">
              <controlPr defaultSize="0" print="0" autoFill="0" autoPict="0" macro="[0]!checkcmd">
                <anchor moveWithCells="1">
                  <from>
                    <xdr:col>0</xdr:col>
                    <xdr:colOff>28575</xdr:colOff>
                    <xdr:row>49</xdr:row>
                    <xdr:rowOff>142875</xdr:rowOff>
                  </from>
                  <to>
                    <xdr:col>0</xdr:col>
                    <xdr:colOff>1343025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0" name="Button 4">
              <controlPr defaultSize="0" print="0" autoFill="0" autoPict="0" macro="[0]!clearcheckcmd">
                <anchor moveWithCells="1">
                  <from>
                    <xdr:col>0</xdr:col>
                    <xdr:colOff>38100</xdr:colOff>
                    <xdr:row>51</xdr:row>
                    <xdr:rowOff>95250</xdr:rowOff>
                  </from>
                  <to>
                    <xdr:col>0</xdr:col>
                    <xdr:colOff>1352550</xdr:colOff>
                    <xdr:row>52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1" name="Button 5">
              <controlPr defaultSize="0" print="0" autoFill="0" autoPict="0" macro="[0]!checkres">
                <anchor moveWithCells="1">
                  <from>
                    <xdr:col>0</xdr:col>
                    <xdr:colOff>76200</xdr:colOff>
                    <xdr:row>54</xdr:row>
                    <xdr:rowOff>66675</xdr:rowOff>
                  </from>
                  <to>
                    <xdr:col>0</xdr:col>
                    <xdr:colOff>1390650</xdr:colOff>
                    <xdr:row>55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22" name="Button 6">
              <controlPr defaultSize="0" print="0" autoFill="0" autoPict="0" macro="[0]!clearcheckres">
                <anchor moveWithCells="1">
                  <from>
                    <xdr:col>0</xdr:col>
                    <xdr:colOff>114300</xdr:colOff>
                    <xdr:row>56</xdr:row>
                    <xdr:rowOff>85725</xdr:rowOff>
                  </from>
                  <to>
                    <xdr:col>0</xdr:col>
                    <xdr:colOff>1428750</xdr:colOff>
                    <xdr:row>57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tabColor theme="4" tint="-0.249977111117893"/>
  </sheetPr>
  <dimension ref="A4:O43"/>
  <sheetViews>
    <sheetView zoomScale="85" zoomScaleNormal="85" workbookViewId="0">
      <pane ySplit="8" topLeftCell="A9" activePane="bottomLeft" state="frozen"/>
      <selection pane="bottomLeft" activeCell="I20" sqref="I20"/>
    </sheetView>
  </sheetViews>
  <sheetFormatPr baseColWidth="10" defaultColWidth="8.85546875" defaultRowHeight="15"/>
  <cols>
    <col min="1" max="1" width="14.85546875" style="1" bestFit="1" customWidth="1"/>
    <col min="2" max="2" width="14.7109375" style="1" customWidth="1"/>
    <col min="3" max="3" width="106.85546875" style="1" customWidth="1"/>
    <col min="4" max="4" width="18.85546875" style="347" customWidth="1"/>
    <col min="5" max="5" width="15.42578125" style="36" bestFit="1" customWidth="1"/>
    <col min="6" max="6" width="19.5703125" style="16" customWidth="1"/>
    <col min="7" max="7" width="4.7109375" style="1" bestFit="1" customWidth="1"/>
    <col min="8" max="8" width="11.7109375" style="201" bestFit="1" customWidth="1"/>
    <col min="9" max="9" width="12.42578125" style="15" bestFit="1" customWidth="1"/>
    <col min="10" max="10" width="9" style="15" bestFit="1" customWidth="1"/>
    <col min="11" max="11" width="5.5703125" style="15" bestFit="1" customWidth="1"/>
    <col min="12" max="12" width="19.28515625" style="15" customWidth="1"/>
    <col min="13" max="13" width="20.140625" style="224" customWidth="1"/>
    <col min="14" max="14" width="11.5703125" style="15" bestFit="1" customWidth="1"/>
    <col min="15" max="15" width="10.28515625" style="15" bestFit="1" customWidth="1"/>
    <col min="16" max="16384" width="8.85546875" style="15"/>
  </cols>
  <sheetData>
    <row r="4" spans="1:15">
      <c r="H4" s="202" t="s">
        <v>81</v>
      </c>
    </row>
    <row r="5" spans="1:15">
      <c r="H5" s="202" t="s">
        <v>82</v>
      </c>
    </row>
    <row r="6" spans="1:15" ht="15.75" thickBot="1">
      <c r="C6" s="307" t="s">
        <v>670</v>
      </c>
      <c r="D6" s="25" t="s">
        <v>26</v>
      </c>
      <c r="E6" s="37"/>
      <c r="F6" s="17" t="s">
        <v>132</v>
      </c>
      <c r="H6" s="202" t="s">
        <v>83</v>
      </c>
    </row>
    <row r="7" spans="1:15">
      <c r="A7" s="22"/>
      <c r="B7" s="23"/>
      <c r="C7" s="10" t="s">
        <v>237</v>
      </c>
      <c r="D7" s="121"/>
      <c r="E7" s="23"/>
      <c r="F7" s="21"/>
      <c r="G7" s="2" t="s">
        <v>1</v>
      </c>
      <c r="H7" s="202" t="s">
        <v>84</v>
      </c>
    </row>
    <row r="8" spans="1:15">
      <c r="A8" s="6" t="s">
        <v>14</v>
      </c>
      <c r="B8" s="6" t="s">
        <v>45</v>
      </c>
      <c r="C8" s="6" t="s">
        <v>13</v>
      </c>
      <c r="D8" s="27" t="s">
        <v>18</v>
      </c>
      <c r="E8" s="139" t="s">
        <v>102</v>
      </c>
      <c r="F8" s="60" t="s">
        <v>131</v>
      </c>
    </row>
    <row r="9" spans="1:15" ht="6.6" customHeight="1" thickBot="1">
      <c r="A9" s="5" t="s">
        <v>157</v>
      </c>
      <c r="B9" s="5"/>
      <c r="C9" s="5"/>
      <c r="D9" s="122"/>
      <c r="E9" s="5"/>
      <c r="F9" s="131"/>
    </row>
    <row r="10" spans="1:15">
      <c r="A10" s="204" t="s">
        <v>157</v>
      </c>
      <c r="B10" s="206"/>
      <c r="C10" s="31" t="s">
        <v>606</v>
      </c>
      <c r="D10" s="348"/>
      <c r="E10" s="30"/>
      <c r="F10" s="62"/>
      <c r="G10" s="202"/>
      <c r="H10" s="202"/>
    </row>
    <row r="11" spans="1:15" ht="30">
      <c r="A11" s="200" t="s">
        <v>602</v>
      </c>
      <c r="B11" s="200" t="s">
        <v>235</v>
      </c>
      <c r="C11" s="43" t="s">
        <v>609</v>
      </c>
      <c r="D11" s="268">
        <v>0</v>
      </c>
      <c r="E11" s="150" t="s">
        <v>435</v>
      </c>
      <c r="F11" s="20"/>
      <c r="G11" s="201"/>
      <c r="H11" s="202"/>
      <c r="N11" s="198"/>
      <c r="O11" s="198"/>
    </row>
    <row r="12" spans="1:15" ht="30">
      <c r="A12" s="200" t="s">
        <v>393</v>
      </c>
      <c r="B12" s="200" t="s">
        <v>235</v>
      </c>
      <c r="C12" s="43" t="s">
        <v>394</v>
      </c>
      <c r="D12" s="268">
        <v>0</v>
      </c>
      <c r="E12" s="150" t="s">
        <v>435</v>
      </c>
      <c r="F12" s="20"/>
      <c r="G12" s="201"/>
      <c r="H12" s="202"/>
      <c r="N12" s="198"/>
      <c r="O12" s="198"/>
    </row>
    <row r="13" spans="1:15" ht="30">
      <c r="A13" s="291" t="s">
        <v>418</v>
      </c>
      <c r="B13" s="200" t="s">
        <v>235</v>
      </c>
      <c r="C13" s="43" t="s">
        <v>249</v>
      </c>
      <c r="D13" s="268">
        <v>0</v>
      </c>
      <c r="E13" s="150" t="s">
        <v>435</v>
      </c>
      <c r="F13" s="20"/>
      <c r="G13" s="201"/>
      <c r="H13" s="202"/>
      <c r="N13" s="198"/>
      <c r="O13" s="198"/>
    </row>
    <row r="14" spans="1:15">
      <c r="A14" s="294" t="s">
        <v>608</v>
      </c>
      <c r="B14" s="254" t="s">
        <v>607</v>
      </c>
      <c r="C14" s="389" t="s">
        <v>794</v>
      </c>
      <c r="D14" s="349">
        <v>110000</v>
      </c>
      <c r="E14" s="295" t="s">
        <v>103</v>
      </c>
      <c r="F14" s="20"/>
      <c r="G14" s="201"/>
      <c r="H14" s="202"/>
      <c r="N14" s="198"/>
      <c r="O14" s="198"/>
    </row>
    <row r="15" spans="1:15" ht="6.6" customHeight="1" thickBot="1">
      <c r="A15" s="203" t="s">
        <v>157</v>
      </c>
      <c r="B15" s="205"/>
      <c r="C15" s="5"/>
      <c r="D15" s="350"/>
      <c r="E15" s="5"/>
      <c r="F15" s="131"/>
      <c r="G15" s="201"/>
      <c r="H15" s="202"/>
      <c r="N15" s="198"/>
      <c r="O15" s="198"/>
    </row>
    <row r="16" spans="1:15">
      <c r="A16" s="9" t="s">
        <v>157</v>
      </c>
      <c r="B16" s="30"/>
      <c r="C16" s="31" t="s">
        <v>247</v>
      </c>
      <c r="D16" s="123"/>
      <c r="E16" s="30"/>
      <c r="F16" s="62"/>
      <c r="G16" s="256"/>
      <c r="H16" s="202"/>
      <c r="N16" s="198"/>
      <c r="O16" s="198"/>
    </row>
    <row r="17" spans="1:15">
      <c r="A17" s="200" t="s">
        <v>401</v>
      </c>
      <c r="B17" s="200" t="s">
        <v>246</v>
      </c>
      <c r="C17" s="390" t="s">
        <v>795</v>
      </c>
      <c r="D17" s="351">
        <v>74000</v>
      </c>
      <c r="E17" s="129" t="s">
        <v>103</v>
      </c>
      <c r="F17" s="20"/>
      <c r="G17" s="201"/>
      <c r="H17" s="202"/>
      <c r="N17" s="198"/>
      <c r="O17" s="198"/>
    </row>
    <row r="18" spans="1:15" ht="30">
      <c r="A18" s="200" t="s">
        <v>611</v>
      </c>
      <c r="B18" s="200" t="s">
        <v>246</v>
      </c>
      <c r="C18" s="43" t="s">
        <v>796</v>
      </c>
      <c r="D18" s="268">
        <v>0</v>
      </c>
      <c r="E18" s="150" t="s">
        <v>435</v>
      </c>
      <c r="F18" s="20"/>
      <c r="G18" s="201"/>
      <c r="H18" s="202"/>
      <c r="N18" s="198"/>
      <c r="O18" s="198"/>
    </row>
    <row r="19" spans="1:15" ht="30">
      <c r="A19" s="200" t="s">
        <v>402</v>
      </c>
      <c r="B19" s="200" t="s">
        <v>235</v>
      </c>
      <c r="C19" s="43" t="s">
        <v>403</v>
      </c>
      <c r="D19" s="268">
        <v>0</v>
      </c>
      <c r="E19" s="150" t="s">
        <v>435</v>
      </c>
      <c r="F19" s="20"/>
      <c r="G19" s="201"/>
      <c r="H19" s="202"/>
      <c r="N19" s="198"/>
      <c r="O19" s="198"/>
    </row>
    <row r="20" spans="1:15" ht="33" customHeight="1">
      <c r="A20" s="200" t="s">
        <v>464</v>
      </c>
      <c r="B20" s="200" t="s">
        <v>235</v>
      </c>
      <c r="C20" s="43" t="s">
        <v>465</v>
      </c>
      <c r="D20" s="268">
        <v>0</v>
      </c>
      <c r="E20" s="150" t="s">
        <v>435</v>
      </c>
      <c r="F20" s="20"/>
      <c r="G20" s="201"/>
      <c r="H20" s="202"/>
      <c r="N20" s="198"/>
      <c r="O20" s="198"/>
    </row>
    <row r="21" spans="1:15" ht="29.45" customHeight="1">
      <c r="A21" s="200" t="s">
        <v>398</v>
      </c>
      <c r="B21" s="200" t="s">
        <v>235</v>
      </c>
      <c r="C21" s="43" t="s">
        <v>400</v>
      </c>
      <c r="D21" s="268">
        <v>0</v>
      </c>
      <c r="E21" s="150" t="s">
        <v>435</v>
      </c>
      <c r="F21" s="20"/>
      <c r="G21" s="201"/>
      <c r="H21" s="202"/>
      <c r="I21" s="270"/>
      <c r="N21" s="198"/>
      <c r="O21" s="198"/>
    </row>
    <row r="22" spans="1:15" ht="29.45" customHeight="1">
      <c r="A22" s="200" t="s">
        <v>399</v>
      </c>
      <c r="B22" s="200" t="s">
        <v>235</v>
      </c>
      <c r="C22" s="43" t="s">
        <v>797</v>
      </c>
      <c r="D22" s="268">
        <v>0</v>
      </c>
      <c r="E22" s="150" t="s">
        <v>435</v>
      </c>
      <c r="F22" s="20"/>
      <c r="G22" s="201"/>
      <c r="H22" s="202"/>
      <c r="N22" s="198"/>
      <c r="O22" s="198"/>
    </row>
    <row r="23" spans="1:15" ht="29.45" customHeight="1">
      <c r="A23" s="200" t="s">
        <v>396</v>
      </c>
      <c r="B23" s="200" t="s">
        <v>235</v>
      </c>
      <c r="C23" s="43" t="s">
        <v>397</v>
      </c>
      <c r="D23" s="268">
        <v>0</v>
      </c>
      <c r="E23" s="150" t="s">
        <v>435</v>
      </c>
      <c r="F23" s="20"/>
      <c r="G23" s="201"/>
      <c r="H23" s="202"/>
      <c r="N23" s="198"/>
      <c r="O23" s="198"/>
    </row>
    <row r="24" spans="1:15" ht="6.6" customHeight="1" thickBot="1">
      <c r="A24" s="203" t="s">
        <v>157</v>
      </c>
      <c r="B24" s="205"/>
      <c r="C24" s="5"/>
      <c r="D24" s="352"/>
      <c r="E24" s="50"/>
      <c r="F24" s="131"/>
      <c r="G24" s="201"/>
      <c r="H24" s="202"/>
      <c r="N24" s="198"/>
      <c r="O24" s="198"/>
    </row>
    <row r="25" spans="1:15">
      <c r="A25" s="204" t="s">
        <v>157</v>
      </c>
      <c r="B25" s="206"/>
      <c r="C25" s="31" t="s">
        <v>248</v>
      </c>
      <c r="D25" s="353"/>
      <c r="E25" s="52"/>
      <c r="F25" s="62"/>
      <c r="G25" s="201"/>
      <c r="H25" s="202"/>
      <c r="N25" s="198"/>
      <c r="O25" s="198"/>
    </row>
    <row r="26" spans="1:15" ht="30">
      <c r="A26" s="200" t="s">
        <v>386</v>
      </c>
      <c r="B26" s="200" t="s">
        <v>235</v>
      </c>
      <c r="C26" s="43" t="s">
        <v>236</v>
      </c>
      <c r="D26" s="268">
        <v>0</v>
      </c>
      <c r="E26" s="150" t="s">
        <v>435</v>
      </c>
      <c r="F26" s="20"/>
      <c r="G26" s="201"/>
      <c r="H26" s="202"/>
      <c r="N26" s="198"/>
      <c r="O26" s="198"/>
    </row>
    <row r="27" spans="1:15" ht="30.75" customHeight="1">
      <c r="A27" s="200" t="s">
        <v>463</v>
      </c>
      <c r="B27" s="200" t="s">
        <v>235</v>
      </c>
      <c r="C27" s="43" t="s">
        <v>798</v>
      </c>
      <c r="D27" s="212">
        <v>235000</v>
      </c>
      <c r="E27" s="129" t="s">
        <v>103</v>
      </c>
      <c r="F27" s="20"/>
      <c r="G27" s="201"/>
      <c r="H27" s="202"/>
      <c r="N27" s="198"/>
      <c r="O27" s="198"/>
    </row>
    <row r="28" spans="1:15" ht="33.75" customHeight="1">
      <c r="A28" s="200" t="s">
        <v>462</v>
      </c>
      <c r="B28" s="200" t="s">
        <v>235</v>
      </c>
      <c r="C28" s="43" t="s">
        <v>799</v>
      </c>
      <c r="D28" s="212">
        <v>199000</v>
      </c>
      <c r="E28" s="129" t="s">
        <v>103</v>
      </c>
      <c r="F28" s="20"/>
      <c r="G28" s="201"/>
      <c r="H28" s="202"/>
      <c r="N28" s="198"/>
      <c r="O28" s="198"/>
    </row>
    <row r="29" spans="1:15" ht="34.5" customHeight="1">
      <c r="A29" s="200" t="s">
        <v>395</v>
      </c>
      <c r="B29" s="200" t="s">
        <v>235</v>
      </c>
      <c r="C29" s="43" t="s">
        <v>800</v>
      </c>
      <c r="D29" s="268">
        <v>0</v>
      </c>
      <c r="E29" s="150" t="s">
        <v>435</v>
      </c>
      <c r="F29" s="20"/>
      <c r="G29" s="201"/>
      <c r="H29" s="202"/>
      <c r="N29" s="198"/>
      <c r="O29" s="198"/>
    </row>
    <row r="30" spans="1:15" ht="45">
      <c r="A30" s="200" t="s">
        <v>430</v>
      </c>
      <c r="B30" s="200" t="s">
        <v>235</v>
      </c>
      <c r="C30" s="43" t="s">
        <v>801</v>
      </c>
      <c r="D30" s="268">
        <v>0</v>
      </c>
      <c r="E30" s="150" t="s">
        <v>435</v>
      </c>
      <c r="F30" s="20"/>
      <c r="G30" s="201"/>
      <c r="H30" s="202"/>
      <c r="N30" s="198"/>
      <c r="O30" s="198"/>
    </row>
    <row r="31" spans="1:15" ht="45">
      <c r="A31" s="200" t="s">
        <v>434</v>
      </c>
      <c r="B31" s="200" t="s">
        <v>235</v>
      </c>
      <c r="C31" s="43" t="s">
        <v>802</v>
      </c>
      <c r="D31" s="268">
        <v>0</v>
      </c>
      <c r="E31" s="150" t="s">
        <v>435</v>
      </c>
      <c r="F31" s="20"/>
      <c r="G31" s="201"/>
      <c r="H31" s="202"/>
      <c r="N31" s="198"/>
      <c r="O31" s="198"/>
    </row>
    <row r="32" spans="1:15" ht="31.5" customHeight="1">
      <c r="A32" s="200" t="s">
        <v>530</v>
      </c>
      <c r="B32" s="200" t="s">
        <v>235</v>
      </c>
      <c r="C32" s="43" t="s">
        <v>803</v>
      </c>
      <c r="D32" s="212">
        <v>409000</v>
      </c>
      <c r="E32" s="129" t="s">
        <v>103</v>
      </c>
      <c r="F32" s="20"/>
      <c r="G32" s="201"/>
      <c r="H32" s="202"/>
      <c r="N32" s="198"/>
      <c r="O32" s="198"/>
    </row>
    <row r="33" spans="1:15" ht="6.6" customHeight="1" thickBot="1">
      <c r="A33" s="203" t="s">
        <v>157</v>
      </c>
      <c r="B33" s="205"/>
      <c r="C33" s="5"/>
      <c r="D33" s="350"/>
      <c r="E33" s="5"/>
      <c r="F33" s="131"/>
      <c r="G33" s="202"/>
      <c r="H33" s="202"/>
      <c r="N33" s="198"/>
      <c r="O33" s="198"/>
    </row>
    <row r="34" spans="1:15" ht="13.15" customHeight="1">
      <c r="A34" s="204" t="s">
        <v>157</v>
      </c>
      <c r="B34" s="206"/>
      <c r="C34" s="31" t="s">
        <v>603</v>
      </c>
      <c r="D34" s="348"/>
      <c r="E34" s="30"/>
      <c r="F34" s="62"/>
      <c r="G34" s="202"/>
      <c r="H34" s="202"/>
      <c r="N34" s="198"/>
      <c r="O34" s="198"/>
    </row>
    <row r="35" spans="1:15" ht="30">
      <c r="A35" s="200" t="s">
        <v>612</v>
      </c>
      <c r="B35" s="200" t="s">
        <v>610</v>
      </c>
      <c r="C35" s="43" t="s">
        <v>613</v>
      </c>
      <c r="D35" s="268">
        <v>0</v>
      </c>
      <c r="E35" s="150" t="s">
        <v>435</v>
      </c>
      <c r="F35" s="20"/>
      <c r="G35" s="202"/>
      <c r="H35" s="202"/>
      <c r="N35" s="198"/>
      <c r="O35" s="198"/>
    </row>
    <row r="36" spans="1:15" ht="45">
      <c r="A36" s="200" t="s">
        <v>604</v>
      </c>
      <c r="B36" s="200" t="s">
        <v>610</v>
      </c>
      <c r="C36" s="43" t="s">
        <v>804</v>
      </c>
      <c r="D36" s="351">
        <v>549000</v>
      </c>
      <c r="E36" s="129" t="s">
        <v>103</v>
      </c>
      <c r="F36" s="20"/>
      <c r="G36" s="202"/>
      <c r="H36" s="202"/>
      <c r="N36" s="198"/>
      <c r="O36" s="198"/>
    </row>
    <row r="37" spans="1:15" ht="45">
      <c r="A37" s="200" t="s">
        <v>605</v>
      </c>
      <c r="B37" s="200" t="s">
        <v>610</v>
      </c>
      <c r="C37" s="43" t="s">
        <v>805</v>
      </c>
      <c r="D37" s="268">
        <v>0</v>
      </c>
      <c r="E37" s="150" t="s">
        <v>435</v>
      </c>
      <c r="F37" s="20"/>
      <c r="G37" s="202"/>
      <c r="H37" s="202"/>
      <c r="N37" s="198"/>
      <c r="O37" s="198"/>
    </row>
    <row r="38" spans="1:15" ht="6.6" customHeight="1" thickBot="1">
      <c r="A38" s="203" t="s">
        <v>157</v>
      </c>
      <c r="B38" s="205"/>
      <c r="C38" s="5"/>
      <c r="D38" s="350"/>
      <c r="E38" s="5"/>
      <c r="F38" s="131"/>
      <c r="G38" s="202"/>
      <c r="H38" s="202"/>
      <c r="N38" s="198"/>
      <c r="O38" s="198"/>
    </row>
    <row r="39" spans="1:15" ht="13.15" customHeight="1">
      <c r="A39" s="204" t="s">
        <v>157</v>
      </c>
      <c r="B39" s="206"/>
      <c r="C39" s="31" t="s">
        <v>233</v>
      </c>
      <c r="D39" s="348"/>
      <c r="E39" s="30"/>
      <c r="F39" s="62"/>
      <c r="G39" s="202"/>
      <c r="H39" s="202"/>
      <c r="N39" s="198"/>
      <c r="O39" s="198"/>
    </row>
    <row r="40" spans="1:15">
      <c r="A40" s="200" t="s">
        <v>387</v>
      </c>
      <c r="B40" s="200" t="s">
        <v>233</v>
      </c>
      <c r="C40" s="4" t="s">
        <v>391</v>
      </c>
      <c r="D40" s="268">
        <v>0</v>
      </c>
      <c r="E40" s="150" t="s">
        <v>435</v>
      </c>
      <c r="F40" s="20"/>
      <c r="G40" s="202"/>
      <c r="H40" s="202"/>
      <c r="N40" s="198"/>
      <c r="O40" s="198"/>
    </row>
    <row r="41" spans="1:15">
      <c r="A41" s="200" t="s">
        <v>388</v>
      </c>
      <c r="B41" s="200" t="s">
        <v>233</v>
      </c>
      <c r="C41" s="4" t="s">
        <v>390</v>
      </c>
      <c r="D41" s="268">
        <v>0</v>
      </c>
      <c r="E41" s="150" t="s">
        <v>435</v>
      </c>
      <c r="F41" s="20"/>
      <c r="G41" s="202"/>
      <c r="H41" s="202"/>
      <c r="N41" s="198"/>
      <c r="O41" s="198"/>
    </row>
    <row r="42" spans="1:15">
      <c r="A42" s="200" t="s">
        <v>389</v>
      </c>
      <c r="B42" s="200" t="s">
        <v>233</v>
      </c>
      <c r="C42" s="4" t="s">
        <v>392</v>
      </c>
      <c r="D42" s="268">
        <v>0</v>
      </c>
      <c r="E42" s="150" t="s">
        <v>435</v>
      </c>
      <c r="F42" s="20"/>
      <c r="G42" s="202"/>
      <c r="H42" s="202"/>
      <c r="N42" s="198"/>
      <c r="O42" s="198"/>
    </row>
    <row r="43" spans="1:15" ht="6.6" customHeight="1">
      <c r="A43" s="203" t="s">
        <v>157</v>
      </c>
      <c r="B43" s="205"/>
      <c r="C43" s="5"/>
      <c r="D43" s="350"/>
      <c r="E43" s="5"/>
      <c r="F43" s="131"/>
      <c r="G43" s="202"/>
      <c r="H43" s="202"/>
    </row>
  </sheetData>
  <autoFilter ref="A8:L43" xr:uid="{00000000-0009-0000-0000-000001000000}"/>
  <hyperlinks>
    <hyperlink ref="G7" location="Index!A1" display="Index" xr:uid="{00000000-0004-0000-0100-000000000000}"/>
    <hyperlink ref="F8" location="'Pour Bon de Commande'!A1" display="BC" xr:uid="{00000000-0004-0000-0100-000001000000}"/>
    <hyperlink ref="C6" r:id="rId1" display="Contact: Marie Jose mjyasselou@southcomp-polaris.com" xr:uid="{00000000-0004-0000-0100-000015000000}"/>
  </hyperlink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4" tint="0.39997558519241921"/>
  </sheetPr>
  <dimension ref="A4:I40"/>
  <sheetViews>
    <sheetView zoomScaleNormal="100" workbookViewId="0">
      <pane ySplit="8" topLeftCell="A9" activePane="bottomLeft" state="frozen"/>
      <selection activeCell="C17" sqref="C17"/>
      <selection pane="bottomLeft" activeCell="E14" sqref="E14"/>
    </sheetView>
  </sheetViews>
  <sheetFormatPr baseColWidth="10" defaultColWidth="8.85546875" defaultRowHeight="15"/>
  <cols>
    <col min="1" max="1" width="17.5703125" style="1" customWidth="1"/>
    <col min="2" max="2" width="10" style="1" bestFit="1" customWidth="1"/>
    <col min="3" max="3" width="104.28515625" style="1" customWidth="1"/>
    <col min="4" max="4" width="18.85546875" style="347" customWidth="1"/>
    <col min="5" max="5" width="17.5703125" style="36" customWidth="1"/>
    <col min="6" max="6" width="16.42578125" style="16" customWidth="1"/>
    <col min="7" max="7" width="8.85546875" style="63"/>
    <col min="8" max="8" width="8.85546875" style="1"/>
    <col min="9" max="9" width="8.7109375" style="1" customWidth="1"/>
    <col min="10" max="10" width="4" style="15" customWidth="1"/>
    <col min="11" max="16384" width="8.85546875" style="15"/>
  </cols>
  <sheetData>
    <row r="4" spans="1:9">
      <c r="I4" s="33" t="s">
        <v>81</v>
      </c>
    </row>
    <row r="5" spans="1:9">
      <c r="C5" s="2"/>
      <c r="I5" s="33" t="s">
        <v>82</v>
      </c>
    </row>
    <row r="6" spans="1:9" ht="15.75" thickBot="1">
      <c r="C6" s="287" t="s">
        <v>667</v>
      </c>
      <c r="D6" s="25" t="s">
        <v>26</v>
      </c>
      <c r="E6" s="37"/>
      <c r="F6" s="17" t="s">
        <v>132</v>
      </c>
      <c r="I6" s="33" t="s">
        <v>83</v>
      </c>
    </row>
    <row r="7" spans="1:9">
      <c r="A7" s="22"/>
      <c r="B7" s="23"/>
      <c r="C7" s="10" t="s">
        <v>334</v>
      </c>
      <c r="D7" s="121"/>
      <c r="E7" s="23"/>
      <c r="F7" s="21"/>
      <c r="H7" s="2" t="s">
        <v>1</v>
      </c>
      <c r="I7" s="33" t="s">
        <v>84</v>
      </c>
    </row>
    <row r="8" spans="1:9">
      <c r="A8" s="6" t="s">
        <v>14</v>
      </c>
      <c r="B8" s="6" t="s">
        <v>45</v>
      </c>
      <c r="C8" s="6" t="s">
        <v>13</v>
      </c>
      <c r="D8" s="27" t="s">
        <v>18</v>
      </c>
      <c r="E8" s="139" t="s">
        <v>102</v>
      </c>
      <c r="F8" s="60" t="s">
        <v>131</v>
      </c>
    </row>
    <row r="9" spans="1:9" ht="6.6" customHeight="1" thickBot="1">
      <c r="A9" s="5"/>
      <c r="B9" s="5"/>
      <c r="C9" s="5"/>
      <c r="D9" s="122"/>
      <c r="E9" s="5"/>
      <c r="F9" s="131"/>
    </row>
    <row r="10" spans="1:9">
      <c r="A10" s="9"/>
      <c r="B10" s="30"/>
      <c r="C10" s="31" t="s">
        <v>81</v>
      </c>
      <c r="D10" s="123"/>
      <c r="E10" s="30"/>
      <c r="F10" s="62"/>
    </row>
    <row r="11" spans="1:9">
      <c r="A11" s="4" t="s">
        <v>729</v>
      </c>
      <c r="B11" s="4" t="s">
        <v>324</v>
      </c>
      <c r="C11" s="4" t="s">
        <v>730</v>
      </c>
      <c r="D11" s="340">
        <v>0</v>
      </c>
      <c r="E11" s="130" t="s">
        <v>206</v>
      </c>
      <c r="F11" s="20"/>
      <c r="G11" s="2"/>
      <c r="I11" s="199"/>
    </row>
    <row r="12" spans="1:9">
      <c r="A12" s="4" t="s">
        <v>501</v>
      </c>
      <c r="B12" s="4" t="s">
        <v>324</v>
      </c>
      <c r="C12" s="4" t="s">
        <v>502</v>
      </c>
      <c r="D12" s="354">
        <v>335000</v>
      </c>
      <c r="E12" s="129" t="s">
        <v>103</v>
      </c>
      <c r="F12" s="20"/>
      <c r="G12" s="2"/>
      <c r="I12" s="199"/>
    </row>
    <row r="13" spans="1:9">
      <c r="A13" s="4" t="s">
        <v>656</v>
      </c>
      <c r="B13" s="4" t="s">
        <v>324</v>
      </c>
      <c r="C13" s="4" t="s">
        <v>509</v>
      </c>
      <c r="D13" s="354">
        <v>410000</v>
      </c>
      <c r="E13" s="129" t="s">
        <v>103</v>
      </c>
      <c r="F13" s="20"/>
      <c r="G13" s="2"/>
      <c r="I13" s="199"/>
    </row>
    <row r="14" spans="1:9">
      <c r="A14" s="4" t="s">
        <v>693</v>
      </c>
      <c r="B14" s="4" t="s">
        <v>324</v>
      </c>
      <c r="C14" s="4" t="s">
        <v>510</v>
      </c>
      <c r="D14" s="340">
        <v>0</v>
      </c>
      <c r="E14" s="130" t="s">
        <v>206</v>
      </c>
      <c r="F14" s="20"/>
      <c r="G14" s="2"/>
      <c r="I14" s="199"/>
    </row>
    <row r="15" spans="1:9">
      <c r="A15" s="4" t="s">
        <v>507</v>
      </c>
      <c r="B15" s="4" t="s">
        <v>324</v>
      </c>
      <c r="C15" s="4" t="s">
        <v>508</v>
      </c>
      <c r="D15" s="355">
        <v>0</v>
      </c>
      <c r="E15" s="130" t="s">
        <v>206</v>
      </c>
      <c r="F15" s="20"/>
      <c r="G15" s="2"/>
      <c r="I15" s="199"/>
    </row>
    <row r="16" spans="1:9">
      <c r="A16" s="334" t="s">
        <v>735</v>
      </c>
      <c r="B16" s="4" t="s">
        <v>324</v>
      </c>
      <c r="C16" s="334" t="s">
        <v>736</v>
      </c>
      <c r="D16" s="355">
        <v>0</v>
      </c>
      <c r="E16" s="130" t="s">
        <v>206</v>
      </c>
      <c r="F16" s="20"/>
      <c r="G16" s="2"/>
      <c r="I16" s="199"/>
    </row>
    <row r="17" spans="1:9" ht="6.6" customHeight="1" thickBot="1">
      <c r="A17" s="5" t="s">
        <v>157</v>
      </c>
      <c r="B17" s="5"/>
      <c r="C17" s="5"/>
      <c r="D17" s="122"/>
      <c r="E17" s="5"/>
      <c r="F17" s="131"/>
      <c r="G17" s="2"/>
    </row>
    <row r="18" spans="1:9">
      <c r="A18" s="9"/>
      <c r="B18" s="30"/>
      <c r="C18" s="31" t="s">
        <v>269</v>
      </c>
      <c r="D18" s="123"/>
      <c r="E18" s="30"/>
      <c r="F18" s="62"/>
      <c r="G18" s="2"/>
    </row>
    <row r="19" spans="1:9">
      <c r="A19" s="334" t="s">
        <v>825</v>
      </c>
      <c r="B19" s="4" t="s">
        <v>82</v>
      </c>
      <c r="C19" s="322" t="s">
        <v>826</v>
      </c>
      <c r="D19" s="212">
        <v>499000</v>
      </c>
      <c r="E19" s="129" t="s">
        <v>103</v>
      </c>
      <c r="F19" s="20"/>
      <c r="G19" s="2"/>
      <c r="I19" s="199"/>
    </row>
    <row r="20" spans="1:9">
      <c r="A20" s="334" t="s">
        <v>731</v>
      </c>
      <c r="B20" s="4" t="s">
        <v>82</v>
      </c>
      <c r="C20" s="322" t="s">
        <v>732</v>
      </c>
      <c r="D20" s="212">
        <v>601000</v>
      </c>
      <c r="E20" s="129" t="s">
        <v>103</v>
      </c>
      <c r="F20" s="20"/>
      <c r="G20" s="2"/>
      <c r="I20" s="199"/>
    </row>
    <row r="21" spans="1:9">
      <c r="A21" s="334" t="s">
        <v>733</v>
      </c>
      <c r="B21" s="4" t="s">
        <v>82</v>
      </c>
      <c r="C21" s="322" t="s">
        <v>734</v>
      </c>
      <c r="D21" s="340">
        <v>0</v>
      </c>
      <c r="E21" s="130" t="s">
        <v>206</v>
      </c>
      <c r="F21" s="20"/>
      <c r="G21" s="2"/>
      <c r="I21" s="199"/>
    </row>
    <row r="22" spans="1:9">
      <c r="A22" s="4" t="s">
        <v>824</v>
      </c>
      <c r="B22" s="4" t="s">
        <v>82</v>
      </c>
      <c r="C22" s="4" t="s">
        <v>827</v>
      </c>
      <c r="D22" s="340">
        <v>0</v>
      </c>
      <c r="E22" s="130" t="s">
        <v>206</v>
      </c>
      <c r="F22" s="20"/>
      <c r="G22" s="2"/>
      <c r="I22" s="199"/>
    </row>
    <row r="23" spans="1:9">
      <c r="A23" s="4" t="s">
        <v>511</v>
      </c>
      <c r="B23" s="4" t="s">
        <v>82</v>
      </c>
      <c r="C23" s="4" t="s">
        <v>512</v>
      </c>
      <c r="D23" s="354">
        <v>1525000</v>
      </c>
      <c r="E23" s="129" t="s">
        <v>103</v>
      </c>
      <c r="F23" s="20"/>
      <c r="G23" s="2"/>
      <c r="I23" s="199"/>
    </row>
    <row r="24" spans="1:9" ht="6.6" customHeight="1" thickBot="1">
      <c r="A24" s="66" t="s">
        <v>157</v>
      </c>
      <c r="B24" s="5"/>
      <c r="C24" s="5"/>
      <c r="D24" s="122"/>
      <c r="E24" s="5"/>
      <c r="F24" s="131"/>
      <c r="G24" s="2"/>
    </row>
    <row r="25" spans="1:9">
      <c r="A25" s="65" t="s">
        <v>157</v>
      </c>
      <c r="B25" s="30"/>
      <c r="C25" s="31" t="s">
        <v>268</v>
      </c>
      <c r="D25" s="123"/>
      <c r="E25" s="30"/>
      <c r="F25" s="62"/>
      <c r="G25" s="2"/>
    </row>
    <row r="26" spans="1:9">
      <c r="A26" s="4"/>
      <c r="B26" s="4"/>
      <c r="C26" s="4"/>
      <c r="D26" s="356"/>
      <c r="E26" s="129"/>
      <c r="F26" s="20"/>
      <c r="G26" s="2"/>
    </row>
    <row r="27" spans="1:9" ht="6.6" customHeight="1" thickBot="1">
      <c r="A27" s="66" t="s">
        <v>157</v>
      </c>
      <c r="B27" s="5"/>
      <c r="C27" s="5"/>
      <c r="D27" s="122"/>
      <c r="E27" s="5"/>
      <c r="F27" s="131"/>
      <c r="G27" s="2"/>
    </row>
    <row r="28" spans="1:9">
      <c r="A28" s="65" t="s">
        <v>157</v>
      </c>
      <c r="B28" s="30"/>
      <c r="C28" s="31" t="s">
        <v>83</v>
      </c>
      <c r="D28" s="123"/>
      <c r="E28" s="30"/>
      <c r="F28" s="62"/>
      <c r="G28" s="2"/>
    </row>
    <row r="29" spans="1:9">
      <c r="A29" s="15" t="s">
        <v>503</v>
      </c>
      <c r="B29" s="4" t="s">
        <v>83</v>
      </c>
      <c r="C29" s="4" t="s">
        <v>505</v>
      </c>
      <c r="D29" s="340">
        <v>0</v>
      </c>
      <c r="E29" s="130" t="s">
        <v>206</v>
      </c>
      <c r="F29" s="20"/>
      <c r="G29" s="2"/>
    </row>
    <row r="30" spans="1:9">
      <c r="A30" s="4" t="s">
        <v>737</v>
      </c>
      <c r="B30" s="4" t="s">
        <v>83</v>
      </c>
      <c r="C30" s="4" t="s">
        <v>738</v>
      </c>
      <c r="D30" s="340">
        <v>0</v>
      </c>
      <c r="E30" s="130" t="s">
        <v>206</v>
      </c>
      <c r="F30" s="20"/>
      <c r="G30" s="2"/>
    </row>
    <row r="31" spans="1:9">
      <c r="A31" s="4" t="s">
        <v>504</v>
      </c>
      <c r="B31" s="4" t="s">
        <v>83</v>
      </c>
      <c r="C31" s="4" t="s">
        <v>506</v>
      </c>
      <c r="D31" s="340">
        <v>0</v>
      </c>
      <c r="E31" s="130" t="s">
        <v>206</v>
      </c>
      <c r="F31" s="20"/>
      <c r="G31" s="2"/>
    </row>
    <row r="32" spans="1:9" ht="6.6" customHeight="1" thickBot="1">
      <c r="A32" s="66" t="s">
        <v>157</v>
      </c>
      <c r="B32" s="5"/>
      <c r="C32" s="5"/>
      <c r="D32" s="122"/>
      <c r="E32" s="5"/>
      <c r="F32" s="131"/>
      <c r="G32" s="2"/>
    </row>
    <row r="33" spans="1:7">
      <c r="A33" s="65" t="s">
        <v>157</v>
      </c>
      <c r="B33" s="30"/>
      <c r="C33" s="31" t="s">
        <v>84</v>
      </c>
      <c r="D33" s="123"/>
      <c r="E33" s="30"/>
      <c r="F33" s="62"/>
      <c r="G33" s="2"/>
    </row>
    <row r="34" spans="1:7">
      <c r="A34" s="4" t="s">
        <v>614</v>
      </c>
      <c r="B34" s="4" t="s">
        <v>226</v>
      </c>
      <c r="C34" s="293" t="s">
        <v>615</v>
      </c>
      <c r="D34" s="213">
        <v>60000</v>
      </c>
      <c r="E34" s="129" t="s">
        <v>103</v>
      </c>
      <c r="F34" s="20"/>
      <c r="G34" s="2"/>
    </row>
    <row r="35" spans="1:7">
      <c r="A35" s="4" t="s">
        <v>490</v>
      </c>
      <c r="B35" s="4" t="s">
        <v>496</v>
      </c>
      <c r="C35" s="4" t="s">
        <v>493</v>
      </c>
      <c r="D35" s="213">
        <v>7000</v>
      </c>
      <c r="E35" s="129" t="s">
        <v>103</v>
      </c>
      <c r="F35" s="20"/>
      <c r="G35" s="2"/>
    </row>
    <row r="36" spans="1:7">
      <c r="A36" s="4" t="s">
        <v>491</v>
      </c>
      <c r="B36" s="4" t="s">
        <v>498</v>
      </c>
      <c r="C36" s="4" t="s">
        <v>494</v>
      </c>
      <c r="D36" s="213">
        <v>19000</v>
      </c>
      <c r="E36" s="129" t="s">
        <v>103</v>
      </c>
      <c r="F36" s="20"/>
      <c r="G36" s="2"/>
    </row>
    <row r="37" spans="1:7">
      <c r="A37" s="4" t="s">
        <v>492</v>
      </c>
      <c r="B37" s="4" t="s">
        <v>497</v>
      </c>
      <c r="C37" s="4" t="s">
        <v>495</v>
      </c>
      <c r="D37" s="340">
        <v>0</v>
      </c>
      <c r="E37" s="130" t="s">
        <v>206</v>
      </c>
      <c r="F37" s="20"/>
      <c r="G37" s="2"/>
    </row>
    <row r="38" spans="1:7">
      <c r="A38" s="4" t="s">
        <v>740</v>
      </c>
      <c r="B38" s="4" t="s">
        <v>497</v>
      </c>
      <c r="C38" s="4" t="s">
        <v>739</v>
      </c>
      <c r="D38" s="213">
        <v>18000</v>
      </c>
      <c r="E38" s="129" t="s">
        <v>103</v>
      </c>
      <c r="F38" s="20"/>
      <c r="G38" s="2"/>
    </row>
    <row r="39" spans="1:7">
      <c r="A39" s="4" t="s">
        <v>93</v>
      </c>
      <c r="B39" s="4" t="s">
        <v>497</v>
      </c>
      <c r="C39" s="4" t="s">
        <v>94</v>
      </c>
      <c r="D39" s="340">
        <v>0</v>
      </c>
      <c r="E39" s="130" t="s">
        <v>206</v>
      </c>
      <c r="F39" s="20"/>
      <c r="G39" s="2"/>
    </row>
    <row r="40" spans="1:7" ht="17.25" customHeight="1">
      <c r="A40" s="66" t="s">
        <v>270</v>
      </c>
      <c r="B40" s="5"/>
      <c r="C40" s="5"/>
      <c r="D40" s="122"/>
      <c r="E40" s="5"/>
      <c r="F40" s="18"/>
    </row>
  </sheetData>
  <hyperlinks>
    <hyperlink ref="H7" location="Index!A1" display="Index" xr:uid="{00000000-0004-0000-0200-000000000000}"/>
    <hyperlink ref="F8" location="'Pour Bon de Commande'!A1" display="BC" xr:uid="{00000000-0004-0000-0200-000001000000}"/>
    <hyperlink ref="C6" r:id="rId1" display="Contact: Marie Jose mjyasselou@southcomp-polaris.com" xr:uid="{00000000-0004-0000-0200-00000F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7" tint="0.39997558519241921"/>
  </sheetPr>
  <dimension ref="A6:Q1048560"/>
  <sheetViews>
    <sheetView zoomScaleNormal="100" workbookViewId="0">
      <pane ySplit="8" topLeftCell="A9" activePane="bottomLeft" state="frozen"/>
      <selection pane="bottomLeft" activeCell="E11" sqref="E11"/>
    </sheetView>
  </sheetViews>
  <sheetFormatPr baseColWidth="10" defaultColWidth="8.85546875" defaultRowHeight="15"/>
  <cols>
    <col min="1" max="1" width="15.85546875" style="1" customWidth="1"/>
    <col min="2" max="2" width="13.5703125" style="1" bestFit="1" customWidth="1"/>
    <col min="3" max="3" width="116.85546875" style="1" customWidth="1"/>
    <col min="4" max="4" width="17.42578125" style="347" bestFit="1" customWidth="1"/>
    <col min="5" max="5" width="15.42578125" style="24" bestFit="1" customWidth="1"/>
    <col min="6" max="6" width="5" style="16" customWidth="1"/>
    <col min="7" max="7" width="8.85546875" style="63"/>
    <col min="8" max="8" width="8.85546875" style="1"/>
    <col min="9" max="9" width="10.140625" style="1" customWidth="1"/>
    <col min="10" max="13" width="8.85546875" style="15"/>
    <col min="14" max="14" width="13.7109375" style="15" bestFit="1" customWidth="1"/>
    <col min="15" max="17" width="13.28515625" style="15" bestFit="1" customWidth="1"/>
    <col min="18" max="16384" width="8.85546875" style="15"/>
  </cols>
  <sheetData>
    <row r="6" spans="1:17" ht="15.75" thickBot="1">
      <c r="C6" s="287" t="s">
        <v>542</v>
      </c>
      <c r="D6" s="25" t="s">
        <v>26</v>
      </c>
      <c r="E6" s="26"/>
      <c r="F6" s="17" t="s">
        <v>132</v>
      </c>
      <c r="I6" s="33" t="s">
        <v>79</v>
      </c>
    </row>
    <row r="7" spans="1:17">
      <c r="A7" s="22"/>
      <c r="B7" s="23"/>
      <c r="C7" s="10" t="s">
        <v>7</v>
      </c>
      <c r="D7" s="121"/>
      <c r="E7" s="23"/>
      <c r="F7" s="21"/>
      <c r="H7" s="2" t="s">
        <v>1</v>
      </c>
      <c r="I7" s="33" t="s">
        <v>95</v>
      </c>
    </row>
    <row r="8" spans="1:17">
      <c r="A8" s="6" t="s">
        <v>14</v>
      </c>
      <c r="B8" s="6" t="s">
        <v>45</v>
      </c>
      <c r="C8" s="6" t="s">
        <v>13</v>
      </c>
      <c r="D8" s="27" t="s">
        <v>18</v>
      </c>
      <c r="E8" s="28" t="s">
        <v>102</v>
      </c>
      <c r="F8" s="60" t="s">
        <v>131</v>
      </c>
    </row>
    <row r="9" spans="1:17" ht="9.75" customHeight="1" thickBot="1">
      <c r="A9" s="5"/>
      <c r="B9" s="5"/>
      <c r="C9" s="5"/>
      <c r="D9" s="122"/>
      <c r="E9" s="29"/>
      <c r="F9" s="18"/>
    </row>
    <row r="10" spans="1:17">
      <c r="A10" s="9"/>
      <c r="B10" s="30"/>
      <c r="C10" s="31" t="s">
        <v>681</v>
      </c>
      <c r="D10" s="123"/>
      <c r="E10" s="30"/>
      <c r="F10" s="62"/>
      <c r="G10" s="3"/>
      <c r="N10" s="224"/>
      <c r="O10" s="224"/>
      <c r="P10" s="198"/>
      <c r="Q10" s="198"/>
    </row>
    <row r="11" spans="1:17">
      <c r="A11" s="1" t="s">
        <v>677</v>
      </c>
      <c r="B11" s="4" t="s">
        <v>78</v>
      </c>
      <c r="C11" s="308" t="s">
        <v>678</v>
      </c>
      <c r="D11" s="391">
        <v>565000</v>
      </c>
      <c r="E11" s="130" t="s">
        <v>206</v>
      </c>
      <c r="F11" s="20"/>
      <c r="N11" s="224"/>
      <c r="O11" s="224"/>
      <c r="P11" s="198"/>
      <c r="Q11" s="198"/>
    </row>
    <row r="12" spans="1:17">
      <c r="A12" s="4" t="s">
        <v>813</v>
      </c>
      <c r="B12" s="4" t="s">
        <v>78</v>
      </c>
      <c r="C12" s="4" t="s">
        <v>814</v>
      </c>
      <c r="D12" s="391">
        <v>2399000</v>
      </c>
      <c r="E12" s="392" t="s">
        <v>103</v>
      </c>
      <c r="F12" s="20"/>
      <c r="N12" s="224"/>
      <c r="O12" s="224"/>
      <c r="P12" s="198"/>
      <c r="Q12" s="198"/>
    </row>
    <row r="13" spans="1:17">
      <c r="A13" s="4" t="s">
        <v>815</v>
      </c>
      <c r="B13" s="4" t="s">
        <v>78</v>
      </c>
      <c r="C13" s="4" t="s">
        <v>816</v>
      </c>
      <c r="D13" s="391">
        <v>2145000</v>
      </c>
      <c r="E13" s="392" t="s">
        <v>103</v>
      </c>
      <c r="F13" s="20"/>
      <c r="N13" s="224"/>
      <c r="O13" s="224"/>
      <c r="P13" s="198"/>
      <c r="Q13" s="198"/>
    </row>
    <row r="14" spans="1:17">
      <c r="A14" s="4" t="s">
        <v>817</v>
      </c>
      <c r="B14" s="4" t="s">
        <v>78</v>
      </c>
      <c r="C14" s="4" t="s">
        <v>818</v>
      </c>
      <c r="D14" s="391">
        <v>2850000</v>
      </c>
      <c r="E14" s="392" t="s">
        <v>103</v>
      </c>
      <c r="F14" s="20"/>
      <c r="N14" s="224"/>
      <c r="O14" s="224"/>
      <c r="P14" s="198"/>
      <c r="Q14" s="198"/>
    </row>
    <row r="15" spans="1:17">
      <c r="A15" s="4" t="s">
        <v>819</v>
      </c>
      <c r="B15" s="4" t="s">
        <v>78</v>
      </c>
      <c r="C15" s="4" t="s">
        <v>820</v>
      </c>
      <c r="D15" s="391">
        <v>2770000</v>
      </c>
      <c r="E15" s="130" t="s">
        <v>206</v>
      </c>
      <c r="F15" s="20"/>
      <c r="N15" s="224"/>
      <c r="O15" s="224"/>
      <c r="P15" s="198"/>
      <c r="Q15" s="198"/>
    </row>
    <row r="16" spans="1:17">
      <c r="A16" s="4" t="s">
        <v>821</v>
      </c>
      <c r="B16" s="4" t="s">
        <v>78</v>
      </c>
      <c r="C16" s="4" t="s">
        <v>822</v>
      </c>
      <c r="D16" s="354">
        <v>2399000</v>
      </c>
      <c r="E16" s="130" t="s">
        <v>206</v>
      </c>
      <c r="F16" s="20"/>
      <c r="N16" s="224"/>
      <c r="O16" s="224"/>
      <c r="P16" s="198"/>
      <c r="Q16" s="198"/>
    </row>
    <row r="17" spans="1:17">
      <c r="A17" s="4" t="s">
        <v>679</v>
      </c>
      <c r="B17" s="4" t="s">
        <v>78</v>
      </c>
      <c r="C17" s="4" t="s">
        <v>680</v>
      </c>
      <c r="D17" s="354">
        <v>1899000</v>
      </c>
      <c r="E17" s="129" t="s">
        <v>103</v>
      </c>
      <c r="F17" s="20"/>
      <c r="N17" s="224"/>
      <c r="O17" s="224"/>
      <c r="P17" s="198"/>
      <c r="Q17" s="198"/>
    </row>
    <row r="18" spans="1:17" ht="7.5" customHeight="1" thickBot="1">
      <c r="A18" s="66" t="s">
        <v>157</v>
      </c>
      <c r="B18" s="5"/>
      <c r="C18" s="5"/>
      <c r="D18" s="122"/>
      <c r="E18" s="5"/>
      <c r="F18" s="131"/>
    </row>
    <row r="19" spans="1:17">
      <c r="A19" s="65" t="s">
        <v>157</v>
      </c>
      <c r="B19" s="30"/>
      <c r="C19" s="31" t="s">
        <v>684</v>
      </c>
      <c r="D19" s="123"/>
      <c r="E19" s="30"/>
      <c r="F19" s="62"/>
    </row>
    <row r="20" spans="1:17">
      <c r="A20" s="4" t="s">
        <v>444</v>
      </c>
      <c r="B20" s="4" t="s">
        <v>80</v>
      </c>
      <c r="C20" s="4" t="s">
        <v>445</v>
      </c>
      <c r="D20" s="213">
        <v>50000</v>
      </c>
      <c r="E20" s="129" t="s">
        <v>103</v>
      </c>
      <c r="F20" s="20"/>
    </row>
    <row r="21" spans="1:17">
      <c r="A21" s="4" t="s">
        <v>345</v>
      </c>
      <c r="B21" s="4" t="s">
        <v>80</v>
      </c>
      <c r="C21" s="4" t="s">
        <v>348</v>
      </c>
      <c r="D21" s="213">
        <v>150000</v>
      </c>
      <c r="E21" s="129" t="s">
        <v>103</v>
      </c>
      <c r="F21" s="20"/>
    </row>
    <row r="22" spans="1:17">
      <c r="A22" s="4" t="s">
        <v>346</v>
      </c>
      <c r="B22" s="4" t="s">
        <v>80</v>
      </c>
      <c r="C22" s="4" t="s">
        <v>349</v>
      </c>
      <c r="D22" s="213">
        <v>100000</v>
      </c>
      <c r="E22" s="129" t="s">
        <v>103</v>
      </c>
      <c r="F22" s="20"/>
    </row>
    <row r="23" spans="1:17">
      <c r="A23" s="4" t="s">
        <v>377</v>
      </c>
      <c r="B23" s="4" t="s">
        <v>80</v>
      </c>
      <c r="C23" s="4" t="s">
        <v>385</v>
      </c>
      <c r="D23" s="213">
        <v>245000</v>
      </c>
      <c r="E23" s="129" t="s">
        <v>103</v>
      </c>
      <c r="F23" s="20"/>
    </row>
    <row r="24" spans="1:17">
      <c r="A24" s="4" t="s">
        <v>347</v>
      </c>
      <c r="B24" s="4" t="s">
        <v>823</v>
      </c>
      <c r="C24" s="4" t="s">
        <v>350</v>
      </c>
      <c r="D24" s="391">
        <v>150000</v>
      </c>
      <c r="E24" s="129" t="s">
        <v>103</v>
      </c>
      <c r="F24" s="20"/>
    </row>
    <row r="25" spans="1:17">
      <c r="A25" s="4" t="s">
        <v>373</v>
      </c>
      <c r="B25" s="4" t="s">
        <v>420</v>
      </c>
      <c r="C25" s="43" t="s">
        <v>374</v>
      </c>
      <c r="D25" s="391">
        <v>99000</v>
      </c>
      <c r="E25" s="129" t="s">
        <v>103</v>
      </c>
      <c r="F25" s="20"/>
    </row>
    <row r="26" spans="1:17" ht="8.25" customHeight="1">
      <c r="A26" s="66" t="s">
        <v>270</v>
      </c>
      <c r="B26" s="5"/>
      <c r="C26" s="5"/>
      <c r="D26" s="122"/>
      <c r="E26" s="5"/>
      <c r="F26" s="18"/>
    </row>
    <row r="1048560" spans="17:17">
      <c r="Q1048560" s="198"/>
    </row>
  </sheetData>
  <hyperlinks>
    <hyperlink ref="H7" location="Index!A1" display="Index" xr:uid="{00000000-0004-0000-0300-000000000000}"/>
    <hyperlink ref="F8" location="'Pour Bon de Commande'!A1" display="BC" xr:uid="{00000000-0004-0000-0300-000001000000}"/>
    <hyperlink ref="C6" r:id="rId1" display="Contact: Marie Jose mjyasselou@southcomp-polaris.com" xr:uid="{00000000-0004-0000-0300-000008000000}"/>
  </hyperlink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0000"/>
  </sheetPr>
  <dimension ref="A3:I41"/>
  <sheetViews>
    <sheetView zoomScaleNormal="100" workbookViewId="0">
      <pane ySplit="8" topLeftCell="A15" activePane="bottomLeft" state="frozen"/>
      <selection pane="bottomLeft" activeCell="H19" sqref="H19"/>
    </sheetView>
  </sheetViews>
  <sheetFormatPr baseColWidth="10" defaultColWidth="8.85546875" defaultRowHeight="15"/>
  <cols>
    <col min="1" max="1" width="16" style="1" customWidth="1"/>
    <col min="2" max="2" width="16.42578125" style="347" customWidth="1"/>
    <col min="3" max="3" width="103.140625" style="1" customWidth="1"/>
    <col min="4" max="4" width="17.42578125" style="347" customWidth="1"/>
    <col min="5" max="5" width="15.85546875" style="36" customWidth="1"/>
    <col min="6" max="6" width="12.28515625" style="16" customWidth="1"/>
    <col min="7" max="7" width="8.85546875" style="63"/>
    <col min="8" max="8" width="8.85546875" style="347"/>
    <col min="9" max="9" width="12.28515625" style="1" bestFit="1" customWidth="1"/>
    <col min="10" max="16384" width="8.85546875" style="15"/>
  </cols>
  <sheetData>
    <row r="3" spans="1:9">
      <c r="I3" s="33" t="s">
        <v>81</v>
      </c>
    </row>
    <row r="4" spans="1:9">
      <c r="I4" s="33" t="s">
        <v>82</v>
      </c>
    </row>
    <row r="5" spans="1:9">
      <c r="I5" s="33" t="s">
        <v>83</v>
      </c>
    </row>
    <row r="6" spans="1:9" ht="15.75" thickBot="1">
      <c r="C6" s="287" t="s">
        <v>540</v>
      </c>
      <c r="D6" s="25" t="s">
        <v>26</v>
      </c>
      <c r="E6" s="37"/>
      <c r="F6" s="17" t="s">
        <v>132</v>
      </c>
      <c r="I6" s="33" t="s">
        <v>98</v>
      </c>
    </row>
    <row r="7" spans="1:9">
      <c r="A7" s="22"/>
      <c r="B7" s="121"/>
      <c r="C7" s="10" t="s">
        <v>86</v>
      </c>
      <c r="D7" s="121"/>
      <c r="E7" s="23"/>
      <c r="F7" s="21"/>
      <c r="H7" s="384" t="s">
        <v>1</v>
      </c>
      <c r="I7" s="33" t="s">
        <v>84</v>
      </c>
    </row>
    <row r="8" spans="1:9" ht="13.9" customHeight="1">
      <c r="A8" s="6" t="s">
        <v>14</v>
      </c>
      <c r="B8" s="6" t="s">
        <v>45</v>
      </c>
      <c r="C8" s="6" t="s">
        <v>13</v>
      </c>
      <c r="D8" s="27" t="s">
        <v>18</v>
      </c>
      <c r="E8" s="28" t="s">
        <v>102</v>
      </c>
      <c r="F8" s="60" t="s">
        <v>131</v>
      </c>
    </row>
    <row r="9" spans="1:9" ht="6.6" customHeight="1" thickBot="1">
      <c r="A9" s="5"/>
      <c r="B9" s="122"/>
      <c r="C9" s="5"/>
      <c r="D9" s="122"/>
      <c r="E9" s="5"/>
      <c r="F9" s="18"/>
    </row>
    <row r="10" spans="1:9">
      <c r="A10" s="9"/>
      <c r="B10" s="123"/>
      <c r="C10" s="31" t="s">
        <v>87</v>
      </c>
      <c r="D10" s="123"/>
      <c r="E10" s="30"/>
      <c r="F10" s="19"/>
    </row>
    <row r="11" spans="1:9">
      <c r="A11" s="4" t="s">
        <v>771</v>
      </c>
      <c r="B11" s="393" t="s">
        <v>531</v>
      </c>
      <c r="C11" s="4" t="s">
        <v>792</v>
      </c>
      <c r="D11" s="351">
        <v>450000</v>
      </c>
      <c r="E11" s="150" t="s">
        <v>204</v>
      </c>
      <c r="F11" s="40"/>
      <c r="G11" s="34"/>
      <c r="H11" s="347" t="e">
        <f>VLOOKUP(A11,[1]Inventaire!$A$13:$C$267,3,FALSE)</f>
        <v>#N/A</v>
      </c>
      <c r="I11" s="199"/>
    </row>
    <row r="12" spans="1:9">
      <c r="A12" t="s">
        <v>843</v>
      </c>
      <c r="B12" s="393" t="s">
        <v>531</v>
      </c>
      <c r="C12" s="4" t="s">
        <v>844</v>
      </c>
      <c r="D12" s="400">
        <v>405000</v>
      </c>
      <c r="E12" s="150" t="s">
        <v>204</v>
      </c>
      <c r="F12" s="40"/>
      <c r="G12" s="34"/>
      <c r="H12" s="347" t="e">
        <f>VLOOKUP(A12,[1]Inventaire!$A$13:$C$267,3,FALSE)</f>
        <v>#N/A</v>
      </c>
      <c r="I12" s="199"/>
    </row>
    <row r="13" spans="1:9">
      <c r="A13" t="s">
        <v>845</v>
      </c>
      <c r="B13" s="393" t="s">
        <v>531</v>
      </c>
      <c r="C13" s="4" t="s">
        <v>846</v>
      </c>
      <c r="D13" s="400">
        <v>495000</v>
      </c>
      <c r="E13" s="150" t="s">
        <v>204</v>
      </c>
      <c r="F13" s="40"/>
      <c r="G13" s="34"/>
      <c r="H13" s="347" t="e">
        <f>VLOOKUP(A13,[1]Inventaire!$A$13:$C$267,3,FALSE)</f>
        <v>#N/A</v>
      </c>
      <c r="I13" s="199"/>
    </row>
    <row r="14" spans="1:9">
      <c r="A14" t="s">
        <v>847</v>
      </c>
      <c r="B14" s="393" t="s">
        <v>531</v>
      </c>
      <c r="C14" t="s">
        <v>848</v>
      </c>
      <c r="D14" s="357">
        <v>310000</v>
      </c>
      <c r="E14" s="150" t="s">
        <v>204</v>
      </c>
      <c r="F14" s="40"/>
      <c r="G14" s="34"/>
      <c r="H14" s="347" t="e">
        <f>VLOOKUP(A14,[1]Inventaire!$A$13:$C$267,3,FALSE)</f>
        <v>#N/A</v>
      </c>
      <c r="I14" s="199"/>
    </row>
    <row r="15" spans="1:9">
      <c r="A15" t="s">
        <v>771</v>
      </c>
      <c r="B15" s="393" t="s">
        <v>531</v>
      </c>
      <c r="C15" t="s">
        <v>849</v>
      </c>
      <c r="D15" s="357">
        <v>490000</v>
      </c>
      <c r="E15" s="150" t="s">
        <v>204</v>
      </c>
      <c r="F15" s="40"/>
      <c r="G15" s="388"/>
      <c r="H15" s="347" t="e">
        <f>VLOOKUP(A15,[1]Inventaire!$A$13:$C$267,3,FALSE)</f>
        <v>#N/A</v>
      </c>
      <c r="I15" s="199"/>
    </row>
    <row r="16" spans="1:9" ht="12.75" customHeight="1" thickBot="1">
      <c r="A16" s="66" t="s">
        <v>157</v>
      </c>
      <c r="B16" s="122"/>
      <c r="C16" s="5"/>
      <c r="D16" s="122"/>
      <c r="E16" s="5"/>
      <c r="F16" s="223"/>
      <c r="G16" s="34"/>
      <c r="H16" s="347" t="e">
        <f>VLOOKUP(A16,[1]Inventaire!$A$13:$C$267,3,FALSE)</f>
        <v>#N/A</v>
      </c>
    </row>
    <row r="17" spans="1:9">
      <c r="A17" s="65" t="s">
        <v>157</v>
      </c>
      <c r="B17" s="123"/>
      <c r="C17" s="31" t="s">
        <v>88</v>
      </c>
      <c r="D17" s="123"/>
      <c r="E17" s="30"/>
      <c r="F17" s="222"/>
      <c r="G17" s="34"/>
      <c r="H17" s="347" t="e">
        <f>VLOOKUP(A17,[1]Inventaire!$A$13:$C$267,3,FALSE)</f>
        <v>#N/A</v>
      </c>
    </row>
    <row r="18" spans="1:9">
      <c r="A18" s="145" t="s">
        <v>642</v>
      </c>
      <c r="B18" s="393" t="s">
        <v>89</v>
      </c>
      <c r="C18" s="4" t="s">
        <v>788</v>
      </c>
      <c r="D18" s="357">
        <v>519000</v>
      </c>
      <c r="E18" s="260" t="s">
        <v>103</v>
      </c>
      <c r="F18" s="40"/>
      <c r="G18" s="388" t="s">
        <v>316</v>
      </c>
      <c r="H18" s="347">
        <f>VLOOKUP(A18,[1]Inventaire!$A$13:$C$267,3,FALSE)</f>
        <v>35</v>
      </c>
      <c r="I18" s="199"/>
    </row>
    <row r="19" spans="1:9">
      <c r="A19" s="145" t="s">
        <v>682</v>
      </c>
      <c r="B19" s="393" t="s">
        <v>89</v>
      </c>
      <c r="C19" s="4" t="s">
        <v>683</v>
      </c>
      <c r="D19" s="357">
        <v>480000</v>
      </c>
      <c r="E19" s="260" t="s">
        <v>103</v>
      </c>
      <c r="F19" s="20"/>
      <c r="G19" s="388" t="s">
        <v>316</v>
      </c>
      <c r="H19" s="347">
        <f>VLOOKUP(A19,[1]Inventaire!$A$13:$C$267,3,FALSE)</f>
        <v>6</v>
      </c>
      <c r="I19" s="199"/>
    </row>
    <row r="20" spans="1:9">
      <c r="A20" s="145" t="s">
        <v>643</v>
      </c>
      <c r="B20" s="393" t="s">
        <v>89</v>
      </c>
      <c r="C20" s="4" t="s">
        <v>789</v>
      </c>
      <c r="D20" s="357">
        <v>438000</v>
      </c>
      <c r="E20" s="260" t="s">
        <v>103</v>
      </c>
      <c r="F20" s="40"/>
      <c r="G20" s="388" t="s">
        <v>316</v>
      </c>
      <c r="H20" s="347">
        <f>VLOOKUP(A20,[1]Inventaire!$A$13:$C$267,3,FALSE)</f>
        <v>3</v>
      </c>
      <c r="I20" s="199"/>
    </row>
    <row r="21" spans="1:9">
      <c r="A21" s="145" t="s">
        <v>772</v>
      </c>
      <c r="B21" s="393" t="s">
        <v>89</v>
      </c>
      <c r="C21" s="4" t="s">
        <v>790</v>
      </c>
      <c r="D21" s="357">
        <v>519000</v>
      </c>
      <c r="E21" s="260" t="s">
        <v>103</v>
      </c>
      <c r="F21" s="40"/>
      <c r="G21" s="388" t="s">
        <v>316</v>
      </c>
      <c r="H21" s="347">
        <f>VLOOKUP(A21,[1]Inventaire!$A$13:$C$267,3,FALSE)</f>
        <v>42</v>
      </c>
      <c r="I21" s="199"/>
    </row>
    <row r="22" spans="1:9">
      <c r="A22" s="402" t="s">
        <v>640</v>
      </c>
      <c r="B22" s="403" t="s">
        <v>89</v>
      </c>
      <c r="C22" s="404" t="s">
        <v>641</v>
      </c>
      <c r="D22" s="405">
        <v>480000</v>
      </c>
      <c r="E22" s="406" t="s">
        <v>103</v>
      </c>
      <c r="F22" s="40"/>
      <c r="G22" s="388" t="s">
        <v>316</v>
      </c>
      <c r="H22" s="347">
        <f>VLOOKUP(A22,[1]Inventaire!$A$13:$C$267,3,FALSE)</f>
        <v>8</v>
      </c>
      <c r="I22" s="199"/>
    </row>
    <row r="23" spans="1:9">
      <c r="A23" s="402" t="s">
        <v>672</v>
      </c>
      <c r="B23" s="403" t="s">
        <v>538</v>
      </c>
      <c r="C23" s="404" t="s">
        <v>852</v>
      </c>
      <c r="D23" s="405">
        <v>518000</v>
      </c>
      <c r="E23" s="406" t="s">
        <v>103</v>
      </c>
      <c r="F23" s="407"/>
      <c r="G23" s="388" t="s">
        <v>316</v>
      </c>
      <c r="H23" s="347">
        <f>VLOOKUP(A23,[1]Inventaire!$A$13:$C$267,3,FALSE)</f>
        <v>4</v>
      </c>
      <c r="I23" s="199"/>
    </row>
    <row r="24" spans="1:9">
      <c r="A24" s="402" t="s">
        <v>673</v>
      </c>
      <c r="B24" s="403" t="s">
        <v>538</v>
      </c>
      <c r="C24" s="408" t="s">
        <v>853</v>
      </c>
      <c r="D24" s="405">
        <v>612000</v>
      </c>
      <c r="E24" s="406" t="s">
        <v>103</v>
      </c>
      <c r="F24" s="407"/>
      <c r="G24" s="388" t="s">
        <v>316</v>
      </c>
      <c r="H24" s="347">
        <f>VLOOKUP(A24,[1]Inventaire!$A$13:$C$267,3,FALSE)</f>
        <v>51</v>
      </c>
      <c r="I24" s="199"/>
    </row>
    <row r="25" spans="1:9">
      <c r="A25" s="145" t="s">
        <v>644</v>
      </c>
      <c r="B25" s="393" t="s">
        <v>538</v>
      </c>
      <c r="C25" s="4" t="s">
        <v>791</v>
      </c>
      <c r="D25" s="212">
        <v>612000</v>
      </c>
      <c r="E25" s="285" t="s">
        <v>103</v>
      </c>
      <c r="F25" s="407"/>
      <c r="G25" s="388" t="s">
        <v>316</v>
      </c>
      <c r="H25" s="347">
        <f>VLOOKUP(A25,[1]Inventaire!$A$13:$C$267,3,FALSE)</f>
        <v>24</v>
      </c>
      <c r="I25" s="199"/>
    </row>
    <row r="26" spans="1:9">
      <c r="A26" s="145" t="s">
        <v>671</v>
      </c>
      <c r="B26" s="393" t="s">
        <v>538</v>
      </c>
      <c r="C26" s="4" t="s">
        <v>649</v>
      </c>
      <c r="D26" s="212">
        <v>1099000</v>
      </c>
      <c r="E26" s="285" t="s">
        <v>103</v>
      </c>
      <c r="F26" s="40"/>
      <c r="G26" s="388" t="s">
        <v>316</v>
      </c>
      <c r="H26" s="347">
        <f>VLOOKUP(A26,[1]Inventaire!$A$13:$C$267,3,FALSE)</f>
        <v>11</v>
      </c>
      <c r="I26" s="199"/>
    </row>
    <row r="27" spans="1:9">
      <c r="A27" s="145" t="s">
        <v>645</v>
      </c>
      <c r="B27" s="393" t="s">
        <v>538</v>
      </c>
      <c r="C27" s="4" t="s">
        <v>647</v>
      </c>
      <c r="D27" s="212">
        <v>1420000</v>
      </c>
      <c r="E27" s="285" t="s">
        <v>103</v>
      </c>
      <c r="F27" s="40"/>
      <c r="G27" s="388" t="s">
        <v>316</v>
      </c>
      <c r="H27" s="347">
        <f>VLOOKUP(A27,[1]Inventaire!$A$13:$C$267,3,FALSE)</f>
        <v>1</v>
      </c>
      <c r="I27" s="199"/>
    </row>
    <row r="28" spans="1:9">
      <c r="A28" s="145" t="s">
        <v>646</v>
      </c>
      <c r="B28" s="393" t="s">
        <v>538</v>
      </c>
      <c r="C28" s="4" t="s">
        <v>648</v>
      </c>
      <c r="D28" s="212">
        <v>1570000</v>
      </c>
      <c r="E28" s="285" t="s">
        <v>103</v>
      </c>
      <c r="F28" s="40"/>
      <c r="G28" s="388" t="s">
        <v>316</v>
      </c>
      <c r="H28" s="347">
        <f>VLOOKUP(A28,[1]Inventaire!$A$13:$C$267,3,FALSE)</f>
        <v>12</v>
      </c>
      <c r="I28" s="199"/>
    </row>
    <row r="29" spans="1:9" ht="6.6" customHeight="1" thickBot="1">
      <c r="A29" s="66" t="s">
        <v>157</v>
      </c>
      <c r="B29" s="122" t="s">
        <v>157</v>
      </c>
      <c r="C29" s="5"/>
      <c r="D29" s="122"/>
      <c r="E29" s="5"/>
      <c r="F29" s="131"/>
      <c r="G29" s="34"/>
      <c r="H29" s="347" t="e">
        <f>VLOOKUP(A29,[1]Inventaire!$A$13:$C$267,3,FALSE)</f>
        <v>#N/A</v>
      </c>
    </row>
    <row r="30" spans="1:9">
      <c r="A30" s="65" t="s">
        <v>157</v>
      </c>
      <c r="B30" s="123"/>
      <c r="C30" s="31" t="s">
        <v>90</v>
      </c>
      <c r="D30" s="123"/>
      <c r="E30" s="30"/>
      <c r="F30" s="62"/>
      <c r="G30" s="34"/>
      <c r="H30" s="347" t="e">
        <f>VLOOKUP(A30,[1]Inventaire!$A$13:$C$267,3,FALSE)</f>
        <v>#N/A</v>
      </c>
      <c r="I30" s="199"/>
    </row>
    <row r="31" spans="1:9">
      <c r="A31" s="4" t="s">
        <v>461</v>
      </c>
      <c r="B31" s="393" t="s">
        <v>83</v>
      </c>
      <c r="C31" s="4" t="s">
        <v>322</v>
      </c>
      <c r="D31" s="213">
        <v>85000</v>
      </c>
      <c r="E31" s="243" t="s">
        <v>103</v>
      </c>
      <c r="F31" s="40"/>
      <c r="G31" s="34"/>
      <c r="H31" s="347">
        <f>VLOOKUP(A31,[1]Inventaire!$A$13:$C$267,3,FALSE)</f>
        <v>10</v>
      </c>
      <c r="I31" s="199"/>
    </row>
    <row r="32" spans="1:9">
      <c r="A32" s="4" t="s">
        <v>384</v>
      </c>
      <c r="B32" s="393" t="s">
        <v>83</v>
      </c>
      <c r="C32" s="4" t="s">
        <v>322</v>
      </c>
      <c r="D32" s="213">
        <v>85000</v>
      </c>
      <c r="E32" s="243" t="s">
        <v>103</v>
      </c>
      <c r="F32" s="40"/>
      <c r="G32" s="34"/>
      <c r="H32" s="347">
        <f>VLOOKUP(A32,[1]Inventaire!$A$13:$C$267,3,FALSE)</f>
        <v>71</v>
      </c>
      <c r="I32" s="199"/>
    </row>
    <row r="33" spans="1:9">
      <c r="A33" s="4" t="s">
        <v>384</v>
      </c>
      <c r="B33" s="393" t="s">
        <v>83</v>
      </c>
      <c r="C33" s="4" t="s">
        <v>322</v>
      </c>
      <c r="D33" s="213">
        <v>85000</v>
      </c>
      <c r="E33" s="243" t="s">
        <v>103</v>
      </c>
      <c r="F33" s="40"/>
      <c r="G33" s="34"/>
      <c r="H33" s="347">
        <f>VLOOKUP(A33,[1]Inventaire!$A$13:$C$267,3,FALSE)</f>
        <v>71</v>
      </c>
      <c r="I33" s="199"/>
    </row>
    <row r="34" spans="1:9">
      <c r="A34" t="s">
        <v>850</v>
      </c>
      <c r="B34" s="393" t="s">
        <v>83</v>
      </c>
      <c r="C34" s="4" t="s">
        <v>851</v>
      </c>
      <c r="D34" s="401">
        <v>95000</v>
      </c>
      <c r="E34" s="130" t="s">
        <v>204</v>
      </c>
      <c r="F34" s="40"/>
      <c r="G34" s="34"/>
      <c r="H34" s="347" t="e">
        <f>VLOOKUP(A34,[1]Inventaire!$A$13:$C$267,3,FALSE)</f>
        <v>#N/A</v>
      </c>
      <c r="I34" s="199"/>
    </row>
    <row r="35" spans="1:9">
      <c r="A35" s="4" t="s">
        <v>532</v>
      </c>
      <c r="B35" s="393" t="s">
        <v>83</v>
      </c>
      <c r="C35" s="4" t="s">
        <v>786</v>
      </c>
      <c r="D35" s="355">
        <v>110000</v>
      </c>
      <c r="E35" s="130" t="s">
        <v>204</v>
      </c>
      <c r="F35" s="40"/>
      <c r="G35" s="34"/>
      <c r="H35" s="347" t="e">
        <f>VLOOKUP(A35,[1]Inventaire!$A$13:$C$267,3,FALSE)</f>
        <v>#N/A</v>
      </c>
      <c r="I35" s="199"/>
    </row>
    <row r="36" spans="1:9" ht="6.6" customHeight="1" thickBot="1">
      <c r="A36" s="66" t="s">
        <v>157</v>
      </c>
      <c r="B36" s="122" t="s">
        <v>157</v>
      </c>
      <c r="C36" s="5" t="s">
        <v>787</v>
      </c>
      <c r="D36" s="122"/>
      <c r="E36" s="5"/>
      <c r="F36" s="131"/>
      <c r="G36" s="34"/>
      <c r="H36" s="347" t="e">
        <f>VLOOKUP(A36,[1]Inventaire!$A$13:$C$267,3,FALSE)</f>
        <v>#N/A</v>
      </c>
      <c r="I36" s="199">
        <f>F36*1.15/0.9</f>
        <v>0</v>
      </c>
    </row>
    <row r="37" spans="1:9">
      <c r="A37" s="65" t="s">
        <v>157</v>
      </c>
      <c r="B37" s="123"/>
      <c r="C37" s="31" t="s">
        <v>84</v>
      </c>
      <c r="D37" s="123"/>
      <c r="E37" s="30"/>
      <c r="F37" s="62"/>
      <c r="G37" s="34"/>
      <c r="H37" s="347" t="e">
        <f>VLOOKUP(A37,[1]Inventaire!$A$13:$C$267,3,FALSE)</f>
        <v>#N/A</v>
      </c>
      <c r="I37" s="199"/>
    </row>
    <row r="38" spans="1:9">
      <c r="A38" s="4" t="s">
        <v>327</v>
      </c>
      <c r="B38" s="393" t="s">
        <v>328</v>
      </c>
      <c r="C38" s="4" t="s">
        <v>362</v>
      </c>
      <c r="D38" s="213">
        <v>13000</v>
      </c>
      <c r="E38" s="207" t="s">
        <v>103</v>
      </c>
      <c r="F38" s="40"/>
      <c r="G38" s="388" t="s">
        <v>316</v>
      </c>
      <c r="H38" s="347">
        <f>VLOOKUP(A38,[1]Inventaire!$A$13:$C$267,3,FALSE)</f>
        <v>20</v>
      </c>
      <c r="I38" s="199"/>
    </row>
    <row r="39" spans="1:9">
      <c r="A39" s="4" t="s">
        <v>378</v>
      </c>
      <c r="B39" s="393" t="s">
        <v>91</v>
      </c>
      <c r="C39" s="4" t="s">
        <v>379</v>
      </c>
      <c r="D39" s="213">
        <v>13000</v>
      </c>
      <c r="E39" s="129" t="s">
        <v>103</v>
      </c>
      <c r="F39" s="40"/>
      <c r="G39" s="388" t="s">
        <v>316</v>
      </c>
      <c r="H39" s="347">
        <f>VLOOKUP(A39,[1]Inventaire!$A$13:$C$267,3,FALSE)</f>
        <v>16</v>
      </c>
      <c r="I39" s="199"/>
    </row>
    <row r="40" spans="1:9">
      <c r="A40" s="4" t="s">
        <v>93</v>
      </c>
      <c r="B40" s="393" t="s">
        <v>91</v>
      </c>
      <c r="C40" s="4" t="s">
        <v>94</v>
      </c>
      <c r="D40" s="213">
        <v>15000</v>
      </c>
      <c r="E40" s="130" t="s">
        <v>204</v>
      </c>
      <c r="F40" s="40"/>
      <c r="G40" s="34"/>
      <c r="H40" s="347" t="e">
        <f>VLOOKUP(A40,[1]Inventaire!$A$13:$C$267,3,FALSE)</f>
        <v>#N/A</v>
      </c>
      <c r="I40" s="199"/>
    </row>
    <row r="41" spans="1:9" ht="6.6" customHeight="1">
      <c r="A41" s="66" t="s">
        <v>157</v>
      </c>
      <c r="B41" s="122"/>
      <c r="C41" s="5"/>
      <c r="D41" s="122"/>
      <c r="E41" s="5"/>
      <c r="F41" s="131"/>
      <c r="H41" s="347" t="e">
        <f>VLOOKUP(A41,[1]Inventaire!$A$13:$C$267,3,FALSE)</f>
        <v>#N/A</v>
      </c>
    </row>
  </sheetData>
  <autoFilter ref="A8:F41" xr:uid="{00000000-0009-0000-0000-000004000000}"/>
  <hyperlinks>
    <hyperlink ref="F8" location="'Pour Bon de Commande'!A1" display="BC" xr:uid="{00000000-0004-0000-0400-000001000000}"/>
    <hyperlink ref="C6" r:id="rId1" xr:uid="{00000000-0004-0000-0400-00000A000000}"/>
    <hyperlink ref="H7" location="Index!A1" display="Index" xr:uid="{00000000-0004-0000-0400-000000000000}"/>
  </hyperlinks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0.59999389629810485"/>
  </sheetPr>
  <dimension ref="A1:I111"/>
  <sheetViews>
    <sheetView zoomScale="112" zoomScaleNormal="112" workbookViewId="0">
      <pane ySplit="8" topLeftCell="A71" activePane="bottomLeft" state="frozen"/>
      <selection pane="bottomLeft" activeCell="G1" sqref="G1:G1048576"/>
    </sheetView>
  </sheetViews>
  <sheetFormatPr baseColWidth="10" defaultColWidth="8.85546875" defaultRowHeight="15"/>
  <cols>
    <col min="1" max="1" width="12.85546875" style="1" bestFit="1" customWidth="1"/>
    <col min="2" max="2" width="9.7109375" style="1" bestFit="1" customWidth="1"/>
    <col min="3" max="3" width="62.7109375" style="1" bestFit="1" customWidth="1"/>
    <col min="4" max="4" width="18.42578125" style="347" customWidth="1"/>
    <col min="5" max="5" width="16.42578125" style="46" customWidth="1"/>
    <col min="6" max="6" width="15.28515625" style="124" bestFit="1" customWidth="1"/>
    <col min="7" max="7" width="15.7109375" style="1" customWidth="1"/>
    <col min="8" max="8" width="8.85546875" style="1" customWidth="1"/>
    <col min="9" max="9" width="12" style="1" customWidth="1"/>
    <col min="10" max="14" width="8.85546875" style="15" customWidth="1"/>
    <col min="15" max="15" width="12.42578125" style="15" bestFit="1" customWidth="1"/>
    <col min="16" max="16" width="11.5703125" style="15" bestFit="1" customWidth="1"/>
    <col min="17" max="17" width="10.42578125" style="15" bestFit="1" customWidth="1"/>
    <col min="18" max="16384" width="8.85546875" style="15"/>
  </cols>
  <sheetData>
    <row r="1" spans="1:9">
      <c r="E1" s="120"/>
    </row>
    <row r="2" spans="1:9">
      <c r="E2" s="120"/>
    </row>
    <row r="3" spans="1:9">
      <c r="E3" s="120"/>
    </row>
    <row r="4" spans="1:9">
      <c r="E4" s="120"/>
    </row>
    <row r="5" spans="1:9">
      <c r="E5" s="120"/>
      <c r="I5" s="33" t="s">
        <v>96</v>
      </c>
    </row>
    <row r="6" spans="1:9" ht="15.75" thickBot="1">
      <c r="C6" s="287" t="s">
        <v>667</v>
      </c>
      <c r="D6" s="25" t="s">
        <v>26</v>
      </c>
      <c r="E6" s="25"/>
      <c r="F6" s="125" t="s">
        <v>132</v>
      </c>
      <c r="I6" s="33" t="s">
        <v>53</v>
      </c>
    </row>
    <row r="7" spans="1:9">
      <c r="A7" s="22"/>
      <c r="B7" s="23"/>
      <c r="C7" s="221" t="s">
        <v>85</v>
      </c>
      <c r="D7" s="121"/>
      <c r="E7" s="121"/>
      <c r="F7" s="126"/>
      <c r="H7" s="2" t="s">
        <v>1</v>
      </c>
      <c r="I7" s="33" t="s">
        <v>97</v>
      </c>
    </row>
    <row r="8" spans="1:9">
      <c r="A8" s="6" t="s">
        <v>14</v>
      </c>
      <c r="B8" s="6" t="s">
        <v>45</v>
      </c>
      <c r="C8" s="6" t="s">
        <v>13</v>
      </c>
      <c r="D8" s="27" t="s">
        <v>18</v>
      </c>
      <c r="E8" s="28" t="s">
        <v>102</v>
      </c>
      <c r="F8" s="127" t="s">
        <v>131</v>
      </c>
      <c r="G8" s="41" t="s">
        <v>6</v>
      </c>
    </row>
    <row r="9" spans="1:9" ht="6.6" customHeight="1" thickBot="1">
      <c r="A9" s="5"/>
      <c r="B9" s="5"/>
      <c r="C9" s="5"/>
      <c r="D9" s="122"/>
      <c r="E9" s="122"/>
      <c r="F9" s="128"/>
    </row>
    <row r="10" spans="1:9" ht="15.75" thickBot="1">
      <c r="A10" s="9"/>
      <c r="B10" s="30"/>
      <c r="C10" s="31" t="s">
        <v>55</v>
      </c>
      <c r="D10" s="123"/>
      <c r="E10" s="123"/>
      <c r="F10" s="188"/>
    </row>
    <row r="11" spans="1:9" ht="15.75" thickBot="1">
      <c r="A11" s="142" t="s">
        <v>19</v>
      </c>
      <c r="B11" s="143" t="s">
        <v>54</v>
      </c>
      <c r="C11" s="143" t="s">
        <v>141</v>
      </c>
      <c r="D11" s="367">
        <v>106400</v>
      </c>
      <c r="E11" s="262" t="s">
        <v>205</v>
      </c>
      <c r="F11" s="144"/>
      <c r="G11" s="33" t="s">
        <v>57</v>
      </c>
      <c r="I11" s="177"/>
    </row>
    <row r="12" spans="1:9" ht="15.75" thickBot="1">
      <c r="A12" s="179" t="s">
        <v>286</v>
      </c>
      <c r="B12" s="140" t="s">
        <v>54</v>
      </c>
      <c r="C12" s="140" t="s">
        <v>142</v>
      </c>
      <c r="D12" s="340">
        <v>0</v>
      </c>
      <c r="E12" s="247" t="s">
        <v>106</v>
      </c>
      <c r="F12" s="180"/>
      <c r="G12" s="33" t="s">
        <v>58</v>
      </c>
      <c r="I12" s="177"/>
    </row>
    <row r="13" spans="1:9">
      <c r="A13" s="142" t="s">
        <v>618</v>
      </c>
      <c r="B13" s="143" t="s">
        <v>54</v>
      </c>
      <c r="C13" s="143" t="s">
        <v>622</v>
      </c>
      <c r="D13" s="340">
        <v>0</v>
      </c>
      <c r="E13" s="247" t="s">
        <v>106</v>
      </c>
      <c r="F13" s="144"/>
      <c r="G13" s="33" t="s">
        <v>626</v>
      </c>
      <c r="I13" s="177"/>
    </row>
    <row r="14" spans="1:9">
      <c r="A14" s="145" t="s">
        <v>661</v>
      </c>
      <c r="B14" s="4" t="s">
        <v>54</v>
      </c>
      <c r="C14" s="4" t="s">
        <v>623</v>
      </c>
      <c r="D14" s="356">
        <v>209200</v>
      </c>
      <c r="E14" s="214" t="s">
        <v>205</v>
      </c>
      <c r="F14" s="146"/>
      <c r="G14" s="33" t="s">
        <v>626</v>
      </c>
      <c r="I14" s="177"/>
    </row>
    <row r="15" spans="1:9">
      <c r="A15" s="145" t="s">
        <v>619</v>
      </c>
      <c r="B15" s="4" t="s">
        <v>54</v>
      </c>
      <c r="C15" s="4" t="s">
        <v>624</v>
      </c>
      <c r="D15" s="356">
        <v>209200</v>
      </c>
      <c r="E15" s="214" t="s">
        <v>205</v>
      </c>
      <c r="F15" s="146"/>
      <c r="G15" s="33" t="s">
        <v>626</v>
      </c>
      <c r="I15" s="177"/>
    </row>
    <row r="16" spans="1:9" ht="15.75" thickBot="1">
      <c r="A16" s="147" t="s">
        <v>620</v>
      </c>
      <c r="B16" s="148" t="s">
        <v>54</v>
      </c>
      <c r="C16" s="148" t="s">
        <v>625</v>
      </c>
      <c r="D16" s="368">
        <v>209200</v>
      </c>
      <c r="E16" s="211" t="s">
        <v>205</v>
      </c>
      <c r="F16" s="149"/>
      <c r="G16" s="33" t="s">
        <v>626</v>
      </c>
      <c r="I16" s="177"/>
    </row>
    <row r="17" spans="1:9" ht="15.75" thickBot="1">
      <c r="A17" s="147" t="s">
        <v>306</v>
      </c>
      <c r="B17" s="148" t="s">
        <v>54</v>
      </c>
      <c r="C17" s="148" t="s">
        <v>143</v>
      </c>
      <c r="D17" s="368">
        <v>41100</v>
      </c>
      <c r="E17" s="211" t="s">
        <v>205</v>
      </c>
      <c r="F17" s="149"/>
      <c r="G17" s="33" t="s">
        <v>59</v>
      </c>
      <c r="I17" s="177"/>
    </row>
    <row r="18" spans="1:9" ht="15.75" thickBot="1">
      <c r="A18" s="197" t="s">
        <v>300</v>
      </c>
      <c r="B18" s="141" t="s">
        <v>54</v>
      </c>
      <c r="C18" s="141" t="s">
        <v>177</v>
      </c>
      <c r="D18" s="340">
        <v>0</v>
      </c>
      <c r="E18" s="247" t="s">
        <v>106</v>
      </c>
      <c r="F18" s="196"/>
      <c r="G18" s="33" t="s">
        <v>305</v>
      </c>
      <c r="I18" s="177"/>
    </row>
    <row r="19" spans="1:9" ht="15.75" thickBot="1">
      <c r="A19" s="145" t="s">
        <v>307</v>
      </c>
      <c r="B19" s="4" t="s">
        <v>54</v>
      </c>
      <c r="C19" s="4" t="s">
        <v>309</v>
      </c>
      <c r="D19" s="340">
        <v>0</v>
      </c>
      <c r="E19" s="247" t="s">
        <v>106</v>
      </c>
      <c r="F19" s="146"/>
      <c r="G19" s="33" t="s">
        <v>305</v>
      </c>
      <c r="I19" s="177"/>
    </row>
    <row r="20" spans="1:9" ht="15.75" thickBot="1">
      <c r="A20" s="145" t="s">
        <v>470</v>
      </c>
      <c r="B20" s="4" t="s">
        <v>54</v>
      </c>
      <c r="C20" s="4" t="s">
        <v>310</v>
      </c>
      <c r="D20" s="340">
        <v>0</v>
      </c>
      <c r="E20" s="247" t="s">
        <v>106</v>
      </c>
      <c r="F20" s="146"/>
      <c r="G20" s="33" t="s">
        <v>305</v>
      </c>
      <c r="I20" s="177"/>
    </row>
    <row r="21" spans="1:9" ht="15.75" thickBot="1">
      <c r="A21" s="147" t="s">
        <v>308</v>
      </c>
      <c r="B21" s="148" t="s">
        <v>54</v>
      </c>
      <c r="C21" s="148" t="s">
        <v>311</v>
      </c>
      <c r="D21" s="340">
        <v>0</v>
      </c>
      <c r="E21" s="247" t="s">
        <v>106</v>
      </c>
      <c r="F21" s="149"/>
      <c r="G21" s="33" t="s">
        <v>305</v>
      </c>
      <c r="I21" s="177"/>
    </row>
    <row r="22" spans="1:9">
      <c r="A22" s="142" t="s">
        <v>297</v>
      </c>
      <c r="B22" s="143" t="s">
        <v>54</v>
      </c>
      <c r="C22" s="143" t="s">
        <v>146</v>
      </c>
      <c r="D22" s="369">
        <v>0</v>
      </c>
      <c r="E22" s="247" t="s">
        <v>106</v>
      </c>
      <c r="F22" s="144"/>
      <c r="G22" s="33" t="s">
        <v>61</v>
      </c>
      <c r="I22" s="177"/>
    </row>
    <row r="23" spans="1:9" ht="15.75" thickBot="1">
      <c r="A23" s="145" t="s">
        <v>290</v>
      </c>
      <c r="B23" s="4" t="s">
        <v>54</v>
      </c>
      <c r="C23" s="4" t="s">
        <v>147</v>
      </c>
      <c r="D23" s="370">
        <v>0</v>
      </c>
      <c r="E23" s="246" t="s">
        <v>106</v>
      </c>
      <c r="F23" s="146"/>
      <c r="G23" s="33" t="s">
        <v>61</v>
      </c>
      <c r="I23" s="177"/>
    </row>
    <row r="24" spans="1:9" ht="15.75" thickBot="1">
      <c r="A24" s="145" t="s">
        <v>289</v>
      </c>
      <c r="B24" s="4" t="s">
        <v>54</v>
      </c>
      <c r="C24" s="4" t="s">
        <v>148</v>
      </c>
      <c r="D24" s="370">
        <v>0</v>
      </c>
      <c r="E24" s="246" t="s">
        <v>106</v>
      </c>
      <c r="F24" s="146"/>
      <c r="G24" s="33" t="s">
        <v>61</v>
      </c>
      <c r="I24" s="177"/>
    </row>
    <row r="25" spans="1:9" ht="15.75" thickBot="1">
      <c r="A25" s="147" t="s">
        <v>298</v>
      </c>
      <c r="B25" s="148" t="s">
        <v>54</v>
      </c>
      <c r="C25" s="148" t="s">
        <v>149</v>
      </c>
      <c r="D25" s="369">
        <v>0</v>
      </c>
      <c r="E25" s="247" t="s">
        <v>106</v>
      </c>
      <c r="F25" s="146"/>
      <c r="G25" s="33" t="s">
        <v>61</v>
      </c>
      <c r="I25" s="177"/>
    </row>
    <row r="26" spans="1:9">
      <c r="A26" s="142" t="s">
        <v>271</v>
      </c>
      <c r="B26" s="143" t="s">
        <v>54</v>
      </c>
      <c r="C26" s="143" t="s">
        <v>273</v>
      </c>
      <c r="D26" s="369">
        <v>0</v>
      </c>
      <c r="E26" s="247" t="s">
        <v>106</v>
      </c>
      <c r="F26" s="144"/>
      <c r="G26" s="33" t="s">
        <v>321</v>
      </c>
      <c r="I26" s="177"/>
    </row>
    <row r="27" spans="1:9" ht="15.75" thickBot="1">
      <c r="A27" s="147" t="s">
        <v>272</v>
      </c>
      <c r="B27" s="148" t="s">
        <v>54</v>
      </c>
      <c r="C27" s="148" t="s">
        <v>274</v>
      </c>
      <c r="D27" s="370">
        <v>0</v>
      </c>
      <c r="E27" s="246" t="s">
        <v>106</v>
      </c>
      <c r="F27" s="149"/>
      <c r="G27" s="33" t="s">
        <v>321</v>
      </c>
      <c r="I27" s="177"/>
    </row>
    <row r="28" spans="1:9" ht="15.75" thickBot="1">
      <c r="A28" s="185" t="s">
        <v>299</v>
      </c>
      <c r="B28" s="186" t="s">
        <v>54</v>
      </c>
      <c r="C28" s="186" t="s">
        <v>163</v>
      </c>
      <c r="D28" s="370">
        <v>0</v>
      </c>
      <c r="E28" s="246" t="s">
        <v>106</v>
      </c>
      <c r="F28" s="187"/>
      <c r="G28" s="33" t="s">
        <v>62</v>
      </c>
      <c r="I28" s="177"/>
    </row>
    <row r="29" spans="1:9" ht="15.75" thickBot="1">
      <c r="A29" s="240" t="s">
        <v>22</v>
      </c>
      <c r="B29" s="241" t="s">
        <v>54</v>
      </c>
      <c r="C29" s="241" t="s">
        <v>164</v>
      </c>
      <c r="D29" s="369">
        <v>0</v>
      </c>
      <c r="E29" s="247" t="s">
        <v>106</v>
      </c>
      <c r="F29" s="242"/>
      <c r="G29" s="33" t="s">
        <v>63</v>
      </c>
      <c r="I29" s="177"/>
    </row>
    <row r="30" spans="1:9" ht="15.75" thickBot="1">
      <c r="A30" s="142" t="s">
        <v>287</v>
      </c>
      <c r="B30" s="143" t="s">
        <v>54</v>
      </c>
      <c r="C30" s="143" t="s">
        <v>165</v>
      </c>
      <c r="D30" s="367">
        <v>83600</v>
      </c>
      <c r="E30" s="217" t="s">
        <v>205</v>
      </c>
      <c r="F30" s="144"/>
      <c r="G30" s="33" t="s">
        <v>64</v>
      </c>
      <c r="I30" s="177"/>
    </row>
    <row r="31" spans="1:9" ht="15.75" thickBot="1">
      <c r="A31" s="147" t="s">
        <v>668</v>
      </c>
      <c r="B31" s="148" t="s">
        <v>54</v>
      </c>
      <c r="C31" s="148" t="s">
        <v>166</v>
      </c>
      <c r="D31" s="369">
        <v>0</v>
      </c>
      <c r="E31" s="247" t="s">
        <v>106</v>
      </c>
      <c r="F31" s="149"/>
      <c r="G31" s="33" t="s">
        <v>65</v>
      </c>
      <c r="I31" s="177"/>
    </row>
    <row r="32" spans="1:9" ht="15.75" thickBot="1">
      <c r="A32" s="215" t="s">
        <v>288</v>
      </c>
      <c r="B32" s="216" t="s">
        <v>54</v>
      </c>
      <c r="C32" s="216" t="s">
        <v>167</v>
      </c>
      <c r="D32" s="372">
        <v>0</v>
      </c>
      <c r="E32" s="247" t="s">
        <v>106</v>
      </c>
      <c r="F32" s="248"/>
      <c r="G32" s="33" t="s">
        <v>66</v>
      </c>
      <c r="I32" s="177"/>
    </row>
    <row r="33" spans="1:9" ht="15.75" thickBot="1">
      <c r="A33" s="197" t="s">
        <v>291</v>
      </c>
      <c r="B33" s="141" t="s">
        <v>54</v>
      </c>
      <c r="C33" s="141" t="s">
        <v>168</v>
      </c>
      <c r="D33" s="373">
        <v>0</v>
      </c>
      <c r="E33" s="247" t="s">
        <v>106</v>
      </c>
      <c r="F33" s="196"/>
      <c r="G33" s="33" t="s">
        <v>67</v>
      </c>
      <c r="I33" s="177"/>
    </row>
    <row r="34" spans="1:9">
      <c r="A34" s="142" t="s">
        <v>292</v>
      </c>
      <c r="B34" s="143" t="s">
        <v>54</v>
      </c>
      <c r="C34" s="143" t="s">
        <v>169</v>
      </c>
      <c r="D34" s="371">
        <v>41900</v>
      </c>
      <c r="E34" s="217" t="s">
        <v>205</v>
      </c>
      <c r="F34" s="144"/>
      <c r="G34" s="33" t="s">
        <v>68</v>
      </c>
      <c r="I34" s="177"/>
    </row>
    <row r="35" spans="1:9">
      <c r="A35" s="145" t="s">
        <v>293</v>
      </c>
      <c r="B35" s="4" t="s">
        <v>54</v>
      </c>
      <c r="C35" s="4" t="s">
        <v>170</v>
      </c>
      <c r="D35" s="354">
        <v>44000</v>
      </c>
      <c r="E35" s="214" t="s">
        <v>205</v>
      </c>
      <c r="F35" s="146"/>
      <c r="G35" s="33" t="s">
        <v>68</v>
      </c>
      <c r="I35" s="177"/>
    </row>
    <row r="36" spans="1:9">
      <c r="A36" s="145" t="s">
        <v>294</v>
      </c>
      <c r="B36" s="4" t="s">
        <v>54</v>
      </c>
      <c r="C36" s="4" t="s">
        <v>171</v>
      </c>
      <c r="D36" s="354">
        <v>44000</v>
      </c>
      <c r="E36" s="214" t="s">
        <v>205</v>
      </c>
      <c r="F36" s="146"/>
      <c r="G36" s="33" t="s">
        <v>68</v>
      </c>
      <c r="I36" s="177"/>
    </row>
    <row r="37" spans="1:9" ht="15.75" thickBot="1">
      <c r="A37" s="179" t="s">
        <v>295</v>
      </c>
      <c r="B37" s="148" t="s">
        <v>54</v>
      </c>
      <c r="C37" s="148" t="s">
        <v>172</v>
      </c>
      <c r="D37" s="368">
        <v>44000</v>
      </c>
      <c r="E37" s="263" t="s">
        <v>205</v>
      </c>
      <c r="F37" s="149"/>
      <c r="G37" s="33" t="s">
        <v>68</v>
      </c>
      <c r="I37" s="177"/>
    </row>
    <row r="38" spans="1:9" ht="15.75" thickBot="1">
      <c r="A38" s="344" t="s">
        <v>756</v>
      </c>
      <c r="B38" s="341" t="s">
        <v>54</v>
      </c>
      <c r="C38" s="143" t="s">
        <v>173</v>
      </c>
      <c r="D38" s="368">
        <v>53000</v>
      </c>
      <c r="E38" s="263" t="s">
        <v>205</v>
      </c>
      <c r="F38" s="144"/>
      <c r="G38" s="33" t="s">
        <v>69</v>
      </c>
      <c r="I38" s="177"/>
    </row>
    <row r="39" spans="1:9" ht="15.75" thickBot="1">
      <c r="A39" s="345" t="s">
        <v>757</v>
      </c>
      <c r="B39" s="342" t="s">
        <v>54</v>
      </c>
      <c r="C39" s="4" t="s">
        <v>174</v>
      </c>
      <c r="D39" s="368">
        <v>62600</v>
      </c>
      <c r="E39" s="214" t="s">
        <v>205</v>
      </c>
      <c r="F39" s="146"/>
      <c r="G39" s="33" t="s">
        <v>69</v>
      </c>
      <c r="I39" s="177"/>
    </row>
    <row r="40" spans="1:9" ht="15.75" thickBot="1">
      <c r="A40" s="345" t="s">
        <v>758</v>
      </c>
      <c r="B40" s="342" t="s">
        <v>54</v>
      </c>
      <c r="C40" s="4" t="s">
        <v>175</v>
      </c>
      <c r="D40" s="368">
        <v>62600</v>
      </c>
      <c r="E40" s="214" t="s">
        <v>205</v>
      </c>
      <c r="F40" s="146"/>
      <c r="G40" s="33" t="s">
        <v>69</v>
      </c>
      <c r="I40" s="177"/>
    </row>
    <row r="41" spans="1:9" ht="15.75" thickBot="1">
      <c r="A41" s="346" t="s">
        <v>759</v>
      </c>
      <c r="B41" s="343" t="s">
        <v>54</v>
      </c>
      <c r="C41" s="148" t="s">
        <v>176</v>
      </c>
      <c r="D41" s="368">
        <v>62600</v>
      </c>
      <c r="E41" s="263" t="s">
        <v>205</v>
      </c>
      <c r="F41" s="149"/>
      <c r="G41" s="33" t="s">
        <v>69</v>
      </c>
      <c r="I41" s="177"/>
    </row>
    <row r="42" spans="1:9" ht="15.75" thickBot="1">
      <c r="A42" s="225" t="s">
        <v>760</v>
      </c>
      <c r="B42" s="226" t="s">
        <v>54</v>
      </c>
      <c r="C42" s="226" t="s">
        <v>178</v>
      </c>
      <c r="D42" s="369">
        <v>0</v>
      </c>
      <c r="E42" s="247" t="s">
        <v>106</v>
      </c>
      <c r="F42" s="227"/>
      <c r="G42" s="33" t="s">
        <v>70</v>
      </c>
      <c r="I42" s="177"/>
    </row>
    <row r="43" spans="1:9" ht="15.75" thickBot="1">
      <c r="A43" s="240" t="s">
        <v>301</v>
      </c>
      <c r="B43" s="241" t="s">
        <v>54</v>
      </c>
      <c r="C43" s="241" t="s">
        <v>179</v>
      </c>
      <c r="D43" s="371">
        <v>115500</v>
      </c>
      <c r="E43" s="298" t="s">
        <v>205</v>
      </c>
      <c r="F43" s="242"/>
      <c r="G43" s="33" t="s">
        <v>71</v>
      </c>
      <c r="I43" s="177"/>
    </row>
    <row r="44" spans="1:9" ht="15.75" thickBot="1">
      <c r="A44" s="142" t="s">
        <v>808</v>
      </c>
      <c r="B44" s="143" t="s">
        <v>54</v>
      </c>
      <c r="C44" s="143" t="s">
        <v>180</v>
      </c>
      <c r="D44" s="369">
        <v>0</v>
      </c>
      <c r="E44" s="247" t="s">
        <v>106</v>
      </c>
      <c r="F44" s="144"/>
      <c r="G44" s="33" t="s">
        <v>72</v>
      </c>
      <c r="I44" s="177"/>
    </row>
    <row r="45" spans="1:9" ht="15.75" thickBot="1">
      <c r="A45" s="303" t="s">
        <v>809</v>
      </c>
      <c r="B45" s="304" t="s">
        <v>54</v>
      </c>
      <c r="C45" s="304" t="s">
        <v>182</v>
      </c>
      <c r="D45" s="367">
        <v>50600</v>
      </c>
      <c r="E45" s="298" t="s">
        <v>205</v>
      </c>
      <c r="F45" s="146"/>
      <c r="G45" s="33" t="s">
        <v>72</v>
      </c>
      <c r="I45" s="177"/>
    </row>
    <row r="46" spans="1:9" ht="15.75" thickBot="1">
      <c r="A46" s="303" t="s">
        <v>810</v>
      </c>
      <c r="B46" s="304" t="s">
        <v>54</v>
      </c>
      <c r="C46" s="304" t="s">
        <v>181</v>
      </c>
      <c r="D46" s="367">
        <v>50600</v>
      </c>
      <c r="E46" s="298" t="s">
        <v>205</v>
      </c>
      <c r="F46" s="146"/>
      <c r="G46" s="33" t="s">
        <v>72</v>
      </c>
      <c r="I46" s="177"/>
    </row>
    <row r="47" spans="1:9" ht="15.75" thickBot="1">
      <c r="A47" s="305" t="s">
        <v>811</v>
      </c>
      <c r="B47" s="306" t="s">
        <v>54</v>
      </c>
      <c r="C47" s="306" t="s">
        <v>183</v>
      </c>
      <c r="D47" s="367">
        <v>50600</v>
      </c>
      <c r="E47" s="298" t="s">
        <v>205</v>
      </c>
      <c r="F47" s="149"/>
      <c r="G47" s="33" t="s">
        <v>72</v>
      </c>
      <c r="I47" s="177"/>
    </row>
    <row r="48" spans="1:9" ht="15.75" thickBot="1">
      <c r="A48" s="197" t="s">
        <v>663</v>
      </c>
      <c r="B48" s="141" t="s">
        <v>54</v>
      </c>
      <c r="C48" s="141" t="s">
        <v>203</v>
      </c>
      <c r="D48" s="376">
        <v>33600</v>
      </c>
      <c r="E48" s="263" t="s">
        <v>205</v>
      </c>
      <c r="F48" s="196"/>
      <c r="G48" s="33" t="s">
        <v>73</v>
      </c>
      <c r="I48" s="177"/>
    </row>
    <row r="49" spans="1:9" ht="15.75" thickBot="1">
      <c r="A49" s="145" t="s">
        <v>664</v>
      </c>
      <c r="B49" s="4" t="s">
        <v>54</v>
      </c>
      <c r="C49" s="4" t="s">
        <v>185</v>
      </c>
      <c r="D49" s="354">
        <v>36700</v>
      </c>
      <c r="E49" s="263" t="s">
        <v>205</v>
      </c>
      <c r="F49" s="146"/>
      <c r="G49" s="33" t="s">
        <v>73</v>
      </c>
      <c r="I49" s="177"/>
    </row>
    <row r="50" spans="1:9" ht="15.75" thickBot="1">
      <c r="A50" s="145" t="s">
        <v>665</v>
      </c>
      <c r="B50" s="4" t="s">
        <v>54</v>
      </c>
      <c r="C50" s="4" t="s">
        <v>186</v>
      </c>
      <c r="D50" s="354">
        <v>36700</v>
      </c>
      <c r="E50" s="263" t="s">
        <v>205</v>
      </c>
      <c r="F50" s="146"/>
      <c r="G50" s="33" t="s">
        <v>73</v>
      </c>
      <c r="I50" s="177"/>
    </row>
    <row r="51" spans="1:9" ht="15.75" thickBot="1">
      <c r="A51" s="147" t="s">
        <v>666</v>
      </c>
      <c r="B51" s="148" t="s">
        <v>54</v>
      </c>
      <c r="C51" s="148" t="s">
        <v>184</v>
      </c>
      <c r="D51" s="354">
        <v>36700</v>
      </c>
      <c r="E51" s="263" t="s">
        <v>205</v>
      </c>
      <c r="F51" s="149"/>
      <c r="G51" s="33" t="s">
        <v>73</v>
      </c>
      <c r="I51" s="177"/>
    </row>
    <row r="52" spans="1:9" ht="15.75" thickBot="1">
      <c r="A52" s="142" t="s">
        <v>669</v>
      </c>
      <c r="B52" s="143" t="s">
        <v>54</v>
      </c>
      <c r="C52" s="143" t="s">
        <v>187</v>
      </c>
      <c r="D52" s="369">
        <v>0</v>
      </c>
      <c r="E52" s="247" t="s">
        <v>106</v>
      </c>
      <c r="F52" s="144"/>
      <c r="G52" s="33" t="s">
        <v>116</v>
      </c>
      <c r="I52" s="177"/>
    </row>
    <row r="53" spans="1:9">
      <c r="A53" s="145" t="s">
        <v>354</v>
      </c>
      <c r="B53" s="4" t="s">
        <v>54</v>
      </c>
      <c r="C53" s="4" t="s">
        <v>188</v>
      </c>
      <c r="D53" s="369">
        <v>0</v>
      </c>
      <c r="E53" s="247" t="s">
        <v>106</v>
      </c>
      <c r="F53" s="146"/>
      <c r="G53" s="33" t="s">
        <v>117</v>
      </c>
      <c r="I53" s="177"/>
    </row>
    <row r="54" spans="1:9" ht="15.75" thickBot="1">
      <c r="A54" s="145" t="s">
        <v>118</v>
      </c>
      <c r="B54" s="4" t="s">
        <v>54</v>
      </c>
      <c r="C54" s="4" t="s">
        <v>189</v>
      </c>
      <c r="D54" s="356">
        <v>133900</v>
      </c>
      <c r="E54" s="296" t="s">
        <v>205</v>
      </c>
      <c r="F54" s="146"/>
      <c r="G54" s="33" t="s">
        <v>119</v>
      </c>
      <c r="I54" s="177"/>
    </row>
    <row r="55" spans="1:9" ht="15.75" thickBot="1">
      <c r="A55" s="147" t="s">
        <v>806</v>
      </c>
      <c r="B55" s="148" t="s">
        <v>54</v>
      </c>
      <c r="C55" s="148" t="s">
        <v>190</v>
      </c>
      <c r="D55" s="369">
        <v>0</v>
      </c>
      <c r="E55" s="247" t="s">
        <v>106</v>
      </c>
      <c r="F55" s="149"/>
      <c r="G55" s="33" t="s">
        <v>120</v>
      </c>
      <c r="I55" s="177"/>
    </row>
    <row r="56" spans="1:9">
      <c r="A56" s="334" t="s">
        <v>761</v>
      </c>
      <c r="B56" s="143" t="s">
        <v>54</v>
      </c>
      <c r="C56" s="143" t="s">
        <v>191</v>
      </c>
      <c r="D56" s="374">
        <v>35500</v>
      </c>
      <c r="E56" s="217" t="s">
        <v>205</v>
      </c>
      <c r="F56" s="144"/>
      <c r="G56" s="33" t="s">
        <v>121</v>
      </c>
      <c r="I56" s="177"/>
    </row>
    <row r="57" spans="1:9">
      <c r="A57" s="145" t="s">
        <v>777</v>
      </c>
      <c r="B57" s="4" t="s">
        <v>54</v>
      </c>
      <c r="C57" s="4" t="s">
        <v>192</v>
      </c>
      <c r="D57" s="354">
        <v>39000</v>
      </c>
      <c r="E57" s="214" t="s">
        <v>205</v>
      </c>
      <c r="F57" s="146"/>
      <c r="G57" s="33" t="s">
        <v>121</v>
      </c>
      <c r="I57" s="177"/>
    </row>
    <row r="58" spans="1:9">
      <c r="A58" s="334" t="s">
        <v>762</v>
      </c>
      <c r="B58" s="4" t="s">
        <v>54</v>
      </c>
      <c r="C58" s="4" t="s">
        <v>193</v>
      </c>
      <c r="D58" s="354">
        <v>39000</v>
      </c>
      <c r="E58" s="214" t="s">
        <v>205</v>
      </c>
      <c r="F58" s="146"/>
      <c r="G58" s="33" t="s">
        <v>121</v>
      </c>
      <c r="I58" s="177"/>
    </row>
    <row r="59" spans="1:9" ht="15.75" thickBot="1">
      <c r="A59" s="334" t="s">
        <v>763</v>
      </c>
      <c r="B59" s="140" t="s">
        <v>54</v>
      </c>
      <c r="C59" s="140" t="s">
        <v>194</v>
      </c>
      <c r="D59" s="375">
        <v>39000</v>
      </c>
      <c r="E59" s="214" t="s">
        <v>205</v>
      </c>
      <c r="F59" s="180"/>
      <c r="G59" s="33" t="s">
        <v>121</v>
      </c>
      <c r="I59" s="177"/>
    </row>
    <row r="60" spans="1:9">
      <c r="A60" s="142" t="s">
        <v>764</v>
      </c>
      <c r="B60" s="143" t="s">
        <v>54</v>
      </c>
      <c r="C60" s="143" t="s">
        <v>195</v>
      </c>
      <c r="D60" s="340">
        <v>0</v>
      </c>
      <c r="E60" s="247" t="s">
        <v>106</v>
      </c>
      <c r="F60" s="144"/>
      <c r="G60" s="33" t="s">
        <v>122</v>
      </c>
      <c r="I60" s="177"/>
    </row>
    <row r="61" spans="1:9">
      <c r="A61" s="145" t="s">
        <v>304</v>
      </c>
      <c r="B61" s="4" t="s">
        <v>54</v>
      </c>
      <c r="C61" s="4" t="s">
        <v>196</v>
      </c>
      <c r="D61" s="354">
        <v>53700</v>
      </c>
      <c r="E61" s="214" t="s">
        <v>205</v>
      </c>
      <c r="F61" s="146"/>
      <c r="G61" s="33" t="s">
        <v>122</v>
      </c>
      <c r="I61" s="177"/>
    </row>
    <row r="62" spans="1:9">
      <c r="A62" s="145" t="s">
        <v>302</v>
      </c>
      <c r="B62" s="4" t="s">
        <v>54</v>
      </c>
      <c r="C62" s="4" t="s">
        <v>197</v>
      </c>
      <c r="D62" s="354">
        <v>53700</v>
      </c>
      <c r="E62" s="214" t="s">
        <v>205</v>
      </c>
      <c r="F62" s="146"/>
      <c r="G62" s="33" t="s">
        <v>122</v>
      </c>
      <c r="I62" s="177"/>
    </row>
    <row r="63" spans="1:9" ht="15.75" thickBot="1">
      <c r="A63" s="147" t="s">
        <v>296</v>
      </c>
      <c r="B63" s="148" t="s">
        <v>54</v>
      </c>
      <c r="C63" s="148" t="s">
        <v>198</v>
      </c>
      <c r="D63" s="368">
        <v>53700</v>
      </c>
      <c r="E63" s="263" t="s">
        <v>205</v>
      </c>
      <c r="F63" s="149"/>
      <c r="G63" s="33" t="s">
        <v>122</v>
      </c>
      <c r="I63" s="177"/>
    </row>
    <row r="64" spans="1:9" ht="15.75" thickBot="1">
      <c r="A64" s="197" t="s">
        <v>275</v>
      </c>
      <c r="B64" s="141" t="s">
        <v>54</v>
      </c>
      <c r="C64" s="141" t="s">
        <v>277</v>
      </c>
      <c r="D64" s="369">
        <v>0</v>
      </c>
      <c r="E64" s="247" t="s">
        <v>106</v>
      </c>
      <c r="F64" s="196"/>
      <c r="G64" s="33" t="s">
        <v>60</v>
      </c>
      <c r="I64" s="177"/>
    </row>
    <row r="65" spans="1:9" ht="15.75" thickBot="1">
      <c r="A65" s="145" t="s">
        <v>276</v>
      </c>
      <c r="B65" s="4" t="s">
        <v>54</v>
      </c>
      <c r="C65" s="4" t="s">
        <v>278</v>
      </c>
      <c r="D65" s="369">
        <v>0</v>
      </c>
      <c r="E65" s="247" t="s">
        <v>106</v>
      </c>
      <c r="F65" s="146"/>
      <c r="G65" s="33" t="s">
        <v>60</v>
      </c>
      <c r="I65" s="177"/>
    </row>
    <row r="66" spans="1:9" ht="15.75" thickBot="1">
      <c r="A66" s="145" t="s">
        <v>20</v>
      </c>
      <c r="B66" s="4" t="s">
        <v>54</v>
      </c>
      <c r="C66" s="4" t="s">
        <v>144</v>
      </c>
      <c r="D66" s="369">
        <v>0</v>
      </c>
      <c r="E66" s="247" t="s">
        <v>106</v>
      </c>
      <c r="F66" s="146"/>
      <c r="G66" s="33" t="s">
        <v>60</v>
      </c>
      <c r="I66" s="177"/>
    </row>
    <row r="67" spans="1:9" ht="15.75" thickBot="1">
      <c r="A67" s="147" t="s">
        <v>21</v>
      </c>
      <c r="B67" s="148" t="s">
        <v>54</v>
      </c>
      <c r="C67" s="148" t="s">
        <v>145</v>
      </c>
      <c r="D67" s="369">
        <v>0</v>
      </c>
      <c r="E67" s="247" t="s">
        <v>106</v>
      </c>
      <c r="F67" s="149"/>
      <c r="G67" s="33" t="s">
        <v>60</v>
      </c>
      <c r="I67" s="177"/>
    </row>
    <row r="68" spans="1:9" ht="15.75" thickBot="1">
      <c r="A68" s="197" t="s">
        <v>766</v>
      </c>
      <c r="B68" s="141" t="s">
        <v>54</v>
      </c>
      <c r="C68" s="141" t="s">
        <v>199</v>
      </c>
      <c r="D68" s="368">
        <v>59900</v>
      </c>
      <c r="E68" s="263" t="s">
        <v>205</v>
      </c>
      <c r="F68" s="196"/>
      <c r="G68" s="33" t="s">
        <v>123</v>
      </c>
      <c r="I68" s="177"/>
    </row>
    <row r="69" spans="1:9" ht="15.75" thickBot="1">
      <c r="A69" s="145" t="s">
        <v>659</v>
      </c>
      <c r="B69" s="4" t="s">
        <v>54</v>
      </c>
      <c r="C69" s="4" t="s">
        <v>200</v>
      </c>
      <c r="D69" s="354">
        <v>76700</v>
      </c>
      <c r="E69" s="214" t="s">
        <v>205</v>
      </c>
      <c r="F69" s="146"/>
      <c r="G69" s="33" t="s">
        <v>123</v>
      </c>
      <c r="I69" s="177"/>
    </row>
    <row r="70" spans="1:9">
      <c r="A70" s="145" t="s">
        <v>767</v>
      </c>
      <c r="B70" s="4" t="s">
        <v>54</v>
      </c>
      <c r="C70" s="4" t="s">
        <v>201</v>
      </c>
      <c r="D70" s="369">
        <v>0</v>
      </c>
      <c r="E70" s="247" t="s">
        <v>106</v>
      </c>
      <c r="F70" s="146"/>
      <c r="G70" s="33" t="s">
        <v>123</v>
      </c>
      <c r="I70" s="177"/>
    </row>
    <row r="71" spans="1:9" ht="15.75" thickBot="1">
      <c r="A71" s="179" t="s">
        <v>765</v>
      </c>
      <c r="B71" s="140" t="s">
        <v>54</v>
      </c>
      <c r="C71" s="140" t="s">
        <v>202</v>
      </c>
      <c r="D71" s="354">
        <v>76700</v>
      </c>
      <c r="E71" s="214" t="s">
        <v>205</v>
      </c>
      <c r="F71" s="180"/>
      <c r="G71" s="33" t="s">
        <v>123</v>
      </c>
      <c r="I71" s="177"/>
    </row>
    <row r="72" spans="1:9">
      <c r="A72" s="142" t="s">
        <v>357</v>
      </c>
      <c r="B72" s="143" t="s">
        <v>54</v>
      </c>
      <c r="C72" s="143" t="s">
        <v>358</v>
      </c>
      <c r="D72" s="367">
        <v>30400</v>
      </c>
      <c r="E72" s="214" t="s">
        <v>205</v>
      </c>
      <c r="F72" s="144"/>
      <c r="G72" s="33" t="s">
        <v>627</v>
      </c>
      <c r="I72" s="177"/>
    </row>
    <row r="73" spans="1:9" ht="15.75" thickBot="1">
      <c r="A73" s="145" t="s">
        <v>768</v>
      </c>
      <c r="B73" s="4" t="s">
        <v>54</v>
      </c>
      <c r="C73" s="4" t="s">
        <v>359</v>
      </c>
      <c r="D73" s="354">
        <v>34100</v>
      </c>
      <c r="E73" s="214" t="s">
        <v>205</v>
      </c>
      <c r="F73" s="146"/>
      <c r="G73" s="33" t="s">
        <v>627</v>
      </c>
      <c r="I73" s="177"/>
    </row>
    <row r="74" spans="1:9" ht="15.75" thickBot="1">
      <c r="A74" s="145" t="s">
        <v>812</v>
      </c>
      <c r="B74" s="4" t="s">
        <v>54</v>
      </c>
      <c r="C74" s="4" t="s">
        <v>360</v>
      </c>
      <c r="D74" s="354">
        <v>34100</v>
      </c>
      <c r="E74" s="217" t="s">
        <v>205</v>
      </c>
      <c r="F74" s="146"/>
      <c r="G74" s="33" t="s">
        <v>627</v>
      </c>
      <c r="I74" s="177"/>
    </row>
    <row r="75" spans="1:9" ht="15.75" thickBot="1">
      <c r="A75" s="147" t="s">
        <v>769</v>
      </c>
      <c r="B75" s="148" t="s">
        <v>54</v>
      </c>
      <c r="C75" s="148" t="s">
        <v>361</v>
      </c>
      <c r="D75" s="354">
        <v>34100</v>
      </c>
      <c r="E75" s="217" t="s">
        <v>205</v>
      </c>
      <c r="F75" s="149"/>
      <c r="G75" s="33" t="s">
        <v>627</v>
      </c>
      <c r="I75" s="177"/>
    </row>
    <row r="76" spans="1:9">
      <c r="A76" s="240" t="s">
        <v>211</v>
      </c>
      <c r="B76" s="241" t="s">
        <v>54</v>
      </c>
      <c r="C76" s="241" t="s">
        <v>212</v>
      </c>
      <c r="D76" s="377">
        <v>0</v>
      </c>
      <c r="E76" s="297" t="s">
        <v>106</v>
      </c>
      <c r="F76" s="242"/>
      <c r="G76" s="33" t="s">
        <v>628</v>
      </c>
      <c r="I76" s="177"/>
    </row>
    <row r="77" spans="1:9" ht="15.75" thickBot="1">
      <c r="A77" s="4" t="s">
        <v>662</v>
      </c>
      <c r="B77" s="4" t="s">
        <v>54</v>
      </c>
      <c r="C77" s="4" t="s">
        <v>657</v>
      </c>
      <c r="D77" s="354">
        <v>32800</v>
      </c>
      <c r="E77" s="214" t="s">
        <v>205</v>
      </c>
      <c r="F77" s="218"/>
      <c r="G77" s="33" t="s">
        <v>658</v>
      </c>
      <c r="I77" s="177"/>
    </row>
    <row r="78" spans="1:9" ht="15.75" thickBot="1">
      <c r="A78" s="4" t="s">
        <v>807</v>
      </c>
      <c r="B78" s="4" t="s">
        <v>54</v>
      </c>
      <c r="C78" s="4" t="s">
        <v>621</v>
      </c>
      <c r="D78" s="377">
        <v>0</v>
      </c>
      <c r="E78" s="297" t="s">
        <v>106</v>
      </c>
      <c r="F78" s="218"/>
      <c r="G78" s="33" t="s">
        <v>629</v>
      </c>
      <c r="I78" s="177"/>
    </row>
    <row r="79" spans="1:9">
      <c r="A79" s="4" t="s">
        <v>234</v>
      </c>
      <c r="B79" s="4" t="s">
        <v>54</v>
      </c>
      <c r="C79" s="4" t="s">
        <v>280</v>
      </c>
      <c r="D79" s="377">
        <v>0</v>
      </c>
      <c r="E79" s="297" t="s">
        <v>106</v>
      </c>
      <c r="F79" s="218"/>
      <c r="G79" s="33" t="s">
        <v>630</v>
      </c>
      <c r="I79" s="177"/>
    </row>
    <row r="80" spans="1:9" ht="15.75" thickBot="1">
      <c r="A80" s="4" t="s">
        <v>685</v>
      </c>
      <c r="B80" s="4" t="s">
        <v>54</v>
      </c>
      <c r="C80" s="4" t="s">
        <v>686</v>
      </c>
      <c r="D80" s="378">
        <v>130000</v>
      </c>
      <c r="E80" s="214" t="s">
        <v>205</v>
      </c>
      <c r="F80" s="218"/>
      <c r="G80" s="33"/>
      <c r="I80" s="177"/>
    </row>
    <row r="81" spans="1:9" ht="15.75" thickBot="1">
      <c r="A81" s="4" t="s">
        <v>687</v>
      </c>
      <c r="B81" s="4" t="s">
        <v>54</v>
      </c>
      <c r="C81" s="4" t="s">
        <v>688</v>
      </c>
      <c r="D81" s="378">
        <v>130000</v>
      </c>
      <c r="E81" s="214" t="s">
        <v>205</v>
      </c>
      <c r="F81" s="218"/>
      <c r="G81" s="33"/>
      <c r="I81" s="177"/>
    </row>
    <row r="82" spans="1:9" ht="15.75" thickBot="1">
      <c r="A82" s="4" t="s">
        <v>689</v>
      </c>
      <c r="B82" s="4" t="s">
        <v>54</v>
      </c>
      <c r="C82" s="4" t="s">
        <v>690</v>
      </c>
      <c r="D82" s="378">
        <v>130000</v>
      </c>
      <c r="E82" s="214" t="s">
        <v>205</v>
      </c>
      <c r="F82" s="218"/>
      <c r="G82" s="33"/>
      <c r="I82" s="177"/>
    </row>
    <row r="83" spans="1:9" ht="15.75" thickBot="1">
      <c r="A83" s="140" t="s">
        <v>691</v>
      </c>
      <c r="B83" s="140" t="s">
        <v>54</v>
      </c>
      <c r="C83" s="140" t="s">
        <v>692</v>
      </c>
      <c r="D83" s="379">
        <v>90000</v>
      </c>
      <c r="E83" s="269" t="s">
        <v>205</v>
      </c>
      <c r="F83" s="324"/>
      <c r="G83" s="33"/>
      <c r="I83" s="177"/>
    </row>
    <row r="84" spans="1:9" ht="15.75" thickBot="1">
      <c r="A84" s="326" t="s">
        <v>715</v>
      </c>
      <c r="B84" s="327" t="s">
        <v>54</v>
      </c>
      <c r="C84" s="328" t="s">
        <v>719</v>
      </c>
      <c r="D84" s="380">
        <v>57500</v>
      </c>
      <c r="E84" s="269" t="s">
        <v>205</v>
      </c>
      <c r="F84" s="144"/>
      <c r="G84" s="33"/>
      <c r="I84" s="177"/>
    </row>
    <row r="85" spans="1:9" ht="15.75" thickBot="1">
      <c r="A85" s="329" t="s">
        <v>716</v>
      </c>
      <c r="B85" s="323" t="s">
        <v>54</v>
      </c>
      <c r="C85" s="322" t="s">
        <v>720</v>
      </c>
      <c r="D85" s="378">
        <v>69900</v>
      </c>
      <c r="E85" s="269" t="s">
        <v>205</v>
      </c>
      <c r="F85" s="146"/>
      <c r="G85" s="33"/>
      <c r="I85" s="177"/>
    </row>
    <row r="86" spans="1:9" ht="15.75" thickBot="1">
      <c r="A86" s="329" t="s">
        <v>717</v>
      </c>
      <c r="B86" s="323" t="s">
        <v>54</v>
      </c>
      <c r="C86" s="322" t="s">
        <v>721</v>
      </c>
      <c r="D86" s="378">
        <v>69900</v>
      </c>
      <c r="E86" s="269" t="s">
        <v>205</v>
      </c>
      <c r="F86" s="146"/>
      <c r="G86" s="33"/>
      <c r="I86" s="177"/>
    </row>
    <row r="87" spans="1:9" ht="15.75" thickBot="1">
      <c r="A87" s="330" t="s">
        <v>718</v>
      </c>
      <c r="B87" s="331" t="s">
        <v>54</v>
      </c>
      <c r="C87" s="332" t="s">
        <v>722</v>
      </c>
      <c r="D87" s="378">
        <v>69900</v>
      </c>
      <c r="E87" s="269" t="s">
        <v>205</v>
      </c>
      <c r="F87" s="149"/>
      <c r="G87" s="33"/>
      <c r="I87" s="177"/>
    </row>
    <row r="88" spans="1:9" ht="15.75" thickBot="1">
      <c r="A88" s="334" t="s">
        <v>770</v>
      </c>
      <c r="B88" s="141" t="s">
        <v>54</v>
      </c>
      <c r="C88" s="141" t="s">
        <v>281</v>
      </c>
      <c r="D88" s="381">
        <v>130000</v>
      </c>
      <c r="E88" s="269" t="s">
        <v>205</v>
      </c>
      <c r="F88" s="325"/>
      <c r="G88" s="33" t="s">
        <v>631</v>
      </c>
      <c r="I88" s="177"/>
    </row>
    <row r="89" spans="1:9" ht="6.6" customHeight="1">
      <c r="A89" s="182" t="s">
        <v>157</v>
      </c>
      <c r="B89" s="183"/>
      <c r="C89" s="183"/>
      <c r="D89" s="184"/>
      <c r="E89" s="184"/>
      <c r="F89" s="184"/>
      <c r="I89" s="177"/>
    </row>
    <row r="90" spans="1:9">
      <c r="A90" s="189" t="s">
        <v>157</v>
      </c>
      <c r="B90" s="190"/>
      <c r="C90" s="191" t="s">
        <v>115</v>
      </c>
      <c r="D90" s="191"/>
      <c r="E90" s="191"/>
      <c r="F90" s="191"/>
      <c r="I90" s="177"/>
    </row>
    <row r="91" spans="1:9">
      <c r="A91" s="145" t="s">
        <v>380</v>
      </c>
      <c r="B91" s="4" t="s">
        <v>115</v>
      </c>
      <c r="C91" s="4" t="s">
        <v>150</v>
      </c>
      <c r="D91" s="375">
        <v>9600</v>
      </c>
      <c r="E91" s="269" t="s">
        <v>205</v>
      </c>
      <c r="F91" s="146"/>
      <c r="G91" s="33" t="s">
        <v>74</v>
      </c>
      <c r="I91" s="177"/>
    </row>
    <row r="92" spans="1:9" ht="15.75" thickBot="1">
      <c r="A92" s="179" t="s">
        <v>431</v>
      </c>
      <c r="B92" s="140" t="s">
        <v>115</v>
      </c>
      <c r="C92" s="140" t="s">
        <v>151</v>
      </c>
      <c r="D92" s="375">
        <v>8500</v>
      </c>
      <c r="E92" s="269" t="s">
        <v>205</v>
      </c>
      <c r="F92" s="180"/>
      <c r="G92" s="33" t="s">
        <v>74</v>
      </c>
      <c r="I92" s="177"/>
    </row>
    <row r="93" spans="1:9" ht="15.75" thickBot="1">
      <c r="A93" s="142" t="s">
        <v>440</v>
      </c>
      <c r="B93" s="143" t="s">
        <v>115</v>
      </c>
      <c r="C93" s="237" t="s">
        <v>439</v>
      </c>
      <c r="D93" s="382">
        <v>0</v>
      </c>
      <c r="E93" s="299" t="s">
        <v>106</v>
      </c>
      <c r="F93" s="238"/>
      <c r="G93" s="33" t="s">
        <v>632</v>
      </c>
      <c r="I93" s="177"/>
    </row>
    <row r="94" spans="1:9" ht="15.75" thickBot="1">
      <c r="A94" s="145" t="s">
        <v>441</v>
      </c>
      <c r="B94" s="4" t="s">
        <v>115</v>
      </c>
      <c r="C94" s="4" t="s">
        <v>436</v>
      </c>
      <c r="D94" s="382">
        <v>0</v>
      </c>
      <c r="E94" s="299" t="s">
        <v>106</v>
      </c>
      <c r="F94" s="239"/>
      <c r="G94" s="33" t="s">
        <v>632</v>
      </c>
      <c r="I94" s="177"/>
    </row>
    <row r="95" spans="1:9" ht="15.75" thickBot="1">
      <c r="A95" s="145" t="s">
        <v>442</v>
      </c>
      <c r="B95" s="4" t="s">
        <v>115</v>
      </c>
      <c r="C95" s="4" t="s">
        <v>437</v>
      </c>
      <c r="D95" s="382">
        <v>0</v>
      </c>
      <c r="E95" s="299" t="s">
        <v>106</v>
      </c>
      <c r="F95" s="239"/>
      <c r="G95" s="33" t="s">
        <v>632</v>
      </c>
      <c r="I95" s="177"/>
    </row>
    <row r="96" spans="1:9" ht="15.75" thickBot="1">
      <c r="A96" s="179" t="s">
        <v>443</v>
      </c>
      <c r="B96" s="140" t="s">
        <v>115</v>
      </c>
      <c r="C96" s="140" t="s">
        <v>438</v>
      </c>
      <c r="D96" s="382">
        <v>0</v>
      </c>
      <c r="E96" s="299" t="s">
        <v>106</v>
      </c>
      <c r="F96" s="255"/>
      <c r="G96" s="33" t="s">
        <v>632</v>
      </c>
      <c r="I96" s="177"/>
    </row>
    <row r="97" spans="1:9" ht="15.75" thickBot="1">
      <c r="A97" s="142" t="s">
        <v>410</v>
      </c>
      <c r="B97" s="143" t="s">
        <v>115</v>
      </c>
      <c r="C97" s="143" t="s">
        <v>381</v>
      </c>
      <c r="D97" s="382">
        <v>0</v>
      </c>
      <c r="E97" s="299" t="s">
        <v>106</v>
      </c>
      <c r="F97" s="144"/>
      <c r="G97" s="33" t="s">
        <v>633</v>
      </c>
      <c r="I97" s="177"/>
    </row>
    <row r="98" spans="1:9" ht="15.75" thickBot="1">
      <c r="A98" s="147" t="s">
        <v>382</v>
      </c>
      <c r="B98" s="148" t="s">
        <v>115</v>
      </c>
      <c r="C98" s="148" t="s">
        <v>383</v>
      </c>
      <c r="D98" s="383">
        <v>0</v>
      </c>
      <c r="E98" s="336" t="s">
        <v>106</v>
      </c>
      <c r="F98" s="149"/>
      <c r="G98" s="33" t="s">
        <v>634</v>
      </c>
      <c r="I98" s="177"/>
    </row>
    <row r="99" spans="1:9">
      <c r="A99" s="142" t="s">
        <v>279</v>
      </c>
      <c r="B99" s="143" t="s">
        <v>115</v>
      </c>
      <c r="C99" s="143" t="s">
        <v>152</v>
      </c>
      <c r="D99" s="369">
        <v>0</v>
      </c>
      <c r="E99" s="299" t="s">
        <v>106</v>
      </c>
      <c r="F99" s="144"/>
      <c r="G99" s="33" t="s">
        <v>635</v>
      </c>
      <c r="I99" s="177"/>
    </row>
    <row r="100" spans="1:9" ht="15.75" thickBot="1">
      <c r="A100" s="147" t="s">
        <v>282</v>
      </c>
      <c r="B100" s="148" t="s">
        <v>115</v>
      </c>
      <c r="C100" s="148" t="s">
        <v>283</v>
      </c>
      <c r="D100" s="368">
        <v>11300</v>
      </c>
      <c r="E100" s="263" t="s">
        <v>205</v>
      </c>
      <c r="F100" s="149"/>
      <c r="G100" s="33" t="s">
        <v>635</v>
      </c>
      <c r="I100" s="177"/>
    </row>
    <row r="101" spans="1:9" ht="15.75" thickBot="1">
      <c r="A101" s="142" t="s">
        <v>17</v>
      </c>
      <c r="B101" s="143" t="s">
        <v>115</v>
      </c>
      <c r="C101" s="143" t="s">
        <v>15</v>
      </c>
      <c r="D101" s="367">
        <v>10500</v>
      </c>
      <c r="E101" s="217" t="s">
        <v>205</v>
      </c>
      <c r="F101" s="144"/>
      <c r="G101" s="33" t="s">
        <v>636</v>
      </c>
      <c r="I101" s="177"/>
    </row>
    <row r="102" spans="1:9" ht="15.75" thickBot="1">
      <c r="A102" s="147" t="s">
        <v>113</v>
      </c>
      <c r="B102" s="148" t="s">
        <v>115</v>
      </c>
      <c r="C102" s="335" t="s">
        <v>114</v>
      </c>
      <c r="D102" s="368">
        <v>8500</v>
      </c>
      <c r="E102" s="217" t="s">
        <v>205</v>
      </c>
      <c r="F102" s="149"/>
      <c r="G102" s="33" t="s">
        <v>636</v>
      </c>
      <c r="I102" s="177"/>
    </row>
    <row r="103" spans="1:9">
      <c r="A103" s="240" t="s">
        <v>355</v>
      </c>
      <c r="B103" s="241" t="s">
        <v>115</v>
      </c>
      <c r="C103" s="241" t="s">
        <v>16</v>
      </c>
      <c r="D103" s="371">
        <v>10500</v>
      </c>
      <c r="E103" s="217" t="s">
        <v>205</v>
      </c>
      <c r="F103" s="242"/>
      <c r="G103" s="33" t="s">
        <v>75</v>
      </c>
      <c r="I103" s="177"/>
    </row>
    <row r="104" spans="1:9" ht="15.75" thickBot="1">
      <c r="A104" s="147" t="s">
        <v>356</v>
      </c>
      <c r="B104" s="148" t="s">
        <v>115</v>
      </c>
      <c r="C104" s="148" t="s">
        <v>213</v>
      </c>
      <c r="D104" s="368">
        <v>9500</v>
      </c>
      <c r="E104" s="263" t="s">
        <v>205</v>
      </c>
      <c r="F104" s="149"/>
      <c r="G104" s="33" t="s">
        <v>75</v>
      </c>
      <c r="I104" s="177"/>
    </row>
    <row r="105" spans="1:9" ht="15.75" thickBot="1">
      <c r="A105" s="326" t="s">
        <v>723</v>
      </c>
      <c r="B105" s="143" t="s">
        <v>115</v>
      </c>
      <c r="C105" s="328" t="s">
        <v>726</v>
      </c>
      <c r="D105" s="367">
        <v>6500</v>
      </c>
      <c r="E105" s="263" t="s">
        <v>205</v>
      </c>
      <c r="F105" s="144"/>
      <c r="G105" s="33"/>
      <c r="I105" s="177"/>
    </row>
    <row r="106" spans="1:9" ht="15.75" thickBot="1">
      <c r="A106" s="329" t="s">
        <v>724</v>
      </c>
      <c r="B106" s="4" t="s">
        <v>115</v>
      </c>
      <c r="C106" s="322" t="s">
        <v>727</v>
      </c>
      <c r="D106" s="367">
        <v>6500</v>
      </c>
      <c r="E106" s="263" t="s">
        <v>205</v>
      </c>
      <c r="F106" s="146"/>
      <c r="G106" s="33"/>
      <c r="I106" s="177"/>
    </row>
    <row r="107" spans="1:9" ht="15.75" thickBot="1">
      <c r="A107" s="330" t="s">
        <v>725</v>
      </c>
      <c r="B107" s="148" t="s">
        <v>115</v>
      </c>
      <c r="C107" s="332" t="s">
        <v>728</v>
      </c>
      <c r="D107" s="367">
        <v>6500</v>
      </c>
      <c r="E107" s="263" t="s">
        <v>205</v>
      </c>
      <c r="F107" s="333"/>
      <c r="G107" s="1" t="s">
        <v>776</v>
      </c>
    </row>
    <row r="108" spans="1:9" ht="4.9000000000000004" customHeight="1">
      <c r="A108" s="182" t="s">
        <v>157</v>
      </c>
      <c r="B108" s="183"/>
      <c r="C108" s="183"/>
      <c r="D108" s="184"/>
      <c r="E108" s="184"/>
      <c r="F108" s="192"/>
      <c r="I108" s="177"/>
    </row>
    <row r="109" spans="1:9" ht="15.75" thickBot="1">
      <c r="A109" s="189" t="s">
        <v>157</v>
      </c>
      <c r="B109" s="190"/>
      <c r="C109" s="191" t="s">
        <v>77</v>
      </c>
      <c r="D109" s="191"/>
      <c r="E109" s="191"/>
      <c r="F109" s="188"/>
      <c r="I109" s="177"/>
    </row>
    <row r="110" spans="1:9">
      <c r="A110" s="4" t="s">
        <v>51</v>
      </c>
      <c r="B110" s="4" t="s">
        <v>56</v>
      </c>
      <c r="C110" s="4" t="s">
        <v>52</v>
      </c>
      <c r="D110" s="369">
        <v>0</v>
      </c>
      <c r="E110" s="299" t="s">
        <v>106</v>
      </c>
      <c r="F110" s="218"/>
      <c r="G110" s="33" t="s">
        <v>76</v>
      </c>
      <c r="I110" s="177"/>
    </row>
    <row r="111" spans="1:9" ht="4.5" customHeight="1">
      <c r="A111" s="182" t="s">
        <v>157</v>
      </c>
      <c r="B111" s="183"/>
      <c r="C111" s="183"/>
      <c r="D111" s="184"/>
      <c r="E111" s="184"/>
      <c r="F111" s="192"/>
      <c r="I111" s="177"/>
    </row>
  </sheetData>
  <autoFilter ref="A8:M167" xr:uid="{00000000-0009-0000-0000-000005000000}"/>
  <hyperlinks>
    <hyperlink ref="H7" location="Index!A1" display="Index" xr:uid="{00000000-0004-0000-0500-000000000000}"/>
    <hyperlink ref="F8" location="'Pour Bon de Commande'!A1" display="BC" xr:uid="{00000000-0004-0000-0500-000001000000}"/>
    <hyperlink ref="C7" location="Promos!U23" display="CONSOMMABLES HP" xr:uid="{00000000-0004-0000-0500-000002000000}"/>
    <hyperlink ref="C6" r:id="rId1" display="Contact: Marie Jose mjyasselou@southcomp-polaris.com" xr:uid="{00000000-0004-0000-0500-000003000000}"/>
  </hyperlinks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F00"/>
    <pageSetUpPr fitToPage="1"/>
  </sheetPr>
  <dimension ref="A1:N38"/>
  <sheetViews>
    <sheetView zoomScaleNormal="100" workbookViewId="0">
      <pane ySplit="8" topLeftCell="A21" activePane="bottomLeft" state="frozen"/>
      <selection pane="bottomLeft" activeCell="A12" sqref="A12"/>
    </sheetView>
  </sheetViews>
  <sheetFormatPr baseColWidth="10" defaultColWidth="8.85546875" defaultRowHeight="15"/>
  <cols>
    <col min="1" max="1" width="14.28515625" style="1" bestFit="1" customWidth="1"/>
    <col min="2" max="2" width="17.7109375" style="1" customWidth="1"/>
    <col min="3" max="3" width="73.28515625" style="159" customWidth="1"/>
    <col min="4" max="4" width="16.7109375" style="347" customWidth="1"/>
    <col min="5" max="5" width="15.7109375" style="46" customWidth="1"/>
    <col min="6" max="6" width="16.5703125" style="44" customWidth="1"/>
    <col min="7" max="7" width="13.5703125" style="7" customWidth="1"/>
    <col min="8" max="8" width="4.28515625" style="1" customWidth="1"/>
    <col min="9" max="9" width="11.85546875" style="1" bestFit="1" customWidth="1"/>
    <col min="10" max="10" width="14.5703125" style="1" customWidth="1"/>
    <col min="11" max="16384" width="8.85546875" style="15"/>
  </cols>
  <sheetData>
    <row r="1" spans="1:14">
      <c r="G1" s="32"/>
    </row>
    <row r="2" spans="1:14">
      <c r="G2" s="32"/>
    </row>
    <row r="3" spans="1:14">
      <c r="G3" s="32"/>
    </row>
    <row r="4" spans="1:14">
      <c r="G4" s="32"/>
      <c r="J4" s="33" t="s">
        <v>49</v>
      </c>
    </row>
    <row r="5" spans="1:14">
      <c r="G5" s="32"/>
      <c r="J5" s="33" t="s">
        <v>50</v>
      </c>
    </row>
    <row r="6" spans="1:14" ht="15.75" thickBot="1">
      <c r="C6" s="307" t="s">
        <v>676</v>
      </c>
      <c r="D6" s="47" t="s">
        <v>26</v>
      </c>
      <c r="E6" s="48"/>
      <c r="F6" s="17" t="s">
        <v>132</v>
      </c>
      <c r="G6" s="32"/>
      <c r="J6" s="33" t="s">
        <v>124</v>
      </c>
    </row>
    <row r="7" spans="1:14">
      <c r="A7" s="22"/>
      <c r="B7" s="23"/>
      <c r="C7" s="160" t="s">
        <v>11</v>
      </c>
      <c r="D7" s="121"/>
      <c r="E7" s="23"/>
      <c r="F7" s="21"/>
      <c r="G7" s="32"/>
      <c r="H7" s="2" t="s">
        <v>1</v>
      </c>
      <c r="J7" s="33" t="s">
        <v>125</v>
      </c>
    </row>
    <row r="8" spans="1:14">
      <c r="A8" s="6" t="s">
        <v>14</v>
      </c>
      <c r="B8" s="6" t="s">
        <v>45</v>
      </c>
      <c r="C8" s="161" t="s">
        <v>13</v>
      </c>
      <c r="D8" s="27" t="s">
        <v>18</v>
      </c>
      <c r="E8" s="28" t="s">
        <v>102</v>
      </c>
      <c r="F8" s="60" t="s">
        <v>131</v>
      </c>
      <c r="G8" s="32"/>
    </row>
    <row r="9" spans="1:14" ht="6.6" customHeight="1" thickBot="1">
      <c r="A9" s="5"/>
      <c r="B9" s="5"/>
      <c r="C9" s="162"/>
      <c r="D9" s="122"/>
      <c r="E9" s="49"/>
      <c r="F9" s="134"/>
      <c r="G9" s="32"/>
    </row>
    <row r="10" spans="1:14">
      <c r="A10" s="9"/>
      <c r="B10" s="30"/>
      <c r="C10" s="163" t="s">
        <v>49</v>
      </c>
      <c r="D10" s="123"/>
      <c r="E10" s="30"/>
      <c r="F10" s="62"/>
      <c r="G10" s="32"/>
    </row>
    <row r="11" spans="1:14" ht="30">
      <c r="A11" s="168" t="s">
        <v>46</v>
      </c>
      <c r="B11" s="168" t="s">
        <v>107</v>
      </c>
      <c r="C11" s="43" t="s">
        <v>227</v>
      </c>
      <c r="D11" s="212">
        <v>22000</v>
      </c>
      <c r="E11" s="133" t="s">
        <v>103</v>
      </c>
      <c r="F11" s="40"/>
      <c r="G11" s="1"/>
    </row>
    <row r="12" spans="1:14" ht="30">
      <c r="A12" s="168" t="s">
        <v>47</v>
      </c>
      <c r="B12" s="168" t="s">
        <v>107</v>
      </c>
      <c r="C12" s="43" t="s">
        <v>228</v>
      </c>
      <c r="D12" s="212">
        <v>28500</v>
      </c>
      <c r="E12" s="133" t="s">
        <v>103</v>
      </c>
      <c r="F12" s="42"/>
      <c r="G12" s="1"/>
    </row>
    <row r="13" spans="1:14">
      <c r="A13" s="169" t="s">
        <v>830</v>
      </c>
      <c r="B13" s="169" t="s">
        <v>107</v>
      </c>
      <c r="C13" s="165" t="s">
        <v>829</v>
      </c>
      <c r="D13" s="212">
        <v>45000</v>
      </c>
      <c r="E13" s="133" t="s">
        <v>103</v>
      </c>
      <c r="F13" s="42"/>
      <c r="G13" s="1"/>
    </row>
    <row r="14" spans="1:14" s="45" customFormat="1" ht="30">
      <c r="A14" s="170" t="s">
        <v>48</v>
      </c>
      <c r="B14" s="170" t="s">
        <v>107</v>
      </c>
      <c r="C14" s="364" t="s">
        <v>218</v>
      </c>
      <c r="D14" s="212">
        <v>73400</v>
      </c>
      <c r="E14" s="132" t="s">
        <v>103</v>
      </c>
      <c r="F14" s="42"/>
      <c r="G14" s="219"/>
      <c r="H14" s="264"/>
      <c r="I14" s="177"/>
      <c r="J14" s="177"/>
      <c r="L14" s="15"/>
      <c r="M14" s="15"/>
      <c r="N14" s="15"/>
    </row>
    <row r="15" spans="1:14" s="45" customFormat="1">
      <c r="A15" s="409" t="s">
        <v>834</v>
      </c>
      <c r="B15" s="169" t="s">
        <v>107</v>
      </c>
      <c r="C15" s="409" t="s">
        <v>833</v>
      </c>
      <c r="D15" s="212">
        <v>145000</v>
      </c>
      <c r="E15" s="132" t="s">
        <v>103</v>
      </c>
      <c r="F15" s="42"/>
      <c r="G15" s="219"/>
      <c r="H15" s="53"/>
      <c r="I15" s="1"/>
      <c r="J15" s="177"/>
      <c r="L15" s="15"/>
      <c r="M15" s="15"/>
      <c r="N15" s="15"/>
    </row>
    <row r="16" spans="1:14" s="45" customFormat="1">
      <c r="A16" s="169" t="s">
        <v>266</v>
      </c>
      <c r="B16" s="169" t="s">
        <v>104</v>
      </c>
      <c r="C16" s="165" t="s">
        <v>267</v>
      </c>
      <c r="D16" s="212">
        <v>155000</v>
      </c>
      <c r="E16" s="132" t="s">
        <v>103</v>
      </c>
      <c r="F16" s="42"/>
      <c r="G16" s="219"/>
      <c r="H16" s="53"/>
      <c r="I16" s="1"/>
      <c r="J16" s="177"/>
      <c r="L16" s="15"/>
      <c r="M16" s="15"/>
      <c r="N16" s="15"/>
    </row>
    <row r="17" spans="1:14" s="45" customFormat="1">
      <c r="A17" s="170" t="s">
        <v>207</v>
      </c>
      <c r="B17" s="170" t="s">
        <v>104</v>
      </c>
      <c r="C17" s="164" t="s">
        <v>208</v>
      </c>
      <c r="D17" s="212">
        <v>39500</v>
      </c>
      <c r="E17" s="132" t="s">
        <v>103</v>
      </c>
      <c r="F17" s="42"/>
      <c r="G17" s="11"/>
      <c r="H17" s="53"/>
      <c r="I17" s="1"/>
      <c r="J17" s="177"/>
      <c r="L17" s="15"/>
      <c r="M17" s="15"/>
      <c r="N17" s="15"/>
    </row>
    <row r="18" spans="1:14" ht="6.6" customHeight="1" thickBot="1">
      <c r="A18" s="171" t="s">
        <v>157</v>
      </c>
      <c r="B18" s="172"/>
      <c r="C18" s="162"/>
      <c r="D18" s="122"/>
      <c r="E18" s="49"/>
      <c r="F18" s="134"/>
      <c r="G18" s="32"/>
    </row>
    <row r="19" spans="1:14">
      <c r="A19" s="173" t="s">
        <v>157</v>
      </c>
      <c r="B19" s="174"/>
      <c r="C19" s="163" t="s">
        <v>50</v>
      </c>
      <c r="D19" s="123"/>
      <c r="E19" s="30"/>
      <c r="F19" s="62"/>
      <c r="G19" s="32"/>
    </row>
    <row r="20" spans="1:14" ht="30">
      <c r="A20" s="170" t="s">
        <v>215</v>
      </c>
      <c r="B20" s="170" t="s">
        <v>107</v>
      </c>
      <c r="C20" s="43" t="s">
        <v>216</v>
      </c>
      <c r="D20" s="362">
        <v>69900</v>
      </c>
      <c r="E20" s="132" t="s">
        <v>103</v>
      </c>
      <c r="F20" s="42"/>
      <c r="G20" s="32"/>
    </row>
    <row r="21" spans="1:14" ht="30">
      <c r="A21" s="170" t="s">
        <v>214</v>
      </c>
      <c r="B21" s="170" t="s">
        <v>107</v>
      </c>
      <c r="C21" s="43" t="s">
        <v>217</v>
      </c>
      <c r="D21" s="362">
        <v>121000</v>
      </c>
      <c r="E21" s="132" t="s">
        <v>103</v>
      </c>
      <c r="F21" s="42"/>
      <c r="G21" s="32"/>
    </row>
    <row r="22" spans="1:14">
      <c r="A22" s="170" t="s">
        <v>219</v>
      </c>
      <c r="B22" s="170" t="s">
        <v>105</v>
      </c>
      <c r="C22" s="164" t="s">
        <v>220</v>
      </c>
      <c r="D22" s="212">
        <v>95000</v>
      </c>
      <c r="E22" s="132" t="s">
        <v>103</v>
      </c>
      <c r="F22" s="42"/>
      <c r="G22" s="32"/>
      <c r="H22" s="259"/>
      <c r="I22" s="259"/>
    </row>
    <row r="23" spans="1:14">
      <c r="A23" s="170" t="s">
        <v>222</v>
      </c>
      <c r="B23" s="170" t="s">
        <v>105</v>
      </c>
      <c r="C23" s="164" t="s">
        <v>221</v>
      </c>
      <c r="D23" s="212">
        <v>560000</v>
      </c>
      <c r="E23" s="132" t="s">
        <v>103</v>
      </c>
      <c r="F23" s="42"/>
      <c r="G23" s="32"/>
    </row>
    <row r="24" spans="1:14">
      <c r="A24" s="170" t="s">
        <v>363</v>
      </c>
      <c r="B24" s="170" t="s">
        <v>105</v>
      </c>
      <c r="C24" s="164" t="s">
        <v>364</v>
      </c>
      <c r="D24" s="268">
        <v>110000</v>
      </c>
      <c r="E24" s="130" t="s">
        <v>223</v>
      </c>
      <c r="F24" s="42"/>
      <c r="G24" s="32"/>
    </row>
    <row r="25" spans="1:14">
      <c r="A25" s="170" t="s">
        <v>365</v>
      </c>
      <c r="B25" s="170" t="s">
        <v>105</v>
      </c>
      <c r="C25" s="164" t="s">
        <v>366</v>
      </c>
      <c r="D25" s="268">
        <v>23000</v>
      </c>
      <c r="E25" s="130" t="s">
        <v>223</v>
      </c>
      <c r="F25" s="42"/>
      <c r="G25" s="32"/>
    </row>
    <row r="26" spans="1:14">
      <c r="A26" s="170" t="s">
        <v>367</v>
      </c>
      <c r="B26" s="170" t="s">
        <v>105</v>
      </c>
      <c r="C26" s="164" t="s">
        <v>369</v>
      </c>
      <c r="D26" s="268">
        <v>145000</v>
      </c>
      <c r="E26" s="130" t="s">
        <v>223</v>
      </c>
      <c r="F26" s="42"/>
      <c r="G26" s="32"/>
    </row>
    <row r="27" spans="1:14">
      <c r="A27" s="170" t="s">
        <v>368</v>
      </c>
      <c r="B27" s="170" t="s">
        <v>105</v>
      </c>
      <c r="C27" s="164" t="s">
        <v>370</v>
      </c>
      <c r="D27" s="268">
        <v>29000</v>
      </c>
      <c r="E27" s="130" t="s">
        <v>223</v>
      </c>
      <c r="F27" s="42"/>
      <c r="G27" s="32"/>
    </row>
    <row r="28" spans="1:14">
      <c r="A28" s="170" t="s">
        <v>225</v>
      </c>
      <c r="B28" s="170" t="s">
        <v>105</v>
      </c>
      <c r="C28" s="164" t="s">
        <v>224</v>
      </c>
      <c r="D28" s="268">
        <v>3199000</v>
      </c>
      <c r="E28" s="130" t="s">
        <v>223</v>
      </c>
      <c r="F28" s="42"/>
      <c r="G28" s="32"/>
    </row>
    <row r="29" spans="1:14" ht="6.6" customHeight="1" thickBot="1">
      <c r="A29" s="171" t="s">
        <v>157</v>
      </c>
      <c r="B29" s="175"/>
      <c r="C29" s="166"/>
      <c r="D29" s="365"/>
      <c r="E29" s="51"/>
      <c r="F29" s="134"/>
      <c r="G29" s="32"/>
    </row>
    <row r="30" spans="1:14">
      <c r="A30" s="173" t="s">
        <v>157</v>
      </c>
      <c r="B30" s="176"/>
      <c r="C30" s="167" t="s">
        <v>124</v>
      </c>
      <c r="D30" s="366"/>
      <c r="E30" s="52"/>
      <c r="F30" s="135"/>
      <c r="G30" s="32"/>
    </row>
    <row r="31" spans="1:14">
      <c r="A31" t="s">
        <v>838</v>
      </c>
      <c r="B31" s="170" t="s">
        <v>107</v>
      </c>
      <c r="C31" t="s">
        <v>837</v>
      </c>
      <c r="D31" s="362">
        <v>446000</v>
      </c>
      <c r="E31" s="132" t="s">
        <v>103</v>
      </c>
      <c r="F31" s="42"/>
      <c r="G31" s="32"/>
    </row>
    <row r="32" spans="1:14">
      <c r="A32" t="s">
        <v>840</v>
      </c>
      <c r="B32" s="170" t="s">
        <v>107</v>
      </c>
      <c r="C32" t="s">
        <v>839</v>
      </c>
      <c r="D32" s="362">
        <v>236000</v>
      </c>
      <c r="E32" s="132" t="s">
        <v>103</v>
      </c>
      <c r="F32" s="42"/>
      <c r="G32" s="32"/>
    </row>
    <row r="33" spans="1:7" ht="6.6" customHeight="1" thickBot="1">
      <c r="A33" s="171" t="s">
        <v>157</v>
      </c>
      <c r="B33" s="175"/>
      <c r="C33" s="166"/>
      <c r="D33" s="352"/>
      <c r="E33" s="51"/>
      <c r="F33" s="134"/>
      <c r="G33" s="32"/>
    </row>
    <row r="34" spans="1:7">
      <c r="A34" s="173" t="s">
        <v>157</v>
      </c>
      <c r="B34" s="176"/>
      <c r="C34" s="167" t="s">
        <v>125</v>
      </c>
      <c r="D34" s="353"/>
      <c r="E34" s="52"/>
      <c r="F34" s="135"/>
      <c r="G34" s="32"/>
    </row>
    <row r="35" spans="1:7">
      <c r="A35" t="s">
        <v>836</v>
      </c>
      <c r="B35" s="170" t="s">
        <v>107</v>
      </c>
      <c r="C35" s="43" t="s">
        <v>835</v>
      </c>
      <c r="D35" s="362">
        <v>805000</v>
      </c>
      <c r="E35" s="132" t="s">
        <v>103</v>
      </c>
      <c r="F35" s="42"/>
      <c r="G35" s="32"/>
    </row>
    <row r="36" spans="1:7">
      <c r="A36" s="170" t="s">
        <v>832</v>
      </c>
      <c r="B36" s="170" t="s">
        <v>107</v>
      </c>
      <c r="C36" s="43" t="s">
        <v>831</v>
      </c>
      <c r="D36" s="362">
        <v>480000</v>
      </c>
      <c r="E36" s="132" t="s">
        <v>103</v>
      </c>
      <c r="F36" s="42"/>
      <c r="G36" s="32"/>
    </row>
    <row r="37" spans="1:7" ht="6.6" customHeight="1">
      <c r="A37" s="171" t="s">
        <v>157</v>
      </c>
      <c r="B37" s="172"/>
      <c r="C37" s="162"/>
      <c r="D37" s="122"/>
      <c r="E37" s="49"/>
      <c r="F37" s="134"/>
      <c r="G37" s="32"/>
    </row>
    <row r="38" spans="1:7">
      <c r="G38" s="32"/>
    </row>
  </sheetData>
  <hyperlinks>
    <hyperlink ref="H7" location="Index!A1" display="Index" xr:uid="{00000000-0004-0000-0600-000000000000}"/>
    <hyperlink ref="F8" location="'Pour Bon de Commande'!A1" display="BC" xr:uid="{00000000-0004-0000-0600-000001000000}"/>
    <hyperlink ref="C6" r:id="rId1" display="Contact: Marie Jose mjyasselou@southcomp-polaris.com" xr:uid="{00000000-0004-0000-0600-000002000000}"/>
  </hyperlinks>
  <pageMargins left="0.7" right="0.7" top="0.75" bottom="0.75" header="0.3" footer="0.3"/>
  <pageSetup scale="16" fitToWidth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92D050"/>
  </sheetPr>
  <dimension ref="A1:T91"/>
  <sheetViews>
    <sheetView zoomScale="90" zoomScaleNormal="90" workbookViewId="0">
      <pane ySplit="8" topLeftCell="A53" activePane="bottomLeft" state="frozen"/>
      <selection activeCell="N1" sqref="N1:N1048576"/>
      <selection pane="bottomLeft" activeCell="E47" sqref="E47"/>
    </sheetView>
  </sheetViews>
  <sheetFormatPr baseColWidth="10" defaultColWidth="8.85546875" defaultRowHeight="15"/>
  <cols>
    <col min="1" max="1" width="18.5703125" style="1" customWidth="1"/>
    <col min="2" max="2" width="16.140625" style="1" customWidth="1"/>
    <col min="3" max="3" width="93.42578125" style="159" customWidth="1"/>
    <col min="4" max="4" width="18.28515625" style="359" customWidth="1"/>
    <col min="5" max="5" width="16.7109375" style="55" customWidth="1"/>
    <col min="6" max="6" width="15.28515625" style="54" customWidth="1"/>
    <col min="7" max="7" width="13.7109375" style="7" customWidth="1"/>
    <col min="8" max="8" width="10.28515625" style="1" customWidth="1"/>
    <col min="9" max="10" width="8.85546875" style="1" customWidth="1"/>
    <col min="11" max="14" width="8.85546875" style="15" customWidth="1"/>
    <col min="15" max="17" width="13.28515625" style="15" bestFit="1" customWidth="1"/>
    <col min="18" max="18" width="12.28515625" style="15" bestFit="1" customWidth="1"/>
    <col min="19" max="19" width="10.5703125" style="15" bestFit="1" customWidth="1"/>
    <col min="20" max="20" width="12.28515625" style="15" bestFit="1" customWidth="1"/>
    <col min="21" max="16384" width="8.85546875" style="15"/>
  </cols>
  <sheetData>
    <row r="1" spans="1:20">
      <c r="G1" s="32"/>
    </row>
    <row r="2" spans="1:20">
      <c r="G2" s="32"/>
    </row>
    <row r="3" spans="1:20">
      <c r="G3" s="32"/>
    </row>
    <row r="4" spans="1:20">
      <c r="G4" s="32"/>
    </row>
    <row r="5" spans="1:20">
      <c r="G5" s="32"/>
      <c r="J5" s="33" t="s">
        <v>32</v>
      </c>
    </row>
    <row r="6" spans="1:20" ht="15.75" thickBot="1">
      <c r="C6" s="287" t="s">
        <v>539</v>
      </c>
      <c r="D6" s="56" t="s">
        <v>26</v>
      </c>
      <c r="E6" s="57"/>
      <c r="F6" s="318" t="s">
        <v>132</v>
      </c>
      <c r="G6" s="32"/>
      <c r="J6" s="33" t="s">
        <v>28</v>
      </c>
    </row>
    <row r="7" spans="1:20">
      <c r="A7" s="22"/>
      <c r="B7" s="23"/>
      <c r="C7" s="160" t="s">
        <v>12</v>
      </c>
      <c r="D7" s="121"/>
      <c r="E7" s="23"/>
      <c r="F7" s="319"/>
      <c r="G7" s="32"/>
      <c r="I7" s="2" t="s">
        <v>1</v>
      </c>
      <c r="J7" s="33" t="s">
        <v>42</v>
      </c>
    </row>
    <row r="8" spans="1:20">
      <c r="A8" s="6" t="s">
        <v>14</v>
      </c>
      <c r="B8" s="6" t="s">
        <v>45</v>
      </c>
      <c r="C8" s="161" t="s">
        <v>13</v>
      </c>
      <c r="D8" s="58" t="s">
        <v>18</v>
      </c>
      <c r="E8" s="28" t="s">
        <v>102</v>
      </c>
      <c r="F8" s="60" t="s">
        <v>131</v>
      </c>
      <c r="G8" s="32"/>
    </row>
    <row r="9" spans="1:20" ht="6.6" customHeight="1" thickBot="1">
      <c r="A9" s="66" t="s">
        <v>157</v>
      </c>
      <c r="B9" s="5"/>
      <c r="C9" s="162"/>
      <c r="D9" s="360"/>
      <c r="E9" s="59"/>
      <c r="F9" s="136"/>
      <c r="G9" s="32"/>
    </row>
    <row r="10" spans="1:20">
      <c r="A10" s="65" t="s">
        <v>157</v>
      </c>
      <c r="B10" s="30"/>
      <c r="C10" s="163" t="s">
        <v>32</v>
      </c>
      <c r="D10" s="123"/>
      <c r="E10" s="30"/>
      <c r="F10" s="320"/>
      <c r="G10" s="32"/>
      <c r="Q10" s="288"/>
    </row>
    <row r="11" spans="1:20">
      <c r="A11" s="200" t="s">
        <v>335</v>
      </c>
      <c r="B11" s="200" t="s">
        <v>38</v>
      </c>
      <c r="C11" s="43" t="s">
        <v>338</v>
      </c>
      <c r="D11" s="212">
        <v>35000</v>
      </c>
      <c r="E11" s="207" t="s">
        <v>103</v>
      </c>
      <c r="F11" s="42"/>
      <c r="G11" s="220"/>
      <c r="H11" s="384">
        <f>VLOOKUP(A11,[1]Inventaire!$A$14:$C$267,3,FALSE)</f>
        <v>20</v>
      </c>
      <c r="O11" s="224"/>
      <c r="P11" s="198"/>
      <c r="Q11" s="198"/>
      <c r="R11" s="198"/>
      <c r="S11" s="198"/>
      <c r="T11" s="198"/>
    </row>
    <row r="12" spans="1:20">
      <c r="A12" s="200" t="s">
        <v>24</v>
      </c>
      <c r="B12" s="200" t="s">
        <v>38</v>
      </c>
      <c r="C12" s="43" t="s">
        <v>339</v>
      </c>
      <c r="D12" s="212">
        <v>55000</v>
      </c>
      <c r="E12" s="207" t="s">
        <v>103</v>
      </c>
      <c r="F12" s="42"/>
      <c r="G12" s="32"/>
      <c r="H12" s="384">
        <f>VLOOKUP(A12,[1]Inventaire!$A$14:$C$267,3,FALSE)</f>
        <v>181</v>
      </c>
      <c r="O12" s="224"/>
      <c r="P12" s="198"/>
      <c r="Q12" s="198"/>
      <c r="R12" s="198"/>
      <c r="S12" s="198"/>
      <c r="T12" s="198"/>
    </row>
    <row r="13" spans="1:20">
      <c r="A13" s="200" t="s">
        <v>284</v>
      </c>
      <c r="B13" s="200" t="s">
        <v>38</v>
      </c>
      <c r="C13" s="43" t="s">
        <v>340</v>
      </c>
      <c r="D13" s="212">
        <v>55000</v>
      </c>
      <c r="E13" s="207" t="s">
        <v>103</v>
      </c>
      <c r="F13" s="42"/>
      <c r="G13" s="32"/>
      <c r="H13" s="384">
        <f>VLOOKUP(A13,[1]Inventaire!$A$14:$C$267,3,FALSE)</f>
        <v>516</v>
      </c>
      <c r="O13" s="224"/>
      <c r="P13" s="198"/>
      <c r="Q13" s="198"/>
      <c r="R13" s="198"/>
      <c r="S13" s="198"/>
      <c r="T13" s="198"/>
    </row>
    <row r="14" spans="1:20">
      <c r="A14" s="200" t="s">
        <v>471</v>
      </c>
      <c r="B14" s="200" t="s">
        <v>39</v>
      </c>
      <c r="C14" s="43" t="s">
        <v>472</v>
      </c>
      <c r="D14" s="212">
        <v>105000</v>
      </c>
      <c r="E14" s="207" t="s">
        <v>103</v>
      </c>
      <c r="F14" s="42"/>
      <c r="G14" s="35"/>
      <c r="H14" s="384">
        <f>VLOOKUP(A14,[1]Inventaire!$A$14:$C$267,3,FALSE)</f>
        <v>22</v>
      </c>
      <c r="O14" s="224"/>
      <c r="P14" s="198"/>
      <c r="Q14" s="198"/>
      <c r="R14" s="198"/>
      <c r="S14" s="198"/>
      <c r="T14" s="198"/>
    </row>
    <row r="15" spans="1:20">
      <c r="A15" s="200" t="s">
        <v>841</v>
      </c>
      <c r="B15" s="200" t="s">
        <v>39</v>
      </c>
      <c r="C15" s="43" t="s">
        <v>842</v>
      </c>
      <c r="D15" s="212">
        <v>99000</v>
      </c>
      <c r="E15" s="207" t="s">
        <v>103</v>
      </c>
      <c r="F15" s="42"/>
      <c r="G15" s="35"/>
      <c r="H15" s="384">
        <f>VLOOKUP(A15,[1]Inventaire!$A$14:$C$267,3,FALSE)</f>
        <v>19</v>
      </c>
      <c r="O15" s="224"/>
      <c r="P15" s="198"/>
      <c r="Q15" s="198"/>
      <c r="R15" s="198"/>
      <c r="S15" s="198"/>
      <c r="T15" s="198"/>
    </row>
    <row r="16" spans="1:20">
      <c r="A16" s="200" t="s">
        <v>25</v>
      </c>
      <c r="B16" s="200" t="s">
        <v>39</v>
      </c>
      <c r="C16" s="43" t="s">
        <v>261</v>
      </c>
      <c r="D16" s="212">
        <v>125000</v>
      </c>
      <c r="E16" s="207" t="s">
        <v>103</v>
      </c>
      <c r="F16" s="42"/>
      <c r="G16" s="35"/>
      <c r="H16" s="384">
        <f>VLOOKUP(A16,[1]Inventaire!$A$14:$C$267,3,FALSE)</f>
        <v>23</v>
      </c>
      <c r="O16" s="224"/>
      <c r="P16" s="198"/>
      <c r="Q16" s="198"/>
      <c r="R16" s="198"/>
      <c r="S16" s="198"/>
      <c r="T16" s="198"/>
    </row>
    <row r="17" spans="1:20">
      <c r="A17" s="200" t="s">
        <v>489</v>
      </c>
      <c r="B17" s="200" t="s">
        <v>343</v>
      </c>
      <c r="C17" s="43" t="s">
        <v>774</v>
      </c>
      <c r="D17" s="212">
        <v>45000</v>
      </c>
      <c r="E17" s="207" t="s">
        <v>103</v>
      </c>
      <c r="F17" s="42"/>
      <c r="G17" s="220" t="s">
        <v>316</v>
      </c>
      <c r="H17" s="384" t="e">
        <f>VLOOKUP(A17,[1]Inventaire!$A$14:$C$267,3,FALSE)</f>
        <v>#N/A</v>
      </c>
      <c r="O17" s="224"/>
      <c r="P17" s="198"/>
      <c r="Q17" s="198"/>
      <c r="R17" s="198"/>
      <c r="S17" s="198"/>
      <c r="T17" s="198"/>
    </row>
    <row r="18" spans="1:20">
      <c r="A18" s="200" t="s">
        <v>344</v>
      </c>
      <c r="B18" s="200" t="s">
        <v>343</v>
      </c>
      <c r="C18" s="43" t="s">
        <v>793</v>
      </c>
      <c r="D18" s="212">
        <v>135000</v>
      </c>
      <c r="E18" s="207" t="s">
        <v>103</v>
      </c>
      <c r="F18" s="42"/>
      <c r="G18" s="35"/>
      <c r="H18" s="384">
        <f>VLOOKUP(A18,[1]Inventaire!$A$14:$C$267,3,FALSE)</f>
        <v>15</v>
      </c>
      <c r="O18" s="224"/>
      <c r="P18" s="198"/>
      <c r="Q18" s="198"/>
      <c r="R18" s="198"/>
      <c r="S18" s="198"/>
      <c r="T18" s="198"/>
    </row>
    <row r="19" spans="1:20">
      <c r="A19" s="200" t="s">
        <v>341</v>
      </c>
      <c r="B19" s="200" t="s">
        <v>40</v>
      </c>
      <c r="C19" s="43" t="s">
        <v>342</v>
      </c>
      <c r="D19" s="212">
        <v>218000</v>
      </c>
      <c r="E19" s="207" t="s">
        <v>103</v>
      </c>
      <c r="F19" s="42"/>
      <c r="G19" s="220" t="s">
        <v>316</v>
      </c>
      <c r="H19" s="384">
        <f>VLOOKUP(A19,[1]Inventaire!$A$14:$C$267,3,FALSE)</f>
        <v>21</v>
      </c>
      <c r="O19" s="224"/>
      <c r="P19" s="198"/>
      <c r="Q19" s="198"/>
      <c r="R19" s="198"/>
      <c r="S19" s="198"/>
      <c r="T19" s="198"/>
    </row>
    <row r="20" spans="1:20">
      <c r="A20" s="200" t="s">
        <v>559</v>
      </c>
      <c r="B20" s="200" t="s">
        <v>40</v>
      </c>
      <c r="C20" s="43" t="s">
        <v>560</v>
      </c>
      <c r="D20" s="212">
        <v>218000</v>
      </c>
      <c r="E20" s="207" t="s">
        <v>103</v>
      </c>
      <c r="F20" s="42"/>
      <c r="G20" s="220" t="s">
        <v>316</v>
      </c>
      <c r="H20" s="384">
        <f>VLOOKUP(A20,[1]Inventaire!$A$14:$C$267,3,FALSE)</f>
        <v>18</v>
      </c>
      <c r="O20" s="224"/>
      <c r="P20" s="198"/>
      <c r="Q20" s="198"/>
      <c r="R20" s="198"/>
      <c r="S20" s="198"/>
      <c r="T20" s="198"/>
    </row>
    <row r="21" spans="1:20">
      <c r="A21" s="200" t="s">
        <v>31</v>
      </c>
      <c r="B21" s="200" t="s">
        <v>40</v>
      </c>
      <c r="C21" s="43" t="s">
        <v>262</v>
      </c>
      <c r="D21" s="212">
        <v>315000</v>
      </c>
      <c r="E21" s="207" t="s">
        <v>103</v>
      </c>
      <c r="F21" s="42"/>
      <c r="G21" s="220" t="s">
        <v>316</v>
      </c>
      <c r="H21" s="384">
        <f>VLOOKUP(A21,[1]Inventaire!$A$14:$C$267,3,FALSE)</f>
        <v>11</v>
      </c>
      <c r="O21" s="224"/>
      <c r="P21" s="198"/>
      <c r="Q21" s="198"/>
      <c r="R21" s="198"/>
      <c r="S21" s="198"/>
      <c r="T21" s="198"/>
    </row>
    <row r="22" spans="1:20">
      <c r="A22" s="200" t="s">
        <v>561</v>
      </c>
      <c r="B22" s="200" t="s">
        <v>40</v>
      </c>
      <c r="C22" s="43" t="s">
        <v>562</v>
      </c>
      <c r="D22" s="212">
        <v>315000</v>
      </c>
      <c r="E22" s="207" t="s">
        <v>103</v>
      </c>
      <c r="F22" s="42"/>
      <c r="G22" s="220" t="s">
        <v>316</v>
      </c>
      <c r="H22" s="384">
        <f>VLOOKUP(A22,[1]Inventaire!$A$14:$C$267,3,FALSE)</f>
        <v>8</v>
      </c>
      <c r="O22" s="224"/>
      <c r="P22" s="198"/>
      <c r="Q22" s="198"/>
      <c r="R22" s="198"/>
      <c r="S22" s="198"/>
      <c r="T22" s="198"/>
    </row>
    <row r="23" spans="1:20">
      <c r="A23" s="200" t="s">
        <v>485</v>
      </c>
      <c r="B23" s="200" t="s">
        <v>40</v>
      </c>
      <c r="C23" s="43" t="s">
        <v>260</v>
      </c>
      <c r="D23" s="358">
        <v>385000</v>
      </c>
      <c r="E23" s="130" t="s">
        <v>206</v>
      </c>
      <c r="F23" s="42"/>
      <c r="G23" s="220" t="s">
        <v>316</v>
      </c>
      <c r="H23" s="384" t="e">
        <f>VLOOKUP(A23,[1]Inventaire!$A$14:$C$267,3,FALSE)</f>
        <v>#N/A</v>
      </c>
      <c r="O23" s="224"/>
      <c r="P23" s="198"/>
      <c r="Q23" s="198"/>
      <c r="R23" s="198"/>
      <c r="S23" s="198"/>
      <c r="T23" s="198"/>
    </row>
    <row r="24" spans="1:20">
      <c r="A24" s="200" t="s">
        <v>563</v>
      </c>
      <c r="B24" s="200" t="s">
        <v>40</v>
      </c>
      <c r="C24" s="43" t="s">
        <v>564</v>
      </c>
      <c r="D24" s="358">
        <v>385000</v>
      </c>
      <c r="E24" s="130" t="s">
        <v>206</v>
      </c>
      <c r="F24" s="42"/>
      <c r="G24" s="220" t="s">
        <v>316</v>
      </c>
      <c r="H24" s="384" t="e">
        <f>VLOOKUP(A24,[1]Inventaire!$A$14:$C$267,3,FALSE)</f>
        <v>#N/A</v>
      </c>
      <c r="O24" s="224"/>
      <c r="P24" s="198"/>
      <c r="Q24" s="198"/>
      <c r="R24" s="198"/>
      <c r="S24" s="198"/>
      <c r="T24" s="198"/>
    </row>
    <row r="25" spans="1:20" ht="6.6" customHeight="1" thickBot="1">
      <c r="A25" s="66" t="s">
        <v>157</v>
      </c>
      <c r="B25" s="5"/>
      <c r="C25" s="162"/>
      <c r="D25" s="361"/>
      <c r="E25" s="59"/>
      <c r="F25" s="136"/>
      <c r="G25" s="32"/>
      <c r="H25" s="384" t="e">
        <f>VLOOKUP(A25,[1]Inventaire!$A$14:$C$267,3,FALSE)</f>
        <v>#N/A</v>
      </c>
      <c r="O25" s="224"/>
      <c r="P25" s="198"/>
      <c r="Q25" s="198"/>
      <c r="R25" s="198"/>
      <c r="S25" s="198"/>
      <c r="T25" s="198"/>
    </row>
    <row r="26" spans="1:20">
      <c r="A26" s="65" t="s">
        <v>157</v>
      </c>
      <c r="B26" s="30"/>
      <c r="C26" s="163" t="s">
        <v>488</v>
      </c>
      <c r="D26" s="348"/>
      <c r="E26" s="30"/>
      <c r="F26" s="320"/>
      <c r="G26" s="32"/>
      <c r="H26" s="384" t="e">
        <f>VLOOKUP(A26,[1]Inventaire!$A$14:$C$267,3,FALSE)</f>
        <v>#N/A</v>
      </c>
      <c r="O26" s="224"/>
      <c r="P26" s="198"/>
      <c r="Q26" s="198"/>
      <c r="R26" s="198"/>
      <c r="S26" s="198"/>
      <c r="T26" s="198"/>
    </row>
    <row r="27" spans="1:20">
      <c r="A27" s="200" t="s">
        <v>557</v>
      </c>
      <c r="B27" s="200" t="s">
        <v>245</v>
      </c>
      <c r="C27" s="43" t="s">
        <v>558</v>
      </c>
      <c r="D27" s="362">
        <v>2999000</v>
      </c>
      <c r="E27" s="207" t="s">
        <v>103</v>
      </c>
      <c r="F27" s="42"/>
      <c r="G27" s="35"/>
      <c r="H27" s="384">
        <f>VLOOKUP(A27,[1]Inventaire!$A$14:$C$267,3,FALSE)</f>
        <v>4</v>
      </c>
      <c r="O27" s="224"/>
      <c r="P27" s="198"/>
      <c r="Q27" s="198"/>
      <c r="R27" s="198"/>
      <c r="S27" s="198"/>
      <c r="T27" s="198"/>
    </row>
    <row r="28" spans="1:20">
      <c r="A28" s="200" t="s">
        <v>265</v>
      </c>
      <c r="B28" s="200" t="s">
        <v>245</v>
      </c>
      <c r="C28" s="43" t="s">
        <v>779</v>
      </c>
      <c r="D28" s="362">
        <v>3499000</v>
      </c>
      <c r="E28" s="207" t="s">
        <v>103</v>
      </c>
      <c r="F28" s="42"/>
      <c r="G28" s="35"/>
      <c r="H28" s="384" t="e">
        <f>VLOOKUP(A28,[1]Inventaire!$A$14:$C$267,3,FALSE)</f>
        <v>#N/A</v>
      </c>
      <c r="O28" s="224"/>
      <c r="P28" s="198"/>
      <c r="Q28" s="198"/>
      <c r="R28" s="198"/>
      <c r="S28" s="198"/>
      <c r="T28" s="198"/>
    </row>
    <row r="29" spans="1:20">
      <c r="A29" s="200" t="s">
        <v>27</v>
      </c>
      <c r="B29" s="200" t="s">
        <v>245</v>
      </c>
      <c r="C29" s="43" t="s">
        <v>780</v>
      </c>
      <c r="D29" s="362">
        <v>3999000</v>
      </c>
      <c r="E29" s="207" t="s">
        <v>103</v>
      </c>
      <c r="F29" s="42"/>
      <c r="G29" s="35"/>
      <c r="H29" s="384">
        <f>VLOOKUP(A29,[1]Inventaire!$A$14:$C$267,3,FALSE)</f>
        <v>4</v>
      </c>
      <c r="O29" s="224"/>
      <c r="P29" s="198"/>
      <c r="Q29" s="198"/>
      <c r="R29" s="198"/>
      <c r="S29" s="198"/>
      <c r="T29" s="198"/>
    </row>
    <row r="30" spans="1:20">
      <c r="A30" s="200" t="s">
        <v>524</v>
      </c>
      <c r="B30" s="200" t="s">
        <v>245</v>
      </c>
      <c r="C30" s="43" t="s">
        <v>525</v>
      </c>
      <c r="D30" s="362">
        <v>3399000</v>
      </c>
      <c r="E30" s="207" t="s">
        <v>103</v>
      </c>
      <c r="F30" s="42"/>
      <c r="G30" s="35"/>
      <c r="H30" s="384">
        <f>VLOOKUP(A30,[1]Inventaire!$A$14:$C$267,3,FALSE)</f>
        <v>8</v>
      </c>
      <c r="O30" s="224"/>
      <c r="P30" s="198"/>
      <c r="Q30" s="198"/>
      <c r="R30" s="198"/>
      <c r="S30" s="198"/>
      <c r="T30" s="198"/>
    </row>
    <row r="31" spans="1:20">
      <c r="A31" s="200" t="s">
        <v>419</v>
      </c>
      <c r="B31" s="200" t="s">
        <v>245</v>
      </c>
      <c r="C31" s="43" t="s">
        <v>781</v>
      </c>
      <c r="D31" s="362">
        <v>4399000</v>
      </c>
      <c r="E31" s="207" t="s">
        <v>103</v>
      </c>
      <c r="F31" s="42"/>
      <c r="H31" s="384" t="e">
        <f>VLOOKUP(A31,[1]Inventaire!$A$14:$C$267,3,FALSE)</f>
        <v>#N/A</v>
      </c>
      <c r="O31" s="224"/>
      <c r="P31" s="198"/>
      <c r="Q31" s="198"/>
      <c r="R31" s="198"/>
      <c r="S31" s="198"/>
      <c r="T31" s="198"/>
    </row>
    <row r="32" spans="1:20">
      <c r="A32" s="200" t="s">
        <v>569</v>
      </c>
      <c r="B32" s="200" t="s">
        <v>245</v>
      </c>
      <c r="C32" s="43" t="s">
        <v>570</v>
      </c>
      <c r="D32" s="212">
        <v>3999000</v>
      </c>
      <c r="E32" s="207" t="s">
        <v>103</v>
      </c>
      <c r="F32" s="265"/>
      <c r="G32" s="35"/>
      <c r="H32" s="384" t="e">
        <f>VLOOKUP(A32,[1]Inventaire!$A$14:$C$267,3,FALSE)</f>
        <v>#N/A</v>
      </c>
      <c r="O32" s="224"/>
      <c r="P32" s="198"/>
      <c r="Q32" s="198"/>
      <c r="R32" s="198"/>
      <c r="S32" s="198"/>
      <c r="T32" s="198"/>
    </row>
    <row r="33" spans="1:20">
      <c r="A33" s="200" t="s">
        <v>450</v>
      </c>
      <c r="B33" s="200" t="s">
        <v>245</v>
      </c>
      <c r="C33" s="43" t="s">
        <v>782</v>
      </c>
      <c r="D33" s="212">
        <v>5200000</v>
      </c>
      <c r="E33" s="207" t="s">
        <v>103</v>
      </c>
      <c r="F33" s="265"/>
      <c r="G33" s="35"/>
      <c r="H33" s="384" t="e">
        <f>VLOOKUP(A33,[1]Inventaire!$A$14:$C$267,3,FALSE)</f>
        <v>#N/A</v>
      </c>
      <c r="O33" s="224"/>
      <c r="P33" s="198"/>
      <c r="Q33" s="198"/>
      <c r="R33" s="198"/>
      <c r="S33" s="198"/>
      <c r="T33" s="198"/>
    </row>
    <row r="34" spans="1:20">
      <c r="A34" s="200" t="s">
        <v>638</v>
      </c>
      <c r="B34" s="200" t="s">
        <v>245</v>
      </c>
      <c r="C34" s="43" t="s">
        <v>639</v>
      </c>
      <c r="D34" s="362">
        <v>4499000</v>
      </c>
      <c r="E34" s="207" t="s">
        <v>103</v>
      </c>
      <c r="F34" s="42"/>
      <c r="G34" s="35"/>
      <c r="H34" s="384">
        <f>VLOOKUP(A34,[1]Inventaire!$A$14:$C$267,3,FALSE)</f>
        <v>7</v>
      </c>
      <c r="O34" s="224"/>
      <c r="P34" s="198"/>
      <c r="Q34" s="198"/>
      <c r="R34" s="198"/>
      <c r="S34" s="198"/>
      <c r="T34" s="198"/>
    </row>
    <row r="35" spans="1:20">
      <c r="A35" s="200" t="s">
        <v>468</v>
      </c>
      <c r="B35" s="200" t="s">
        <v>245</v>
      </c>
      <c r="C35" s="43" t="s">
        <v>783</v>
      </c>
      <c r="D35" s="212">
        <v>6200000</v>
      </c>
      <c r="E35" s="207" t="s">
        <v>103</v>
      </c>
      <c r="F35" s="42"/>
      <c r="G35" s="35"/>
      <c r="H35" s="384" t="e">
        <f>VLOOKUP(A35,[1]Inventaire!$A$14:$C$267,3,FALSE)</f>
        <v>#N/A</v>
      </c>
      <c r="O35" s="224"/>
      <c r="P35" s="198"/>
      <c r="Q35" s="198"/>
      <c r="R35" s="198"/>
      <c r="S35" s="198"/>
      <c r="T35" s="198"/>
    </row>
    <row r="36" spans="1:20" ht="14.45" customHeight="1">
      <c r="A36" s="200" t="s">
        <v>210</v>
      </c>
      <c r="B36" s="200" t="s">
        <v>245</v>
      </c>
      <c r="C36" s="168" t="s">
        <v>784</v>
      </c>
      <c r="D36" s="212">
        <v>9000000</v>
      </c>
      <c r="E36" s="207" t="s">
        <v>103</v>
      </c>
      <c r="F36" s="42"/>
      <c r="G36" s="35"/>
      <c r="H36" s="384" t="e">
        <f>VLOOKUP(A36,[1]Inventaire!$A$14:$C$267,3,FALSE)</f>
        <v>#N/A</v>
      </c>
      <c r="O36" s="224"/>
      <c r="P36" s="198"/>
      <c r="Q36" s="198"/>
      <c r="R36" s="198"/>
      <c r="S36" s="198"/>
      <c r="T36" s="198"/>
    </row>
    <row r="37" spans="1:20" ht="14.45" customHeight="1">
      <c r="A37" s="200" t="s">
        <v>523</v>
      </c>
      <c r="B37" s="200" t="s">
        <v>245</v>
      </c>
      <c r="C37" s="168" t="s">
        <v>785</v>
      </c>
      <c r="D37" s="362">
        <v>9500000</v>
      </c>
      <c r="E37" s="207" t="s">
        <v>103</v>
      </c>
      <c r="F37" s="42"/>
      <c r="G37" s="35"/>
      <c r="H37" s="384">
        <f>VLOOKUP(A37,[1]Inventaire!$A$14:$C$267,3,FALSE)</f>
        <v>1</v>
      </c>
      <c r="O37" s="224"/>
      <c r="P37" s="198"/>
      <c r="Q37" s="198"/>
      <c r="R37" s="198"/>
      <c r="S37" s="198"/>
      <c r="T37" s="198"/>
    </row>
    <row r="38" spans="1:20" ht="14.45" customHeight="1">
      <c r="A38" s="290" t="s">
        <v>553</v>
      </c>
      <c r="B38" s="290" t="s">
        <v>245</v>
      </c>
      <c r="C38" s="385" t="s">
        <v>556</v>
      </c>
      <c r="D38" s="386">
        <v>10999000</v>
      </c>
      <c r="E38" s="387" t="s">
        <v>103</v>
      </c>
      <c r="F38" s="42"/>
      <c r="G38" s="289"/>
      <c r="H38" s="384">
        <f>VLOOKUP(A38,[1]Inventaire!$A$14:$C$267,3,FALSE)</f>
        <v>1</v>
      </c>
      <c r="O38" s="224"/>
      <c r="P38" s="198"/>
      <c r="Q38" s="198"/>
      <c r="R38" s="198"/>
      <c r="S38" s="198"/>
      <c r="T38" s="198"/>
    </row>
    <row r="39" spans="1:20" ht="14.45" customHeight="1">
      <c r="A39" s="290" t="s">
        <v>554</v>
      </c>
      <c r="B39" s="290" t="s">
        <v>245</v>
      </c>
      <c r="C39" s="385" t="s">
        <v>555</v>
      </c>
      <c r="D39" s="386">
        <v>12999000</v>
      </c>
      <c r="E39" s="387" t="s">
        <v>103</v>
      </c>
      <c r="F39" s="42"/>
      <c r="G39" s="289"/>
      <c r="H39" s="384">
        <f>VLOOKUP(A39,[1]Inventaire!$A$14:$C$267,3,FALSE)</f>
        <v>1</v>
      </c>
      <c r="O39" s="224"/>
      <c r="P39" s="198"/>
      <c r="Q39" s="198"/>
      <c r="R39" s="198"/>
      <c r="S39" s="198"/>
      <c r="T39" s="198"/>
    </row>
    <row r="40" spans="1:20" ht="14.45" customHeight="1">
      <c r="A40" s="290" t="s">
        <v>572</v>
      </c>
      <c r="B40" s="290" t="s">
        <v>245</v>
      </c>
      <c r="C40" s="385" t="s">
        <v>575</v>
      </c>
      <c r="D40" s="386">
        <v>6999000</v>
      </c>
      <c r="E40" s="387" t="s">
        <v>103</v>
      </c>
      <c r="F40" s="42"/>
      <c r="G40" s="289"/>
      <c r="H40" s="384">
        <f>VLOOKUP(A40,[1]Inventaire!$A$14:$C$267,3,FALSE)</f>
        <v>1</v>
      </c>
      <c r="O40" s="224"/>
      <c r="P40" s="198"/>
      <c r="Q40" s="198"/>
      <c r="R40" s="198"/>
      <c r="S40" s="198"/>
      <c r="T40" s="198"/>
    </row>
    <row r="41" spans="1:20" ht="14.45" customHeight="1">
      <c r="A41" s="290" t="s">
        <v>571</v>
      </c>
      <c r="B41" s="290" t="s">
        <v>245</v>
      </c>
      <c r="C41" s="385" t="s">
        <v>576</v>
      </c>
      <c r="D41" s="386">
        <v>8999000</v>
      </c>
      <c r="E41" s="387" t="s">
        <v>103</v>
      </c>
      <c r="F41" s="42"/>
      <c r="G41" s="289"/>
      <c r="H41" s="384">
        <f>VLOOKUP(A41,[1]Inventaire!$A$14:$C$267,3,FALSE)</f>
        <v>1</v>
      </c>
      <c r="O41" s="224"/>
      <c r="P41" s="198"/>
      <c r="Q41" s="198"/>
      <c r="R41" s="198"/>
      <c r="S41" s="198"/>
      <c r="T41" s="198"/>
    </row>
    <row r="42" spans="1:20">
      <c r="A42" s="200" t="s">
        <v>655</v>
      </c>
      <c r="B42" s="200" t="s">
        <v>111</v>
      </c>
      <c r="C42" s="43" t="s">
        <v>526</v>
      </c>
      <c r="D42" s="362">
        <v>749000</v>
      </c>
      <c r="E42" s="207" t="s">
        <v>103</v>
      </c>
      <c r="F42" s="42"/>
      <c r="G42" s="35"/>
      <c r="H42" s="384">
        <f>VLOOKUP(A42,[1]Inventaire!$A$14:$C$267,3,FALSE)</f>
        <v>2</v>
      </c>
      <c r="O42" s="224"/>
      <c r="P42" s="198"/>
      <c r="Q42" s="198"/>
      <c r="R42" s="198"/>
      <c r="S42" s="198"/>
      <c r="T42" s="198"/>
    </row>
    <row r="43" spans="1:20">
      <c r="A43" s="200" t="s">
        <v>333</v>
      </c>
      <c r="B43" s="200" t="s">
        <v>111</v>
      </c>
      <c r="C43" s="43" t="s">
        <v>527</v>
      </c>
      <c r="D43" s="362">
        <v>849000</v>
      </c>
      <c r="E43" s="207" t="s">
        <v>103</v>
      </c>
      <c r="F43" s="42"/>
      <c r="G43" s="35"/>
      <c r="H43" s="384">
        <f>VLOOKUP(A43,[1]Inventaire!$A$14:$C$267,3,FALSE)</f>
        <v>1</v>
      </c>
      <c r="O43" s="224"/>
      <c r="P43" s="198"/>
      <c r="Q43" s="198"/>
      <c r="R43" s="198"/>
      <c r="S43" s="198"/>
      <c r="T43" s="198"/>
    </row>
    <row r="44" spans="1:20" ht="14.45" customHeight="1">
      <c r="A44" s="200" t="s">
        <v>416</v>
      </c>
      <c r="B44" s="200" t="s">
        <v>415</v>
      </c>
      <c r="C44" s="195" t="s">
        <v>417</v>
      </c>
      <c r="D44" s="268">
        <v>2300000</v>
      </c>
      <c r="E44" s="130" t="s">
        <v>206</v>
      </c>
      <c r="F44" s="42"/>
      <c r="G44" s="35"/>
      <c r="H44" s="384" t="e">
        <f>VLOOKUP(A44,[1]Inventaire!$A$14:$C$267,3,FALSE)</f>
        <v>#N/A</v>
      </c>
      <c r="O44" s="224"/>
      <c r="P44" s="198"/>
      <c r="Q44" s="198"/>
      <c r="R44" s="198"/>
      <c r="S44" s="198"/>
      <c r="T44" s="198"/>
    </row>
    <row r="45" spans="1:20" ht="6.6" customHeight="1" thickBot="1">
      <c r="A45" s="66" t="s">
        <v>157</v>
      </c>
      <c r="B45" s="5"/>
      <c r="C45" s="162"/>
      <c r="D45" s="361"/>
      <c r="E45" s="59"/>
      <c r="F45" s="136"/>
      <c r="G45" s="32"/>
      <c r="H45" s="384" t="e">
        <f>VLOOKUP(A45,[1]Inventaire!$A$14:$C$267,3,FALSE)</f>
        <v>#N/A</v>
      </c>
      <c r="O45" s="224"/>
      <c r="P45" s="198"/>
      <c r="Q45" s="198"/>
      <c r="R45" s="198"/>
      <c r="S45" s="198"/>
      <c r="T45" s="198"/>
    </row>
    <row r="46" spans="1:20">
      <c r="A46" s="65" t="s">
        <v>157</v>
      </c>
      <c r="B46" s="30"/>
      <c r="C46" s="163" t="s">
        <v>484</v>
      </c>
      <c r="D46" s="348"/>
      <c r="E46" s="30"/>
      <c r="F46" s="320"/>
      <c r="G46" s="32"/>
      <c r="H46" s="384" t="e">
        <f>VLOOKUP(A46,[1]Inventaire!$A$14:$C$267,3,FALSE)</f>
        <v>#N/A</v>
      </c>
      <c r="O46" s="224"/>
      <c r="P46" s="198"/>
      <c r="Q46" s="198"/>
      <c r="R46" s="198"/>
      <c r="S46" s="198"/>
      <c r="T46" s="198"/>
    </row>
    <row r="47" spans="1:20">
      <c r="A47" s="200" t="s">
        <v>479</v>
      </c>
      <c r="B47" s="200" t="s">
        <v>528</v>
      </c>
      <c r="C47" s="43" t="s">
        <v>755</v>
      </c>
      <c r="D47" s="212">
        <v>1799000</v>
      </c>
      <c r="E47" s="130" t="s">
        <v>206</v>
      </c>
      <c r="F47" s="42"/>
      <c r="G47" s="35"/>
      <c r="H47" s="384" t="e">
        <f>VLOOKUP(A47,[1]Inventaire!$A$14:$C$267,3,FALSE)</f>
        <v>#N/A</v>
      </c>
      <c r="O47" s="224"/>
      <c r="P47" s="198"/>
      <c r="Q47" s="198"/>
      <c r="R47" s="198"/>
      <c r="S47" s="198"/>
      <c r="T47" s="198"/>
    </row>
    <row r="48" spans="1:20">
      <c r="A48" s="200" t="s">
        <v>480</v>
      </c>
      <c r="B48" s="200" t="s">
        <v>528</v>
      </c>
      <c r="C48" s="43" t="s">
        <v>483</v>
      </c>
      <c r="D48" s="212">
        <v>1999000</v>
      </c>
      <c r="E48" s="207" t="s">
        <v>103</v>
      </c>
      <c r="F48" s="42"/>
      <c r="G48" s="35"/>
      <c r="H48" s="384">
        <f>VLOOKUP(A48,[1]Inventaire!$A$14:$C$267,3,FALSE)</f>
        <v>3</v>
      </c>
      <c r="O48" s="224"/>
      <c r="P48" s="198"/>
      <c r="Q48" s="198"/>
      <c r="R48" s="198"/>
      <c r="S48" s="198"/>
      <c r="T48" s="198"/>
    </row>
    <row r="49" spans="1:20">
      <c r="A49" s="200" t="s">
        <v>499</v>
      </c>
      <c r="B49" s="200" t="s">
        <v>528</v>
      </c>
      <c r="C49" s="43" t="s">
        <v>778</v>
      </c>
      <c r="D49" s="212">
        <v>2299000</v>
      </c>
      <c r="E49" s="207" t="s">
        <v>103</v>
      </c>
      <c r="F49" s="42"/>
      <c r="G49" s="35"/>
      <c r="H49" s="384">
        <f>VLOOKUP(A49,[1]Inventaire!$A$14:$C$267,3,FALSE)</f>
        <v>2</v>
      </c>
      <c r="O49" s="224"/>
      <c r="P49" s="198"/>
      <c r="Q49" s="198"/>
      <c r="R49" s="198"/>
      <c r="S49" s="198"/>
      <c r="T49" s="198"/>
    </row>
    <row r="50" spans="1:20">
      <c r="A50" s="200" t="s">
        <v>481</v>
      </c>
      <c r="B50" s="200" t="s">
        <v>528</v>
      </c>
      <c r="C50" s="43" t="s">
        <v>482</v>
      </c>
      <c r="D50" s="212">
        <v>2949000</v>
      </c>
      <c r="E50" s="207" t="s">
        <v>103</v>
      </c>
      <c r="F50" s="42"/>
      <c r="G50" s="35"/>
      <c r="H50" s="384">
        <f>VLOOKUP(A50,[1]Inventaire!$A$14:$C$267,3,FALSE)</f>
        <v>2</v>
      </c>
      <c r="O50" s="224"/>
      <c r="P50" s="198"/>
      <c r="Q50" s="198"/>
      <c r="R50" s="198"/>
      <c r="S50" s="198"/>
      <c r="T50" s="198"/>
    </row>
    <row r="51" spans="1:20">
      <c r="A51" s="200" t="s">
        <v>500</v>
      </c>
      <c r="B51" s="200" t="s">
        <v>449</v>
      </c>
      <c r="C51" s="43" t="s">
        <v>448</v>
      </c>
      <c r="D51" s="362">
        <v>89000</v>
      </c>
      <c r="E51" s="207" t="s">
        <v>103</v>
      </c>
      <c r="F51" s="42"/>
      <c r="G51" s="35"/>
      <c r="H51" s="384">
        <f>VLOOKUP(A51,[1]Inventaire!$A$14:$C$267,3,FALSE)</f>
        <v>4</v>
      </c>
      <c r="O51" s="224"/>
      <c r="P51" s="198"/>
      <c r="Q51" s="198"/>
      <c r="R51" s="198"/>
      <c r="S51" s="198"/>
      <c r="T51" s="198"/>
    </row>
    <row r="52" spans="1:20">
      <c r="A52" s="200" t="s">
        <v>447</v>
      </c>
      <c r="B52" s="200" t="s">
        <v>449</v>
      </c>
      <c r="C52" s="43" t="s">
        <v>448</v>
      </c>
      <c r="D52" s="362">
        <v>89000</v>
      </c>
      <c r="E52" s="207" t="s">
        <v>103</v>
      </c>
      <c r="F52" s="42"/>
      <c r="G52" s="32"/>
      <c r="H52" s="384">
        <f>VLOOKUP(A52,[1]Inventaire!$A$14:$C$267,3,FALSE)</f>
        <v>6</v>
      </c>
      <c r="O52" s="224"/>
      <c r="P52" s="198"/>
      <c r="Q52" s="198"/>
      <c r="R52" s="198"/>
      <c r="S52" s="198"/>
      <c r="T52" s="198"/>
    </row>
    <row r="53" spans="1:20">
      <c r="A53" s="200" t="s">
        <v>473</v>
      </c>
      <c r="B53" s="200" t="s">
        <v>529</v>
      </c>
      <c r="C53" s="43" t="s">
        <v>475</v>
      </c>
      <c r="D53" s="212">
        <v>2299000</v>
      </c>
      <c r="E53" s="207" t="s">
        <v>103</v>
      </c>
      <c r="F53" s="42"/>
      <c r="G53" s="35"/>
      <c r="H53" s="384">
        <f>VLOOKUP(A53,[1]Inventaire!$A$14:$C$267,3,FALSE)</f>
        <v>2</v>
      </c>
      <c r="O53" s="224"/>
      <c r="P53" s="198"/>
      <c r="Q53" s="198"/>
      <c r="R53" s="198"/>
      <c r="S53" s="198"/>
      <c r="T53" s="198"/>
    </row>
    <row r="54" spans="1:20">
      <c r="A54" s="200" t="s">
        <v>474</v>
      </c>
      <c r="B54" s="200" t="s">
        <v>529</v>
      </c>
      <c r="C54" s="43" t="s">
        <v>476</v>
      </c>
      <c r="D54" s="212">
        <v>2599000</v>
      </c>
      <c r="E54" s="207" t="s">
        <v>206</v>
      </c>
      <c r="F54" s="42"/>
      <c r="G54" s="35"/>
      <c r="H54" s="384">
        <f>VLOOKUP(A54,[1]Inventaire!$A$14:$C$267,3,FALSE)</f>
        <v>2</v>
      </c>
      <c r="O54" s="224"/>
      <c r="P54" s="198"/>
      <c r="Q54" s="198"/>
      <c r="R54" s="198"/>
      <c r="S54" s="198"/>
      <c r="T54" s="198"/>
    </row>
    <row r="55" spans="1:20">
      <c r="A55" s="200" t="s">
        <v>477</v>
      </c>
      <c r="B55" s="200" t="s">
        <v>449</v>
      </c>
      <c r="C55" s="43" t="s">
        <v>478</v>
      </c>
      <c r="D55" s="212">
        <v>145000</v>
      </c>
      <c r="E55" s="130" t="s">
        <v>206</v>
      </c>
      <c r="F55" s="42"/>
      <c r="G55" s="35"/>
      <c r="H55" s="384" t="e">
        <f>VLOOKUP(A55,[1]Inventaire!$A$14:$C$267,3,FALSE)</f>
        <v>#N/A</v>
      </c>
      <c r="O55" s="224"/>
      <c r="P55" s="198"/>
      <c r="Q55" s="198"/>
      <c r="R55" s="198"/>
      <c r="S55" s="198"/>
      <c r="T55" s="198"/>
    </row>
    <row r="56" spans="1:20" ht="6.6" customHeight="1" thickBot="1">
      <c r="A56" s="66" t="s">
        <v>157</v>
      </c>
      <c r="B56" s="5"/>
      <c r="C56" s="162"/>
      <c r="D56" s="361"/>
      <c r="E56" s="59"/>
      <c r="F56" s="136"/>
      <c r="G56" s="32"/>
      <c r="H56" s="384" t="e">
        <f>VLOOKUP(A56,[1]Inventaire!$A$14:$C$267,3,FALSE)</f>
        <v>#N/A</v>
      </c>
      <c r="O56" s="224"/>
      <c r="P56" s="198"/>
      <c r="Q56" s="198"/>
      <c r="R56" s="198"/>
      <c r="S56" s="198"/>
      <c r="T56" s="198"/>
    </row>
    <row r="57" spans="1:20">
      <c r="A57" s="65" t="s">
        <v>157</v>
      </c>
      <c r="B57" s="30"/>
      <c r="C57" s="163" t="s">
        <v>487</v>
      </c>
      <c r="D57" s="348"/>
      <c r="E57" s="30"/>
      <c r="F57" s="320"/>
      <c r="G57" s="32"/>
      <c r="H57" s="384" t="e">
        <f>VLOOKUP(A57,[1]Inventaire!$A$14:$C$267,3,FALSE)</f>
        <v>#N/A</v>
      </c>
      <c r="O57" s="224"/>
      <c r="P57" s="198"/>
      <c r="Q57" s="198"/>
      <c r="R57" s="198"/>
      <c r="S57" s="198"/>
      <c r="T57" s="198"/>
    </row>
    <row r="58" spans="1:20">
      <c r="A58" s="200" t="s">
        <v>565</v>
      </c>
      <c r="B58" s="200" t="s">
        <v>263</v>
      </c>
      <c r="C58" s="43" t="s">
        <v>566</v>
      </c>
      <c r="D58" s="268">
        <v>199000</v>
      </c>
      <c r="E58" s="130" t="s">
        <v>206</v>
      </c>
      <c r="F58" s="42"/>
      <c r="G58" s="32"/>
      <c r="H58" s="384" t="e">
        <f>VLOOKUP(A58,[1]Inventaire!$A$14:$C$267,3,FALSE)</f>
        <v>#N/A</v>
      </c>
      <c r="O58" s="224"/>
      <c r="P58" s="198"/>
      <c r="Q58" s="198"/>
      <c r="R58" s="198"/>
      <c r="S58" s="198"/>
      <c r="T58" s="198"/>
    </row>
    <row r="59" spans="1:20">
      <c r="A59" s="200" t="s">
        <v>35</v>
      </c>
      <c r="B59" s="200" t="s">
        <v>263</v>
      </c>
      <c r="C59" s="43" t="s">
        <v>258</v>
      </c>
      <c r="D59" s="212">
        <v>349000</v>
      </c>
      <c r="E59" s="207" t="s">
        <v>103</v>
      </c>
      <c r="F59" s="42"/>
      <c r="G59" s="32"/>
      <c r="H59" s="384">
        <f>VLOOKUP(A59,[1]Inventaire!$A$14:$C$267,3,FALSE)</f>
        <v>9</v>
      </c>
      <c r="O59" s="224"/>
      <c r="P59" s="198"/>
      <c r="Q59" s="198"/>
      <c r="R59" s="198"/>
      <c r="S59" s="198"/>
      <c r="T59" s="198"/>
    </row>
    <row r="60" spans="1:20">
      <c r="A60" s="200" t="s">
        <v>36</v>
      </c>
      <c r="B60" s="200" t="s">
        <v>263</v>
      </c>
      <c r="C60" s="43" t="s">
        <v>257</v>
      </c>
      <c r="D60" s="351">
        <v>450000</v>
      </c>
      <c r="E60" s="150" t="s">
        <v>204</v>
      </c>
      <c r="F60" s="42"/>
      <c r="G60" s="32"/>
      <c r="H60" s="384" t="e">
        <f>VLOOKUP(A60,[1]Inventaire!$A$14:$C$267,3,FALSE)</f>
        <v>#N/A</v>
      </c>
      <c r="O60" s="224"/>
      <c r="P60" s="198"/>
      <c r="Q60" s="198"/>
      <c r="R60" s="198"/>
      <c r="S60" s="198"/>
      <c r="T60" s="198"/>
    </row>
    <row r="61" spans="1:20">
      <c r="A61" s="200" t="s">
        <v>110</v>
      </c>
      <c r="B61" s="200" t="s">
        <v>263</v>
      </c>
      <c r="C61" s="43" t="s">
        <v>259</v>
      </c>
      <c r="D61" s="212">
        <v>549000</v>
      </c>
      <c r="E61" s="150" t="s">
        <v>204</v>
      </c>
      <c r="F61" s="42"/>
      <c r="G61" s="35"/>
      <c r="H61" s="384" t="e">
        <f>VLOOKUP(A61,[1]Inventaire!$A$14:$C$267,3,FALSE)</f>
        <v>#N/A</v>
      </c>
      <c r="O61" s="224"/>
      <c r="P61" s="198"/>
      <c r="Q61" s="198"/>
      <c r="R61" s="198"/>
      <c r="S61" s="198"/>
      <c r="T61" s="198"/>
    </row>
    <row r="62" spans="1:20">
      <c r="A62" s="200" t="s">
        <v>37</v>
      </c>
      <c r="B62" s="200" t="s">
        <v>263</v>
      </c>
      <c r="C62" s="43" t="s">
        <v>660</v>
      </c>
      <c r="D62" s="351">
        <v>899000</v>
      </c>
      <c r="E62" s="207" t="s">
        <v>103</v>
      </c>
      <c r="F62" s="300"/>
      <c r="G62" s="301"/>
      <c r="H62" s="384">
        <f>VLOOKUP(A62,[1]Inventaire!$A$14:$C$267,3,FALSE)</f>
        <v>18</v>
      </c>
      <c r="O62" s="302"/>
      <c r="P62" s="198"/>
      <c r="Q62" s="198"/>
      <c r="R62" s="198"/>
      <c r="S62" s="198"/>
      <c r="T62" s="198"/>
    </row>
    <row r="63" spans="1:20">
      <c r="A63" s="200" t="s">
        <v>336</v>
      </c>
      <c r="B63" s="200" t="s">
        <v>263</v>
      </c>
      <c r="C63" s="43" t="s">
        <v>337</v>
      </c>
      <c r="D63" s="358">
        <v>1105000</v>
      </c>
      <c r="E63" s="207" t="s">
        <v>103</v>
      </c>
      <c r="F63" s="42"/>
      <c r="G63" s="220" t="s">
        <v>316</v>
      </c>
      <c r="H63" s="384">
        <f>VLOOKUP(A63,[1]Inventaire!$A$14:$C$267,3,FALSE)</f>
        <v>2</v>
      </c>
      <c r="O63" s="224"/>
      <c r="P63" s="198"/>
      <c r="Q63" s="198"/>
      <c r="R63" s="198"/>
      <c r="S63" s="198"/>
      <c r="T63" s="198"/>
    </row>
    <row r="64" spans="1:20">
      <c r="A64" s="200" t="s">
        <v>34</v>
      </c>
      <c r="B64" s="200" t="s">
        <v>263</v>
      </c>
      <c r="C64" s="43" t="s">
        <v>264</v>
      </c>
      <c r="D64" s="212">
        <v>1499000</v>
      </c>
      <c r="E64" s="207" t="s">
        <v>103</v>
      </c>
      <c r="F64" s="42"/>
      <c r="G64" s="32"/>
      <c r="H64" s="384">
        <f>VLOOKUP(A64,[1]Inventaire!$A$14:$C$267,3,FALSE)</f>
        <v>56</v>
      </c>
      <c r="O64" s="224"/>
      <c r="P64" s="198"/>
      <c r="Q64" s="198"/>
      <c r="R64" s="198"/>
      <c r="S64" s="198"/>
      <c r="T64" s="198"/>
    </row>
    <row r="65" spans="1:20">
      <c r="A65" s="200" t="s">
        <v>351</v>
      </c>
      <c r="B65" s="200" t="s">
        <v>263</v>
      </c>
      <c r="C65" s="43" t="s">
        <v>352</v>
      </c>
      <c r="D65" s="358">
        <v>1450000</v>
      </c>
      <c r="E65" s="207" t="s">
        <v>103</v>
      </c>
      <c r="F65" s="42"/>
      <c r="G65" s="220" t="s">
        <v>316</v>
      </c>
      <c r="H65" s="384">
        <f>VLOOKUP(A65,[1]Inventaire!$A$14:$C$267,3,FALSE)</f>
        <v>22</v>
      </c>
      <c r="O65" s="224"/>
      <c r="P65" s="198"/>
      <c r="Q65" s="198"/>
      <c r="R65" s="198"/>
      <c r="S65" s="198"/>
      <c r="T65" s="198"/>
    </row>
    <row r="66" spans="1:20">
      <c r="A66" s="200" t="s">
        <v>567</v>
      </c>
      <c r="B66" s="200" t="s">
        <v>263</v>
      </c>
      <c r="C66" s="43" t="s">
        <v>568</v>
      </c>
      <c r="D66" s="212">
        <v>1699000</v>
      </c>
      <c r="E66" s="207" t="s">
        <v>103</v>
      </c>
      <c r="F66" s="42"/>
      <c r="G66" s="32"/>
      <c r="H66" s="384">
        <f>VLOOKUP(A66,[1]Inventaire!$A$14:$C$267,3,FALSE)</f>
        <v>1</v>
      </c>
      <c r="O66" s="224"/>
      <c r="P66" s="198"/>
      <c r="Q66" s="198"/>
      <c r="R66" s="198"/>
      <c r="S66" s="198"/>
      <c r="T66" s="198"/>
    </row>
    <row r="67" spans="1:20">
      <c r="A67" s="271" t="s">
        <v>446</v>
      </c>
      <c r="B67" s="200" t="s">
        <v>486</v>
      </c>
      <c r="C67" s="43" t="s">
        <v>466</v>
      </c>
      <c r="D67" s="212">
        <v>3300000</v>
      </c>
      <c r="E67" s="130" t="s">
        <v>206</v>
      </c>
      <c r="F67" s="42"/>
      <c r="G67" s="32"/>
      <c r="H67" s="384" t="e">
        <f>VLOOKUP(A67,[1]Inventaire!$A$14:$C$267,3,FALSE)</f>
        <v>#N/A</v>
      </c>
      <c r="O67" s="224"/>
      <c r="P67" s="198"/>
      <c r="Q67" s="198"/>
      <c r="R67" s="198"/>
      <c r="S67" s="198"/>
      <c r="T67" s="198"/>
    </row>
    <row r="68" spans="1:20" ht="6.6" customHeight="1" thickBot="1">
      <c r="A68" s="66" t="s">
        <v>157</v>
      </c>
      <c r="B68" s="5"/>
      <c r="C68" s="162"/>
      <c r="D68" s="361"/>
      <c r="E68" s="59"/>
      <c r="F68" s="136"/>
      <c r="G68" s="32"/>
      <c r="H68" s="384" t="e">
        <f>VLOOKUP(A68,[1]Inventaire!$A$14:$C$267,3,FALSE)</f>
        <v>#N/A</v>
      </c>
      <c r="O68" s="224"/>
      <c r="P68" s="198"/>
      <c r="Q68" s="198"/>
      <c r="R68" s="198"/>
      <c r="S68" s="198"/>
      <c r="T68" s="198"/>
    </row>
    <row r="69" spans="1:20">
      <c r="A69" s="65" t="s">
        <v>157</v>
      </c>
      <c r="B69" s="30"/>
      <c r="C69" s="163" t="s">
        <v>325</v>
      </c>
      <c r="D69" s="348"/>
      <c r="E69" s="30"/>
      <c r="F69" s="320"/>
      <c r="G69" s="32"/>
      <c r="H69" s="384" t="e">
        <f>VLOOKUP(A69,[1]Inventaire!$A$14:$C$267,3,FALSE)</f>
        <v>#N/A</v>
      </c>
      <c r="O69" s="224"/>
      <c r="P69" s="198"/>
      <c r="Q69" s="198"/>
      <c r="R69" s="198"/>
      <c r="S69" s="198"/>
      <c r="T69" s="198"/>
    </row>
    <row r="70" spans="1:20">
      <c r="A70" s="200" t="s">
        <v>315</v>
      </c>
      <c r="B70" s="200" t="s">
        <v>41</v>
      </c>
      <c r="C70" s="43" t="s">
        <v>376</v>
      </c>
      <c r="D70" s="362">
        <v>9700</v>
      </c>
      <c r="E70" s="207" t="s">
        <v>103</v>
      </c>
      <c r="F70" s="42"/>
      <c r="G70" s="220" t="s">
        <v>316</v>
      </c>
      <c r="H70" s="384">
        <f>VLOOKUP(A70,[1]Inventaire!$A$14:$C$267,3,FALSE)</f>
        <v>1</v>
      </c>
      <c r="O70" s="224"/>
      <c r="P70" s="198"/>
      <c r="Q70" s="198"/>
      <c r="R70" s="198"/>
      <c r="S70" s="198"/>
      <c r="T70" s="198"/>
    </row>
    <row r="71" spans="1:20" ht="6.6" customHeight="1" thickBot="1">
      <c r="A71" s="66" t="s">
        <v>157</v>
      </c>
      <c r="B71" s="5"/>
      <c r="C71" s="162">
        <v>0.33</v>
      </c>
      <c r="D71" s="361"/>
      <c r="E71" s="59"/>
      <c r="F71" s="136"/>
      <c r="G71" s="32"/>
      <c r="H71" s="384" t="e">
        <f>VLOOKUP(A71,[1]Inventaire!$A$14:$C$267,3,FALSE)</f>
        <v>#N/A</v>
      </c>
      <c r="O71" s="224"/>
      <c r="P71" s="198"/>
      <c r="Q71" s="198"/>
      <c r="R71" s="198"/>
      <c r="S71" s="198"/>
      <c r="T71" s="198"/>
    </row>
    <row r="72" spans="1:20">
      <c r="A72" s="65" t="s">
        <v>157</v>
      </c>
      <c r="B72" s="30"/>
      <c r="C72" s="163" t="s">
        <v>326</v>
      </c>
      <c r="D72" s="348"/>
      <c r="E72" s="30"/>
      <c r="F72" s="320"/>
      <c r="G72" s="32"/>
      <c r="H72" s="384" t="e">
        <f>VLOOKUP(A72,[1]Inventaire!$A$14:$C$267,3,FALSE)</f>
        <v>#N/A</v>
      </c>
      <c r="O72" s="224"/>
      <c r="P72" s="198"/>
      <c r="Q72" s="198"/>
      <c r="R72" s="198"/>
      <c r="S72" s="198"/>
      <c r="T72" s="198"/>
    </row>
    <row r="73" spans="1:20">
      <c r="A73" s="200" t="s">
        <v>573</v>
      </c>
      <c r="B73" s="200" t="s">
        <v>162</v>
      </c>
      <c r="C73" s="195" t="s">
        <v>574</v>
      </c>
      <c r="D73" s="212">
        <v>590000</v>
      </c>
      <c r="E73" s="207" t="s">
        <v>103</v>
      </c>
      <c r="F73" s="42"/>
      <c r="G73" s="35"/>
      <c r="H73" s="384">
        <f>VLOOKUP(A73,[1]Inventaire!$A$14:$C$267,3,FALSE)</f>
        <v>3</v>
      </c>
      <c r="O73" s="224"/>
      <c r="P73" s="198"/>
      <c r="Q73" s="198"/>
      <c r="R73" s="198"/>
      <c r="S73" s="198"/>
      <c r="T73" s="198"/>
    </row>
    <row r="74" spans="1:20">
      <c r="A74" s="200" t="s">
        <v>460</v>
      </c>
      <c r="B74" s="200" t="s">
        <v>162</v>
      </c>
      <c r="C74" s="195" t="s">
        <v>467</v>
      </c>
      <c r="D74" s="212">
        <v>999000</v>
      </c>
      <c r="E74" s="207" t="s">
        <v>103</v>
      </c>
      <c r="F74" s="42"/>
      <c r="G74" s="35"/>
      <c r="H74" s="384">
        <f>VLOOKUP(A74,[1]Inventaire!$A$14:$C$267,3,FALSE)</f>
        <v>4</v>
      </c>
      <c r="O74" s="224"/>
      <c r="P74" s="198"/>
      <c r="Q74" s="198"/>
      <c r="R74" s="198"/>
      <c r="S74" s="198"/>
      <c r="T74" s="198"/>
    </row>
    <row r="75" spans="1:20">
      <c r="A75" s="200" t="s">
        <v>455</v>
      </c>
      <c r="B75" s="200" t="s">
        <v>459</v>
      </c>
      <c r="C75" s="43" t="s">
        <v>457</v>
      </c>
      <c r="D75" s="212">
        <v>69000</v>
      </c>
      <c r="E75" s="207" t="s">
        <v>103</v>
      </c>
      <c r="G75" s="32"/>
      <c r="H75" s="384">
        <f>VLOOKUP(A75,[1]Inventaire!$A$14:$C$267,3,FALSE)</f>
        <v>8</v>
      </c>
      <c r="O75" s="224"/>
      <c r="P75" s="198"/>
      <c r="Q75" s="198"/>
      <c r="R75" s="198"/>
      <c r="S75" s="198"/>
      <c r="T75" s="198"/>
    </row>
    <row r="76" spans="1:20">
      <c r="A76" s="200" t="s">
        <v>456</v>
      </c>
      <c r="B76" s="200" t="s">
        <v>459</v>
      </c>
      <c r="C76" s="43" t="s">
        <v>458</v>
      </c>
      <c r="D76" s="212">
        <v>159000</v>
      </c>
      <c r="E76" s="207" t="s">
        <v>103</v>
      </c>
      <c r="F76" s="42"/>
      <c r="G76" s="32"/>
      <c r="H76" s="384">
        <f>VLOOKUP(A76,[1]Inventaire!$A$14:$C$267,3,FALSE)</f>
        <v>14</v>
      </c>
      <c r="O76" s="224"/>
      <c r="P76" s="198"/>
      <c r="Q76" s="198"/>
      <c r="R76" s="198"/>
      <c r="S76" s="198"/>
      <c r="T76" s="198"/>
    </row>
    <row r="77" spans="1:20">
      <c r="A77" s="200" t="s">
        <v>453</v>
      </c>
      <c r="B77" s="200" t="s">
        <v>459</v>
      </c>
      <c r="C77" s="43" t="s">
        <v>454</v>
      </c>
      <c r="D77" s="212">
        <v>189000</v>
      </c>
      <c r="E77" s="130" t="s">
        <v>206</v>
      </c>
      <c r="G77" s="32"/>
      <c r="H77" s="384" t="e">
        <f>VLOOKUP(A77,[1]Inventaire!$A$14:$C$267,3,FALSE)</f>
        <v>#N/A</v>
      </c>
      <c r="O77" s="224"/>
      <c r="P77" s="198"/>
      <c r="Q77" s="198"/>
      <c r="R77" s="198"/>
      <c r="S77" s="198"/>
      <c r="T77" s="198"/>
    </row>
    <row r="78" spans="1:20">
      <c r="A78" s="200" t="s">
        <v>209</v>
      </c>
      <c r="B78" s="200" t="s">
        <v>44</v>
      </c>
      <c r="C78" s="43" t="s">
        <v>229</v>
      </c>
      <c r="D78" s="351">
        <v>275000</v>
      </c>
      <c r="E78" s="207" t="s">
        <v>103</v>
      </c>
      <c r="F78" s="42"/>
      <c r="G78" s="32"/>
      <c r="H78" s="384">
        <f>VLOOKUP(A78,[1]Inventaire!$A$14:$C$267,3,FALSE)</f>
        <v>1</v>
      </c>
      <c r="O78" s="224"/>
      <c r="P78" s="198"/>
      <c r="Q78" s="198"/>
      <c r="R78" s="198"/>
      <c r="S78" s="198"/>
      <c r="T78" s="198"/>
    </row>
    <row r="79" spans="1:20">
      <c r="A79" s="200" t="s">
        <v>43</v>
      </c>
      <c r="B79" s="200" t="s">
        <v>44</v>
      </c>
      <c r="C79" s="43" t="s">
        <v>353</v>
      </c>
      <c r="D79" s="212">
        <v>720000</v>
      </c>
      <c r="E79" s="207" t="s">
        <v>103</v>
      </c>
      <c r="F79" s="42"/>
      <c r="G79" s="32"/>
      <c r="H79" s="384">
        <f>VLOOKUP(A79,[1]Inventaire!$A$14:$C$267,3,FALSE)</f>
        <v>21</v>
      </c>
      <c r="O79" s="224"/>
      <c r="P79" s="198"/>
      <c r="Q79" s="198"/>
      <c r="R79" s="198"/>
      <c r="S79" s="198"/>
      <c r="T79" s="198"/>
    </row>
    <row r="80" spans="1:20">
      <c r="A80" s="200" t="s">
        <v>451</v>
      </c>
      <c r="B80" s="200" t="s">
        <v>33</v>
      </c>
      <c r="C80" s="43" t="s">
        <v>452</v>
      </c>
      <c r="D80" s="268">
        <v>145000</v>
      </c>
      <c r="E80" s="150" t="s">
        <v>204</v>
      </c>
      <c r="F80" s="42"/>
      <c r="G80" s="32"/>
      <c r="H80" s="384">
        <f>VLOOKUP(A80,[1]Inventaire!$A$14:$C$267,3,FALSE)</f>
        <v>23</v>
      </c>
      <c r="O80" s="224"/>
      <c r="P80" s="198"/>
      <c r="Q80" s="198"/>
      <c r="R80" s="198"/>
      <c r="S80" s="198"/>
      <c r="T80" s="198"/>
    </row>
    <row r="81" spans="1:20">
      <c r="A81" s="200" t="s">
        <v>108</v>
      </c>
      <c r="B81" s="200" t="s">
        <v>33</v>
      </c>
      <c r="C81" s="43" t="s">
        <v>109</v>
      </c>
      <c r="D81" s="362">
        <v>125000</v>
      </c>
      <c r="E81" s="207" t="s">
        <v>103</v>
      </c>
      <c r="F81" s="42"/>
      <c r="G81" s="35"/>
      <c r="H81" s="384">
        <f>VLOOKUP(A81,[1]Inventaire!$A$14:$C$267,3,FALSE)</f>
        <v>6</v>
      </c>
      <c r="O81" s="224"/>
      <c r="P81" s="198"/>
      <c r="Q81" s="198"/>
      <c r="R81" s="198"/>
      <c r="S81" s="198"/>
      <c r="T81" s="198"/>
    </row>
    <row r="82" spans="1:20">
      <c r="A82" s="200" t="s">
        <v>29</v>
      </c>
      <c r="B82" s="200" t="s">
        <v>33</v>
      </c>
      <c r="C82" s="43" t="s">
        <v>30</v>
      </c>
      <c r="D82" s="362">
        <v>155000</v>
      </c>
      <c r="E82" s="207" t="s">
        <v>103</v>
      </c>
      <c r="F82" s="42"/>
      <c r="G82" s="32"/>
      <c r="H82" s="384">
        <f>VLOOKUP(A82,[1]Inventaire!$A$14:$C$267,3,FALSE)</f>
        <v>14</v>
      </c>
      <c r="O82" s="224"/>
      <c r="P82" s="198"/>
      <c r="Q82" s="198"/>
      <c r="R82" s="198"/>
      <c r="S82" s="198"/>
      <c r="T82" s="198"/>
    </row>
    <row r="83" spans="1:20" ht="6.6" customHeight="1" thickBot="1">
      <c r="A83" s="66" t="s">
        <v>157</v>
      </c>
      <c r="B83" s="5"/>
      <c r="C83" s="162"/>
      <c r="D83" s="360"/>
      <c r="E83" s="59"/>
      <c r="F83" s="136"/>
      <c r="G83" s="32"/>
      <c r="H83" s="384" t="e">
        <f>VLOOKUP(A83,[1]Inventaire!$A$14:$C$267,3,FALSE)</f>
        <v>#N/A</v>
      </c>
      <c r="O83" s="224"/>
      <c r="P83" s="198"/>
      <c r="Q83" s="198"/>
      <c r="R83" s="198"/>
      <c r="S83" s="198"/>
      <c r="T83" s="198"/>
    </row>
    <row r="84" spans="1:20">
      <c r="A84" s="65" t="s">
        <v>157</v>
      </c>
      <c r="B84" s="30"/>
      <c r="C84" s="163" t="s">
        <v>238</v>
      </c>
      <c r="D84" s="348"/>
      <c r="E84" s="30"/>
      <c r="F84" s="320"/>
      <c r="G84" s="32"/>
      <c r="H84" s="384" t="e">
        <f>VLOOKUP(A84,[1]Inventaire!$A$14:$C$267,3,FALSE)</f>
        <v>#N/A</v>
      </c>
      <c r="O84" s="224"/>
      <c r="P84" s="198"/>
      <c r="Q84" s="198"/>
      <c r="R84" s="198"/>
      <c r="S84" s="198"/>
      <c r="T84" s="198"/>
    </row>
    <row r="85" spans="1:20">
      <c r="A85" s="200" t="s">
        <v>239</v>
      </c>
      <c r="B85" s="200" t="s">
        <v>243</v>
      </c>
      <c r="C85" s="43" t="s">
        <v>320</v>
      </c>
      <c r="D85" s="362">
        <v>80000</v>
      </c>
      <c r="E85" s="207" t="s">
        <v>103</v>
      </c>
      <c r="F85" s="42"/>
      <c r="H85" s="384" t="e">
        <f>VLOOKUP(A85,[1]Inventaire!$A$14:$C$267,3,FALSE)</f>
        <v>#N/A</v>
      </c>
    </row>
    <row r="86" spans="1:20">
      <c r="A86" s="200" t="s">
        <v>240</v>
      </c>
      <c r="B86" s="200" t="s">
        <v>244</v>
      </c>
      <c r="C86" s="43" t="s">
        <v>319</v>
      </c>
      <c r="D86" s="362">
        <v>150000</v>
      </c>
      <c r="E86" s="207" t="s">
        <v>103</v>
      </c>
      <c r="F86" s="42"/>
      <c r="H86" s="384" t="e">
        <f>VLOOKUP(A86,[1]Inventaire!$A$14:$C$267,3,FALSE)</f>
        <v>#N/A</v>
      </c>
    </row>
    <row r="87" spans="1:20">
      <c r="A87" s="200" t="s">
        <v>241</v>
      </c>
      <c r="B87" s="200" t="s">
        <v>244</v>
      </c>
      <c r="C87" s="43" t="s">
        <v>318</v>
      </c>
      <c r="D87" s="362">
        <v>180000</v>
      </c>
      <c r="E87" s="207" t="s">
        <v>103</v>
      </c>
      <c r="F87" s="42"/>
      <c r="H87" s="384" t="e">
        <f>VLOOKUP(A87,[1]Inventaire!$A$14:$C$267,3,FALSE)</f>
        <v>#N/A</v>
      </c>
    </row>
    <row r="88" spans="1:20">
      <c r="A88" s="200" t="s">
        <v>242</v>
      </c>
      <c r="B88" s="200" t="s">
        <v>244</v>
      </c>
      <c r="C88" s="43" t="s">
        <v>317</v>
      </c>
      <c r="D88" s="362">
        <v>250000</v>
      </c>
      <c r="E88" s="207" t="s">
        <v>103</v>
      </c>
      <c r="F88" s="42"/>
      <c r="H88" s="384" t="e">
        <f>VLOOKUP(A88,[1]Inventaire!$A$14:$C$267,3,FALSE)</f>
        <v>#N/A</v>
      </c>
    </row>
    <row r="89" spans="1:20">
      <c r="H89" s="384" t="e">
        <f>VLOOKUP(A89,[1]Inventaire!$A$14:$C$267,3,FALSE)</f>
        <v>#N/A</v>
      </c>
    </row>
    <row r="91" spans="1:20" ht="21">
      <c r="A91" s="337"/>
      <c r="B91" s="338"/>
      <c r="C91" s="363" t="s">
        <v>775</v>
      </c>
    </row>
  </sheetData>
  <autoFilter ref="A8:F88" xr:uid="{00000000-0009-0000-0000-000008000000}"/>
  <conditionalFormatting sqref="R11:R84 T11:T84">
    <cfRule type="cellIs" dxfId="1" priority="2" operator="lessThan">
      <formula>0</formula>
    </cfRule>
  </conditionalFormatting>
  <hyperlinks>
    <hyperlink ref="I7" location="Index!A1" display="Index" xr:uid="{00000000-0004-0000-0800-000000000000}"/>
    <hyperlink ref="F8" location="'Pour Bon de Commande'!A1" display="BC" xr:uid="{00000000-0004-0000-0800-000010000000}"/>
    <hyperlink ref="C6" r:id="rId1" display="Contact: Marie Jose mjyasselou@southcomp-polaris.com" xr:uid="{00000000-0004-0000-0800-00003A000000}"/>
  </hyperlinks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3" tint="0.59999389629810485"/>
  </sheetPr>
  <dimension ref="A3:V55"/>
  <sheetViews>
    <sheetView zoomScale="85" zoomScaleNormal="85" workbookViewId="0">
      <pane ySplit="8" topLeftCell="A9" activePane="bottomLeft" state="frozen"/>
      <selection pane="bottomLeft" activeCell="I16" sqref="I16"/>
    </sheetView>
  </sheetViews>
  <sheetFormatPr baseColWidth="10" defaultColWidth="8.85546875" defaultRowHeight="15"/>
  <cols>
    <col min="1" max="1" width="18.85546875" style="1" customWidth="1"/>
    <col min="2" max="2" width="19.28515625" style="1" customWidth="1"/>
    <col min="3" max="3" width="124.42578125" style="1" customWidth="1"/>
    <col min="4" max="4" width="17.42578125" style="1" bestFit="1" customWidth="1"/>
    <col min="5" max="5" width="15.42578125" style="36" bestFit="1" customWidth="1"/>
    <col min="6" max="6" width="15.28515625" style="38" customWidth="1"/>
    <col min="7" max="7" width="11.5703125" style="1" bestFit="1" customWidth="1"/>
    <col min="8" max="8" width="9.7109375" style="1" bestFit="1" customWidth="1"/>
    <col min="9" max="9" width="8.85546875" style="15"/>
    <col min="10" max="10" width="11.5703125" style="15" bestFit="1" customWidth="1"/>
    <col min="11" max="12" width="8.85546875" style="15"/>
    <col min="13" max="13" width="13.7109375" style="15" bestFit="1" customWidth="1"/>
    <col min="14" max="16384" width="8.85546875" style="15"/>
  </cols>
  <sheetData>
    <row r="3" spans="1:22">
      <c r="H3" s="33" t="s">
        <v>81</v>
      </c>
    </row>
    <row r="4" spans="1:22">
      <c r="H4" s="33" t="s">
        <v>82</v>
      </c>
    </row>
    <row r="5" spans="1:22">
      <c r="H5" s="33" t="s">
        <v>83</v>
      </c>
    </row>
    <row r="6" spans="1:22" ht="15.75" thickBot="1">
      <c r="C6" s="287" t="s">
        <v>543</v>
      </c>
      <c r="D6" s="25" t="s">
        <v>26</v>
      </c>
      <c r="E6" s="37"/>
      <c r="F6" s="17" t="s">
        <v>132</v>
      </c>
      <c r="H6" s="33" t="s">
        <v>78</v>
      </c>
    </row>
    <row r="7" spans="1:22">
      <c r="A7" s="22"/>
      <c r="B7" s="23"/>
      <c r="C7" s="10" t="s">
        <v>10</v>
      </c>
      <c r="D7" s="23"/>
      <c r="E7" s="23"/>
      <c r="F7" s="21"/>
      <c r="G7" s="2"/>
      <c r="H7" s="33" t="s">
        <v>84</v>
      </c>
    </row>
    <row r="8" spans="1:22">
      <c r="A8" s="6" t="s">
        <v>14</v>
      </c>
      <c r="B8" s="6" t="s">
        <v>45</v>
      </c>
      <c r="C8" s="6" t="s">
        <v>13</v>
      </c>
      <c r="D8" s="27" t="s">
        <v>18</v>
      </c>
      <c r="E8" s="28" t="s">
        <v>102</v>
      </c>
      <c r="F8" s="60" t="s">
        <v>131</v>
      </c>
    </row>
    <row r="9" spans="1:22" ht="6.6" customHeight="1" thickBot="1">
      <c r="A9" s="5"/>
      <c r="B9" s="5"/>
      <c r="C9" s="5"/>
      <c r="D9" s="5"/>
      <c r="E9" s="5"/>
      <c r="F9" s="39"/>
    </row>
    <row r="10" spans="1:22">
      <c r="A10" s="9"/>
      <c r="B10" s="30"/>
      <c r="C10" s="31" t="s">
        <v>81</v>
      </c>
      <c r="D10" s="30"/>
      <c r="E10" s="30"/>
      <c r="F10" s="19"/>
      <c r="G10" s="266"/>
      <c r="H10" s="266"/>
      <c r="I10" s="266"/>
      <c r="J10" s="266"/>
      <c r="K10" s="266"/>
      <c r="L10" s="266"/>
      <c r="M10" s="266"/>
      <c r="N10" s="266"/>
      <c r="O10" s="266"/>
      <c r="P10" s="266"/>
      <c r="Q10" s="266"/>
      <c r="R10" s="266"/>
      <c r="S10" s="266"/>
      <c r="T10" s="266"/>
      <c r="U10" s="266"/>
      <c r="V10" s="266"/>
    </row>
    <row r="11" spans="1:22">
      <c r="A11" s="200" t="s">
        <v>516</v>
      </c>
      <c r="B11" s="200" t="s">
        <v>519</v>
      </c>
      <c r="C11" s="276" t="s">
        <v>517</v>
      </c>
      <c r="D11" s="212">
        <v>309000</v>
      </c>
      <c r="E11" s="260" t="s">
        <v>205</v>
      </c>
      <c r="F11" s="42"/>
      <c r="G11" s="266"/>
      <c r="H11" s="266"/>
    </row>
    <row r="12" spans="1:22">
      <c r="A12" s="200" t="s">
        <v>750</v>
      </c>
      <c r="B12" s="200" t="s">
        <v>519</v>
      </c>
      <c r="C12" s="276" t="s">
        <v>518</v>
      </c>
      <c r="D12" s="268">
        <v>0</v>
      </c>
      <c r="E12" s="150" t="s">
        <v>106</v>
      </c>
      <c r="F12" s="42"/>
      <c r="G12" s="266"/>
      <c r="H12" s="266"/>
    </row>
    <row r="13" spans="1:22" ht="6.6" customHeight="1" thickBot="1">
      <c r="A13" s="66" t="s">
        <v>157</v>
      </c>
      <c r="B13" s="5"/>
      <c r="C13" s="5"/>
      <c r="D13" s="5"/>
      <c r="E13" s="5"/>
      <c r="F13" s="194"/>
      <c r="G13" s="266"/>
      <c r="H13" s="266"/>
    </row>
    <row r="14" spans="1:22">
      <c r="A14" s="65" t="s">
        <v>157</v>
      </c>
      <c r="B14" s="30"/>
      <c r="C14" s="31" t="s">
        <v>83</v>
      </c>
      <c r="D14" s="30"/>
      <c r="E14" s="30"/>
      <c r="F14" s="62"/>
      <c r="G14" s="266"/>
      <c r="H14" s="266"/>
    </row>
    <row r="15" spans="1:22">
      <c r="A15" s="4" t="s">
        <v>593</v>
      </c>
      <c r="B15" s="4" t="s">
        <v>83</v>
      </c>
      <c r="C15" s="4" t="s">
        <v>521</v>
      </c>
      <c r="D15" s="340">
        <v>85000</v>
      </c>
      <c r="E15" s="150" t="s">
        <v>106</v>
      </c>
      <c r="F15" s="42"/>
      <c r="G15" s="266"/>
      <c r="H15" s="266"/>
    </row>
    <row r="16" spans="1:22">
      <c r="A16" s="4" t="s">
        <v>650</v>
      </c>
      <c r="B16" s="4" t="s">
        <v>83</v>
      </c>
      <c r="C16" s="181" t="s">
        <v>651</v>
      </c>
      <c r="D16" s="213">
        <v>85000</v>
      </c>
      <c r="E16" s="260" t="s">
        <v>205</v>
      </c>
      <c r="F16" s="42"/>
      <c r="G16" s="266"/>
      <c r="H16" s="266"/>
    </row>
    <row r="17" spans="1:8">
      <c r="A17" s="4" t="s">
        <v>592</v>
      </c>
      <c r="B17" s="4" t="s">
        <v>83</v>
      </c>
      <c r="C17" s="4" t="s">
        <v>595</v>
      </c>
      <c r="D17" s="213">
        <v>105000</v>
      </c>
      <c r="E17" s="158" t="s">
        <v>205</v>
      </c>
      <c r="F17" s="42"/>
      <c r="G17" s="266"/>
      <c r="H17" s="266"/>
    </row>
    <row r="18" spans="1:8">
      <c r="A18" s="4" t="s">
        <v>594</v>
      </c>
      <c r="B18" s="4" t="s">
        <v>83</v>
      </c>
      <c r="C18" s="4" t="s">
        <v>520</v>
      </c>
      <c r="D18" s="213">
        <v>95000</v>
      </c>
      <c r="E18" s="158" t="s">
        <v>205</v>
      </c>
      <c r="F18" s="42"/>
      <c r="G18" s="266"/>
      <c r="H18" s="266"/>
    </row>
    <row r="19" spans="1:8">
      <c r="A19" s="4" t="s">
        <v>751</v>
      </c>
      <c r="B19" s="4" t="s">
        <v>83</v>
      </c>
      <c r="C19" s="4" t="s">
        <v>752</v>
      </c>
      <c r="D19" s="354">
        <v>165000</v>
      </c>
      <c r="E19" s="158" t="s">
        <v>205</v>
      </c>
      <c r="F19" s="42"/>
      <c r="G19" s="266"/>
      <c r="H19" s="266"/>
    </row>
    <row r="20" spans="1:8">
      <c r="A20" s="4" t="s">
        <v>582</v>
      </c>
      <c r="B20" s="4" t="s">
        <v>83</v>
      </c>
      <c r="C20" s="4" t="s">
        <v>637</v>
      </c>
      <c r="D20" s="340">
        <v>195000</v>
      </c>
      <c r="E20" s="150" t="s">
        <v>106</v>
      </c>
      <c r="F20" s="42"/>
      <c r="G20" s="266"/>
      <c r="H20" s="266"/>
    </row>
    <row r="21" spans="1:8" ht="6.6" customHeight="1" thickBot="1">
      <c r="A21" s="66"/>
      <c r="B21" s="5"/>
      <c r="C21" s="5"/>
      <c r="D21" s="5"/>
      <c r="E21" s="228"/>
      <c r="F21" s="194"/>
      <c r="G21" s="266"/>
      <c r="H21" s="266"/>
    </row>
    <row r="22" spans="1:8" ht="15.75" thickBot="1">
      <c r="A22" s="65" t="s">
        <v>157</v>
      </c>
      <c r="B22" s="30"/>
      <c r="C22" s="31" t="s">
        <v>82</v>
      </c>
      <c r="D22" s="30"/>
      <c r="E22" s="30"/>
      <c r="F22" s="222"/>
      <c r="G22" s="266"/>
      <c r="H22" s="266"/>
    </row>
    <row r="23" spans="1:8" ht="15.75" thickBot="1">
      <c r="A23" s="244" t="s">
        <v>855</v>
      </c>
      <c r="B23" s="245" t="s">
        <v>696</v>
      </c>
      <c r="C23" s="253" t="s">
        <v>697</v>
      </c>
      <c r="D23" s="281">
        <v>491000</v>
      </c>
      <c r="E23" s="261" t="s">
        <v>205</v>
      </c>
      <c r="F23" s="193"/>
      <c r="G23" s="266"/>
      <c r="H23" s="266"/>
    </row>
    <row r="24" spans="1:8" ht="15.75" thickBot="1">
      <c r="A24" s="244" t="s">
        <v>698</v>
      </c>
      <c r="B24" s="245" t="s">
        <v>699</v>
      </c>
      <c r="C24" s="253" t="s">
        <v>700</v>
      </c>
      <c r="D24" s="281">
        <v>675000</v>
      </c>
      <c r="E24" s="261" t="s">
        <v>205</v>
      </c>
      <c r="F24" s="193"/>
      <c r="G24" s="266"/>
      <c r="H24" s="266"/>
    </row>
    <row r="25" spans="1:8" ht="15.75" thickBot="1">
      <c r="A25" s="244" t="s">
        <v>701</v>
      </c>
      <c r="B25" s="245" t="s">
        <v>699</v>
      </c>
      <c r="C25" s="253" t="s">
        <v>700</v>
      </c>
      <c r="D25" s="281">
        <v>675000</v>
      </c>
      <c r="E25" s="261" t="s">
        <v>205</v>
      </c>
      <c r="F25" s="193"/>
      <c r="G25" s="266"/>
      <c r="H25" s="266"/>
    </row>
    <row r="26" spans="1:8" ht="15.75" thickBot="1">
      <c r="A26" s="244" t="s">
        <v>702</v>
      </c>
      <c r="B26" s="245" t="s">
        <v>699</v>
      </c>
      <c r="C26" s="253" t="s">
        <v>703</v>
      </c>
      <c r="D26" s="281">
        <v>845000</v>
      </c>
      <c r="E26" s="261" t="s">
        <v>205</v>
      </c>
      <c r="F26" s="193"/>
      <c r="G26" s="266"/>
      <c r="H26" s="266"/>
    </row>
    <row r="27" spans="1:8" ht="15.75" thickBot="1">
      <c r="A27" s="244" t="s">
        <v>704</v>
      </c>
      <c r="B27" s="245" t="s">
        <v>705</v>
      </c>
      <c r="C27" s="253" t="s">
        <v>706</v>
      </c>
      <c r="D27" s="281">
        <v>725000</v>
      </c>
      <c r="E27" s="261" t="s">
        <v>205</v>
      </c>
      <c r="F27" s="193"/>
      <c r="G27" s="266"/>
      <c r="H27" s="266"/>
    </row>
    <row r="28" spans="1:8" ht="15.75" thickBot="1">
      <c r="A28" s="244" t="s">
        <v>707</v>
      </c>
      <c r="B28" s="245" t="s">
        <v>705</v>
      </c>
      <c r="C28" s="253" t="s">
        <v>708</v>
      </c>
      <c r="D28" s="281">
        <v>855000</v>
      </c>
      <c r="E28" s="261" t="s">
        <v>205</v>
      </c>
      <c r="F28" s="193"/>
      <c r="G28" s="266"/>
      <c r="H28" s="266"/>
    </row>
    <row r="29" spans="1:8" ht="15.75" thickBot="1">
      <c r="A29" s="244" t="s">
        <v>709</v>
      </c>
      <c r="B29" s="245" t="s">
        <v>710</v>
      </c>
      <c r="C29" s="253" t="s">
        <v>711</v>
      </c>
      <c r="D29" s="281">
        <v>1235000</v>
      </c>
      <c r="E29" s="261" t="s">
        <v>205</v>
      </c>
      <c r="F29" s="193"/>
      <c r="G29" s="266"/>
      <c r="H29" s="266"/>
    </row>
    <row r="30" spans="1:8" ht="15.75" thickBot="1">
      <c r="A30" s="244" t="s">
        <v>712</v>
      </c>
      <c r="B30" s="245" t="s">
        <v>713</v>
      </c>
      <c r="C30" s="253" t="s">
        <v>714</v>
      </c>
      <c r="D30" s="281">
        <v>1800000</v>
      </c>
      <c r="E30" s="261" t="s">
        <v>205</v>
      </c>
      <c r="F30" s="193"/>
      <c r="G30" s="266"/>
      <c r="H30" s="266"/>
    </row>
    <row r="31" spans="1:8" ht="15" customHeight="1" thickBot="1">
      <c r="A31" s="66" t="s">
        <v>157</v>
      </c>
      <c r="B31" s="5"/>
      <c r="C31" s="5"/>
      <c r="D31" s="122"/>
      <c r="E31" s="5"/>
      <c r="F31" s="194"/>
      <c r="G31" s="266"/>
    </row>
    <row r="32" spans="1:8" ht="15.75" thickBot="1">
      <c r="A32" s="65" t="s">
        <v>157</v>
      </c>
      <c r="B32" s="30"/>
      <c r="C32" s="31" t="s">
        <v>78</v>
      </c>
      <c r="D32" s="123"/>
      <c r="E32" s="30"/>
      <c r="F32" s="62"/>
      <c r="G32" s="266"/>
    </row>
    <row r="33" spans="1:7" ht="15.75" thickBot="1">
      <c r="A33" s="244" t="s">
        <v>522</v>
      </c>
      <c r="B33" s="245" t="s">
        <v>92</v>
      </c>
      <c r="C33" s="280" t="s">
        <v>577</v>
      </c>
      <c r="D33" s="281">
        <v>1350000</v>
      </c>
      <c r="E33" s="282" t="s">
        <v>205</v>
      </c>
      <c r="F33" s="193"/>
      <c r="G33" s="266"/>
    </row>
    <row r="34" spans="1:7" ht="15.75" thickBot="1">
      <c r="A34" s="249" t="s">
        <v>469</v>
      </c>
      <c r="B34" s="250" t="s">
        <v>92</v>
      </c>
      <c r="C34" s="283" t="s">
        <v>578</v>
      </c>
      <c r="D34" s="251">
        <v>2900000</v>
      </c>
      <c r="E34" s="284" t="s">
        <v>205</v>
      </c>
      <c r="F34" s="252"/>
      <c r="G34" s="266"/>
    </row>
    <row r="35" spans="1:7">
      <c r="A35" s="277" t="s">
        <v>753</v>
      </c>
      <c r="B35" s="277" t="s">
        <v>92</v>
      </c>
      <c r="C35" s="278" t="s">
        <v>773</v>
      </c>
      <c r="D35" s="268">
        <v>3750000</v>
      </c>
      <c r="E35" s="321" t="s">
        <v>223</v>
      </c>
      <c r="F35" s="279"/>
      <c r="G35" s="266"/>
    </row>
    <row r="36" spans="1:7" ht="6.6" customHeight="1" thickBot="1">
      <c r="A36" s="66" t="s">
        <v>157</v>
      </c>
      <c r="B36" s="5"/>
      <c r="C36" s="5"/>
      <c r="D36" s="122"/>
      <c r="E36" s="5"/>
      <c r="F36" s="61"/>
      <c r="G36" s="266"/>
    </row>
    <row r="37" spans="1:7">
      <c r="A37" s="65" t="s">
        <v>157</v>
      </c>
      <c r="B37" s="30"/>
      <c r="C37" s="31" t="s">
        <v>411</v>
      </c>
      <c r="D37" s="123"/>
      <c r="E37" s="30"/>
      <c r="F37" s="222"/>
      <c r="G37" s="266"/>
    </row>
    <row r="38" spans="1:7">
      <c r="A38" s="4" t="s">
        <v>424</v>
      </c>
      <c r="B38" s="4" t="s">
        <v>80</v>
      </c>
      <c r="C38" s="4" t="s">
        <v>425</v>
      </c>
      <c r="D38" s="340">
        <v>145000</v>
      </c>
      <c r="E38" s="150" t="s">
        <v>106</v>
      </c>
      <c r="F38" s="42"/>
      <c r="G38" s="266"/>
    </row>
    <row r="39" spans="1:7">
      <c r="A39" s="4" t="s">
        <v>422</v>
      </c>
      <c r="B39" s="4" t="s">
        <v>80</v>
      </c>
      <c r="C39" s="4" t="s">
        <v>423</v>
      </c>
      <c r="D39" s="340">
        <v>250000</v>
      </c>
      <c r="E39" s="150" t="s">
        <v>106</v>
      </c>
      <c r="F39" s="42"/>
      <c r="G39" s="266"/>
    </row>
    <row r="40" spans="1:7">
      <c r="A40" s="4" t="s">
        <v>426</v>
      </c>
      <c r="B40" s="4" t="s">
        <v>80</v>
      </c>
      <c r="C40" s="4" t="s">
        <v>427</v>
      </c>
      <c r="D40" s="340">
        <v>280000</v>
      </c>
      <c r="E40" s="150" t="s">
        <v>106</v>
      </c>
      <c r="F40" s="42"/>
      <c r="G40" s="266"/>
    </row>
    <row r="41" spans="1:7">
      <c r="A41" s="4" t="s">
        <v>428</v>
      </c>
      <c r="B41" s="4" t="s">
        <v>80</v>
      </c>
      <c r="C41" s="4" t="s">
        <v>429</v>
      </c>
      <c r="D41" s="340">
        <v>280000</v>
      </c>
      <c r="E41" s="150" t="s">
        <v>106</v>
      </c>
      <c r="F41" s="42"/>
      <c r="G41" s="266"/>
    </row>
    <row r="42" spans="1:7" ht="6.6" customHeight="1" thickBot="1">
      <c r="A42" s="66" t="s">
        <v>157</v>
      </c>
      <c r="B42" s="5"/>
      <c r="C42" s="5"/>
      <c r="D42" s="122"/>
      <c r="E42" s="5" t="s">
        <v>204</v>
      </c>
      <c r="F42" s="61"/>
      <c r="G42" s="266"/>
    </row>
    <row r="43" spans="1:7">
      <c r="A43" s="65" t="s">
        <v>157</v>
      </c>
      <c r="B43" s="30"/>
      <c r="C43" s="31" t="s">
        <v>84</v>
      </c>
      <c r="D43" s="123"/>
      <c r="E43" s="30"/>
      <c r="F43" s="222"/>
      <c r="G43" s="266"/>
    </row>
    <row r="44" spans="1:7">
      <c r="A44" s="4" t="s">
        <v>596</v>
      </c>
      <c r="B44" s="4" t="s">
        <v>226</v>
      </c>
      <c r="C44" s="4" t="s">
        <v>599</v>
      </c>
      <c r="D44" s="213">
        <v>80000</v>
      </c>
      <c r="E44" s="158" t="s">
        <v>205</v>
      </c>
      <c r="F44" s="42"/>
      <c r="G44" s="266"/>
    </row>
    <row r="45" spans="1:7">
      <c r="A45" s="4" t="s">
        <v>597</v>
      </c>
      <c r="B45" s="4" t="s">
        <v>226</v>
      </c>
      <c r="C45" s="4" t="s">
        <v>600</v>
      </c>
      <c r="D45" s="354">
        <v>80000</v>
      </c>
      <c r="E45" s="158" t="s">
        <v>205</v>
      </c>
      <c r="F45" s="42"/>
      <c r="G45" s="266"/>
    </row>
    <row r="46" spans="1:7">
      <c r="A46" s="323" t="s">
        <v>745</v>
      </c>
      <c r="B46" s="4" t="s">
        <v>226</v>
      </c>
      <c r="C46" s="4" t="s">
        <v>372</v>
      </c>
      <c r="D46" s="354">
        <v>145000</v>
      </c>
      <c r="E46" s="158" t="s">
        <v>205</v>
      </c>
      <c r="F46" s="42"/>
      <c r="G46" s="266"/>
    </row>
    <row r="47" spans="1:7">
      <c r="A47" s="4" t="s">
        <v>746</v>
      </c>
      <c r="B47" s="4" t="s">
        <v>754</v>
      </c>
      <c r="C47" s="4" t="s">
        <v>747</v>
      </c>
      <c r="D47" s="212">
        <v>15000</v>
      </c>
      <c r="E47" s="158" t="s">
        <v>205</v>
      </c>
      <c r="F47" s="42"/>
      <c r="G47" s="266"/>
    </row>
    <row r="48" spans="1:7">
      <c r="A48" s="4" t="s">
        <v>748</v>
      </c>
      <c r="B48" s="4" t="s">
        <v>754</v>
      </c>
      <c r="C48" s="4" t="s">
        <v>749</v>
      </c>
      <c r="D48" s="212">
        <v>25000</v>
      </c>
      <c r="E48" s="158" t="s">
        <v>205</v>
      </c>
      <c r="F48" s="42"/>
      <c r="G48" s="266"/>
    </row>
    <row r="49" spans="1:7">
      <c r="A49" s="4" t="s">
        <v>580</v>
      </c>
      <c r="B49" s="4" t="s">
        <v>589</v>
      </c>
      <c r="C49" s="4" t="s">
        <v>585</v>
      </c>
      <c r="D49" s="354">
        <v>12000</v>
      </c>
      <c r="E49" s="158" t="s">
        <v>205</v>
      </c>
      <c r="F49" s="42"/>
      <c r="G49" s="266"/>
    </row>
    <row r="50" spans="1:7">
      <c r="A50" s="4" t="s">
        <v>590</v>
      </c>
      <c r="B50" s="4" t="s">
        <v>588</v>
      </c>
      <c r="C50" s="4" t="s">
        <v>591</v>
      </c>
      <c r="D50" s="340">
        <v>8000</v>
      </c>
      <c r="E50" s="150" t="s">
        <v>106</v>
      </c>
      <c r="F50" s="42"/>
      <c r="G50" s="266"/>
    </row>
    <row r="51" spans="1:7">
      <c r="A51" s="4" t="s">
        <v>579</v>
      </c>
      <c r="B51" s="4" t="s">
        <v>588</v>
      </c>
      <c r="C51" s="4" t="s">
        <v>584</v>
      </c>
      <c r="D51" s="213">
        <v>12000</v>
      </c>
      <c r="E51" s="158" t="s">
        <v>205</v>
      </c>
      <c r="F51" s="42"/>
      <c r="G51" s="266"/>
    </row>
    <row r="52" spans="1:7">
      <c r="A52" s="4" t="s">
        <v>581</v>
      </c>
      <c r="B52" s="4" t="s">
        <v>375</v>
      </c>
      <c r="C52" s="4" t="s">
        <v>586</v>
      </c>
      <c r="D52" s="213">
        <v>20000</v>
      </c>
      <c r="E52" s="158" t="s">
        <v>205</v>
      </c>
      <c r="F52" s="42"/>
      <c r="G52" s="266"/>
    </row>
    <row r="53" spans="1:7">
      <c r="A53" s="4" t="s">
        <v>583</v>
      </c>
      <c r="B53" s="4" t="s">
        <v>375</v>
      </c>
      <c r="C53" s="4" t="s">
        <v>587</v>
      </c>
      <c r="D53" s="213">
        <v>25000</v>
      </c>
      <c r="E53" s="158" t="s">
        <v>205</v>
      </c>
      <c r="F53" s="42"/>
      <c r="G53" s="266"/>
    </row>
    <row r="54" spans="1:7">
      <c r="A54" s="4" t="s">
        <v>598</v>
      </c>
      <c r="B54" s="4" t="s">
        <v>375</v>
      </c>
      <c r="C54" s="4" t="s">
        <v>601</v>
      </c>
      <c r="D54" s="213">
        <v>17000</v>
      </c>
      <c r="E54" s="158" t="s">
        <v>205</v>
      </c>
      <c r="F54" s="42"/>
      <c r="G54" s="266"/>
    </row>
    <row r="55" spans="1:7" ht="12" customHeight="1">
      <c r="A55" s="66" t="s">
        <v>157</v>
      </c>
      <c r="B55" s="5"/>
      <c r="C55" s="5"/>
      <c r="D55" s="5"/>
      <c r="E55" s="5"/>
      <c r="F55" s="61"/>
      <c r="G55" s="266"/>
    </row>
  </sheetData>
  <hyperlinks>
    <hyperlink ref="F8" location="'Pour Bon de Commande'!A1" display="BC" xr:uid="{00000000-0004-0000-0700-000000000000}"/>
    <hyperlink ref="C6" r:id="rId1" xr:uid="{00000000-0004-0000-0700-000008000000}"/>
  </hyperlinks>
  <pageMargins left="0.7" right="0.7" top="0.75" bottom="0.75" header="0.3" footer="0.3"/>
  <pageSetup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theme="5"/>
  </sheetPr>
  <dimension ref="A1:J28"/>
  <sheetViews>
    <sheetView zoomScale="115" zoomScaleNormal="115" workbookViewId="0">
      <pane ySplit="8" topLeftCell="A15" activePane="bottomLeft" state="frozen"/>
      <selection activeCell="A4" sqref="A4"/>
      <selection pane="bottomLeft" activeCell="J14" sqref="J14:J15"/>
    </sheetView>
  </sheetViews>
  <sheetFormatPr baseColWidth="10" defaultColWidth="8.85546875" defaultRowHeight="12.75"/>
  <cols>
    <col min="1" max="1" width="21.7109375" style="63" bestFit="1" customWidth="1"/>
    <col min="2" max="2" width="15.7109375" style="63" bestFit="1" customWidth="1"/>
    <col min="3" max="3" width="68.85546875" style="63" bestFit="1" customWidth="1"/>
    <col min="4" max="4" width="15.85546875" style="312" customWidth="1"/>
    <col min="5" max="5" width="14.140625" style="93" customWidth="1"/>
    <col min="6" max="6" width="6.28515625" style="94" customWidth="1"/>
    <col min="7" max="7" width="13.5703125" style="117" customWidth="1"/>
    <col min="8" max="10" width="8.85546875" style="63"/>
    <col min="11" max="16384" width="8.85546875" style="96"/>
  </cols>
  <sheetData>
    <row r="1" spans="1:10">
      <c r="G1" s="95"/>
    </row>
    <row r="2" spans="1:10">
      <c r="G2" s="95"/>
    </row>
    <row r="3" spans="1:10">
      <c r="G3" s="95"/>
    </row>
    <row r="4" spans="1:10">
      <c r="G4" s="95"/>
    </row>
    <row r="5" spans="1:10">
      <c r="G5" s="95"/>
    </row>
    <row r="6" spans="1:10" ht="15.75" thickBot="1">
      <c r="C6" s="287" t="s">
        <v>541</v>
      </c>
      <c r="D6" s="97" t="s">
        <v>26</v>
      </c>
      <c r="E6" s="98"/>
      <c r="F6" s="99" t="s">
        <v>132</v>
      </c>
      <c r="G6" s="95"/>
    </row>
    <row r="7" spans="1:10">
      <c r="A7" s="100"/>
      <c r="B7" s="101"/>
      <c r="C7" s="102" t="s">
        <v>100</v>
      </c>
      <c r="D7" s="313"/>
      <c r="E7" s="101"/>
      <c r="F7" s="103"/>
      <c r="G7" s="95"/>
      <c r="I7" s="64" t="s">
        <v>1</v>
      </c>
      <c r="J7" s="104" t="s">
        <v>100</v>
      </c>
    </row>
    <row r="8" spans="1:10">
      <c r="A8" s="105" t="s">
        <v>14</v>
      </c>
      <c r="B8" s="105" t="s">
        <v>45</v>
      </c>
      <c r="C8" s="105" t="s">
        <v>13</v>
      </c>
      <c r="D8" s="106" t="s">
        <v>18</v>
      </c>
      <c r="E8" s="107" t="s">
        <v>23</v>
      </c>
      <c r="F8" s="108" t="s">
        <v>131</v>
      </c>
      <c r="G8" s="95"/>
    </row>
    <row r="9" spans="1:10" ht="6.6" customHeight="1" thickBot="1">
      <c r="A9" s="109"/>
      <c r="B9" s="109"/>
      <c r="C9" s="109"/>
      <c r="D9" s="314"/>
      <c r="E9" s="110"/>
      <c r="F9" s="137"/>
      <c r="G9" s="95"/>
    </row>
    <row r="10" spans="1:10" ht="13.5" thickBot="1">
      <c r="A10" s="111"/>
      <c r="B10" s="112"/>
      <c r="C10" s="113" t="s">
        <v>100</v>
      </c>
      <c r="D10" s="315"/>
      <c r="E10" s="112"/>
      <c r="F10" s="138"/>
      <c r="G10" s="95"/>
    </row>
    <row r="11" spans="1:10" ht="13.5" thickBot="1">
      <c r="A11" s="114" t="s">
        <v>513</v>
      </c>
      <c r="B11" s="114" t="s">
        <v>515</v>
      </c>
      <c r="C11" s="114" t="s">
        <v>514</v>
      </c>
      <c r="D11" s="317">
        <v>0</v>
      </c>
      <c r="E11" s="310" t="s">
        <v>106</v>
      </c>
      <c r="F11" s="208"/>
      <c r="G11" s="209"/>
      <c r="H11" s="64"/>
    </row>
    <row r="12" spans="1:10" ht="13.5" thickBot="1">
      <c r="A12" s="114" t="s">
        <v>513</v>
      </c>
      <c r="B12" s="114" t="s">
        <v>515</v>
      </c>
      <c r="C12" s="114" t="s">
        <v>514</v>
      </c>
      <c r="D12" s="317">
        <v>0</v>
      </c>
      <c r="E12" s="310" t="s">
        <v>106</v>
      </c>
      <c r="F12" s="115"/>
      <c r="G12" s="209"/>
      <c r="H12" s="64"/>
    </row>
    <row r="13" spans="1:10" ht="13.5" thickBot="1">
      <c r="A13" s="114" t="s">
        <v>412</v>
      </c>
      <c r="B13" s="114" t="s">
        <v>413</v>
      </c>
      <c r="C13" s="114" t="s">
        <v>414</v>
      </c>
      <c r="D13" s="317">
        <v>0</v>
      </c>
      <c r="E13" s="310" t="s">
        <v>106</v>
      </c>
      <c r="F13" s="115"/>
      <c r="G13" s="209"/>
      <c r="H13" s="64"/>
    </row>
    <row r="14" spans="1:10">
      <c r="A14" s="114" t="s">
        <v>741</v>
      </c>
      <c r="B14" s="114" t="s">
        <v>741</v>
      </c>
      <c r="C14" s="114" t="s">
        <v>742</v>
      </c>
      <c r="D14" s="339">
        <v>5500</v>
      </c>
      <c r="E14" s="309" t="s">
        <v>205</v>
      </c>
      <c r="F14" s="115"/>
      <c r="G14" s="209"/>
      <c r="H14" s="64"/>
    </row>
    <row r="15" spans="1:10">
      <c r="A15" s="114" t="s">
        <v>332</v>
      </c>
      <c r="B15" s="114" t="s">
        <v>743</v>
      </c>
      <c r="C15" s="114" t="s">
        <v>744</v>
      </c>
      <c r="D15" s="316">
        <v>8500</v>
      </c>
      <c r="E15" s="309" t="s">
        <v>205</v>
      </c>
      <c r="F15" s="115"/>
      <c r="G15" s="209"/>
      <c r="H15" s="64"/>
    </row>
    <row r="16" spans="1:10" ht="13.5" thickBot="1">
      <c r="A16" s="114" t="s">
        <v>332</v>
      </c>
      <c r="B16" s="114" t="s">
        <v>303</v>
      </c>
      <c r="C16" s="114" t="s">
        <v>331</v>
      </c>
      <c r="D16" s="316">
        <v>33000</v>
      </c>
      <c r="E16" s="309" t="s">
        <v>205</v>
      </c>
      <c r="F16" s="115"/>
      <c r="G16" s="209"/>
      <c r="H16" s="64"/>
    </row>
    <row r="17" spans="1:8" ht="13.5" thickBot="1">
      <c r="A17" s="114" t="s">
        <v>329</v>
      </c>
      <c r="B17" s="114" t="s">
        <v>303</v>
      </c>
      <c r="C17" s="114" t="s">
        <v>330</v>
      </c>
      <c r="D17" s="339">
        <v>50000</v>
      </c>
      <c r="E17" s="309" t="s">
        <v>205</v>
      </c>
      <c r="F17" s="115"/>
      <c r="G17" s="209"/>
      <c r="H17" s="64"/>
    </row>
    <row r="18" spans="1:8" ht="13.5" thickBot="1">
      <c r="A18" s="114" t="s">
        <v>421</v>
      </c>
      <c r="B18" s="114" t="s">
        <v>329</v>
      </c>
      <c r="C18" s="114" t="s">
        <v>330</v>
      </c>
      <c r="D18" s="317">
        <v>0</v>
      </c>
      <c r="E18" s="310" t="s">
        <v>106</v>
      </c>
      <c r="F18" s="115"/>
      <c r="G18" s="209"/>
      <c r="H18" s="64"/>
    </row>
    <row r="19" spans="1:8">
      <c r="A19" s="114" t="s">
        <v>251</v>
      </c>
      <c r="B19" s="114" t="s">
        <v>254</v>
      </c>
      <c r="C19" s="114" t="s">
        <v>250</v>
      </c>
      <c r="D19" s="317">
        <v>0</v>
      </c>
      <c r="E19" s="310" t="s">
        <v>106</v>
      </c>
      <c r="F19" s="115"/>
      <c r="G19" s="209"/>
      <c r="H19" s="64"/>
    </row>
    <row r="20" spans="1:8" ht="13.5" customHeight="1" thickBot="1">
      <c r="A20" s="114" t="s">
        <v>407</v>
      </c>
      <c r="B20" s="114" t="s">
        <v>254</v>
      </c>
      <c r="C20" s="114" t="s">
        <v>408</v>
      </c>
      <c r="D20" s="316">
        <v>29000</v>
      </c>
      <c r="E20" s="309" t="s">
        <v>205</v>
      </c>
      <c r="F20" s="115"/>
      <c r="G20" s="209"/>
      <c r="H20" s="64"/>
    </row>
    <row r="21" spans="1:8">
      <c r="A21" s="114" t="s">
        <v>652</v>
      </c>
      <c r="B21" s="114" t="s">
        <v>254</v>
      </c>
      <c r="C21" s="114" t="s">
        <v>653</v>
      </c>
      <c r="D21" s="316">
        <v>29000</v>
      </c>
      <c r="E21" s="310" t="s">
        <v>106</v>
      </c>
      <c r="F21" s="115"/>
      <c r="G21" s="209"/>
      <c r="H21" s="64"/>
    </row>
    <row r="22" spans="1:8">
      <c r="A22" s="114" t="s">
        <v>616</v>
      </c>
      <c r="B22" s="114" t="s">
        <v>254</v>
      </c>
      <c r="C22" s="114" t="s">
        <v>617</v>
      </c>
      <c r="D22" s="316">
        <v>130000</v>
      </c>
      <c r="E22" s="311" t="s">
        <v>409</v>
      </c>
      <c r="F22" s="115"/>
      <c r="G22" s="209"/>
      <c r="H22" s="64"/>
    </row>
    <row r="23" spans="1:8">
      <c r="A23" s="114" t="s">
        <v>253</v>
      </c>
      <c r="B23" s="114" t="s">
        <v>255</v>
      </c>
      <c r="C23" s="114" t="s">
        <v>252</v>
      </c>
      <c r="D23" s="316">
        <v>29000</v>
      </c>
      <c r="E23" s="309" t="s">
        <v>205</v>
      </c>
      <c r="F23" s="115"/>
      <c r="G23" s="209"/>
      <c r="H23" s="64"/>
    </row>
    <row r="24" spans="1:8">
      <c r="A24" s="114" t="s">
        <v>694</v>
      </c>
      <c r="B24" s="114" t="s">
        <v>255</v>
      </c>
      <c r="C24" s="114" t="s">
        <v>695</v>
      </c>
      <c r="D24" s="316">
        <v>29000</v>
      </c>
      <c r="E24" s="309" t="s">
        <v>205</v>
      </c>
      <c r="F24" s="115"/>
      <c r="G24" s="209"/>
      <c r="H24" s="64"/>
    </row>
    <row r="25" spans="1:8">
      <c r="A25" s="114" t="s">
        <v>312</v>
      </c>
      <c r="B25" s="114" t="s">
        <v>255</v>
      </c>
      <c r="C25" s="114" t="s">
        <v>313</v>
      </c>
      <c r="D25" s="316">
        <v>65000</v>
      </c>
      <c r="E25" s="311" t="s">
        <v>409</v>
      </c>
      <c r="F25" s="115"/>
      <c r="G25" s="209"/>
      <c r="H25" s="64"/>
    </row>
    <row r="26" spans="1:8">
      <c r="A26" s="114" t="s">
        <v>432</v>
      </c>
      <c r="B26" s="114" t="s">
        <v>256</v>
      </c>
      <c r="C26" s="114" t="s">
        <v>433</v>
      </c>
      <c r="D26" s="316">
        <v>130000</v>
      </c>
      <c r="E26" s="309" t="s">
        <v>205</v>
      </c>
      <c r="F26" s="115"/>
      <c r="G26" s="209"/>
      <c r="H26" s="64"/>
    </row>
    <row r="27" spans="1:8">
      <c r="A27" s="114" t="s">
        <v>854</v>
      </c>
      <c r="B27" s="114" t="s">
        <v>256</v>
      </c>
      <c r="C27" s="114" t="s">
        <v>323</v>
      </c>
      <c r="D27" s="316">
        <v>130000</v>
      </c>
      <c r="E27" s="309" t="s">
        <v>205</v>
      </c>
      <c r="F27" s="115"/>
      <c r="G27" s="209"/>
      <c r="H27" s="64"/>
    </row>
    <row r="28" spans="1:8" ht="6.6" customHeight="1">
      <c r="A28" s="116" t="s">
        <v>157</v>
      </c>
      <c r="B28" s="109"/>
      <c r="C28" s="109"/>
      <c r="D28" s="314"/>
      <c r="E28" s="110"/>
      <c r="F28" s="137"/>
      <c r="G28" s="95"/>
    </row>
  </sheetData>
  <hyperlinks>
    <hyperlink ref="I7" location="Index!A1" display="Index" xr:uid="{00000000-0004-0000-0900-000000000000}"/>
    <hyperlink ref="F8" location="'Pour Bon de Commande'!A1" display="BC" xr:uid="{00000000-0004-0000-0900-000001000000}"/>
    <hyperlink ref="C6" r:id="rId1" xr:uid="{00000000-0004-0000-0900-000002000000}"/>
  </hyperlinks>
  <pageMargins left="0.7" right="0.7" top="0.75" bottom="0.7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6" tint="0.39997558519241921"/>
    <pageSetUpPr fitToPage="1"/>
  </sheetPr>
  <dimension ref="A1:P896"/>
  <sheetViews>
    <sheetView topLeftCell="A618" zoomScale="102" zoomScaleNormal="130" workbookViewId="0">
      <selection activeCell="D785" sqref="D785"/>
    </sheetView>
  </sheetViews>
  <sheetFormatPr baseColWidth="10" defaultColWidth="8.85546875" defaultRowHeight="15"/>
  <cols>
    <col min="1" max="1" width="1.28515625" style="1" customWidth="1"/>
    <col min="2" max="2" width="15.7109375" style="1" bestFit="1" customWidth="1"/>
    <col min="3" max="3" width="17.42578125" style="1" customWidth="1"/>
    <col min="4" max="4" width="86.85546875" style="159" customWidth="1"/>
    <col min="5" max="5" width="18.42578125" style="1" customWidth="1"/>
    <col min="6" max="6" width="12.42578125" style="1" customWidth="1"/>
    <col min="7" max="7" width="20.85546875" style="1" bestFit="1" customWidth="1"/>
    <col min="8" max="8" width="17" style="1" bestFit="1" customWidth="1"/>
    <col min="9" max="9" width="23.85546875" style="1" customWidth="1"/>
    <col min="10" max="10" width="16.28515625" style="1" bestFit="1" customWidth="1"/>
    <col min="11" max="11" width="27.42578125" style="1" customWidth="1"/>
    <col min="12" max="12" width="24.85546875" style="1" bestFit="1" customWidth="1"/>
    <col min="13" max="13" width="20.85546875" style="1" bestFit="1" customWidth="1"/>
    <col min="14" max="14" width="23.7109375" style="1" bestFit="1" customWidth="1"/>
    <col min="15" max="15" width="13.28515625" style="1" bestFit="1" customWidth="1"/>
    <col min="16" max="16" width="16" style="1" bestFit="1" customWidth="1"/>
    <col min="17" max="17" width="17" style="1" customWidth="1"/>
    <col min="18" max="16384" width="8.85546875" style="1"/>
  </cols>
  <sheetData>
    <row r="1" spans="1:12">
      <c r="A1" s="1" t="s">
        <v>156</v>
      </c>
      <c r="H1" s="229"/>
      <c r="I1" s="394" t="s">
        <v>674</v>
      </c>
      <c r="J1" s="394" t="s">
        <v>544</v>
      </c>
      <c r="K1" s="395" t="s">
        <v>545</v>
      </c>
      <c r="L1" s="394"/>
    </row>
    <row r="2" spans="1:12">
      <c r="H2" s="229"/>
      <c r="I2" s="394" t="s">
        <v>675</v>
      </c>
      <c r="J2" s="394" t="s">
        <v>546</v>
      </c>
      <c r="K2" s="396" t="s">
        <v>547</v>
      </c>
      <c r="L2" s="394"/>
    </row>
    <row r="3" spans="1:12">
      <c r="H3" s="229"/>
      <c r="I3" s="394" t="s">
        <v>548</v>
      </c>
      <c r="J3" s="394" t="s">
        <v>549</v>
      </c>
      <c r="K3" s="396" t="s">
        <v>550</v>
      </c>
      <c r="L3" s="394"/>
    </row>
    <row r="4" spans="1:12">
      <c r="I4" s="394" t="s">
        <v>133</v>
      </c>
      <c r="J4" s="394" t="s">
        <v>551</v>
      </c>
      <c r="K4" s="396" t="s">
        <v>533</v>
      </c>
      <c r="L4" s="394"/>
    </row>
    <row r="5" spans="1:12">
      <c r="I5" s="394" t="s">
        <v>552</v>
      </c>
      <c r="J5" s="394" t="s">
        <v>544</v>
      </c>
      <c r="K5" s="397" t="s">
        <v>545</v>
      </c>
      <c r="L5" s="394"/>
    </row>
    <row r="6" spans="1:12" s="96" customFormat="1">
      <c r="D6" s="234"/>
      <c r="E6" s="119"/>
      <c r="F6" s="118"/>
      <c r="G6" s="119"/>
      <c r="H6" s="1"/>
      <c r="I6" s="178" t="s">
        <v>158</v>
      </c>
      <c r="J6" s="119"/>
    </row>
    <row r="7" spans="1:12" s="96" customFormat="1">
      <c r="C7" s="230" t="s">
        <v>126</v>
      </c>
      <c r="D7" s="235">
        <f ca="1">TODAY()</f>
        <v>45692</v>
      </c>
      <c r="E7" s="119"/>
      <c r="F7" s="118"/>
      <c r="G7" s="119"/>
      <c r="H7" s="1"/>
      <c r="I7" s="118"/>
      <c r="J7" s="119"/>
    </row>
    <row r="8" spans="1:12" s="96" customFormat="1">
      <c r="C8" s="230" t="s">
        <v>127</v>
      </c>
      <c r="D8" s="236" t="s">
        <v>285</v>
      </c>
      <c r="E8" s="119"/>
      <c r="F8" s="118"/>
      <c r="G8" s="119"/>
      <c r="H8" s="1"/>
      <c r="I8" s="231" t="s">
        <v>161</v>
      </c>
      <c r="J8" s="119"/>
    </row>
    <row r="9" spans="1:12" s="96" customFormat="1">
      <c r="C9" s="232"/>
      <c r="D9" s="236"/>
      <c r="E9" s="119"/>
      <c r="F9" s="118"/>
      <c r="G9" s="119"/>
      <c r="H9" s="1"/>
      <c r="I9" s="118"/>
      <c r="J9" s="119"/>
    </row>
    <row r="10" spans="1:12" s="96" customFormat="1">
      <c r="C10" s="233" t="s">
        <v>134</v>
      </c>
      <c r="D10" s="234"/>
      <c r="E10" s="119"/>
      <c r="F10" s="119"/>
      <c r="G10" s="119"/>
      <c r="H10" s="199"/>
      <c r="I10" s="1"/>
      <c r="J10" s="1"/>
    </row>
    <row r="11" spans="1:12">
      <c r="B11" s="154" t="s">
        <v>156</v>
      </c>
      <c r="C11" s="154" t="s">
        <v>45</v>
      </c>
      <c r="D11" s="155" t="s">
        <v>13</v>
      </c>
      <c r="E11" s="154" t="s">
        <v>18</v>
      </c>
      <c r="F11" s="156" t="s">
        <v>23</v>
      </c>
      <c r="G11" s="154" t="s">
        <v>314</v>
      </c>
    </row>
    <row r="12" spans="1:12">
      <c r="B12" s="151" t="s">
        <v>12</v>
      </c>
      <c r="C12" s="272">
        <f>IF(APC!F11&gt;0,APC!A11,0)</f>
        <v>0</v>
      </c>
      <c r="D12" s="273">
        <f>IF(C12=APC!A11,APC!C11,0)</f>
        <v>0</v>
      </c>
      <c r="E12" s="274">
        <f>IF(C12=APC!A11,APC!D11,0)</f>
        <v>0</v>
      </c>
      <c r="F12" s="275">
        <f>APC!F11</f>
        <v>0</v>
      </c>
      <c r="G12" s="274">
        <f>F12*E12</f>
        <v>0</v>
      </c>
    </row>
    <row r="13" spans="1:12">
      <c r="B13" s="151" t="s">
        <v>12</v>
      </c>
      <c r="C13" s="272">
        <f>IF(APC!F12&gt;0,APC!A12,0)</f>
        <v>0</v>
      </c>
      <c r="D13" s="273">
        <f>IF(C13=APC!A12,APC!C12,0)</f>
        <v>0</v>
      </c>
      <c r="E13" s="274">
        <f>IF(C13=APC!A12,APC!D12,0)</f>
        <v>0</v>
      </c>
      <c r="F13" s="275">
        <f>APC!F12</f>
        <v>0</v>
      </c>
      <c r="G13" s="274">
        <f t="shared" ref="G13:G76" si="0">F13*E13</f>
        <v>0</v>
      </c>
      <c r="J13" s="199"/>
      <c r="K13" s="199"/>
    </row>
    <row r="14" spans="1:12">
      <c r="B14" s="151" t="s">
        <v>12</v>
      </c>
      <c r="C14" s="272">
        <f>IF(APC!F13&gt;0,APC!A13,0)</f>
        <v>0</v>
      </c>
      <c r="D14" s="273">
        <f>IF(C14=APC!A13,APC!C13,0)</f>
        <v>0</v>
      </c>
      <c r="E14" s="274">
        <f>IF(C14=APC!A13,APC!D13,0)</f>
        <v>0</v>
      </c>
      <c r="F14" s="275">
        <f>APC!F13</f>
        <v>0</v>
      </c>
      <c r="G14" s="274">
        <f t="shared" si="0"/>
        <v>0</v>
      </c>
      <c r="J14" s="199"/>
      <c r="K14" s="199"/>
    </row>
    <row r="15" spans="1:12">
      <c r="B15" s="151" t="s">
        <v>12</v>
      </c>
      <c r="C15" s="272">
        <f>IF(APC!F14&gt;0,APC!A14,0)</f>
        <v>0</v>
      </c>
      <c r="D15" s="273">
        <f>IF(C15=APC!A14,APC!C14,0)</f>
        <v>0</v>
      </c>
      <c r="E15" s="274">
        <f>IF(C15=APC!A14,APC!D14,0)</f>
        <v>0</v>
      </c>
      <c r="F15" s="275">
        <f>APC!F14</f>
        <v>0</v>
      </c>
      <c r="G15" s="274">
        <f t="shared" si="0"/>
        <v>0</v>
      </c>
      <c r="J15" s="199"/>
      <c r="K15" s="199"/>
    </row>
    <row r="16" spans="1:12">
      <c r="B16" s="151" t="s">
        <v>12</v>
      </c>
      <c r="C16" s="272">
        <f>IF(APC!F15&gt;0,APC!A15,0)</f>
        <v>0</v>
      </c>
      <c r="D16" s="273">
        <f>IF(C16=APC!A15,APC!C15,0)</f>
        <v>0</v>
      </c>
      <c r="E16" s="274">
        <f>IF(C16=APC!A15,APC!D15,0)</f>
        <v>0</v>
      </c>
      <c r="F16" s="275">
        <f>APC!F15</f>
        <v>0</v>
      </c>
      <c r="G16" s="274">
        <f t="shared" si="0"/>
        <v>0</v>
      </c>
      <c r="J16" s="199"/>
      <c r="K16" s="199"/>
    </row>
    <row r="17" spans="2:12">
      <c r="B17" s="151" t="s">
        <v>12</v>
      </c>
      <c r="C17" s="272">
        <f>IF(APC!F16&gt;0,APC!A16,0)</f>
        <v>0</v>
      </c>
      <c r="D17" s="273">
        <f>IF(C17=APC!A16,APC!C16,0)</f>
        <v>0</v>
      </c>
      <c r="E17" s="274">
        <f>IF(C17=APC!A16,APC!D16,0)</f>
        <v>0</v>
      </c>
      <c r="F17" s="275">
        <f>APC!F16</f>
        <v>0</v>
      </c>
      <c r="G17" s="274">
        <f t="shared" si="0"/>
        <v>0</v>
      </c>
      <c r="J17" s="199"/>
      <c r="K17" s="199"/>
    </row>
    <row r="18" spans="2:12">
      <c r="B18" s="151" t="s">
        <v>12</v>
      </c>
      <c r="C18" s="272">
        <f>IF(APC!F17&gt;0,APC!A17,0)</f>
        <v>0</v>
      </c>
      <c r="D18" s="273">
        <f>IF(C18=APC!A17,APC!C17,0)</f>
        <v>0</v>
      </c>
      <c r="E18" s="274">
        <f>IF(C18=APC!A17,APC!D17,0)</f>
        <v>0</v>
      </c>
      <c r="F18" s="275">
        <f>APC!F17</f>
        <v>0</v>
      </c>
      <c r="G18" s="274">
        <f t="shared" si="0"/>
        <v>0</v>
      </c>
      <c r="J18" s="199"/>
      <c r="K18" s="199"/>
    </row>
    <row r="19" spans="2:12">
      <c r="B19" s="151" t="s">
        <v>12</v>
      </c>
      <c r="C19" s="272">
        <f>IF(APC!F18&gt;0,APC!A18,0)</f>
        <v>0</v>
      </c>
      <c r="D19" s="273">
        <f>IF(C19=APC!A18,APC!C18,0)</f>
        <v>0</v>
      </c>
      <c r="E19" s="274">
        <f>IF(C19=APC!A18,APC!D18,0)</f>
        <v>0</v>
      </c>
      <c r="F19" s="275">
        <f>APC!F18</f>
        <v>0</v>
      </c>
      <c r="G19" s="274">
        <f t="shared" si="0"/>
        <v>0</v>
      </c>
      <c r="J19" s="199"/>
      <c r="K19" s="199"/>
      <c r="L19" s="199"/>
    </row>
    <row r="20" spans="2:12">
      <c r="B20" s="151" t="s">
        <v>12</v>
      </c>
      <c r="C20" s="272">
        <f>IF(APC!F19&gt;0,APC!A19,0)</f>
        <v>0</v>
      </c>
      <c r="D20" s="273">
        <f>IF(C20=APC!A19,APC!C19,0)</f>
        <v>0</v>
      </c>
      <c r="E20" s="274">
        <f>IF(C20=APC!A19,APC!D19,0)</f>
        <v>0</v>
      </c>
      <c r="F20" s="275">
        <f>APC!F19</f>
        <v>0</v>
      </c>
      <c r="G20" s="274">
        <f t="shared" si="0"/>
        <v>0</v>
      </c>
      <c r="J20" s="199"/>
      <c r="K20" s="199"/>
      <c r="L20" s="199"/>
    </row>
    <row r="21" spans="2:12">
      <c r="B21" s="151" t="s">
        <v>12</v>
      </c>
      <c r="C21" s="272">
        <f>IF(APC!F20&gt;0,APC!A20,0)</f>
        <v>0</v>
      </c>
      <c r="D21" s="273">
        <f>IF(C21=APC!A20,APC!C20,0)</f>
        <v>0</v>
      </c>
      <c r="E21" s="274">
        <f>IF(C21=APC!A20,APC!D20,0)</f>
        <v>0</v>
      </c>
      <c r="F21" s="275">
        <f>APC!F20</f>
        <v>0</v>
      </c>
      <c r="G21" s="274">
        <f t="shared" si="0"/>
        <v>0</v>
      </c>
      <c r="J21" s="199"/>
      <c r="K21" s="199"/>
    </row>
    <row r="22" spans="2:12">
      <c r="B22" s="151" t="s">
        <v>12</v>
      </c>
      <c r="C22" s="272">
        <f>IF(APC!F21&gt;0,APC!A21,0)</f>
        <v>0</v>
      </c>
      <c r="D22" s="273">
        <f>IF(C22=APC!A21,APC!C21,0)</f>
        <v>0</v>
      </c>
      <c r="E22" s="274">
        <f>IF(C22=APC!A21,APC!D21,0)</f>
        <v>0</v>
      </c>
      <c r="F22" s="275">
        <f>APC!F21</f>
        <v>0</v>
      </c>
      <c r="G22" s="274">
        <f t="shared" si="0"/>
        <v>0</v>
      </c>
      <c r="J22" s="199"/>
      <c r="K22" s="199"/>
    </row>
    <row r="23" spans="2:12">
      <c r="B23" s="151" t="s">
        <v>12</v>
      </c>
      <c r="C23" s="272">
        <f>IF(APC!F22&gt;0,APC!A22,0)</f>
        <v>0</v>
      </c>
      <c r="D23" s="273">
        <f>IF(C23=APC!A22,APC!C22,0)</f>
        <v>0</v>
      </c>
      <c r="E23" s="274">
        <f>IF(C23=APC!A22,APC!D22,0)</f>
        <v>0</v>
      </c>
      <c r="F23" s="275">
        <f>APC!F22</f>
        <v>0</v>
      </c>
      <c r="G23" s="274">
        <f t="shared" si="0"/>
        <v>0</v>
      </c>
      <c r="J23" s="199"/>
      <c r="K23" s="199"/>
    </row>
    <row r="24" spans="2:12">
      <c r="B24" s="151" t="s">
        <v>12</v>
      </c>
      <c r="C24" s="272">
        <f>IF(APC!F23&gt;0,APC!A23,0)</f>
        <v>0</v>
      </c>
      <c r="D24" s="273">
        <f>IF(C24=APC!A23,APC!C23,0)</f>
        <v>0</v>
      </c>
      <c r="E24" s="274">
        <f>IF(C24=APC!A23,APC!D23,0)</f>
        <v>0</v>
      </c>
      <c r="F24" s="275">
        <f>APC!F23</f>
        <v>0</v>
      </c>
      <c r="G24" s="274">
        <f t="shared" si="0"/>
        <v>0</v>
      </c>
      <c r="J24" s="199"/>
      <c r="K24" s="199"/>
    </row>
    <row r="25" spans="2:12">
      <c r="B25" s="151" t="s">
        <v>12</v>
      </c>
      <c r="C25" s="272">
        <f>IF(APC!F24&gt;0,APC!A24,0)</f>
        <v>0</v>
      </c>
      <c r="D25" s="273">
        <f>IF(C25=APC!A24,APC!C24,0)</f>
        <v>0</v>
      </c>
      <c r="E25" s="274">
        <f>IF(C25=APC!A24,APC!D24,0)</f>
        <v>0</v>
      </c>
      <c r="F25" s="275">
        <f>APC!F24</f>
        <v>0</v>
      </c>
      <c r="G25" s="274">
        <f t="shared" si="0"/>
        <v>0</v>
      </c>
      <c r="J25" s="199"/>
      <c r="K25" s="199"/>
    </row>
    <row r="26" spans="2:12">
      <c r="B26" s="151" t="s">
        <v>12</v>
      </c>
      <c r="C26" s="272">
        <f>IF(APC!F25&gt;0,APC!A25,0)</f>
        <v>0</v>
      </c>
      <c r="D26" s="273">
        <f>IF(C26=APC!A25,APC!C25,0)</f>
        <v>0</v>
      </c>
      <c r="E26" s="274">
        <f>IF(C26=APC!A25,APC!D25,0)</f>
        <v>0</v>
      </c>
      <c r="F26" s="275">
        <f>APC!F25</f>
        <v>0</v>
      </c>
      <c r="G26" s="274">
        <f t="shared" si="0"/>
        <v>0</v>
      </c>
      <c r="J26" s="199"/>
      <c r="K26" s="199"/>
    </row>
    <row r="27" spans="2:12">
      <c r="B27" s="151" t="s">
        <v>12</v>
      </c>
      <c r="C27" s="272">
        <f>IF(APC!F26&gt;0,APC!A26,0)</f>
        <v>0</v>
      </c>
      <c r="D27" s="273">
        <f>IF(C27=APC!A26,APC!C26,0)</f>
        <v>0</v>
      </c>
      <c r="E27" s="274">
        <f>IF(C27=APC!A26,APC!D26,0)</f>
        <v>0</v>
      </c>
      <c r="F27" s="275">
        <f>APC!F26</f>
        <v>0</v>
      </c>
      <c r="G27" s="274">
        <f t="shared" si="0"/>
        <v>0</v>
      </c>
      <c r="J27" s="199"/>
      <c r="K27" s="199"/>
    </row>
    <row r="28" spans="2:12">
      <c r="B28" s="151" t="s">
        <v>12</v>
      </c>
      <c r="C28" s="272">
        <f>IF(APC!F27&gt;0,APC!A27,0)</f>
        <v>0</v>
      </c>
      <c r="D28" s="273">
        <f>IF(C28=APC!A27,APC!C27,0)</f>
        <v>0</v>
      </c>
      <c r="E28" s="274">
        <f>IF(C28=APC!A27,APC!D27,0)</f>
        <v>0</v>
      </c>
      <c r="F28" s="275">
        <f>APC!F27</f>
        <v>0</v>
      </c>
      <c r="G28" s="274">
        <f t="shared" si="0"/>
        <v>0</v>
      </c>
      <c r="J28" s="199"/>
      <c r="K28" s="199"/>
    </row>
    <row r="29" spans="2:12">
      <c r="B29" s="151" t="s">
        <v>12</v>
      </c>
      <c r="C29" s="272">
        <f>IF(APC!F28&gt;0,APC!A28,0)</f>
        <v>0</v>
      </c>
      <c r="D29" s="273">
        <f>IF(C29=APC!A28,APC!C28,0)</f>
        <v>0</v>
      </c>
      <c r="E29" s="274">
        <f>IF(C29=APC!A28,APC!D28,0)</f>
        <v>0</v>
      </c>
      <c r="F29" s="275">
        <f>APC!F28</f>
        <v>0</v>
      </c>
      <c r="G29" s="274">
        <f t="shared" si="0"/>
        <v>0</v>
      </c>
      <c r="J29" s="199"/>
      <c r="K29" s="199"/>
    </row>
    <row r="30" spans="2:12">
      <c r="B30" s="151" t="s">
        <v>12</v>
      </c>
      <c r="C30" s="272">
        <f>IF(APC!F29&gt;0,APC!A29,0)</f>
        <v>0</v>
      </c>
      <c r="D30" s="273">
        <f>IF(C30=APC!A29,APC!C29,0)</f>
        <v>0</v>
      </c>
      <c r="E30" s="274">
        <f>IF(C30=APC!A29,APC!D29,0)</f>
        <v>0</v>
      </c>
      <c r="F30" s="275">
        <f>APC!F29</f>
        <v>0</v>
      </c>
      <c r="G30" s="274">
        <f t="shared" si="0"/>
        <v>0</v>
      </c>
      <c r="J30" s="199"/>
      <c r="K30" s="199"/>
    </row>
    <row r="31" spans="2:12">
      <c r="B31" s="151" t="s">
        <v>12</v>
      </c>
      <c r="C31" s="272">
        <f>IF(APC!F30&gt;0,APC!A30,0)</f>
        <v>0</v>
      </c>
      <c r="D31" s="273">
        <f>IF(C31=APC!A30,APC!C30,0)</f>
        <v>0</v>
      </c>
      <c r="E31" s="274">
        <f>IF(C31=APC!A30,APC!D30,0)</f>
        <v>0</v>
      </c>
      <c r="F31" s="275">
        <f>APC!F30</f>
        <v>0</v>
      </c>
      <c r="G31" s="274">
        <f t="shared" si="0"/>
        <v>0</v>
      </c>
      <c r="J31" s="199"/>
      <c r="K31" s="199"/>
    </row>
    <row r="32" spans="2:12">
      <c r="B32" s="151" t="s">
        <v>12</v>
      </c>
      <c r="C32" s="272">
        <f>IF(APC!F31&gt;0,APC!A31,0)</f>
        <v>0</v>
      </c>
      <c r="D32" s="273">
        <f>IF(C32=APC!A31,APC!C31,0)</f>
        <v>0</v>
      </c>
      <c r="E32" s="274">
        <f>IF(C32=APC!A31,APC!D31,0)</f>
        <v>0</v>
      </c>
      <c r="F32" s="275">
        <f>APC!F31</f>
        <v>0</v>
      </c>
      <c r="G32" s="274">
        <f t="shared" si="0"/>
        <v>0</v>
      </c>
      <c r="J32" s="199"/>
      <c r="K32" s="199"/>
    </row>
    <row r="33" spans="2:11">
      <c r="B33" s="151" t="s">
        <v>12</v>
      </c>
      <c r="C33" s="272">
        <f>IF(APC!F32&gt;0,APC!A32,0)</f>
        <v>0</v>
      </c>
      <c r="D33" s="273">
        <f>IF(C33=APC!A32,APC!C32,0)</f>
        <v>0</v>
      </c>
      <c r="E33" s="274">
        <f>IF(C33=APC!A32,APC!D32,0)</f>
        <v>0</v>
      </c>
      <c r="F33" s="275">
        <f>APC!F32</f>
        <v>0</v>
      </c>
      <c r="G33" s="274">
        <f t="shared" si="0"/>
        <v>0</v>
      </c>
      <c r="J33" s="199"/>
      <c r="K33" s="199"/>
    </row>
    <row r="34" spans="2:11">
      <c r="B34" s="151" t="s">
        <v>12</v>
      </c>
      <c r="C34" s="272">
        <f>IF(APC!F33&gt;0,APC!A33,0)</f>
        <v>0</v>
      </c>
      <c r="D34" s="273">
        <f>IF(C34=APC!A33,APC!C33,0)</f>
        <v>0</v>
      </c>
      <c r="E34" s="274">
        <f>IF(C34=APC!A33,APC!D33,0)</f>
        <v>0</v>
      </c>
      <c r="F34" s="275">
        <f>APC!F33</f>
        <v>0</v>
      </c>
      <c r="G34" s="274">
        <f t="shared" si="0"/>
        <v>0</v>
      </c>
      <c r="J34" s="199"/>
      <c r="K34" s="199"/>
    </row>
    <row r="35" spans="2:11">
      <c r="B35" s="151" t="s">
        <v>12</v>
      </c>
      <c r="C35" s="272">
        <f>IF(APC!F34&gt;0,APC!A34,0)</f>
        <v>0</v>
      </c>
      <c r="D35" s="273">
        <f>IF(C35=APC!A34,APC!C34,0)</f>
        <v>0</v>
      </c>
      <c r="E35" s="274">
        <f>IF(C35=APC!A34,APC!D34,0)</f>
        <v>0</v>
      </c>
      <c r="F35" s="275">
        <f>APC!F34</f>
        <v>0</v>
      </c>
      <c r="G35" s="274">
        <f t="shared" si="0"/>
        <v>0</v>
      </c>
      <c r="J35" s="199"/>
      <c r="K35" s="199"/>
    </row>
    <row r="36" spans="2:11">
      <c r="B36" s="151" t="s">
        <v>12</v>
      </c>
      <c r="C36" s="272">
        <f>IF(APC!F35&gt;0,APC!A35,0)</f>
        <v>0</v>
      </c>
      <c r="D36" s="273">
        <f>IF(C36=APC!A35,APC!C35,0)</f>
        <v>0</v>
      </c>
      <c r="E36" s="274">
        <f>IF(C36=APC!A35,APC!D35,0)</f>
        <v>0</v>
      </c>
      <c r="F36" s="275">
        <f>APC!F35</f>
        <v>0</v>
      </c>
      <c r="G36" s="274">
        <f t="shared" si="0"/>
        <v>0</v>
      </c>
      <c r="J36" s="199"/>
      <c r="K36" s="199"/>
    </row>
    <row r="37" spans="2:11">
      <c r="B37" s="151" t="s">
        <v>12</v>
      </c>
      <c r="C37" s="272">
        <f>IF(APC!F36&gt;0,APC!A36,0)</f>
        <v>0</v>
      </c>
      <c r="D37" s="273">
        <f>IF(C37=APC!A36,APC!C36,0)</f>
        <v>0</v>
      </c>
      <c r="E37" s="274">
        <f>IF(C37=APC!A36,APC!D36,0)</f>
        <v>0</v>
      </c>
      <c r="F37" s="275">
        <f>APC!F36</f>
        <v>0</v>
      </c>
      <c r="G37" s="274">
        <f t="shared" si="0"/>
        <v>0</v>
      </c>
      <c r="J37" s="199"/>
      <c r="K37" s="199"/>
    </row>
    <row r="38" spans="2:11">
      <c r="B38" s="151" t="s">
        <v>12</v>
      </c>
      <c r="C38" s="272">
        <f>IF(APC!F37&gt;0,APC!A37,0)</f>
        <v>0</v>
      </c>
      <c r="D38" s="273">
        <f>IF(C38=APC!A37,APC!C37,0)</f>
        <v>0</v>
      </c>
      <c r="E38" s="274">
        <f>IF(C38=APC!A37,APC!D37,0)</f>
        <v>0</v>
      </c>
      <c r="F38" s="275">
        <f>APC!F37</f>
        <v>0</v>
      </c>
      <c r="G38" s="274">
        <f t="shared" si="0"/>
        <v>0</v>
      </c>
      <c r="J38" s="199"/>
      <c r="K38" s="199"/>
    </row>
    <row r="39" spans="2:11">
      <c r="B39" s="151" t="s">
        <v>12</v>
      </c>
      <c r="C39" s="272">
        <f>IF(APC!F38&gt;0,APC!A38,0)</f>
        <v>0</v>
      </c>
      <c r="D39" s="273">
        <f>IF(C39=APC!A38,APC!C38,0)</f>
        <v>0</v>
      </c>
      <c r="E39" s="274">
        <f>IF(C39=APC!A38,APC!D38,0)</f>
        <v>0</v>
      </c>
      <c r="F39" s="275">
        <f>APC!F38</f>
        <v>0</v>
      </c>
      <c r="G39" s="274">
        <f t="shared" si="0"/>
        <v>0</v>
      </c>
      <c r="J39" s="199"/>
      <c r="K39" s="199"/>
    </row>
    <row r="40" spans="2:11">
      <c r="B40" s="151" t="s">
        <v>12</v>
      </c>
      <c r="C40" s="272">
        <f>IF(APC!F39&gt;0,APC!A39,0)</f>
        <v>0</v>
      </c>
      <c r="D40" s="273">
        <f>IF(C40=APC!A39,APC!C39,0)</f>
        <v>0</v>
      </c>
      <c r="E40" s="274">
        <f>IF(C40=APC!A39,APC!D39,0)</f>
        <v>0</v>
      </c>
      <c r="F40" s="275">
        <f>APC!F39</f>
        <v>0</v>
      </c>
      <c r="G40" s="274">
        <f t="shared" si="0"/>
        <v>0</v>
      </c>
      <c r="J40" s="199"/>
      <c r="K40" s="199"/>
    </row>
    <row r="41" spans="2:11">
      <c r="B41" s="151" t="s">
        <v>12</v>
      </c>
      <c r="C41" s="272">
        <f>IF(APC!F40&gt;0,APC!A40,0)</f>
        <v>0</v>
      </c>
      <c r="D41" s="273">
        <f>IF(C41=APC!A40,APC!C40,0)</f>
        <v>0</v>
      </c>
      <c r="E41" s="274">
        <f>IF(C41=APC!A40,APC!D40,0)</f>
        <v>0</v>
      </c>
      <c r="F41" s="275">
        <f>APC!F40</f>
        <v>0</v>
      </c>
      <c r="G41" s="274">
        <f t="shared" si="0"/>
        <v>0</v>
      </c>
      <c r="J41" s="199"/>
      <c r="K41" s="199"/>
    </row>
    <row r="42" spans="2:11">
      <c r="B42" s="151" t="s">
        <v>12</v>
      </c>
      <c r="C42" s="272">
        <f>IF(APC!F41&gt;0,APC!A41,0)</f>
        <v>0</v>
      </c>
      <c r="D42" s="273">
        <f>IF(C42=APC!A41,APC!C41,0)</f>
        <v>0</v>
      </c>
      <c r="E42" s="274">
        <f>IF(C42=APC!A41,APC!D41,0)</f>
        <v>0</v>
      </c>
      <c r="F42" s="275">
        <f>APC!F41</f>
        <v>0</v>
      </c>
      <c r="G42" s="274">
        <f t="shared" si="0"/>
        <v>0</v>
      </c>
      <c r="J42" s="199"/>
      <c r="K42" s="199"/>
    </row>
    <row r="43" spans="2:11">
      <c r="B43" s="151" t="s">
        <v>12</v>
      </c>
      <c r="C43" s="272">
        <f>IF(APC!F42&gt;0,APC!A42,0)</f>
        <v>0</v>
      </c>
      <c r="D43" s="273">
        <f>IF(C43=APC!A42,APC!C42,0)</f>
        <v>0</v>
      </c>
      <c r="E43" s="274">
        <f>IF(C43=APC!A42,APC!D42,0)</f>
        <v>0</v>
      </c>
      <c r="F43" s="275">
        <f>APC!F42</f>
        <v>0</v>
      </c>
      <c r="G43" s="274">
        <f t="shared" si="0"/>
        <v>0</v>
      </c>
      <c r="J43" s="199"/>
      <c r="K43" s="199"/>
    </row>
    <row r="44" spans="2:11">
      <c r="B44" s="151" t="s">
        <v>12</v>
      </c>
      <c r="C44" s="272">
        <f>IF(APC!F43&gt;0,APC!A43,0)</f>
        <v>0</v>
      </c>
      <c r="D44" s="273">
        <f>IF(C44=APC!A43,APC!C43,0)</f>
        <v>0</v>
      </c>
      <c r="E44" s="274">
        <f>IF(C44=APC!A43,APC!D43,0)</f>
        <v>0</v>
      </c>
      <c r="F44" s="275">
        <f>APC!F43</f>
        <v>0</v>
      </c>
      <c r="G44" s="274">
        <f t="shared" si="0"/>
        <v>0</v>
      </c>
      <c r="I44" s="199"/>
      <c r="J44" s="199"/>
      <c r="K44" s="199"/>
    </row>
    <row r="45" spans="2:11">
      <c r="B45" s="151" t="s">
        <v>12</v>
      </c>
      <c r="C45" s="272">
        <f>IF(APC!F44&gt;0,APC!A44,0)</f>
        <v>0</v>
      </c>
      <c r="D45" s="273">
        <f>IF(C45=APC!A44,APC!C44,0)</f>
        <v>0</v>
      </c>
      <c r="E45" s="274">
        <f>IF(C45=APC!A44,APC!D44,0)</f>
        <v>0</v>
      </c>
      <c r="F45" s="275">
        <f>APC!F44</f>
        <v>0</v>
      </c>
      <c r="G45" s="274">
        <f t="shared" si="0"/>
        <v>0</v>
      </c>
      <c r="J45" s="199"/>
      <c r="K45" s="199"/>
    </row>
    <row r="46" spans="2:11">
      <c r="B46" s="151" t="s">
        <v>12</v>
      </c>
      <c r="C46" s="272">
        <f>IF(APC!F45&gt;0,APC!A45,0)</f>
        <v>0</v>
      </c>
      <c r="D46" s="273">
        <f>IF(C46=APC!A45,APC!C45,0)</f>
        <v>0</v>
      </c>
      <c r="E46" s="274">
        <f>IF(C46=APC!A45,APC!D45,0)</f>
        <v>0</v>
      </c>
      <c r="F46" s="275">
        <f>APC!F45</f>
        <v>0</v>
      </c>
      <c r="G46" s="274">
        <f t="shared" si="0"/>
        <v>0</v>
      </c>
      <c r="I46" s="177"/>
      <c r="J46" s="199"/>
      <c r="K46" s="199"/>
    </row>
    <row r="47" spans="2:11">
      <c r="B47" s="151" t="s">
        <v>12</v>
      </c>
      <c r="C47" s="272">
        <f>IF(APC!F46&gt;0,APC!A46,0)</f>
        <v>0</v>
      </c>
      <c r="D47" s="273">
        <f>IF(C47=APC!A46,APC!C46,0)</f>
        <v>0</v>
      </c>
      <c r="E47" s="274">
        <f>IF(C47=APC!A46,APC!D46,0)</f>
        <v>0</v>
      </c>
      <c r="F47" s="275">
        <f>APC!F46</f>
        <v>0</v>
      </c>
      <c r="G47" s="274">
        <f t="shared" si="0"/>
        <v>0</v>
      </c>
      <c r="J47" s="199"/>
      <c r="K47" s="199"/>
    </row>
    <row r="48" spans="2:11">
      <c r="B48" s="151" t="s">
        <v>12</v>
      </c>
      <c r="C48" s="272">
        <f>IF(APC!F47&gt;0,APC!A47,0)</f>
        <v>0</v>
      </c>
      <c r="D48" s="273">
        <f>IF(C48=APC!A47,APC!C47,0)</f>
        <v>0</v>
      </c>
      <c r="E48" s="274">
        <f>IF(C48=APC!A47,APC!D47,0)</f>
        <v>0</v>
      </c>
      <c r="F48" s="275">
        <f>APC!F47</f>
        <v>0</v>
      </c>
      <c r="G48" s="274">
        <f t="shared" si="0"/>
        <v>0</v>
      </c>
      <c r="I48" s="199"/>
      <c r="J48" s="199"/>
      <c r="K48" s="199"/>
    </row>
    <row r="49" spans="2:11">
      <c r="B49" s="151" t="s">
        <v>12</v>
      </c>
      <c r="C49" s="272">
        <f>IF(APC!F48&gt;0,APC!A48,0)</f>
        <v>0</v>
      </c>
      <c r="D49" s="273">
        <f>IF(C49=APC!A48,APC!C48,0)</f>
        <v>0</v>
      </c>
      <c r="E49" s="274">
        <f>IF(C49=APC!A48,APC!D48,0)</f>
        <v>0</v>
      </c>
      <c r="F49" s="275">
        <f>APC!F48</f>
        <v>0</v>
      </c>
      <c r="G49" s="274">
        <f t="shared" si="0"/>
        <v>0</v>
      </c>
      <c r="J49" s="199"/>
      <c r="K49" s="199"/>
    </row>
    <row r="50" spans="2:11">
      <c r="B50" s="151" t="s">
        <v>12</v>
      </c>
      <c r="C50" s="272">
        <f>IF(APC!F49&gt;0,APC!A49,0)</f>
        <v>0</v>
      </c>
      <c r="D50" s="273">
        <f>IF(C50=APC!A49,APC!C49,0)</f>
        <v>0</v>
      </c>
      <c r="E50" s="274">
        <f>IF(C50=APC!A49,APC!D49,0)</f>
        <v>0</v>
      </c>
      <c r="F50" s="275">
        <f>APC!F49</f>
        <v>0</v>
      </c>
      <c r="G50" s="274">
        <f t="shared" si="0"/>
        <v>0</v>
      </c>
      <c r="J50" s="199"/>
      <c r="K50" s="199"/>
    </row>
    <row r="51" spans="2:11">
      <c r="B51" s="151" t="s">
        <v>12</v>
      </c>
      <c r="C51" s="272">
        <f>IF(APC!F50&gt;0,APC!A50,0)</f>
        <v>0</v>
      </c>
      <c r="D51" s="273">
        <f>IF(C51=APC!A50,APC!C50,0)</f>
        <v>0</v>
      </c>
      <c r="E51" s="274">
        <f>IF(C51=APC!A50,APC!D50,0)</f>
        <v>0</v>
      </c>
      <c r="F51" s="275">
        <f>APC!F50</f>
        <v>0</v>
      </c>
      <c r="G51" s="274">
        <f t="shared" si="0"/>
        <v>0</v>
      </c>
      <c r="J51" s="199"/>
      <c r="K51" s="199"/>
    </row>
    <row r="52" spans="2:11">
      <c r="B52" s="151" t="s">
        <v>12</v>
      </c>
      <c r="C52" s="272">
        <f>IF(APC!F51&gt;0,APC!A51,0)</f>
        <v>0</v>
      </c>
      <c r="D52" s="273">
        <f>IF(C52=APC!A51,APC!C51,0)</f>
        <v>0</v>
      </c>
      <c r="E52" s="274">
        <f>IF(C52=APC!A51,APC!D51,0)</f>
        <v>0</v>
      </c>
      <c r="F52" s="275">
        <f>APC!F51</f>
        <v>0</v>
      </c>
      <c r="G52" s="274">
        <f t="shared" si="0"/>
        <v>0</v>
      </c>
      <c r="J52" s="199"/>
      <c r="K52" s="199"/>
    </row>
    <row r="53" spans="2:11">
      <c r="B53" s="151" t="s">
        <v>12</v>
      </c>
      <c r="C53" s="272">
        <f>IF(APC!F52&gt;0,APC!A52,0)</f>
        <v>0</v>
      </c>
      <c r="D53" s="273">
        <f>IF(C53=APC!A52,APC!C52,0)</f>
        <v>0</v>
      </c>
      <c r="E53" s="274">
        <f>IF(C53=APC!A52,APC!D52,0)</f>
        <v>0</v>
      </c>
      <c r="F53" s="275">
        <f>APC!F52</f>
        <v>0</v>
      </c>
      <c r="G53" s="274">
        <f t="shared" si="0"/>
        <v>0</v>
      </c>
      <c r="J53" s="199"/>
      <c r="K53" s="199"/>
    </row>
    <row r="54" spans="2:11">
      <c r="B54" s="151" t="s">
        <v>12</v>
      </c>
      <c r="C54" s="272">
        <f>IF(APC!F53&gt;0,APC!A53,0)</f>
        <v>0</v>
      </c>
      <c r="D54" s="273">
        <f>IF(C54=APC!A53,APC!C53,0)</f>
        <v>0</v>
      </c>
      <c r="E54" s="274">
        <f>IF(C54=APC!A53,APC!D53,0)</f>
        <v>0</v>
      </c>
      <c r="F54" s="275">
        <f>APC!F53</f>
        <v>0</v>
      </c>
      <c r="G54" s="274">
        <f t="shared" si="0"/>
        <v>0</v>
      </c>
      <c r="J54" s="199"/>
      <c r="K54" s="199"/>
    </row>
    <row r="55" spans="2:11">
      <c r="B55" s="151" t="s">
        <v>12</v>
      </c>
      <c r="C55" s="272">
        <f>IF(APC!F54&gt;0,APC!A54,0)</f>
        <v>0</v>
      </c>
      <c r="D55" s="273">
        <f>IF(C55=APC!A54,APC!C54,0)</f>
        <v>0</v>
      </c>
      <c r="E55" s="274">
        <f>IF(C55=APC!A54,APC!D54,0)</f>
        <v>0</v>
      </c>
      <c r="F55" s="275">
        <f>APC!F54</f>
        <v>0</v>
      </c>
      <c r="G55" s="274">
        <f t="shared" si="0"/>
        <v>0</v>
      </c>
      <c r="J55" s="199"/>
      <c r="K55" s="199"/>
    </row>
    <row r="56" spans="2:11">
      <c r="B56" s="151" t="s">
        <v>12</v>
      </c>
      <c r="C56" s="272">
        <f>IF(APC!F55&gt;0,APC!A55,0)</f>
        <v>0</v>
      </c>
      <c r="D56" s="273">
        <f>IF(C56=APC!A55,APC!C55,0)</f>
        <v>0</v>
      </c>
      <c r="E56" s="274">
        <f>IF(C56=APC!A55,APC!D55,0)</f>
        <v>0</v>
      </c>
      <c r="F56" s="275">
        <f>APC!F55</f>
        <v>0</v>
      </c>
      <c r="G56" s="274">
        <f t="shared" si="0"/>
        <v>0</v>
      </c>
      <c r="J56" s="199"/>
      <c r="K56" s="199"/>
    </row>
    <row r="57" spans="2:11">
      <c r="B57" s="151" t="s">
        <v>12</v>
      </c>
      <c r="C57" s="272">
        <f>IF(APC!F56&gt;0,APC!A56,0)</f>
        <v>0</v>
      </c>
      <c r="D57" s="273">
        <f>IF(C57=APC!A56,APC!C56,0)</f>
        <v>0</v>
      </c>
      <c r="E57" s="274">
        <f>IF(C57=APC!A56,APC!D56,0)</f>
        <v>0</v>
      </c>
      <c r="F57" s="275">
        <f>APC!F56</f>
        <v>0</v>
      </c>
      <c r="G57" s="274">
        <f t="shared" si="0"/>
        <v>0</v>
      </c>
      <c r="J57" s="199"/>
      <c r="K57" s="199"/>
    </row>
    <row r="58" spans="2:11">
      <c r="B58" s="151" t="s">
        <v>12</v>
      </c>
      <c r="C58" s="272">
        <f>IF(APC!F57&gt;0,APC!A57,0)</f>
        <v>0</v>
      </c>
      <c r="D58" s="273">
        <f>IF(C58=APC!A57,APC!C57,0)</f>
        <v>0</v>
      </c>
      <c r="E58" s="274">
        <f>IF(C58=APC!A57,APC!D57,0)</f>
        <v>0</v>
      </c>
      <c r="F58" s="275">
        <f>APC!F57</f>
        <v>0</v>
      </c>
      <c r="G58" s="274">
        <f t="shared" si="0"/>
        <v>0</v>
      </c>
      <c r="I58" s="199"/>
      <c r="J58" s="199"/>
      <c r="K58" s="199"/>
    </row>
    <row r="59" spans="2:11">
      <c r="B59" s="151" t="s">
        <v>12</v>
      </c>
      <c r="C59" s="272">
        <f>IF(APC!F58&gt;0,APC!A58,0)</f>
        <v>0</v>
      </c>
      <c r="D59" s="273">
        <f>IF(C59=APC!A58,APC!C58,0)</f>
        <v>0</v>
      </c>
      <c r="E59" s="274">
        <f>IF(C59=APC!A58,APC!D58,0)</f>
        <v>0</v>
      </c>
      <c r="F59" s="275">
        <f>APC!F58</f>
        <v>0</v>
      </c>
      <c r="G59" s="274">
        <f t="shared" si="0"/>
        <v>0</v>
      </c>
      <c r="J59" s="199"/>
      <c r="K59" s="199"/>
    </row>
    <row r="60" spans="2:11">
      <c r="B60" s="151" t="s">
        <v>12</v>
      </c>
      <c r="C60" s="272">
        <f>IF(APC!F59&gt;0,APC!A59,0)</f>
        <v>0</v>
      </c>
      <c r="D60" s="273">
        <f>IF(C60=APC!A59,APC!C59,0)</f>
        <v>0</v>
      </c>
      <c r="E60" s="274">
        <f>IF(C60=APC!A59,APC!D59,0)</f>
        <v>0</v>
      </c>
      <c r="F60" s="275">
        <f>APC!F59</f>
        <v>0</v>
      </c>
      <c r="G60" s="274">
        <f t="shared" si="0"/>
        <v>0</v>
      </c>
      <c r="J60" s="199"/>
      <c r="K60" s="199"/>
    </row>
    <row r="61" spans="2:11">
      <c r="B61" s="151" t="s">
        <v>12</v>
      </c>
      <c r="C61" s="272">
        <f>IF(APC!F60&gt;0,APC!A60,0)</f>
        <v>0</v>
      </c>
      <c r="D61" s="273">
        <f>IF(C61=APC!A60,APC!C60,0)</f>
        <v>0</v>
      </c>
      <c r="E61" s="274">
        <f>IF(C61=APC!A60,APC!D60,0)</f>
        <v>0</v>
      </c>
      <c r="F61" s="275">
        <f>APC!F60</f>
        <v>0</v>
      </c>
      <c r="G61" s="274">
        <f t="shared" si="0"/>
        <v>0</v>
      </c>
      <c r="J61" s="199"/>
      <c r="K61" s="199"/>
    </row>
    <row r="62" spans="2:11">
      <c r="B62" s="151" t="s">
        <v>12</v>
      </c>
      <c r="C62" s="272">
        <f>IF(APC!F61&gt;0,APC!A61,0)</f>
        <v>0</v>
      </c>
      <c r="D62" s="273">
        <f>IF(C62=APC!A61,APC!C61,0)</f>
        <v>0</v>
      </c>
      <c r="E62" s="274">
        <f>IF(C62=APC!A61,APC!D61,0)</f>
        <v>0</v>
      </c>
      <c r="F62" s="275">
        <f>APC!F61</f>
        <v>0</v>
      </c>
      <c r="G62" s="274">
        <f t="shared" si="0"/>
        <v>0</v>
      </c>
      <c r="J62" s="199"/>
      <c r="K62" s="199"/>
    </row>
    <row r="63" spans="2:11">
      <c r="B63" s="151" t="s">
        <v>12</v>
      </c>
      <c r="C63" s="272">
        <f>IF(APC!F62&gt;0,APC!A62,0)</f>
        <v>0</v>
      </c>
      <c r="D63" s="273">
        <f>IF(C63=APC!A62,APC!C62,0)</f>
        <v>0</v>
      </c>
      <c r="E63" s="274">
        <f>IF(C63=APC!A62,APC!D62,0)</f>
        <v>0</v>
      </c>
      <c r="F63" s="275">
        <f>APC!F62</f>
        <v>0</v>
      </c>
      <c r="G63" s="274">
        <f t="shared" si="0"/>
        <v>0</v>
      </c>
      <c r="J63" s="199"/>
      <c r="K63" s="199"/>
    </row>
    <row r="64" spans="2:11">
      <c r="B64" s="151" t="s">
        <v>12</v>
      </c>
      <c r="C64" s="272">
        <f>IF(APC!F63&gt;0,APC!A63,0)</f>
        <v>0</v>
      </c>
      <c r="D64" s="273">
        <f>IF(C64=APC!A63,APC!C63,0)</f>
        <v>0</v>
      </c>
      <c r="E64" s="274">
        <f>IF(C64=APC!A63,APC!D63,0)</f>
        <v>0</v>
      </c>
      <c r="F64" s="275">
        <f>APC!F63</f>
        <v>0</v>
      </c>
      <c r="G64" s="274">
        <f t="shared" si="0"/>
        <v>0</v>
      </c>
      <c r="J64" s="199"/>
      <c r="K64" s="199"/>
    </row>
    <row r="65" spans="2:12">
      <c r="B65" s="151" t="s">
        <v>12</v>
      </c>
      <c r="C65" s="272">
        <f>IF(APC!F64&gt;0,APC!A64,0)</f>
        <v>0</v>
      </c>
      <c r="D65" s="273">
        <f>IF(C65=APC!A64,APC!C64,0)</f>
        <v>0</v>
      </c>
      <c r="E65" s="274">
        <f>IF(C65=APC!A64,APC!D64,0)</f>
        <v>0</v>
      </c>
      <c r="F65" s="275">
        <f>APC!F64</f>
        <v>0</v>
      </c>
      <c r="G65" s="274">
        <f t="shared" si="0"/>
        <v>0</v>
      </c>
      <c r="J65" s="199"/>
      <c r="K65" s="199"/>
    </row>
    <row r="66" spans="2:12">
      <c r="B66" s="151" t="s">
        <v>12</v>
      </c>
      <c r="C66" s="272">
        <f>IF(APC!F65&gt;0,APC!A65,0)</f>
        <v>0</v>
      </c>
      <c r="D66" s="273">
        <f>IF(C66=APC!A65,APC!C65,0)</f>
        <v>0</v>
      </c>
      <c r="E66" s="274">
        <f>IF(C66=APC!A65,APC!D65,0)</f>
        <v>0</v>
      </c>
      <c r="F66" s="275">
        <f>APC!F65</f>
        <v>0</v>
      </c>
      <c r="G66" s="274">
        <f t="shared" si="0"/>
        <v>0</v>
      </c>
      <c r="J66" s="199"/>
      <c r="K66" s="199"/>
    </row>
    <row r="67" spans="2:12">
      <c r="B67" s="151" t="s">
        <v>12</v>
      </c>
      <c r="C67" s="272">
        <f>IF(APC!F66&gt;0,APC!A66,0)</f>
        <v>0</v>
      </c>
      <c r="D67" s="273">
        <f>IF(C67=APC!A66,APC!C66,0)</f>
        <v>0</v>
      </c>
      <c r="E67" s="274">
        <f>IF(C67=APC!A66,APC!D66,0)</f>
        <v>0</v>
      </c>
      <c r="F67" s="275">
        <f>APC!F66</f>
        <v>0</v>
      </c>
      <c r="G67" s="274">
        <f t="shared" si="0"/>
        <v>0</v>
      </c>
      <c r="J67" s="199"/>
      <c r="K67" s="199"/>
    </row>
    <row r="68" spans="2:12">
      <c r="B68" s="151" t="s">
        <v>12</v>
      </c>
      <c r="C68" s="272">
        <f>IF(APC!F67&gt;0,APC!A67,0)</f>
        <v>0</v>
      </c>
      <c r="D68" s="273">
        <f>IF(C68=APC!A67,APC!C67,0)</f>
        <v>0</v>
      </c>
      <c r="E68" s="274">
        <f>IF(C68=APC!A67,APC!D67,0)</f>
        <v>0</v>
      </c>
      <c r="F68" s="275">
        <f>APC!F67</f>
        <v>0</v>
      </c>
      <c r="G68" s="274">
        <f t="shared" si="0"/>
        <v>0</v>
      </c>
      <c r="J68" s="199"/>
      <c r="K68" s="199"/>
    </row>
    <row r="69" spans="2:12">
      <c r="B69" s="151" t="s">
        <v>12</v>
      </c>
      <c r="C69" s="272">
        <f>IF(APC!F68&gt;0,APC!A68,0)</f>
        <v>0</v>
      </c>
      <c r="D69" s="273">
        <f>IF(C69=APC!A68,APC!C68,0)</f>
        <v>0</v>
      </c>
      <c r="E69" s="274">
        <f>IF(C69=APC!A68,APC!D68,0)</f>
        <v>0</v>
      </c>
      <c r="F69" s="275">
        <f>APC!F68</f>
        <v>0</v>
      </c>
      <c r="G69" s="274">
        <f t="shared" si="0"/>
        <v>0</v>
      </c>
    </row>
    <row r="70" spans="2:12">
      <c r="B70" s="151" t="s">
        <v>12</v>
      </c>
      <c r="C70" s="272">
        <f>IF(APC!F69&gt;0,APC!A69,0)</f>
        <v>0</v>
      </c>
      <c r="D70" s="273">
        <f>IF(C70=APC!A69,APC!C69,0)</f>
        <v>0</v>
      </c>
      <c r="E70" s="274">
        <f>IF(C70=APC!A69,APC!D69,0)</f>
        <v>0</v>
      </c>
      <c r="F70" s="275">
        <f>APC!F69</f>
        <v>0</v>
      </c>
      <c r="G70" s="274">
        <f t="shared" si="0"/>
        <v>0</v>
      </c>
      <c r="J70" s="199"/>
      <c r="K70" s="199"/>
    </row>
    <row r="71" spans="2:12">
      <c r="B71" s="151" t="s">
        <v>12</v>
      </c>
      <c r="C71" s="272">
        <f>IF(APC!F70&gt;0,APC!A70,0)</f>
        <v>0</v>
      </c>
      <c r="D71" s="273">
        <f>IF(C71=APC!A70,APC!C70,0)</f>
        <v>0</v>
      </c>
      <c r="E71" s="274">
        <f>IF(C71=APC!A70,APC!D70,0)</f>
        <v>0</v>
      </c>
      <c r="F71" s="275">
        <f>APC!F70</f>
        <v>0</v>
      </c>
      <c r="G71" s="274">
        <f t="shared" si="0"/>
        <v>0</v>
      </c>
      <c r="J71" s="199"/>
      <c r="K71" s="199"/>
    </row>
    <row r="72" spans="2:12">
      <c r="B72" s="151" t="s">
        <v>12</v>
      </c>
      <c r="C72" s="272">
        <f>IF(APC!F71&gt;0,APC!A71,0)</f>
        <v>0</v>
      </c>
      <c r="D72" s="273">
        <f>IF(C72=APC!A71,APC!C71,0)</f>
        <v>0</v>
      </c>
      <c r="E72" s="274">
        <f>IF(C72=APC!A71,APC!D71,0)</f>
        <v>0</v>
      </c>
      <c r="F72" s="275">
        <f>APC!F71</f>
        <v>0</v>
      </c>
      <c r="G72" s="274">
        <f t="shared" si="0"/>
        <v>0</v>
      </c>
      <c r="J72" s="199"/>
      <c r="K72" s="199"/>
    </row>
    <row r="73" spans="2:12">
      <c r="B73" s="151" t="s">
        <v>12</v>
      </c>
      <c r="C73" s="272">
        <f>IF(APC!F72&gt;0,APC!A72,0)</f>
        <v>0</v>
      </c>
      <c r="D73" s="273">
        <f>IF(C73=APC!A72,APC!C72,0)</f>
        <v>0</v>
      </c>
      <c r="E73" s="274">
        <f>IF(C73=APC!A72,APC!D72,0)</f>
        <v>0</v>
      </c>
      <c r="F73" s="275">
        <f>APC!F72</f>
        <v>0</v>
      </c>
      <c r="G73" s="274">
        <f t="shared" si="0"/>
        <v>0</v>
      </c>
      <c r="J73" s="199"/>
      <c r="K73" s="199"/>
    </row>
    <row r="74" spans="2:12">
      <c r="B74" s="151" t="s">
        <v>12</v>
      </c>
      <c r="C74" s="272">
        <f>IF(APC!F73&gt;0,APC!A73,0)</f>
        <v>0</v>
      </c>
      <c r="D74" s="273">
        <f>IF(C74=APC!A73,APC!C73,0)</f>
        <v>0</v>
      </c>
      <c r="E74" s="274">
        <f>IF(C74=APC!A73,APC!D73,0)</f>
        <v>0</v>
      </c>
      <c r="F74" s="275">
        <f>APC!F73</f>
        <v>0</v>
      </c>
      <c r="G74" s="274">
        <f t="shared" si="0"/>
        <v>0</v>
      </c>
      <c r="J74" s="199"/>
      <c r="K74" s="199"/>
    </row>
    <row r="75" spans="2:12">
      <c r="B75" s="151" t="s">
        <v>12</v>
      </c>
      <c r="C75" s="272">
        <f>IF(APC!F74&gt;0,APC!A74,0)</f>
        <v>0</v>
      </c>
      <c r="D75" s="273">
        <f>IF(C75=APC!A74,APC!C74,0)</f>
        <v>0</v>
      </c>
      <c r="E75" s="274">
        <f>IF(C75=APC!A74,APC!D74,0)</f>
        <v>0</v>
      </c>
      <c r="F75" s="275">
        <f>APC!F74</f>
        <v>0</v>
      </c>
      <c r="G75" s="274">
        <f t="shared" si="0"/>
        <v>0</v>
      </c>
      <c r="J75" s="199"/>
      <c r="K75" s="199"/>
    </row>
    <row r="76" spans="2:12">
      <c r="B76" s="151" t="s">
        <v>12</v>
      </c>
      <c r="C76" s="272">
        <f>IF(APC!F75&gt;0,APC!A75,0)</f>
        <v>0</v>
      </c>
      <c r="D76" s="273">
        <f>IF(C76=APC!A75,APC!C75,0)</f>
        <v>0</v>
      </c>
      <c r="E76" s="274">
        <f>IF(C76=APC!A75,APC!D75,0)</f>
        <v>0</v>
      </c>
      <c r="F76" s="275">
        <f>APC!F75</f>
        <v>0</v>
      </c>
      <c r="G76" s="274">
        <f t="shared" si="0"/>
        <v>0</v>
      </c>
      <c r="J76" s="199"/>
      <c r="K76" s="199"/>
    </row>
    <row r="77" spans="2:12">
      <c r="B77" s="151" t="s">
        <v>12</v>
      </c>
      <c r="C77" s="272">
        <f>IF(APC!F76&gt;0,APC!A76,0)</f>
        <v>0</v>
      </c>
      <c r="D77" s="273">
        <f>IF(C77=APC!A76,APC!C76,0)</f>
        <v>0</v>
      </c>
      <c r="E77" s="274">
        <f>IF(C77=APC!A76,APC!D76,0)</f>
        <v>0</v>
      </c>
      <c r="F77" s="275">
        <f>APC!F76</f>
        <v>0</v>
      </c>
      <c r="G77" s="274">
        <f t="shared" ref="G77:G111" si="1">F77*E77</f>
        <v>0</v>
      </c>
      <c r="J77" s="199"/>
      <c r="K77" s="199"/>
    </row>
    <row r="78" spans="2:12">
      <c r="B78" s="151" t="s">
        <v>12</v>
      </c>
      <c r="C78" s="272">
        <f>IF(APC!F77&gt;0,APC!A77,0)</f>
        <v>0</v>
      </c>
      <c r="D78" s="273">
        <f>IF(C78=APC!A77,APC!C77,0)</f>
        <v>0</v>
      </c>
      <c r="E78" s="274">
        <f>IF(C78=APC!A77,APC!D77,0)</f>
        <v>0</v>
      </c>
      <c r="F78" s="275">
        <f>APC!F77</f>
        <v>0</v>
      </c>
      <c r="G78" s="274">
        <f t="shared" si="1"/>
        <v>0</v>
      </c>
      <c r="J78" s="199"/>
      <c r="K78" s="199"/>
    </row>
    <row r="79" spans="2:12">
      <c r="B79" s="151" t="s">
        <v>12</v>
      </c>
      <c r="C79" s="272">
        <f>IF(APC!F78&gt;0,APC!A78,0)</f>
        <v>0</v>
      </c>
      <c r="D79" s="273">
        <f>IF(C79=APC!A78,APC!C78,0)</f>
        <v>0</v>
      </c>
      <c r="E79" s="274">
        <f>IF(C79=APC!A78,APC!D78,0)</f>
        <v>0</v>
      </c>
      <c r="F79" s="275">
        <f>APC!F78</f>
        <v>0</v>
      </c>
      <c r="G79" s="274">
        <f t="shared" si="1"/>
        <v>0</v>
      </c>
      <c r="J79" s="199"/>
      <c r="K79" s="199"/>
    </row>
    <row r="80" spans="2:12">
      <c r="B80" s="151" t="s">
        <v>12</v>
      </c>
      <c r="C80" s="272">
        <f>IF(APC!F79&gt;0,APC!A79,0)</f>
        <v>0</v>
      </c>
      <c r="D80" s="273">
        <f>IF(C80=APC!A79,APC!C79,0)</f>
        <v>0</v>
      </c>
      <c r="E80" s="274">
        <f>IF(C80=APC!A79,APC!D79,0)</f>
        <v>0</v>
      </c>
      <c r="F80" s="275">
        <f>APC!F79</f>
        <v>0</v>
      </c>
      <c r="G80" s="274">
        <f t="shared" si="1"/>
        <v>0</v>
      </c>
      <c r="L80" s="199"/>
    </row>
    <row r="81" spans="2:11">
      <c r="B81" s="151" t="s">
        <v>12</v>
      </c>
      <c r="C81" s="272">
        <f>IF(APC!F80&gt;0,APC!A80,0)</f>
        <v>0</v>
      </c>
      <c r="D81" s="273">
        <f>IF(C81=APC!A80,APC!C80,0)</f>
        <v>0</v>
      </c>
      <c r="E81" s="274">
        <f>IF(C81=APC!A80,APC!D80,0)</f>
        <v>0</v>
      </c>
      <c r="F81" s="275">
        <f>APC!F80</f>
        <v>0</v>
      </c>
      <c r="G81" s="274">
        <f t="shared" si="1"/>
        <v>0</v>
      </c>
      <c r="J81" s="199"/>
      <c r="K81" s="199"/>
    </row>
    <row r="82" spans="2:11">
      <c r="B82" s="151" t="s">
        <v>12</v>
      </c>
      <c r="C82" s="272">
        <f>IF(APC!F81&gt;0,APC!A81,0)</f>
        <v>0</v>
      </c>
      <c r="D82" s="273">
        <f>IF(C82=APC!A81,APC!C81,0)</f>
        <v>0</v>
      </c>
      <c r="E82" s="274">
        <f>IF(C82=APC!A81,APC!D81,0)</f>
        <v>0</v>
      </c>
      <c r="F82" s="275">
        <f>APC!F81</f>
        <v>0</v>
      </c>
      <c r="G82" s="274">
        <f t="shared" si="1"/>
        <v>0</v>
      </c>
      <c r="J82" s="199"/>
      <c r="K82" s="199"/>
    </row>
    <row r="83" spans="2:11">
      <c r="B83" s="151" t="s">
        <v>12</v>
      </c>
      <c r="C83" s="272">
        <f>IF(APC!F82&gt;0,APC!A82,0)</f>
        <v>0</v>
      </c>
      <c r="D83" s="273">
        <f>IF(C83=APC!A82,APC!C82,0)</f>
        <v>0</v>
      </c>
      <c r="E83" s="274">
        <f>IF(C83=APC!A82,APC!D82,0)</f>
        <v>0</v>
      </c>
      <c r="F83" s="275">
        <f>APC!F82</f>
        <v>0</v>
      </c>
      <c r="G83" s="274">
        <f t="shared" si="1"/>
        <v>0</v>
      </c>
      <c r="J83" s="199"/>
      <c r="K83" s="199"/>
    </row>
    <row r="84" spans="2:11">
      <c r="B84" s="151" t="s">
        <v>12</v>
      </c>
      <c r="C84" s="272">
        <f>IF(APC!F83&gt;0,APC!A83,0)</f>
        <v>0</v>
      </c>
      <c r="D84" s="273">
        <f>IF(C84=APC!A83,APC!C83,0)</f>
        <v>0</v>
      </c>
      <c r="E84" s="274">
        <f>IF(C84=APC!A83,APC!D83,0)</f>
        <v>0</v>
      </c>
      <c r="F84" s="275">
        <f>APC!F83</f>
        <v>0</v>
      </c>
      <c r="G84" s="274">
        <f t="shared" si="1"/>
        <v>0</v>
      </c>
      <c r="J84" s="199"/>
      <c r="K84" s="199"/>
    </row>
    <row r="85" spans="2:11">
      <c r="B85" s="151" t="s">
        <v>12</v>
      </c>
      <c r="C85" s="272">
        <f>IF(APC!F84&gt;0,APC!A84,0)</f>
        <v>0</v>
      </c>
      <c r="D85" s="273">
        <f>IF(C85=APC!A84,APC!C84,0)</f>
        <v>0</v>
      </c>
      <c r="E85" s="274">
        <f>IF(C85=APC!A84,APC!D84,0)</f>
        <v>0</v>
      </c>
      <c r="F85" s="275">
        <f>APC!F84</f>
        <v>0</v>
      </c>
      <c r="G85" s="274">
        <f t="shared" si="1"/>
        <v>0</v>
      </c>
      <c r="J85" s="199"/>
      <c r="K85" s="199"/>
    </row>
    <row r="86" spans="2:11">
      <c r="B86" s="151" t="s">
        <v>12</v>
      </c>
      <c r="C86" s="272">
        <f>IF(APC!F85&gt;0,APC!A85,0)</f>
        <v>0</v>
      </c>
      <c r="D86" s="273">
        <f>IF(C86=APC!A85,APC!C85,0)</f>
        <v>0</v>
      </c>
      <c r="E86" s="274">
        <f>IF(C86=APC!A85,APC!D85,0)</f>
        <v>0</v>
      </c>
      <c r="F86" s="275">
        <f>APC!F85</f>
        <v>0</v>
      </c>
      <c r="G86" s="274">
        <f t="shared" si="1"/>
        <v>0</v>
      </c>
      <c r="J86" s="199"/>
      <c r="K86" s="199"/>
    </row>
    <row r="87" spans="2:11">
      <c r="B87" s="151" t="s">
        <v>12</v>
      </c>
      <c r="C87" s="272">
        <f>IF(APC!F86&gt;0,APC!A86,0)</f>
        <v>0</v>
      </c>
      <c r="D87" s="273">
        <f>IF(C87=APC!A86,APC!C86,0)</f>
        <v>0</v>
      </c>
      <c r="E87" s="274">
        <f>IF(C87=APC!A86,APC!D86,0)</f>
        <v>0</v>
      </c>
      <c r="F87" s="275">
        <f>APC!F86</f>
        <v>0</v>
      </c>
      <c r="G87" s="274">
        <f t="shared" si="1"/>
        <v>0</v>
      </c>
      <c r="J87" s="199"/>
      <c r="K87" s="199"/>
    </row>
    <row r="88" spans="2:11">
      <c r="B88" s="151" t="s">
        <v>12</v>
      </c>
      <c r="C88" s="272">
        <f>IF(APC!F87&gt;0,APC!A87,0)</f>
        <v>0</v>
      </c>
      <c r="D88" s="273">
        <f>IF(C88=APC!A87,APC!C87,0)</f>
        <v>0</v>
      </c>
      <c r="E88" s="274">
        <f>IF(C88=APC!A87,APC!D87,0)</f>
        <v>0</v>
      </c>
      <c r="F88" s="275">
        <f>APC!F87</f>
        <v>0</v>
      </c>
      <c r="G88" s="274">
        <f t="shared" si="1"/>
        <v>0</v>
      </c>
      <c r="I88" s="199"/>
      <c r="J88" s="199"/>
      <c r="K88" s="199"/>
    </row>
    <row r="89" spans="2:11">
      <c r="B89" s="151" t="s">
        <v>12</v>
      </c>
      <c r="C89" s="272">
        <f>IF(APC!F88&gt;0,APC!A88,0)</f>
        <v>0</v>
      </c>
      <c r="D89" s="273">
        <f>IF(C89=APC!A88,APC!C88,0)</f>
        <v>0</v>
      </c>
      <c r="E89" s="274">
        <f>IF(C89=APC!A88,APC!D88,0)</f>
        <v>0</v>
      </c>
      <c r="F89" s="275">
        <f>APC!F88</f>
        <v>0</v>
      </c>
      <c r="G89" s="274">
        <f t="shared" si="1"/>
        <v>0</v>
      </c>
      <c r="J89" s="199"/>
      <c r="K89" s="199"/>
    </row>
    <row r="90" spans="2:11">
      <c r="B90" s="151" t="s">
        <v>12</v>
      </c>
      <c r="C90" s="272">
        <f>IF(APC!F89&gt;0,APC!A89,0)</f>
        <v>0</v>
      </c>
      <c r="D90" s="273">
        <f>IF(C90=APC!A89,APC!C89,0)</f>
        <v>0</v>
      </c>
      <c r="E90" s="274">
        <f>IF(C90=APC!A89,APC!D89,0)</f>
        <v>0</v>
      </c>
      <c r="F90" s="275">
        <f>APC!F89</f>
        <v>0</v>
      </c>
      <c r="G90" s="274">
        <f t="shared" si="1"/>
        <v>0</v>
      </c>
      <c r="J90" s="199"/>
      <c r="K90" s="199"/>
    </row>
    <row r="91" spans="2:11">
      <c r="B91" s="151" t="s">
        <v>12</v>
      </c>
      <c r="C91" s="272">
        <f>IF(APC!F90&gt;0,APC!A90,0)</f>
        <v>0</v>
      </c>
      <c r="D91" s="273">
        <f>IF(C91=APC!A90,APC!C90,0)</f>
        <v>0</v>
      </c>
      <c r="E91" s="274">
        <f>IF(C91=APC!A90,APC!D90,0)</f>
        <v>0</v>
      </c>
      <c r="F91" s="275">
        <f>APC!F90</f>
        <v>0</v>
      </c>
      <c r="G91" s="274">
        <f t="shared" si="1"/>
        <v>0</v>
      </c>
      <c r="J91" s="199"/>
      <c r="K91" s="199"/>
    </row>
    <row r="92" spans="2:11">
      <c r="B92" s="151" t="s">
        <v>12</v>
      </c>
      <c r="C92" s="272">
        <f>IF(APC!F91&gt;0,APC!A91,0)</f>
        <v>0</v>
      </c>
      <c r="D92" s="273" t="str">
        <f>IF(C92=APC!A91,APC!C91,0)</f>
        <v>* La livraison des onduleurs de grande capacité n'est pas incluse dans les prix*</v>
      </c>
      <c r="E92" s="274">
        <f>IF(C92=APC!A91,APC!D91,0)</f>
        <v>0</v>
      </c>
      <c r="F92" s="275">
        <f>APC!F91</f>
        <v>0</v>
      </c>
      <c r="G92" s="274">
        <f t="shared" si="1"/>
        <v>0</v>
      </c>
      <c r="J92" s="199"/>
      <c r="K92" s="199"/>
    </row>
    <row r="93" spans="2:11">
      <c r="B93" s="151" t="s">
        <v>12</v>
      </c>
      <c r="C93" s="272">
        <f>IF(APC!F92&gt;0,APC!A92,0)</f>
        <v>0</v>
      </c>
      <c r="D93" s="273">
        <f>IF(C93=APC!A92,APC!C92,0)</f>
        <v>0</v>
      </c>
      <c r="E93" s="274">
        <f>IF(C93=APC!A92,APC!D92,0)</f>
        <v>0</v>
      </c>
      <c r="F93" s="275">
        <f>APC!F92</f>
        <v>0</v>
      </c>
      <c r="G93" s="274">
        <f t="shared" si="1"/>
        <v>0</v>
      </c>
      <c r="J93" s="199"/>
      <c r="K93" s="199"/>
    </row>
    <row r="94" spans="2:11">
      <c r="B94" s="151" t="s">
        <v>12</v>
      </c>
      <c r="C94" s="272">
        <f>IF(APC!F93&gt;0,APC!A93,0)</f>
        <v>0</v>
      </c>
      <c r="D94" s="273">
        <f>IF(C94=APC!A93,APC!C93,0)</f>
        <v>0</v>
      </c>
      <c r="E94" s="274">
        <f>IF(C94=APC!A93,APC!D93,0)</f>
        <v>0</v>
      </c>
      <c r="F94" s="275">
        <f>APC!F93</f>
        <v>0</v>
      </c>
      <c r="G94" s="274">
        <f t="shared" si="1"/>
        <v>0</v>
      </c>
      <c r="J94" s="199"/>
      <c r="K94" s="199"/>
    </row>
    <row r="95" spans="2:11">
      <c r="B95" s="151" t="s">
        <v>12</v>
      </c>
      <c r="C95" s="272">
        <f>IF(APC!F94&gt;0,APC!A94,0)</f>
        <v>0</v>
      </c>
      <c r="D95" s="273">
        <f>IF(C95=APC!A94,APC!C94,0)</f>
        <v>0</v>
      </c>
      <c r="E95" s="274">
        <f>IF(C95=APC!A94,APC!D94,0)</f>
        <v>0</v>
      </c>
      <c r="F95" s="275">
        <f>APC!F94</f>
        <v>0</v>
      </c>
      <c r="G95" s="274">
        <f t="shared" si="1"/>
        <v>0</v>
      </c>
      <c r="J95" s="199"/>
      <c r="K95" s="199"/>
    </row>
    <row r="96" spans="2:11">
      <c r="B96" s="151" t="s">
        <v>12</v>
      </c>
      <c r="C96" s="272">
        <f>IF(APC!F95&gt;0,APC!A95,0)</f>
        <v>0</v>
      </c>
      <c r="D96" s="273">
        <f>IF(C96=APC!A95,APC!C95,0)</f>
        <v>0</v>
      </c>
      <c r="E96" s="274">
        <f>IF(C96=APC!A95,APC!D95,0)</f>
        <v>0</v>
      </c>
      <c r="F96" s="275">
        <f>APC!F95</f>
        <v>0</v>
      </c>
      <c r="G96" s="274">
        <f t="shared" si="1"/>
        <v>0</v>
      </c>
      <c r="J96" s="199"/>
      <c r="K96" s="199"/>
    </row>
    <row r="97" spans="2:12">
      <c r="B97" s="151" t="s">
        <v>12</v>
      </c>
      <c r="C97" s="272">
        <f>IF(APC!F96&gt;0,APC!A96,0)</f>
        <v>0</v>
      </c>
      <c r="D97" s="273">
        <f>IF(C97=APC!A96,APC!C96,0)</f>
        <v>0</v>
      </c>
      <c r="E97" s="274">
        <f>IF(C97=APC!A96,APC!D96,0)</f>
        <v>0</v>
      </c>
      <c r="F97" s="275">
        <f>APC!F96</f>
        <v>0</v>
      </c>
      <c r="G97" s="274">
        <f t="shared" si="1"/>
        <v>0</v>
      </c>
      <c r="J97" s="199"/>
      <c r="K97" s="199"/>
    </row>
    <row r="98" spans="2:12">
      <c r="B98" s="151" t="s">
        <v>12</v>
      </c>
      <c r="C98" s="272">
        <f>IF(APC!F97&gt;0,APC!A97,0)</f>
        <v>0</v>
      </c>
      <c r="D98" s="273">
        <f>IF(C98=APC!A97,APC!C97,0)</f>
        <v>0</v>
      </c>
      <c r="E98" s="274">
        <f>IF(C98=APC!A97,APC!D97,0)</f>
        <v>0</v>
      </c>
      <c r="F98" s="275">
        <f>APC!F97</f>
        <v>0</v>
      </c>
      <c r="G98" s="274">
        <f t="shared" si="1"/>
        <v>0</v>
      </c>
      <c r="J98" s="199"/>
      <c r="K98" s="199"/>
    </row>
    <row r="99" spans="2:12">
      <c r="B99" s="151" t="s">
        <v>12</v>
      </c>
      <c r="C99" s="272">
        <f>IF(APC!F98&gt;0,APC!A98,0)</f>
        <v>0</v>
      </c>
      <c r="D99" s="273">
        <f>IF(C99=APC!A98,APC!C98,0)</f>
        <v>0</v>
      </c>
      <c r="E99" s="274">
        <f>IF(C99=APC!A98,APC!D98,0)</f>
        <v>0</v>
      </c>
      <c r="F99" s="275">
        <f>APC!F98</f>
        <v>0</v>
      </c>
      <c r="G99" s="274">
        <f t="shared" si="1"/>
        <v>0</v>
      </c>
    </row>
    <row r="100" spans="2:12">
      <c r="B100" s="151" t="s">
        <v>12</v>
      </c>
      <c r="C100" s="272">
        <f>IF(APC!F99&gt;0,APC!A99,0)</f>
        <v>0</v>
      </c>
      <c r="D100" s="273">
        <f>IF(C100=APC!A99,APC!C99,0)</f>
        <v>0</v>
      </c>
      <c r="E100" s="274">
        <f>IF(C100=APC!A99,APC!D99,0)</f>
        <v>0</v>
      </c>
      <c r="F100" s="275">
        <f>APC!F99</f>
        <v>0</v>
      </c>
      <c r="G100" s="274">
        <f t="shared" si="1"/>
        <v>0</v>
      </c>
      <c r="J100" s="199"/>
      <c r="K100" s="199"/>
    </row>
    <row r="101" spans="2:12">
      <c r="B101" s="151" t="s">
        <v>12</v>
      </c>
      <c r="C101" s="272">
        <f>IF(APC!F100&gt;0,APC!A100,0)</f>
        <v>0</v>
      </c>
      <c r="D101" s="273">
        <f>IF(C101=APC!A100,APC!C100,0)</f>
        <v>0</v>
      </c>
      <c r="E101" s="274">
        <f>IF(C101=APC!A100,APC!D100,0)</f>
        <v>0</v>
      </c>
      <c r="F101" s="275">
        <f>APC!F100</f>
        <v>0</v>
      </c>
      <c r="G101" s="274">
        <f t="shared" si="1"/>
        <v>0</v>
      </c>
      <c r="J101" s="199"/>
      <c r="K101" s="199"/>
    </row>
    <row r="102" spans="2:12">
      <c r="B102" s="151" t="s">
        <v>12</v>
      </c>
      <c r="C102" s="272">
        <f>IF(APC!F101&gt;0,APC!A101,0)</f>
        <v>0</v>
      </c>
      <c r="D102" s="273">
        <f>IF(C102=APC!A101,APC!C101,0)</f>
        <v>0</v>
      </c>
      <c r="E102" s="274">
        <f>IF(C102=APC!A101,APC!D101,0)</f>
        <v>0</v>
      </c>
      <c r="F102" s="275">
        <f>APC!F101</f>
        <v>0</v>
      </c>
      <c r="G102" s="274">
        <f t="shared" si="1"/>
        <v>0</v>
      </c>
      <c r="J102" s="199"/>
      <c r="K102" s="199"/>
    </row>
    <row r="103" spans="2:12">
      <c r="B103" s="151" t="s">
        <v>12</v>
      </c>
      <c r="C103" s="272">
        <f>IF(APC!F102&gt;0,APC!A102,0)</f>
        <v>0</v>
      </c>
      <c r="D103" s="273">
        <f>IF(C103=APC!A102,APC!C102,0)</f>
        <v>0</v>
      </c>
      <c r="E103" s="274">
        <f>IF(C103=APC!A102,APC!D102,0)</f>
        <v>0</v>
      </c>
      <c r="F103" s="275">
        <f>APC!F102</f>
        <v>0</v>
      </c>
      <c r="G103" s="274">
        <f t="shared" si="1"/>
        <v>0</v>
      </c>
      <c r="J103" s="199"/>
      <c r="K103" s="199"/>
    </row>
    <row r="104" spans="2:12">
      <c r="B104" s="151" t="s">
        <v>12</v>
      </c>
      <c r="C104" s="272">
        <f>IF(APC!F103&gt;0,APC!A103,0)</f>
        <v>0</v>
      </c>
      <c r="D104" s="273">
        <f>IF(C104=APC!A103,APC!C103,0)</f>
        <v>0</v>
      </c>
      <c r="E104" s="274">
        <f>IF(C104=APC!A103,APC!D103,0)</f>
        <v>0</v>
      </c>
      <c r="F104" s="275">
        <f>APC!F103</f>
        <v>0</v>
      </c>
      <c r="G104" s="274">
        <f t="shared" si="1"/>
        <v>0</v>
      </c>
      <c r="J104" s="199"/>
      <c r="K104" s="199"/>
    </row>
    <row r="105" spans="2:12">
      <c r="B105" s="151" t="s">
        <v>12</v>
      </c>
      <c r="C105" s="272">
        <f>IF(APC!F104&gt;0,APC!A104,0)</f>
        <v>0</v>
      </c>
      <c r="D105" s="273">
        <f>IF(C105=APC!A104,APC!C104,0)</f>
        <v>0</v>
      </c>
      <c r="E105" s="274">
        <f>IF(C105=APC!A104,APC!D104,0)</f>
        <v>0</v>
      </c>
      <c r="F105" s="275">
        <f>APC!F104</f>
        <v>0</v>
      </c>
      <c r="G105" s="274">
        <f t="shared" si="1"/>
        <v>0</v>
      </c>
      <c r="J105" s="199"/>
      <c r="K105" s="199"/>
    </row>
    <row r="106" spans="2:12">
      <c r="B106" s="151" t="s">
        <v>12</v>
      </c>
      <c r="C106" s="272">
        <f>IF(APC!F105&gt;0,APC!A105,0)</f>
        <v>0</v>
      </c>
      <c r="D106" s="273">
        <f>IF(C106=APC!A105,APC!C105,0)</f>
        <v>0</v>
      </c>
      <c r="E106" s="274">
        <f>IF(C106=APC!A105,APC!D105,0)</f>
        <v>0</v>
      </c>
      <c r="F106" s="275">
        <f>APC!F105</f>
        <v>0</v>
      </c>
      <c r="G106" s="274">
        <f t="shared" si="1"/>
        <v>0</v>
      </c>
      <c r="J106" s="199"/>
      <c r="K106" s="199"/>
    </row>
    <row r="107" spans="2:12">
      <c r="B107" s="151" t="s">
        <v>12</v>
      </c>
      <c r="C107" s="272">
        <f>IF(APC!F106&gt;0,APC!A106,0)</f>
        <v>0</v>
      </c>
      <c r="D107" s="273">
        <f>IF(C107=APC!A106,APC!C106,0)</f>
        <v>0</v>
      </c>
      <c r="E107" s="274">
        <f>IF(C107=APC!A106,APC!D106,0)</f>
        <v>0</v>
      </c>
      <c r="F107" s="275">
        <f>APC!F106</f>
        <v>0</v>
      </c>
      <c r="G107" s="274">
        <f t="shared" si="1"/>
        <v>0</v>
      </c>
      <c r="J107" s="199"/>
      <c r="K107" s="199"/>
    </row>
    <row r="108" spans="2:12">
      <c r="B108" s="151" t="s">
        <v>12</v>
      </c>
      <c r="C108" s="272">
        <f>IF(APC!F107&gt;0,APC!A107,0)</f>
        <v>0</v>
      </c>
      <c r="D108" s="273">
        <f>IF(C108=APC!A107,APC!C107,0)</f>
        <v>0</v>
      </c>
      <c r="E108" s="274">
        <f>IF(C108=APC!A107,APC!D107,0)</f>
        <v>0</v>
      </c>
      <c r="F108" s="275">
        <f>APC!F107</f>
        <v>0</v>
      </c>
      <c r="G108" s="274">
        <f t="shared" si="1"/>
        <v>0</v>
      </c>
      <c r="J108" s="199"/>
      <c r="K108" s="199"/>
    </row>
    <row r="109" spans="2:12">
      <c r="B109" s="151" t="s">
        <v>12</v>
      </c>
      <c r="C109" s="272">
        <f>IF(APC!F108&gt;0,APC!A108,0)</f>
        <v>0</v>
      </c>
      <c r="D109" s="273">
        <f>IF(C109=APC!A108,APC!C108,0)</f>
        <v>0</v>
      </c>
      <c r="E109" s="274">
        <f>IF(C109=APC!A108,APC!D108,0)</f>
        <v>0</v>
      </c>
      <c r="F109" s="275">
        <f>APC!F108</f>
        <v>0</v>
      </c>
      <c r="G109" s="274">
        <f t="shared" si="1"/>
        <v>0</v>
      </c>
      <c r="J109" s="199"/>
      <c r="K109" s="199"/>
    </row>
    <row r="110" spans="2:12">
      <c r="B110" s="151" t="s">
        <v>12</v>
      </c>
      <c r="C110" s="272">
        <f>IF(APC!F109&gt;0,APC!A109,0)</f>
        <v>0</v>
      </c>
      <c r="D110" s="273">
        <f>IF(C110=APC!A109,APC!C109,0)</f>
        <v>0</v>
      </c>
      <c r="E110" s="274">
        <f>IF(C110=APC!A109,APC!D109,0)</f>
        <v>0</v>
      </c>
      <c r="F110" s="275">
        <f>APC!F109</f>
        <v>0</v>
      </c>
      <c r="G110" s="274">
        <f t="shared" si="1"/>
        <v>0</v>
      </c>
      <c r="L110" s="199"/>
    </row>
    <row r="111" spans="2:12">
      <c r="B111" s="151" t="s">
        <v>12</v>
      </c>
      <c r="C111" s="272">
        <f>IF(APC!F110&gt;0,APC!A110,0)</f>
        <v>0</v>
      </c>
      <c r="D111" s="273">
        <f>IF(C111=APC!A110,APC!C110,0)</f>
        <v>0</v>
      </c>
      <c r="E111" s="274">
        <f>IF(C111=APC!A110,APC!D110,0)</f>
        <v>0</v>
      </c>
      <c r="F111" s="275">
        <f>APC!F110</f>
        <v>0</v>
      </c>
      <c r="G111" s="274">
        <f t="shared" si="1"/>
        <v>0</v>
      </c>
      <c r="J111" s="199"/>
      <c r="K111" s="199"/>
    </row>
    <row r="112" spans="2:12">
      <c r="B112" s="151" t="s">
        <v>10</v>
      </c>
      <c r="C112" s="151">
        <f>IF(DELL!F11&gt;0,DELL!A11,0)</f>
        <v>0</v>
      </c>
      <c r="D112" s="152">
        <f>IF(C112=DELL!A11,DELL!C11,0)</f>
        <v>0</v>
      </c>
      <c r="E112" s="157">
        <f>IF(C112=DELL!A11,DELL!D11,0)</f>
        <v>0</v>
      </c>
      <c r="F112" s="153">
        <f>DELL!F11</f>
        <v>0</v>
      </c>
      <c r="G112" s="274">
        <f t="shared" ref="G112" si="2">F112*E112</f>
        <v>0</v>
      </c>
      <c r="H112" s="199"/>
      <c r="I112" s="199"/>
      <c r="J112" s="199"/>
      <c r="K112" s="199"/>
    </row>
    <row r="113" spans="2:14">
      <c r="B113" s="151" t="s">
        <v>10</v>
      </c>
      <c r="C113" s="151">
        <f>IF(DELL!F12&gt;0,DELL!A12,0)</f>
        <v>0</v>
      </c>
      <c r="D113" s="152">
        <f>IF(C113=DELL!A12,DELL!C12,0)</f>
        <v>0</v>
      </c>
      <c r="E113" s="157">
        <f>IF(C113=DELL!A12,DELL!D12,0)</f>
        <v>0</v>
      </c>
      <c r="F113" s="153">
        <f>DELL!F12</f>
        <v>0</v>
      </c>
      <c r="G113" s="274">
        <f t="shared" ref="G113:G176" si="3">F113*E113</f>
        <v>0</v>
      </c>
      <c r="H113" s="199"/>
      <c r="I113" s="199"/>
      <c r="J113" s="199"/>
      <c r="K113" s="199"/>
    </row>
    <row r="114" spans="2:14">
      <c r="B114" s="151" t="s">
        <v>10</v>
      </c>
      <c r="C114" s="151">
        <f>IF(DELL!F13&gt;0,DELL!A13,0)</f>
        <v>0</v>
      </c>
      <c r="D114" s="152">
        <f>IF(C114=DELL!A13,DELL!C13,0)</f>
        <v>0</v>
      </c>
      <c r="E114" s="157">
        <f>IF(C114=DELL!A13,DELL!D13,0)</f>
        <v>0</v>
      </c>
      <c r="F114" s="153">
        <f>DELL!F13</f>
        <v>0</v>
      </c>
      <c r="G114" s="274">
        <f t="shared" si="3"/>
        <v>0</v>
      </c>
      <c r="H114" s="199"/>
      <c r="I114" s="199"/>
      <c r="J114" s="199"/>
      <c r="K114" s="199"/>
    </row>
    <row r="115" spans="2:14">
      <c r="B115" s="151" t="s">
        <v>10</v>
      </c>
      <c r="C115" s="151">
        <f>IF(DELL!F14&gt;0,DELL!A14,0)</f>
        <v>0</v>
      </c>
      <c r="D115" s="152">
        <f>IF(C115=DELL!A14,DELL!C14,0)</f>
        <v>0</v>
      </c>
      <c r="E115" s="157">
        <f>IF(C115=DELL!A14,DELL!D14,0)</f>
        <v>0</v>
      </c>
      <c r="F115" s="153">
        <f>DELL!F14</f>
        <v>0</v>
      </c>
      <c r="G115" s="274">
        <f t="shared" si="3"/>
        <v>0</v>
      </c>
      <c r="H115" s="199"/>
      <c r="I115" s="199"/>
      <c r="J115" s="199"/>
      <c r="K115" s="199"/>
    </row>
    <row r="116" spans="2:14">
      <c r="B116" s="151" t="s">
        <v>10</v>
      </c>
      <c r="C116" s="151">
        <f>IF(DELL!F15&gt;0,DELL!A15,0)</f>
        <v>0</v>
      </c>
      <c r="D116" s="152">
        <f>IF(C116=DELL!A15,DELL!C15,0)</f>
        <v>0</v>
      </c>
      <c r="E116" s="157">
        <f>IF(C116=DELL!A15,DELL!D15,0)</f>
        <v>0</v>
      </c>
      <c r="F116" s="153">
        <f>DELL!F15</f>
        <v>0</v>
      </c>
      <c r="G116" s="274">
        <f t="shared" si="3"/>
        <v>0</v>
      </c>
      <c r="H116" s="199"/>
      <c r="I116" s="210"/>
      <c r="J116" s="199"/>
      <c r="K116" s="199"/>
    </row>
    <row r="117" spans="2:14">
      <c r="B117" s="151" t="s">
        <v>10</v>
      </c>
      <c r="C117" s="151">
        <f>IF(DELL!F16&gt;0,DELL!A16,0)</f>
        <v>0</v>
      </c>
      <c r="D117" s="152">
        <f>IF(C117=DELL!A16,DELL!C16,0)</f>
        <v>0</v>
      </c>
      <c r="E117" s="157">
        <f>IF(C117=DELL!A16,DELL!D16,0)</f>
        <v>0</v>
      </c>
      <c r="F117" s="153">
        <f>DELL!F16</f>
        <v>0</v>
      </c>
      <c r="G117" s="274">
        <f t="shared" si="3"/>
        <v>0</v>
      </c>
      <c r="H117" s="199"/>
      <c r="J117" s="199"/>
      <c r="K117" s="199"/>
    </row>
    <row r="118" spans="2:14">
      <c r="B118" s="151" t="s">
        <v>10</v>
      </c>
      <c r="C118" s="151">
        <f>IF(DELL!F17&gt;0,DELL!A17,0)</f>
        <v>0</v>
      </c>
      <c r="D118" s="152">
        <f>IF(C118=DELL!A17,DELL!C17,0)</f>
        <v>0</v>
      </c>
      <c r="E118" s="157">
        <f>IF(C118=DELL!A17,DELL!D17,0)</f>
        <v>0</v>
      </c>
      <c r="F118" s="153">
        <f>DELL!F17</f>
        <v>0</v>
      </c>
      <c r="G118" s="274">
        <f t="shared" si="3"/>
        <v>0</v>
      </c>
      <c r="H118" s="199"/>
      <c r="J118" s="199"/>
      <c r="K118" s="199"/>
    </row>
    <row r="119" spans="2:14">
      <c r="B119" s="151" t="s">
        <v>10</v>
      </c>
      <c r="C119" s="151">
        <f>IF(DELL!F18&gt;0,DELL!A18,0)</f>
        <v>0</v>
      </c>
      <c r="D119" s="152">
        <f>IF(C119=DELL!A18,DELL!C18,0)</f>
        <v>0</v>
      </c>
      <c r="E119" s="157">
        <f>IF(C119=DELL!A18,DELL!D18,0)</f>
        <v>0</v>
      </c>
      <c r="F119" s="153">
        <f>DELL!F18</f>
        <v>0</v>
      </c>
      <c r="G119" s="274">
        <f t="shared" si="3"/>
        <v>0</v>
      </c>
      <c r="H119" s="199"/>
      <c r="J119" s="199"/>
      <c r="K119" s="199"/>
    </row>
    <row r="120" spans="2:14">
      <c r="B120" s="151" t="s">
        <v>10</v>
      </c>
      <c r="C120" s="151">
        <f>IF(DELL!F19&gt;0,DELL!A19,0)</f>
        <v>0</v>
      </c>
      <c r="D120" s="152">
        <f>IF(C120=DELL!A19,DELL!C19,0)</f>
        <v>0</v>
      </c>
      <c r="E120" s="157">
        <f>IF(C120=DELL!A19,DELL!D19,0)</f>
        <v>0</v>
      </c>
      <c r="F120" s="153">
        <f>DELL!F19</f>
        <v>0</v>
      </c>
      <c r="G120" s="274">
        <f t="shared" si="3"/>
        <v>0</v>
      </c>
      <c r="H120" s="199"/>
      <c r="J120" s="199"/>
      <c r="K120" s="199"/>
    </row>
    <row r="121" spans="2:14">
      <c r="B121" s="151" t="s">
        <v>10</v>
      </c>
      <c r="C121" s="151">
        <f>IF(DELL!F20&gt;0,DELL!A20,0)</f>
        <v>0</v>
      </c>
      <c r="D121" s="152">
        <f>IF(C121=DELL!A20,DELL!C20,0)</f>
        <v>0</v>
      </c>
      <c r="E121" s="157">
        <f>IF(C121=DELL!A20,DELL!D20,0)</f>
        <v>0</v>
      </c>
      <c r="F121" s="153">
        <f>DELL!F20</f>
        <v>0</v>
      </c>
      <c r="G121" s="274">
        <f t="shared" si="3"/>
        <v>0</v>
      </c>
      <c r="H121" s="199"/>
      <c r="J121" s="199"/>
      <c r="K121" s="199"/>
    </row>
    <row r="122" spans="2:14">
      <c r="B122" s="151" t="s">
        <v>10</v>
      </c>
      <c r="C122" s="151">
        <f>IF(DELL!F21&gt;0,DELL!A21,0)</f>
        <v>0</v>
      </c>
      <c r="D122" s="152">
        <f>IF(C122=DELL!A21,DELL!C21,0)</f>
        <v>0</v>
      </c>
      <c r="E122" s="157">
        <f>IF(C122=DELL!A21,DELL!D21,0)</f>
        <v>0</v>
      </c>
      <c r="F122" s="153">
        <f>DELL!F21</f>
        <v>0</v>
      </c>
      <c r="G122" s="274">
        <f t="shared" si="3"/>
        <v>0</v>
      </c>
      <c r="H122" s="199"/>
      <c r="J122" s="199"/>
      <c r="K122" s="199"/>
    </row>
    <row r="123" spans="2:14">
      <c r="B123" s="151" t="s">
        <v>10</v>
      </c>
      <c r="C123" s="151">
        <f>IF(DELL!F22&gt;0,DELL!A22,0)</f>
        <v>0</v>
      </c>
      <c r="D123" s="152">
        <f>IF(C123=DELL!A22,DELL!C22,0)</f>
        <v>0</v>
      </c>
      <c r="E123" s="157">
        <f>IF(C123=DELL!A22,DELL!D22,0)</f>
        <v>0</v>
      </c>
      <c r="F123" s="153">
        <f>DELL!F22</f>
        <v>0</v>
      </c>
      <c r="G123" s="274">
        <f t="shared" si="3"/>
        <v>0</v>
      </c>
      <c r="H123" s="199"/>
      <c r="J123" s="199"/>
      <c r="K123" s="199"/>
    </row>
    <row r="124" spans="2:14">
      <c r="B124" s="151" t="s">
        <v>10</v>
      </c>
      <c r="C124" s="151">
        <f>IF(DELL!F23&gt;0,DELL!A23,0)</f>
        <v>0</v>
      </c>
      <c r="D124" s="152">
        <f>IF(C124=DELL!A23,DELL!C23,0)</f>
        <v>0</v>
      </c>
      <c r="E124" s="157">
        <f>IF(C124=DELL!A23,DELL!D23,0)</f>
        <v>0</v>
      </c>
      <c r="F124" s="153">
        <f>DELL!F23</f>
        <v>0</v>
      </c>
      <c r="G124" s="274">
        <f t="shared" si="3"/>
        <v>0</v>
      </c>
      <c r="H124" s="199"/>
      <c r="I124" s="210"/>
      <c r="J124" s="199"/>
      <c r="K124" s="199"/>
    </row>
    <row r="125" spans="2:14">
      <c r="B125" s="151" t="s">
        <v>10</v>
      </c>
      <c r="C125" s="151">
        <f>IF(DELL!F24&gt;0,DELL!A24,0)</f>
        <v>0</v>
      </c>
      <c r="D125" s="152">
        <f>IF(C125=DELL!A24,DELL!C24,0)</f>
        <v>0</v>
      </c>
      <c r="E125" s="157">
        <f>IF(C125=DELL!A24,DELL!D24,0)</f>
        <v>0</v>
      </c>
      <c r="F125" s="153">
        <f>DELL!F24</f>
        <v>0</v>
      </c>
      <c r="G125" s="274">
        <f t="shared" si="3"/>
        <v>0</v>
      </c>
      <c r="H125" s="199"/>
      <c r="I125" s="199"/>
      <c r="J125" s="199"/>
      <c r="K125" s="199"/>
    </row>
    <row r="126" spans="2:14">
      <c r="B126" s="151" t="s">
        <v>10</v>
      </c>
      <c r="C126" s="151">
        <f>IF(DELL!F25&gt;0,DELL!A25,0)</f>
        <v>0</v>
      </c>
      <c r="D126" s="152">
        <f>IF(C126=DELL!A25,DELL!C25,0)</f>
        <v>0</v>
      </c>
      <c r="E126" s="157">
        <f>IF(C126=DELL!A25,DELL!D25,0)</f>
        <v>0</v>
      </c>
      <c r="F126" s="153">
        <f>DELL!F25</f>
        <v>0</v>
      </c>
      <c r="G126" s="274">
        <f t="shared" si="3"/>
        <v>0</v>
      </c>
      <c r="H126" s="199"/>
      <c r="I126" s="199"/>
      <c r="J126" s="199"/>
      <c r="K126" s="199"/>
    </row>
    <row r="127" spans="2:14">
      <c r="B127" s="151" t="s">
        <v>10</v>
      </c>
      <c r="C127" s="151">
        <f>IF(DELL!F26&gt;0,DELL!A26,0)</f>
        <v>0</v>
      </c>
      <c r="D127" s="152">
        <f>IF(C127=DELL!A26,DELL!C26,0)</f>
        <v>0</v>
      </c>
      <c r="E127" s="157">
        <f>IF(C127=DELL!A26,DELL!D26,0)</f>
        <v>0</v>
      </c>
      <c r="F127" s="153">
        <f>DELL!F26</f>
        <v>0</v>
      </c>
      <c r="G127" s="274">
        <f t="shared" si="3"/>
        <v>0</v>
      </c>
      <c r="H127" s="199"/>
      <c r="I127" s="199"/>
      <c r="J127" s="199"/>
      <c r="K127" s="199"/>
      <c r="L127" s="199"/>
      <c r="M127" s="199"/>
      <c r="N127" s="199"/>
    </row>
    <row r="128" spans="2:14">
      <c r="B128" s="151" t="s">
        <v>10</v>
      </c>
      <c r="C128" s="151">
        <f>IF(DELL!F27&gt;0,DELL!A27,0)</f>
        <v>0</v>
      </c>
      <c r="D128" s="152">
        <f>IF(C128=DELL!A27,DELL!C27,0)</f>
        <v>0</v>
      </c>
      <c r="E128" s="157">
        <f>IF(C128=DELL!A27,DELL!D27,0)</f>
        <v>0</v>
      </c>
      <c r="F128" s="153">
        <f>DELL!F27</f>
        <v>0</v>
      </c>
      <c r="G128" s="274">
        <f t="shared" si="3"/>
        <v>0</v>
      </c>
      <c r="H128" s="199"/>
      <c r="I128" s="199"/>
      <c r="J128" s="199"/>
      <c r="K128" s="199"/>
    </row>
    <row r="129" spans="2:14">
      <c r="B129" s="151" t="s">
        <v>10</v>
      </c>
      <c r="C129" s="151">
        <f>IF(DELL!F28&gt;0,DELL!A28,0)</f>
        <v>0</v>
      </c>
      <c r="D129" s="152">
        <f>IF(C129=DELL!A28,DELL!C28,0)</f>
        <v>0</v>
      </c>
      <c r="E129" s="157">
        <f>IF(C129=DELL!A28,DELL!D28,0)</f>
        <v>0</v>
      </c>
      <c r="F129" s="153">
        <f>DELL!F28</f>
        <v>0</v>
      </c>
      <c r="G129" s="274">
        <f t="shared" si="3"/>
        <v>0</v>
      </c>
      <c r="H129" s="199"/>
      <c r="I129" s="199"/>
      <c r="J129" s="199"/>
      <c r="K129" s="199"/>
    </row>
    <row r="130" spans="2:14">
      <c r="B130" s="151" t="s">
        <v>10</v>
      </c>
      <c r="C130" s="151">
        <f>IF(DELL!F29&gt;0,DELL!A29,0)</f>
        <v>0</v>
      </c>
      <c r="D130" s="152">
        <f>IF(C130=DELL!A29,DELL!C29,0)</f>
        <v>0</v>
      </c>
      <c r="E130" s="157">
        <f>IF(C130=DELL!A29,DELL!D29,0)</f>
        <v>0</v>
      </c>
      <c r="F130" s="153">
        <f>DELL!F29</f>
        <v>0</v>
      </c>
      <c r="G130" s="274">
        <f t="shared" si="3"/>
        <v>0</v>
      </c>
      <c r="H130" s="199"/>
      <c r="I130" s="199"/>
      <c r="J130" s="199"/>
      <c r="K130" s="199"/>
    </row>
    <row r="131" spans="2:14">
      <c r="B131" s="151" t="s">
        <v>10</v>
      </c>
      <c r="C131" s="151">
        <f>IF(DELL!F30&gt;0,DELL!A30,0)</f>
        <v>0</v>
      </c>
      <c r="D131" s="152">
        <f>IF(C131=DELL!A30,DELL!C30,0)</f>
        <v>0</v>
      </c>
      <c r="E131" s="157">
        <f>IF(C131=DELL!A30,DELL!D30,0)</f>
        <v>0</v>
      </c>
      <c r="F131" s="153">
        <f>DELL!F30</f>
        <v>0</v>
      </c>
      <c r="G131" s="274">
        <f t="shared" si="3"/>
        <v>0</v>
      </c>
      <c r="H131" s="199"/>
      <c r="I131" s="199"/>
      <c r="J131" s="199"/>
      <c r="K131" s="199"/>
    </row>
    <row r="132" spans="2:14">
      <c r="B132" s="151" t="s">
        <v>10</v>
      </c>
      <c r="C132" s="151">
        <f>IF(DELL!F31&gt;0,DELL!A31,0)</f>
        <v>0</v>
      </c>
      <c r="D132" s="152">
        <f>IF(C132=DELL!A31,DELL!C31,0)</f>
        <v>0</v>
      </c>
      <c r="E132" s="157">
        <f>IF(C132=DELL!A31,DELL!D31,0)</f>
        <v>0</v>
      </c>
      <c r="F132" s="153">
        <f>DELL!F31</f>
        <v>0</v>
      </c>
      <c r="G132" s="274">
        <f t="shared" si="3"/>
        <v>0</v>
      </c>
      <c r="H132" s="199"/>
      <c r="I132" s="199"/>
      <c r="J132" s="199"/>
      <c r="K132" s="199"/>
    </row>
    <row r="133" spans="2:14">
      <c r="B133" s="151" t="s">
        <v>10</v>
      </c>
      <c r="C133" s="151">
        <f>IF(DELL!F32&gt;0,DELL!A32,0)</f>
        <v>0</v>
      </c>
      <c r="D133" s="152">
        <f>IF(C133=DELL!A32,DELL!C32,0)</f>
        <v>0</v>
      </c>
      <c r="E133" s="157">
        <f>IF(C133=DELL!A32,DELL!D32,0)</f>
        <v>0</v>
      </c>
      <c r="F133" s="153">
        <f>DELL!F32</f>
        <v>0</v>
      </c>
      <c r="G133" s="274">
        <f t="shared" si="3"/>
        <v>0</v>
      </c>
      <c r="H133" s="199"/>
      <c r="I133" s="210"/>
      <c r="J133" s="199"/>
      <c r="K133" s="199"/>
    </row>
    <row r="134" spans="2:14">
      <c r="B134" s="151" t="s">
        <v>10</v>
      </c>
      <c r="C134" s="151">
        <f>IF(DELL!F33&gt;0,DELL!A33,0)</f>
        <v>0</v>
      </c>
      <c r="D134" s="152">
        <f>IF(C134=DELL!A33,DELL!C33,0)</f>
        <v>0</v>
      </c>
      <c r="E134" s="157">
        <f>IF(C134=DELL!A33,DELL!D33,0)</f>
        <v>0</v>
      </c>
      <c r="F134" s="153">
        <f>DELL!F33</f>
        <v>0</v>
      </c>
      <c r="G134" s="274">
        <f t="shared" si="3"/>
        <v>0</v>
      </c>
      <c r="H134" s="199"/>
      <c r="I134" s="210"/>
      <c r="J134" s="199"/>
      <c r="K134" s="199"/>
    </row>
    <row r="135" spans="2:14">
      <c r="B135" s="151" t="s">
        <v>10</v>
      </c>
      <c r="C135" s="151">
        <f>IF(DELL!F34&gt;0,DELL!A34,0)</f>
        <v>0</v>
      </c>
      <c r="D135" s="152">
        <f>IF(C135=DELL!A34,DELL!C34,0)</f>
        <v>0</v>
      </c>
      <c r="E135" s="157">
        <f>IF(C135=DELL!A34,DELL!D34,0)</f>
        <v>0</v>
      </c>
      <c r="F135" s="153">
        <f>DELL!F34</f>
        <v>0</v>
      </c>
      <c r="G135" s="274">
        <f t="shared" si="3"/>
        <v>0</v>
      </c>
      <c r="H135" s="199"/>
      <c r="I135" s="199"/>
      <c r="J135" s="199"/>
      <c r="K135" s="199"/>
    </row>
    <row r="136" spans="2:14">
      <c r="B136" s="151" t="s">
        <v>10</v>
      </c>
      <c r="C136" s="151">
        <f>IF(DELL!F35&gt;0,DELL!A35,0)</f>
        <v>0</v>
      </c>
      <c r="D136" s="152">
        <f>IF(C136=DELL!A35,DELL!C35,0)</f>
        <v>0</v>
      </c>
      <c r="E136" s="157">
        <f>IF(C136=DELL!A35,DELL!D35,0)</f>
        <v>0</v>
      </c>
      <c r="F136" s="153">
        <f>DELL!F35</f>
        <v>0</v>
      </c>
      <c r="G136" s="274">
        <f t="shared" si="3"/>
        <v>0</v>
      </c>
      <c r="H136" s="199"/>
      <c r="I136" s="210"/>
      <c r="J136" s="199"/>
      <c r="K136" s="199"/>
      <c r="L136" s="199"/>
      <c r="M136" s="199"/>
      <c r="N136" s="199"/>
    </row>
    <row r="137" spans="2:14">
      <c r="B137" s="151" t="s">
        <v>10</v>
      </c>
      <c r="C137" s="151">
        <f>IF(DELL!F36&gt;0,DELL!A36,0)</f>
        <v>0</v>
      </c>
      <c r="D137" s="152">
        <f>IF(C137=DELL!A36,DELL!C36,0)</f>
        <v>0</v>
      </c>
      <c r="E137" s="157">
        <f>IF(C137=DELL!A36,DELL!D36,0)</f>
        <v>0</v>
      </c>
      <c r="F137" s="153">
        <f>DELL!F36</f>
        <v>0</v>
      </c>
      <c r="G137" s="274">
        <f t="shared" si="3"/>
        <v>0</v>
      </c>
      <c r="H137" s="199"/>
      <c r="I137" s="210"/>
      <c r="J137" s="199"/>
      <c r="K137" s="199"/>
      <c r="L137" s="210"/>
      <c r="M137" s="210"/>
    </row>
    <row r="138" spans="2:14">
      <c r="B138" s="151" t="s">
        <v>10</v>
      </c>
      <c r="C138" s="151">
        <f>IF(DELL!F37&gt;0,DELL!A37,0)</f>
        <v>0</v>
      </c>
      <c r="D138" s="152">
        <f>IF(C138=DELL!A37,DELL!C37,0)</f>
        <v>0</v>
      </c>
      <c r="E138" s="157">
        <f>IF(C138=DELL!A37,DELL!D37,0)</f>
        <v>0</v>
      </c>
      <c r="F138" s="153">
        <f>DELL!F37</f>
        <v>0</v>
      </c>
      <c r="G138" s="274">
        <f t="shared" si="3"/>
        <v>0</v>
      </c>
      <c r="H138" s="199"/>
      <c r="I138" s="210"/>
      <c r="J138" s="199"/>
      <c r="K138" s="199"/>
    </row>
    <row r="139" spans="2:14">
      <c r="B139" s="151" t="s">
        <v>10</v>
      </c>
      <c r="C139" s="151">
        <f>IF(DELL!F38&gt;0,DELL!A38,0)</f>
        <v>0</v>
      </c>
      <c r="D139" s="152">
        <f>IF(C139=DELL!A38,DELL!C38,0)</f>
        <v>0</v>
      </c>
      <c r="E139" s="157">
        <f>IF(C139=DELL!A38,DELL!D38,0)</f>
        <v>0</v>
      </c>
      <c r="F139" s="153">
        <f>DELL!F38</f>
        <v>0</v>
      </c>
      <c r="G139" s="274">
        <f t="shared" si="3"/>
        <v>0</v>
      </c>
      <c r="H139" s="199"/>
      <c r="I139" s="210"/>
      <c r="J139" s="199"/>
      <c r="K139" s="199"/>
    </row>
    <row r="140" spans="2:14">
      <c r="B140" s="151" t="s">
        <v>10</v>
      </c>
      <c r="C140" s="151">
        <f>IF(DELL!F39&gt;0,DELL!A39,0)</f>
        <v>0</v>
      </c>
      <c r="D140" s="152">
        <f>IF(C140=DELL!A39,DELL!C39,0)</f>
        <v>0</v>
      </c>
      <c r="E140" s="157">
        <f>IF(C140=DELL!A39,DELL!D39,0)</f>
        <v>0</v>
      </c>
      <c r="F140" s="153">
        <f>DELL!F39</f>
        <v>0</v>
      </c>
      <c r="G140" s="274">
        <f t="shared" si="3"/>
        <v>0</v>
      </c>
      <c r="H140" s="199"/>
      <c r="I140" s="210"/>
      <c r="J140" s="199"/>
      <c r="K140" s="199"/>
    </row>
    <row r="141" spans="2:14">
      <c r="B141" s="151" t="s">
        <v>10</v>
      </c>
      <c r="C141" s="151">
        <f>IF(DELL!F40&gt;0,DELL!A40,0)</f>
        <v>0</v>
      </c>
      <c r="D141" s="152">
        <f>IF(C141=DELL!A40,DELL!C40,0)</f>
        <v>0</v>
      </c>
      <c r="E141" s="157">
        <f>IF(C141=DELL!A40,DELL!D40,0)</f>
        <v>0</v>
      </c>
      <c r="F141" s="153">
        <f>DELL!F40</f>
        <v>0</v>
      </c>
      <c r="G141" s="274">
        <f t="shared" si="3"/>
        <v>0</v>
      </c>
      <c r="H141" s="199"/>
      <c r="I141" s="210"/>
      <c r="J141" s="199"/>
      <c r="K141" s="199"/>
    </row>
    <row r="142" spans="2:14">
      <c r="B142" s="151" t="s">
        <v>10</v>
      </c>
      <c r="C142" s="151">
        <f>IF(DELL!F41&gt;0,DELL!A41,0)</f>
        <v>0</v>
      </c>
      <c r="D142" s="152">
        <f>IF(C142=DELL!A41,DELL!C41,0)</f>
        <v>0</v>
      </c>
      <c r="E142" s="157">
        <f>IF(C142=DELL!A41,DELL!D41,0)</f>
        <v>0</v>
      </c>
      <c r="F142" s="153">
        <f>DELL!F41</f>
        <v>0</v>
      </c>
      <c r="G142" s="274">
        <f t="shared" si="3"/>
        <v>0</v>
      </c>
      <c r="H142" s="199"/>
      <c r="I142" s="210"/>
      <c r="J142" s="199"/>
      <c r="K142" s="199"/>
    </row>
    <row r="143" spans="2:14">
      <c r="B143" s="151" t="s">
        <v>10</v>
      </c>
      <c r="C143" s="151">
        <f>IF(DELL!F42&gt;0,DELL!A42,0)</f>
        <v>0</v>
      </c>
      <c r="D143" s="152">
        <f>IF(C143=DELL!A42,DELL!C42,0)</f>
        <v>0</v>
      </c>
      <c r="E143" s="157">
        <f>IF(C143=DELL!A42,DELL!D42,0)</f>
        <v>0</v>
      </c>
      <c r="F143" s="153">
        <f>DELL!F42</f>
        <v>0</v>
      </c>
      <c r="G143" s="274">
        <f t="shared" si="3"/>
        <v>0</v>
      </c>
      <c r="H143" s="199"/>
      <c r="I143" s="210"/>
      <c r="J143" s="199"/>
      <c r="K143" s="199"/>
    </row>
    <row r="144" spans="2:14">
      <c r="B144" s="151" t="s">
        <v>10</v>
      </c>
      <c r="C144" s="151">
        <f>IF(DELL!F43&gt;0,DELL!A43,0)</f>
        <v>0</v>
      </c>
      <c r="D144" s="152">
        <f>IF(C144=DELL!A43,DELL!C43,0)</f>
        <v>0</v>
      </c>
      <c r="E144" s="157">
        <f>IF(C144=DELL!A43,DELL!D43,0)</f>
        <v>0</v>
      </c>
      <c r="F144" s="153">
        <f>DELL!F43</f>
        <v>0</v>
      </c>
      <c r="G144" s="274">
        <f t="shared" si="3"/>
        <v>0</v>
      </c>
      <c r="H144" s="199"/>
      <c r="J144" s="199"/>
      <c r="K144" s="199"/>
    </row>
    <row r="145" spans="2:11">
      <c r="B145" s="151" t="s">
        <v>10</v>
      </c>
      <c r="C145" s="151">
        <f>IF(DELL!F44&gt;0,DELL!A44,0)</f>
        <v>0</v>
      </c>
      <c r="D145" s="152">
        <f>IF(C145=DELL!A44,DELL!C44,0)</f>
        <v>0</v>
      </c>
      <c r="E145" s="157">
        <f>IF(C145=DELL!A44,DELL!D44,0)</f>
        <v>0</v>
      </c>
      <c r="F145" s="153">
        <f>DELL!F44</f>
        <v>0</v>
      </c>
      <c r="G145" s="274">
        <f t="shared" si="3"/>
        <v>0</v>
      </c>
      <c r="H145" s="199"/>
      <c r="J145" s="199"/>
      <c r="K145" s="199"/>
    </row>
    <row r="146" spans="2:11">
      <c r="B146" s="151" t="s">
        <v>10</v>
      </c>
      <c r="C146" s="151">
        <f>IF(DELL!F45&gt;0,DELL!A45,0)</f>
        <v>0</v>
      </c>
      <c r="D146" s="152">
        <f>IF(C146=DELL!A45,DELL!C45,0)</f>
        <v>0</v>
      </c>
      <c r="E146" s="157">
        <f>IF(C146=DELL!A45,DELL!D45,0)</f>
        <v>0</v>
      </c>
      <c r="F146" s="153">
        <f>DELL!F45</f>
        <v>0</v>
      </c>
      <c r="G146" s="274">
        <f t="shared" si="3"/>
        <v>0</v>
      </c>
      <c r="H146" s="199"/>
      <c r="I146" s="210"/>
      <c r="J146" s="199"/>
      <c r="K146" s="199"/>
    </row>
    <row r="147" spans="2:11">
      <c r="B147" s="151" t="s">
        <v>10</v>
      </c>
      <c r="C147" s="151">
        <f>IF(DELL!F46&gt;0,DELL!A46,0)</f>
        <v>0</v>
      </c>
      <c r="D147" s="152">
        <f>IF(C147=DELL!A46,DELL!C46,0)</f>
        <v>0</v>
      </c>
      <c r="E147" s="157">
        <f>IF(C147=DELL!A46,DELL!D46,0)</f>
        <v>0</v>
      </c>
      <c r="F147" s="153">
        <f>DELL!F46</f>
        <v>0</v>
      </c>
      <c r="G147" s="274">
        <f t="shared" si="3"/>
        <v>0</v>
      </c>
      <c r="H147" s="199"/>
      <c r="J147" s="199"/>
      <c r="K147" s="199"/>
    </row>
    <row r="148" spans="2:11">
      <c r="B148" s="151" t="s">
        <v>10</v>
      </c>
      <c r="C148" s="151">
        <f>IF(DELL!F47&gt;0,DELL!A47,0)</f>
        <v>0</v>
      </c>
      <c r="D148" s="152">
        <f>IF(C148=DELL!A47,DELL!C47,0)</f>
        <v>0</v>
      </c>
      <c r="E148" s="157">
        <f>IF(C148=DELL!A47,DELL!D47,0)</f>
        <v>0</v>
      </c>
      <c r="F148" s="153">
        <f>DELL!F47</f>
        <v>0</v>
      </c>
      <c r="G148" s="274">
        <f t="shared" si="3"/>
        <v>0</v>
      </c>
      <c r="H148" s="199"/>
      <c r="J148" s="199"/>
      <c r="K148" s="199"/>
    </row>
    <row r="149" spans="2:11">
      <c r="B149" s="151" t="s">
        <v>10</v>
      </c>
      <c r="C149" s="151">
        <f>IF(DELL!F48&gt;0,DELL!A48,0)</f>
        <v>0</v>
      </c>
      <c r="D149" s="152">
        <f>IF(C149=DELL!A48,DELL!C48,0)</f>
        <v>0</v>
      </c>
      <c r="E149" s="157">
        <f>IF(C149=DELL!A48,DELL!D48,0)</f>
        <v>0</v>
      </c>
      <c r="F149" s="153">
        <f>DELL!F48</f>
        <v>0</v>
      </c>
      <c r="G149" s="274">
        <f t="shared" si="3"/>
        <v>0</v>
      </c>
      <c r="H149" s="199"/>
      <c r="J149" s="199"/>
      <c r="K149" s="199"/>
    </row>
    <row r="150" spans="2:11">
      <c r="B150" s="151" t="s">
        <v>10</v>
      </c>
      <c r="C150" s="151">
        <f>IF(DELL!F49&gt;0,DELL!A49,0)</f>
        <v>0</v>
      </c>
      <c r="D150" s="152">
        <f>IF(C150=DELL!A49,DELL!C49,0)</f>
        <v>0</v>
      </c>
      <c r="E150" s="157">
        <f>IF(C150=DELL!A49,DELL!D49,0)</f>
        <v>0</v>
      </c>
      <c r="F150" s="153">
        <f>DELL!F49</f>
        <v>0</v>
      </c>
      <c r="G150" s="274">
        <f t="shared" si="3"/>
        <v>0</v>
      </c>
      <c r="H150" s="199"/>
      <c r="J150" s="199"/>
      <c r="K150" s="199"/>
    </row>
    <row r="151" spans="2:11">
      <c r="B151" s="151" t="s">
        <v>10</v>
      </c>
      <c r="C151" s="151">
        <f>IF(DELL!F50&gt;0,DELL!A50,0)</f>
        <v>0</v>
      </c>
      <c r="D151" s="152">
        <f>IF(C151=DELL!A50,DELL!C50,0)</f>
        <v>0</v>
      </c>
      <c r="E151" s="157">
        <f>IF(C151=DELL!A50,DELL!D50,0)</f>
        <v>0</v>
      </c>
      <c r="F151" s="153">
        <f>DELL!F50</f>
        <v>0</v>
      </c>
      <c r="G151" s="274">
        <f t="shared" si="3"/>
        <v>0</v>
      </c>
      <c r="H151" s="199"/>
      <c r="J151" s="199"/>
      <c r="K151" s="199"/>
    </row>
    <row r="152" spans="2:11">
      <c r="B152" s="151" t="s">
        <v>10</v>
      </c>
      <c r="C152" s="151">
        <f>IF(DELL!F51&gt;0,DELL!A51,0)</f>
        <v>0</v>
      </c>
      <c r="D152" s="152">
        <f>IF(C152=DELL!A51,DELL!C51,0)</f>
        <v>0</v>
      </c>
      <c r="E152" s="157">
        <f>IF(C152=DELL!A51,DELL!D51,0)</f>
        <v>0</v>
      </c>
      <c r="F152" s="153">
        <f>DELL!F51</f>
        <v>0</v>
      </c>
      <c r="G152" s="274">
        <f t="shared" si="3"/>
        <v>0</v>
      </c>
      <c r="H152" s="199"/>
      <c r="J152" s="199"/>
      <c r="K152" s="199"/>
    </row>
    <row r="153" spans="2:11">
      <c r="B153" s="151" t="s">
        <v>10</v>
      </c>
      <c r="C153" s="151">
        <f>IF(DELL!F52&gt;0,DELL!A52,0)</f>
        <v>0</v>
      </c>
      <c r="D153" s="152">
        <f>IF(C153=DELL!A52,DELL!C52,0)</f>
        <v>0</v>
      </c>
      <c r="E153" s="157">
        <f>IF(C153=DELL!A52,DELL!D52,0)</f>
        <v>0</v>
      </c>
      <c r="F153" s="153">
        <f>DELL!F52</f>
        <v>0</v>
      </c>
      <c r="G153" s="274">
        <f t="shared" si="3"/>
        <v>0</v>
      </c>
      <c r="H153" s="199"/>
      <c r="J153" s="199"/>
      <c r="K153" s="199"/>
    </row>
    <row r="154" spans="2:11">
      <c r="B154" s="151" t="s">
        <v>10</v>
      </c>
      <c r="C154" s="151">
        <f>IF(DELL!F53&gt;0,DELL!A53,0)</f>
        <v>0</v>
      </c>
      <c r="D154" s="152">
        <f>IF(C154=DELL!A53,DELL!C53,0)</f>
        <v>0</v>
      </c>
      <c r="E154" s="157">
        <f>IF(C154=DELL!A53,DELL!D53,0)</f>
        <v>0</v>
      </c>
      <c r="F154" s="153">
        <f>DELL!F53</f>
        <v>0</v>
      </c>
      <c r="G154" s="274">
        <f t="shared" si="3"/>
        <v>0</v>
      </c>
      <c r="H154" s="199"/>
      <c r="J154" s="199"/>
      <c r="K154" s="199"/>
    </row>
    <row r="155" spans="2:11">
      <c r="B155" s="151" t="s">
        <v>10</v>
      </c>
      <c r="C155" s="151">
        <f>IF(DELL!F54&gt;0,DELL!A54,0)</f>
        <v>0</v>
      </c>
      <c r="D155" s="152">
        <f>IF(C155=DELL!A54,DELL!C54,0)</f>
        <v>0</v>
      </c>
      <c r="E155" s="157">
        <f>IF(C155=DELL!A54,DELL!D54,0)</f>
        <v>0</v>
      </c>
      <c r="F155" s="153">
        <f>DELL!F54</f>
        <v>0</v>
      </c>
      <c r="G155" s="274">
        <f t="shared" si="3"/>
        <v>0</v>
      </c>
      <c r="H155" s="199"/>
      <c r="J155" s="199"/>
      <c r="K155" s="199"/>
    </row>
    <row r="156" spans="2:11">
      <c r="B156" s="151" t="s">
        <v>10</v>
      </c>
      <c r="C156" s="151">
        <f>IF(DELL!F55&gt;0,DELL!A55,0)</f>
        <v>0</v>
      </c>
      <c r="D156" s="152">
        <f>IF(C156=DELL!A55,DELL!C55,0)</f>
        <v>0</v>
      </c>
      <c r="E156" s="157">
        <f>IF(C156=DELL!A55,DELL!D55,0)</f>
        <v>0</v>
      </c>
      <c r="F156" s="153">
        <f>DELL!F55</f>
        <v>0</v>
      </c>
      <c r="G156" s="274">
        <f t="shared" si="3"/>
        <v>0</v>
      </c>
      <c r="H156" s="199"/>
      <c r="J156" s="199"/>
      <c r="K156" s="199"/>
    </row>
    <row r="157" spans="2:11">
      <c r="B157" s="151" t="s">
        <v>10</v>
      </c>
      <c r="C157" s="151">
        <f>IF(DELL!F56&gt;0,DELL!A56,0)</f>
        <v>0</v>
      </c>
      <c r="D157" s="152">
        <f>IF(C157=DELL!A56,DELL!C56,0)</f>
        <v>0</v>
      </c>
      <c r="E157" s="157">
        <f>IF(C157=DELL!A56,DELL!D56,0)</f>
        <v>0</v>
      </c>
      <c r="F157" s="153">
        <f>DELL!F56</f>
        <v>0</v>
      </c>
      <c r="G157" s="274">
        <f t="shared" si="3"/>
        <v>0</v>
      </c>
      <c r="H157" s="199"/>
      <c r="J157" s="199"/>
      <c r="K157" s="199"/>
    </row>
    <row r="158" spans="2:11">
      <c r="B158" s="151" t="s">
        <v>10</v>
      </c>
      <c r="C158" s="151">
        <f>IF(DELL!F57&gt;0,DELL!A57,0)</f>
        <v>0</v>
      </c>
      <c r="D158" s="152">
        <f>IF(C158=DELL!A57,DELL!C57,0)</f>
        <v>0</v>
      </c>
      <c r="E158" s="157">
        <f>IF(C158=DELL!A57,DELL!D57,0)</f>
        <v>0</v>
      </c>
      <c r="F158" s="153">
        <f>DELL!F57</f>
        <v>0</v>
      </c>
      <c r="G158" s="274">
        <f t="shared" si="3"/>
        <v>0</v>
      </c>
      <c r="H158" s="199"/>
      <c r="J158" s="199"/>
      <c r="K158" s="199"/>
    </row>
    <row r="159" spans="2:11">
      <c r="B159" s="151" t="s">
        <v>10</v>
      </c>
      <c r="C159" s="151">
        <f>IF(DELL!F58&gt;0,DELL!A58,0)</f>
        <v>0</v>
      </c>
      <c r="D159" s="152">
        <f>IF(C159=DELL!A58,DELL!C58,0)</f>
        <v>0</v>
      </c>
      <c r="E159" s="157">
        <f>IF(C159=DELL!A58,DELL!D58,0)</f>
        <v>0</v>
      </c>
      <c r="F159" s="153">
        <f>DELL!F58</f>
        <v>0</v>
      </c>
      <c r="G159" s="274">
        <f t="shared" si="3"/>
        <v>0</v>
      </c>
      <c r="H159" s="199"/>
      <c r="J159" s="199"/>
      <c r="K159" s="199"/>
    </row>
    <row r="160" spans="2:11">
      <c r="B160" s="151" t="s">
        <v>10</v>
      </c>
      <c r="C160" s="151">
        <f>IF(DELL!F59&gt;0,DELL!A59,0)</f>
        <v>0</v>
      </c>
      <c r="D160" s="152">
        <f>IF(C160=DELL!A59,DELL!C59,0)</f>
        <v>0</v>
      </c>
      <c r="E160" s="157">
        <f>IF(C160=DELL!A59,DELL!D59,0)</f>
        <v>0</v>
      </c>
      <c r="F160" s="153">
        <f>DELL!F59</f>
        <v>0</v>
      </c>
      <c r="G160" s="274">
        <f t="shared" si="3"/>
        <v>0</v>
      </c>
      <c r="H160" s="199"/>
      <c r="J160" s="199"/>
      <c r="K160" s="199"/>
    </row>
    <row r="161" spans="2:11">
      <c r="B161" s="151" t="s">
        <v>10</v>
      </c>
      <c r="C161" s="151">
        <f>IF(DELL!F60&gt;0,DELL!A60,0)</f>
        <v>0</v>
      </c>
      <c r="D161" s="152">
        <f>IF(C161=DELL!A60,DELL!C60,0)</f>
        <v>0</v>
      </c>
      <c r="E161" s="157">
        <f>IF(C161=DELL!A60,DELL!D60,0)</f>
        <v>0</v>
      </c>
      <c r="F161" s="153">
        <f>DELL!F60</f>
        <v>0</v>
      </c>
      <c r="G161" s="274">
        <f t="shared" si="3"/>
        <v>0</v>
      </c>
      <c r="H161" s="199"/>
      <c r="J161" s="199"/>
      <c r="K161" s="199"/>
    </row>
    <row r="162" spans="2:11">
      <c r="B162" s="151" t="s">
        <v>10</v>
      </c>
      <c r="C162" s="151">
        <f>IF(DELL!F61&gt;0,DELL!A61,0)</f>
        <v>0</v>
      </c>
      <c r="D162" s="152">
        <f>IF(C162=DELL!A61,DELL!C61,0)</f>
        <v>0</v>
      </c>
      <c r="E162" s="157">
        <f>IF(C162=DELL!A61,DELL!D61,0)</f>
        <v>0</v>
      </c>
      <c r="F162" s="153">
        <f>DELL!F61</f>
        <v>0</v>
      </c>
      <c r="G162" s="274">
        <f t="shared" si="3"/>
        <v>0</v>
      </c>
      <c r="H162" s="199"/>
      <c r="J162" s="199"/>
      <c r="K162" s="199"/>
    </row>
    <row r="163" spans="2:11">
      <c r="B163" s="151" t="s">
        <v>10</v>
      </c>
      <c r="C163" s="151">
        <f>IF(DELL!F62&gt;0,DELL!A62,0)</f>
        <v>0</v>
      </c>
      <c r="D163" s="152">
        <f>IF(C163=DELL!A62,DELL!C62,0)</f>
        <v>0</v>
      </c>
      <c r="E163" s="157">
        <f>IF(C163=DELL!A62,DELL!D62,0)</f>
        <v>0</v>
      </c>
      <c r="F163" s="153">
        <f>DELL!F62</f>
        <v>0</v>
      </c>
      <c r="G163" s="274">
        <f t="shared" si="3"/>
        <v>0</v>
      </c>
      <c r="H163" s="199"/>
      <c r="J163" s="199"/>
      <c r="K163" s="199"/>
    </row>
    <row r="164" spans="2:11">
      <c r="B164" s="151" t="s">
        <v>10</v>
      </c>
      <c r="C164" s="151">
        <f>IF(DELL!F63&gt;0,DELL!A63,0)</f>
        <v>0</v>
      </c>
      <c r="D164" s="152">
        <f>IF(C164=DELL!A63,DELL!C63,0)</f>
        <v>0</v>
      </c>
      <c r="E164" s="157">
        <f>IF(C164=DELL!A63,DELL!D63,0)</f>
        <v>0</v>
      </c>
      <c r="F164" s="153">
        <f>DELL!F63</f>
        <v>0</v>
      </c>
      <c r="G164" s="274">
        <f t="shared" si="3"/>
        <v>0</v>
      </c>
      <c r="H164" s="199"/>
      <c r="J164" s="199"/>
      <c r="K164" s="199"/>
    </row>
    <row r="165" spans="2:11">
      <c r="B165" s="151" t="s">
        <v>10</v>
      </c>
      <c r="C165" s="151">
        <f>IF(DELL!F64&gt;0,DELL!A64,0)</f>
        <v>0</v>
      </c>
      <c r="D165" s="152">
        <f>IF(C165=DELL!A64,DELL!C64,0)</f>
        <v>0</v>
      </c>
      <c r="E165" s="157">
        <f>IF(C165=DELL!A64,DELL!D64,0)</f>
        <v>0</v>
      </c>
      <c r="F165" s="153">
        <f>DELL!F64</f>
        <v>0</v>
      </c>
      <c r="G165" s="274">
        <f t="shared" si="3"/>
        <v>0</v>
      </c>
      <c r="H165" s="199"/>
      <c r="J165" s="199"/>
      <c r="K165" s="199"/>
    </row>
    <row r="166" spans="2:11">
      <c r="B166" s="151" t="s">
        <v>10</v>
      </c>
      <c r="C166" s="151">
        <f>IF(DELL!F65&gt;0,DELL!A65,0)</f>
        <v>0</v>
      </c>
      <c r="D166" s="152">
        <f>IF(C166=DELL!A65,DELL!C65,0)</f>
        <v>0</v>
      </c>
      <c r="E166" s="157">
        <f>IF(C166=DELL!A65,DELL!D65,0)</f>
        <v>0</v>
      </c>
      <c r="F166" s="153">
        <f>DELL!F65</f>
        <v>0</v>
      </c>
      <c r="G166" s="274">
        <f t="shared" si="3"/>
        <v>0</v>
      </c>
      <c r="H166" s="199"/>
      <c r="J166" s="199"/>
      <c r="K166" s="199"/>
    </row>
    <row r="167" spans="2:11">
      <c r="B167" s="151" t="s">
        <v>10</v>
      </c>
      <c r="C167" s="151">
        <f>IF(DELL!F66&gt;0,DELL!A66,0)</f>
        <v>0</v>
      </c>
      <c r="D167" s="152">
        <f>IF(C167=DELL!A66,DELL!C66,0)</f>
        <v>0</v>
      </c>
      <c r="E167" s="157">
        <f>IF(C167=DELL!A66,DELL!D66,0)</f>
        <v>0</v>
      </c>
      <c r="F167" s="153">
        <f>DELL!F66</f>
        <v>0</v>
      </c>
      <c r="G167" s="274">
        <f t="shared" si="3"/>
        <v>0</v>
      </c>
      <c r="H167" s="199"/>
      <c r="J167" s="199"/>
      <c r="K167" s="199"/>
    </row>
    <row r="168" spans="2:11">
      <c r="B168" s="151" t="s">
        <v>10</v>
      </c>
      <c r="C168" s="151">
        <f>IF(DELL!F67&gt;0,DELL!A67,0)</f>
        <v>0</v>
      </c>
      <c r="D168" s="152">
        <f>IF(C168=DELL!A67,DELL!C67,0)</f>
        <v>0</v>
      </c>
      <c r="E168" s="157">
        <f>IF(C168=DELL!A67,DELL!D67,0)</f>
        <v>0</v>
      </c>
      <c r="F168" s="153">
        <f>DELL!F67</f>
        <v>0</v>
      </c>
      <c r="G168" s="274">
        <f t="shared" si="3"/>
        <v>0</v>
      </c>
      <c r="H168" s="199"/>
      <c r="J168" s="199"/>
      <c r="K168" s="199"/>
    </row>
    <row r="169" spans="2:11">
      <c r="B169" s="151" t="s">
        <v>10</v>
      </c>
      <c r="C169" s="151">
        <f>IF(DELL!F68&gt;0,DELL!A68,0)</f>
        <v>0</v>
      </c>
      <c r="D169" s="152">
        <f>IF(C169=DELL!A68,DELL!C68,0)</f>
        <v>0</v>
      </c>
      <c r="E169" s="157">
        <f>IF(C169=DELL!A68,DELL!D68,0)</f>
        <v>0</v>
      </c>
      <c r="F169" s="153">
        <f>DELL!F68</f>
        <v>0</v>
      </c>
      <c r="G169" s="274">
        <f t="shared" si="3"/>
        <v>0</v>
      </c>
      <c r="H169" s="199"/>
      <c r="J169" s="199"/>
      <c r="K169" s="199"/>
    </row>
    <row r="170" spans="2:11">
      <c r="B170" s="151" t="s">
        <v>10</v>
      </c>
      <c r="C170" s="151">
        <f>IF(DELL!F69&gt;0,DELL!A69,0)</f>
        <v>0</v>
      </c>
      <c r="D170" s="152">
        <f>IF(C170=DELL!A69,DELL!C69,0)</f>
        <v>0</v>
      </c>
      <c r="E170" s="157">
        <f>IF(C170=DELL!A69,DELL!D69,0)</f>
        <v>0</v>
      </c>
      <c r="F170" s="153">
        <f>DELL!F69</f>
        <v>0</v>
      </c>
      <c r="G170" s="274">
        <f t="shared" si="3"/>
        <v>0</v>
      </c>
      <c r="H170" s="199"/>
      <c r="J170" s="199"/>
      <c r="K170" s="199"/>
    </row>
    <row r="171" spans="2:11">
      <c r="B171" s="151" t="s">
        <v>10</v>
      </c>
      <c r="C171" s="151">
        <f>IF(DELL!F70&gt;0,DELL!A70,0)</f>
        <v>0</v>
      </c>
      <c r="D171" s="152">
        <f>IF(C171=DELL!A70,DELL!C70,0)</f>
        <v>0</v>
      </c>
      <c r="E171" s="157">
        <f>IF(C171=DELL!A70,DELL!D70,0)</f>
        <v>0</v>
      </c>
      <c r="F171" s="153">
        <f>DELL!F70</f>
        <v>0</v>
      </c>
      <c r="G171" s="274">
        <f t="shared" si="3"/>
        <v>0</v>
      </c>
      <c r="H171" s="199"/>
      <c r="J171" s="199"/>
      <c r="K171" s="199"/>
    </row>
    <row r="172" spans="2:11">
      <c r="B172" s="151" t="s">
        <v>10</v>
      </c>
      <c r="C172" s="151">
        <f>IF(DELL!F71&gt;0,DELL!A71,0)</f>
        <v>0</v>
      </c>
      <c r="D172" s="152">
        <f>IF(C172=DELL!A71,DELL!C71,0)</f>
        <v>0</v>
      </c>
      <c r="E172" s="157">
        <f>IF(C172=DELL!A71,DELL!D71,0)</f>
        <v>0</v>
      </c>
      <c r="F172" s="153">
        <f>DELL!F71</f>
        <v>0</v>
      </c>
      <c r="G172" s="274">
        <f t="shared" si="3"/>
        <v>0</v>
      </c>
      <c r="H172" s="199"/>
      <c r="J172" s="199"/>
      <c r="K172" s="199"/>
    </row>
    <row r="173" spans="2:11">
      <c r="B173" s="151" t="s">
        <v>10</v>
      </c>
      <c r="C173" s="151">
        <f>IF(DELL!F72&gt;0,DELL!A72,0)</f>
        <v>0</v>
      </c>
      <c r="D173" s="152">
        <f>IF(C173=DELL!A72,DELL!C72,0)</f>
        <v>0</v>
      </c>
      <c r="E173" s="157">
        <f>IF(C173=DELL!A72,DELL!D72,0)</f>
        <v>0</v>
      </c>
      <c r="F173" s="153">
        <f>DELL!F72</f>
        <v>0</v>
      </c>
      <c r="G173" s="274">
        <f t="shared" si="3"/>
        <v>0</v>
      </c>
      <c r="H173" s="199"/>
      <c r="J173" s="199"/>
      <c r="K173" s="199"/>
    </row>
    <row r="174" spans="2:11">
      <c r="B174" s="151" t="s">
        <v>10</v>
      </c>
      <c r="C174" s="151">
        <f>IF(DELL!F73&gt;0,DELL!A73,0)</f>
        <v>0</v>
      </c>
      <c r="D174" s="152">
        <f>IF(C174=DELL!A73,DELL!C73,0)</f>
        <v>0</v>
      </c>
      <c r="E174" s="157">
        <f>IF(C174=DELL!A73,DELL!D73,0)</f>
        <v>0</v>
      </c>
      <c r="F174" s="153">
        <f>DELL!F73</f>
        <v>0</v>
      </c>
      <c r="G174" s="274">
        <f t="shared" si="3"/>
        <v>0</v>
      </c>
      <c r="H174" s="199"/>
      <c r="J174" s="199"/>
      <c r="K174" s="199"/>
    </row>
    <row r="175" spans="2:11">
      <c r="B175" s="151" t="s">
        <v>10</v>
      </c>
      <c r="C175" s="151">
        <f>IF(DELL!F74&gt;0,DELL!A74,0)</f>
        <v>0</v>
      </c>
      <c r="D175" s="152">
        <f>IF(C175=DELL!A74,DELL!C74,0)</f>
        <v>0</v>
      </c>
      <c r="E175" s="157">
        <f>IF(C175=DELL!A74,DELL!D74,0)</f>
        <v>0</v>
      </c>
      <c r="F175" s="153">
        <f>DELL!F74</f>
        <v>0</v>
      </c>
      <c r="G175" s="274">
        <f t="shared" si="3"/>
        <v>0</v>
      </c>
      <c r="H175" s="199"/>
      <c r="J175" s="199"/>
      <c r="K175" s="199"/>
    </row>
    <row r="176" spans="2:11">
      <c r="B176" s="151" t="s">
        <v>10</v>
      </c>
      <c r="C176" s="151">
        <f>IF(DELL!F75&gt;0,DELL!A75,0)</f>
        <v>0</v>
      </c>
      <c r="D176" s="152">
        <f>IF(C176=DELL!A75,DELL!C75,0)</f>
        <v>0</v>
      </c>
      <c r="E176" s="157">
        <f>IF(C176=DELL!A75,DELL!D75,0)</f>
        <v>0</v>
      </c>
      <c r="F176" s="153">
        <f>DELL!F75</f>
        <v>0</v>
      </c>
      <c r="G176" s="274">
        <f t="shared" si="3"/>
        <v>0</v>
      </c>
      <c r="H176" s="199"/>
      <c r="J176" s="199"/>
      <c r="K176" s="199"/>
    </row>
    <row r="177" spans="2:11">
      <c r="B177" s="151" t="s">
        <v>10</v>
      </c>
      <c r="C177" s="151">
        <f>IF(DELL!F76&gt;0,DELL!A76,0)</f>
        <v>0</v>
      </c>
      <c r="D177" s="152">
        <f>IF(C177=DELL!A76,DELL!C76,0)</f>
        <v>0</v>
      </c>
      <c r="E177" s="157">
        <f>IF(C177=DELL!A76,DELL!D76,0)</f>
        <v>0</v>
      </c>
      <c r="F177" s="153">
        <f>DELL!F76</f>
        <v>0</v>
      </c>
      <c r="G177" s="274">
        <f t="shared" ref="G177:G216" si="4">F177*E177</f>
        <v>0</v>
      </c>
      <c r="H177" s="199"/>
      <c r="J177" s="199"/>
      <c r="K177" s="199"/>
    </row>
    <row r="178" spans="2:11">
      <c r="B178" s="151" t="s">
        <v>10</v>
      </c>
      <c r="C178" s="151">
        <f>IF(DELL!F77&gt;0,DELL!A77,0)</f>
        <v>0</v>
      </c>
      <c r="D178" s="152">
        <f>IF(C178=DELL!A77,DELL!C77,0)</f>
        <v>0</v>
      </c>
      <c r="E178" s="157">
        <f>IF(C178=DELL!A77,DELL!D77,0)</f>
        <v>0</v>
      </c>
      <c r="F178" s="153">
        <f>DELL!F77</f>
        <v>0</v>
      </c>
      <c r="G178" s="274">
        <f t="shared" si="4"/>
        <v>0</v>
      </c>
      <c r="H178" s="199"/>
      <c r="J178" s="199"/>
      <c r="K178" s="199"/>
    </row>
    <row r="179" spans="2:11">
      <c r="B179" s="151" t="s">
        <v>10</v>
      </c>
      <c r="C179" s="151">
        <f>IF(DELL!F78&gt;0,DELL!A78,0)</f>
        <v>0</v>
      </c>
      <c r="D179" s="152">
        <f>IF(C179=DELL!A78,DELL!C78,0)</f>
        <v>0</v>
      </c>
      <c r="E179" s="157">
        <f>IF(C179=DELL!A78,DELL!D78,0)</f>
        <v>0</v>
      </c>
      <c r="F179" s="153">
        <f>DELL!F78</f>
        <v>0</v>
      </c>
      <c r="G179" s="274">
        <f t="shared" si="4"/>
        <v>0</v>
      </c>
      <c r="H179" s="199"/>
      <c r="J179" s="199"/>
      <c r="K179" s="199"/>
    </row>
    <row r="180" spans="2:11">
      <c r="B180" s="151" t="s">
        <v>10</v>
      </c>
      <c r="C180" s="151">
        <f>IF(DELL!F79&gt;0,DELL!A79,0)</f>
        <v>0</v>
      </c>
      <c r="D180" s="152">
        <f>IF(C180=DELL!A79,DELL!C79,0)</f>
        <v>0</v>
      </c>
      <c r="E180" s="157">
        <f>IF(C180=DELL!A79,DELL!D79,0)</f>
        <v>0</v>
      </c>
      <c r="F180" s="153">
        <f>DELL!F79</f>
        <v>0</v>
      </c>
      <c r="G180" s="274">
        <f t="shared" si="4"/>
        <v>0</v>
      </c>
      <c r="H180" s="199"/>
      <c r="J180" s="199"/>
      <c r="K180" s="199"/>
    </row>
    <row r="181" spans="2:11">
      <c r="B181" s="151" t="s">
        <v>10</v>
      </c>
      <c r="C181" s="151">
        <f>IF(DELL!F80&gt;0,DELL!A80,0)</f>
        <v>0</v>
      </c>
      <c r="D181" s="152">
        <f>IF(C181=DELL!A80,DELL!C80,0)</f>
        <v>0</v>
      </c>
      <c r="E181" s="157">
        <f>IF(C181=DELL!A80,DELL!D80,0)</f>
        <v>0</v>
      </c>
      <c r="F181" s="153">
        <f>DELL!F80</f>
        <v>0</v>
      </c>
      <c r="G181" s="274">
        <f t="shared" si="4"/>
        <v>0</v>
      </c>
      <c r="H181" s="199"/>
      <c r="J181" s="199"/>
      <c r="K181" s="199"/>
    </row>
    <row r="182" spans="2:11">
      <c r="B182" s="151" t="s">
        <v>10</v>
      </c>
      <c r="C182" s="151">
        <f>IF(DELL!F81&gt;0,DELL!A81,0)</f>
        <v>0</v>
      </c>
      <c r="D182" s="152">
        <f>IF(C182=DELL!A81,DELL!C81,0)</f>
        <v>0</v>
      </c>
      <c r="E182" s="157">
        <f>IF(C182=DELL!A81,DELL!D81,0)</f>
        <v>0</v>
      </c>
      <c r="F182" s="153">
        <f>DELL!F81</f>
        <v>0</v>
      </c>
      <c r="G182" s="274">
        <f t="shared" si="4"/>
        <v>0</v>
      </c>
      <c r="H182" s="199"/>
      <c r="J182" s="199"/>
      <c r="K182" s="199"/>
    </row>
    <row r="183" spans="2:11">
      <c r="B183" s="151" t="s">
        <v>10</v>
      </c>
      <c r="C183" s="151">
        <f>IF(DELL!F82&gt;0,DELL!A82,0)</f>
        <v>0</v>
      </c>
      <c r="D183" s="152">
        <f>IF(C183=DELL!A82,DELL!C82,0)</f>
        <v>0</v>
      </c>
      <c r="E183" s="157">
        <f>IF(C183=DELL!A82,DELL!D82,0)</f>
        <v>0</v>
      </c>
      <c r="F183" s="153">
        <f>DELL!F82</f>
        <v>0</v>
      </c>
      <c r="G183" s="274">
        <f t="shared" si="4"/>
        <v>0</v>
      </c>
      <c r="H183" s="199"/>
      <c r="J183" s="199"/>
      <c r="K183" s="199"/>
    </row>
    <row r="184" spans="2:11">
      <c r="B184" s="151" t="s">
        <v>10</v>
      </c>
      <c r="C184" s="151">
        <f>IF(DELL!F83&gt;0,DELL!A83,0)</f>
        <v>0</v>
      </c>
      <c r="D184" s="152">
        <f>IF(C184=DELL!A83,DELL!C83,0)</f>
        <v>0</v>
      </c>
      <c r="E184" s="157">
        <f>IF(C184=DELL!A83,DELL!D83,0)</f>
        <v>0</v>
      </c>
      <c r="F184" s="153">
        <f>DELL!F83</f>
        <v>0</v>
      </c>
      <c r="G184" s="274">
        <f t="shared" si="4"/>
        <v>0</v>
      </c>
      <c r="H184" s="199"/>
      <c r="J184" s="199"/>
      <c r="K184" s="199"/>
    </row>
    <row r="185" spans="2:11">
      <c r="B185" s="151" t="s">
        <v>10</v>
      </c>
      <c r="C185" s="151">
        <f>IF(DELL!F84&gt;0,DELL!A84,0)</f>
        <v>0</v>
      </c>
      <c r="D185" s="152">
        <f>IF(C185=DELL!A84,DELL!C84,0)</f>
        <v>0</v>
      </c>
      <c r="E185" s="157">
        <f>IF(C185=DELL!A84,DELL!D84,0)</f>
        <v>0</v>
      </c>
      <c r="F185" s="153">
        <f>DELL!F84</f>
        <v>0</v>
      </c>
      <c r="G185" s="274">
        <f t="shared" si="4"/>
        <v>0</v>
      </c>
      <c r="H185" s="199"/>
      <c r="J185" s="199"/>
      <c r="K185" s="199"/>
    </row>
    <row r="186" spans="2:11">
      <c r="B186" s="151" t="s">
        <v>10</v>
      </c>
      <c r="C186" s="151">
        <f>IF(DELL!F85&gt;0,DELL!A85,0)</f>
        <v>0</v>
      </c>
      <c r="D186" s="152">
        <f>IF(C186=DELL!A85,DELL!C85,0)</f>
        <v>0</v>
      </c>
      <c r="E186" s="157">
        <f>IF(C186=DELL!A85,DELL!D85,0)</f>
        <v>0</v>
      </c>
      <c r="F186" s="153">
        <f>DELL!F85</f>
        <v>0</v>
      </c>
      <c r="G186" s="274">
        <f t="shared" si="4"/>
        <v>0</v>
      </c>
      <c r="H186" s="199"/>
      <c r="J186" s="199"/>
      <c r="K186" s="199"/>
    </row>
    <row r="187" spans="2:11">
      <c r="B187" s="151" t="s">
        <v>10</v>
      </c>
      <c r="C187" s="151">
        <f>IF(DELL!F86&gt;0,DELL!A86,0)</f>
        <v>0</v>
      </c>
      <c r="D187" s="152">
        <f>IF(C187=DELL!A86,DELL!C86,0)</f>
        <v>0</v>
      </c>
      <c r="E187" s="157">
        <f>IF(C187=DELL!A86,DELL!D86,0)</f>
        <v>0</v>
      </c>
      <c r="F187" s="153">
        <f>DELL!F86</f>
        <v>0</v>
      </c>
      <c r="G187" s="274">
        <f t="shared" si="4"/>
        <v>0</v>
      </c>
      <c r="H187" s="199"/>
      <c r="J187" s="199"/>
      <c r="K187" s="199"/>
    </row>
    <row r="188" spans="2:11">
      <c r="B188" s="151" t="s">
        <v>10</v>
      </c>
      <c r="C188" s="151">
        <f>IF(DELL!F87&gt;0,DELL!A87,0)</f>
        <v>0</v>
      </c>
      <c r="D188" s="152">
        <f>IF(C188=DELL!A87,DELL!C87,0)</f>
        <v>0</v>
      </c>
      <c r="E188" s="157">
        <f>IF(C188=DELL!A87,DELL!D87,0)</f>
        <v>0</v>
      </c>
      <c r="F188" s="153">
        <f>DELL!F87</f>
        <v>0</v>
      </c>
      <c r="G188" s="274">
        <f t="shared" si="4"/>
        <v>0</v>
      </c>
      <c r="H188" s="199"/>
      <c r="J188" s="199"/>
      <c r="K188" s="199"/>
    </row>
    <row r="189" spans="2:11">
      <c r="B189" s="151" t="s">
        <v>10</v>
      </c>
      <c r="C189" s="151">
        <f>IF(DELL!F88&gt;0,DELL!A88,0)</f>
        <v>0</v>
      </c>
      <c r="D189" s="152">
        <f>IF(C189=DELL!A88,DELL!C88,0)</f>
        <v>0</v>
      </c>
      <c r="E189" s="157">
        <f>IF(C189=DELL!A88,DELL!D88,0)</f>
        <v>0</v>
      </c>
      <c r="F189" s="153">
        <f>DELL!F88</f>
        <v>0</v>
      </c>
      <c r="G189" s="274">
        <f t="shared" si="4"/>
        <v>0</v>
      </c>
      <c r="H189" s="199"/>
      <c r="J189" s="199"/>
      <c r="K189" s="199"/>
    </row>
    <row r="190" spans="2:11">
      <c r="B190" s="151" t="s">
        <v>10</v>
      </c>
      <c r="C190" s="151">
        <f>IF(DELL!F89&gt;0,DELL!A89,0)</f>
        <v>0</v>
      </c>
      <c r="D190" s="152">
        <f>IF(C190=DELL!A89,DELL!C89,0)</f>
        <v>0</v>
      </c>
      <c r="E190" s="157">
        <f>IF(C190=DELL!A89,DELL!D89,0)</f>
        <v>0</v>
      </c>
      <c r="F190" s="153">
        <f>DELL!F89</f>
        <v>0</v>
      </c>
      <c r="G190" s="274">
        <f t="shared" si="4"/>
        <v>0</v>
      </c>
      <c r="H190" s="199"/>
      <c r="J190" s="199"/>
      <c r="K190" s="199"/>
    </row>
    <row r="191" spans="2:11">
      <c r="B191" s="151" t="s">
        <v>10</v>
      </c>
      <c r="C191" s="151">
        <f>IF(DELL!F90&gt;0,DELL!A90,0)</f>
        <v>0</v>
      </c>
      <c r="D191" s="152">
        <f>IF(C191=DELL!A90,DELL!C90,0)</f>
        <v>0</v>
      </c>
      <c r="E191" s="157">
        <f>IF(C191=DELL!A90,DELL!D90,0)</f>
        <v>0</v>
      </c>
      <c r="F191" s="153">
        <f>DELL!F90</f>
        <v>0</v>
      </c>
      <c r="G191" s="274">
        <f t="shared" si="4"/>
        <v>0</v>
      </c>
      <c r="H191" s="199"/>
      <c r="J191" s="199"/>
      <c r="K191" s="199"/>
    </row>
    <row r="192" spans="2:11">
      <c r="B192" s="151" t="s">
        <v>10</v>
      </c>
      <c r="C192" s="151">
        <f>IF(DELL!F91&gt;0,DELL!A91,0)</f>
        <v>0</v>
      </c>
      <c r="D192" s="152">
        <f>IF(C192=DELL!A91,DELL!C91,0)</f>
        <v>0</v>
      </c>
      <c r="E192" s="157">
        <f>IF(C192=DELL!A91,DELL!D91,0)</f>
        <v>0</v>
      </c>
      <c r="F192" s="153">
        <f>DELL!F91</f>
        <v>0</v>
      </c>
      <c r="G192" s="274">
        <f t="shared" si="4"/>
        <v>0</v>
      </c>
      <c r="H192" s="199"/>
      <c r="J192" s="199"/>
      <c r="K192" s="199"/>
    </row>
    <row r="193" spans="2:11">
      <c r="B193" s="151" t="s">
        <v>10</v>
      </c>
      <c r="C193" s="151">
        <f>IF(DELL!F92&gt;0,DELL!A92,0)</f>
        <v>0</v>
      </c>
      <c r="D193" s="152">
        <f>IF(C193=DELL!A92,DELL!C92,0)</f>
        <v>0</v>
      </c>
      <c r="E193" s="157">
        <f>IF(C193=DELL!A92,DELL!D92,0)</f>
        <v>0</v>
      </c>
      <c r="F193" s="153">
        <f>DELL!F92</f>
        <v>0</v>
      </c>
      <c r="G193" s="274">
        <f t="shared" si="4"/>
        <v>0</v>
      </c>
      <c r="J193" s="199"/>
      <c r="K193" s="199"/>
    </row>
    <row r="194" spans="2:11">
      <c r="B194" s="151" t="s">
        <v>10</v>
      </c>
      <c r="C194" s="151">
        <f>IF(DELL!F93&gt;0,DELL!A93,0)</f>
        <v>0</v>
      </c>
      <c r="D194" s="152">
        <f>IF(C194=DELL!A93,DELL!C93,0)</f>
        <v>0</v>
      </c>
      <c r="E194" s="157">
        <f>IF(C194=DELL!A93,DELL!D93,0)</f>
        <v>0</v>
      </c>
      <c r="F194" s="153">
        <f>DELL!F93</f>
        <v>0</v>
      </c>
      <c r="G194" s="274">
        <f t="shared" si="4"/>
        <v>0</v>
      </c>
      <c r="J194" s="199"/>
      <c r="K194" s="199"/>
    </row>
    <row r="195" spans="2:11">
      <c r="B195" s="151" t="s">
        <v>10</v>
      </c>
      <c r="C195" s="151">
        <f>IF(DELL!F94&gt;0,DELL!A94,0)</f>
        <v>0</v>
      </c>
      <c r="D195" s="152">
        <f>IF(C195=DELL!A94,DELL!C94,0)</f>
        <v>0</v>
      </c>
      <c r="E195" s="157">
        <f>IF(C195=DELL!A94,DELL!D94,0)</f>
        <v>0</v>
      </c>
      <c r="F195" s="153">
        <f>DELL!F94</f>
        <v>0</v>
      </c>
      <c r="G195" s="274">
        <f t="shared" si="4"/>
        <v>0</v>
      </c>
      <c r="J195" s="199"/>
      <c r="K195" s="199"/>
    </row>
    <row r="196" spans="2:11">
      <c r="B196" s="151" t="s">
        <v>10</v>
      </c>
      <c r="C196" s="151">
        <f>IF(DELL!F95&gt;0,DELL!A95,0)</f>
        <v>0</v>
      </c>
      <c r="D196" s="152">
        <f>IF(C196=DELL!A95,DELL!C95,0)</f>
        <v>0</v>
      </c>
      <c r="E196" s="157">
        <f>IF(C196=DELL!A95,DELL!D95,0)</f>
        <v>0</v>
      </c>
      <c r="F196" s="153">
        <f>DELL!F95</f>
        <v>0</v>
      </c>
      <c r="G196" s="274">
        <f t="shared" si="4"/>
        <v>0</v>
      </c>
      <c r="J196" s="199"/>
      <c r="K196" s="199"/>
    </row>
    <row r="197" spans="2:11">
      <c r="B197" s="151" t="s">
        <v>10</v>
      </c>
      <c r="C197" s="151">
        <f>IF(DELL!F96&gt;0,DELL!A96,0)</f>
        <v>0</v>
      </c>
      <c r="D197" s="152">
        <f>IF(C197=DELL!A96,DELL!C96,0)</f>
        <v>0</v>
      </c>
      <c r="E197" s="157">
        <f>IF(C197=DELL!A96,DELL!D96,0)</f>
        <v>0</v>
      </c>
      <c r="F197" s="153">
        <f>DELL!F96</f>
        <v>0</v>
      </c>
      <c r="G197" s="274">
        <f t="shared" si="4"/>
        <v>0</v>
      </c>
      <c r="J197" s="199"/>
      <c r="K197" s="199"/>
    </row>
    <row r="198" spans="2:11">
      <c r="B198" s="151" t="s">
        <v>10</v>
      </c>
      <c r="C198" s="151">
        <f>IF(DELL!F97&gt;0,DELL!A97,0)</f>
        <v>0</v>
      </c>
      <c r="D198" s="152">
        <f>IF(C198=DELL!A97,DELL!C97,0)</f>
        <v>0</v>
      </c>
      <c r="E198" s="157">
        <f>IF(C198=DELL!A97,DELL!D97,0)</f>
        <v>0</v>
      </c>
      <c r="F198" s="153">
        <f>DELL!F97</f>
        <v>0</v>
      </c>
      <c r="G198" s="274">
        <f t="shared" si="4"/>
        <v>0</v>
      </c>
      <c r="J198" s="199"/>
      <c r="K198" s="199"/>
    </row>
    <row r="199" spans="2:11">
      <c r="B199" s="151" t="s">
        <v>10</v>
      </c>
      <c r="C199" s="151">
        <f>IF(DELL!F98&gt;0,DELL!A98,0)</f>
        <v>0</v>
      </c>
      <c r="D199" s="152">
        <f>IF(C199=DELL!A98,DELL!C98,0)</f>
        <v>0</v>
      </c>
      <c r="E199" s="157">
        <f>IF(C199=DELL!A98,DELL!D98,0)</f>
        <v>0</v>
      </c>
      <c r="F199" s="153">
        <f>DELL!F98</f>
        <v>0</v>
      </c>
      <c r="G199" s="274">
        <f t="shared" si="4"/>
        <v>0</v>
      </c>
      <c r="J199" s="199"/>
      <c r="K199" s="199"/>
    </row>
    <row r="200" spans="2:11">
      <c r="B200" s="151" t="s">
        <v>10</v>
      </c>
      <c r="C200" s="151">
        <f>IF(DELL!F99&gt;0,DELL!A99,0)</f>
        <v>0</v>
      </c>
      <c r="D200" s="152">
        <f>IF(C200=DELL!A99,DELL!C99,0)</f>
        <v>0</v>
      </c>
      <c r="E200" s="157">
        <f>IF(C200=DELL!A99,DELL!D99,0)</f>
        <v>0</v>
      </c>
      <c r="F200" s="153">
        <f>DELL!F99</f>
        <v>0</v>
      </c>
      <c r="G200" s="274">
        <f t="shared" si="4"/>
        <v>0</v>
      </c>
      <c r="J200" s="199"/>
      <c r="K200" s="199"/>
    </row>
    <row r="201" spans="2:11">
      <c r="B201" s="151" t="s">
        <v>10</v>
      </c>
      <c r="C201" s="151">
        <f>IF(DELL!F100&gt;0,DELL!A100,0)</f>
        <v>0</v>
      </c>
      <c r="D201" s="152">
        <f>IF(C201=DELL!A100,DELL!C100,0)</f>
        <v>0</v>
      </c>
      <c r="E201" s="157">
        <f>IF(C201=DELL!A100,DELL!D100,0)</f>
        <v>0</v>
      </c>
      <c r="F201" s="153">
        <f>DELL!F100</f>
        <v>0</v>
      </c>
      <c r="G201" s="274">
        <f t="shared" si="4"/>
        <v>0</v>
      </c>
      <c r="J201" s="199"/>
      <c r="K201" s="199"/>
    </row>
    <row r="202" spans="2:11">
      <c r="B202" s="151" t="s">
        <v>10</v>
      </c>
      <c r="C202" s="151">
        <f>IF(DELL!F101&gt;0,DELL!A101,0)</f>
        <v>0</v>
      </c>
      <c r="D202" s="152">
        <f>IF(C202=DELL!A101,DELL!C101,0)</f>
        <v>0</v>
      </c>
      <c r="E202" s="157">
        <f>IF(C202=DELL!A101,DELL!D101,0)</f>
        <v>0</v>
      </c>
      <c r="F202" s="153">
        <f>DELL!F101</f>
        <v>0</v>
      </c>
      <c r="G202" s="274">
        <f t="shared" si="4"/>
        <v>0</v>
      </c>
      <c r="J202" s="199"/>
      <c r="K202" s="199"/>
    </row>
    <row r="203" spans="2:11">
      <c r="B203" s="151" t="s">
        <v>10</v>
      </c>
      <c r="C203" s="151">
        <f>IF(DELL!F102&gt;0,DELL!A102,0)</f>
        <v>0</v>
      </c>
      <c r="D203" s="152">
        <f>IF(C203=DELL!A102,DELL!C102,0)</f>
        <v>0</v>
      </c>
      <c r="E203" s="157">
        <f>IF(C203=DELL!A102,DELL!D102,0)</f>
        <v>0</v>
      </c>
      <c r="F203" s="153">
        <f>DELL!F102</f>
        <v>0</v>
      </c>
      <c r="G203" s="274">
        <f t="shared" si="4"/>
        <v>0</v>
      </c>
      <c r="J203" s="199"/>
      <c r="K203" s="199"/>
    </row>
    <row r="204" spans="2:11">
      <c r="B204" s="151" t="s">
        <v>10</v>
      </c>
      <c r="C204" s="151">
        <f>IF(DELL!F103&gt;0,DELL!A103,0)</f>
        <v>0</v>
      </c>
      <c r="D204" s="152">
        <f>IF(C204=DELL!A103,DELL!C103,0)</f>
        <v>0</v>
      </c>
      <c r="E204" s="157">
        <f>IF(C204=DELL!A103,DELL!D103,0)</f>
        <v>0</v>
      </c>
      <c r="F204" s="153">
        <f>DELL!F103</f>
        <v>0</v>
      </c>
      <c r="G204" s="274">
        <f t="shared" si="4"/>
        <v>0</v>
      </c>
      <c r="J204" s="199"/>
      <c r="K204" s="199"/>
    </row>
    <row r="205" spans="2:11">
      <c r="B205" s="151" t="s">
        <v>10</v>
      </c>
      <c r="C205" s="151">
        <f>IF(DELL!F104&gt;0,DELL!A104,0)</f>
        <v>0</v>
      </c>
      <c r="D205" s="152">
        <f>IF(C205=DELL!A104,DELL!C104,0)</f>
        <v>0</v>
      </c>
      <c r="E205" s="157">
        <f>IF(C205=DELL!A104,DELL!D104,0)</f>
        <v>0</v>
      </c>
      <c r="F205" s="153">
        <f>DELL!F104</f>
        <v>0</v>
      </c>
      <c r="G205" s="274">
        <f t="shared" si="4"/>
        <v>0</v>
      </c>
      <c r="J205" s="199"/>
      <c r="K205" s="199"/>
    </row>
    <row r="206" spans="2:11">
      <c r="B206" s="151" t="s">
        <v>10</v>
      </c>
      <c r="C206" s="151">
        <f>IF(DELL!F105&gt;0,DELL!A105,0)</f>
        <v>0</v>
      </c>
      <c r="D206" s="152">
        <f>IF(C206=DELL!A105,DELL!C105,0)</f>
        <v>0</v>
      </c>
      <c r="E206" s="157">
        <f>IF(C206=DELL!A105,DELL!D105,0)</f>
        <v>0</v>
      </c>
      <c r="F206" s="153">
        <f>DELL!F105</f>
        <v>0</v>
      </c>
      <c r="G206" s="274">
        <f t="shared" si="4"/>
        <v>0</v>
      </c>
      <c r="J206" s="199"/>
      <c r="K206" s="199"/>
    </row>
    <row r="207" spans="2:11">
      <c r="B207" s="151" t="s">
        <v>10</v>
      </c>
      <c r="C207" s="151">
        <f>IF(DELL!F106&gt;0,DELL!A106,0)</f>
        <v>0</v>
      </c>
      <c r="D207" s="152">
        <f>IF(C207=DELL!A106,DELL!C106,0)</f>
        <v>0</v>
      </c>
      <c r="E207" s="157">
        <f>IF(C207=DELL!A106,DELL!D106,0)</f>
        <v>0</v>
      </c>
      <c r="F207" s="153">
        <f>DELL!F106</f>
        <v>0</v>
      </c>
      <c r="G207" s="274">
        <f t="shared" si="4"/>
        <v>0</v>
      </c>
      <c r="J207" s="199"/>
      <c r="K207" s="199"/>
    </row>
    <row r="208" spans="2:11">
      <c r="B208" s="151" t="s">
        <v>10</v>
      </c>
      <c r="C208" s="151">
        <f>IF(DELL!F107&gt;0,DELL!A107,0)</f>
        <v>0</v>
      </c>
      <c r="D208" s="152">
        <f>IF(C208=DELL!A107,DELL!C107,0)</f>
        <v>0</v>
      </c>
      <c r="E208" s="157">
        <f>IF(C208=DELL!A107,DELL!D107,0)</f>
        <v>0</v>
      </c>
      <c r="F208" s="153">
        <f>DELL!F107</f>
        <v>0</v>
      </c>
      <c r="G208" s="274">
        <f t="shared" si="4"/>
        <v>0</v>
      </c>
      <c r="J208" s="199"/>
      <c r="K208" s="199"/>
    </row>
    <row r="209" spans="2:11">
      <c r="B209" s="151" t="s">
        <v>10</v>
      </c>
      <c r="C209" s="151">
        <f>IF(DELL!F108&gt;0,DELL!A108,0)</f>
        <v>0</v>
      </c>
      <c r="D209" s="152">
        <f>IF(C209=DELL!A108,DELL!C108,0)</f>
        <v>0</v>
      </c>
      <c r="E209" s="157">
        <f>IF(C209=DELL!A108,DELL!D108,0)</f>
        <v>0</v>
      </c>
      <c r="F209" s="153">
        <f>DELL!F108</f>
        <v>0</v>
      </c>
      <c r="G209" s="274">
        <f t="shared" si="4"/>
        <v>0</v>
      </c>
      <c r="J209" s="199"/>
      <c r="K209" s="199"/>
    </row>
    <row r="210" spans="2:11">
      <c r="B210" s="151" t="s">
        <v>10</v>
      </c>
      <c r="C210" s="151">
        <f>IF(DELL!F109&gt;0,DELL!A109,0)</f>
        <v>0</v>
      </c>
      <c r="D210" s="152">
        <f>IF(C210=DELL!A109,DELL!C109,0)</f>
        <v>0</v>
      </c>
      <c r="E210" s="157">
        <f>IF(C210=DELL!A109,DELL!D109,0)</f>
        <v>0</v>
      </c>
      <c r="F210" s="153">
        <f>DELL!F109</f>
        <v>0</v>
      </c>
      <c r="G210" s="274">
        <f t="shared" si="4"/>
        <v>0</v>
      </c>
      <c r="J210" s="199"/>
      <c r="K210" s="199"/>
    </row>
    <row r="211" spans="2:11">
      <c r="B211" s="151" t="s">
        <v>10</v>
      </c>
      <c r="C211" s="151">
        <f>IF(DELL!F110&gt;0,DELL!A110,0)</f>
        <v>0</v>
      </c>
      <c r="D211" s="152">
        <f>IF(C211=DELL!A110,DELL!C110,0)</f>
        <v>0</v>
      </c>
      <c r="E211" s="157">
        <f>IF(C211=DELL!A110,DELL!D110,0)</f>
        <v>0</v>
      </c>
      <c r="F211" s="153">
        <f>DELL!F110</f>
        <v>0</v>
      </c>
      <c r="G211" s="274">
        <f t="shared" si="4"/>
        <v>0</v>
      </c>
      <c r="J211" s="199"/>
      <c r="K211" s="199"/>
    </row>
    <row r="212" spans="2:11">
      <c r="B212" s="151" t="s">
        <v>10</v>
      </c>
      <c r="C212" s="151">
        <f>IF(DELL!F111&gt;0,DELL!A111,0)</f>
        <v>0</v>
      </c>
      <c r="D212" s="152">
        <f>IF(C212=DELL!A111,DELL!C111,0)</f>
        <v>0</v>
      </c>
      <c r="E212" s="157">
        <f>IF(C212=DELL!A111,DELL!D111,0)</f>
        <v>0</v>
      </c>
      <c r="F212" s="153">
        <f>DELL!F111</f>
        <v>0</v>
      </c>
      <c r="G212" s="274">
        <f t="shared" si="4"/>
        <v>0</v>
      </c>
      <c r="J212" s="199"/>
      <c r="K212" s="199"/>
    </row>
    <row r="213" spans="2:11">
      <c r="B213" s="151" t="s">
        <v>10</v>
      </c>
      <c r="C213" s="151">
        <f>IF(DELL!F112&gt;0,DELL!A112,0)</f>
        <v>0</v>
      </c>
      <c r="D213" s="152">
        <f>IF(C213=DELL!A112,DELL!C112,0)</f>
        <v>0</v>
      </c>
      <c r="E213" s="157">
        <f>IF(C213=DELL!A112,DELL!D112,0)</f>
        <v>0</v>
      </c>
      <c r="F213" s="153">
        <f>DELL!F112</f>
        <v>0</v>
      </c>
      <c r="G213" s="274">
        <f t="shared" si="4"/>
        <v>0</v>
      </c>
      <c r="J213" s="199"/>
      <c r="K213" s="199"/>
    </row>
    <row r="214" spans="2:11">
      <c r="B214" s="151" t="s">
        <v>10</v>
      </c>
      <c r="C214" s="151">
        <f>IF(DELL!F113&gt;0,DELL!A113,0)</f>
        <v>0</v>
      </c>
      <c r="D214" s="152">
        <f>IF(C214=DELL!A113,DELL!C113,0)</f>
        <v>0</v>
      </c>
      <c r="E214" s="157">
        <f>IF(C214=DELL!A113,DELL!D113,0)</f>
        <v>0</v>
      </c>
      <c r="F214" s="153">
        <f>DELL!F113</f>
        <v>0</v>
      </c>
      <c r="G214" s="274">
        <f t="shared" si="4"/>
        <v>0</v>
      </c>
      <c r="J214" s="199"/>
      <c r="K214" s="199"/>
    </row>
    <row r="215" spans="2:11">
      <c r="B215" s="151" t="s">
        <v>10</v>
      </c>
      <c r="C215" s="151">
        <f>IF(DELL!F114&gt;0,DELL!A114,0)</f>
        <v>0</v>
      </c>
      <c r="D215" s="152">
        <f>IF(C215=DELL!A114,DELL!C114,0)</f>
        <v>0</v>
      </c>
      <c r="E215" s="157">
        <f>IF(C215=DELL!A114,DELL!D114,0)</f>
        <v>0</v>
      </c>
      <c r="F215" s="153">
        <f>DELL!F114</f>
        <v>0</v>
      </c>
      <c r="G215" s="274">
        <f t="shared" si="4"/>
        <v>0</v>
      </c>
      <c r="J215" s="199"/>
      <c r="K215" s="199"/>
    </row>
    <row r="216" spans="2:11">
      <c r="B216" s="151" t="s">
        <v>10</v>
      </c>
      <c r="C216" s="151">
        <f>IF(DELL!F115&gt;0,DELL!A115,0)</f>
        <v>0</v>
      </c>
      <c r="D216" s="152">
        <f>IF(C216=DELL!A115,DELL!C115,0)</f>
        <v>0</v>
      </c>
      <c r="E216" s="157">
        <f>IF(C216=DELL!A115,DELL!D115,0)</f>
        <v>0</v>
      </c>
      <c r="F216" s="153">
        <f>DELL!F115</f>
        <v>0</v>
      </c>
      <c r="G216" s="274">
        <f t="shared" si="4"/>
        <v>0</v>
      </c>
      <c r="J216" s="199"/>
      <c r="K216" s="199"/>
    </row>
    <row r="217" spans="2:11">
      <c r="B217" s="151" t="s">
        <v>100</v>
      </c>
      <c r="C217" s="151">
        <f>IF(Divers!F11&gt;0,Divers!A11,0)</f>
        <v>0</v>
      </c>
      <c r="D217" s="152">
        <f>IF(C217=Divers!A11,Divers!C11,0)</f>
        <v>0</v>
      </c>
      <c r="E217" s="157">
        <f>IF(C217=Divers!A11,Divers!D11,0)</f>
        <v>0</v>
      </c>
      <c r="F217" s="153">
        <f>Divers!F11</f>
        <v>0</v>
      </c>
      <c r="G217" s="274">
        <f>F217*E217</f>
        <v>0</v>
      </c>
      <c r="J217" s="199"/>
      <c r="K217" s="199"/>
    </row>
    <row r="218" spans="2:11">
      <c r="B218" s="151" t="s">
        <v>100</v>
      </c>
      <c r="C218" s="151">
        <f>IF(Divers!F12&gt;0,Divers!A12,0)</f>
        <v>0</v>
      </c>
      <c r="D218" s="152">
        <f>IF(C218=Divers!A12,Divers!C12,0)</f>
        <v>0</v>
      </c>
      <c r="E218" s="157">
        <f>IF(C218=Divers!A12,Divers!D12,0)</f>
        <v>0</v>
      </c>
      <c r="F218" s="153">
        <f>Divers!F12</f>
        <v>0</v>
      </c>
      <c r="G218" s="274">
        <f t="shared" ref="G218:G252" si="5">F218*E218</f>
        <v>0</v>
      </c>
      <c r="J218" s="199"/>
      <c r="K218" s="199"/>
    </row>
    <row r="219" spans="2:11">
      <c r="B219" s="151" t="s">
        <v>100</v>
      </c>
      <c r="C219" s="151">
        <f>IF(Divers!F13&gt;0,Divers!A13,0)</f>
        <v>0</v>
      </c>
      <c r="D219" s="152">
        <f>IF(C219=Divers!A13,Divers!C13,0)</f>
        <v>0</v>
      </c>
      <c r="E219" s="157">
        <f>IF(C219=Divers!A13,Divers!D13,0)</f>
        <v>0</v>
      </c>
      <c r="F219" s="153">
        <f>Divers!F13</f>
        <v>0</v>
      </c>
      <c r="G219" s="274">
        <f t="shared" si="5"/>
        <v>0</v>
      </c>
      <c r="J219" s="199"/>
      <c r="K219" s="199"/>
    </row>
    <row r="220" spans="2:11">
      <c r="B220" s="151" t="s">
        <v>100</v>
      </c>
      <c r="C220" s="151">
        <f>IF(Divers!F14&gt;0,Divers!A14,0)</f>
        <v>0</v>
      </c>
      <c r="D220" s="152">
        <f>IF(C220=Divers!A14,Divers!C14,0)</f>
        <v>0</v>
      </c>
      <c r="E220" s="157">
        <f>IF(C220=Divers!A14,Divers!D14,0)</f>
        <v>0</v>
      </c>
      <c r="F220" s="153">
        <f>Divers!F14</f>
        <v>0</v>
      </c>
      <c r="G220" s="274">
        <f t="shared" si="5"/>
        <v>0</v>
      </c>
      <c r="J220" s="199"/>
      <c r="K220" s="199"/>
    </row>
    <row r="221" spans="2:11">
      <c r="B221" s="151" t="s">
        <v>100</v>
      </c>
      <c r="C221" s="151">
        <f>IF(Divers!F15&gt;0,Divers!A15,0)</f>
        <v>0</v>
      </c>
      <c r="D221" s="152">
        <f>IF(C221=Divers!A15,Divers!C15,0)</f>
        <v>0</v>
      </c>
      <c r="E221" s="157">
        <f>IF(C221=Divers!A15,Divers!D15,0)</f>
        <v>0</v>
      </c>
      <c r="F221" s="153">
        <f>Divers!F15</f>
        <v>0</v>
      </c>
      <c r="G221" s="274">
        <f t="shared" si="5"/>
        <v>0</v>
      </c>
      <c r="J221" s="199"/>
      <c r="K221" s="199"/>
    </row>
    <row r="222" spans="2:11">
      <c r="B222" s="151" t="s">
        <v>100</v>
      </c>
      <c r="C222" s="151">
        <f>IF(Divers!F16&gt;0,Divers!A16,0)</f>
        <v>0</v>
      </c>
      <c r="D222" s="152">
        <f>IF(C222=Divers!A16,Divers!C16,0)</f>
        <v>0</v>
      </c>
      <c r="E222" s="157">
        <f>IF(C222=Divers!A16,Divers!D16,0)</f>
        <v>0</v>
      </c>
      <c r="F222" s="153">
        <f>Divers!F16</f>
        <v>0</v>
      </c>
      <c r="G222" s="274">
        <f t="shared" si="5"/>
        <v>0</v>
      </c>
      <c r="J222" s="199"/>
      <c r="K222" s="199"/>
    </row>
    <row r="223" spans="2:11">
      <c r="B223" s="151" t="s">
        <v>100</v>
      </c>
      <c r="C223" s="151">
        <f>IF(Divers!F17&gt;0,Divers!A17,0)</f>
        <v>0</v>
      </c>
      <c r="D223" s="152">
        <f>IF(C223=Divers!A17,Divers!C17,0)</f>
        <v>0</v>
      </c>
      <c r="E223" s="157">
        <f>IF(C223=Divers!A17,Divers!D17,0)</f>
        <v>0</v>
      </c>
      <c r="F223" s="153">
        <f>Divers!F17</f>
        <v>0</v>
      </c>
      <c r="G223" s="274">
        <f t="shared" si="5"/>
        <v>0</v>
      </c>
      <c r="J223" s="199"/>
      <c r="K223" s="199"/>
    </row>
    <row r="224" spans="2:11">
      <c r="B224" s="151" t="s">
        <v>100</v>
      </c>
      <c r="C224" s="151">
        <f>IF(Divers!F18&gt;0,Divers!A18,0)</f>
        <v>0</v>
      </c>
      <c r="D224" s="152">
        <f>IF(C224=Divers!A18,Divers!C18,0)</f>
        <v>0</v>
      </c>
      <c r="E224" s="157">
        <f>IF(C224=Divers!A18,Divers!D18,0)</f>
        <v>0</v>
      </c>
      <c r="F224" s="153">
        <f>Divers!F18</f>
        <v>0</v>
      </c>
      <c r="G224" s="274">
        <f t="shared" si="5"/>
        <v>0</v>
      </c>
      <c r="I224" s="267"/>
      <c r="J224" s="199"/>
      <c r="K224" s="199"/>
    </row>
    <row r="225" spans="2:16">
      <c r="B225" s="151" t="s">
        <v>100</v>
      </c>
      <c r="C225" s="151">
        <f>IF(Divers!F19&gt;0,Divers!A19,0)</f>
        <v>0</v>
      </c>
      <c r="D225" s="152">
        <f>IF(C225=Divers!A19,Divers!C19,0)</f>
        <v>0</v>
      </c>
      <c r="E225" s="157">
        <f>IF(C225=Divers!A19,Divers!D19,0)</f>
        <v>0</v>
      </c>
      <c r="F225" s="153">
        <f>Divers!F19</f>
        <v>0</v>
      </c>
      <c r="G225" s="274">
        <f t="shared" si="5"/>
        <v>0</v>
      </c>
      <c r="I225" s="199"/>
      <c r="J225" s="199"/>
      <c r="K225" s="199"/>
    </row>
    <row r="226" spans="2:16">
      <c r="B226" s="151" t="s">
        <v>100</v>
      </c>
      <c r="C226" s="151">
        <f>IF(Divers!F20&gt;0,Divers!A20,0)</f>
        <v>0</v>
      </c>
      <c r="D226" s="152">
        <f>IF(C226=Divers!A20,Divers!C20,0)</f>
        <v>0</v>
      </c>
      <c r="E226" s="157">
        <f>IF(C226=Divers!A20,Divers!D20,0)</f>
        <v>0</v>
      </c>
      <c r="F226" s="153">
        <f>Divers!F20</f>
        <v>0</v>
      </c>
      <c r="G226" s="274">
        <f t="shared" si="5"/>
        <v>0</v>
      </c>
      <c r="J226" s="199"/>
      <c r="K226" s="199"/>
    </row>
    <row r="227" spans="2:16">
      <c r="B227" s="151" t="s">
        <v>100</v>
      </c>
      <c r="C227" s="151">
        <f>IF(Divers!F21&gt;0,Divers!A21,0)</f>
        <v>0</v>
      </c>
      <c r="D227" s="152">
        <f>IF(C227=Divers!A21,Divers!C21,0)</f>
        <v>0</v>
      </c>
      <c r="E227" s="157">
        <f>IF(C227=Divers!A21,Divers!D21,0)</f>
        <v>0</v>
      </c>
      <c r="F227" s="153">
        <f>Divers!F21</f>
        <v>0</v>
      </c>
      <c r="G227" s="274">
        <f t="shared" si="5"/>
        <v>0</v>
      </c>
      <c r="J227" s="199"/>
      <c r="K227" s="199"/>
    </row>
    <row r="228" spans="2:16">
      <c r="B228" s="151" t="s">
        <v>100</v>
      </c>
      <c r="C228" s="151">
        <f>IF(Divers!F22&gt;0,Divers!A22,0)</f>
        <v>0</v>
      </c>
      <c r="D228" s="152">
        <f>IF(C228=Divers!A22,Divers!C22,0)</f>
        <v>0</v>
      </c>
      <c r="E228" s="157">
        <f>IF(C228=Divers!A22,Divers!D22,0)</f>
        <v>0</v>
      </c>
      <c r="F228" s="153">
        <f>Divers!F22</f>
        <v>0</v>
      </c>
      <c r="G228" s="274">
        <f t="shared" si="5"/>
        <v>0</v>
      </c>
      <c r="J228" s="199"/>
      <c r="K228" s="199"/>
    </row>
    <row r="229" spans="2:16">
      <c r="B229" s="151" t="s">
        <v>100</v>
      </c>
      <c r="C229" s="151">
        <f>IF(Divers!F23&gt;0,Divers!A23,0)</f>
        <v>0</v>
      </c>
      <c r="D229" s="152">
        <f>IF(C229=Divers!A23,Divers!C23,0)</f>
        <v>0</v>
      </c>
      <c r="E229" s="157">
        <f>IF(C229=Divers!A23,Divers!D23,0)</f>
        <v>0</v>
      </c>
      <c r="F229" s="153">
        <f>Divers!F23</f>
        <v>0</v>
      </c>
      <c r="G229" s="274">
        <f t="shared" si="5"/>
        <v>0</v>
      </c>
      <c r="J229" s="210"/>
      <c r="K229" s="199"/>
    </row>
    <row r="230" spans="2:16">
      <c r="B230" s="151" t="s">
        <v>100</v>
      </c>
      <c r="C230" s="151">
        <f>IF(Divers!F24&gt;0,Divers!A24,0)</f>
        <v>0</v>
      </c>
      <c r="D230" s="152">
        <f>IF(C230=Divers!A24,Divers!C24,0)</f>
        <v>0</v>
      </c>
      <c r="E230" s="157">
        <f>IF(C230=Divers!A24,Divers!D24,0)</f>
        <v>0</v>
      </c>
      <c r="F230" s="153">
        <f>Divers!F24</f>
        <v>0</v>
      </c>
      <c r="G230" s="274">
        <f t="shared" si="5"/>
        <v>0</v>
      </c>
      <c r="J230" s="199"/>
      <c r="K230" s="199"/>
    </row>
    <row r="231" spans="2:16">
      <c r="B231" s="151" t="s">
        <v>100</v>
      </c>
      <c r="C231" s="151">
        <f>IF(Divers!F25&gt;0,Divers!A25,0)</f>
        <v>0</v>
      </c>
      <c r="D231" s="152">
        <f>IF(C231=Divers!A25,Divers!C25,0)</f>
        <v>0</v>
      </c>
      <c r="E231" s="157">
        <f>IF(C231=Divers!A25,Divers!D25,0)</f>
        <v>0</v>
      </c>
      <c r="F231" s="153">
        <f>Divers!F25</f>
        <v>0</v>
      </c>
      <c r="G231" s="274">
        <f t="shared" si="5"/>
        <v>0</v>
      </c>
      <c r="J231" s="199"/>
      <c r="K231" s="199"/>
    </row>
    <row r="232" spans="2:16">
      <c r="B232" s="151" t="s">
        <v>100</v>
      </c>
      <c r="C232" s="151">
        <f>IF(Divers!F26&gt;0,Divers!A26,0)</f>
        <v>0</v>
      </c>
      <c r="D232" s="152">
        <f>IF(C232=Divers!A26,Divers!C26,0)</f>
        <v>0</v>
      </c>
      <c r="E232" s="157">
        <f>IF(C232=Divers!A26,Divers!D26,0)</f>
        <v>0</v>
      </c>
      <c r="F232" s="153">
        <f>Divers!F26</f>
        <v>0</v>
      </c>
      <c r="G232" s="274">
        <f t="shared" si="5"/>
        <v>0</v>
      </c>
      <c r="J232" s="199"/>
      <c r="K232" s="199"/>
    </row>
    <row r="233" spans="2:16">
      <c r="B233" s="151" t="s">
        <v>100</v>
      </c>
      <c r="C233" s="151">
        <f>IF(Divers!F27&gt;0,Divers!A27,0)</f>
        <v>0</v>
      </c>
      <c r="D233" s="152">
        <f>IF(C233=Divers!A27,Divers!C27,0)</f>
        <v>0</v>
      </c>
      <c r="E233" s="157">
        <f>IF(C233=Divers!A27,Divers!D27,0)</f>
        <v>0</v>
      </c>
      <c r="F233" s="153">
        <f>Divers!F27</f>
        <v>0</v>
      </c>
      <c r="G233" s="274">
        <f t="shared" si="5"/>
        <v>0</v>
      </c>
      <c r="J233" s="199"/>
      <c r="K233" s="199"/>
    </row>
    <row r="234" spans="2:16">
      <c r="B234" s="151" t="s">
        <v>100</v>
      </c>
      <c r="C234" s="151">
        <f>IF(Divers!F28&gt;0,Divers!A28,0)</f>
        <v>0</v>
      </c>
      <c r="D234" s="152">
        <f>IF(C234=Divers!A28,Divers!C28,0)</f>
        <v>0</v>
      </c>
      <c r="E234" s="157">
        <f>IF(C234=Divers!A28,Divers!D28,0)</f>
        <v>0</v>
      </c>
      <c r="F234" s="153">
        <f>Divers!F28</f>
        <v>0</v>
      </c>
      <c r="G234" s="274">
        <f t="shared" si="5"/>
        <v>0</v>
      </c>
      <c r="J234" s="199"/>
      <c r="K234" s="199"/>
    </row>
    <row r="235" spans="2:16">
      <c r="B235" s="151" t="s">
        <v>100</v>
      </c>
      <c r="C235" s="151">
        <f>IF(Divers!F29&gt;0,Divers!A29,0)</f>
        <v>0</v>
      </c>
      <c r="D235" s="152">
        <f>IF(C235=Divers!A29,Divers!C29,0)</f>
        <v>0</v>
      </c>
      <c r="E235" s="157">
        <f>IF(C235=Divers!A29,Divers!D29,0)</f>
        <v>0</v>
      </c>
      <c r="F235" s="153">
        <f>Divers!F29</f>
        <v>0</v>
      </c>
      <c r="G235" s="274">
        <f t="shared" si="5"/>
        <v>0</v>
      </c>
      <c r="J235" s="199"/>
      <c r="K235" s="199"/>
    </row>
    <row r="236" spans="2:16">
      <c r="B236" s="151" t="s">
        <v>100</v>
      </c>
      <c r="C236" s="151">
        <f>IF(Divers!F30&gt;0,Divers!A30,0)</f>
        <v>0</v>
      </c>
      <c r="D236" s="152">
        <f>IF(C236=Divers!A30,Divers!C30,0)</f>
        <v>0</v>
      </c>
      <c r="E236" s="157">
        <f>IF(C236=Divers!A30,Divers!D30,0)</f>
        <v>0</v>
      </c>
      <c r="F236" s="153">
        <f>Divers!F30</f>
        <v>0</v>
      </c>
      <c r="G236" s="274">
        <f t="shared" si="5"/>
        <v>0</v>
      </c>
      <c r="J236" s="199"/>
      <c r="K236" s="199"/>
    </row>
    <row r="237" spans="2:16">
      <c r="B237" s="151" t="s">
        <v>100</v>
      </c>
      <c r="C237" s="151">
        <f>IF(Divers!F31&gt;0,Divers!A31,0)</f>
        <v>0</v>
      </c>
      <c r="D237" s="152">
        <f>IF(C237=Divers!A31,Divers!C31,0)</f>
        <v>0</v>
      </c>
      <c r="E237" s="157">
        <f>IF(C237=Divers!A31,Divers!D31,0)</f>
        <v>0</v>
      </c>
      <c r="F237" s="153">
        <f>Divers!F31</f>
        <v>0</v>
      </c>
      <c r="G237" s="274">
        <f t="shared" si="5"/>
        <v>0</v>
      </c>
      <c r="J237" s="199"/>
      <c r="K237" s="199"/>
      <c r="L237" s="199"/>
      <c r="M237" s="210"/>
      <c r="N237" s="210"/>
      <c r="O237" s="210"/>
      <c r="P237" s="199"/>
    </row>
    <row r="238" spans="2:16">
      <c r="B238" s="151" t="s">
        <v>100</v>
      </c>
      <c r="C238" s="151">
        <f>IF(Divers!F32&gt;0,Divers!A32,0)</f>
        <v>0</v>
      </c>
      <c r="D238" s="152">
        <f>IF(C238=Divers!A32,Divers!C32,0)</f>
        <v>0</v>
      </c>
      <c r="E238" s="157">
        <f>IF(C238=Divers!A32,Divers!D32,0)</f>
        <v>0</v>
      </c>
      <c r="F238" s="153">
        <f>Divers!F32</f>
        <v>0</v>
      </c>
      <c r="G238" s="274">
        <f t="shared" si="5"/>
        <v>0</v>
      </c>
      <c r="J238" s="199"/>
      <c r="K238" s="199"/>
      <c r="L238" s="199"/>
      <c r="M238" s="210"/>
      <c r="N238" s="210"/>
      <c r="O238" s="210"/>
      <c r="P238" s="199"/>
    </row>
    <row r="239" spans="2:16">
      <c r="B239" s="151" t="s">
        <v>100</v>
      </c>
      <c r="C239" s="151">
        <f>IF(Divers!F33&gt;0,Divers!A33,0)</f>
        <v>0</v>
      </c>
      <c r="D239" s="152">
        <f>IF(C239=Divers!A33,Divers!C33,0)</f>
        <v>0</v>
      </c>
      <c r="E239" s="157">
        <f>IF(C239=Divers!A33,Divers!D33,0)</f>
        <v>0</v>
      </c>
      <c r="F239" s="153">
        <f>Divers!F33</f>
        <v>0</v>
      </c>
      <c r="G239" s="274">
        <f t="shared" si="5"/>
        <v>0</v>
      </c>
      <c r="J239" s="199"/>
      <c r="K239" s="199"/>
      <c r="L239" s="199"/>
      <c r="M239" s="210"/>
      <c r="N239" s="210"/>
      <c r="O239" s="210"/>
      <c r="P239" s="199"/>
    </row>
    <row r="240" spans="2:16">
      <c r="B240" s="151" t="s">
        <v>100</v>
      </c>
      <c r="C240" s="151">
        <f>IF(Divers!F34&gt;0,Divers!A34,0)</f>
        <v>0</v>
      </c>
      <c r="D240" s="152">
        <f>IF(C240=Divers!A34,Divers!C34,0)</f>
        <v>0</v>
      </c>
      <c r="E240" s="157">
        <f>IF(C240=Divers!A34,Divers!D34,0)</f>
        <v>0</v>
      </c>
      <c r="F240" s="153">
        <f>Divers!F34</f>
        <v>0</v>
      </c>
      <c r="G240" s="274">
        <f t="shared" si="5"/>
        <v>0</v>
      </c>
      <c r="J240" s="199"/>
      <c r="K240" s="199"/>
      <c r="L240" s="199"/>
      <c r="M240" s="210"/>
      <c r="N240" s="210"/>
      <c r="O240" s="210"/>
      <c r="P240" s="199"/>
    </row>
    <row r="241" spans="2:16">
      <c r="B241" s="151" t="s">
        <v>100</v>
      </c>
      <c r="C241" s="151">
        <f>IF(Divers!F35&gt;0,Divers!A35,0)</f>
        <v>0</v>
      </c>
      <c r="D241" s="152">
        <f>IF(C241=Divers!A35,Divers!C35,0)</f>
        <v>0</v>
      </c>
      <c r="E241" s="157">
        <f>IF(C241=Divers!A35,Divers!D35,0)</f>
        <v>0</v>
      </c>
      <c r="F241" s="153">
        <f>Divers!F35</f>
        <v>0</v>
      </c>
      <c r="G241" s="274">
        <f t="shared" si="5"/>
        <v>0</v>
      </c>
      <c r="J241" s="199"/>
      <c r="K241" s="199"/>
    </row>
    <row r="242" spans="2:16">
      <c r="B242" s="151" t="s">
        <v>100</v>
      </c>
      <c r="C242" s="151">
        <f>IF(Divers!F36&gt;0,Divers!A36,0)</f>
        <v>0</v>
      </c>
      <c r="D242" s="152">
        <f>IF(C242=Divers!A36,Divers!C36,0)</f>
        <v>0</v>
      </c>
      <c r="E242" s="157">
        <f>IF(C242=Divers!A36,Divers!D36,0)</f>
        <v>0</v>
      </c>
      <c r="F242" s="153">
        <f>Divers!F36</f>
        <v>0</v>
      </c>
      <c r="G242" s="274">
        <f t="shared" si="5"/>
        <v>0</v>
      </c>
      <c r="J242" s="199"/>
      <c r="K242" s="199"/>
    </row>
    <row r="243" spans="2:16">
      <c r="B243" s="151" t="s">
        <v>100</v>
      </c>
      <c r="C243" s="151">
        <f>IF(Divers!F37&gt;0,Divers!A37,0)</f>
        <v>0</v>
      </c>
      <c r="D243" s="152">
        <f>IF(C243=Divers!A37,Divers!C37,0)</f>
        <v>0</v>
      </c>
      <c r="E243" s="157">
        <f>IF(C243=Divers!A37,Divers!D37,0)</f>
        <v>0</v>
      </c>
      <c r="F243" s="153">
        <f>Divers!F37</f>
        <v>0</v>
      </c>
      <c r="G243" s="274">
        <f t="shared" si="5"/>
        <v>0</v>
      </c>
      <c r="J243" s="199"/>
      <c r="K243" s="199"/>
    </row>
    <row r="244" spans="2:16">
      <c r="B244" s="151" t="s">
        <v>100</v>
      </c>
      <c r="C244" s="151">
        <f>IF(Divers!F38&gt;0,Divers!A38,0)</f>
        <v>0</v>
      </c>
      <c r="D244" s="152">
        <f>IF(C244=Divers!A38,Divers!C38,0)</f>
        <v>0</v>
      </c>
      <c r="E244" s="157">
        <f>IF(C244=Divers!A38,Divers!D38,0)</f>
        <v>0</v>
      </c>
      <c r="F244" s="153">
        <f>Divers!F38</f>
        <v>0</v>
      </c>
      <c r="G244" s="274">
        <f t="shared" si="5"/>
        <v>0</v>
      </c>
      <c r="J244" s="199"/>
      <c r="K244" s="199"/>
    </row>
    <row r="245" spans="2:16">
      <c r="B245" s="151" t="s">
        <v>100</v>
      </c>
      <c r="C245" s="151">
        <f>IF(Divers!F39&gt;0,Divers!A39,0)</f>
        <v>0</v>
      </c>
      <c r="D245" s="152">
        <f>IF(C245=Divers!A39,Divers!C39,0)</f>
        <v>0</v>
      </c>
      <c r="E245" s="157">
        <f>IF(C245=Divers!A39,Divers!D39,0)</f>
        <v>0</v>
      </c>
      <c r="F245" s="153">
        <f>Divers!F39</f>
        <v>0</v>
      </c>
      <c r="G245" s="274">
        <f t="shared" si="5"/>
        <v>0</v>
      </c>
      <c r="J245" s="199"/>
      <c r="K245" s="199"/>
    </row>
    <row r="246" spans="2:16">
      <c r="B246" s="151" t="s">
        <v>100</v>
      </c>
      <c r="C246" s="151">
        <f>IF(Divers!F40&gt;0,Divers!A40,0)</f>
        <v>0</v>
      </c>
      <c r="D246" s="152">
        <f>IF(C246=Divers!A40,Divers!C40,0)</f>
        <v>0</v>
      </c>
      <c r="E246" s="157">
        <f>IF(C246=Divers!A40,Divers!D40,0)</f>
        <v>0</v>
      </c>
      <c r="F246" s="153">
        <f>Divers!F40</f>
        <v>0</v>
      </c>
      <c r="G246" s="274">
        <f t="shared" si="5"/>
        <v>0</v>
      </c>
      <c r="J246" s="199"/>
      <c r="K246" s="199"/>
    </row>
    <row r="247" spans="2:16">
      <c r="B247" s="151" t="s">
        <v>100</v>
      </c>
      <c r="C247" s="151">
        <f>IF(Divers!F41&gt;0,Divers!A41,0)</f>
        <v>0</v>
      </c>
      <c r="D247" s="152">
        <f>IF(C247=Divers!A41,Divers!C41,0)</f>
        <v>0</v>
      </c>
      <c r="E247" s="157">
        <f>IF(C247=Divers!A41,Divers!D41,0)</f>
        <v>0</v>
      </c>
      <c r="F247" s="153">
        <f>Divers!F41</f>
        <v>0</v>
      </c>
      <c r="G247" s="274">
        <f t="shared" si="5"/>
        <v>0</v>
      </c>
      <c r="J247" s="199"/>
      <c r="K247" s="199"/>
    </row>
    <row r="248" spans="2:16">
      <c r="B248" s="151" t="s">
        <v>100</v>
      </c>
      <c r="C248" s="151">
        <f>IF(Divers!F42&gt;0,Divers!A42,0)</f>
        <v>0</v>
      </c>
      <c r="D248" s="152">
        <f>IF(C248=Divers!A42,Divers!C42,0)</f>
        <v>0</v>
      </c>
      <c r="E248" s="157">
        <f>IF(C248=Divers!A42,Divers!D42,0)</f>
        <v>0</v>
      </c>
      <c r="F248" s="153">
        <f>Divers!F42</f>
        <v>0</v>
      </c>
      <c r="G248" s="274">
        <f t="shared" si="5"/>
        <v>0</v>
      </c>
      <c r="J248" s="199"/>
      <c r="K248" s="199"/>
      <c r="L248" s="199"/>
      <c r="M248" s="210"/>
      <c r="N248" s="210"/>
      <c r="O248" s="210"/>
      <c r="P248" s="199"/>
    </row>
    <row r="249" spans="2:16">
      <c r="B249" s="151" t="s">
        <v>100</v>
      </c>
      <c r="C249" s="151">
        <f>IF(Divers!F43&gt;0,Divers!A43,0)</f>
        <v>0</v>
      </c>
      <c r="D249" s="152">
        <f>IF(C249=Divers!A43,Divers!C43,0)</f>
        <v>0</v>
      </c>
      <c r="E249" s="157">
        <f>IF(C249=Divers!A43,Divers!D43,0)</f>
        <v>0</v>
      </c>
      <c r="F249" s="153">
        <f>Divers!F43</f>
        <v>0</v>
      </c>
      <c r="G249" s="274">
        <f t="shared" si="5"/>
        <v>0</v>
      </c>
      <c r="J249" s="199"/>
      <c r="K249" s="199"/>
      <c r="L249" s="199"/>
      <c r="M249" s="210"/>
      <c r="N249" s="210"/>
      <c r="O249" s="210"/>
      <c r="P249" s="199"/>
    </row>
    <row r="250" spans="2:16">
      <c r="B250" s="151" t="s">
        <v>100</v>
      </c>
      <c r="C250" s="151">
        <f>IF(Divers!F44&gt;0,Divers!A44,0)</f>
        <v>0</v>
      </c>
      <c r="D250" s="152">
        <f>IF(C250=Divers!A44,Divers!C44,0)</f>
        <v>0</v>
      </c>
      <c r="E250" s="157">
        <f>IF(C250=Divers!A44,Divers!D44,0)</f>
        <v>0</v>
      </c>
      <c r="F250" s="153">
        <f>Divers!F44</f>
        <v>0</v>
      </c>
      <c r="G250" s="274">
        <f t="shared" si="5"/>
        <v>0</v>
      </c>
      <c r="J250" s="199"/>
      <c r="K250" s="199"/>
      <c r="L250" s="199"/>
      <c r="M250" s="210"/>
      <c r="N250" s="210"/>
      <c r="O250" s="210"/>
      <c r="P250" s="199"/>
    </row>
    <row r="251" spans="2:16">
      <c r="B251" s="151" t="s">
        <v>100</v>
      </c>
      <c r="C251" s="151">
        <f>IF(Divers!F45&gt;0,Divers!A45,0)</f>
        <v>0</v>
      </c>
      <c r="D251" s="152">
        <f>IF(C251=Divers!A45,Divers!C45,0)</f>
        <v>0</v>
      </c>
      <c r="E251" s="157">
        <f>IF(C251=Divers!A45,Divers!D45,0)</f>
        <v>0</v>
      </c>
      <c r="F251" s="153">
        <f>Divers!F45</f>
        <v>0</v>
      </c>
      <c r="G251" s="274">
        <f t="shared" si="5"/>
        <v>0</v>
      </c>
      <c r="J251" s="199"/>
      <c r="K251" s="199"/>
      <c r="L251" s="199"/>
      <c r="M251" s="210"/>
      <c r="N251" s="210"/>
      <c r="O251" s="210"/>
      <c r="P251" s="199"/>
    </row>
    <row r="252" spans="2:16">
      <c r="B252" s="151" t="s">
        <v>100</v>
      </c>
      <c r="C252" s="151">
        <f>IF(Divers!F46&gt;0,Divers!A46,0)</f>
        <v>0</v>
      </c>
      <c r="D252" s="152">
        <f>IF(C252=Divers!A46,Divers!C46,0)</f>
        <v>0</v>
      </c>
      <c r="E252" s="157">
        <f>IF(C252=Divers!A46,Divers!D46,0)</f>
        <v>0</v>
      </c>
      <c r="F252" s="153">
        <f>Divers!F46</f>
        <v>0</v>
      </c>
      <c r="G252" s="274">
        <f t="shared" si="5"/>
        <v>0</v>
      </c>
      <c r="J252" s="199"/>
      <c r="K252" s="199"/>
    </row>
    <row r="253" spans="2:16">
      <c r="B253" s="151" t="s">
        <v>128</v>
      </c>
      <c r="C253" s="151">
        <f>IF('HP Consommables'!F11&gt;0,'HP Consommables'!A11,0)</f>
        <v>0</v>
      </c>
      <c r="D253" s="152">
        <f>IF(C253='HP Consommables'!A11,'HP Consommables'!C11,0)</f>
        <v>0</v>
      </c>
      <c r="E253" s="157">
        <f>IF(C253='HP Consommables'!A11,'HP Consommables'!D11,0)</f>
        <v>0</v>
      </c>
      <c r="F253" s="153">
        <f>'HP Consommables'!F11</f>
        <v>0</v>
      </c>
      <c r="G253" s="274">
        <f>F253*E253</f>
        <v>0</v>
      </c>
      <c r="J253" s="199"/>
      <c r="K253" s="199"/>
    </row>
    <row r="254" spans="2:16">
      <c r="B254" s="151" t="s">
        <v>128</v>
      </c>
      <c r="C254" s="151">
        <f>IF('HP Consommables'!F12&gt;0,'HP Consommables'!A12,0)</f>
        <v>0</v>
      </c>
      <c r="D254" s="152">
        <f>IF(C254='HP Consommables'!A12,'HP Consommables'!C12,0)</f>
        <v>0</v>
      </c>
      <c r="E254" s="157">
        <f>IF(C254='HP Consommables'!A12,'HP Consommables'!D12,0)</f>
        <v>0</v>
      </c>
      <c r="F254" s="153">
        <f>'HP Consommables'!F12</f>
        <v>0</v>
      </c>
      <c r="G254" s="274">
        <f t="shared" ref="G254:G317" si="6">F254*E254</f>
        <v>0</v>
      </c>
      <c r="J254" s="199"/>
      <c r="K254" s="199"/>
    </row>
    <row r="255" spans="2:16">
      <c r="B255" s="151" t="s">
        <v>128</v>
      </c>
      <c r="C255" s="151">
        <f>IF('HP Consommables'!F13&gt;0,'HP Consommables'!A13,0)</f>
        <v>0</v>
      </c>
      <c r="D255" s="152">
        <f>IF(C255='HP Consommables'!A13,'HP Consommables'!C13,0)</f>
        <v>0</v>
      </c>
      <c r="E255" s="157">
        <f>IF(C255='HP Consommables'!A13,'HP Consommables'!D13,0)</f>
        <v>0</v>
      </c>
      <c r="F255" s="153">
        <f>'HP Consommables'!F13</f>
        <v>0</v>
      </c>
      <c r="G255" s="274">
        <f t="shared" si="6"/>
        <v>0</v>
      </c>
      <c r="J255" s="199"/>
      <c r="K255" s="199"/>
    </row>
    <row r="256" spans="2:16">
      <c r="B256" s="151" t="s">
        <v>128</v>
      </c>
      <c r="C256" s="151">
        <f>IF('HP Consommables'!F14&gt;0,'HP Consommables'!A14,0)</f>
        <v>0</v>
      </c>
      <c r="D256" s="152">
        <f>IF(C256='HP Consommables'!A14,'HP Consommables'!C14,0)</f>
        <v>0</v>
      </c>
      <c r="E256" s="157">
        <f>IF(C256='HP Consommables'!A14,'HP Consommables'!D14,0)</f>
        <v>0</v>
      </c>
      <c r="F256" s="153">
        <f>'HP Consommables'!F14</f>
        <v>0</v>
      </c>
      <c r="G256" s="274">
        <f t="shared" si="6"/>
        <v>0</v>
      </c>
      <c r="J256" s="199"/>
      <c r="K256" s="199"/>
    </row>
    <row r="257" spans="2:16">
      <c r="B257" s="151" t="s">
        <v>128</v>
      </c>
      <c r="C257" s="151">
        <f>IF('HP Consommables'!F15&gt;0,'HP Consommables'!A15,0)</f>
        <v>0</v>
      </c>
      <c r="D257" s="152">
        <f>IF(C257='HP Consommables'!A15,'HP Consommables'!C15,0)</f>
        <v>0</v>
      </c>
      <c r="E257" s="157">
        <f>IF(C257='HP Consommables'!A15,'HP Consommables'!D15,0)</f>
        <v>0</v>
      </c>
      <c r="F257" s="153">
        <f>'HP Consommables'!F15</f>
        <v>0</v>
      </c>
      <c r="G257" s="274">
        <f t="shared" si="6"/>
        <v>0</v>
      </c>
      <c r="J257" s="199"/>
      <c r="K257" s="199"/>
    </row>
    <row r="258" spans="2:16">
      <c r="B258" s="151" t="s">
        <v>128</v>
      </c>
      <c r="C258" s="151">
        <f>IF('HP Consommables'!F16&gt;0,'HP Consommables'!A16,0)</f>
        <v>0</v>
      </c>
      <c r="D258" s="152">
        <f>IF(C258='HP Consommables'!A16,'HP Consommables'!C16,0)</f>
        <v>0</v>
      </c>
      <c r="E258" s="157">
        <f>IF(C258='HP Consommables'!A16,'HP Consommables'!D16,0)</f>
        <v>0</v>
      </c>
      <c r="F258" s="153">
        <f>'HP Consommables'!F16</f>
        <v>0</v>
      </c>
      <c r="G258" s="274">
        <f t="shared" si="6"/>
        <v>0</v>
      </c>
      <c r="J258" s="199"/>
      <c r="K258" s="199"/>
    </row>
    <row r="259" spans="2:16">
      <c r="B259" s="151" t="s">
        <v>128</v>
      </c>
      <c r="C259" s="151">
        <f>IF('HP Consommables'!F17&gt;0,'HP Consommables'!A17,0)</f>
        <v>0</v>
      </c>
      <c r="D259" s="152">
        <f>IF(C259='HP Consommables'!A17,'HP Consommables'!C17,0)</f>
        <v>0</v>
      </c>
      <c r="E259" s="157">
        <f>IF(C259='HP Consommables'!A17,'HP Consommables'!D17,0)</f>
        <v>0</v>
      </c>
      <c r="F259" s="153">
        <f>'HP Consommables'!F17</f>
        <v>0</v>
      </c>
      <c r="G259" s="274">
        <f t="shared" si="6"/>
        <v>0</v>
      </c>
      <c r="J259" s="199"/>
      <c r="K259" s="199"/>
    </row>
    <row r="260" spans="2:16">
      <c r="B260" s="151" t="s">
        <v>128</v>
      </c>
      <c r="C260" s="151">
        <f>IF('HP Consommables'!F18&gt;0,'HP Consommables'!A18,0)</f>
        <v>0</v>
      </c>
      <c r="D260" s="152">
        <f>IF(C260='HP Consommables'!A18,'HP Consommables'!C18,0)</f>
        <v>0</v>
      </c>
      <c r="E260" s="157">
        <f>IF(C260='HP Consommables'!A18,'HP Consommables'!D18,0)</f>
        <v>0</v>
      </c>
      <c r="F260" s="153">
        <f>'HP Consommables'!F18</f>
        <v>0</v>
      </c>
      <c r="G260" s="274">
        <f t="shared" si="6"/>
        <v>0</v>
      </c>
      <c r="J260" s="199"/>
      <c r="K260" s="199"/>
    </row>
    <row r="261" spans="2:16">
      <c r="B261" s="151" t="s">
        <v>128</v>
      </c>
      <c r="C261" s="151">
        <f>IF('HP Consommables'!F19&gt;0,'HP Consommables'!A19,0)</f>
        <v>0</v>
      </c>
      <c r="D261" s="152">
        <f>IF(C261='HP Consommables'!A19,'HP Consommables'!C19,0)</f>
        <v>0</v>
      </c>
      <c r="E261" s="157">
        <f>IF(C261='HP Consommables'!A19,'HP Consommables'!D19,0)</f>
        <v>0</v>
      </c>
      <c r="F261" s="153">
        <f>'HP Consommables'!F19</f>
        <v>0</v>
      </c>
      <c r="G261" s="274">
        <f t="shared" si="6"/>
        <v>0</v>
      </c>
      <c r="J261" s="199"/>
      <c r="K261" s="199"/>
    </row>
    <row r="262" spans="2:16">
      <c r="B262" s="151" t="s">
        <v>128</v>
      </c>
      <c r="C262" s="151">
        <f>IF('HP Consommables'!F20&gt;0,'HP Consommables'!A20,0)</f>
        <v>0</v>
      </c>
      <c r="D262" s="152">
        <f>IF(C262='HP Consommables'!A20,'HP Consommables'!C20,0)</f>
        <v>0</v>
      </c>
      <c r="E262" s="157">
        <f>IF(C262='HP Consommables'!A20,'HP Consommables'!D20,0)</f>
        <v>0</v>
      </c>
      <c r="F262" s="153">
        <f>'HP Consommables'!F20</f>
        <v>0</v>
      </c>
      <c r="G262" s="274">
        <f t="shared" si="6"/>
        <v>0</v>
      </c>
      <c r="J262" s="199"/>
      <c r="K262" s="199"/>
    </row>
    <row r="263" spans="2:16">
      <c r="B263" s="151" t="s">
        <v>128</v>
      </c>
      <c r="C263" s="151">
        <f>IF('HP Consommables'!F21&gt;0,'HP Consommables'!A21,0)</f>
        <v>0</v>
      </c>
      <c r="D263" s="152">
        <f>IF(C263='HP Consommables'!A21,'HP Consommables'!C21,0)</f>
        <v>0</v>
      </c>
      <c r="E263" s="157">
        <f>IF(C263='HP Consommables'!A21,'HP Consommables'!D21,0)</f>
        <v>0</v>
      </c>
      <c r="F263" s="153">
        <f>'HP Consommables'!F21</f>
        <v>0</v>
      </c>
      <c r="G263" s="274">
        <f t="shared" si="6"/>
        <v>0</v>
      </c>
      <c r="J263" s="199"/>
      <c r="K263" s="199"/>
    </row>
    <row r="264" spans="2:16">
      <c r="B264" s="151" t="s">
        <v>128</v>
      </c>
      <c r="C264" s="151">
        <f>IF('HP Consommables'!F22&gt;0,'HP Consommables'!A22,0)</f>
        <v>0</v>
      </c>
      <c r="D264" s="152">
        <f>IF(C264='HP Consommables'!A22,'HP Consommables'!C22,0)</f>
        <v>0</v>
      </c>
      <c r="E264" s="157">
        <f>IF(C264='HP Consommables'!A22,'HP Consommables'!D22,0)</f>
        <v>0</v>
      </c>
      <c r="F264" s="153">
        <f>'HP Consommables'!F22</f>
        <v>0</v>
      </c>
      <c r="G264" s="274">
        <f t="shared" si="6"/>
        <v>0</v>
      </c>
      <c r="J264" s="199"/>
      <c r="K264" s="199"/>
    </row>
    <row r="265" spans="2:16">
      <c r="B265" s="151" t="s">
        <v>128</v>
      </c>
      <c r="C265" s="151">
        <f>IF('HP Consommables'!F23&gt;0,'HP Consommables'!A23,0)</f>
        <v>0</v>
      </c>
      <c r="D265" s="152">
        <f>IF(C265='HP Consommables'!A23,'HP Consommables'!C23,0)</f>
        <v>0</v>
      </c>
      <c r="E265" s="157">
        <f>IF(C265='HP Consommables'!A23,'HP Consommables'!D23,0)</f>
        <v>0</v>
      </c>
      <c r="F265" s="153">
        <f>'HP Consommables'!F23</f>
        <v>0</v>
      </c>
      <c r="G265" s="274">
        <f t="shared" si="6"/>
        <v>0</v>
      </c>
      <c r="J265" s="199"/>
      <c r="K265" s="199"/>
    </row>
    <row r="266" spans="2:16">
      <c r="B266" s="151" t="s">
        <v>128</v>
      </c>
      <c r="C266" s="151">
        <f>IF('HP Consommables'!F24&gt;0,'HP Consommables'!A24,0)</f>
        <v>0</v>
      </c>
      <c r="D266" s="152">
        <f>IF(C266='HP Consommables'!A24,'HP Consommables'!C24,0)</f>
        <v>0</v>
      </c>
      <c r="E266" s="157">
        <f>IF(C266='HP Consommables'!A24,'HP Consommables'!D24,0)</f>
        <v>0</v>
      </c>
      <c r="F266" s="153">
        <f>'HP Consommables'!F24</f>
        <v>0</v>
      </c>
      <c r="G266" s="274">
        <f t="shared" si="6"/>
        <v>0</v>
      </c>
      <c r="J266" s="199"/>
      <c r="K266" s="199"/>
    </row>
    <row r="267" spans="2:16">
      <c r="B267" s="151" t="s">
        <v>128</v>
      </c>
      <c r="C267" s="151">
        <f>IF('HP Consommables'!F25&gt;0,'HP Consommables'!A25,0)</f>
        <v>0</v>
      </c>
      <c r="D267" s="152">
        <f>IF(C267='HP Consommables'!A25,'HP Consommables'!C25,0)</f>
        <v>0</v>
      </c>
      <c r="E267" s="157">
        <f>IF(C267='HP Consommables'!A25,'HP Consommables'!D25,0)</f>
        <v>0</v>
      </c>
      <c r="F267" s="153">
        <f>'HP Consommables'!F25</f>
        <v>0</v>
      </c>
      <c r="G267" s="274">
        <f t="shared" si="6"/>
        <v>0</v>
      </c>
      <c r="J267" s="199"/>
      <c r="K267" s="199"/>
    </row>
    <row r="268" spans="2:16">
      <c r="B268" s="151" t="s">
        <v>128</v>
      </c>
      <c r="C268" s="151">
        <f>IF('HP Consommables'!F26&gt;0,'HP Consommables'!A26,0)</f>
        <v>0</v>
      </c>
      <c r="D268" s="152">
        <f>IF(C268='HP Consommables'!A26,'HP Consommables'!C26,0)</f>
        <v>0</v>
      </c>
      <c r="E268" s="157">
        <f>IF(C268='HP Consommables'!A26,'HP Consommables'!D26,0)</f>
        <v>0</v>
      </c>
      <c r="F268" s="153">
        <f>'HP Consommables'!F26</f>
        <v>0</v>
      </c>
      <c r="G268" s="274">
        <f t="shared" si="6"/>
        <v>0</v>
      </c>
      <c r="J268" s="199"/>
      <c r="K268" s="199"/>
    </row>
    <row r="269" spans="2:16">
      <c r="B269" s="151" t="s">
        <v>128</v>
      </c>
      <c r="C269" s="151">
        <f>IF('HP Consommables'!F27&gt;0,'HP Consommables'!A27,0)</f>
        <v>0</v>
      </c>
      <c r="D269" s="152">
        <f>IF(C269='HP Consommables'!A27,'HP Consommables'!C27,0)</f>
        <v>0</v>
      </c>
      <c r="E269" s="157">
        <f>IF(C269='HP Consommables'!A27,'HP Consommables'!D27,0)</f>
        <v>0</v>
      </c>
      <c r="F269" s="153">
        <f>'HP Consommables'!F27</f>
        <v>0</v>
      </c>
      <c r="G269" s="274">
        <f t="shared" si="6"/>
        <v>0</v>
      </c>
      <c r="J269" s="199"/>
      <c r="K269" s="199"/>
    </row>
    <row r="270" spans="2:16">
      <c r="B270" s="151" t="s">
        <v>128</v>
      </c>
      <c r="C270" s="151">
        <f>IF('HP Consommables'!F28&gt;0,'HP Consommables'!A28,0)</f>
        <v>0</v>
      </c>
      <c r="D270" s="152">
        <f>IF(C270='HP Consommables'!A28,'HP Consommables'!C28,0)</f>
        <v>0</v>
      </c>
      <c r="E270" s="157">
        <f>IF(C270='HP Consommables'!A28,'HP Consommables'!D28,0)</f>
        <v>0</v>
      </c>
      <c r="F270" s="153">
        <f>'HP Consommables'!F28</f>
        <v>0</v>
      </c>
      <c r="G270" s="274">
        <f t="shared" si="6"/>
        <v>0</v>
      </c>
      <c r="J270" s="199"/>
      <c r="K270" s="199"/>
      <c r="L270" s="199"/>
      <c r="M270" s="210"/>
      <c r="N270" s="210"/>
      <c r="O270" s="210"/>
      <c r="P270" s="199"/>
    </row>
    <row r="271" spans="2:16">
      <c r="B271" s="151" t="s">
        <v>128</v>
      </c>
      <c r="C271" s="151">
        <f>IF('HP Consommables'!F29&gt;0,'HP Consommables'!A29,0)</f>
        <v>0</v>
      </c>
      <c r="D271" s="152">
        <f>IF(C271='HP Consommables'!A29,'HP Consommables'!C29,0)</f>
        <v>0</v>
      </c>
      <c r="E271" s="157">
        <f>IF(C271='HP Consommables'!A29,'HP Consommables'!D29,0)</f>
        <v>0</v>
      </c>
      <c r="F271" s="153">
        <f>'HP Consommables'!F29</f>
        <v>0</v>
      </c>
      <c r="G271" s="274">
        <f t="shared" si="6"/>
        <v>0</v>
      </c>
      <c r="J271" s="199"/>
      <c r="K271" s="199"/>
    </row>
    <row r="272" spans="2:16">
      <c r="B272" s="151" t="s">
        <v>128</v>
      </c>
      <c r="C272" s="151">
        <f>IF('HP Consommables'!F30&gt;0,'HP Consommables'!A30,0)</f>
        <v>0</v>
      </c>
      <c r="D272" s="152">
        <f>IF(C272='HP Consommables'!A30,'HP Consommables'!C30,0)</f>
        <v>0</v>
      </c>
      <c r="E272" s="157">
        <f>IF(C272='HP Consommables'!A30,'HP Consommables'!D30,0)</f>
        <v>0</v>
      </c>
      <c r="F272" s="153">
        <f>'HP Consommables'!F30</f>
        <v>0</v>
      </c>
      <c r="G272" s="274">
        <f t="shared" si="6"/>
        <v>0</v>
      </c>
      <c r="J272" s="199"/>
      <c r="K272" s="199"/>
    </row>
    <row r="273" spans="2:16">
      <c r="B273" s="151" t="s">
        <v>128</v>
      </c>
      <c r="C273" s="151">
        <f>IF('HP Consommables'!F31&gt;0,'HP Consommables'!A31,0)</f>
        <v>0</v>
      </c>
      <c r="D273" s="152">
        <f>IF(C273='HP Consommables'!A31,'HP Consommables'!C31,0)</f>
        <v>0</v>
      </c>
      <c r="E273" s="157">
        <f>IF(C273='HP Consommables'!A31,'HP Consommables'!D31,0)</f>
        <v>0</v>
      </c>
      <c r="F273" s="153">
        <f>'HP Consommables'!F31</f>
        <v>0</v>
      </c>
      <c r="G273" s="274">
        <f t="shared" si="6"/>
        <v>0</v>
      </c>
      <c r="J273" s="199"/>
      <c r="K273" s="199"/>
      <c r="L273" s="199"/>
      <c r="M273" s="210"/>
      <c r="N273" s="210"/>
      <c r="O273" s="210"/>
      <c r="P273" s="199"/>
    </row>
    <row r="274" spans="2:16">
      <c r="B274" s="151" t="s">
        <v>128</v>
      </c>
      <c r="C274" s="151">
        <f>IF('HP Consommables'!F32&gt;0,'HP Consommables'!A32,0)</f>
        <v>0</v>
      </c>
      <c r="D274" s="152">
        <f>IF(C274='HP Consommables'!A32,'HP Consommables'!C32,0)</f>
        <v>0</v>
      </c>
      <c r="E274" s="157">
        <f>IF(C274='HP Consommables'!A32,'HP Consommables'!D32,0)</f>
        <v>0</v>
      </c>
      <c r="F274" s="153">
        <f>'HP Consommables'!F32</f>
        <v>0</v>
      </c>
      <c r="G274" s="274">
        <f t="shared" si="6"/>
        <v>0</v>
      </c>
      <c r="J274" s="199"/>
      <c r="K274" s="199"/>
    </row>
    <row r="275" spans="2:16">
      <c r="B275" s="151" t="s">
        <v>128</v>
      </c>
      <c r="C275" s="151">
        <f>IF('HP Consommables'!F33&gt;0,'HP Consommables'!A33,0)</f>
        <v>0</v>
      </c>
      <c r="D275" s="152">
        <f>IF(C275='HP Consommables'!A33,'HP Consommables'!C33,0)</f>
        <v>0</v>
      </c>
      <c r="E275" s="157">
        <f>IF(C275='HP Consommables'!A33,'HP Consommables'!D33,0)</f>
        <v>0</v>
      </c>
      <c r="F275" s="153">
        <f>'HP Consommables'!F33</f>
        <v>0</v>
      </c>
      <c r="G275" s="274">
        <f t="shared" si="6"/>
        <v>0</v>
      </c>
      <c r="J275" s="199"/>
      <c r="K275" s="199"/>
    </row>
    <row r="276" spans="2:16">
      <c r="B276" s="151" t="s">
        <v>128</v>
      </c>
      <c r="C276" s="151">
        <f>IF('HP Consommables'!F34&gt;0,'HP Consommables'!A34,0)</f>
        <v>0</v>
      </c>
      <c r="D276" s="152">
        <f>IF(C276='HP Consommables'!A34,'HP Consommables'!C34,0)</f>
        <v>0</v>
      </c>
      <c r="E276" s="157">
        <f>IF(C276='HP Consommables'!A34,'HP Consommables'!D34,0)</f>
        <v>0</v>
      </c>
      <c r="F276" s="153">
        <f>'HP Consommables'!F34</f>
        <v>0</v>
      </c>
      <c r="G276" s="274">
        <f t="shared" si="6"/>
        <v>0</v>
      </c>
      <c r="J276" s="199"/>
      <c r="K276" s="199"/>
    </row>
    <row r="277" spans="2:16">
      <c r="B277" s="151" t="s">
        <v>128</v>
      </c>
      <c r="C277" s="151">
        <f>IF('HP Consommables'!F35&gt;0,'HP Consommables'!A35,0)</f>
        <v>0</v>
      </c>
      <c r="D277" s="152">
        <f>IF(C277='HP Consommables'!A35,'HP Consommables'!C35,0)</f>
        <v>0</v>
      </c>
      <c r="E277" s="157">
        <f>IF(C277='HP Consommables'!A35,'HP Consommables'!D35,0)</f>
        <v>0</v>
      </c>
      <c r="F277" s="153">
        <f>'HP Consommables'!F35</f>
        <v>0</v>
      </c>
      <c r="G277" s="274">
        <f t="shared" si="6"/>
        <v>0</v>
      </c>
      <c r="J277" s="199"/>
      <c r="K277" s="199"/>
    </row>
    <row r="278" spans="2:16">
      <c r="B278" s="151" t="s">
        <v>128</v>
      </c>
      <c r="C278" s="151">
        <f>IF('HP Consommables'!F36&gt;0,'HP Consommables'!A36,0)</f>
        <v>0</v>
      </c>
      <c r="D278" s="152">
        <f>IF(C278='HP Consommables'!A36,'HP Consommables'!C36,0)</f>
        <v>0</v>
      </c>
      <c r="E278" s="157">
        <f>IF(C278='HP Consommables'!A36,'HP Consommables'!D36,0)</f>
        <v>0</v>
      </c>
      <c r="F278" s="153">
        <f>'HP Consommables'!F36</f>
        <v>0</v>
      </c>
      <c r="G278" s="274">
        <f t="shared" si="6"/>
        <v>0</v>
      </c>
      <c r="J278" s="199"/>
      <c r="K278" s="199"/>
      <c r="L278" s="199"/>
      <c r="M278" s="210"/>
      <c r="N278" s="210"/>
      <c r="O278" s="210"/>
      <c r="P278" s="199"/>
    </row>
    <row r="279" spans="2:16">
      <c r="B279" s="151" t="s">
        <v>128</v>
      </c>
      <c r="C279" s="151">
        <f>IF('HP Consommables'!F37&gt;0,'HP Consommables'!A37,0)</f>
        <v>0</v>
      </c>
      <c r="D279" s="152">
        <f>IF(C279='HP Consommables'!A37,'HP Consommables'!C37,0)</f>
        <v>0</v>
      </c>
      <c r="E279" s="157">
        <f>IF(C279='HP Consommables'!A37,'HP Consommables'!D37,0)</f>
        <v>0</v>
      </c>
      <c r="F279" s="153">
        <f>'HP Consommables'!F37</f>
        <v>0</v>
      </c>
      <c r="G279" s="274">
        <f t="shared" si="6"/>
        <v>0</v>
      </c>
      <c r="J279" s="199"/>
      <c r="K279" s="199"/>
      <c r="L279" s="199"/>
      <c r="M279" s="210"/>
      <c r="N279" s="210"/>
      <c r="O279" s="210"/>
      <c r="P279" s="199"/>
    </row>
    <row r="280" spans="2:16">
      <c r="B280" s="151" t="s">
        <v>128</v>
      </c>
      <c r="C280" s="151">
        <f>IF('HP Consommables'!F38&gt;0,'HP Consommables'!A38,0)</f>
        <v>0</v>
      </c>
      <c r="D280" s="152">
        <f>IF(C280='HP Consommables'!A38,'HP Consommables'!C38,0)</f>
        <v>0</v>
      </c>
      <c r="E280" s="157">
        <f>IF(C280='HP Consommables'!A38,'HP Consommables'!D38,0)</f>
        <v>0</v>
      </c>
      <c r="F280" s="153">
        <f>'HP Consommables'!F38</f>
        <v>0</v>
      </c>
      <c r="G280" s="274">
        <f t="shared" si="6"/>
        <v>0</v>
      </c>
      <c r="J280" s="199"/>
      <c r="K280" s="199"/>
    </row>
    <row r="281" spans="2:16">
      <c r="B281" s="151" t="s">
        <v>128</v>
      </c>
      <c r="C281" s="151">
        <f>IF('HP Consommables'!F39&gt;0,'HP Consommables'!A39,0)</f>
        <v>0</v>
      </c>
      <c r="D281" s="152">
        <f>IF(C281='HP Consommables'!A39,'HP Consommables'!C39,0)</f>
        <v>0</v>
      </c>
      <c r="E281" s="157">
        <f>IF(C281='HP Consommables'!A39,'HP Consommables'!D39,0)</f>
        <v>0</v>
      </c>
      <c r="F281" s="153">
        <f>'HP Consommables'!F39</f>
        <v>0</v>
      </c>
      <c r="G281" s="274">
        <f t="shared" si="6"/>
        <v>0</v>
      </c>
      <c r="J281" s="199"/>
      <c r="K281" s="199"/>
    </row>
    <row r="282" spans="2:16">
      <c r="B282" s="151" t="s">
        <v>128</v>
      </c>
      <c r="C282" s="151">
        <f>IF('HP Consommables'!F40&gt;0,'HP Consommables'!A40,0)</f>
        <v>0</v>
      </c>
      <c r="D282" s="152">
        <f>IF(C282='HP Consommables'!A40,'HP Consommables'!C40,0)</f>
        <v>0</v>
      </c>
      <c r="E282" s="157">
        <f>IF(C282='HP Consommables'!A40,'HP Consommables'!D40,0)</f>
        <v>0</v>
      </c>
      <c r="F282" s="153">
        <f>'HP Consommables'!F40</f>
        <v>0</v>
      </c>
      <c r="G282" s="274">
        <f t="shared" si="6"/>
        <v>0</v>
      </c>
      <c r="J282" s="199"/>
      <c r="K282" s="199"/>
    </row>
    <row r="283" spans="2:16">
      <c r="B283" s="151" t="s">
        <v>128</v>
      </c>
      <c r="C283" s="151">
        <f>IF('HP Consommables'!F41&gt;0,'HP Consommables'!A41,0)</f>
        <v>0</v>
      </c>
      <c r="D283" s="152">
        <f>IF(C283='HP Consommables'!A41,'HP Consommables'!C41,0)</f>
        <v>0</v>
      </c>
      <c r="E283" s="157">
        <f>IF(C283='HP Consommables'!A41,'HP Consommables'!D41,0)</f>
        <v>0</v>
      </c>
      <c r="F283" s="153">
        <f>'HP Consommables'!F41</f>
        <v>0</v>
      </c>
      <c r="G283" s="274">
        <f t="shared" si="6"/>
        <v>0</v>
      </c>
      <c r="J283" s="199"/>
      <c r="K283" s="199"/>
    </row>
    <row r="284" spans="2:16">
      <c r="B284" s="151" t="s">
        <v>128</v>
      </c>
      <c r="C284" s="151">
        <f>IF('HP Consommables'!F42&gt;0,'HP Consommables'!A42,0)</f>
        <v>0</v>
      </c>
      <c r="D284" s="152">
        <f>IF(C284='HP Consommables'!A42,'HP Consommables'!C42,0)</f>
        <v>0</v>
      </c>
      <c r="E284" s="157">
        <f>IF(C284='HP Consommables'!A42,'HP Consommables'!D42,0)</f>
        <v>0</v>
      </c>
      <c r="F284" s="153">
        <f>'HP Consommables'!F42</f>
        <v>0</v>
      </c>
      <c r="G284" s="274">
        <f t="shared" si="6"/>
        <v>0</v>
      </c>
      <c r="J284" s="199"/>
      <c r="K284" s="199"/>
    </row>
    <row r="285" spans="2:16">
      <c r="B285" s="151" t="s">
        <v>128</v>
      </c>
      <c r="C285" s="151">
        <f>IF('HP Consommables'!F43&gt;0,'HP Consommables'!A43,0)</f>
        <v>0</v>
      </c>
      <c r="D285" s="152">
        <f>IF(C285='HP Consommables'!A43,'HP Consommables'!C43,0)</f>
        <v>0</v>
      </c>
      <c r="E285" s="157">
        <f>IF(C285='HP Consommables'!A43,'HP Consommables'!D43,0)</f>
        <v>0</v>
      </c>
      <c r="F285" s="153">
        <f>'HP Consommables'!F43</f>
        <v>0</v>
      </c>
      <c r="G285" s="274">
        <f t="shared" si="6"/>
        <v>0</v>
      </c>
      <c r="J285" s="199"/>
      <c r="K285" s="199"/>
    </row>
    <row r="286" spans="2:16">
      <c r="B286" s="151" t="s">
        <v>128</v>
      </c>
      <c r="C286" s="151">
        <f>IF('HP Consommables'!F44&gt;0,'HP Consommables'!A44,0)</f>
        <v>0</v>
      </c>
      <c r="D286" s="152">
        <f>IF(C286='HP Consommables'!A44,'HP Consommables'!C44,0)</f>
        <v>0</v>
      </c>
      <c r="E286" s="157">
        <f>IF(C286='HP Consommables'!A44,'HP Consommables'!D44,0)</f>
        <v>0</v>
      </c>
      <c r="F286" s="153">
        <f>'HP Consommables'!F44</f>
        <v>0</v>
      </c>
      <c r="G286" s="274">
        <f t="shared" si="6"/>
        <v>0</v>
      </c>
      <c r="J286" s="199"/>
      <c r="K286" s="199"/>
    </row>
    <row r="287" spans="2:16">
      <c r="B287" s="151" t="s">
        <v>128</v>
      </c>
      <c r="C287" s="151">
        <f>IF('HP Consommables'!F45&gt;0,'HP Consommables'!A45,0)</f>
        <v>0</v>
      </c>
      <c r="D287" s="152">
        <f>IF(C287='HP Consommables'!A45,'HP Consommables'!C45,0)</f>
        <v>0</v>
      </c>
      <c r="E287" s="157">
        <f>IF(C287='HP Consommables'!A45,'HP Consommables'!D45,0)</f>
        <v>0</v>
      </c>
      <c r="F287" s="153">
        <f>'HP Consommables'!F45</f>
        <v>0</v>
      </c>
      <c r="G287" s="274">
        <f t="shared" si="6"/>
        <v>0</v>
      </c>
      <c r="J287" s="199"/>
      <c r="K287" s="199"/>
    </row>
    <row r="288" spans="2:16">
      <c r="B288" s="151" t="s">
        <v>128</v>
      </c>
      <c r="C288" s="151">
        <f>IF('HP Consommables'!F46&gt;0,'HP Consommables'!A46,0)</f>
        <v>0</v>
      </c>
      <c r="D288" s="152">
        <f>IF(C288='HP Consommables'!A46,'HP Consommables'!C46,0)</f>
        <v>0</v>
      </c>
      <c r="E288" s="157">
        <f>IF(C288='HP Consommables'!A46,'HP Consommables'!D46,0)</f>
        <v>0</v>
      </c>
      <c r="F288" s="153">
        <f>'HP Consommables'!F46</f>
        <v>0</v>
      </c>
      <c r="G288" s="274">
        <f t="shared" si="6"/>
        <v>0</v>
      </c>
      <c r="J288" s="199"/>
      <c r="K288" s="199"/>
    </row>
    <row r="289" spans="2:16">
      <c r="B289" s="151" t="s">
        <v>128</v>
      </c>
      <c r="C289" s="151">
        <f>IF('HP Consommables'!F47&gt;0,'HP Consommables'!A47,0)</f>
        <v>0</v>
      </c>
      <c r="D289" s="152">
        <f>IF(C289='HP Consommables'!A47,'HP Consommables'!C47,0)</f>
        <v>0</v>
      </c>
      <c r="E289" s="157">
        <f>IF(C289='HP Consommables'!A47,'HP Consommables'!D47,0)</f>
        <v>0</v>
      </c>
      <c r="F289" s="153">
        <f>'HP Consommables'!F47</f>
        <v>0</v>
      </c>
      <c r="G289" s="274">
        <f t="shared" si="6"/>
        <v>0</v>
      </c>
      <c r="J289" s="199"/>
      <c r="K289" s="199"/>
    </row>
    <row r="290" spans="2:16">
      <c r="B290" s="151" t="s">
        <v>128</v>
      </c>
      <c r="C290" s="151">
        <f>IF('HP Consommables'!F48&gt;0,'HP Consommables'!A48,0)</f>
        <v>0</v>
      </c>
      <c r="D290" s="152">
        <f>IF(C290='HP Consommables'!A48,'HP Consommables'!C48,0)</f>
        <v>0</v>
      </c>
      <c r="E290" s="157">
        <f>IF(C290='HP Consommables'!A48,'HP Consommables'!D48,0)</f>
        <v>0</v>
      </c>
      <c r="F290" s="153">
        <f>'HP Consommables'!F48</f>
        <v>0</v>
      </c>
      <c r="G290" s="274">
        <f t="shared" si="6"/>
        <v>0</v>
      </c>
      <c r="J290" s="199"/>
      <c r="K290" s="199"/>
    </row>
    <row r="291" spans="2:16">
      <c r="B291" s="151" t="s">
        <v>128</v>
      </c>
      <c r="C291" s="151">
        <f>IF('HP Consommables'!F49&gt;0,'HP Consommables'!A49,0)</f>
        <v>0</v>
      </c>
      <c r="D291" s="152">
        <f>IF(C291='HP Consommables'!A49,'HP Consommables'!C49,0)</f>
        <v>0</v>
      </c>
      <c r="E291" s="157">
        <f>IF(C291='HP Consommables'!A49,'HP Consommables'!D49,0)</f>
        <v>0</v>
      </c>
      <c r="F291" s="153">
        <f>'HP Consommables'!F49</f>
        <v>0</v>
      </c>
      <c r="G291" s="274">
        <f t="shared" si="6"/>
        <v>0</v>
      </c>
      <c r="J291" s="199"/>
      <c r="K291" s="199"/>
    </row>
    <row r="292" spans="2:16">
      <c r="B292" s="151" t="s">
        <v>128</v>
      </c>
      <c r="C292" s="151">
        <f>IF('HP Consommables'!F50&gt;0,'HP Consommables'!A50,0)</f>
        <v>0</v>
      </c>
      <c r="D292" s="152">
        <f>IF(C292='HP Consommables'!A50,'HP Consommables'!C50,0)</f>
        <v>0</v>
      </c>
      <c r="E292" s="157">
        <f>IF(C292='HP Consommables'!A50,'HP Consommables'!D50,0)</f>
        <v>0</v>
      </c>
      <c r="F292" s="153">
        <f>'HP Consommables'!F50</f>
        <v>0</v>
      </c>
      <c r="G292" s="274">
        <f t="shared" si="6"/>
        <v>0</v>
      </c>
      <c r="J292" s="199"/>
      <c r="K292" s="199"/>
    </row>
    <row r="293" spans="2:16">
      <c r="B293" s="151" t="s">
        <v>128</v>
      </c>
      <c r="C293" s="151">
        <f>IF('HP Consommables'!F51&gt;0,'HP Consommables'!A51,0)</f>
        <v>0</v>
      </c>
      <c r="D293" s="152">
        <f>IF(C293='HP Consommables'!A51,'HP Consommables'!C51,0)</f>
        <v>0</v>
      </c>
      <c r="E293" s="157">
        <f>IF(C293='HP Consommables'!A51,'HP Consommables'!D51,0)</f>
        <v>0</v>
      </c>
      <c r="F293" s="153">
        <f>'HP Consommables'!F51</f>
        <v>0</v>
      </c>
      <c r="G293" s="274">
        <f t="shared" si="6"/>
        <v>0</v>
      </c>
      <c r="J293" s="199"/>
      <c r="K293" s="199"/>
      <c r="L293" s="199"/>
      <c r="M293" s="210"/>
      <c r="N293" s="210"/>
      <c r="O293" s="210"/>
      <c r="P293" s="199"/>
    </row>
    <row r="294" spans="2:16">
      <c r="B294" s="151" t="s">
        <v>128</v>
      </c>
      <c r="C294" s="151">
        <f>IF('HP Consommables'!F52&gt;0,'HP Consommables'!A52,0)</f>
        <v>0</v>
      </c>
      <c r="D294" s="152">
        <f>IF(C294='HP Consommables'!A52,'HP Consommables'!C52,0)</f>
        <v>0</v>
      </c>
      <c r="E294" s="157">
        <f>IF(C294='HP Consommables'!A52,'HP Consommables'!D52,0)</f>
        <v>0</v>
      </c>
      <c r="F294" s="153">
        <f>'HP Consommables'!F52</f>
        <v>0</v>
      </c>
      <c r="G294" s="274">
        <f t="shared" si="6"/>
        <v>0</v>
      </c>
      <c r="J294" s="199"/>
      <c r="K294" s="199"/>
      <c r="L294" s="199"/>
      <c r="M294" s="210"/>
      <c r="N294" s="210"/>
      <c r="O294" s="210"/>
      <c r="P294" s="199"/>
    </row>
    <row r="295" spans="2:16">
      <c r="B295" s="151" t="s">
        <v>128</v>
      </c>
      <c r="C295" s="151">
        <f>IF('HP Consommables'!F53&gt;0,'HP Consommables'!A53,0)</f>
        <v>0</v>
      </c>
      <c r="D295" s="152">
        <f>IF(C295='HP Consommables'!A53,'HP Consommables'!C53,0)</f>
        <v>0</v>
      </c>
      <c r="E295" s="157">
        <f>IF(C295='HP Consommables'!A53,'HP Consommables'!D53,0)</f>
        <v>0</v>
      </c>
      <c r="F295" s="153">
        <f>'HP Consommables'!F53</f>
        <v>0</v>
      </c>
      <c r="G295" s="274">
        <f t="shared" si="6"/>
        <v>0</v>
      </c>
      <c r="J295" s="199"/>
      <c r="K295" s="199"/>
      <c r="L295" s="199"/>
      <c r="M295" s="210"/>
      <c r="N295" s="210"/>
      <c r="O295" s="210"/>
      <c r="P295" s="199"/>
    </row>
    <row r="296" spans="2:16">
      <c r="B296" s="151" t="s">
        <v>128</v>
      </c>
      <c r="C296" s="151">
        <f>IF('HP Consommables'!F54&gt;0,'HP Consommables'!A54,0)</f>
        <v>0</v>
      </c>
      <c r="D296" s="152">
        <f>IF(C296='HP Consommables'!A54,'HP Consommables'!C54,0)</f>
        <v>0</v>
      </c>
      <c r="E296" s="157">
        <f>IF(C296='HP Consommables'!A54,'HP Consommables'!D54,0)</f>
        <v>0</v>
      </c>
      <c r="F296" s="153">
        <f>'HP Consommables'!F54</f>
        <v>0</v>
      </c>
      <c r="G296" s="274">
        <f t="shared" si="6"/>
        <v>0</v>
      </c>
      <c r="J296" s="199"/>
      <c r="K296" s="199"/>
      <c r="L296" s="199"/>
      <c r="M296" s="210"/>
      <c r="N296" s="210"/>
      <c r="O296" s="210"/>
      <c r="P296" s="199"/>
    </row>
    <row r="297" spans="2:16">
      <c r="B297" s="151" t="s">
        <v>128</v>
      </c>
      <c r="C297" s="151">
        <f>IF('HP Consommables'!F55&gt;0,'HP Consommables'!A55,0)</f>
        <v>0</v>
      </c>
      <c r="D297" s="152">
        <f>IF(C297='HP Consommables'!A55,'HP Consommables'!C55,0)</f>
        <v>0</v>
      </c>
      <c r="E297" s="157">
        <f>IF(C297='HP Consommables'!A55,'HP Consommables'!D55,0)</f>
        <v>0</v>
      </c>
      <c r="F297" s="153">
        <f>'HP Consommables'!F55</f>
        <v>0</v>
      </c>
      <c r="G297" s="274">
        <f t="shared" si="6"/>
        <v>0</v>
      </c>
      <c r="J297" s="199"/>
      <c r="K297" s="199"/>
    </row>
    <row r="298" spans="2:16">
      <c r="B298" s="151" t="s">
        <v>128</v>
      </c>
      <c r="C298" s="151">
        <f>IF('HP Consommables'!F56&gt;0,'HP Consommables'!A56,0)</f>
        <v>0</v>
      </c>
      <c r="D298" s="152">
        <f>IF(C298='HP Consommables'!A56,'HP Consommables'!C56,0)</f>
        <v>0</v>
      </c>
      <c r="E298" s="157">
        <f>IF(C298='HP Consommables'!A56,'HP Consommables'!D56,0)</f>
        <v>0</v>
      </c>
      <c r="F298" s="153">
        <f>'HP Consommables'!F56</f>
        <v>0</v>
      </c>
      <c r="G298" s="274">
        <f t="shared" si="6"/>
        <v>0</v>
      </c>
      <c r="J298" s="199"/>
      <c r="K298" s="199"/>
    </row>
    <row r="299" spans="2:16">
      <c r="B299" s="151" t="s">
        <v>128</v>
      </c>
      <c r="C299" s="151">
        <f>IF('HP Consommables'!F57&gt;0,'HP Consommables'!A57,0)</f>
        <v>0</v>
      </c>
      <c r="D299" s="152">
        <f>IF(C299='HP Consommables'!A57,'HP Consommables'!C57,0)</f>
        <v>0</v>
      </c>
      <c r="E299" s="157">
        <f>IF(C299='HP Consommables'!A57,'HP Consommables'!D57,0)</f>
        <v>0</v>
      </c>
      <c r="F299" s="153">
        <f>'HP Consommables'!F57</f>
        <v>0</v>
      </c>
      <c r="G299" s="274">
        <f t="shared" si="6"/>
        <v>0</v>
      </c>
      <c r="J299" s="199"/>
      <c r="K299" s="199"/>
    </row>
    <row r="300" spans="2:16">
      <c r="B300" s="151" t="s">
        <v>128</v>
      </c>
      <c r="C300" s="151">
        <f>IF('HP Consommables'!F58&gt;0,'HP Consommables'!A58,0)</f>
        <v>0</v>
      </c>
      <c r="D300" s="152">
        <f>IF(C300='HP Consommables'!A58,'HP Consommables'!C58,0)</f>
        <v>0</v>
      </c>
      <c r="E300" s="157">
        <f>IF(C300='HP Consommables'!A58,'HP Consommables'!D58,0)</f>
        <v>0</v>
      </c>
      <c r="F300" s="153">
        <f>'HP Consommables'!F58</f>
        <v>0</v>
      </c>
      <c r="G300" s="274">
        <f t="shared" si="6"/>
        <v>0</v>
      </c>
      <c r="J300" s="199"/>
      <c r="K300" s="199"/>
    </row>
    <row r="301" spans="2:16">
      <c r="B301" s="151" t="s">
        <v>128</v>
      </c>
      <c r="C301" s="151">
        <f>IF('HP Consommables'!F59&gt;0,'HP Consommables'!A59,0)</f>
        <v>0</v>
      </c>
      <c r="D301" s="152">
        <f>IF(C301='HP Consommables'!A59,'HP Consommables'!C59,0)</f>
        <v>0</v>
      </c>
      <c r="E301" s="157">
        <f>IF(C301='HP Consommables'!A59,'HP Consommables'!D59,0)</f>
        <v>0</v>
      </c>
      <c r="F301" s="153">
        <f>'HP Consommables'!F59</f>
        <v>0</v>
      </c>
      <c r="G301" s="274">
        <f t="shared" si="6"/>
        <v>0</v>
      </c>
      <c r="J301" s="199"/>
      <c r="K301" s="199"/>
    </row>
    <row r="302" spans="2:16">
      <c r="B302" s="151" t="s">
        <v>128</v>
      </c>
      <c r="C302" s="151">
        <f>IF('HP Consommables'!F60&gt;0,'HP Consommables'!A60,0)</f>
        <v>0</v>
      </c>
      <c r="D302" s="152">
        <f>IF(C302='HP Consommables'!A60,'HP Consommables'!C60,0)</f>
        <v>0</v>
      </c>
      <c r="E302" s="157">
        <f>IF(C302='HP Consommables'!A60,'HP Consommables'!D60,0)</f>
        <v>0</v>
      </c>
      <c r="F302" s="153">
        <f>'HP Consommables'!F60</f>
        <v>0</v>
      </c>
      <c r="G302" s="274">
        <f t="shared" si="6"/>
        <v>0</v>
      </c>
      <c r="J302" s="199"/>
      <c r="K302" s="199"/>
    </row>
    <row r="303" spans="2:16">
      <c r="B303" s="151" t="s">
        <v>128</v>
      </c>
      <c r="C303" s="151">
        <f>IF('HP Consommables'!F61&gt;0,'HP Consommables'!A61,0)</f>
        <v>0</v>
      </c>
      <c r="D303" s="152">
        <f>IF(C303='HP Consommables'!A61,'HP Consommables'!C61,0)</f>
        <v>0</v>
      </c>
      <c r="E303" s="157">
        <f>IF(C303='HP Consommables'!A61,'HP Consommables'!D61,0)</f>
        <v>0</v>
      </c>
      <c r="F303" s="153">
        <f>'HP Consommables'!F61</f>
        <v>0</v>
      </c>
      <c r="G303" s="274">
        <f t="shared" si="6"/>
        <v>0</v>
      </c>
      <c r="J303" s="199"/>
      <c r="K303" s="199"/>
    </row>
    <row r="304" spans="2:16">
      <c r="B304" s="151" t="s">
        <v>128</v>
      </c>
      <c r="C304" s="151">
        <f>IF('HP Consommables'!F62&gt;0,'HP Consommables'!A62,0)</f>
        <v>0</v>
      </c>
      <c r="D304" s="152">
        <f>IF(C304='HP Consommables'!A62,'HP Consommables'!C62,0)</f>
        <v>0</v>
      </c>
      <c r="E304" s="157">
        <f>IF(C304='HP Consommables'!A62,'HP Consommables'!D62,0)</f>
        <v>0</v>
      </c>
      <c r="F304" s="153">
        <f>'HP Consommables'!F62</f>
        <v>0</v>
      </c>
      <c r="G304" s="274">
        <f t="shared" si="6"/>
        <v>0</v>
      </c>
      <c r="J304" s="199"/>
      <c r="K304" s="199"/>
    </row>
    <row r="305" spans="2:11">
      <c r="B305" s="151" t="s">
        <v>128</v>
      </c>
      <c r="C305" s="151">
        <f>IF('HP Consommables'!F63&gt;0,'HP Consommables'!A63,0)</f>
        <v>0</v>
      </c>
      <c r="D305" s="152">
        <f>IF(C305='HP Consommables'!A63,'HP Consommables'!C63,0)</f>
        <v>0</v>
      </c>
      <c r="E305" s="157">
        <f>IF(C305='HP Consommables'!A63,'HP Consommables'!D63,0)</f>
        <v>0</v>
      </c>
      <c r="F305" s="153">
        <f>'HP Consommables'!F63</f>
        <v>0</v>
      </c>
      <c r="G305" s="274">
        <f t="shared" si="6"/>
        <v>0</v>
      </c>
      <c r="J305" s="199"/>
      <c r="K305" s="199"/>
    </row>
    <row r="306" spans="2:11">
      <c r="B306" s="151" t="s">
        <v>128</v>
      </c>
      <c r="C306" s="151">
        <f>IF('HP Consommables'!F64&gt;0,'HP Consommables'!A64,0)</f>
        <v>0</v>
      </c>
      <c r="D306" s="152">
        <f>IF(C306='HP Consommables'!A64,'HP Consommables'!C64,0)</f>
        <v>0</v>
      </c>
      <c r="E306" s="157">
        <f>IF(C306='HP Consommables'!A64,'HP Consommables'!D64,0)</f>
        <v>0</v>
      </c>
      <c r="F306" s="153">
        <f>'HP Consommables'!F64</f>
        <v>0</v>
      </c>
      <c r="G306" s="274">
        <f t="shared" si="6"/>
        <v>0</v>
      </c>
      <c r="J306" s="199"/>
      <c r="K306" s="199"/>
    </row>
    <row r="307" spans="2:11">
      <c r="B307" s="151" t="s">
        <v>128</v>
      </c>
      <c r="C307" s="151">
        <f>IF('HP Consommables'!F65&gt;0,'HP Consommables'!A65,0)</f>
        <v>0</v>
      </c>
      <c r="D307" s="152">
        <f>IF(C307='HP Consommables'!A65,'HP Consommables'!C65,0)</f>
        <v>0</v>
      </c>
      <c r="E307" s="157">
        <f>IF(C307='HP Consommables'!A65,'HP Consommables'!D65,0)</f>
        <v>0</v>
      </c>
      <c r="F307" s="153">
        <f>'HP Consommables'!F65</f>
        <v>0</v>
      </c>
      <c r="G307" s="274">
        <f t="shared" si="6"/>
        <v>0</v>
      </c>
      <c r="J307" s="199"/>
      <c r="K307" s="199"/>
    </row>
    <row r="308" spans="2:11">
      <c r="B308" s="151" t="s">
        <v>128</v>
      </c>
      <c r="C308" s="151">
        <f>IF('HP Consommables'!F66&gt;0,'HP Consommables'!A66,0)</f>
        <v>0</v>
      </c>
      <c r="D308" s="152">
        <f>IF(C308='HP Consommables'!A66,'HP Consommables'!C66,0)</f>
        <v>0</v>
      </c>
      <c r="E308" s="157">
        <f>IF(C308='HP Consommables'!A66,'HP Consommables'!D66,0)</f>
        <v>0</v>
      </c>
      <c r="F308" s="153">
        <f>'HP Consommables'!F66</f>
        <v>0</v>
      </c>
      <c r="G308" s="274">
        <f t="shared" si="6"/>
        <v>0</v>
      </c>
      <c r="J308" s="199"/>
      <c r="K308" s="199"/>
    </row>
    <row r="309" spans="2:11">
      <c r="B309" s="151" t="s">
        <v>128</v>
      </c>
      <c r="C309" s="151">
        <f>IF('HP Consommables'!F67&gt;0,'HP Consommables'!A67,0)</f>
        <v>0</v>
      </c>
      <c r="D309" s="152">
        <f>IF(C309='HP Consommables'!A67,'HP Consommables'!C67,0)</f>
        <v>0</v>
      </c>
      <c r="E309" s="157">
        <f>IF(C309='HP Consommables'!A67,'HP Consommables'!D67,0)</f>
        <v>0</v>
      </c>
      <c r="F309" s="153">
        <f>'HP Consommables'!F67</f>
        <v>0</v>
      </c>
      <c r="G309" s="274">
        <f t="shared" si="6"/>
        <v>0</v>
      </c>
      <c r="J309" s="199"/>
      <c r="K309" s="199"/>
    </row>
    <row r="310" spans="2:11">
      <c r="B310" s="151" t="s">
        <v>128</v>
      </c>
      <c r="C310" s="151">
        <f>IF('HP Consommables'!F68&gt;0,'HP Consommables'!A68,0)</f>
        <v>0</v>
      </c>
      <c r="D310" s="152">
        <f>IF(C310='HP Consommables'!A68,'HP Consommables'!C68,0)</f>
        <v>0</v>
      </c>
      <c r="E310" s="157">
        <f>IF(C310='HP Consommables'!A68,'HP Consommables'!D68,0)</f>
        <v>0</v>
      </c>
      <c r="F310" s="153">
        <f>'HP Consommables'!F68</f>
        <v>0</v>
      </c>
      <c r="G310" s="274">
        <f t="shared" si="6"/>
        <v>0</v>
      </c>
      <c r="J310" s="199"/>
      <c r="K310" s="199"/>
    </row>
    <row r="311" spans="2:11">
      <c r="B311" s="151" t="s">
        <v>128</v>
      </c>
      <c r="C311" s="151">
        <f>IF('HP Consommables'!F69&gt;0,'HP Consommables'!A69,0)</f>
        <v>0</v>
      </c>
      <c r="D311" s="152">
        <f>IF(C311='HP Consommables'!A69,'HP Consommables'!C69,0)</f>
        <v>0</v>
      </c>
      <c r="E311" s="157">
        <f>IF(C311='HP Consommables'!A69,'HP Consommables'!D69,0)</f>
        <v>0</v>
      </c>
      <c r="F311" s="153">
        <f>'HP Consommables'!F69</f>
        <v>0</v>
      </c>
      <c r="G311" s="274">
        <f t="shared" si="6"/>
        <v>0</v>
      </c>
      <c r="J311" s="199"/>
      <c r="K311" s="199"/>
    </row>
    <row r="312" spans="2:11">
      <c r="B312" s="151" t="s">
        <v>128</v>
      </c>
      <c r="C312" s="151">
        <f>IF('HP Consommables'!F70&gt;0,'HP Consommables'!A70,0)</f>
        <v>0</v>
      </c>
      <c r="D312" s="152">
        <f>IF(C312='HP Consommables'!A70,'HP Consommables'!C70,0)</f>
        <v>0</v>
      </c>
      <c r="E312" s="157">
        <f>IF(C312='HP Consommables'!A70,'HP Consommables'!D70,0)</f>
        <v>0</v>
      </c>
      <c r="F312" s="153">
        <f>'HP Consommables'!F70</f>
        <v>0</v>
      </c>
      <c r="G312" s="274">
        <f t="shared" si="6"/>
        <v>0</v>
      </c>
      <c r="J312" s="199"/>
      <c r="K312" s="199"/>
    </row>
    <row r="313" spans="2:11">
      <c r="B313" s="151" t="s">
        <v>128</v>
      </c>
      <c r="C313" s="151">
        <f>IF('HP Consommables'!F71&gt;0,'HP Consommables'!A71,0)</f>
        <v>0</v>
      </c>
      <c r="D313" s="152">
        <f>IF(C313='HP Consommables'!A71,'HP Consommables'!C71,0)</f>
        <v>0</v>
      </c>
      <c r="E313" s="157">
        <f>IF(C313='HP Consommables'!A71,'HP Consommables'!D71,0)</f>
        <v>0</v>
      </c>
      <c r="F313" s="153">
        <f>'HP Consommables'!F71</f>
        <v>0</v>
      </c>
      <c r="G313" s="274">
        <f t="shared" si="6"/>
        <v>0</v>
      </c>
      <c r="J313" s="199"/>
      <c r="K313" s="199"/>
    </row>
    <row r="314" spans="2:11">
      <c r="B314" s="151" t="s">
        <v>128</v>
      </c>
      <c r="C314" s="151">
        <f>IF('HP Consommables'!F72&gt;0,'HP Consommables'!A72,0)</f>
        <v>0</v>
      </c>
      <c r="D314" s="152">
        <f>IF(C314='HP Consommables'!A72,'HP Consommables'!C72,0)</f>
        <v>0</v>
      </c>
      <c r="E314" s="157">
        <f>IF(C314='HP Consommables'!A72,'HP Consommables'!D72,0)</f>
        <v>0</v>
      </c>
      <c r="F314" s="153">
        <f>'HP Consommables'!F72</f>
        <v>0</v>
      </c>
      <c r="G314" s="274">
        <f t="shared" si="6"/>
        <v>0</v>
      </c>
      <c r="J314" s="199"/>
      <c r="K314" s="199"/>
    </row>
    <row r="315" spans="2:11">
      <c r="B315" s="151" t="s">
        <v>128</v>
      </c>
      <c r="C315" s="151">
        <f>IF('HP Consommables'!F73&gt;0,'HP Consommables'!A73,0)</f>
        <v>0</v>
      </c>
      <c r="D315" s="152">
        <f>IF(C315='HP Consommables'!A73,'HP Consommables'!C73,0)</f>
        <v>0</v>
      </c>
      <c r="E315" s="157">
        <f>IF(C315='HP Consommables'!A73,'HP Consommables'!D73,0)</f>
        <v>0</v>
      </c>
      <c r="F315" s="153">
        <f>'HP Consommables'!F73</f>
        <v>0</v>
      </c>
      <c r="G315" s="274">
        <f t="shared" si="6"/>
        <v>0</v>
      </c>
      <c r="J315" s="199"/>
      <c r="K315" s="199"/>
    </row>
    <row r="316" spans="2:11">
      <c r="B316" s="151" t="s">
        <v>128</v>
      </c>
      <c r="C316" s="151">
        <f>IF('HP Consommables'!F74&gt;0,'HP Consommables'!A74,0)</f>
        <v>0</v>
      </c>
      <c r="D316" s="152">
        <f>IF(C316='HP Consommables'!A74,'HP Consommables'!C74,0)</f>
        <v>0</v>
      </c>
      <c r="E316" s="157">
        <f>IF(C316='HP Consommables'!A74,'HP Consommables'!D74,0)</f>
        <v>0</v>
      </c>
      <c r="F316" s="153">
        <f>'HP Consommables'!F74</f>
        <v>0</v>
      </c>
      <c r="G316" s="274">
        <f t="shared" si="6"/>
        <v>0</v>
      </c>
      <c r="J316" s="199"/>
      <c r="K316" s="199"/>
    </row>
    <row r="317" spans="2:11">
      <c r="B317" s="151" t="s">
        <v>128</v>
      </c>
      <c r="C317" s="151">
        <f>IF('HP Consommables'!F75&gt;0,'HP Consommables'!A75,0)</f>
        <v>0</v>
      </c>
      <c r="D317" s="152">
        <f>IF(C317='HP Consommables'!A75,'HP Consommables'!C75,0)</f>
        <v>0</v>
      </c>
      <c r="E317" s="157">
        <f>IF(C317='HP Consommables'!A75,'HP Consommables'!D75,0)</f>
        <v>0</v>
      </c>
      <c r="F317" s="153">
        <f>'HP Consommables'!F75</f>
        <v>0</v>
      </c>
      <c r="G317" s="274">
        <f t="shared" si="6"/>
        <v>0</v>
      </c>
      <c r="J317" s="199"/>
      <c r="K317" s="199"/>
    </row>
    <row r="318" spans="2:11">
      <c r="B318" s="151" t="s">
        <v>128</v>
      </c>
      <c r="C318" s="151">
        <f>IF('HP Consommables'!F76&gt;0,'HP Consommables'!A76,0)</f>
        <v>0</v>
      </c>
      <c r="D318" s="152">
        <f>IF(C318='HP Consommables'!A76,'HP Consommables'!C76,0)</f>
        <v>0</v>
      </c>
      <c r="E318" s="157">
        <f>IF(C318='HP Consommables'!A76,'HP Consommables'!D76,0)</f>
        <v>0</v>
      </c>
      <c r="F318" s="153">
        <f>'HP Consommables'!F76</f>
        <v>0</v>
      </c>
      <c r="G318" s="274">
        <f t="shared" ref="G318:G381" si="7">F318*E318</f>
        <v>0</v>
      </c>
      <c r="J318" s="199"/>
      <c r="K318" s="199"/>
    </row>
    <row r="319" spans="2:11">
      <c r="B319" s="151" t="s">
        <v>128</v>
      </c>
      <c r="C319" s="151">
        <f>IF('HP Consommables'!F77&gt;0,'HP Consommables'!A77,0)</f>
        <v>0</v>
      </c>
      <c r="D319" s="152">
        <f>IF(C319='HP Consommables'!A77,'HP Consommables'!C77,0)</f>
        <v>0</v>
      </c>
      <c r="E319" s="157">
        <f>IF(C319='HP Consommables'!A77,'HP Consommables'!D77,0)</f>
        <v>0</v>
      </c>
      <c r="F319" s="153">
        <f>'HP Consommables'!F77</f>
        <v>0</v>
      </c>
      <c r="G319" s="274">
        <f t="shared" si="7"/>
        <v>0</v>
      </c>
      <c r="J319" s="199"/>
      <c r="K319" s="199"/>
    </row>
    <row r="320" spans="2:11">
      <c r="B320" s="151" t="s">
        <v>128</v>
      </c>
      <c r="C320" s="151">
        <f>IF('HP Consommables'!F78&gt;0,'HP Consommables'!A78,0)</f>
        <v>0</v>
      </c>
      <c r="D320" s="152">
        <f>IF(C320='HP Consommables'!A78,'HP Consommables'!C78,0)</f>
        <v>0</v>
      </c>
      <c r="E320" s="157">
        <f>IF(C320='HP Consommables'!A78,'HP Consommables'!D78,0)</f>
        <v>0</v>
      </c>
      <c r="F320" s="153">
        <f>'HP Consommables'!F78</f>
        <v>0</v>
      </c>
      <c r="G320" s="274">
        <f t="shared" si="7"/>
        <v>0</v>
      </c>
      <c r="J320" s="199"/>
      <c r="K320" s="199"/>
    </row>
    <row r="321" spans="2:16">
      <c r="B321" s="151" t="s">
        <v>128</v>
      </c>
      <c r="C321" s="151">
        <f>IF('HP Consommables'!F79&gt;0,'HP Consommables'!A79,0)</f>
        <v>0</v>
      </c>
      <c r="D321" s="152">
        <f>IF(C321='HP Consommables'!A79,'HP Consommables'!C79,0)</f>
        <v>0</v>
      </c>
      <c r="E321" s="157">
        <f>IF(C321='HP Consommables'!A79,'HP Consommables'!D79,0)</f>
        <v>0</v>
      </c>
      <c r="F321" s="153">
        <f>'HP Consommables'!F79</f>
        <v>0</v>
      </c>
      <c r="G321" s="274">
        <f t="shared" si="7"/>
        <v>0</v>
      </c>
      <c r="J321" s="199"/>
      <c r="K321" s="199"/>
    </row>
    <row r="322" spans="2:16">
      <c r="B322" s="151" t="s">
        <v>128</v>
      </c>
      <c r="C322" s="151">
        <f>IF('HP Consommables'!F80&gt;0,'HP Consommables'!A80,0)</f>
        <v>0</v>
      </c>
      <c r="D322" s="152">
        <f>IF(C322='HP Consommables'!A80,'HP Consommables'!C80,0)</f>
        <v>0</v>
      </c>
      <c r="E322" s="157">
        <f>IF(C322='HP Consommables'!A80,'HP Consommables'!D80,0)</f>
        <v>0</v>
      </c>
      <c r="F322" s="153">
        <f>'HP Consommables'!F80</f>
        <v>0</v>
      </c>
      <c r="G322" s="274">
        <f t="shared" si="7"/>
        <v>0</v>
      </c>
      <c r="J322" s="199"/>
      <c r="K322" s="199"/>
      <c r="L322" s="199"/>
      <c r="M322" s="210"/>
      <c r="N322" s="210"/>
      <c r="O322" s="210"/>
      <c r="P322" s="199"/>
    </row>
    <row r="323" spans="2:16">
      <c r="B323" s="151" t="s">
        <v>128</v>
      </c>
      <c r="C323" s="151">
        <f>IF('HP Consommables'!F81&gt;0,'HP Consommables'!A81,0)</f>
        <v>0</v>
      </c>
      <c r="D323" s="152">
        <f>IF(C323='HP Consommables'!A81,'HP Consommables'!C81,0)</f>
        <v>0</v>
      </c>
      <c r="E323" s="157">
        <f>IF(C323='HP Consommables'!A81,'HP Consommables'!D81,0)</f>
        <v>0</v>
      </c>
      <c r="F323" s="153">
        <f>'HP Consommables'!F81</f>
        <v>0</v>
      </c>
      <c r="G323" s="274">
        <f t="shared" si="7"/>
        <v>0</v>
      </c>
      <c r="J323" s="199"/>
      <c r="K323" s="199"/>
      <c r="L323" s="199"/>
      <c r="M323" s="210"/>
      <c r="N323" s="210"/>
      <c r="O323" s="210"/>
      <c r="P323" s="199"/>
    </row>
    <row r="324" spans="2:16">
      <c r="B324" s="151" t="s">
        <v>128</v>
      </c>
      <c r="C324" s="151">
        <f>IF('HP Consommables'!F82&gt;0,'HP Consommables'!A82,0)</f>
        <v>0</v>
      </c>
      <c r="D324" s="152">
        <f>IF(C324='HP Consommables'!A82,'HP Consommables'!C82,0)</f>
        <v>0</v>
      </c>
      <c r="E324" s="157">
        <f>IF(C324='HP Consommables'!A82,'HP Consommables'!D82,0)</f>
        <v>0</v>
      </c>
      <c r="F324" s="153">
        <f>'HP Consommables'!F82</f>
        <v>0</v>
      </c>
      <c r="G324" s="274">
        <f t="shared" si="7"/>
        <v>0</v>
      </c>
      <c r="J324" s="199"/>
      <c r="K324" s="199"/>
      <c r="L324" s="199"/>
      <c r="M324" s="210"/>
      <c r="N324" s="210"/>
      <c r="O324" s="210"/>
      <c r="P324" s="199"/>
    </row>
    <row r="325" spans="2:16">
      <c r="B325" s="151" t="s">
        <v>128</v>
      </c>
      <c r="C325" s="151">
        <f>IF('HP Consommables'!F83&gt;0,'HP Consommables'!A83,0)</f>
        <v>0</v>
      </c>
      <c r="D325" s="152">
        <f>IF(C325='HP Consommables'!A83,'HP Consommables'!C83,0)</f>
        <v>0</v>
      </c>
      <c r="E325" s="157">
        <f>IF(C325='HP Consommables'!A83,'HP Consommables'!D83,0)</f>
        <v>0</v>
      </c>
      <c r="F325" s="153">
        <f>'HP Consommables'!F83</f>
        <v>0</v>
      </c>
      <c r="G325" s="274">
        <f t="shared" si="7"/>
        <v>0</v>
      </c>
      <c r="J325" s="199"/>
      <c r="K325" s="199"/>
      <c r="L325" s="199"/>
      <c r="M325" s="210"/>
      <c r="N325" s="210"/>
      <c r="O325" s="210"/>
      <c r="P325" s="199"/>
    </row>
    <row r="326" spans="2:16">
      <c r="B326" s="151" t="s">
        <v>128</v>
      </c>
      <c r="C326" s="151">
        <f>IF('HP Consommables'!F84&gt;0,'HP Consommables'!A84,0)</f>
        <v>0</v>
      </c>
      <c r="D326" s="152">
        <f>IF(C326='HP Consommables'!A84,'HP Consommables'!C84,0)</f>
        <v>0</v>
      </c>
      <c r="E326" s="157">
        <f>IF(C326='HP Consommables'!A84,'HP Consommables'!D84,0)</f>
        <v>0</v>
      </c>
      <c r="F326" s="153">
        <f>'HP Consommables'!F84</f>
        <v>0</v>
      </c>
      <c r="G326" s="274">
        <f t="shared" si="7"/>
        <v>0</v>
      </c>
      <c r="J326" s="199"/>
      <c r="K326" s="199"/>
    </row>
    <row r="327" spans="2:16">
      <c r="B327" s="151" t="s">
        <v>128</v>
      </c>
      <c r="C327" s="151">
        <f>IF('HP Consommables'!F85&gt;0,'HP Consommables'!A85,0)</f>
        <v>0</v>
      </c>
      <c r="D327" s="152">
        <f>IF(C327='HP Consommables'!A85,'HP Consommables'!C85,0)</f>
        <v>0</v>
      </c>
      <c r="E327" s="157">
        <f>IF(C327='HP Consommables'!A85,'HP Consommables'!D85,0)</f>
        <v>0</v>
      </c>
      <c r="F327" s="153">
        <f>'HP Consommables'!F85</f>
        <v>0</v>
      </c>
      <c r="G327" s="274">
        <f t="shared" si="7"/>
        <v>0</v>
      </c>
      <c r="J327" s="199"/>
      <c r="K327" s="199"/>
    </row>
    <row r="328" spans="2:16">
      <c r="B328" s="151" t="s">
        <v>128</v>
      </c>
      <c r="C328" s="151">
        <f>IF('HP Consommables'!F86&gt;0,'HP Consommables'!A86,0)</f>
        <v>0</v>
      </c>
      <c r="D328" s="152">
        <f>IF(C328='HP Consommables'!A86,'HP Consommables'!C86,0)</f>
        <v>0</v>
      </c>
      <c r="E328" s="157">
        <f>IF(C328='HP Consommables'!A86,'HP Consommables'!D86,0)</f>
        <v>0</v>
      </c>
      <c r="F328" s="153">
        <f>'HP Consommables'!F86</f>
        <v>0</v>
      </c>
      <c r="G328" s="274">
        <f t="shared" si="7"/>
        <v>0</v>
      </c>
      <c r="J328" s="199"/>
      <c r="K328" s="199"/>
    </row>
    <row r="329" spans="2:16">
      <c r="B329" s="151" t="s">
        <v>128</v>
      </c>
      <c r="C329" s="151">
        <f>IF('HP Consommables'!F87&gt;0,'HP Consommables'!A87,0)</f>
        <v>0</v>
      </c>
      <c r="D329" s="152">
        <f>IF(C329='HP Consommables'!A87,'HP Consommables'!C87,0)</f>
        <v>0</v>
      </c>
      <c r="E329" s="157">
        <f>IF(C329='HP Consommables'!A87,'HP Consommables'!D87,0)</f>
        <v>0</v>
      </c>
      <c r="F329" s="153">
        <f>'HP Consommables'!F87</f>
        <v>0</v>
      </c>
      <c r="G329" s="274">
        <f t="shared" si="7"/>
        <v>0</v>
      </c>
      <c r="J329" s="199"/>
      <c r="K329" s="199"/>
    </row>
    <row r="330" spans="2:16">
      <c r="B330" s="151" t="s">
        <v>128</v>
      </c>
      <c r="C330" s="151">
        <f>IF('HP Consommables'!F88&gt;0,'HP Consommables'!A88,0)</f>
        <v>0</v>
      </c>
      <c r="D330" s="152">
        <f>IF(C330='HP Consommables'!A88,'HP Consommables'!C88,0)</f>
        <v>0</v>
      </c>
      <c r="E330" s="157">
        <f>IF(C330='HP Consommables'!A88,'HP Consommables'!D88,0)</f>
        <v>0</v>
      </c>
      <c r="F330" s="153">
        <f>'HP Consommables'!F88</f>
        <v>0</v>
      </c>
      <c r="G330" s="274">
        <f t="shared" si="7"/>
        <v>0</v>
      </c>
      <c r="J330" s="199"/>
      <c r="K330" s="199"/>
    </row>
    <row r="331" spans="2:16">
      <c r="B331" s="151" t="s">
        <v>128</v>
      </c>
      <c r="C331" s="151">
        <f>IF('HP Consommables'!F89&gt;0,'HP Consommables'!A89,0)</f>
        <v>0</v>
      </c>
      <c r="D331" s="152">
        <f>IF(C331='HP Consommables'!A89,'HP Consommables'!C89,0)</f>
        <v>0</v>
      </c>
      <c r="E331" s="157">
        <f>IF(C331='HP Consommables'!A89,'HP Consommables'!D89,0)</f>
        <v>0</v>
      </c>
      <c r="F331" s="153">
        <f>'HP Consommables'!F89</f>
        <v>0</v>
      </c>
      <c r="G331" s="274">
        <f t="shared" si="7"/>
        <v>0</v>
      </c>
      <c r="J331" s="199"/>
      <c r="K331" s="199"/>
    </row>
    <row r="332" spans="2:16">
      <c r="B332" s="151" t="s">
        <v>128</v>
      </c>
      <c r="C332" s="151">
        <f>IF('HP Consommables'!F90&gt;0,'HP Consommables'!A90,0)</f>
        <v>0</v>
      </c>
      <c r="D332" s="152">
        <f>IF(C332='HP Consommables'!A90,'HP Consommables'!C90,0)</f>
        <v>0</v>
      </c>
      <c r="E332" s="157">
        <f>IF(C332='HP Consommables'!A90,'HP Consommables'!D90,0)</f>
        <v>0</v>
      </c>
      <c r="F332" s="153">
        <f>'HP Consommables'!F90</f>
        <v>0</v>
      </c>
      <c r="G332" s="274">
        <f t="shared" si="7"/>
        <v>0</v>
      </c>
      <c r="J332" s="199"/>
      <c r="K332" s="199"/>
    </row>
    <row r="333" spans="2:16">
      <c r="B333" s="151" t="s">
        <v>128</v>
      </c>
      <c r="C333" s="151">
        <f>IF('HP Consommables'!F91&gt;0,'HP Consommables'!A91,0)</f>
        <v>0</v>
      </c>
      <c r="D333" s="152">
        <f>IF(C333='HP Consommables'!A91,'HP Consommables'!C91,0)</f>
        <v>0</v>
      </c>
      <c r="E333" s="157">
        <f>IF(C333='HP Consommables'!A91,'HP Consommables'!D91,0)</f>
        <v>0</v>
      </c>
      <c r="F333" s="153">
        <f>'HP Consommables'!F91</f>
        <v>0</v>
      </c>
      <c r="G333" s="274">
        <f t="shared" si="7"/>
        <v>0</v>
      </c>
      <c r="J333" s="199"/>
      <c r="K333" s="199"/>
    </row>
    <row r="334" spans="2:16">
      <c r="B334" s="151" t="s">
        <v>128</v>
      </c>
      <c r="C334" s="151">
        <f>IF('HP Consommables'!F92&gt;0,'HP Consommables'!A92,0)</f>
        <v>0</v>
      </c>
      <c r="D334" s="152">
        <f>IF(C334='HP Consommables'!A92,'HP Consommables'!C92,0)</f>
        <v>0</v>
      </c>
      <c r="E334" s="157">
        <f>IF(C334='HP Consommables'!A92,'HP Consommables'!D92,0)</f>
        <v>0</v>
      </c>
      <c r="F334" s="153">
        <f>'HP Consommables'!F92</f>
        <v>0</v>
      </c>
      <c r="G334" s="274">
        <f t="shared" si="7"/>
        <v>0</v>
      </c>
      <c r="J334" s="199"/>
      <c r="K334" s="199"/>
    </row>
    <row r="335" spans="2:16">
      <c r="B335" s="151" t="s">
        <v>128</v>
      </c>
      <c r="C335" s="151">
        <f>IF('HP Consommables'!F93&gt;0,'HP Consommables'!A93,0)</f>
        <v>0</v>
      </c>
      <c r="D335" s="152">
        <f>IF(C335='HP Consommables'!A93,'HP Consommables'!C93,0)</f>
        <v>0</v>
      </c>
      <c r="E335" s="157">
        <f>IF(C335='HP Consommables'!A93,'HP Consommables'!D93,0)</f>
        <v>0</v>
      </c>
      <c r="F335" s="153">
        <f>'HP Consommables'!F93</f>
        <v>0</v>
      </c>
      <c r="G335" s="274">
        <f t="shared" si="7"/>
        <v>0</v>
      </c>
      <c r="J335" s="199"/>
      <c r="K335" s="199"/>
    </row>
    <row r="336" spans="2:16">
      <c r="B336" s="151" t="s">
        <v>128</v>
      </c>
      <c r="C336" s="151">
        <f>IF('HP Consommables'!F94&gt;0,'HP Consommables'!A94,0)</f>
        <v>0</v>
      </c>
      <c r="D336" s="152">
        <f>IF(C336='HP Consommables'!A94,'HP Consommables'!C94,0)</f>
        <v>0</v>
      </c>
      <c r="E336" s="157">
        <f>IF(C336='HP Consommables'!A94,'HP Consommables'!D94,0)</f>
        <v>0</v>
      </c>
      <c r="F336" s="153">
        <f>'HP Consommables'!F94</f>
        <v>0</v>
      </c>
      <c r="G336" s="274">
        <f t="shared" si="7"/>
        <v>0</v>
      </c>
      <c r="J336" s="199"/>
      <c r="K336" s="199"/>
    </row>
    <row r="337" spans="2:11">
      <c r="B337" s="151" t="s">
        <v>128</v>
      </c>
      <c r="C337" s="151">
        <f>IF('HP Consommables'!F95&gt;0,'HP Consommables'!A95,0)</f>
        <v>0</v>
      </c>
      <c r="D337" s="152">
        <f>IF(C337='HP Consommables'!A95,'HP Consommables'!C95,0)</f>
        <v>0</v>
      </c>
      <c r="E337" s="157">
        <f>IF(C337='HP Consommables'!A95,'HP Consommables'!D95,0)</f>
        <v>0</v>
      </c>
      <c r="F337" s="153">
        <f>'HP Consommables'!F95</f>
        <v>0</v>
      </c>
      <c r="G337" s="274">
        <f t="shared" si="7"/>
        <v>0</v>
      </c>
      <c r="J337" s="199"/>
      <c r="K337" s="199"/>
    </row>
    <row r="338" spans="2:11">
      <c r="B338" s="151" t="s">
        <v>128</v>
      </c>
      <c r="C338" s="151">
        <f>IF('HP Consommables'!F96&gt;0,'HP Consommables'!A96,0)</f>
        <v>0</v>
      </c>
      <c r="D338" s="152">
        <f>IF(C338='HP Consommables'!A96,'HP Consommables'!C96,0)</f>
        <v>0</v>
      </c>
      <c r="E338" s="157">
        <f>IF(C338='HP Consommables'!A96,'HP Consommables'!D96,0)</f>
        <v>0</v>
      </c>
      <c r="F338" s="153">
        <f>'HP Consommables'!F96</f>
        <v>0</v>
      </c>
      <c r="G338" s="274">
        <f t="shared" si="7"/>
        <v>0</v>
      </c>
      <c r="J338" s="199"/>
      <c r="K338" s="199"/>
    </row>
    <row r="339" spans="2:11">
      <c r="B339" s="151" t="s">
        <v>128</v>
      </c>
      <c r="C339" s="151">
        <f>IF('HP Consommables'!F97&gt;0,'HP Consommables'!A97,0)</f>
        <v>0</v>
      </c>
      <c r="D339" s="152">
        <f>IF(C339='HP Consommables'!A97,'HP Consommables'!C97,0)</f>
        <v>0</v>
      </c>
      <c r="E339" s="157">
        <f>IF(C339='HP Consommables'!A97,'HP Consommables'!D97,0)</f>
        <v>0</v>
      </c>
      <c r="F339" s="153">
        <f>'HP Consommables'!F97</f>
        <v>0</v>
      </c>
      <c r="G339" s="274">
        <f t="shared" si="7"/>
        <v>0</v>
      </c>
      <c r="J339" s="199"/>
      <c r="K339" s="199"/>
    </row>
    <row r="340" spans="2:11">
      <c r="B340" s="151" t="s">
        <v>128</v>
      </c>
      <c r="C340" s="151">
        <f>IF('HP Consommables'!F98&gt;0,'HP Consommables'!A98,0)</f>
        <v>0</v>
      </c>
      <c r="D340" s="152">
        <f>IF(C340='HP Consommables'!A98,'HP Consommables'!C98,0)</f>
        <v>0</v>
      </c>
      <c r="E340" s="157">
        <f>IF(C340='HP Consommables'!A98,'HP Consommables'!D98,0)</f>
        <v>0</v>
      </c>
      <c r="F340" s="153">
        <f>'HP Consommables'!F98</f>
        <v>0</v>
      </c>
      <c r="G340" s="274">
        <f t="shared" si="7"/>
        <v>0</v>
      </c>
      <c r="J340" s="199"/>
      <c r="K340" s="199"/>
    </row>
    <row r="341" spans="2:11">
      <c r="B341" s="151" t="s">
        <v>128</v>
      </c>
      <c r="C341" s="151">
        <f>IF('HP Consommables'!F99&gt;0,'HP Consommables'!A99,0)</f>
        <v>0</v>
      </c>
      <c r="D341" s="152">
        <f>IF(C341='HP Consommables'!A99,'HP Consommables'!C99,0)</f>
        <v>0</v>
      </c>
      <c r="E341" s="157">
        <f>IF(C341='HP Consommables'!A99,'HP Consommables'!D99,0)</f>
        <v>0</v>
      </c>
      <c r="F341" s="153">
        <f>'HP Consommables'!F99</f>
        <v>0</v>
      </c>
      <c r="G341" s="274">
        <f t="shared" si="7"/>
        <v>0</v>
      </c>
      <c r="J341" s="199"/>
      <c r="K341" s="199"/>
    </row>
    <row r="342" spans="2:11">
      <c r="B342" s="151" t="s">
        <v>128</v>
      </c>
      <c r="C342" s="151">
        <f>IF('HP Consommables'!F100&gt;0,'HP Consommables'!A100,0)</f>
        <v>0</v>
      </c>
      <c r="D342" s="152">
        <f>IF(C342='HP Consommables'!A100,'HP Consommables'!C100,0)</f>
        <v>0</v>
      </c>
      <c r="E342" s="157">
        <f>IF(C342='HP Consommables'!A100,'HP Consommables'!D100,0)</f>
        <v>0</v>
      </c>
      <c r="F342" s="153">
        <f>'HP Consommables'!F100</f>
        <v>0</v>
      </c>
      <c r="G342" s="274">
        <f t="shared" si="7"/>
        <v>0</v>
      </c>
      <c r="J342" s="199"/>
      <c r="K342" s="199"/>
    </row>
    <row r="343" spans="2:11">
      <c r="B343" s="151" t="s">
        <v>128</v>
      </c>
      <c r="C343" s="151">
        <f>IF('HP Consommables'!F101&gt;0,'HP Consommables'!A101,0)</f>
        <v>0</v>
      </c>
      <c r="D343" s="152">
        <f>IF(C343='HP Consommables'!A101,'HP Consommables'!C101,0)</f>
        <v>0</v>
      </c>
      <c r="E343" s="157">
        <f>IF(C343='HP Consommables'!A101,'HP Consommables'!D101,0)</f>
        <v>0</v>
      </c>
      <c r="F343" s="153">
        <f>'HP Consommables'!F101</f>
        <v>0</v>
      </c>
      <c r="G343" s="274">
        <f t="shared" si="7"/>
        <v>0</v>
      </c>
      <c r="J343" s="199"/>
      <c r="K343" s="199"/>
    </row>
    <row r="344" spans="2:11">
      <c r="B344" s="151" t="s">
        <v>128</v>
      </c>
      <c r="C344" s="151">
        <f>IF('HP Consommables'!F102&gt;0,'HP Consommables'!A102,0)</f>
        <v>0</v>
      </c>
      <c r="D344" s="152">
        <f>IF(C344='HP Consommables'!A102,'HP Consommables'!C102,0)</f>
        <v>0</v>
      </c>
      <c r="E344" s="157">
        <f>IF(C344='HP Consommables'!A102,'HP Consommables'!D102,0)</f>
        <v>0</v>
      </c>
      <c r="F344" s="153">
        <f>'HP Consommables'!F102</f>
        <v>0</v>
      </c>
      <c r="G344" s="274">
        <f t="shared" si="7"/>
        <v>0</v>
      </c>
      <c r="J344" s="199"/>
      <c r="K344" s="199"/>
    </row>
    <row r="345" spans="2:11">
      <c r="B345" s="151" t="s">
        <v>128</v>
      </c>
      <c r="C345" s="151">
        <f>IF('HP Consommables'!F103&gt;0,'HP Consommables'!A103,0)</f>
        <v>0</v>
      </c>
      <c r="D345" s="152">
        <f>IF(C345='HP Consommables'!A103,'HP Consommables'!C103,0)</f>
        <v>0</v>
      </c>
      <c r="E345" s="157">
        <f>IF(C345='HP Consommables'!A103,'HP Consommables'!D103,0)</f>
        <v>0</v>
      </c>
      <c r="F345" s="153">
        <f>'HP Consommables'!F103</f>
        <v>0</v>
      </c>
      <c r="G345" s="274">
        <f t="shared" si="7"/>
        <v>0</v>
      </c>
      <c r="J345" s="199"/>
      <c r="K345" s="199"/>
    </row>
    <row r="346" spans="2:11">
      <c r="B346" s="151" t="s">
        <v>128</v>
      </c>
      <c r="C346" s="151">
        <f>IF('HP Consommables'!F104&gt;0,'HP Consommables'!A104,0)</f>
        <v>0</v>
      </c>
      <c r="D346" s="152">
        <f>IF(C346='HP Consommables'!A104,'HP Consommables'!C104,0)</f>
        <v>0</v>
      </c>
      <c r="E346" s="157">
        <f>IF(C346='HP Consommables'!A104,'HP Consommables'!D104,0)</f>
        <v>0</v>
      </c>
      <c r="F346" s="153">
        <f>'HP Consommables'!F104</f>
        <v>0</v>
      </c>
      <c r="G346" s="274">
        <f t="shared" si="7"/>
        <v>0</v>
      </c>
      <c r="J346" s="199"/>
      <c r="K346" s="199"/>
    </row>
    <row r="347" spans="2:11">
      <c r="B347" s="151" t="s">
        <v>128</v>
      </c>
      <c r="C347" s="151">
        <f>IF('HP Consommables'!F105&gt;0,'HP Consommables'!A105,0)</f>
        <v>0</v>
      </c>
      <c r="D347" s="152">
        <f>IF(C347='HP Consommables'!A105,'HP Consommables'!C105,0)</f>
        <v>0</v>
      </c>
      <c r="E347" s="157">
        <f>IF(C347='HP Consommables'!A105,'HP Consommables'!D105,0)</f>
        <v>0</v>
      </c>
      <c r="F347" s="153">
        <f>'HP Consommables'!F105</f>
        <v>0</v>
      </c>
      <c r="G347" s="274">
        <f t="shared" si="7"/>
        <v>0</v>
      </c>
      <c r="J347" s="199"/>
      <c r="K347" s="199"/>
    </row>
    <row r="348" spans="2:11">
      <c r="B348" s="151" t="s">
        <v>128</v>
      </c>
      <c r="C348" s="151">
        <f>IF('HP Consommables'!F106&gt;0,'HP Consommables'!A106,0)</f>
        <v>0</v>
      </c>
      <c r="D348" s="152">
        <f>IF(C348='HP Consommables'!A106,'HP Consommables'!C106,0)</f>
        <v>0</v>
      </c>
      <c r="E348" s="157">
        <f>IF(C348='HP Consommables'!A106,'HP Consommables'!D106,0)</f>
        <v>0</v>
      </c>
      <c r="F348" s="153">
        <f>'HP Consommables'!F106</f>
        <v>0</v>
      </c>
      <c r="G348" s="274">
        <f t="shared" si="7"/>
        <v>0</v>
      </c>
      <c r="J348" s="199"/>
      <c r="K348" s="199"/>
    </row>
    <row r="349" spans="2:11">
      <c r="B349" s="151" t="s">
        <v>128</v>
      </c>
      <c r="C349" s="151">
        <f>IF('HP Consommables'!F107&gt;0,'HP Consommables'!A107,0)</f>
        <v>0</v>
      </c>
      <c r="D349" s="152">
        <f>IF(C349='HP Consommables'!A107,'HP Consommables'!C107,0)</f>
        <v>0</v>
      </c>
      <c r="E349" s="157">
        <f>IF(C349='HP Consommables'!A107,'HP Consommables'!D107,0)</f>
        <v>0</v>
      </c>
      <c r="F349" s="153">
        <f>'HP Consommables'!F107</f>
        <v>0</v>
      </c>
      <c r="G349" s="274">
        <f t="shared" si="7"/>
        <v>0</v>
      </c>
      <c r="J349" s="199"/>
      <c r="K349" s="199"/>
    </row>
    <row r="350" spans="2:11">
      <c r="B350" s="151" t="s">
        <v>128</v>
      </c>
      <c r="C350" s="151">
        <f>IF('HP Consommables'!F108&gt;0,'HP Consommables'!A108,0)</f>
        <v>0</v>
      </c>
      <c r="D350" s="152">
        <f>IF(C350='HP Consommables'!A108,'HP Consommables'!C108,0)</f>
        <v>0</v>
      </c>
      <c r="E350" s="157">
        <f>IF(C350='HP Consommables'!A108,'HP Consommables'!D108,0)</f>
        <v>0</v>
      </c>
      <c r="F350" s="153">
        <f>'HP Consommables'!F108</f>
        <v>0</v>
      </c>
      <c r="G350" s="274">
        <f t="shared" si="7"/>
        <v>0</v>
      </c>
      <c r="J350" s="199"/>
      <c r="K350" s="199"/>
    </row>
    <row r="351" spans="2:11">
      <c r="B351" s="151" t="s">
        <v>128</v>
      </c>
      <c r="C351" s="151">
        <f>IF('HP Consommables'!F109&gt;0,'HP Consommables'!A109,0)</f>
        <v>0</v>
      </c>
      <c r="D351" s="152">
        <f>IF(C351='HP Consommables'!A109,'HP Consommables'!C109,0)</f>
        <v>0</v>
      </c>
      <c r="E351" s="157">
        <f>IF(C351='HP Consommables'!A109,'HP Consommables'!D109,0)</f>
        <v>0</v>
      </c>
      <c r="F351" s="153">
        <f>'HP Consommables'!F109</f>
        <v>0</v>
      </c>
      <c r="G351" s="274">
        <f t="shared" si="7"/>
        <v>0</v>
      </c>
      <c r="J351" s="199"/>
      <c r="K351" s="199"/>
    </row>
    <row r="352" spans="2:11">
      <c r="B352" s="151" t="s">
        <v>128</v>
      </c>
      <c r="C352" s="151">
        <f>IF('HP Consommables'!F110&gt;0,'HP Consommables'!A110,0)</f>
        <v>0</v>
      </c>
      <c r="D352" s="152">
        <f>IF(C352='HP Consommables'!A110,'HP Consommables'!C110,0)</f>
        <v>0</v>
      </c>
      <c r="E352" s="157">
        <f>IF(C352='HP Consommables'!A110,'HP Consommables'!D110,0)</f>
        <v>0</v>
      </c>
      <c r="F352" s="153">
        <f>'HP Consommables'!F110</f>
        <v>0</v>
      </c>
      <c r="G352" s="274">
        <f t="shared" si="7"/>
        <v>0</v>
      </c>
      <c r="J352" s="199"/>
      <c r="K352" s="199"/>
    </row>
    <row r="353" spans="2:11">
      <c r="B353" s="151" t="s">
        <v>128</v>
      </c>
      <c r="C353" s="151">
        <f>IF('HP Consommables'!F111&gt;0,'HP Consommables'!A111,0)</f>
        <v>0</v>
      </c>
      <c r="D353" s="152">
        <f>IF(C353='HP Consommables'!A111,'HP Consommables'!C111,0)</f>
        <v>0</v>
      </c>
      <c r="E353" s="157">
        <f>IF(C353='HP Consommables'!A111,'HP Consommables'!D111,0)</f>
        <v>0</v>
      </c>
      <c r="F353" s="153">
        <f>'HP Consommables'!F111</f>
        <v>0</v>
      </c>
      <c r="G353" s="274">
        <f t="shared" si="7"/>
        <v>0</v>
      </c>
      <c r="J353" s="199"/>
      <c r="K353" s="199"/>
    </row>
    <row r="354" spans="2:11">
      <c r="B354" s="151" t="s">
        <v>128</v>
      </c>
      <c r="C354" s="151">
        <f>IF('HP Consommables'!F112&gt;0,'HP Consommables'!A112,0)</f>
        <v>0</v>
      </c>
      <c r="D354" s="152">
        <f>IF(C354='HP Consommables'!A112,'HP Consommables'!C112,0)</f>
        <v>0</v>
      </c>
      <c r="E354" s="157">
        <f>IF(C354='HP Consommables'!A112,'HP Consommables'!D112,0)</f>
        <v>0</v>
      </c>
      <c r="F354" s="153">
        <f>'HP Consommables'!F112</f>
        <v>0</v>
      </c>
      <c r="G354" s="274">
        <f t="shared" si="7"/>
        <v>0</v>
      </c>
      <c r="J354" s="199"/>
      <c r="K354" s="199"/>
    </row>
    <row r="355" spans="2:11">
      <c r="B355" s="151" t="s">
        <v>128</v>
      </c>
      <c r="C355" s="151">
        <f>IF('HP Consommables'!F113&gt;0,'HP Consommables'!A113,0)</f>
        <v>0</v>
      </c>
      <c r="D355" s="152">
        <f>IF(C355='HP Consommables'!A113,'HP Consommables'!C113,0)</f>
        <v>0</v>
      </c>
      <c r="E355" s="157">
        <f>IF(C355='HP Consommables'!A113,'HP Consommables'!D113,0)</f>
        <v>0</v>
      </c>
      <c r="F355" s="153">
        <f>'HP Consommables'!F113</f>
        <v>0</v>
      </c>
      <c r="G355" s="274">
        <f t="shared" si="7"/>
        <v>0</v>
      </c>
      <c r="J355" s="199"/>
      <c r="K355" s="199"/>
    </row>
    <row r="356" spans="2:11">
      <c r="B356" s="151" t="s">
        <v>128</v>
      </c>
      <c r="C356" s="151">
        <f>IF('HP Consommables'!F114&gt;0,'HP Consommables'!A114,0)</f>
        <v>0</v>
      </c>
      <c r="D356" s="152">
        <f>IF(C356='HP Consommables'!A114,'HP Consommables'!C114,0)</f>
        <v>0</v>
      </c>
      <c r="E356" s="157">
        <f>IF(C356='HP Consommables'!A114,'HP Consommables'!D114,0)</f>
        <v>0</v>
      </c>
      <c r="F356" s="153">
        <f>'HP Consommables'!F114</f>
        <v>0</v>
      </c>
      <c r="G356" s="274">
        <f t="shared" si="7"/>
        <v>0</v>
      </c>
      <c r="J356" s="199"/>
      <c r="K356" s="199"/>
    </row>
    <row r="357" spans="2:11">
      <c r="B357" s="151" t="s">
        <v>128</v>
      </c>
      <c r="C357" s="151">
        <f>IF('HP Consommables'!F115&gt;0,'HP Consommables'!A115,0)</f>
        <v>0</v>
      </c>
      <c r="D357" s="152">
        <f>IF(C357='HP Consommables'!A115,'HP Consommables'!C115,0)</f>
        <v>0</v>
      </c>
      <c r="E357" s="157">
        <f>IF(C357='HP Consommables'!A115,'HP Consommables'!D115,0)</f>
        <v>0</v>
      </c>
      <c r="F357" s="153">
        <f>'HP Consommables'!F115</f>
        <v>0</v>
      </c>
      <c r="G357" s="274">
        <f t="shared" si="7"/>
        <v>0</v>
      </c>
      <c r="J357" s="199"/>
      <c r="K357" s="199"/>
    </row>
    <row r="358" spans="2:11">
      <c r="B358" s="151" t="s">
        <v>128</v>
      </c>
      <c r="C358" s="151">
        <f>IF('HP Consommables'!F116&gt;0,'HP Consommables'!A116,0)</f>
        <v>0</v>
      </c>
      <c r="D358" s="152">
        <f>IF(C358='HP Consommables'!A116,'HP Consommables'!C116,0)</f>
        <v>0</v>
      </c>
      <c r="E358" s="157">
        <f>IF(C358='HP Consommables'!A116,'HP Consommables'!D116,0)</f>
        <v>0</v>
      </c>
      <c r="F358" s="153">
        <f>'HP Consommables'!F116</f>
        <v>0</v>
      </c>
      <c r="G358" s="274">
        <f t="shared" si="7"/>
        <v>0</v>
      </c>
      <c r="J358" s="199"/>
      <c r="K358" s="199"/>
    </row>
    <row r="359" spans="2:11">
      <c r="B359" s="151" t="s">
        <v>128</v>
      </c>
      <c r="C359" s="151">
        <f>IF('HP Consommables'!F117&gt;0,'HP Consommables'!A117,0)</f>
        <v>0</v>
      </c>
      <c r="D359" s="152">
        <f>IF(C359='HP Consommables'!A117,'HP Consommables'!C117,0)</f>
        <v>0</v>
      </c>
      <c r="E359" s="157">
        <f>IF(C359='HP Consommables'!A117,'HP Consommables'!D117,0)</f>
        <v>0</v>
      </c>
      <c r="F359" s="153">
        <f>'HP Consommables'!F117</f>
        <v>0</v>
      </c>
      <c r="G359" s="274">
        <f t="shared" si="7"/>
        <v>0</v>
      </c>
      <c r="J359" s="199"/>
      <c r="K359" s="199"/>
    </row>
    <row r="360" spans="2:11">
      <c r="B360" s="151" t="s">
        <v>128</v>
      </c>
      <c r="C360" s="151">
        <f>IF('HP Consommables'!F118&gt;0,'HP Consommables'!A118,0)</f>
        <v>0</v>
      </c>
      <c r="D360" s="152">
        <f>IF(C360='HP Consommables'!A118,'HP Consommables'!C118,0)</f>
        <v>0</v>
      </c>
      <c r="E360" s="157">
        <f>IF(C360='HP Consommables'!A118,'HP Consommables'!D118,0)</f>
        <v>0</v>
      </c>
      <c r="F360" s="153">
        <f>'HP Consommables'!F118</f>
        <v>0</v>
      </c>
      <c r="G360" s="274">
        <f t="shared" si="7"/>
        <v>0</v>
      </c>
      <c r="J360" s="199"/>
      <c r="K360" s="199"/>
    </row>
    <row r="361" spans="2:11">
      <c r="B361" s="151" t="s">
        <v>128</v>
      </c>
      <c r="C361" s="151">
        <f>IF('HP Consommables'!F119&gt;0,'HP Consommables'!A119,0)</f>
        <v>0</v>
      </c>
      <c r="D361" s="152">
        <f>IF(C361='HP Consommables'!A119,'HP Consommables'!C119,0)</f>
        <v>0</v>
      </c>
      <c r="E361" s="157">
        <f>IF(C361='HP Consommables'!A119,'HP Consommables'!D119,0)</f>
        <v>0</v>
      </c>
      <c r="F361" s="153">
        <f>'HP Consommables'!F119</f>
        <v>0</v>
      </c>
      <c r="G361" s="274">
        <f t="shared" si="7"/>
        <v>0</v>
      </c>
      <c r="J361" s="199"/>
      <c r="K361" s="199"/>
    </row>
    <row r="362" spans="2:11">
      <c r="B362" s="151" t="s">
        <v>128</v>
      </c>
      <c r="C362" s="151">
        <f>IF('HP Consommables'!F120&gt;0,'HP Consommables'!A120,0)</f>
        <v>0</v>
      </c>
      <c r="D362" s="152">
        <f>IF(C362='HP Consommables'!A120,'HP Consommables'!C120,0)</f>
        <v>0</v>
      </c>
      <c r="E362" s="157">
        <f>IF(C362='HP Consommables'!A120,'HP Consommables'!D120,0)</f>
        <v>0</v>
      </c>
      <c r="F362" s="153">
        <f>'HP Consommables'!F120</f>
        <v>0</v>
      </c>
      <c r="G362" s="274">
        <f t="shared" si="7"/>
        <v>0</v>
      </c>
      <c r="J362" s="199"/>
      <c r="K362" s="199"/>
    </row>
    <row r="363" spans="2:11">
      <c r="B363" s="151" t="s">
        <v>128</v>
      </c>
      <c r="C363" s="151">
        <f>IF('HP Consommables'!F121&gt;0,'HP Consommables'!A121,0)</f>
        <v>0</v>
      </c>
      <c r="D363" s="152">
        <f>IF(C363='HP Consommables'!A121,'HP Consommables'!C121,0)</f>
        <v>0</v>
      </c>
      <c r="E363" s="157">
        <f>IF(C363='HP Consommables'!A121,'HP Consommables'!D121,0)</f>
        <v>0</v>
      </c>
      <c r="F363" s="153">
        <f>'HP Consommables'!F121</f>
        <v>0</v>
      </c>
      <c r="G363" s="274">
        <f t="shared" si="7"/>
        <v>0</v>
      </c>
      <c r="J363" s="199"/>
      <c r="K363" s="199"/>
    </row>
    <row r="364" spans="2:11">
      <c r="B364" s="151" t="s">
        <v>128</v>
      </c>
      <c r="C364" s="151">
        <f>IF('HP Consommables'!F122&gt;0,'HP Consommables'!A122,0)</f>
        <v>0</v>
      </c>
      <c r="D364" s="152">
        <f>IF(C364='HP Consommables'!A122,'HP Consommables'!C122,0)</f>
        <v>0</v>
      </c>
      <c r="E364" s="157">
        <f>IF(C364='HP Consommables'!A122,'HP Consommables'!D122,0)</f>
        <v>0</v>
      </c>
      <c r="F364" s="153">
        <f>'HP Consommables'!F122</f>
        <v>0</v>
      </c>
      <c r="G364" s="274">
        <f t="shared" si="7"/>
        <v>0</v>
      </c>
      <c r="J364" s="199"/>
      <c r="K364" s="199"/>
    </row>
    <row r="365" spans="2:11">
      <c r="B365" s="151" t="s">
        <v>128</v>
      </c>
      <c r="C365" s="151">
        <f>IF('HP Consommables'!F123&gt;0,'HP Consommables'!A123,0)</f>
        <v>0</v>
      </c>
      <c r="D365" s="152">
        <f>IF(C365='HP Consommables'!A123,'HP Consommables'!C123,0)</f>
        <v>0</v>
      </c>
      <c r="E365" s="157">
        <f>IF(C365='HP Consommables'!A123,'HP Consommables'!D123,0)</f>
        <v>0</v>
      </c>
      <c r="F365" s="153">
        <f>'HP Consommables'!F123</f>
        <v>0</v>
      </c>
      <c r="G365" s="274">
        <f t="shared" si="7"/>
        <v>0</v>
      </c>
      <c r="J365" s="199"/>
      <c r="K365" s="199"/>
    </row>
    <row r="366" spans="2:11">
      <c r="B366" s="151" t="s">
        <v>128</v>
      </c>
      <c r="C366" s="151">
        <f>IF('HP Consommables'!F124&gt;0,'HP Consommables'!A124,0)</f>
        <v>0</v>
      </c>
      <c r="D366" s="152">
        <f>IF(C366='HP Consommables'!A124,'HP Consommables'!C124,0)</f>
        <v>0</v>
      </c>
      <c r="E366" s="157">
        <f>IF(C366='HP Consommables'!A124,'HP Consommables'!D124,0)</f>
        <v>0</v>
      </c>
      <c r="F366" s="153">
        <f>'HP Consommables'!F124</f>
        <v>0</v>
      </c>
      <c r="G366" s="274">
        <f t="shared" si="7"/>
        <v>0</v>
      </c>
      <c r="J366" s="199"/>
      <c r="K366" s="199"/>
    </row>
    <row r="367" spans="2:11">
      <c r="B367" s="151" t="s">
        <v>128</v>
      </c>
      <c r="C367" s="151">
        <f>IF('HP Consommables'!F125&gt;0,'HP Consommables'!A125,0)</f>
        <v>0</v>
      </c>
      <c r="D367" s="152">
        <f>IF(C367='HP Consommables'!A125,'HP Consommables'!C125,0)</f>
        <v>0</v>
      </c>
      <c r="E367" s="157">
        <f>IF(C367='HP Consommables'!A125,'HP Consommables'!D125,0)</f>
        <v>0</v>
      </c>
      <c r="F367" s="153">
        <f>'HP Consommables'!F125</f>
        <v>0</v>
      </c>
      <c r="G367" s="274">
        <f t="shared" si="7"/>
        <v>0</v>
      </c>
      <c r="J367" s="199"/>
      <c r="K367" s="199"/>
    </row>
    <row r="368" spans="2:11">
      <c r="B368" s="151" t="s">
        <v>128</v>
      </c>
      <c r="C368" s="151">
        <f>IF('HP Consommables'!F126&gt;0,'HP Consommables'!A126,0)</f>
        <v>0</v>
      </c>
      <c r="D368" s="152">
        <f>IF(C368='HP Consommables'!A126,'HP Consommables'!C126,0)</f>
        <v>0</v>
      </c>
      <c r="E368" s="157">
        <f>IF(C368='HP Consommables'!A126,'HP Consommables'!D126,0)</f>
        <v>0</v>
      </c>
      <c r="F368" s="153">
        <f>'HP Consommables'!F126</f>
        <v>0</v>
      </c>
      <c r="G368" s="274">
        <f t="shared" si="7"/>
        <v>0</v>
      </c>
      <c r="J368" s="199"/>
      <c r="K368" s="199"/>
    </row>
    <row r="369" spans="2:11">
      <c r="B369" s="151" t="s">
        <v>128</v>
      </c>
      <c r="C369" s="151">
        <f>IF('HP Consommables'!F127&gt;0,'HP Consommables'!A127,0)</f>
        <v>0</v>
      </c>
      <c r="D369" s="152">
        <f>IF(C369='HP Consommables'!A127,'HP Consommables'!C127,0)</f>
        <v>0</v>
      </c>
      <c r="E369" s="157">
        <f>IF(C369='HP Consommables'!A127,'HP Consommables'!D127,0)</f>
        <v>0</v>
      </c>
      <c r="F369" s="153">
        <f>'HP Consommables'!F127</f>
        <v>0</v>
      </c>
      <c r="G369" s="274">
        <f t="shared" si="7"/>
        <v>0</v>
      </c>
      <c r="J369" s="199"/>
      <c r="K369" s="199"/>
    </row>
    <row r="370" spans="2:11">
      <c r="B370" s="151" t="s">
        <v>128</v>
      </c>
      <c r="C370" s="151">
        <f>IF('HP Consommables'!F128&gt;0,'HP Consommables'!A128,0)</f>
        <v>0</v>
      </c>
      <c r="D370" s="152">
        <f>IF(C370='HP Consommables'!A128,'HP Consommables'!C128,0)</f>
        <v>0</v>
      </c>
      <c r="E370" s="157">
        <f>IF(C370='HP Consommables'!A128,'HP Consommables'!D128,0)</f>
        <v>0</v>
      </c>
      <c r="F370" s="153">
        <f>'HP Consommables'!F128</f>
        <v>0</v>
      </c>
      <c r="G370" s="274">
        <f t="shared" si="7"/>
        <v>0</v>
      </c>
      <c r="J370" s="199"/>
      <c r="K370" s="199"/>
    </row>
    <row r="371" spans="2:11">
      <c r="B371" s="151" t="s">
        <v>128</v>
      </c>
      <c r="C371" s="151">
        <f>IF('HP Consommables'!F129&gt;0,'HP Consommables'!A129,0)</f>
        <v>0</v>
      </c>
      <c r="D371" s="152">
        <f>IF(C371='HP Consommables'!A129,'HP Consommables'!C129,0)</f>
        <v>0</v>
      </c>
      <c r="E371" s="157">
        <f>IF(C371='HP Consommables'!A129,'HP Consommables'!D129,0)</f>
        <v>0</v>
      </c>
      <c r="F371" s="153">
        <f>'HP Consommables'!F129</f>
        <v>0</v>
      </c>
      <c r="G371" s="274">
        <f t="shared" si="7"/>
        <v>0</v>
      </c>
      <c r="J371" s="199"/>
      <c r="K371" s="199"/>
    </row>
    <row r="372" spans="2:11">
      <c r="B372" s="151" t="s">
        <v>128</v>
      </c>
      <c r="C372" s="151">
        <f>IF('HP Consommables'!F130&gt;0,'HP Consommables'!A130,0)</f>
        <v>0</v>
      </c>
      <c r="D372" s="152">
        <f>IF(C372='HP Consommables'!A130,'HP Consommables'!C130,0)</f>
        <v>0</v>
      </c>
      <c r="E372" s="157">
        <f>IF(C372='HP Consommables'!A130,'HP Consommables'!D130,0)</f>
        <v>0</v>
      </c>
      <c r="F372" s="153">
        <f>'HP Consommables'!F130</f>
        <v>0</v>
      </c>
      <c r="G372" s="274">
        <f t="shared" si="7"/>
        <v>0</v>
      </c>
      <c r="J372" s="199"/>
      <c r="K372" s="199"/>
    </row>
    <row r="373" spans="2:11">
      <c r="B373" s="151" t="s">
        <v>128</v>
      </c>
      <c r="C373" s="151">
        <f>IF('HP Consommables'!F131&gt;0,'HP Consommables'!A131,0)</f>
        <v>0</v>
      </c>
      <c r="D373" s="152">
        <f>IF(C373='HP Consommables'!A131,'HP Consommables'!C131,0)</f>
        <v>0</v>
      </c>
      <c r="E373" s="157">
        <f>IF(C373='HP Consommables'!A131,'HP Consommables'!D131,0)</f>
        <v>0</v>
      </c>
      <c r="F373" s="153">
        <f>'HP Consommables'!F131</f>
        <v>0</v>
      </c>
      <c r="G373" s="274">
        <f t="shared" si="7"/>
        <v>0</v>
      </c>
      <c r="J373" s="199"/>
      <c r="K373" s="199"/>
    </row>
    <row r="374" spans="2:11">
      <c r="B374" s="151" t="s">
        <v>128</v>
      </c>
      <c r="C374" s="151">
        <f>IF('HP Consommables'!F132&gt;0,'HP Consommables'!A132,0)</f>
        <v>0</v>
      </c>
      <c r="D374" s="152">
        <f>IF(C374='HP Consommables'!A132,'HP Consommables'!C132,0)</f>
        <v>0</v>
      </c>
      <c r="E374" s="157">
        <f>IF(C374='HP Consommables'!A132,'HP Consommables'!D132,0)</f>
        <v>0</v>
      </c>
      <c r="F374" s="153">
        <f>'HP Consommables'!F132</f>
        <v>0</v>
      </c>
      <c r="G374" s="274">
        <f t="shared" si="7"/>
        <v>0</v>
      </c>
      <c r="J374" s="199"/>
      <c r="K374" s="199"/>
    </row>
    <row r="375" spans="2:11">
      <c r="B375" s="151" t="s">
        <v>128</v>
      </c>
      <c r="C375" s="151">
        <f>IF('HP Consommables'!F133&gt;0,'HP Consommables'!A133,0)</f>
        <v>0</v>
      </c>
      <c r="D375" s="152">
        <f>IF(C375='HP Consommables'!A133,'HP Consommables'!C133,0)</f>
        <v>0</v>
      </c>
      <c r="E375" s="157">
        <f>IF(C375='HP Consommables'!A133,'HP Consommables'!D133,0)</f>
        <v>0</v>
      </c>
      <c r="F375" s="153">
        <f>'HP Consommables'!F133</f>
        <v>0</v>
      </c>
      <c r="G375" s="274">
        <f t="shared" si="7"/>
        <v>0</v>
      </c>
      <c r="J375" s="199"/>
      <c r="K375" s="199"/>
    </row>
    <row r="376" spans="2:11">
      <c r="B376" s="151" t="s">
        <v>128</v>
      </c>
      <c r="C376" s="151">
        <f>IF('HP Consommables'!F134&gt;0,'HP Consommables'!A134,0)</f>
        <v>0</v>
      </c>
      <c r="D376" s="152">
        <f>IF(C376='HP Consommables'!A134,'HP Consommables'!C134,0)</f>
        <v>0</v>
      </c>
      <c r="E376" s="157">
        <f>IF(C376='HP Consommables'!A134,'HP Consommables'!D134,0)</f>
        <v>0</v>
      </c>
      <c r="F376" s="153">
        <f>'HP Consommables'!F134</f>
        <v>0</v>
      </c>
      <c r="G376" s="274">
        <f t="shared" si="7"/>
        <v>0</v>
      </c>
      <c r="J376" s="199"/>
      <c r="K376" s="199"/>
    </row>
    <row r="377" spans="2:11">
      <c r="B377" s="151" t="s">
        <v>128</v>
      </c>
      <c r="C377" s="151">
        <f>IF('HP Consommables'!F135&gt;0,'HP Consommables'!A135,0)</f>
        <v>0</v>
      </c>
      <c r="D377" s="152">
        <f>IF(C377='HP Consommables'!A135,'HP Consommables'!C135,0)</f>
        <v>0</v>
      </c>
      <c r="E377" s="157">
        <f>IF(C377='HP Consommables'!A135,'HP Consommables'!D135,0)</f>
        <v>0</v>
      </c>
      <c r="F377" s="153">
        <f>'HP Consommables'!F135</f>
        <v>0</v>
      </c>
      <c r="G377" s="274">
        <f t="shared" si="7"/>
        <v>0</v>
      </c>
      <c r="J377" s="199"/>
      <c r="K377" s="199"/>
    </row>
    <row r="378" spans="2:11">
      <c r="B378" s="151" t="s">
        <v>128</v>
      </c>
      <c r="C378" s="151">
        <f>IF('HP Consommables'!F136&gt;0,'HP Consommables'!A136,0)</f>
        <v>0</v>
      </c>
      <c r="D378" s="152">
        <f>IF(C378='HP Consommables'!A136,'HP Consommables'!C136,0)</f>
        <v>0</v>
      </c>
      <c r="E378" s="157">
        <f>IF(C378='HP Consommables'!A136,'HP Consommables'!D136,0)</f>
        <v>0</v>
      </c>
      <c r="F378" s="153">
        <f>'HP Consommables'!F136</f>
        <v>0</v>
      </c>
      <c r="G378" s="274">
        <f t="shared" si="7"/>
        <v>0</v>
      </c>
      <c r="J378" s="199"/>
      <c r="K378" s="199"/>
    </row>
    <row r="379" spans="2:11">
      <c r="B379" s="151" t="s">
        <v>128</v>
      </c>
      <c r="C379" s="151">
        <f>IF('HP Consommables'!F137&gt;0,'HP Consommables'!A137,0)</f>
        <v>0</v>
      </c>
      <c r="D379" s="152">
        <f>IF(C379='HP Consommables'!A137,'HP Consommables'!C137,0)</f>
        <v>0</v>
      </c>
      <c r="E379" s="157">
        <f>IF(C379='HP Consommables'!A137,'HP Consommables'!D137,0)</f>
        <v>0</v>
      </c>
      <c r="F379" s="153">
        <f>'HP Consommables'!F137</f>
        <v>0</v>
      </c>
      <c r="G379" s="274">
        <f t="shared" si="7"/>
        <v>0</v>
      </c>
      <c r="J379" s="199"/>
      <c r="K379" s="199"/>
    </row>
    <row r="380" spans="2:11">
      <c r="B380" s="151" t="s">
        <v>128</v>
      </c>
      <c r="C380" s="151">
        <f>IF('HP Consommables'!F138&gt;0,'HP Consommables'!A138,0)</f>
        <v>0</v>
      </c>
      <c r="D380" s="152">
        <f>IF(C380='HP Consommables'!A138,'HP Consommables'!C138,0)</f>
        <v>0</v>
      </c>
      <c r="E380" s="157">
        <f>IF(C380='HP Consommables'!A138,'HP Consommables'!D138,0)</f>
        <v>0</v>
      </c>
      <c r="F380" s="153">
        <f>'HP Consommables'!F138</f>
        <v>0</v>
      </c>
      <c r="G380" s="274">
        <f t="shared" si="7"/>
        <v>0</v>
      </c>
      <c r="J380" s="199"/>
      <c r="K380" s="199"/>
    </row>
    <row r="381" spans="2:11">
      <c r="B381" s="151" t="s">
        <v>128</v>
      </c>
      <c r="C381" s="151">
        <f>IF('HP Consommables'!F139&gt;0,'HP Consommables'!A139,0)</f>
        <v>0</v>
      </c>
      <c r="D381" s="152">
        <f>IF(C381='HP Consommables'!A139,'HP Consommables'!C139,0)</f>
        <v>0</v>
      </c>
      <c r="E381" s="157">
        <f>IF(C381='HP Consommables'!A139,'HP Consommables'!D139,0)</f>
        <v>0</v>
      </c>
      <c r="F381" s="153">
        <f>'HP Consommables'!F139</f>
        <v>0</v>
      </c>
      <c r="G381" s="274">
        <f t="shared" si="7"/>
        <v>0</v>
      </c>
      <c r="J381" s="199"/>
      <c r="K381" s="199"/>
    </row>
    <row r="382" spans="2:11">
      <c r="B382" s="151" t="s">
        <v>128</v>
      </c>
      <c r="C382" s="151">
        <f>IF('HP Consommables'!F140&gt;0,'HP Consommables'!A140,0)</f>
        <v>0</v>
      </c>
      <c r="D382" s="152">
        <f>IF(C382='HP Consommables'!A140,'HP Consommables'!C140,0)</f>
        <v>0</v>
      </c>
      <c r="E382" s="157">
        <f>IF(C382='HP Consommables'!A140,'HP Consommables'!D140,0)</f>
        <v>0</v>
      </c>
      <c r="F382" s="153">
        <f>'HP Consommables'!F140</f>
        <v>0</v>
      </c>
      <c r="G382" s="274">
        <f t="shared" ref="G382:G445" si="8">F382*E382</f>
        <v>0</v>
      </c>
      <c r="J382" s="199"/>
      <c r="K382" s="199"/>
    </row>
    <row r="383" spans="2:11">
      <c r="B383" s="151" t="s">
        <v>128</v>
      </c>
      <c r="C383" s="151">
        <f>IF('HP Consommables'!F141&gt;0,'HP Consommables'!A141,0)</f>
        <v>0</v>
      </c>
      <c r="D383" s="152">
        <f>IF(C383='HP Consommables'!A141,'HP Consommables'!C141,0)</f>
        <v>0</v>
      </c>
      <c r="E383" s="157">
        <f>IF(C383='HP Consommables'!A141,'HP Consommables'!D141,0)</f>
        <v>0</v>
      </c>
      <c r="F383" s="153">
        <f>'HP Consommables'!F141</f>
        <v>0</v>
      </c>
      <c r="G383" s="274">
        <f t="shared" si="8"/>
        <v>0</v>
      </c>
      <c r="J383" s="199"/>
      <c r="K383" s="199"/>
    </row>
    <row r="384" spans="2:11">
      <c r="B384" s="151" t="s">
        <v>128</v>
      </c>
      <c r="C384" s="151">
        <f>IF('HP Consommables'!F142&gt;0,'HP Consommables'!A142,0)</f>
        <v>0</v>
      </c>
      <c r="D384" s="152">
        <f>IF(C384='HP Consommables'!A142,'HP Consommables'!C142,0)</f>
        <v>0</v>
      </c>
      <c r="E384" s="157">
        <f>IF(C384='HP Consommables'!A142,'HP Consommables'!D142,0)</f>
        <v>0</v>
      </c>
      <c r="F384" s="153">
        <f>'HP Consommables'!F142</f>
        <v>0</v>
      </c>
      <c r="G384" s="274">
        <f t="shared" si="8"/>
        <v>0</v>
      </c>
      <c r="J384" s="199"/>
      <c r="K384" s="199"/>
    </row>
    <row r="385" spans="2:11">
      <c r="B385" s="151" t="s">
        <v>128</v>
      </c>
      <c r="C385" s="151">
        <f>IF('HP Consommables'!F143&gt;0,'HP Consommables'!A143,0)</f>
        <v>0</v>
      </c>
      <c r="D385" s="152">
        <f>IF(C385='HP Consommables'!A143,'HP Consommables'!C143,0)</f>
        <v>0</v>
      </c>
      <c r="E385" s="157">
        <f>IF(C385='HP Consommables'!A143,'HP Consommables'!D143,0)</f>
        <v>0</v>
      </c>
      <c r="F385" s="153">
        <f>'HP Consommables'!F143</f>
        <v>0</v>
      </c>
      <c r="G385" s="274">
        <f t="shared" si="8"/>
        <v>0</v>
      </c>
      <c r="J385" s="199"/>
      <c r="K385" s="199"/>
    </row>
    <row r="386" spans="2:11">
      <c r="B386" s="151" t="s">
        <v>128</v>
      </c>
      <c r="C386" s="151">
        <f>IF('HP Consommables'!F144&gt;0,'HP Consommables'!A144,0)</f>
        <v>0</v>
      </c>
      <c r="D386" s="152">
        <f>IF(C386='HP Consommables'!A144,'HP Consommables'!C144,0)</f>
        <v>0</v>
      </c>
      <c r="E386" s="157">
        <f>IF(C386='HP Consommables'!A144,'HP Consommables'!D144,0)</f>
        <v>0</v>
      </c>
      <c r="F386" s="153">
        <f>'HP Consommables'!F144</f>
        <v>0</v>
      </c>
      <c r="G386" s="274">
        <f t="shared" si="8"/>
        <v>0</v>
      </c>
      <c r="J386" s="199"/>
      <c r="K386" s="199"/>
    </row>
    <row r="387" spans="2:11">
      <c r="B387" s="151" t="s">
        <v>128</v>
      </c>
      <c r="C387" s="151">
        <f>IF('HP Consommables'!F145&gt;0,'HP Consommables'!A145,0)</f>
        <v>0</v>
      </c>
      <c r="D387" s="152">
        <f>IF(C387='HP Consommables'!A145,'HP Consommables'!C145,0)</f>
        <v>0</v>
      </c>
      <c r="E387" s="157">
        <f>IF(C387='HP Consommables'!A145,'HP Consommables'!D145,0)</f>
        <v>0</v>
      </c>
      <c r="F387" s="153">
        <f>'HP Consommables'!F145</f>
        <v>0</v>
      </c>
      <c r="G387" s="274">
        <f t="shared" si="8"/>
        <v>0</v>
      </c>
      <c r="J387" s="199"/>
      <c r="K387" s="199"/>
    </row>
    <row r="388" spans="2:11">
      <c r="B388" s="151" t="s">
        <v>128</v>
      </c>
      <c r="C388" s="151">
        <f>IF('HP Consommables'!F146&gt;0,'HP Consommables'!A146,0)</f>
        <v>0</v>
      </c>
      <c r="D388" s="152">
        <f>IF(C388='HP Consommables'!A146,'HP Consommables'!C146,0)</f>
        <v>0</v>
      </c>
      <c r="E388" s="157">
        <f>IF(C388='HP Consommables'!A146,'HP Consommables'!D146,0)</f>
        <v>0</v>
      </c>
      <c r="F388" s="153">
        <f>'HP Consommables'!F146</f>
        <v>0</v>
      </c>
      <c r="G388" s="274">
        <f t="shared" si="8"/>
        <v>0</v>
      </c>
      <c r="J388" s="199"/>
      <c r="K388" s="199"/>
    </row>
    <row r="389" spans="2:11">
      <c r="B389" s="151" t="s">
        <v>128</v>
      </c>
      <c r="C389" s="151">
        <f>IF('HP Consommables'!F147&gt;0,'HP Consommables'!A147,0)</f>
        <v>0</v>
      </c>
      <c r="D389" s="152">
        <f>IF(C389='HP Consommables'!A147,'HP Consommables'!C147,0)</f>
        <v>0</v>
      </c>
      <c r="E389" s="157">
        <f>IF(C389='HP Consommables'!A147,'HP Consommables'!D147,0)</f>
        <v>0</v>
      </c>
      <c r="F389" s="153">
        <f>'HP Consommables'!F147</f>
        <v>0</v>
      </c>
      <c r="G389" s="274">
        <f t="shared" si="8"/>
        <v>0</v>
      </c>
      <c r="J389" s="199"/>
      <c r="K389" s="199"/>
    </row>
    <row r="390" spans="2:11">
      <c r="B390" s="151" t="s">
        <v>128</v>
      </c>
      <c r="C390" s="151">
        <f>IF('HP Consommables'!F148&gt;0,'HP Consommables'!A148,0)</f>
        <v>0</v>
      </c>
      <c r="D390" s="152">
        <f>IF(C390='HP Consommables'!A148,'HP Consommables'!C148,0)</f>
        <v>0</v>
      </c>
      <c r="E390" s="157">
        <f>IF(C390='HP Consommables'!A148,'HP Consommables'!D148,0)</f>
        <v>0</v>
      </c>
      <c r="F390" s="153">
        <f>'HP Consommables'!F148</f>
        <v>0</v>
      </c>
      <c r="G390" s="274">
        <f t="shared" si="8"/>
        <v>0</v>
      </c>
      <c r="J390" s="199"/>
      <c r="K390" s="199"/>
    </row>
    <row r="391" spans="2:11">
      <c r="B391" s="151" t="s">
        <v>128</v>
      </c>
      <c r="C391" s="151">
        <f>IF('HP Consommables'!F149&gt;0,'HP Consommables'!A149,0)</f>
        <v>0</v>
      </c>
      <c r="D391" s="152">
        <f>IF(C391='HP Consommables'!A149,'HP Consommables'!C149,0)</f>
        <v>0</v>
      </c>
      <c r="E391" s="157">
        <f>IF(C391='HP Consommables'!A149,'HP Consommables'!D149,0)</f>
        <v>0</v>
      </c>
      <c r="F391" s="153">
        <f>'HP Consommables'!F149</f>
        <v>0</v>
      </c>
      <c r="G391" s="274">
        <f t="shared" si="8"/>
        <v>0</v>
      </c>
      <c r="J391" s="199"/>
      <c r="K391" s="199"/>
    </row>
    <row r="392" spans="2:11">
      <c r="B392" s="151" t="s">
        <v>128</v>
      </c>
      <c r="C392" s="151">
        <f>IF('HP Consommables'!F150&gt;0,'HP Consommables'!A150,0)</f>
        <v>0</v>
      </c>
      <c r="D392" s="152">
        <f>IF(C392='HP Consommables'!A150,'HP Consommables'!C150,0)</f>
        <v>0</v>
      </c>
      <c r="E392" s="157">
        <f>IF(C392='HP Consommables'!A150,'HP Consommables'!D150,0)</f>
        <v>0</v>
      </c>
      <c r="F392" s="153">
        <f>'HP Consommables'!F150</f>
        <v>0</v>
      </c>
      <c r="G392" s="274">
        <f t="shared" si="8"/>
        <v>0</v>
      </c>
      <c r="J392" s="199"/>
      <c r="K392" s="199"/>
    </row>
    <row r="393" spans="2:11">
      <c r="B393" s="151" t="s">
        <v>128</v>
      </c>
      <c r="C393" s="151">
        <f>IF('HP Consommables'!F151&gt;0,'HP Consommables'!A151,0)</f>
        <v>0</v>
      </c>
      <c r="D393" s="152">
        <f>IF(C393='HP Consommables'!A151,'HP Consommables'!C151,0)</f>
        <v>0</v>
      </c>
      <c r="E393" s="157">
        <f>IF(C393='HP Consommables'!A151,'HP Consommables'!D151,0)</f>
        <v>0</v>
      </c>
      <c r="F393" s="153">
        <f>'HP Consommables'!F151</f>
        <v>0</v>
      </c>
      <c r="G393" s="274">
        <f t="shared" si="8"/>
        <v>0</v>
      </c>
      <c r="J393" s="199"/>
      <c r="K393" s="199"/>
    </row>
    <row r="394" spans="2:11">
      <c r="B394" s="151" t="s">
        <v>128</v>
      </c>
      <c r="C394" s="151">
        <f>IF('HP Consommables'!F152&gt;0,'HP Consommables'!A152,0)</f>
        <v>0</v>
      </c>
      <c r="D394" s="152">
        <f>IF(C394='HP Consommables'!A152,'HP Consommables'!C152,0)</f>
        <v>0</v>
      </c>
      <c r="E394" s="157">
        <f>IF(C394='HP Consommables'!A152,'HP Consommables'!D152,0)</f>
        <v>0</v>
      </c>
      <c r="F394" s="153">
        <f>'HP Consommables'!F152</f>
        <v>0</v>
      </c>
      <c r="G394" s="274">
        <f t="shared" si="8"/>
        <v>0</v>
      </c>
      <c r="J394" s="199"/>
      <c r="K394" s="199"/>
    </row>
    <row r="395" spans="2:11">
      <c r="B395" s="151" t="s">
        <v>128</v>
      </c>
      <c r="C395" s="151">
        <f>IF('HP Consommables'!F153&gt;0,'HP Consommables'!A153,0)</f>
        <v>0</v>
      </c>
      <c r="D395" s="152">
        <f>IF(C395='HP Consommables'!A153,'HP Consommables'!C153,0)</f>
        <v>0</v>
      </c>
      <c r="E395" s="157">
        <f>IF(C395='HP Consommables'!A153,'HP Consommables'!D153,0)</f>
        <v>0</v>
      </c>
      <c r="F395" s="153">
        <f>'HP Consommables'!F153</f>
        <v>0</v>
      </c>
      <c r="G395" s="274">
        <f t="shared" si="8"/>
        <v>0</v>
      </c>
      <c r="J395" s="199"/>
      <c r="K395" s="199"/>
    </row>
    <row r="396" spans="2:11">
      <c r="B396" s="151" t="s">
        <v>128</v>
      </c>
      <c r="C396" s="151">
        <f>IF('HP Consommables'!F154&gt;0,'HP Consommables'!A154,0)</f>
        <v>0</v>
      </c>
      <c r="D396" s="152">
        <f>IF(C396='HP Consommables'!A154,'HP Consommables'!C154,0)</f>
        <v>0</v>
      </c>
      <c r="E396" s="157">
        <f>IF(C396='HP Consommables'!A154,'HP Consommables'!D154,0)</f>
        <v>0</v>
      </c>
      <c r="F396" s="153">
        <f>'HP Consommables'!F154</f>
        <v>0</v>
      </c>
      <c r="G396" s="274">
        <f t="shared" si="8"/>
        <v>0</v>
      </c>
      <c r="J396" s="199"/>
      <c r="K396" s="199"/>
    </row>
    <row r="397" spans="2:11">
      <c r="B397" s="151" t="s">
        <v>128</v>
      </c>
      <c r="C397" s="151">
        <f>IF('HP Consommables'!F155&gt;0,'HP Consommables'!A155,0)</f>
        <v>0</v>
      </c>
      <c r="D397" s="152">
        <f>IF(C397='HP Consommables'!A155,'HP Consommables'!C155,0)</f>
        <v>0</v>
      </c>
      <c r="E397" s="157">
        <f>IF(C397='HP Consommables'!A155,'HP Consommables'!D155,0)</f>
        <v>0</v>
      </c>
      <c r="F397" s="153">
        <f>'HP Consommables'!F155</f>
        <v>0</v>
      </c>
      <c r="G397" s="274">
        <f t="shared" si="8"/>
        <v>0</v>
      </c>
      <c r="J397" s="199"/>
      <c r="K397" s="199"/>
    </row>
    <row r="398" spans="2:11">
      <c r="B398" s="151" t="s">
        <v>128</v>
      </c>
      <c r="C398" s="151">
        <f>IF('HP Consommables'!F156&gt;0,'HP Consommables'!A156,0)</f>
        <v>0</v>
      </c>
      <c r="D398" s="152">
        <f>IF(C398='HP Consommables'!A156,'HP Consommables'!C156,0)</f>
        <v>0</v>
      </c>
      <c r="E398" s="157">
        <f>IF(C398='HP Consommables'!A156,'HP Consommables'!D156,0)</f>
        <v>0</v>
      </c>
      <c r="F398" s="153">
        <f>'HP Consommables'!F156</f>
        <v>0</v>
      </c>
      <c r="G398" s="274">
        <f t="shared" si="8"/>
        <v>0</v>
      </c>
      <c r="J398" s="199"/>
      <c r="K398" s="199"/>
    </row>
    <row r="399" spans="2:11">
      <c r="B399" s="151" t="s">
        <v>128</v>
      </c>
      <c r="C399" s="151">
        <f>IF('HP Consommables'!F157&gt;0,'HP Consommables'!A157,0)</f>
        <v>0</v>
      </c>
      <c r="D399" s="152">
        <f>IF(C399='HP Consommables'!A157,'HP Consommables'!C157,0)</f>
        <v>0</v>
      </c>
      <c r="E399" s="157">
        <f>IF(C399='HP Consommables'!A157,'HP Consommables'!D157,0)</f>
        <v>0</v>
      </c>
      <c r="F399" s="153">
        <f>'HP Consommables'!F157</f>
        <v>0</v>
      </c>
      <c r="G399" s="274">
        <f t="shared" si="8"/>
        <v>0</v>
      </c>
      <c r="J399" s="199"/>
      <c r="K399" s="199"/>
    </row>
    <row r="400" spans="2:11">
      <c r="B400" s="151" t="s">
        <v>128</v>
      </c>
      <c r="C400" s="151">
        <f>IF('HP Consommables'!F158&gt;0,'HP Consommables'!A158,0)</f>
        <v>0</v>
      </c>
      <c r="D400" s="152">
        <f>IF(C400='HP Consommables'!A158,'HP Consommables'!C158,0)</f>
        <v>0</v>
      </c>
      <c r="E400" s="157">
        <f>IF(C400='HP Consommables'!A158,'HP Consommables'!D158,0)</f>
        <v>0</v>
      </c>
      <c r="F400" s="153">
        <f>'HP Consommables'!F158</f>
        <v>0</v>
      </c>
      <c r="G400" s="274">
        <f t="shared" si="8"/>
        <v>0</v>
      </c>
      <c r="J400" s="199"/>
      <c r="K400" s="199"/>
    </row>
    <row r="401" spans="2:11">
      <c r="B401" s="151" t="s">
        <v>128</v>
      </c>
      <c r="C401" s="151">
        <f>IF('HP Consommables'!F159&gt;0,'HP Consommables'!A159,0)</f>
        <v>0</v>
      </c>
      <c r="D401" s="152">
        <f>IF(C401='HP Consommables'!A159,'HP Consommables'!C159,0)</f>
        <v>0</v>
      </c>
      <c r="E401" s="157">
        <f>IF(C401='HP Consommables'!A159,'HP Consommables'!D159,0)</f>
        <v>0</v>
      </c>
      <c r="F401" s="153">
        <f>'HP Consommables'!F159</f>
        <v>0</v>
      </c>
      <c r="G401" s="274">
        <f t="shared" si="8"/>
        <v>0</v>
      </c>
      <c r="J401" s="199"/>
      <c r="K401" s="199"/>
    </row>
    <row r="402" spans="2:11">
      <c r="B402" s="151" t="s">
        <v>128</v>
      </c>
      <c r="C402" s="151">
        <f>IF('HP Consommables'!F160&gt;0,'HP Consommables'!A160,0)</f>
        <v>0</v>
      </c>
      <c r="D402" s="152">
        <f>IF(C402='HP Consommables'!A160,'HP Consommables'!C160,0)</f>
        <v>0</v>
      </c>
      <c r="E402" s="157">
        <f>IF(C402='HP Consommables'!A160,'HP Consommables'!D160,0)</f>
        <v>0</v>
      </c>
      <c r="F402" s="153">
        <f>'HP Consommables'!F160</f>
        <v>0</v>
      </c>
      <c r="G402" s="274">
        <f t="shared" si="8"/>
        <v>0</v>
      </c>
      <c r="J402" s="199"/>
      <c r="K402" s="199"/>
    </row>
    <row r="403" spans="2:11">
      <c r="B403" s="151" t="s">
        <v>128</v>
      </c>
      <c r="C403" s="151">
        <f>IF('HP Consommables'!F161&gt;0,'HP Consommables'!A161,0)</f>
        <v>0</v>
      </c>
      <c r="D403" s="152">
        <f>IF(C403='HP Consommables'!A161,'HP Consommables'!C161,0)</f>
        <v>0</v>
      </c>
      <c r="E403" s="157">
        <f>IF(C403='HP Consommables'!A161,'HP Consommables'!D161,0)</f>
        <v>0</v>
      </c>
      <c r="F403" s="153">
        <f>'HP Consommables'!F161</f>
        <v>0</v>
      </c>
      <c r="G403" s="274">
        <f t="shared" si="8"/>
        <v>0</v>
      </c>
      <c r="J403" s="199"/>
      <c r="K403" s="199"/>
    </row>
    <row r="404" spans="2:11">
      <c r="B404" s="151" t="s">
        <v>128</v>
      </c>
      <c r="C404" s="151">
        <f>IF('HP Consommables'!F162&gt;0,'HP Consommables'!A162,0)</f>
        <v>0</v>
      </c>
      <c r="D404" s="152">
        <f>IF(C404='HP Consommables'!A162,'HP Consommables'!C162,0)</f>
        <v>0</v>
      </c>
      <c r="E404" s="157">
        <f>IF(C404='HP Consommables'!A162,'HP Consommables'!D162,0)</f>
        <v>0</v>
      </c>
      <c r="F404" s="153">
        <f>'HP Consommables'!F162</f>
        <v>0</v>
      </c>
      <c r="G404" s="274">
        <f t="shared" si="8"/>
        <v>0</v>
      </c>
      <c r="J404" s="199"/>
      <c r="K404" s="199"/>
    </row>
    <row r="405" spans="2:11">
      <c r="B405" s="151" t="s">
        <v>128</v>
      </c>
      <c r="C405" s="151">
        <f>IF('HP Consommables'!F163&gt;0,'HP Consommables'!A163,0)</f>
        <v>0</v>
      </c>
      <c r="D405" s="152">
        <f>IF(C405='HP Consommables'!A163,'HP Consommables'!C163,0)</f>
        <v>0</v>
      </c>
      <c r="E405" s="157">
        <f>IF(C405='HP Consommables'!A163,'HP Consommables'!D163,0)</f>
        <v>0</v>
      </c>
      <c r="F405" s="153">
        <f>'HP Consommables'!F163</f>
        <v>0</v>
      </c>
      <c r="G405" s="274">
        <f t="shared" si="8"/>
        <v>0</v>
      </c>
      <c r="J405" s="199"/>
      <c r="K405" s="199"/>
    </row>
    <row r="406" spans="2:11">
      <c r="B406" s="151" t="s">
        <v>128</v>
      </c>
      <c r="C406" s="151">
        <f>IF('HP Consommables'!F164&gt;0,'HP Consommables'!A164,0)</f>
        <v>0</v>
      </c>
      <c r="D406" s="152">
        <f>IF(C406='HP Consommables'!A164,'HP Consommables'!C164,0)</f>
        <v>0</v>
      </c>
      <c r="E406" s="157">
        <f>IF(C406='HP Consommables'!A164,'HP Consommables'!D164,0)</f>
        <v>0</v>
      </c>
      <c r="F406" s="153">
        <f>'HP Consommables'!F164</f>
        <v>0</v>
      </c>
      <c r="G406" s="274">
        <f t="shared" si="8"/>
        <v>0</v>
      </c>
      <c r="J406" s="199"/>
      <c r="K406" s="199"/>
    </row>
    <row r="407" spans="2:11">
      <c r="B407" s="151" t="s">
        <v>128</v>
      </c>
      <c r="C407" s="151">
        <f>IF('HP Consommables'!F165&gt;0,'HP Consommables'!A165,0)</f>
        <v>0</v>
      </c>
      <c r="D407" s="152">
        <f>IF(C407='HP Consommables'!A165,'HP Consommables'!C165,0)</f>
        <v>0</v>
      </c>
      <c r="E407" s="157">
        <f>IF(C407='HP Consommables'!A165,'HP Consommables'!D165,0)</f>
        <v>0</v>
      </c>
      <c r="F407" s="153">
        <f>'HP Consommables'!F165</f>
        <v>0</v>
      </c>
      <c r="G407" s="274">
        <f t="shared" si="8"/>
        <v>0</v>
      </c>
      <c r="J407" s="199"/>
      <c r="K407" s="199"/>
    </row>
    <row r="408" spans="2:11">
      <c r="B408" s="151" t="s">
        <v>128</v>
      </c>
      <c r="C408" s="151">
        <f>IF('HP Consommables'!F166&gt;0,'HP Consommables'!A166,0)</f>
        <v>0</v>
      </c>
      <c r="D408" s="152">
        <f>IF(C408='HP Consommables'!A166,'HP Consommables'!C166,0)</f>
        <v>0</v>
      </c>
      <c r="E408" s="157">
        <f>IF(C408='HP Consommables'!A166,'HP Consommables'!D166,0)</f>
        <v>0</v>
      </c>
      <c r="F408" s="153">
        <f>'HP Consommables'!F166</f>
        <v>0</v>
      </c>
      <c r="G408" s="274">
        <f t="shared" si="8"/>
        <v>0</v>
      </c>
      <c r="J408" s="199"/>
      <c r="K408" s="199"/>
    </row>
    <row r="409" spans="2:11">
      <c r="B409" s="151" t="s">
        <v>128</v>
      </c>
      <c r="C409" s="151">
        <f>IF('HP Consommables'!F167&gt;0,'HP Consommables'!A167,0)</f>
        <v>0</v>
      </c>
      <c r="D409" s="152">
        <f>IF(C409='HP Consommables'!A167,'HP Consommables'!C167,0)</f>
        <v>0</v>
      </c>
      <c r="E409" s="157">
        <f>IF(C409='HP Consommables'!A167,'HP Consommables'!D167,0)</f>
        <v>0</v>
      </c>
      <c r="F409" s="153">
        <f>'HP Consommables'!F167</f>
        <v>0</v>
      </c>
      <c r="G409" s="274">
        <f t="shared" si="8"/>
        <v>0</v>
      </c>
      <c r="J409" s="199"/>
      <c r="K409" s="199"/>
    </row>
    <row r="410" spans="2:11">
      <c r="B410" s="151" t="s">
        <v>128</v>
      </c>
      <c r="C410" s="151">
        <f>IF('HP Consommables'!F168&gt;0,'HP Consommables'!A168,0)</f>
        <v>0</v>
      </c>
      <c r="D410" s="152">
        <f>IF(C410='HP Consommables'!A168,'HP Consommables'!C168,0)</f>
        <v>0</v>
      </c>
      <c r="E410" s="157">
        <f>IF(C410='HP Consommables'!A168,'HP Consommables'!D168,0)</f>
        <v>0</v>
      </c>
      <c r="F410" s="153">
        <f>'HP Consommables'!F168</f>
        <v>0</v>
      </c>
      <c r="G410" s="274">
        <f t="shared" si="8"/>
        <v>0</v>
      </c>
      <c r="J410" s="199"/>
      <c r="K410" s="199"/>
    </row>
    <row r="411" spans="2:11">
      <c r="B411" s="151" t="s">
        <v>128</v>
      </c>
      <c r="C411" s="151">
        <f>IF('HP Consommables'!F169&gt;0,'HP Consommables'!A169,0)</f>
        <v>0</v>
      </c>
      <c r="D411" s="152">
        <f>IF(C411='HP Consommables'!A169,'HP Consommables'!C169,0)</f>
        <v>0</v>
      </c>
      <c r="E411" s="157">
        <f>IF(C411='HP Consommables'!A169,'HP Consommables'!D169,0)</f>
        <v>0</v>
      </c>
      <c r="F411" s="153">
        <f>'HP Consommables'!F169</f>
        <v>0</v>
      </c>
      <c r="G411" s="274">
        <f t="shared" si="8"/>
        <v>0</v>
      </c>
      <c r="J411" s="199"/>
      <c r="K411" s="199"/>
    </row>
    <row r="412" spans="2:11">
      <c r="B412" s="151" t="s">
        <v>128</v>
      </c>
      <c r="C412" s="151">
        <f>IF('HP Consommables'!F170&gt;0,'HP Consommables'!A170,0)</f>
        <v>0</v>
      </c>
      <c r="D412" s="152">
        <f>IF(C412='HP Consommables'!A170,'HP Consommables'!C170,0)</f>
        <v>0</v>
      </c>
      <c r="E412" s="157">
        <f>IF(C412='HP Consommables'!A170,'HP Consommables'!D170,0)</f>
        <v>0</v>
      </c>
      <c r="F412" s="153">
        <f>'HP Consommables'!F170</f>
        <v>0</v>
      </c>
      <c r="G412" s="274">
        <f t="shared" si="8"/>
        <v>0</v>
      </c>
      <c r="J412" s="199"/>
      <c r="K412" s="199"/>
    </row>
    <row r="413" spans="2:11">
      <c r="B413" s="151" t="s">
        <v>128</v>
      </c>
      <c r="C413" s="151">
        <f>IF('HP Consommables'!F171&gt;0,'HP Consommables'!A171,0)</f>
        <v>0</v>
      </c>
      <c r="D413" s="152">
        <f>IF(C413='HP Consommables'!A171,'HP Consommables'!C171,0)</f>
        <v>0</v>
      </c>
      <c r="E413" s="157">
        <f>IF(C413='HP Consommables'!A171,'HP Consommables'!D171,0)</f>
        <v>0</v>
      </c>
      <c r="F413" s="153">
        <f>'HP Consommables'!F171</f>
        <v>0</v>
      </c>
      <c r="G413" s="274">
        <f t="shared" si="8"/>
        <v>0</v>
      </c>
      <c r="J413" s="199"/>
      <c r="K413" s="199"/>
    </row>
    <row r="414" spans="2:11">
      <c r="B414" s="151" t="s">
        <v>128</v>
      </c>
      <c r="C414" s="151">
        <f>IF('HP Consommables'!F172&gt;0,'HP Consommables'!A172,0)</f>
        <v>0</v>
      </c>
      <c r="D414" s="152">
        <f>IF(C414='HP Consommables'!A172,'HP Consommables'!C172,0)</f>
        <v>0</v>
      </c>
      <c r="E414" s="157">
        <f>IF(C414='HP Consommables'!A172,'HP Consommables'!D172,0)</f>
        <v>0</v>
      </c>
      <c r="F414" s="153">
        <f>'HP Consommables'!F172</f>
        <v>0</v>
      </c>
      <c r="G414" s="274">
        <f t="shared" si="8"/>
        <v>0</v>
      </c>
      <c r="J414" s="199"/>
      <c r="K414" s="199"/>
    </row>
    <row r="415" spans="2:11">
      <c r="B415" s="151" t="s">
        <v>128</v>
      </c>
      <c r="C415" s="151">
        <f>IF('HP Consommables'!F173&gt;0,'HP Consommables'!A173,0)</f>
        <v>0</v>
      </c>
      <c r="D415" s="152">
        <f>IF(C415='HP Consommables'!A173,'HP Consommables'!C173,0)</f>
        <v>0</v>
      </c>
      <c r="E415" s="157">
        <f>IF(C415='HP Consommables'!A173,'HP Consommables'!D173,0)</f>
        <v>0</v>
      </c>
      <c r="F415" s="153">
        <f>'HP Consommables'!F173</f>
        <v>0</v>
      </c>
      <c r="G415" s="274">
        <f t="shared" si="8"/>
        <v>0</v>
      </c>
      <c r="J415" s="199"/>
      <c r="K415" s="199"/>
    </row>
    <row r="416" spans="2:11">
      <c r="B416" s="151" t="s">
        <v>128</v>
      </c>
      <c r="C416" s="151">
        <f>IF('HP Consommables'!F174&gt;0,'HP Consommables'!A174,0)</f>
        <v>0</v>
      </c>
      <c r="D416" s="152">
        <f>IF(C416='HP Consommables'!A174,'HP Consommables'!C174,0)</f>
        <v>0</v>
      </c>
      <c r="E416" s="157">
        <f>IF(C416='HP Consommables'!A174,'HP Consommables'!D174,0)</f>
        <v>0</v>
      </c>
      <c r="F416" s="153">
        <f>'HP Consommables'!F174</f>
        <v>0</v>
      </c>
      <c r="G416" s="274">
        <f t="shared" si="8"/>
        <v>0</v>
      </c>
      <c r="J416" s="199"/>
      <c r="K416" s="199"/>
    </row>
    <row r="417" spans="2:11">
      <c r="B417" s="151" t="s">
        <v>128</v>
      </c>
      <c r="C417" s="151">
        <f>IF('HP Consommables'!F175&gt;0,'HP Consommables'!A175,0)</f>
        <v>0</v>
      </c>
      <c r="D417" s="152">
        <f>IF(C417='HP Consommables'!A175,'HP Consommables'!C175,0)</f>
        <v>0</v>
      </c>
      <c r="E417" s="157">
        <f>IF(C417='HP Consommables'!A175,'HP Consommables'!D175,0)</f>
        <v>0</v>
      </c>
      <c r="F417" s="153">
        <f>'HP Consommables'!F175</f>
        <v>0</v>
      </c>
      <c r="G417" s="274">
        <f t="shared" si="8"/>
        <v>0</v>
      </c>
      <c r="J417" s="199"/>
      <c r="K417" s="199"/>
    </row>
    <row r="418" spans="2:11">
      <c r="B418" s="151" t="s">
        <v>128</v>
      </c>
      <c r="C418" s="151">
        <f>IF('HP Consommables'!F176&gt;0,'HP Consommables'!A176,0)</f>
        <v>0</v>
      </c>
      <c r="D418" s="152">
        <f>IF(C418='HP Consommables'!A176,'HP Consommables'!C176,0)</f>
        <v>0</v>
      </c>
      <c r="E418" s="157">
        <f>IF(C418='HP Consommables'!A176,'HP Consommables'!D176,0)</f>
        <v>0</v>
      </c>
      <c r="F418" s="153">
        <f>'HP Consommables'!F176</f>
        <v>0</v>
      </c>
      <c r="G418" s="274">
        <f t="shared" si="8"/>
        <v>0</v>
      </c>
      <c r="J418" s="199"/>
      <c r="K418" s="199"/>
    </row>
    <row r="419" spans="2:11">
      <c r="B419" s="151" t="s">
        <v>128</v>
      </c>
      <c r="C419" s="151">
        <f>IF('HP Consommables'!F177&gt;0,'HP Consommables'!A177,0)</f>
        <v>0</v>
      </c>
      <c r="D419" s="152">
        <f>IF(C419='HP Consommables'!A177,'HP Consommables'!C177,0)</f>
        <v>0</v>
      </c>
      <c r="E419" s="157">
        <f>IF(C419='HP Consommables'!A177,'HP Consommables'!D177,0)</f>
        <v>0</v>
      </c>
      <c r="F419" s="153">
        <f>'HP Consommables'!F177</f>
        <v>0</v>
      </c>
      <c r="G419" s="274">
        <f t="shared" si="8"/>
        <v>0</v>
      </c>
      <c r="J419" s="199"/>
      <c r="K419" s="199"/>
    </row>
    <row r="420" spans="2:11">
      <c r="B420" s="151" t="s">
        <v>128</v>
      </c>
      <c r="C420" s="151">
        <f>IF('HP Consommables'!F178&gt;0,'HP Consommables'!A178,0)</f>
        <v>0</v>
      </c>
      <c r="D420" s="152">
        <f>IF(C420='HP Consommables'!A178,'HP Consommables'!C178,0)</f>
        <v>0</v>
      </c>
      <c r="E420" s="157">
        <f>IF(C420='HP Consommables'!A178,'HP Consommables'!D178,0)</f>
        <v>0</v>
      </c>
      <c r="F420" s="153">
        <f>'HP Consommables'!F178</f>
        <v>0</v>
      </c>
      <c r="G420" s="274">
        <f t="shared" si="8"/>
        <v>0</v>
      </c>
      <c r="J420" s="199"/>
      <c r="K420" s="199"/>
    </row>
    <row r="421" spans="2:11">
      <c r="B421" s="151" t="s">
        <v>128</v>
      </c>
      <c r="C421" s="151">
        <f>IF('HP Consommables'!F179&gt;0,'HP Consommables'!A179,0)</f>
        <v>0</v>
      </c>
      <c r="D421" s="152">
        <f>IF(C421='HP Consommables'!A179,'HP Consommables'!C179,0)</f>
        <v>0</v>
      </c>
      <c r="E421" s="157">
        <f>IF(C421='HP Consommables'!A179,'HP Consommables'!D179,0)</f>
        <v>0</v>
      </c>
      <c r="F421" s="153">
        <f>'HP Consommables'!F179</f>
        <v>0</v>
      </c>
      <c r="G421" s="274">
        <f t="shared" si="8"/>
        <v>0</v>
      </c>
      <c r="J421" s="199"/>
      <c r="K421" s="199"/>
    </row>
    <row r="422" spans="2:11">
      <c r="B422" s="151" t="s">
        <v>128</v>
      </c>
      <c r="C422" s="151">
        <f>IF('HP Consommables'!F180&gt;0,'HP Consommables'!A180,0)</f>
        <v>0</v>
      </c>
      <c r="D422" s="152">
        <f>IF(C422='HP Consommables'!A180,'HP Consommables'!C180,0)</f>
        <v>0</v>
      </c>
      <c r="E422" s="157">
        <f>IF(C422='HP Consommables'!A180,'HP Consommables'!D180,0)</f>
        <v>0</v>
      </c>
      <c r="F422" s="153">
        <f>'HP Consommables'!F180</f>
        <v>0</v>
      </c>
      <c r="G422" s="274">
        <f t="shared" si="8"/>
        <v>0</v>
      </c>
      <c r="J422" s="199"/>
      <c r="K422" s="199"/>
    </row>
    <row r="423" spans="2:11">
      <c r="B423" s="151" t="s">
        <v>128</v>
      </c>
      <c r="C423" s="151">
        <f>IF('HP Consommables'!F181&gt;0,'HP Consommables'!A181,0)</f>
        <v>0</v>
      </c>
      <c r="D423" s="152">
        <f>IF(C423='HP Consommables'!A181,'HP Consommables'!C181,0)</f>
        <v>0</v>
      </c>
      <c r="E423" s="157">
        <f>IF(C423='HP Consommables'!A181,'HP Consommables'!D181,0)</f>
        <v>0</v>
      </c>
      <c r="F423" s="153">
        <f>'HP Consommables'!F181</f>
        <v>0</v>
      </c>
      <c r="G423" s="274">
        <f t="shared" si="8"/>
        <v>0</v>
      </c>
      <c r="J423" s="199"/>
      <c r="K423" s="199"/>
    </row>
    <row r="424" spans="2:11">
      <c r="B424" s="151" t="s">
        <v>128</v>
      </c>
      <c r="C424" s="151">
        <f>IF('HP Consommables'!F182&gt;0,'HP Consommables'!A182,0)</f>
        <v>0</v>
      </c>
      <c r="D424" s="152">
        <f>IF(C424='HP Consommables'!A182,'HP Consommables'!C182,0)</f>
        <v>0</v>
      </c>
      <c r="E424" s="157">
        <f>IF(C424='HP Consommables'!A182,'HP Consommables'!D182,0)</f>
        <v>0</v>
      </c>
      <c r="F424" s="153">
        <f>'HP Consommables'!F182</f>
        <v>0</v>
      </c>
      <c r="G424" s="274">
        <f t="shared" si="8"/>
        <v>0</v>
      </c>
      <c r="J424" s="199"/>
      <c r="K424" s="199"/>
    </row>
    <row r="425" spans="2:11">
      <c r="B425" s="151" t="s">
        <v>128</v>
      </c>
      <c r="C425" s="151">
        <f>IF('HP Consommables'!F183&gt;0,'HP Consommables'!A183,0)</f>
        <v>0</v>
      </c>
      <c r="D425" s="152">
        <f>IF(C425='HP Consommables'!A183,'HP Consommables'!C183,0)</f>
        <v>0</v>
      </c>
      <c r="E425" s="157">
        <f>IF(C425='HP Consommables'!A183,'HP Consommables'!D183,0)</f>
        <v>0</v>
      </c>
      <c r="F425" s="153">
        <f>'HP Consommables'!F183</f>
        <v>0</v>
      </c>
      <c r="G425" s="274">
        <f t="shared" si="8"/>
        <v>0</v>
      </c>
      <c r="J425" s="199"/>
      <c r="K425" s="199"/>
    </row>
    <row r="426" spans="2:11">
      <c r="B426" s="151" t="s">
        <v>128</v>
      </c>
      <c r="C426" s="151">
        <f>IF('HP Consommables'!F184&gt;0,'HP Consommables'!A184,0)</f>
        <v>0</v>
      </c>
      <c r="D426" s="152">
        <f>IF(C426='HP Consommables'!A184,'HP Consommables'!C184,0)</f>
        <v>0</v>
      </c>
      <c r="E426" s="157">
        <f>IF(C426='HP Consommables'!A184,'HP Consommables'!D184,0)</f>
        <v>0</v>
      </c>
      <c r="F426" s="153">
        <f>'HP Consommables'!F184</f>
        <v>0</v>
      </c>
      <c r="G426" s="274">
        <f t="shared" si="8"/>
        <v>0</v>
      </c>
      <c r="J426" s="199"/>
      <c r="K426" s="199"/>
    </row>
    <row r="427" spans="2:11">
      <c r="B427" s="151" t="s">
        <v>128</v>
      </c>
      <c r="C427" s="151">
        <f>IF('HP Consommables'!F185&gt;0,'HP Consommables'!A185,0)</f>
        <v>0</v>
      </c>
      <c r="D427" s="152">
        <f>IF(C427='HP Consommables'!A185,'HP Consommables'!C185,0)</f>
        <v>0</v>
      </c>
      <c r="E427" s="157">
        <f>IF(C427='HP Consommables'!A185,'HP Consommables'!D185,0)</f>
        <v>0</v>
      </c>
      <c r="F427" s="153">
        <f>'HP Consommables'!F185</f>
        <v>0</v>
      </c>
      <c r="G427" s="274">
        <f t="shared" si="8"/>
        <v>0</v>
      </c>
      <c r="J427" s="199"/>
      <c r="K427" s="199"/>
    </row>
    <row r="428" spans="2:11">
      <c r="B428" s="151" t="s">
        <v>128</v>
      </c>
      <c r="C428" s="151">
        <f>IF('HP Consommables'!F186&gt;0,'HP Consommables'!A186,0)</f>
        <v>0</v>
      </c>
      <c r="D428" s="152">
        <f>IF(C428='HP Consommables'!A186,'HP Consommables'!C186,0)</f>
        <v>0</v>
      </c>
      <c r="E428" s="157">
        <f>IF(C428='HP Consommables'!A186,'HP Consommables'!D186,0)</f>
        <v>0</v>
      </c>
      <c r="F428" s="153">
        <f>'HP Consommables'!F186</f>
        <v>0</v>
      </c>
      <c r="G428" s="274">
        <f t="shared" si="8"/>
        <v>0</v>
      </c>
      <c r="J428" s="199"/>
      <c r="K428" s="199"/>
    </row>
    <row r="429" spans="2:11">
      <c r="B429" s="151" t="s">
        <v>128</v>
      </c>
      <c r="C429" s="151">
        <f>IF('HP Consommables'!F187&gt;0,'HP Consommables'!A187,0)</f>
        <v>0</v>
      </c>
      <c r="D429" s="152">
        <f>IF(C429='HP Consommables'!A187,'HP Consommables'!C187,0)</f>
        <v>0</v>
      </c>
      <c r="E429" s="157">
        <f>IF(C429='HP Consommables'!A187,'HP Consommables'!D187,0)</f>
        <v>0</v>
      </c>
      <c r="F429" s="153">
        <f>'HP Consommables'!F187</f>
        <v>0</v>
      </c>
      <c r="G429" s="274">
        <f t="shared" si="8"/>
        <v>0</v>
      </c>
      <c r="J429" s="199"/>
      <c r="K429" s="199"/>
    </row>
    <row r="430" spans="2:11">
      <c r="B430" s="151" t="s">
        <v>128</v>
      </c>
      <c r="C430" s="151">
        <f>IF('HP Consommables'!F188&gt;0,'HP Consommables'!A188,0)</f>
        <v>0</v>
      </c>
      <c r="D430" s="152">
        <f>IF(C430='HP Consommables'!A188,'HP Consommables'!C188,0)</f>
        <v>0</v>
      </c>
      <c r="E430" s="157">
        <f>IF(C430='HP Consommables'!A188,'HP Consommables'!D188,0)</f>
        <v>0</v>
      </c>
      <c r="F430" s="153">
        <f>'HP Consommables'!F188</f>
        <v>0</v>
      </c>
      <c r="G430" s="274">
        <f t="shared" si="8"/>
        <v>0</v>
      </c>
      <c r="J430" s="199"/>
      <c r="K430" s="199"/>
    </row>
    <row r="431" spans="2:11">
      <c r="B431" s="151" t="s">
        <v>128</v>
      </c>
      <c r="C431" s="151">
        <f>IF('HP Consommables'!F189&gt;0,'HP Consommables'!A189,0)</f>
        <v>0</v>
      </c>
      <c r="D431" s="152">
        <f>IF(C431='HP Consommables'!A189,'HP Consommables'!C189,0)</f>
        <v>0</v>
      </c>
      <c r="E431" s="157">
        <f>IF(C431='HP Consommables'!A189,'HP Consommables'!D189,0)</f>
        <v>0</v>
      </c>
      <c r="F431" s="153">
        <f>'HP Consommables'!F189</f>
        <v>0</v>
      </c>
      <c r="G431" s="274">
        <f t="shared" si="8"/>
        <v>0</v>
      </c>
      <c r="J431" s="199"/>
      <c r="K431" s="199"/>
    </row>
    <row r="432" spans="2:11">
      <c r="B432" s="151" t="s">
        <v>128</v>
      </c>
      <c r="C432" s="151">
        <f>IF('HP Consommables'!F190&gt;0,'HP Consommables'!A190,0)</f>
        <v>0</v>
      </c>
      <c r="D432" s="152">
        <f>IF(C432='HP Consommables'!A190,'HP Consommables'!C190,0)</f>
        <v>0</v>
      </c>
      <c r="E432" s="157">
        <f>IF(C432='HP Consommables'!A190,'HP Consommables'!D190,0)</f>
        <v>0</v>
      </c>
      <c r="F432" s="153">
        <f>'HP Consommables'!F190</f>
        <v>0</v>
      </c>
      <c r="G432" s="274">
        <f t="shared" si="8"/>
        <v>0</v>
      </c>
      <c r="J432" s="199"/>
      <c r="K432" s="199"/>
    </row>
    <row r="433" spans="2:11">
      <c r="B433" s="151" t="s">
        <v>128</v>
      </c>
      <c r="C433" s="151">
        <f>IF('HP Consommables'!F191&gt;0,'HP Consommables'!A191,0)</f>
        <v>0</v>
      </c>
      <c r="D433" s="152">
        <f>IF(C433='HP Consommables'!A191,'HP Consommables'!C191,0)</f>
        <v>0</v>
      </c>
      <c r="E433" s="157">
        <f>IF(C433='HP Consommables'!A191,'HP Consommables'!D191,0)</f>
        <v>0</v>
      </c>
      <c r="F433" s="153">
        <f>'HP Consommables'!F191</f>
        <v>0</v>
      </c>
      <c r="G433" s="274">
        <f t="shared" si="8"/>
        <v>0</v>
      </c>
      <c r="J433" s="199"/>
      <c r="K433" s="199"/>
    </row>
    <row r="434" spans="2:11">
      <c r="B434" s="151" t="s">
        <v>128</v>
      </c>
      <c r="C434" s="151">
        <f>IF('HP Consommables'!F192&gt;0,'HP Consommables'!A192,0)</f>
        <v>0</v>
      </c>
      <c r="D434" s="152">
        <f>IF(C434='HP Consommables'!A192,'HP Consommables'!C192,0)</f>
        <v>0</v>
      </c>
      <c r="E434" s="157">
        <f>IF(C434='HP Consommables'!A192,'HP Consommables'!D192,0)</f>
        <v>0</v>
      </c>
      <c r="F434" s="153">
        <f>'HP Consommables'!F192</f>
        <v>0</v>
      </c>
      <c r="G434" s="274">
        <f t="shared" si="8"/>
        <v>0</v>
      </c>
      <c r="J434" s="199"/>
      <c r="K434" s="199"/>
    </row>
    <row r="435" spans="2:11">
      <c r="B435" s="151" t="s">
        <v>128</v>
      </c>
      <c r="C435" s="151">
        <f>IF('HP Consommables'!F193&gt;0,'HP Consommables'!A193,0)</f>
        <v>0</v>
      </c>
      <c r="D435" s="152">
        <f>IF(C435='HP Consommables'!A193,'HP Consommables'!C193,0)</f>
        <v>0</v>
      </c>
      <c r="E435" s="157">
        <f>IF(C435='HP Consommables'!A193,'HP Consommables'!D193,0)</f>
        <v>0</v>
      </c>
      <c r="F435" s="153">
        <f>'HP Consommables'!F193</f>
        <v>0</v>
      </c>
      <c r="G435" s="274">
        <f t="shared" si="8"/>
        <v>0</v>
      </c>
      <c r="J435" s="199"/>
      <c r="K435" s="199"/>
    </row>
    <row r="436" spans="2:11">
      <c r="B436" s="151" t="s">
        <v>128</v>
      </c>
      <c r="C436" s="151">
        <f>IF('HP Consommables'!F194&gt;0,'HP Consommables'!A194,0)</f>
        <v>0</v>
      </c>
      <c r="D436" s="152">
        <f>IF(C436='HP Consommables'!A194,'HP Consommables'!C194,0)</f>
        <v>0</v>
      </c>
      <c r="E436" s="157">
        <f>IF(C436='HP Consommables'!A194,'HP Consommables'!D194,0)</f>
        <v>0</v>
      </c>
      <c r="F436" s="153">
        <f>'HP Consommables'!F194</f>
        <v>0</v>
      </c>
      <c r="G436" s="274">
        <f t="shared" si="8"/>
        <v>0</v>
      </c>
      <c r="J436" s="199"/>
      <c r="K436" s="199"/>
    </row>
    <row r="437" spans="2:11">
      <c r="B437" s="151" t="s">
        <v>128</v>
      </c>
      <c r="C437" s="151">
        <f>IF('HP Consommables'!F195&gt;0,'HP Consommables'!A195,0)</f>
        <v>0</v>
      </c>
      <c r="D437" s="152">
        <f>IF(C437='HP Consommables'!A195,'HP Consommables'!C195,0)</f>
        <v>0</v>
      </c>
      <c r="E437" s="157">
        <f>IF(C437='HP Consommables'!A195,'HP Consommables'!D195,0)</f>
        <v>0</v>
      </c>
      <c r="F437" s="153">
        <f>'HP Consommables'!F195</f>
        <v>0</v>
      </c>
      <c r="G437" s="274">
        <f t="shared" si="8"/>
        <v>0</v>
      </c>
      <c r="J437" s="199"/>
      <c r="K437" s="199"/>
    </row>
    <row r="438" spans="2:11">
      <c r="B438" s="151" t="s">
        <v>128</v>
      </c>
      <c r="C438" s="151">
        <f>IF('HP Consommables'!F196&gt;0,'HP Consommables'!A196,0)</f>
        <v>0</v>
      </c>
      <c r="D438" s="152">
        <f>IF(C438='HP Consommables'!A196,'HP Consommables'!C196,0)</f>
        <v>0</v>
      </c>
      <c r="E438" s="157">
        <f>IF(C438='HP Consommables'!A196,'HP Consommables'!D196,0)</f>
        <v>0</v>
      </c>
      <c r="F438" s="153">
        <f>'HP Consommables'!F196</f>
        <v>0</v>
      </c>
      <c r="G438" s="274">
        <f t="shared" si="8"/>
        <v>0</v>
      </c>
      <c r="J438" s="199"/>
      <c r="K438" s="199"/>
    </row>
    <row r="439" spans="2:11">
      <c r="B439" s="151" t="s">
        <v>128</v>
      </c>
      <c r="C439" s="151">
        <f>IF('HP Consommables'!F197&gt;0,'HP Consommables'!A197,0)</f>
        <v>0</v>
      </c>
      <c r="D439" s="152">
        <f>IF(C439='HP Consommables'!A197,'HP Consommables'!C197,0)</f>
        <v>0</v>
      </c>
      <c r="E439" s="157">
        <f>IF(C439='HP Consommables'!A197,'HP Consommables'!D197,0)</f>
        <v>0</v>
      </c>
      <c r="F439" s="153">
        <f>'HP Consommables'!F197</f>
        <v>0</v>
      </c>
      <c r="G439" s="274">
        <f t="shared" si="8"/>
        <v>0</v>
      </c>
      <c r="J439" s="199"/>
      <c r="K439" s="199"/>
    </row>
    <row r="440" spans="2:11">
      <c r="B440" s="151" t="s">
        <v>128</v>
      </c>
      <c r="C440" s="151">
        <f>IF('HP Consommables'!F198&gt;0,'HP Consommables'!A198,0)</f>
        <v>0</v>
      </c>
      <c r="D440" s="152">
        <f>IF(C440='HP Consommables'!A198,'HP Consommables'!C198,0)</f>
        <v>0</v>
      </c>
      <c r="E440" s="157">
        <f>IF(C440='HP Consommables'!A198,'HP Consommables'!D198,0)</f>
        <v>0</v>
      </c>
      <c r="F440" s="153">
        <f>'HP Consommables'!F198</f>
        <v>0</v>
      </c>
      <c r="G440" s="274">
        <f t="shared" si="8"/>
        <v>0</v>
      </c>
      <c r="J440" s="199"/>
      <c r="K440" s="199"/>
    </row>
    <row r="441" spans="2:11">
      <c r="B441" s="151" t="s">
        <v>128</v>
      </c>
      <c r="C441" s="151">
        <f>IF('HP Consommables'!F199&gt;0,'HP Consommables'!A199,0)</f>
        <v>0</v>
      </c>
      <c r="D441" s="152">
        <f>IF(C441='HP Consommables'!A199,'HP Consommables'!C199,0)</f>
        <v>0</v>
      </c>
      <c r="E441" s="157">
        <f>IF(C441='HP Consommables'!A199,'HP Consommables'!D199,0)</f>
        <v>0</v>
      </c>
      <c r="F441" s="153">
        <f>'HP Consommables'!F199</f>
        <v>0</v>
      </c>
      <c r="G441" s="274">
        <f t="shared" si="8"/>
        <v>0</v>
      </c>
      <c r="J441" s="199"/>
      <c r="K441" s="199"/>
    </row>
    <row r="442" spans="2:11">
      <c r="B442" s="151" t="s">
        <v>128</v>
      </c>
      <c r="C442" s="151">
        <f>IF('HP Consommables'!F200&gt;0,'HP Consommables'!A200,0)</f>
        <v>0</v>
      </c>
      <c r="D442" s="152">
        <f>IF(C442='HP Consommables'!A200,'HP Consommables'!C200,0)</f>
        <v>0</v>
      </c>
      <c r="E442" s="157">
        <f>IF(C442='HP Consommables'!A200,'HP Consommables'!D200,0)</f>
        <v>0</v>
      </c>
      <c r="F442" s="153">
        <f>'HP Consommables'!F200</f>
        <v>0</v>
      </c>
      <c r="G442" s="274">
        <f t="shared" si="8"/>
        <v>0</v>
      </c>
      <c r="J442" s="199"/>
      <c r="K442" s="199"/>
    </row>
    <row r="443" spans="2:11">
      <c r="B443" s="151" t="s">
        <v>128</v>
      </c>
      <c r="C443" s="151">
        <f>IF('HP Consommables'!F201&gt;0,'HP Consommables'!A201,0)</f>
        <v>0</v>
      </c>
      <c r="D443" s="152">
        <f>IF(C443='HP Consommables'!A201,'HP Consommables'!C201,0)</f>
        <v>0</v>
      </c>
      <c r="E443" s="157">
        <f>IF(C443='HP Consommables'!A201,'HP Consommables'!D201,0)</f>
        <v>0</v>
      </c>
      <c r="F443" s="153">
        <f>'HP Consommables'!F201</f>
        <v>0</v>
      </c>
      <c r="G443" s="274">
        <f t="shared" si="8"/>
        <v>0</v>
      </c>
      <c r="J443" s="199"/>
      <c r="K443" s="199"/>
    </row>
    <row r="444" spans="2:11">
      <c r="B444" s="151" t="s">
        <v>128</v>
      </c>
      <c r="C444" s="151">
        <f>IF('HP Consommables'!F202&gt;0,'HP Consommables'!A202,0)</f>
        <v>0</v>
      </c>
      <c r="D444" s="152">
        <f>IF(C444='HP Consommables'!A202,'HP Consommables'!C202,0)</f>
        <v>0</v>
      </c>
      <c r="E444" s="157">
        <f>IF(C444='HP Consommables'!A202,'HP Consommables'!D202,0)</f>
        <v>0</v>
      </c>
      <c r="F444" s="153">
        <f>'HP Consommables'!F202</f>
        <v>0</v>
      </c>
      <c r="G444" s="274">
        <f t="shared" si="8"/>
        <v>0</v>
      </c>
      <c r="J444" s="199"/>
      <c r="K444" s="199"/>
    </row>
    <row r="445" spans="2:11">
      <c r="B445" s="151" t="s">
        <v>128</v>
      </c>
      <c r="C445" s="151">
        <f>IF('HP Consommables'!F203&gt;0,'HP Consommables'!A203,0)</f>
        <v>0</v>
      </c>
      <c r="D445" s="152">
        <f>IF(C445='HP Consommables'!A203,'HP Consommables'!C203,0)</f>
        <v>0</v>
      </c>
      <c r="E445" s="157">
        <f>IF(C445='HP Consommables'!A203,'HP Consommables'!D203,0)</f>
        <v>0</v>
      </c>
      <c r="F445" s="153">
        <f>'HP Consommables'!F203</f>
        <v>0</v>
      </c>
      <c r="G445" s="274">
        <f t="shared" si="8"/>
        <v>0</v>
      </c>
      <c r="J445" s="199"/>
      <c r="K445" s="199"/>
    </row>
    <row r="446" spans="2:11">
      <c r="B446" s="151" t="s">
        <v>128</v>
      </c>
      <c r="C446" s="151">
        <f>IF('HP Consommables'!F204&gt;0,'HP Consommables'!A204,0)</f>
        <v>0</v>
      </c>
      <c r="D446" s="152">
        <f>IF(C446='HP Consommables'!A204,'HP Consommables'!C204,0)</f>
        <v>0</v>
      </c>
      <c r="E446" s="157">
        <f>IF(C446='HP Consommables'!A204,'HP Consommables'!D204,0)</f>
        <v>0</v>
      </c>
      <c r="F446" s="153">
        <f>'HP Consommables'!F204</f>
        <v>0</v>
      </c>
      <c r="G446" s="274">
        <f t="shared" ref="G446:G449" si="9">F446*E446</f>
        <v>0</v>
      </c>
      <c r="J446" s="199"/>
      <c r="K446" s="199"/>
    </row>
    <row r="447" spans="2:11">
      <c r="B447" s="151" t="s">
        <v>128</v>
      </c>
      <c r="C447" s="151">
        <f>IF('HP Consommables'!F205&gt;0,'HP Consommables'!A205,0)</f>
        <v>0</v>
      </c>
      <c r="D447" s="152">
        <f>IF(C447='HP Consommables'!A205,'HP Consommables'!C205,0)</f>
        <v>0</v>
      </c>
      <c r="E447" s="157">
        <f>IF(C447='HP Consommables'!A205,'HP Consommables'!D205,0)</f>
        <v>0</v>
      </c>
      <c r="F447" s="153">
        <f>'HP Consommables'!F205</f>
        <v>0</v>
      </c>
      <c r="G447" s="274">
        <f t="shared" si="9"/>
        <v>0</v>
      </c>
      <c r="J447" s="199"/>
      <c r="K447" s="199"/>
    </row>
    <row r="448" spans="2:11">
      <c r="B448" s="151" t="s">
        <v>128</v>
      </c>
      <c r="C448" s="151">
        <f>IF('HP Consommables'!F206&gt;0,'HP Consommables'!A206,0)</f>
        <v>0</v>
      </c>
      <c r="D448" s="152">
        <f>IF(C448='HP Consommables'!A206,'HP Consommables'!C206,0)</f>
        <v>0</v>
      </c>
      <c r="E448" s="157">
        <f>IF(C448='HP Consommables'!A206,'HP Consommables'!D206,0)</f>
        <v>0</v>
      </c>
      <c r="F448" s="153">
        <f>'HP Consommables'!F206</f>
        <v>0</v>
      </c>
      <c r="G448" s="274">
        <f t="shared" si="9"/>
        <v>0</v>
      </c>
      <c r="J448" s="199"/>
      <c r="K448" s="199"/>
    </row>
    <row r="449" spans="2:13">
      <c r="B449" s="151" t="s">
        <v>128</v>
      </c>
      <c r="C449" s="151">
        <f>IF('HP Consommables'!F207&gt;0,'HP Consommables'!A207,0)</f>
        <v>0</v>
      </c>
      <c r="D449" s="152">
        <f>IF(C449='HP Consommables'!A207,'HP Consommables'!C207,0)</f>
        <v>0</v>
      </c>
      <c r="E449" s="157">
        <f>IF(C449='HP Consommables'!A207,'HP Consommables'!D207,0)</f>
        <v>0</v>
      </c>
      <c r="F449" s="153">
        <f>'HP Consommables'!F207</f>
        <v>0</v>
      </c>
      <c r="G449" s="274">
        <f t="shared" si="9"/>
        <v>0</v>
      </c>
      <c r="J449" s="199"/>
      <c r="K449" s="199"/>
    </row>
    <row r="450" spans="2:13">
      <c r="B450" s="151" t="s">
        <v>8</v>
      </c>
      <c r="C450" s="151">
        <f>IF('HP Inc.'!F11&gt;0,'HP Inc.'!A11,0)</f>
        <v>0</v>
      </c>
      <c r="D450" s="152">
        <f>IF(C450='HP Inc.'!A11,'HP Inc.'!C11,0)</f>
        <v>0</v>
      </c>
      <c r="E450" s="157">
        <f>IF(C450='HP Inc.'!A11,'HP Inc.'!D11,0)</f>
        <v>0</v>
      </c>
      <c r="F450" s="153">
        <f>'HP Inc.'!F11</f>
        <v>0</v>
      </c>
      <c r="G450" s="274">
        <f>F450*E450</f>
        <v>0</v>
      </c>
    </row>
    <row r="451" spans="2:13">
      <c r="B451" s="151" t="s">
        <v>8</v>
      </c>
      <c r="C451" s="151">
        <f>IF('HP Inc.'!F12&gt;0,'HP Inc.'!A12,0)</f>
        <v>0</v>
      </c>
      <c r="D451" s="152">
        <f>IF(C451='HP Inc.'!A12,'HP Inc.'!C12,0)</f>
        <v>0</v>
      </c>
      <c r="E451" s="157">
        <f>IF(C451='HP Inc.'!A12,'HP Inc.'!D12,0)</f>
        <v>0</v>
      </c>
      <c r="F451" s="153">
        <f>'HP Inc.'!F12</f>
        <v>0</v>
      </c>
      <c r="G451" s="274">
        <f t="shared" ref="G451:G513" si="10">F451*E451</f>
        <v>0</v>
      </c>
      <c r="M451" s="199"/>
    </row>
    <row r="452" spans="2:13">
      <c r="B452" s="151" t="s">
        <v>8</v>
      </c>
      <c r="C452" s="151">
        <f>IF('HP Inc.'!F13&gt;0,'HP Inc.'!A13,0)</f>
        <v>0</v>
      </c>
      <c r="D452" s="152">
        <f>IF(C452='HP Inc.'!A13,'HP Inc.'!C13,0)</f>
        <v>0</v>
      </c>
      <c r="E452" s="157">
        <f>IF(C452='HP Inc.'!A13,'HP Inc.'!D13,0)</f>
        <v>0</v>
      </c>
      <c r="F452" s="153">
        <f>'HP Inc.'!F13</f>
        <v>0</v>
      </c>
      <c r="G452" s="274">
        <f t="shared" si="10"/>
        <v>0</v>
      </c>
      <c r="J452" s="199"/>
      <c r="K452" s="199"/>
    </row>
    <row r="453" spans="2:13">
      <c r="B453" s="151" t="s">
        <v>8</v>
      </c>
      <c r="C453" s="151">
        <f>IF('HP Inc.'!F14&gt;0,'HP Inc.'!A14,0)</f>
        <v>0</v>
      </c>
      <c r="D453" s="152">
        <f>IF(C453='HP Inc.'!A14,'HP Inc.'!C14,0)</f>
        <v>0</v>
      </c>
      <c r="E453" s="157">
        <f>IF(C453='HP Inc.'!A14,'HP Inc.'!D14,0)</f>
        <v>0</v>
      </c>
      <c r="F453" s="153">
        <f>'HP Inc.'!F14</f>
        <v>0</v>
      </c>
      <c r="G453" s="274">
        <f t="shared" si="10"/>
        <v>0</v>
      </c>
      <c r="J453" s="199"/>
      <c r="K453" s="199"/>
    </row>
    <row r="454" spans="2:13">
      <c r="B454" s="151" t="s">
        <v>8</v>
      </c>
      <c r="C454" s="151">
        <f>IF('HP Inc.'!F15&gt;0,'HP Inc.'!A15,0)</f>
        <v>0</v>
      </c>
      <c r="D454" s="152">
        <f>IF(C454='HP Inc.'!A15,'HP Inc.'!C15,0)</f>
        <v>0</v>
      </c>
      <c r="E454" s="157">
        <f>IF(C454='HP Inc.'!A15,'HP Inc.'!D15,0)</f>
        <v>0</v>
      </c>
      <c r="F454" s="153">
        <f>'HP Inc.'!F15</f>
        <v>0</v>
      </c>
      <c r="G454" s="274">
        <f t="shared" si="10"/>
        <v>0</v>
      </c>
    </row>
    <row r="455" spans="2:13">
      <c r="B455" s="151" t="s">
        <v>8</v>
      </c>
      <c r="C455" s="151">
        <f>IF('HP Inc.'!F16&gt;0,'HP Inc.'!A16,0)</f>
        <v>0</v>
      </c>
      <c r="D455" s="152">
        <f>IF(C455='HP Inc.'!A16,'HP Inc.'!C16,0)</f>
        <v>0</v>
      </c>
      <c r="E455" s="157">
        <f>IF(C455='HP Inc.'!A16,'HP Inc.'!D16,0)</f>
        <v>0</v>
      </c>
      <c r="F455" s="153">
        <f>'HP Inc.'!F16</f>
        <v>0</v>
      </c>
      <c r="G455" s="274">
        <f t="shared" si="10"/>
        <v>0</v>
      </c>
      <c r="M455" s="210"/>
    </row>
    <row r="456" spans="2:13">
      <c r="B456" s="151" t="s">
        <v>8</v>
      </c>
      <c r="C456" s="151">
        <f>IF('HP Inc.'!F17&gt;0,'HP Inc.'!A17,0)</f>
        <v>0</v>
      </c>
      <c r="D456" s="152">
        <f>IF(C456='HP Inc.'!A17,'HP Inc.'!C17,0)</f>
        <v>0</v>
      </c>
      <c r="E456" s="157">
        <f>IF(C456='HP Inc.'!A17,'HP Inc.'!D17,0)</f>
        <v>0</v>
      </c>
      <c r="F456" s="153">
        <f>'HP Inc.'!F17</f>
        <v>0</v>
      </c>
      <c r="G456" s="274">
        <f t="shared" si="10"/>
        <v>0</v>
      </c>
    </row>
    <row r="457" spans="2:13">
      <c r="B457" s="151" t="s">
        <v>8</v>
      </c>
      <c r="C457" s="151">
        <f>IF('HP Inc.'!F18&gt;0,'HP Inc.'!A18,0)</f>
        <v>0</v>
      </c>
      <c r="D457" s="152" t="str">
        <f>IF(C457='HP Inc.'!A18,'HP Inc.'!C18,0)</f>
        <v>Laptop - Commercial</v>
      </c>
      <c r="E457" s="157">
        <f>IF(C457='HP Inc.'!A18,'HP Inc.'!D18,0)</f>
        <v>0</v>
      </c>
      <c r="F457" s="153">
        <f>'HP Inc.'!F18</f>
        <v>0</v>
      </c>
      <c r="G457" s="274">
        <f t="shared" si="10"/>
        <v>0</v>
      </c>
    </row>
    <row r="458" spans="2:13">
      <c r="B458" s="151" t="s">
        <v>8</v>
      </c>
      <c r="C458" s="151">
        <f>IF('HP Inc.'!F19&gt;0,'HP Inc.'!A19,0)</f>
        <v>0</v>
      </c>
      <c r="D458" s="152">
        <f>IF(C458='HP Inc.'!A19,'HP Inc.'!C19,0)</f>
        <v>0</v>
      </c>
      <c r="E458" s="157">
        <f>IF(C458='HP Inc.'!A19,'HP Inc.'!D19,0)</f>
        <v>0</v>
      </c>
      <c r="F458" s="153">
        <f>'HP Inc.'!F19</f>
        <v>0</v>
      </c>
      <c r="G458" s="274">
        <f t="shared" si="10"/>
        <v>0</v>
      </c>
      <c r="J458" s="258"/>
      <c r="K458" s="199"/>
    </row>
    <row r="459" spans="2:13">
      <c r="B459" s="151" t="s">
        <v>8</v>
      </c>
      <c r="C459" s="151">
        <f>IF('HP Inc.'!F20&gt;0,'HP Inc.'!A20,0)</f>
        <v>0</v>
      </c>
      <c r="D459" s="152">
        <f>IF(C459='HP Inc.'!A20,'HP Inc.'!C20,0)</f>
        <v>0</v>
      </c>
      <c r="E459" s="157">
        <f>IF(C459='HP Inc.'!A20,'HP Inc.'!D20,0)</f>
        <v>0</v>
      </c>
      <c r="F459" s="153">
        <f>'HP Inc.'!F20</f>
        <v>0</v>
      </c>
      <c r="G459" s="274">
        <f t="shared" si="10"/>
        <v>0</v>
      </c>
      <c r="J459" s="199"/>
      <c r="K459" s="199"/>
    </row>
    <row r="460" spans="2:13">
      <c r="B460" s="151" t="s">
        <v>8</v>
      </c>
      <c r="C460" s="151">
        <f>IF('HP Inc.'!F21&gt;0,'HP Inc.'!A21,0)</f>
        <v>0</v>
      </c>
      <c r="D460" s="152">
        <f>IF(C460='HP Inc.'!A21,'HP Inc.'!C21,0)</f>
        <v>0</v>
      </c>
      <c r="E460" s="157">
        <f>IF(C460='HP Inc.'!A21,'HP Inc.'!D21,0)</f>
        <v>0</v>
      </c>
      <c r="F460" s="153">
        <f>'HP Inc.'!F21</f>
        <v>0</v>
      </c>
      <c r="G460" s="274">
        <f t="shared" si="10"/>
        <v>0</v>
      </c>
      <c r="K460" s="199"/>
      <c r="L460" s="199"/>
    </row>
    <row r="461" spans="2:13">
      <c r="B461" s="151" t="s">
        <v>8</v>
      </c>
      <c r="C461" s="151">
        <f>IF('HP Inc.'!F22&gt;0,'HP Inc.'!A22,0)</f>
        <v>0</v>
      </c>
      <c r="D461" s="152">
        <f>IF(C461='HP Inc.'!A22,'HP Inc.'!C22,0)</f>
        <v>0</v>
      </c>
      <c r="E461" s="157">
        <f>IF(C461='HP Inc.'!A22,'HP Inc.'!D22,0)</f>
        <v>0</v>
      </c>
      <c r="F461" s="153">
        <f>'HP Inc.'!F22</f>
        <v>0</v>
      </c>
      <c r="G461" s="274">
        <f t="shared" si="10"/>
        <v>0</v>
      </c>
      <c r="K461" s="199"/>
      <c r="L461" s="199"/>
    </row>
    <row r="462" spans="2:13">
      <c r="B462" s="151" t="s">
        <v>8</v>
      </c>
      <c r="C462" s="151">
        <f>IF('HP Inc.'!F23&gt;0,'HP Inc.'!A23,0)</f>
        <v>0</v>
      </c>
      <c r="D462" s="152">
        <f>IF(C462='HP Inc.'!A23,'HP Inc.'!C23,0)</f>
        <v>0</v>
      </c>
      <c r="E462" s="157">
        <f>IF(C462='HP Inc.'!A23,'HP Inc.'!D23,0)</f>
        <v>0</v>
      </c>
      <c r="F462" s="153">
        <f>'HP Inc.'!F23</f>
        <v>0</v>
      </c>
      <c r="G462" s="274">
        <f t="shared" si="10"/>
        <v>0</v>
      </c>
      <c r="K462" s="199"/>
      <c r="L462" s="199"/>
    </row>
    <row r="463" spans="2:13">
      <c r="B463" s="151" t="s">
        <v>8</v>
      </c>
      <c r="C463" s="151">
        <f>IF('HP Inc.'!F24&gt;0,'HP Inc.'!A24,0)</f>
        <v>0</v>
      </c>
      <c r="D463" s="152">
        <f>IF(C463='HP Inc.'!A24,'HP Inc.'!C24,0)</f>
        <v>0</v>
      </c>
      <c r="E463" s="157">
        <f>IF(C463='HP Inc.'!A24,'HP Inc.'!D24,0)</f>
        <v>0</v>
      </c>
      <c r="F463" s="153">
        <f>'HP Inc.'!F24</f>
        <v>0</v>
      </c>
      <c r="G463" s="274">
        <f t="shared" si="10"/>
        <v>0</v>
      </c>
      <c r="J463" s="199"/>
      <c r="K463" s="199"/>
    </row>
    <row r="464" spans="2:13">
      <c r="B464" s="151" t="s">
        <v>8</v>
      </c>
      <c r="C464" s="151">
        <f>IF('HP Inc.'!F25&gt;0,'HP Inc.'!A25,0)</f>
        <v>0</v>
      </c>
      <c r="D464" s="152">
        <f>IF(C464='HP Inc.'!A25,'HP Inc.'!C25,0)</f>
        <v>0</v>
      </c>
      <c r="E464" s="157">
        <f>IF(C464='HP Inc.'!A25,'HP Inc.'!D25,0)</f>
        <v>0</v>
      </c>
      <c r="F464" s="153">
        <f>'HP Inc.'!F25</f>
        <v>0</v>
      </c>
      <c r="G464" s="274">
        <f t="shared" si="10"/>
        <v>0</v>
      </c>
      <c r="J464" s="199"/>
      <c r="K464" s="199"/>
    </row>
    <row r="465" spans="2:12">
      <c r="B465" s="151" t="s">
        <v>8</v>
      </c>
      <c r="C465" s="151">
        <f>IF('HP Inc.'!F26&gt;0,'HP Inc.'!A26,0)</f>
        <v>0</v>
      </c>
      <c r="D465" s="152">
        <f>IF(C465='HP Inc.'!A26,'HP Inc.'!C26,0)</f>
        <v>0</v>
      </c>
      <c r="E465" s="157">
        <f>IF(C465='HP Inc.'!A26,'HP Inc.'!D26,0)</f>
        <v>0</v>
      </c>
      <c r="F465" s="153">
        <f>'HP Inc.'!F26</f>
        <v>0</v>
      </c>
      <c r="G465" s="274">
        <f t="shared" si="10"/>
        <v>0</v>
      </c>
      <c r="J465" s="199"/>
      <c r="K465" s="199"/>
    </row>
    <row r="466" spans="2:12">
      <c r="B466" s="151" t="s">
        <v>8</v>
      </c>
      <c r="C466" s="151">
        <f>IF('HP Inc.'!F27&gt;0,'HP Inc.'!A27,0)</f>
        <v>0</v>
      </c>
      <c r="D466" s="152">
        <f>IF(C466='HP Inc.'!A27,'HP Inc.'!C27,0)</f>
        <v>0</v>
      </c>
      <c r="E466" s="157">
        <f>IF(C466='HP Inc.'!A27,'HP Inc.'!D27,0)</f>
        <v>0</v>
      </c>
      <c r="F466" s="153">
        <f>'HP Inc.'!F27</f>
        <v>0</v>
      </c>
      <c r="G466" s="274">
        <f t="shared" si="10"/>
        <v>0</v>
      </c>
      <c r="K466" s="199"/>
      <c r="L466" s="199"/>
    </row>
    <row r="467" spans="2:12">
      <c r="B467" s="151" t="s">
        <v>8</v>
      </c>
      <c r="C467" s="151">
        <f>IF('HP Inc.'!F28&gt;0,'HP Inc.'!A28,0)</f>
        <v>0</v>
      </c>
      <c r="D467" s="152">
        <f>IF(C467='HP Inc.'!A28,'HP Inc.'!C28,0)</f>
        <v>0</v>
      </c>
      <c r="E467" s="157">
        <f>IF(C467='HP Inc.'!A28,'HP Inc.'!D28,0)</f>
        <v>0</v>
      </c>
      <c r="F467" s="153">
        <f>'HP Inc.'!F28</f>
        <v>0</v>
      </c>
      <c r="G467" s="274">
        <f t="shared" si="10"/>
        <v>0</v>
      </c>
      <c r="K467" s="199"/>
      <c r="L467" s="199"/>
    </row>
    <row r="468" spans="2:12">
      <c r="B468" s="151" t="s">
        <v>8</v>
      </c>
      <c r="C468" s="151">
        <f>IF('HP Inc.'!F29&gt;0,'HP Inc.'!A29,0)</f>
        <v>0</v>
      </c>
      <c r="D468" s="152">
        <f>IF(C468='HP Inc.'!A29,'HP Inc.'!C29,0)</f>
        <v>0</v>
      </c>
      <c r="E468" s="157">
        <f>IF(C468='HP Inc.'!A29,'HP Inc.'!D29,0)</f>
        <v>0</v>
      </c>
      <c r="F468" s="153">
        <f>'HP Inc.'!F29</f>
        <v>0</v>
      </c>
      <c r="G468" s="274">
        <f t="shared" si="10"/>
        <v>0</v>
      </c>
      <c r="J468" s="199"/>
      <c r="K468" s="199"/>
    </row>
    <row r="469" spans="2:12">
      <c r="B469" s="151" t="s">
        <v>8</v>
      </c>
      <c r="C469" s="151">
        <f>IF('HP Inc.'!F30&gt;0,'HP Inc.'!A30,0)</f>
        <v>0</v>
      </c>
      <c r="D469" s="152">
        <f>IF(C469='HP Inc.'!A30,'HP Inc.'!C30,0)</f>
        <v>0</v>
      </c>
      <c r="E469" s="157">
        <f>IF(C469='HP Inc.'!A30,'HP Inc.'!D30,0)</f>
        <v>0</v>
      </c>
      <c r="F469" s="153">
        <f>'HP Inc.'!F30</f>
        <v>0</v>
      </c>
      <c r="G469" s="274">
        <f t="shared" si="10"/>
        <v>0</v>
      </c>
      <c r="J469" s="199"/>
      <c r="K469" s="199"/>
      <c r="L469" s="199"/>
    </row>
    <row r="470" spans="2:12">
      <c r="B470" s="151" t="s">
        <v>8</v>
      </c>
      <c r="C470" s="151">
        <f>IF('HP Inc.'!F31&gt;0,'HP Inc.'!A31,0)</f>
        <v>0</v>
      </c>
      <c r="D470" s="152">
        <f>IF(C470='HP Inc.'!A31,'HP Inc.'!C31,0)</f>
        <v>0</v>
      </c>
      <c r="E470" s="157">
        <f>IF(C470='HP Inc.'!A31,'HP Inc.'!D31,0)</f>
        <v>0</v>
      </c>
      <c r="F470" s="153">
        <f>'HP Inc.'!F31</f>
        <v>0</v>
      </c>
      <c r="G470" s="274">
        <f t="shared" si="10"/>
        <v>0</v>
      </c>
      <c r="J470" s="199"/>
      <c r="K470" s="199"/>
      <c r="L470" s="199"/>
    </row>
    <row r="471" spans="2:12">
      <c r="B471" s="151" t="s">
        <v>8</v>
      </c>
      <c r="C471" s="151">
        <f>IF('HP Inc.'!F32&gt;0,'HP Inc.'!A32,0)</f>
        <v>0</v>
      </c>
      <c r="D471" s="152">
        <f>IF(C471='HP Inc.'!A32,'HP Inc.'!C32,0)</f>
        <v>0</v>
      </c>
      <c r="E471" s="157">
        <f>IF(C471='HP Inc.'!A32,'HP Inc.'!D32,0)</f>
        <v>0</v>
      </c>
      <c r="F471" s="153">
        <f>'HP Inc.'!F32</f>
        <v>0</v>
      </c>
      <c r="G471" s="274">
        <f t="shared" si="10"/>
        <v>0</v>
      </c>
      <c r="J471" s="199"/>
      <c r="K471" s="199"/>
      <c r="L471" s="199"/>
    </row>
    <row r="472" spans="2:12">
      <c r="B472" s="151" t="s">
        <v>8</v>
      </c>
      <c r="C472" s="151">
        <f>IF('HP Inc.'!F33&gt;0,'HP Inc.'!A33,0)</f>
        <v>0</v>
      </c>
      <c r="D472" s="152">
        <f>IF(C472='HP Inc.'!A33,'HP Inc.'!C33,0)</f>
        <v>0</v>
      </c>
      <c r="E472" s="157">
        <f>IF(C472='HP Inc.'!A33,'HP Inc.'!D33,0)</f>
        <v>0</v>
      </c>
      <c r="F472" s="153">
        <f>'HP Inc.'!F33</f>
        <v>0</v>
      </c>
      <c r="G472" s="274">
        <f t="shared" si="10"/>
        <v>0</v>
      </c>
      <c r="J472" s="199"/>
      <c r="K472" s="199"/>
      <c r="L472" s="199"/>
    </row>
    <row r="473" spans="2:12">
      <c r="B473" s="151" t="s">
        <v>8</v>
      </c>
      <c r="C473" s="151">
        <f>IF('HP Inc.'!F34&gt;0,'HP Inc.'!A34,0)</f>
        <v>0</v>
      </c>
      <c r="D473" s="152">
        <f>IF(C473='HP Inc.'!A34,'HP Inc.'!C34,0)</f>
        <v>0</v>
      </c>
      <c r="E473" s="157">
        <f>IF(C473='HP Inc.'!A34,'HP Inc.'!D34,0)</f>
        <v>0</v>
      </c>
      <c r="F473" s="153">
        <f>'HP Inc.'!F34</f>
        <v>0</v>
      </c>
      <c r="G473" s="274">
        <f t="shared" si="10"/>
        <v>0</v>
      </c>
      <c r="J473" s="199"/>
      <c r="K473" s="199"/>
      <c r="L473" s="199"/>
    </row>
    <row r="474" spans="2:12">
      <c r="B474" s="151" t="s">
        <v>8</v>
      </c>
      <c r="C474" s="151">
        <f>IF('HP Inc.'!F35&gt;0,'HP Inc.'!A35,0)</f>
        <v>0</v>
      </c>
      <c r="D474" s="152">
        <f>IF(C474='HP Inc.'!A35,'HP Inc.'!C35,0)</f>
        <v>0</v>
      </c>
      <c r="E474" s="157">
        <f>IF(C474='HP Inc.'!A35,'HP Inc.'!D35,0)</f>
        <v>0</v>
      </c>
      <c r="F474" s="153">
        <f>'HP Inc.'!F35</f>
        <v>0</v>
      </c>
      <c r="G474" s="274">
        <f t="shared" si="10"/>
        <v>0</v>
      </c>
      <c r="J474" s="199"/>
      <c r="K474" s="199"/>
      <c r="L474" s="199"/>
    </row>
    <row r="475" spans="2:12">
      <c r="B475" s="151" t="s">
        <v>8</v>
      </c>
      <c r="C475" s="151">
        <f>IF('HP Inc.'!F36&gt;0,'HP Inc.'!A36,0)</f>
        <v>0</v>
      </c>
      <c r="D475" s="152">
        <f>IF(C475='HP Inc.'!A36,'HP Inc.'!C36,0)</f>
        <v>0</v>
      </c>
      <c r="E475" s="157">
        <f>IF(C475='HP Inc.'!A36,'HP Inc.'!D36,0)</f>
        <v>0</v>
      </c>
      <c r="F475" s="153">
        <f>'HP Inc.'!F36</f>
        <v>0</v>
      </c>
      <c r="G475" s="274">
        <f t="shared" si="10"/>
        <v>0</v>
      </c>
      <c r="J475" s="199"/>
      <c r="K475" s="199"/>
      <c r="L475" s="199"/>
    </row>
    <row r="476" spans="2:12">
      <c r="B476" s="151" t="s">
        <v>8</v>
      </c>
      <c r="C476" s="151">
        <f>IF('HP Inc.'!F37&gt;0,'HP Inc.'!A37,0)</f>
        <v>0</v>
      </c>
      <c r="D476" s="152">
        <f>IF(C476='HP Inc.'!A37,'HP Inc.'!C37,0)</f>
        <v>0</v>
      </c>
      <c r="E476" s="157">
        <f>IF(C476='HP Inc.'!A37,'HP Inc.'!D37,0)</f>
        <v>0</v>
      </c>
      <c r="F476" s="153">
        <f>'HP Inc.'!F37</f>
        <v>0</v>
      </c>
      <c r="G476" s="274">
        <f t="shared" si="10"/>
        <v>0</v>
      </c>
      <c r="J476" s="199"/>
      <c r="K476" s="199"/>
      <c r="L476" s="199"/>
    </row>
    <row r="477" spans="2:12">
      <c r="B477" s="151" t="s">
        <v>8</v>
      </c>
      <c r="C477" s="151">
        <f>IF('HP Inc.'!F38&gt;0,'HP Inc.'!A38,0)</f>
        <v>0</v>
      </c>
      <c r="D477" s="152">
        <f>IF(C477='HP Inc.'!A38,'HP Inc.'!C38,0)</f>
        <v>0</v>
      </c>
      <c r="E477" s="157">
        <f>IF(C477='HP Inc.'!A38,'HP Inc.'!D38,0)</f>
        <v>0</v>
      </c>
      <c r="F477" s="153">
        <f>'HP Inc.'!F38</f>
        <v>0</v>
      </c>
      <c r="G477" s="274">
        <f t="shared" si="10"/>
        <v>0</v>
      </c>
      <c r="J477" s="199"/>
      <c r="K477" s="199"/>
      <c r="L477" s="199"/>
    </row>
    <row r="478" spans="2:12">
      <c r="B478" s="151" t="s">
        <v>8</v>
      </c>
      <c r="C478" s="151">
        <f>IF('HP Inc.'!F39&gt;0,'HP Inc.'!A39,0)</f>
        <v>0</v>
      </c>
      <c r="D478" s="152">
        <f>IF(C478='HP Inc.'!A39,'HP Inc.'!C39,0)</f>
        <v>0</v>
      </c>
      <c r="E478" s="157">
        <f>IF(C478='HP Inc.'!A39,'HP Inc.'!D39,0)</f>
        <v>0</v>
      </c>
      <c r="F478" s="153">
        <f>'HP Inc.'!F39</f>
        <v>0</v>
      </c>
      <c r="G478" s="274">
        <f t="shared" si="10"/>
        <v>0</v>
      </c>
      <c r="J478" s="199"/>
      <c r="K478" s="199"/>
    </row>
    <row r="479" spans="2:12">
      <c r="B479" s="151" t="s">
        <v>8</v>
      </c>
      <c r="C479" s="151">
        <f>IF('HP Inc.'!F40&gt;0,'HP Inc.'!A40,0)</f>
        <v>0</v>
      </c>
      <c r="D479" s="152">
        <f>IF(C479='HP Inc.'!A40,'HP Inc.'!C40,0)</f>
        <v>0</v>
      </c>
      <c r="E479" s="157">
        <f>IF(C479='HP Inc.'!A40,'HP Inc.'!D40,0)</f>
        <v>0</v>
      </c>
      <c r="F479" s="153">
        <f>'HP Inc.'!F40</f>
        <v>0</v>
      </c>
      <c r="G479" s="274">
        <f t="shared" si="10"/>
        <v>0</v>
      </c>
      <c r="J479" s="199"/>
      <c r="K479" s="199"/>
    </row>
    <row r="480" spans="2:12">
      <c r="B480" s="151" t="s">
        <v>8</v>
      </c>
      <c r="C480" s="151">
        <f>IF('HP Inc.'!F41&gt;0,'HP Inc.'!A41,0)</f>
        <v>0</v>
      </c>
      <c r="D480" s="152">
        <f>IF(C480='HP Inc.'!A41,'HP Inc.'!C41,0)</f>
        <v>0</v>
      </c>
      <c r="E480" s="157">
        <f>IF(C480='HP Inc.'!A41,'HP Inc.'!D41,0)</f>
        <v>0</v>
      </c>
      <c r="F480" s="153">
        <f>'HP Inc.'!F41</f>
        <v>0</v>
      </c>
      <c r="G480" s="274">
        <f t="shared" si="10"/>
        <v>0</v>
      </c>
      <c r="J480" s="199"/>
      <c r="K480" s="199"/>
    </row>
    <row r="481" spans="2:11">
      <c r="B481" s="151" t="s">
        <v>8</v>
      </c>
      <c r="C481" s="151">
        <f>IF('HP Inc.'!F42&gt;0,'HP Inc.'!A42,0)</f>
        <v>0</v>
      </c>
      <c r="D481" s="152">
        <f>IF(C481='HP Inc.'!A42,'HP Inc.'!C42,0)</f>
        <v>0</v>
      </c>
      <c r="E481" s="157">
        <f>IF(C481='HP Inc.'!A42,'HP Inc.'!D42,0)</f>
        <v>0</v>
      </c>
      <c r="F481" s="153">
        <f>'HP Inc.'!F42</f>
        <v>0</v>
      </c>
      <c r="G481" s="274">
        <f t="shared" si="10"/>
        <v>0</v>
      </c>
      <c r="J481" s="199"/>
      <c r="K481" s="199"/>
    </row>
    <row r="482" spans="2:11">
      <c r="B482" s="151" t="s">
        <v>8</v>
      </c>
      <c r="C482" s="151">
        <f>IF('HP Inc.'!F43&gt;0,'HP Inc.'!A43,0)</f>
        <v>0</v>
      </c>
      <c r="D482" s="152">
        <f>IF(C482='HP Inc.'!A43,'HP Inc.'!C43,0)</f>
        <v>0</v>
      </c>
      <c r="E482" s="157">
        <f>IF(C482='HP Inc.'!A43,'HP Inc.'!D43,0)</f>
        <v>0</v>
      </c>
      <c r="F482" s="153">
        <f>'HP Inc.'!F43</f>
        <v>0</v>
      </c>
      <c r="G482" s="274">
        <f t="shared" si="10"/>
        <v>0</v>
      </c>
      <c r="J482" s="199"/>
      <c r="K482" s="199"/>
    </row>
    <row r="483" spans="2:11">
      <c r="B483" s="151" t="s">
        <v>8</v>
      </c>
      <c r="C483" s="151">
        <f>IF('HP Inc.'!F44&gt;0,'HP Inc.'!A44,0)</f>
        <v>0</v>
      </c>
      <c r="D483" s="152">
        <f>IF(C483='HP Inc.'!A44,'HP Inc.'!C44,0)</f>
        <v>0</v>
      </c>
      <c r="E483" s="157">
        <f>IF(C483='HP Inc.'!A44,'HP Inc.'!D44,0)</f>
        <v>0</v>
      </c>
      <c r="F483" s="153">
        <f>'HP Inc.'!F44</f>
        <v>0</v>
      </c>
      <c r="G483" s="274">
        <f t="shared" si="10"/>
        <v>0</v>
      </c>
      <c r="J483" s="199"/>
      <c r="K483" s="199"/>
    </row>
    <row r="484" spans="2:11">
      <c r="B484" s="151" t="s">
        <v>8</v>
      </c>
      <c r="C484" s="151">
        <f>IF('HP Inc.'!F45&gt;0,'HP Inc.'!A45,0)</f>
        <v>0</v>
      </c>
      <c r="D484" s="152">
        <f>IF(C484='HP Inc.'!A45,'HP Inc.'!C45,0)</f>
        <v>0</v>
      </c>
      <c r="E484" s="157">
        <f>IF(C484='HP Inc.'!A45,'HP Inc.'!D45,0)</f>
        <v>0</v>
      </c>
      <c r="F484" s="153">
        <f>'HP Inc.'!F45</f>
        <v>0</v>
      </c>
      <c r="G484" s="274">
        <f t="shared" si="10"/>
        <v>0</v>
      </c>
      <c r="J484" s="199"/>
      <c r="K484" s="199"/>
    </row>
    <row r="485" spans="2:11">
      <c r="B485" s="151" t="s">
        <v>8</v>
      </c>
      <c r="C485" s="151">
        <f>IF('HP Inc.'!F46&gt;0,'HP Inc.'!A46,0)</f>
        <v>0</v>
      </c>
      <c r="D485" s="152">
        <f>IF(C485='HP Inc.'!A46,'HP Inc.'!C46,0)</f>
        <v>0</v>
      </c>
      <c r="E485" s="157">
        <f>IF(C485='HP Inc.'!A46,'HP Inc.'!D46,0)</f>
        <v>0</v>
      </c>
      <c r="F485" s="153">
        <f>'HP Inc.'!F46</f>
        <v>0</v>
      </c>
      <c r="G485" s="274">
        <f t="shared" si="10"/>
        <v>0</v>
      </c>
      <c r="J485" s="199"/>
      <c r="K485" s="199"/>
    </row>
    <row r="486" spans="2:11">
      <c r="B486" s="151" t="s">
        <v>8</v>
      </c>
      <c r="C486" s="151">
        <f>IF('HP Inc.'!F47&gt;0,'HP Inc.'!A47,0)</f>
        <v>0</v>
      </c>
      <c r="D486" s="152">
        <f>IF(C486='HP Inc.'!A47,'HP Inc.'!C47,0)</f>
        <v>0</v>
      </c>
      <c r="E486" s="157">
        <f>IF(C486='HP Inc.'!A47,'HP Inc.'!D47,0)</f>
        <v>0</v>
      </c>
      <c r="F486" s="153">
        <f>'HP Inc.'!F47</f>
        <v>0</v>
      </c>
      <c r="G486" s="274">
        <f t="shared" si="10"/>
        <v>0</v>
      </c>
      <c r="J486" s="199"/>
      <c r="K486" s="199"/>
    </row>
    <row r="487" spans="2:11">
      <c r="B487" s="151" t="s">
        <v>8</v>
      </c>
      <c r="C487" s="151">
        <f>IF('HP Inc.'!F48&gt;0,'HP Inc.'!A48,0)</f>
        <v>0</v>
      </c>
      <c r="D487" s="152">
        <f>IF(C487='HP Inc.'!A48,'HP Inc.'!C48,0)</f>
        <v>0</v>
      </c>
      <c r="E487" s="157">
        <f>IF(C487='HP Inc.'!A48,'HP Inc.'!D48,0)</f>
        <v>0</v>
      </c>
      <c r="F487" s="153">
        <f>'HP Inc.'!F48</f>
        <v>0</v>
      </c>
      <c r="G487" s="274">
        <f t="shared" si="10"/>
        <v>0</v>
      </c>
      <c r="J487" s="199"/>
      <c r="K487" s="199"/>
    </row>
    <row r="488" spans="2:11">
      <c r="B488" s="151" t="s">
        <v>8</v>
      </c>
      <c r="C488" s="151">
        <f>IF('HP Inc.'!F49&gt;0,'HP Inc.'!A49,0)</f>
        <v>0</v>
      </c>
      <c r="D488" s="152">
        <f>IF(C488='HP Inc.'!A49,'HP Inc.'!C49,0)</f>
        <v>0</v>
      </c>
      <c r="E488" s="157">
        <f>IF(C488='HP Inc.'!A49,'HP Inc.'!D49,0)</f>
        <v>0</v>
      </c>
      <c r="F488" s="153">
        <f>'HP Inc.'!F49</f>
        <v>0</v>
      </c>
      <c r="G488" s="274">
        <f t="shared" si="10"/>
        <v>0</v>
      </c>
      <c r="J488" s="199"/>
      <c r="K488" s="199"/>
    </row>
    <row r="489" spans="2:11">
      <c r="B489" s="151" t="s">
        <v>8</v>
      </c>
      <c r="C489" s="151">
        <f>IF('HP Inc.'!F50&gt;0,'HP Inc.'!A50,0)</f>
        <v>0</v>
      </c>
      <c r="D489" s="152">
        <f>IF(C489='HP Inc.'!A50,'HP Inc.'!C50,0)</f>
        <v>0</v>
      </c>
      <c r="E489" s="157">
        <f>IF(C489='HP Inc.'!A50,'HP Inc.'!D50,0)</f>
        <v>0</v>
      </c>
      <c r="F489" s="153">
        <f>'HP Inc.'!F50</f>
        <v>0</v>
      </c>
      <c r="G489" s="274">
        <f t="shared" si="10"/>
        <v>0</v>
      </c>
      <c r="J489" s="199"/>
      <c r="K489" s="199"/>
    </row>
    <row r="490" spans="2:11">
      <c r="B490" s="151" t="s">
        <v>8</v>
      </c>
      <c r="C490" s="151">
        <f>IF('HP Inc.'!F51&gt;0,'HP Inc.'!A51,0)</f>
        <v>0</v>
      </c>
      <c r="D490" s="152">
        <f>IF(C490='HP Inc.'!A51,'HP Inc.'!C51,0)</f>
        <v>0</v>
      </c>
      <c r="E490" s="157">
        <f>IF(C490='HP Inc.'!A51,'HP Inc.'!D51,0)</f>
        <v>0</v>
      </c>
      <c r="F490" s="153">
        <f>'HP Inc.'!F51</f>
        <v>0</v>
      </c>
      <c r="G490" s="274">
        <f t="shared" si="10"/>
        <v>0</v>
      </c>
      <c r="J490" s="199"/>
      <c r="K490" s="199"/>
    </row>
    <row r="491" spans="2:11">
      <c r="B491" s="151" t="s">
        <v>8</v>
      </c>
      <c r="C491" s="151">
        <f>IF('HP Inc.'!F52&gt;0,'HP Inc.'!A52,0)</f>
        <v>0</v>
      </c>
      <c r="D491" s="152">
        <f>IF(C491='HP Inc.'!A52,'HP Inc.'!C52,0)</f>
        <v>0</v>
      </c>
      <c r="E491" s="157">
        <f>IF(C491='HP Inc.'!A52,'HP Inc.'!D52,0)</f>
        <v>0</v>
      </c>
      <c r="F491" s="153">
        <f>'HP Inc.'!F52</f>
        <v>0</v>
      </c>
      <c r="G491" s="274">
        <f t="shared" si="10"/>
        <v>0</v>
      </c>
      <c r="J491" s="199"/>
      <c r="K491" s="199"/>
    </row>
    <row r="492" spans="2:11">
      <c r="B492" s="151" t="s">
        <v>8</v>
      </c>
      <c r="C492" s="151">
        <f>IF('HP Inc.'!F53&gt;0,'HP Inc.'!A53,0)</f>
        <v>0</v>
      </c>
      <c r="D492" s="152">
        <f>IF(C492='HP Inc.'!A53,'HP Inc.'!C53,0)</f>
        <v>0</v>
      </c>
      <c r="E492" s="157">
        <f>IF(C492='HP Inc.'!A53,'HP Inc.'!D53,0)</f>
        <v>0</v>
      </c>
      <c r="F492" s="153">
        <f>'HP Inc.'!F53</f>
        <v>0</v>
      </c>
      <c r="G492" s="274">
        <f t="shared" si="10"/>
        <v>0</v>
      </c>
      <c r="J492" s="199"/>
      <c r="K492" s="199"/>
    </row>
    <row r="493" spans="2:11">
      <c r="B493" s="151" t="s">
        <v>8</v>
      </c>
      <c r="C493" s="151">
        <f>IF('HP Inc.'!F54&gt;0,'HP Inc.'!A54,0)</f>
        <v>0</v>
      </c>
      <c r="D493" s="152">
        <f>IF(C493='HP Inc.'!A54,'HP Inc.'!C54,0)</f>
        <v>0</v>
      </c>
      <c r="E493" s="157">
        <f>IF(C493='HP Inc.'!A54,'HP Inc.'!D54,0)</f>
        <v>0</v>
      </c>
      <c r="F493" s="153">
        <f>'HP Inc.'!F54</f>
        <v>0</v>
      </c>
      <c r="G493" s="274">
        <f t="shared" si="10"/>
        <v>0</v>
      </c>
      <c r="J493" s="199"/>
      <c r="K493" s="199"/>
    </row>
    <row r="494" spans="2:11">
      <c r="B494" s="151" t="s">
        <v>8</v>
      </c>
      <c r="C494" s="151">
        <f>IF('HP Inc.'!F55&gt;0,'HP Inc.'!A55,0)</f>
        <v>0</v>
      </c>
      <c r="D494" s="152">
        <f>IF(C494='HP Inc.'!A55,'HP Inc.'!C55,0)</f>
        <v>0</v>
      </c>
      <c r="E494" s="157">
        <f>IF(C494='HP Inc.'!A55,'HP Inc.'!D55,0)</f>
        <v>0</v>
      </c>
      <c r="F494" s="153">
        <f>'HP Inc.'!F55</f>
        <v>0</v>
      </c>
      <c r="G494" s="274">
        <f t="shared" si="10"/>
        <v>0</v>
      </c>
      <c r="J494" s="199"/>
      <c r="K494" s="199"/>
    </row>
    <row r="495" spans="2:11">
      <c r="B495" s="151" t="s">
        <v>8</v>
      </c>
      <c r="C495" s="151">
        <f>IF('HP Inc.'!F56&gt;0,'HP Inc.'!A56,0)</f>
        <v>0</v>
      </c>
      <c r="D495" s="152">
        <f>IF(C495='HP Inc.'!A56,'HP Inc.'!C56,0)</f>
        <v>0</v>
      </c>
      <c r="E495" s="157">
        <f>IF(C495='HP Inc.'!A56,'HP Inc.'!D56,0)</f>
        <v>0</v>
      </c>
      <c r="F495" s="153">
        <f>'HP Inc.'!F56</f>
        <v>0</v>
      </c>
      <c r="G495" s="274">
        <f t="shared" si="10"/>
        <v>0</v>
      </c>
      <c r="J495" s="199"/>
      <c r="K495" s="199"/>
    </row>
    <row r="496" spans="2:11">
      <c r="B496" s="151" t="s">
        <v>8</v>
      </c>
      <c r="C496" s="151">
        <f>IF('HP Inc.'!F57&gt;0,'HP Inc.'!A57,0)</f>
        <v>0</v>
      </c>
      <c r="D496" s="152">
        <f>IF(C496='HP Inc.'!A57,'HP Inc.'!C57,0)</f>
        <v>0</v>
      </c>
      <c r="E496" s="157">
        <f>IF(C496='HP Inc.'!A57,'HP Inc.'!D57,0)</f>
        <v>0</v>
      </c>
      <c r="F496" s="153">
        <f>'HP Inc.'!F57</f>
        <v>0</v>
      </c>
      <c r="G496" s="274">
        <f t="shared" si="10"/>
        <v>0</v>
      </c>
      <c r="J496" s="199"/>
      <c r="K496" s="199"/>
    </row>
    <row r="497" spans="2:13">
      <c r="B497" s="151" t="s">
        <v>8</v>
      </c>
      <c r="C497" s="151">
        <f>IF('HP Inc.'!F58&gt;0,'HP Inc.'!A58,0)</f>
        <v>0</v>
      </c>
      <c r="D497" s="152">
        <f>IF(C497='HP Inc.'!A58,'HP Inc.'!C58,0)</f>
        <v>0</v>
      </c>
      <c r="E497" s="157">
        <f>IF(C497='HP Inc.'!A58,'HP Inc.'!D58,0)</f>
        <v>0</v>
      </c>
      <c r="F497" s="153">
        <f>'HP Inc.'!F58</f>
        <v>0</v>
      </c>
      <c r="G497" s="274">
        <f t="shared" si="10"/>
        <v>0</v>
      </c>
      <c r="J497" s="199"/>
      <c r="K497" s="199"/>
    </row>
    <row r="498" spans="2:13">
      <c r="B498" s="151" t="s">
        <v>8</v>
      </c>
      <c r="C498" s="151">
        <f>IF('HP Inc.'!F59&gt;0,'HP Inc.'!A59,0)</f>
        <v>0</v>
      </c>
      <c r="D498" s="152">
        <f>IF(C498='HP Inc.'!A59,'HP Inc.'!C59,0)</f>
        <v>0</v>
      </c>
      <c r="E498" s="157">
        <f>IF(C498='HP Inc.'!A59,'HP Inc.'!D59,0)</f>
        <v>0</v>
      </c>
      <c r="F498" s="153">
        <f>'HP Inc.'!F59</f>
        <v>0</v>
      </c>
      <c r="G498" s="274">
        <f t="shared" si="10"/>
        <v>0</v>
      </c>
      <c r="J498" s="199"/>
      <c r="K498" s="199"/>
    </row>
    <row r="499" spans="2:13">
      <c r="B499" s="151" t="s">
        <v>8</v>
      </c>
      <c r="C499" s="151">
        <f>IF('HP Inc.'!F60&gt;0,'HP Inc.'!A60,0)</f>
        <v>0</v>
      </c>
      <c r="D499" s="152">
        <f>IF(C499='HP Inc.'!A60,'HP Inc.'!C60,0)</f>
        <v>0</v>
      </c>
      <c r="E499" s="157">
        <f>IF(C499='HP Inc.'!A60,'HP Inc.'!D60,0)</f>
        <v>0</v>
      </c>
      <c r="F499" s="153">
        <f>'HP Inc.'!F60</f>
        <v>0</v>
      </c>
      <c r="G499" s="274">
        <f t="shared" si="10"/>
        <v>0</v>
      </c>
      <c r="I499" s="210"/>
    </row>
    <row r="500" spans="2:13">
      <c r="B500" s="151" t="s">
        <v>8</v>
      </c>
      <c r="C500" s="151">
        <f>IF('HP Inc.'!F61&gt;0,'HP Inc.'!A61,0)</f>
        <v>0</v>
      </c>
      <c r="D500" s="152">
        <f>IF(C500='HP Inc.'!A61,'HP Inc.'!C61,0)</f>
        <v>0</v>
      </c>
      <c r="E500" s="157">
        <f>IF(C500='HP Inc.'!A61,'HP Inc.'!D61,0)</f>
        <v>0</v>
      </c>
      <c r="F500" s="153">
        <f>'HP Inc.'!F61</f>
        <v>0</v>
      </c>
      <c r="G500" s="274">
        <f t="shared" si="10"/>
        <v>0</v>
      </c>
    </row>
    <row r="501" spans="2:13">
      <c r="B501" s="151" t="s">
        <v>8</v>
      </c>
      <c r="C501" s="151">
        <f>IF('HP Inc.'!F62&gt;0,'HP Inc.'!A62,0)</f>
        <v>0</v>
      </c>
      <c r="D501" s="152">
        <f>IF(C501='HP Inc.'!A62,'HP Inc.'!C62,0)</f>
        <v>0</v>
      </c>
      <c r="E501" s="157">
        <f>IF(C501='HP Inc.'!A62,'HP Inc.'!D62,0)</f>
        <v>0</v>
      </c>
      <c r="F501" s="153">
        <f>'HP Inc.'!F62</f>
        <v>0</v>
      </c>
      <c r="G501" s="274">
        <f t="shared" si="10"/>
        <v>0</v>
      </c>
      <c r="J501" s="199"/>
      <c r="K501" s="199"/>
    </row>
    <row r="502" spans="2:13">
      <c r="B502" s="151" t="s">
        <v>8</v>
      </c>
      <c r="C502" s="151">
        <f>IF('HP Inc.'!F63&gt;0,'HP Inc.'!A63,0)</f>
        <v>0</v>
      </c>
      <c r="D502" s="152">
        <f>IF(C502='HP Inc.'!A63,'HP Inc.'!C63,0)</f>
        <v>0</v>
      </c>
      <c r="E502" s="157">
        <f>IF(C502='HP Inc.'!A63,'HP Inc.'!D63,0)</f>
        <v>0</v>
      </c>
      <c r="F502" s="153">
        <f>'HP Inc.'!F63</f>
        <v>0</v>
      </c>
      <c r="G502" s="274">
        <f t="shared" si="10"/>
        <v>0</v>
      </c>
      <c r="I502" s="210"/>
      <c r="J502" s="199"/>
      <c r="K502" s="199"/>
      <c r="L502" s="199"/>
      <c r="M502" s="292"/>
    </row>
    <row r="503" spans="2:13">
      <c r="B503" s="151" t="s">
        <v>8</v>
      </c>
      <c r="C503" s="151">
        <f>IF('HP Inc.'!F64&gt;0,'HP Inc.'!A64,0)</f>
        <v>0</v>
      </c>
      <c r="D503" s="152">
        <f>IF(C503='HP Inc.'!A64,'HP Inc.'!C64,0)</f>
        <v>0</v>
      </c>
      <c r="E503" s="157">
        <f>IF(C503='HP Inc.'!A64,'HP Inc.'!D64,0)</f>
        <v>0</v>
      </c>
      <c r="F503" s="153">
        <f>'HP Inc.'!F64</f>
        <v>0</v>
      </c>
      <c r="G503" s="274">
        <f t="shared" si="10"/>
        <v>0</v>
      </c>
      <c r="J503" s="199"/>
      <c r="K503" s="199"/>
    </row>
    <row r="504" spans="2:13">
      <c r="B504" s="151" t="s">
        <v>8</v>
      </c>
      <c r="C504" s="151">
        <f>IF('HP Inc.'!F65&gt;0,'HP Inc.'!A65,0)</f>
        <v>0</v>
      </c>
      <c r="D504" s="152">
        <f>IF(C504='HP Inc.'!A65,'HP Inc.'!C65,0)</f>
        <v>0</v>
      </c>
      <c r="E504" s="157">
        <f>IF(C504='HP Inc.'!A65,'HP Inc.'!D65,0)</f>
        <v>0</v>
      </c>
      <c r="F504" s="153">
        <f>'HP Inc.'!F65</f>
        <v>0</v>
      </c>
      <c r="G504" s="274">
        <f t="shared" si="10"/>
        <v>0</v>
      </c>
    </row>
    <row r="505" spans="2:13">
      <c r="B505" s="151" t="s">
        <v>8</v>
      </c>
      <c r="C505" s="151">
        <f>IF('HP Inc.'!F66&gt;0,'HP Inc.'!A66,0)</f>
        <v>0</v>
      </c>
      <c r="D505" s="152">
        <f>IF(C505='HP Inc.'!A66,'HP Inc.'!C66,0)</f>
        <v>0</v>
      </c>
      <c r="E505" s="157">
        <f>IF(C505='HP Inc.'!A66,'HP Inc.'!D66,0)</f>
        <v>0</v>
      </c>
      <c r="F505" s="153">
        <f>'HP Inc.'!F66</f>
        <v>0</v>
      </c>
      <c r="G505" s="274">
        <f t="shared" si="10"/>
        <v>0</v>
      </c>
      <c r="I505" s="210"/>
      <c r="K505" s="199"/>
      <c r="L505" s="199"/>
      <c r="M505" s="292"/>
    </row>
    <row r="506" spans="2:13">
      <c r="B506" s="151" t="s">
        <v>8</v>
      </c>
      <c r="C506" s="151">
        <f>IF('HP Inc.'!F67&gt;0,'HP Inc.'!A67,0)</f>
        <v>0</v>
      </c>
      <c r="D506" s="152">
        <f>IF(C506='HP Inc.'!A67,'HP Inc.'!C67,0)</f>
        <v>0</v>
      </c>
      <c r="E506" s="157">
        <f>IF(C506='HP Inc.'!A67,'HP Inc.'!D67,0)</f>
        <v>0</v>
      </c>
      <c r="F506" s="153">
        <f>'HP Inc.'!F67</f>
        <v>0</v>
      </c>
      <c r="G506" s="274">
        <f t="shared" si="10"/>
        <v>0</v>
      </c>
      <c r="I506" s="210"/>
      <c r="K506" s="199"/>
      <c r="L506" s="199"/>
      <c r="M506" s="292"/>
    </row>
    <row r="507" spans="2:13">
      <c r="B507" s="151" t="s">
        <v>8</v>
      </c>
      <c r="C507" s="151">
        <f>IF('HP Inc.'!F68&gt;0,'HP Inc.'!A68,0)</f>
        <v>0</v>
      </c>
      <c r="D507" s="152">
        <f>IF(C507='HP Inc.'!A68,'HP Inc.'!C68,0)</f>
        <v>0</v>
      </c>
      <c r="E507" s="157">
        <f>IF(C507='HP Inc.'!A68,'HP Inc.'!D68,0)</f>
        <v>0</v>
      </c>
      <c r="F507" s="153">
        <f>'HP Inc.'!F68</f>
        <v>0</v>
      </c>
      <c r="G507" s="274">
        <f t="shared" si="10"/>
        <v>0</v>
      </c>
    </row>
    <row r="508" spans="2:13">
      <c r="B508" s="151" t="s">
        <v>8</v>
      </c>
      <c r="C508" s="151">
        <f>IF('HP Inc.'!F69&gt;0,'HP Inc.'!A69,0)</f>
        <v>0</v>
      </c>
      <c r="D508" s="152">
        <f>IF(C508='HP Inc.'!A69,'HP Inc.'!C69,0)</f>
        <v>0</v>
      </c>
      <c r="E508" s="157">
        <f>IF(C508='HP Inc.'!A69,'HP Inc.'!D69,0)</f>
        <v>0</v>
      </c>
      <c r="F508" s="153">
        <f>'HP Inc.'!F69</f>
        <v>0</v>
      </c>
      <c r="G508" s="274">
        <f t="shared" si="10"/>
        <v>0</v>
      </c>
    </row>
    <row r="509" spans="2:13">
      <c r="B509" s="151" t="s">
        <v>8</v>
      </c>
      <c r="C509" s="151">
        <f>IF('HP Inc.'!F70&gt;0,'HP Inc.'!A70,0)</f>
        <v>0</v>
      </c>
      <c r="D509" s="152">
        <f>IF(C509='HP Inc.'!A70,'HP Inc.'!C70,0)</f>
        <v>0</v>
      </c>
      <c r="E509" s="157">
        <f>IF(C509='HP Inc.'!A70,'HP Inc.'!D70,0)</f>
        <v>0</v>
      </c>
      <c r="F509" s="153">
        <f>'HP Inc.'!F70</f>
        <v>0</v>
      </c>
      <c r="G509" s="274">
        <f t="shared" si="10"/>
        <v>0</v>
      </c>
    </row>
    <row r="510" spans="2:13">
      <c r="B510" s="151" t="s">
        <v>8</v>
      </c>
      <c r="C510" s="151">
        <f>IF('HP Inc.'!F71&gt;0,'HP Inc.'!A71,0)</f>
        <v>0</v>
      </c>
      <c r="D510" s="152">
        <f>IF(C510='HP Inc.'!A71,'HP Inc.'!C71,0)</f>
        <v>0</v>
      </c>
      <c r="E510" s="157">
        <f>IF(C510='HP Inc.'!A71,'HP Inc.'!D71,0)</f>
        <v>0</v>
      </c>
      <c r="F510" s="153">
        <f>'HP Inc.'!F71</f>
        <v>0</v>
      </c>
      <c r="G510" s="274">
        <f t="shared" si="10"/>
        <v>0</v>
      </c>
      <c r="I510" s="210"/>
      <c r="J510" s="199"/>
      <c r="K510" s="199"/>
      <c r="L510" s="199"/>
      <c r="M510" s="292"/>
    </row>
    <row r="511" spans="2:13">
      <c r="B511" s="151" t="s">
        <v>8</v>
      </c>
      <c r="C511" s="151">
        <f>IF('HP Inc.'!F72&gt;0,'HP Inc.'!A72,0)</f>
        <v>0</v>
      </c>
      <c r="D511" s="152">
        <f>IF(C511='HP Inc.'!A72,'HP Inc.'!C72,0)</f>
        <v>0</v>
      </c>
      <c r="E511" s="157">
        <f>IF(C511='HP Inc.'!A72,'HP Inc.'!D72,0)</f>
        <v>0</v>
      </c>
      <c r="F511" s="153">
        <f>'HP Inc.'!F72</f>
        <v>0</v>
      </c>
      <c r="G511" s="274">
        <f t="shared" si="10"/>
        <v>0</v>
      </c>
      <c r="I511" s="210"/>
      <c r="J511" s="199"/>
      <c r="K511" s="199"/>
      <c r="L511" s="199"/>
      <c r="M511" s="292"/>
    </row>
    <row r="512" spans="2:13">
      <c r="B512" s="151" t="s">
        <v>8</v>
      </c>
      <c r="C512" s="151">
        <f>IF('HP Inc.'!F73&gt;0,'HP Inc.'!A73,0)</f>
        <v>0</v>
      </c>
      <c r="D512" s="152">
        <f>IF(C512='HP Inc.'!A73,'HP Inc.'!C73,0)</f>
        <v>0</v>
      </c>
      <c r="E512" s="157">
        <f>IF(C512='HP Inc.'!A73,'HP Inc.'!D73,0)</f>
        <v>0</v>
      </c>
      <c r="F512" s="153">
        <f>'HP Inc.'!F73</f>
        <v>0</v>
      </c>
      <c r="G512" s="274">
        <f t="shared" si="10"/>
        <v>0</v>
      </c>
      <c r="J512" s="199"/>
      <c r="K512" s="199"/>
    </row>
    <row r="513" spans="2:13">
      <c r="B513" s="151" t="s">
        <v>8</v>
      </c>
      <c r="C513" s="151">
        <f>IF('HP Inc.'!F74&gt;0,'HP Inc.'!A74,0)</f>
        <v>0</v>
      </c>
      <c r="D513" s="152">
        <f>IF(C513='HP Inc.'!A74,'HP Inc.'!C74,0)</f>
        <v>0</v>
      </c>
      <c r="E513" s="157">
        <f>IF(C513='HP Inc.'!A74,'HP Inc.'!D74,0)</f>
        <v>0</v>
      </c>
      <c r="F513" s="153">
        <f>'HP Inc.'!F74</f>
        <v>0</v>
      </c>
      <c r="G513" s="274">
        <f t="shared" si="10"/>
        <v>0</v>
      </c>
    </row>
    <row r="514" spans="2:13">
      <c r="B514" s="151" t="s">
        <v>8</v>
      </c>
      <c r="C514" s="151">
        <f>IF('HP Inc.'!F75&gt;0,'HP Inc.'!A75,0)</f>
        <v>0</v>
      </c>
      <c r="D514" s="152">
        <f>IF(C514='HP Inc.'!A75,'HP Inc.'!C75,0)</f>
        <v>0</v>
      </c>
      <c r="E514" s="157">
        <f>IF(C514='HP Inc.'!A75,'HP Inc.'!D75,0)</f>
        <v>0</v>
      </c>
      <c r="F514" s="153">
        <f>'HP Inc.'!F75</f>
        <v>0</v>
      </c>
      <c r="G514" s="274">
        <f t="shared" ref="G514:G548" si="11">F514*E514</f>
        <v>0</v>
      </c>
    </row>
    <row r="515" spans="2:13">
      <c r="B515" s="151" t="s">
        <v>8</v>
      </c>
      <c r="C515" s="151">
        <f>IF('HP Inc.'!F76&gt;0,'HP Inc.'!A76,0)</f>
        <v>0</v>
      </c>
      <c r="D515" s="152">
        <f>IF(C515='HP Inc.'!A76,'HP Inc.'!C76,0)</f>
        <v>0</v>
      </c>
      <c r="E515" s="157">
        <f>IF(C515='HP Inc.'!A76,'HP Inc.'!D76,0)</f>
        <v>0</v>
      </c>
      <c r="F515" s="153">
        <f>'HP Inc.'!F76</f>
        <v>0</v>
      </c>
      <c r="G515" s="274">
        <f t="shared" si="11"/>
        <v>0</v>
      </c>
    </row>
    <row r="516" spans="2:13">
      <c r="B516" s="151" t="s">
        <v>8</v>
      </c>
      <c r="C516" s="151">
        <f>IF('HP Inc.'!F77&gt;0,'HP Inc.'!A77,0)</f>
        <v>0</v>
      </c>
      <c r="D516" s="152">
        <f>IF(C516='HP Inc.'!A77,'HP Inc.'!C77,0)</f>
        <v>0</v>
      </c>
      <c r="E516" s="157">
        <f>IF(C516='HP Inc.'!A77,'HP Inc.'!D77,0)</f>
        <v>0</v>
      </c>
      <c r="F516" s="153">
        <f>'HP Inc.'!F77</f>
        <v>0</v>
      </c>
      <c r="G516" s="274">
        <f t="shared" si="11"/>
        <v>0</v>
      </c>
    </row>
    <row r="517" spans="2:13">
      <c r="B517" s="151" t="s">
        <v>8</v>
      </c>
      <c r="C517" s="151">
        <f>IF('HP Inc.'!F78&gt;0,'HP Inc.'!A78,0)</f>
        <v>0</v>
      </c>
      <c r="D517" s="152">
        <f>IF(C517='HP Inc.'!A78,'HP Inc.'!C78,0)</f>
        <v>0</v>
      </c>
      <c r="E517" s="157">
        <f>IF(C517='HP Inc.'!A78,'HP Inc.'!D78,0)</f>
        <v>0</v>
      </c>
      <c r="F517" s="153">
        <f>'HP Inc.'!F78</f>
        <v>0</v>
      </c>
      <c r="G517" s="274">
        <f t="shared" si="11"/>
        <v>0</v>
      </c>
      <c r="I517" s="210"/>
      <c r="K517" s="199"/>
      <c r="L517" s="199"/>
      <c r="M517" s="292"/>
    </row>
    <row r="518" spans="2:13">
      <c r="B518" s="151" t="s">
        <v>8</v>
      </c>
      <c r="C518" s="151">
        <f>IF('HP Inc.'!F79&gt;0,'HP Inc.'!A79,0)</f>
        <v>0</v>
      </c>
      <c r="D518" s="152">
        <f>IF(C518='HP Inc.'!A79,'HP Inc.'!C79,0)</f>
        <v>0</v>
      </c>
      <c r="E518" s="157">
        <f>IF(C518='HP Inc.'!A79,'HP Inc.'!D79,0)</f>
        <v>0</v>
      </c>
      <c r="F518" s="153">
        <f>'HP Inc.'!F79</f>
        <v>0</v>
      </c>
      <c r="G518" s="274">
        <f t="shared" si="11"/>
        <v>0</v>
      </c>
      <c r="I518" s="210"/>
      <c r="J518" s="177"/>
      <c r="K518" s="199"/>
    </row>
    <row r="519" spans="2:13">
      <c r="B519" s="151" t="s">
        <v>8</v>
      </c>
      <c r="C519" s="151">
        <f>IF('HP Inc.'!F80&gt;0,'HP Inc.'!A80,0)</f>
        <v>0</v>
      </c>
      <c r="D519" s="152">
        <f>IF(C519='HP Inc.'!A80,'HP Inc.'!C80,0)</f>
        <v>0</v>
      </c>
      <c r="E519" s="157">
        <f>IF(C519='HP Inc.'!A80,'HP Inc.'!D80,0)</f>
        <v>0</v>
      </c>
      <c r="F519" s="153">
        <f>'HP Inc.'!F80</f>
        <v>0</v>
      </c>
      <c r="G519" s="274">
        <f t="shared" si="11"/>
        <v>0</v>
      </c>
      <c r="I519" s="210"/>
      <c r="K519" s="199"/>
      <c r="L519" s="199"/>
      <c r="M519" s="292"/>
    </row>
    <row r="520" spans="2:13">
      <c r="B520" s="151" t="s">
        <v>8</v>
      </c>
      <c r="C520" s="151">
        <f>IF('HP Inc.'!F81&gt;0,'HP Inc.'!A81,0)</f>
        <v>0</v>
      </c>
      <c r="D520" s="152">
        <f>IF(C520='HP Inc.'!A81,'HP Inc.'!C81,0)</f>
        <v>0</v>
      </c>
      <c r="E520" s="157">
        <f>IF(C520='HP Inc.'!A81,'HP Inc.'!D81,0)</f>
        <v>0</v>
      </c>
      <c r="F520" s="153">
        <f>'HP Inc.'!F81</f>
        <v>0</v>
      </c>
      <c r="G520" s="274">
        <f t="shared" si="11"/>
        <v>0</v>
      </c>
      <c r="K520" s="199"/>
    </row>
    <row r="521" spans="2:13">
      <c r="B521" s="151" t="s">
        <v>8</v>
      </c>
      <c r="C521" s="151">
        <f>IF('HP Inc.'!F82&gt;0,'HP Inc.'!A82,0)</f>
        <v>0</v>
      </c>
      <c r="D521" s="152">
        <f>IF(C521='HP Inc.'!A82,'HP Inc.'!C82,0)</f>
        <v>0</v>
      </c>
      <c r="E521" s="157">
        <f>IF(C521='HP Inc.'!A82,'HP Inc.'!D82,0)</f>
        <v>0</v>
      </c>
      <c r="F521" s="153">
        <f>'HP Inc.'!F82</f>
        <v>0</v>
      </c>
      <c r="G521" s="274">
        <f t="shared" si="11"/>
        <v>0</v>
      </c>
      <c r="I521" s="210"/>
      <c r="J521" s="199"/>
      <c r="K521" s="199"/>
    </row>
    <row r="522" spans="2:13">
      <c r="B522" s="151" t="s">
        <v>8</v>
      </c>
      <c r="C522" s="151">
        <f>IF('HP Inc.'!F83&gt;0,'HP Inc.'!A83,0)</f>
        <v>0</v>
      </c>
      <c r="D522" s="152">
        <f>IF(C522='HP Inc.'!A83,'HP Inc.'!C83,0)</f>
        <v>0</v>
      </c>
      <c r="E522" s="157">
        <f>IF(C522='HP Inc.'!A83,'HP Inc.'!D83,0)</f>
        <v>0</v>
      </c>
      <c r="F522" s="153">
        <f>'HP Inc.'!F83</f>
        <v>0</v>
      </c>
      <c r="G522" s="274">
        <f t="shared" si="11"/>
        <v>0</v>
      </c>
      <c r="I522" s="210"/>
      <c r="J522" s="210"/>
      <c r="K522" s="210"/>
    </row>
    <row r="523" spans="2:13">
      <c r="B523" s="151" t="s">
        <v>8</v>
      </c>
      <c r="C523" s="151">
        <f>IF('HP Inc.'!F84&gt;0,'HP Inc.'!A84,0)</f>
        <v>0</v>
      </c>
      <c r="D523" s="152">
        <f>IF(C523='HP Inc.'!A84,'HP Inc.'!C84,0)</f>
        <v>0</v>
      </c>
      <c r="E523" s="157">
        <f>IF(C523='HP Inc.'!A84,'HP Inc.'!D84,0)</f>
        <v>0</v>
      </c>
      <c r="F523" s="153">
        <f>'HP Inc.'!F84</f>
        <v>0</v>
      </c>
      <c r="G523" s="274">
        <f t="shared" si="11"/>
        <v>0</v>
      </c>
      <c r="J523" s="199"/>
      <c r="K523" s="199"/>
    </row>
    <row r="524" spans="2:13">
      <c r="B524" s="151" t="s">
        <v>8</v>
      </c>
      <c r="C524" s="151">
        <f>IF('HP Inc.'!F85&gt;0,'HP Inc.'!A85,0)</f>
        <v>0</v>
      </c>
      <c r="D524" s="152">
        <f>IF(C524='HP Inc.'!A85,'HP Inc.'!C85,0)</f>
        <v>0</v>
      </c>
      <c r="E524" s="157">
        <f>IF(C524='HP Inc.'!A85,'HP Inc.'!D85,0)</f>
        <v>0</v>
      </c>
      <c r="F524" s="153">
        <f>'HP Inc.'!F85</f>
        <v>0</v>
      </c>
      <c r="G524" s="274">
        <f t="shared" si="11"/>
        <v>0</v>
      </c>
      <c r="J524" s="199"/>
      <c r="K524" s="199"/>
    </row>
    <row r="525" spans="2:13">
      <c r="B525" s="151" t="s">
        <v>8</v>
      </c>
      <c r="C525" s="151">
        <f>IF('HP Inc.'!F86&gt;0,'HP Inc.'!A86,0)</f>
        <v>0</v>
      </c>
      <c r="D525" s="152">
        <f>IF(C525='HP Inc.'!A86,'HP Inc.'!C86,0)</f>
        <v>0</v>
      </c>
      <c r="E525" s="157">
        <f>IF(C525='HP Inc.'!A86,'HP Inc.'!D86,0)</f>
        <v>0</v>
      </c>
      <c r="F525" s="153">
        <f>'HP Inc.'!F86</f>
        <v>0</v>
      </c>
      <c r="G525" s="274">
        <f t="shared" si="11"/>
        <v>0</v>
      </c>
      <c r="I525" s="210"/>
      <c r="J525" s="199"/>
      <c r="K525" s="199"/>
    </row>
    <row r="526" spans="2:13">
      <c r="B526" s="151" t="s">
        <v>8</v>
      </c>
      <c r="C526" s="151">
        <f>IF('HP Inc.'!F87&gt;0,'HP Inc.'!A87,0)</f>
        <v>0</v>
      </c>
      <c r="D526" s="152">
        <f>IF(C526='HP Inc.'!A87,'HP Inc.'!C87,0)</f>
        <v>0</v>
      </c>
      <c r="E526" s="157">
        <f>IF(C526='HP Inc.'!A87,'HP Inc.'!D87,0)</f>
        <v>0</v>
      </c>
      <c r="F526" s="153">
        <f>'HP Inc.'!F87</f>
        <v>0</v>
      </c>
      <c r="G526" s="274">
        <f t="shared" si="11"/>
        <v>0</v>
      </c>
      <c r="I526" s="210"/>
      <c r="J526" s="199"/>
      <c r="K526" s="199"/>
    </row>
    <row r="527" spans="2:13">
      <c r="B527" s="151" t="s">
        <v>8</v>
      </c>
      <c r="C527" s="151">
        <f>IF('HP Inc.'!F88&gt;0,'HP Inc.'!A88,0)</f>
        <v>0</v>
      </c>
      <c r="D527" s="152">
        <f>IF(C527='HP Inc.'!A88,'HP Inc.'!C88,0)</f>
        <v>0</v>
      </c>
      <c r="E527" s="157">
        <f>IF(C527='HP Inc.'!A88,'HP Inc.'!D88,0)</f>
        <v>0</v>
      </c>
      <c r="F527" s="153">
        <f>'HP Inc.'!F88</f>
        <v>0</v>
      </c>
      <c r="G527" s="274">
        <f t="shared" si="11"/>
        <v>0</v>
      </c>
      <c r="J527" s="199"/>
      <c r="K527" s="199"/>
    </row>
    <row r="528" spans="2:13">
      <c r="B528" s="151" t="s">
        <v>8</v>
      </c>
      <c r="C528" s="151">
        <f>IF('HP Inc.'!F89&gt;0,'HP Inc.'!A89,0)</f>
        <v>0</v>
      </c>
      <c r="D528" s="152">
        <f>IF(C528='HP Inc.'!A89,'HP Inc.'!C89,0)</f>
        <v>0</v>
      </c>
      <c r="E528" s="157">
        <f>IF(C528='HP Inc.'!A89,'HP Inc.'!D89,0)</f>
        <v>0</v>
      </c>
      <c r="F528" s="153">
        <f>'HP Inc.'!F89</f>
        <v>0</v>
      </c>
      <c r="G528" s="274">
        <f t="shared" si="11"/>
        <v>0</v>
      </c>
      <c r="J528" s="199"/>
      <c r="K528" s="199"/>
    </row>
    <row r="529" spans="2:11">
      <c r="B529" s="151" t="s">
        <v>8</v>
      </c>
      <c r="C529" s="151">
        <f>IF('HP Inc.'!F90&gt;0,'HP Inc.'!A90,0)</f>
        <v>0</v>
      </c>
      <c r="D529" s="152">
        <f>IF(C529='HP Inc.'!A90,'HP Inc.'!C90,0)</f>
        <v>0</v>
      </c>
      <c r="E529" s="157">
        <f>IF(C529='HP Inc.'!A90,'HP Inc.'!D90,0)</f>
        <v>0</v>
      </c>
      <c r="F529" s="153">
        <f>'HP Inc.'!F90</f>
        <v>0</v>
      </c>
      <c r="G529" s="274">
        <f t="shared" si="11"/>
        <v>0</v>
      </c>
      <c r="J529" s="199"/>
      <c r="K529" s="199"/>
    </row>
    <row r="530" spans="2:11">
      <c r="B530" s="151" t="s">
        <v>8</v>
      </c>
      <c r="C530" s="151">
        <f>IF('HP Inc.'!F91&gt;0,'HP Inc.'!A91,0)</f>
        <v>0</v>
      </c>
      <c r="D530" s="152">
        <f>IF(C530='HP Inc.'!A91,'HP Inc.'!C91,0)</f>
        <v>0</v>
      </c>
      <c r="E530" s="157">
        <f>IF(C530='HP Inc.'!A91,'HP Inc.'!D91,0)</f>
        <v>0</v>
      </c>
      <c r="F530" s="153">
        <f>'HP Inc.'!F91</f>
        <v>0</v>
      </c>
      <c r="G530" s="274">
        <f t="shared" si="11"/>
        <v>0</v>
      </c>
      <c r="J530" s="199"/>
      <c r="K530" s="199"/>
    </row>
    <row r="531" spans="2:11">
      <c r="B531" s="151" t="s">
        <v>8</v>
      </c>
      <c r="C531" s="151">
        <f>IF('HP Inc.'!F92&gt;0,'HP Inc.'!A92,0)</f>
        <v>0</v>
      </c>
      <c r="D531" s="152">
        <f>IF(C531='HP Inc.'!A92,'HP Inc.'!C92,0)</f>
        <v>0</v>
      </c>
      <c r="E531" s="157">
        <f>IF(C531='HP Inc.'!A92,'HP Inc.'!D92,0)</f>
        <v>0</v>
      </c>
      <c r="F531" s="153">
        <f>'HP Inc.'!F92</f>
        <v>0</v>
      </c>
      <c r="G531" s="274">
        <f t="shared" si="11"/>
        <v>0</v>
      </c>
      <c r="J531" s="199"/>
      <c r="K531" s="199"/>
    </row>
    <row r="532" spans="2:11">
      <c r="B532" s="151" t="s">
        <v>8</v>
      </c>
      <c r="C532" s="151">
        <f>IF('HP Inc.'!F93&gt;0,'HP Inc.'!A93,0)</f>
        <v>0</v>
      </c>
      <c r="D532" s="152">
        <f>IF(C532='HP Inc.'!A93,'HP Inc.'!C93,0)</f>
        <v>0</v>
      </c>
      <c r="E532" s="157">
        <f>IF(C532='HP Inc.'!A93,'HP Inc.'!D93,0)</f>
        <v>0</v>
      </c>
      <c r="F532" s="153">
        <f>'HP Inc.'!F93</f>
        <v>0</v>
      </c>
      <c r="G532" s="274">
        <f t="shared" si="11"/>
        <v>0</v>
      </c>
      <c r="J532" s="199"/>
      <c r="K532" s="199"/>
    </row>
    <row r="533" spans="2:11">
      <c r="B533" s="151" t="s">
        <v>8</v>
      </c>
      <c r="C533" s="151">
        <f>IF('HP Inc.'!F94&gt;0,'HP Inc.'!A94,0)</f>
        <v>0</v>
      </c>
      <c r="D533" s="152">
        <f>IF(C533='HP Inc.'!A94,'HP Inc.'!C94,0)</f>
        <v>0</v>
      </c>
      <c r="E533" s="157">
        <f>IF(C533='HP Inc.'!A94,'HP Inc.'!D94,0)</f>
        <v>0</v>
      </c>
      <c r="F533" s="153">
        <f>'HP Inc.'!F94</f>
        <v>0</v>
      </c>
      <c r="G533" s="274">
        <f t="shared" si="11"/>
        <v>0</v>
      </c>
      <c r="J533" s="199"/>
      <c r="K533" s="199"/>
    </row>
    <row r="534" spans="2:11">
      <c r="B534" s="151" t="s">
        <v>8</v>
      </c>
      <c r="C534" s="151">
        <f>IF('HP Inc.'!F95&gt;0,'HP Inc.'!A95,0)</f>
        <v>0</v>
      </c>
      <c r="D534" s="152">
        <f>IF(C534='HP Inc.'!A95,'HP Inc.'!C95,0)</f>
        <v>0</v>
      </c>
      <c r="E534" s="157">
        <f>IF(C534='HP Inc.'!A95,'HP Inc.'!D95,0)</f>
        <v>0</v>
      </c>
      <c r="F534" s="153">
        <f>'HP Inc.'!F95</f>
        <v>0</v>
      </c>
      <c r="G534" s="274">
        <f t="shared" si="11"/>
        <v>0</v>
      </c>
      <c r="J534" s="199"/>
      <c r="K534" s="199"/>
    </row>
    <row r="535" spans="2:11">
      <c r="B535" s="151" t="s">
        <v>8</v>
      </c>
      <c r="C535" s="151">
        <f>IF('HP Inc.'!F96&gt;0,'HP Inc.'!A96,0)</f>
        <v>0</v>
      </c>
      <c r="D535" s="152">
        <f>IF(C535='HP Inc.'!A96,'HP Inc.'!C96,0)</f>
        <v>0</v>
      </c>
      <c r="E535" s="157">
        <f>IF(C535='HP Inc.'!A96,'HP Inc.'!D96,0)</f>
        <v>0</v>
      </c>
      <c r="F535" s="153">
        <f>'HP Inc.'!F96</f>
        <v>0</v>
      </c>
      <c r="G535" s="274">
        <f t="shared" si="11"/>
        <v>0</v>
      </c>
      <c r="J535" s="199"/>
      <c r="K535" s="199"/>
    </row>
    <row r="536" spans="2:11">
      <c r="B536" s="151" t="s">
        <v>8</v>
      </c>
      <c r="C536" s="151">
        <f>IF('HP Inc.'!F97&gt;0,'HP Inc.'!A97,0)</f>
        <v>0</v>
      </c>
      <c r="D536" s="152">
        <f>IF(C536='HP Inc.'!A97,'HP Inc.'!C97,0)</f>
        <v>0</v>
      </c>
      <c r="E536" s="157">
        <f>IF(C536='HP Inc.'!A97,'HP Inc.'!D97,0)</f>
        <v>0</v>
      </c>
      <c r="F536" s="153">
        <f>'HP Inc.'!F97</f>
        <v>0</v>
      </c>
      <c r="G536" s="274">
        <f t="shared" si="11"/>
        <v>0</v>
      </c>
      <c r="J536" s="199"/>
      <c r="K536" s="199"/>
    </row>
    <row r="537" spans="2:11">
      <c r="B537" s="151" t="s">
        <v>8</v>
      </c>
      <c r="C537" s="151">
        <f>IF('HP Inc.'!F98&gt;0,'HP Inc.'!A98,0)</f>
        <v>0</v>
      </c>
      <c r="D537" s="152">
        <f>IF(C537='HP Inc.'!A98,'HP Inc.'!C98,0)</f>
        <v>0</v>
      </c>
      <c r="E537" s="157">
        <f>IF(C537='HP Inc.'!A98,'HP Inc.'!D98,0)</f>
        <v>0</v>
      </c>
      <c r="F537" s="153">
        <f>'HP Inc.'!F98</f>
        <v>0</v>
      </c>
      <c r="G537" s="274">
        <f t="shared" si="11"/>
        <v>0</v>
      </c>
      <c r="J537" s="199"/>
      <c r="K537" s="199"/>
    </row>
    <row r="538" spans="2:11">
      <c r="B538" s="151" t="s">
        <v>8</v>
      </c>
      <c r="C538" s="151">
        <f>IF('HP Inc.'!F99&gt;0,'HP Inc.'!A99,0)</f>
        <v>0</v>
      </c>
      <c r="D538" s="152">
        <f>IF(C538='HP Inc.'!A99,'HP Inc.'!C99,0)</f>
        <v>0</v>
      </c>
      <c r="E538" s="157">
        <f>IF(C538='HP Inc.'!A99,'HP Inc.'!D99,0)</f>
        <v>0</v>
      </c>
      <c r="F538" s="153">
        <f>'HP Inc.'!F99</f>
        <v>0</v>
      </c>
      <c r="G538" s="274">
        <f t="shared" si="11"/>
        <v>0</v>
      </c>
      <c r="J538" s="199"/>
      <c r="K538" s="199"/>
    </row>
    <row r="539" spans="2:11">
      <c r="B539" s="151" t="s">
        <v>8</v>
      </c>
      <c r="C539" s="151">
        <f>IF('HP Inc.'!F100&gt;0,'HP Inc.'!A100,0)</f>
        <v>0</v>
      </c>
      <c r="D539" s="152">
        <f>IF(C539='HP Inc.'!A100,'HP Inc.'!C100,0)</f>
        <v>0</v>
      </c>
      <c r="E539" s="157">
        <f>IF(C539='HP Inc.'!A100,'HP Inc.'!D100,0)</f>
        <v>0</v>
      </c>
      <c r="F539" s="153">
        <f>'HP Inc.'!F100</f>
        <v>0</v>
      </c>
      <c r="G539" s="274">
        <f t="shared" si="11"/>
        <v>0</v>
      </c>
      <c r="J539" s="199"/>
      <c r="K539" s="199"/>
    </row>
    <row r="540" spans="2:11">
      <c r="B540" s="151" t="s">
        <v>8</v>
      </c>
      <c r="C540" s="151">
        <f>IF('HP Inc.'!F101&gt;0,'HP Inc.'!A101,0)</f>
        <v>0</v>
      </c>
      <c r="D540" s="152">
        <f>IF(C540='HP Inc.'!A101,'HP Inc.'!C101,0)</f>
        <v>0</v>
      </c>
      <c r="E540" s="157">
        <f>IF(C540='HP Inc.'!A101,'HP Inc.'!D101,0)</f>
        <v>0</v>
      </c>
      <c r="F540" s="153">
        <f>'HP Inc.'!F101</f>
        <v>0</v>
      </c>
      <c r="G540" s="274">
        <f t="shared" si="11"/>
        <v>0</v>
      </c>
      <c r="J540" s="199"/>
      <c r="K540" s="199"/>
    </row>
    <row r="541" spans="2:11">
      <c r="B541" s="151" t="s">
        <v>8</v>
      </c>
      <c r="C541" s="151">
        <f>IF('HP Inc.'!F102&gt;0,'HP Inc.'!A102,0)</f>
        <v>0</v>
      </c>
      <c r="D541" s="152">
        <f>IF(C541='HP Inc.'!A102,'HP Inc.'!C102,0)</f>
        <v>0</v>
      </c>
      <c r="E541" s="157">
        <f>IF(C541='HP Inc.'!A102,'HP Inc.'!D102,0)</f>
        <v>0</v>
      </c>
      <c r="F541" s="153">
        <f>'HP Inc.'!F102</f>
        <v>0</v>
      </c>
      <c r="G541" s="274">
        <f t="shared" si="11"/>
        <v>0</v>
      </c>
      <c r="J541" s="199"/>
      <c r="K541" s="199"/>
    </row>
    <row r="542" spans="2:11">
      <c r="B542" s="151" t="s">
        <v>8</v>
      </c>
      <c r="C542" s="151">
        <f>IF('HP Inc.'!F103&gt;0,'HP Inc.'!A103,0)</f>
        <v>0</v>
      </c>
      <c r="D542" s="152">
        <f>IF(C542='HP Inc.'!A103,'HP Inc.'!C103,0)</f>
        <v>0</v>
      </c>
      <c r="E542" s="157">
        <f>IF(C542='HP Inc.'!A103,'HP Inc.'!D103,0)</f>
        <v>0</v>
      </c>
      <c r="F542" s="153">
        <f>'HP Inc.'!F103</f>
        <v>0</v>
      </c>
      <c r="G542" s="274">
        <f t="shared" si="11"/>
        <v>0</v>
      </c>
      <c r="J542" s="199"/>
      <c r="K542" s="199"/>
    </row>
    <row r="543" spans="2:11">
      <c r="B543" s="151" t="s">
        <v>8</v>
      </c>
      <c r="C543" s="151">
        <f>IF('HP Inc.'!F104&gt;0,'HP Inc.'!A104,0)</f>
        <v>0</v>
      </c>
      <c r="D543" s="152">
        <f>IF(C543='HP Inc.'!A104,'HP Inc.'!C104,0)</f>
        <v>0</v>
      </c>
      <c r="E543" s="157">
        <f>IF(C543='HP Inc.'!A104,'HP Inc.'!D104,0)</f>
        <v>0</v>
      </c>
      <c r="F543" s="153">
        <f>'HP Inc.'!F104</f>
        <v>0</v>
      </c>
      <c r="G543" s="274">
        <f t="shared" si="11"/>
        <v>0</v>
      </c>
      <c r="J543" s="199"/>
      <c r="K543" s="199"/>
    </row>
    <row r="544" spans="2:11">
      <c r="B544" s="151" t="s">
        <v>8</v>
      </c>
      <c r="C544" s="151">
        <f>IF('HP Inc.'!F105&gt;0,'HP Inc.'!A105,0)</f>
        <v>0</v>
      </c>
      <c r="D544" s="152">
        <f>IF(C544='HP Inc.'!A105,'HP Inc.'!C105,0)</f>
        <v>0</v>
      </c>
      <c r="E544" s="157">
        <f>IF(C544='HP Inc.'!A105,'HP Inc.'!D105,0)</f>
        <v>0</v>
      </c>
      <c r="F544" s="153">
        <f>'HP Inc.'!F105</f>
        <v>0</v>
      </c>
      <c r="G544" s="274">
        <f t="shared" si="11"/>
        <v>0</v>
      </c>
      <c r="J544" s="199"/>
      <c r="K544" s="199"/>
    </row>
    <row r="545" spans="2:13">
      <c r="B545" s="151" t="s">
        <v>8</v>
      </c>
      <c r="C545" s="151">
        <f>IF('HP Inc.'!F106&gt;0,'HP Inc.'!A106,0)</f>
        <v>0</v>
      </c>
      <c r="D545" s="152">
        <f>IF(C545='HP Inc.'!A106,'HP Inc.'!C106,0)</f>
        <v>0</v>
      </c>
      <c r="E545" s="157">
        <f>IF(C545='HP Inc.'!A106,'HP Inc.'!D106,0)</f>
        <v>0</v>
      </c>
      <c r="F545" s="153">
        <f>'HP Inc.'!F106</f>
        <v>0</v>
      </c>
      <c r="G545" s="274">
        <f t="shared" si="11"/>
        <v>0</v>
      </c>
      <c r="J545" s="199"/>
      <c r="K545" s="199"/>
    </row>
    <row r="546" spans="2:13">
      <c r="B546" s="151" t="s">
        <v>8</v>
      </c>
      <c r="C546" s="151">
        <f>IF('HP Inc.'!F107&gt;0,'HP Inc.'!A107,0)</f>
        <v>0</v>
      </c>
      <c r="D546" s="152">
        <f>IF(C546='HP Inc.'!A107,'HP Inc.'!C107,0)</f>
        <v>0</v>
      </c>
      <c r="E546" s="157">
        <f>IF(C546='HP Inc.'!A107,'HP Inc.'!D107,0)</f>
        <v>0</v>
      </c>
      <c r="F546" s="153">
        <f>'HP Inc.'!F107</f>
        <v>0</v>
      </c>
      <c r="G546" s="274">
        <f t="shared" si="11"/>
        <v>0</v>
      </c>
      <c r="J546" s="199"/>
      <c r="K546" s="199"/>
    </row>
    <row r="547" spans="2:13">
      <c r="B547" s="151" t="s">
        <v>8</v>
      </c>
      <c r="C547" s="151">
        <f>IF('HP Inc.'!F108&gt;0,'HP Inc.'!A108,0)</f>
        <v>0</v>
      </c>
      <c r="D547" s="152">
        <f>IF(C547='HP Inc.'!A108,'HP Inc.'!C108,0)</f>
        <v>0</v>
      </c>
      <c r="E547" s="157">
        <f>IF(C547='HP Inc.'!A108,'HP Inc.'!D108,0)</f>
        <v>0</v>
      </c>
      <c r="F547" s="153">
        <f>'HP Inc.'!F108</f>
        <v>0</v>
      </c>
      <c r="G547" s="274">
        <f t="shared" si="11"/>
        <v>0</v>
      </c>
      <c r="J547" s="199"/>
      <c r="K547" s="199"/>
    </row>
    <row r="548" spans="2:13">
      <c r="B548" s="151" t="s">
        <v>8</v>
      </c>
      <c r="C548" s="151">
        <f>IF('HP Inc.'!F109&gt;0,'HP Inc.'!A109,0)</f>
        <v>0</v>
      </c>
      <c r="D548" s="152">
        <f>IF(C548='HP Inc.'!A109,'HP Inc.'!C109,0)</f>
        <v>0</v>
      </c>
      <c r="E548" s="157">
        <f>IF(C548='HP Inc.'!A109,'HP Inc.'!D109,0)</f>
        <v>0</v>
      </c>
      <c r="F548" s="153">
        <f>'HP Inc.'!F109</f>
        <v>0</v>
      </c>
      <c r="G548" s="274">
        <f t="shared" si="11"/>
        <v>0</v>
      </c>
      <c r="J548" s="199"/>
      <c r="K548" s="199"/>
    </row>
    <row r="549" spans="2:13">
      <c r="B549" s="151" t="s">
        <v>654</v>
      </c>
      <c r="C549" s="151">
        <f>IF('HP Print'!F11&gt;0,'HP Print'!A11,0)</f>
        <v>0</v>
      </c>
      <c r="D549" s="152">
        <f>IF(C549='HP Print'!A11,'HP Print'!C11,0)</f>
        <v>0</v>
      </c>
      <c r="E549" s="157">
        <f>IF(C549='HP Print'!A11,'HP Print'!D11,0)</f>
        <v>0</v>
      </c>
      <c r="F549" s="151">
        <f>'HP Print'!F11</f>
        <v>0</v>
      </c>
      <c r="G549" s="274">
        <f>F549*E549</f>
        <v>0</v>
      </c>
      <c r="H549" s="210"/>
      <c r="I549" s="210"/>
    </row>
    <row r="550" spans="2:13">
      <c r="B550" s="151" t="s">
        <v>654</v>
      </c>
      <c r="C550" s="151">
        <f>IF('HP Print'!F12&gt;0,'HP Print'!A12,0)</f>
        <v>0</v>
      </c>
      <c r="D550" s="152">
        <f>IF(C550='HP Print'!A12,'HP Print'!C12,0)</f>
        <v>0</v>
      </c>
      <c r="E550" s="157">
        <f>IF(C550='HP Print'!A12,'HP Print'!D12,0)</f>
        <v>0</v>
      </c>
      <c r="F550" s="151">
        <f>'HP Print'!F12</f>
        <v>0</v>
      </c>
      <c r="G550" s="274">
        <f t="shared" ref="G550:G598" si="12">F550*E550</f>
        <v>0</v>
      </c>
    </row>
    <row r="551" spans="2:13">
      <c r="B551" s="151" t="s">
        <v>654</v>
      </c>
      <c r="C551" s="151">
        <f>IF('HP Print'!F13&gt;0,'HP Print'!A13,0)</f>
        <v>0</v>
      </c>
      <c r="D551" s="152">
        <f>IF(C551='HP Print'!A13,'HP Print'!C13,0)</f>
        <v>0</v>
      </c>
      <c r="E551" s="157">
        <f>IF(C551='HP Print'!A13,'HP Print'!D13,0)</f>
        <v>0</v>
      </c>
      <c r="F551" s="151">
        <f>'HP Print'!F13</f>
        <v>0</v>
      </c>
      <c r="G551" s="274">
        <f t="shared" si="12"/>
        <v>0</v>
      </c>
      <c r="J551" s="199"/>
      <c r="K551" s="199"/>
    </row>
    <row r="552" spans="2:13">
      <c r="B552" s="151" t="s">
        <v>654</v>
      </c>
      <c r="C552" s="151">
        <f>IF('HP Print'!F14&gt;0,'HP Print'!A14,0)</f>
        <v>0</v>
      </c>
      <c r="D552" s="152">
        <f>IF(C552='HP Print'!A14,'HP Print'!C14,0)</f>
        <v>0</v>
      </c>
      <c r="E552" s="157">
        <f>IF(C552='HP Print'!A14,'HP Print'!D14,0)</f>
        <v>0</v>
      </c>
      <c r="F552" s="151">
        <f>'HP Print'!F14</f>
        <v>0</v>
      </c>
      <c r="G552" s="274">
        <f t="shared" si="12"/>
        <v>0</v>
      </c>
      <c r="I552" s="210"/>
      <c r="J552" s="199"/>
      <c r="K552" s="199"/>
      <c r="L552" s="199"/>
      <c r="M552" s="292"/>
    </row>
    <row r="553" spans="2:13">
      <c r="B553" s="151" t="s">
        <v>654</v>
      </c>
      <c r="C553" s="151">
        <f>IF('HP Print'!F15&gt;0,'HP Print'!A15,0)</f>
        <v>0</v>
      </c>
      <c r="D553" s="152">
        <f>IF(C553='HP Print'!A15,'HP Print'!C15,0)</f>
        <v>0</v>
      </c>
      <c r="E553" s="157">
        <f>IF(C553='HP Print'!A15,'HP Print'!D15,0)</f>
        <v>0</v>
      </c>
      <c r="F553" s="151">
        <f>'HP Print'!F15</f>
        <v>0</v>
      </c>
      <c r="G553" s="274">
        <f t="shared" si="12"/>
        <v>0</v>
      </c>
      <c r="J553" s="199"/>
      <c r="K553" s="199"/>
    </row>
    <row r="554" spans="2:13">
      <c r="B554" s="151" t="s">
        <v>654</v>
      </c>
      <c r="C554" s="151">
        <f>IF('HP Print'!F16&gt;0,'HP Print'!A16,0)</f>
        <v>0</v>
      </c>
      <c r="D554" s="152">
        <f>IF(C554='HP Print'!A16,'HP Print'!C16,0)</f>
        <v>0</v>
      </c>
      <c r="E554" s="157">
        <f>IF(C554='HP Print'!A16,'HP Print'!D16,0)</f>
        <v>0</v>
      </c>
      <c r="F554" s="151">
        <f>'HP Print'!F16</f>
        <v>0</v>
      </c>
      <c r="G554" s="274">
        <f t="shared" si="12"/>
        <v>0</v>
      </c>
    </row>
    <row r="555" spans="2:13">
      <c r="B555" s="151" t="s">
        <v>654</v>
      </c>
      <c r="C555" s="151">
        <f>IF('HP Print'!F17&gt;0,'HP Print'!A17,0)</f>
        <v>0</v>
      </c>
      <c r="D555" s="152">
        <f>IF(C555='HP Print'!A17,'HP Print'!C17,0)</f>
        <v>0</v>
      </c>
      <c r="E555" s="157">
        <f>IF(C555='HP Print'!A17,'HP Print'!D17,0)</f>
        <v>0</v>
      </c>
      <c r="F555" s="151">
        <f>'HP Print'!F17</f>
        <v>0</v>
      </c>
      <c r="G555" s="274">
        <f t="shared" si="12"/>
        <v>0</v>
      </c>
      <c r="I555" s="210"/>
      <c r="K555" s="199"/>
      <c r="L555" s="199"/>
      <c r="M555" s="292"/>
    </row>
    <row r="556" spans="2:13">
      <c r="B556" s="151" t="s">
        <v>654</v>
      </c>
      <c r="C556" s="151">
        <f>IF('HP Print'!F18&gt;0,'HP Print'!A18,0)</f>
        <v>0</v>
      </c>
      <c r="D556" s="152">
        <f>IF(C556='HP Print'!A18,'HP Print'!C18,0)</f>
        <v>0</v>
      </c>
      <c r="E556" s="157">
        <f>IF(C556='HP Print'!A18,'HP Print'!D18,0)</f>
        <v>0</v>
      </c>
      <c r="F556" s="151">
        <f>'HP Print'!F18</f>
        <v>0</v>
      </c>
      <c r="G556" s="274">
        <f t="shared" si="12"/>
        <v>0</v>
      </c>
      <c r="I556" s="210"/>
      <c r="K556" s="199"/>
      <c r="L556" s="199"/>
      <c r="M556" s="292"/>
    </row>
    <row r="557" spans="2:13">
      <c r="B557" s="151" t="s">
        <v>654</v>
      </c>
      <c r="C557" s="151">
        <f>IF('HP Print'!F19&gt;0,'HP Print'!A19,0)</f>
        <v>0</v>
      </c>
      <c r="D557" s="152">
        <f>IF(C557='HP Print'!A19,'HP Print'!C19,0)</f>
        <v>0</v>
      </c>
      <c r="E557" s="157">
        <f>IF(C557='HP Print'!A19,'HP Print'!D19,0)</f>
        <v>0</v>
      </c>
      <c r="F557" s="151">
        <f>'HP Print'!F19</f>
        <v>0</v>
      </c>
      <c r="G557" s="274">
        <f t="shared" si="12"/>
        <v>0</v>
      </c>
    </row>
    <row r="558" spans="2:13">
      <c r="B558" s="151" t="s">
        <v>654</v>
      </c>
      <c r="C558" s="151">
        <f>IF('HP Print'!F20&gt;0,'HP Print'!A20,0)</f>
        <v>0</v>
      </c>
      <c r="D558" s="152">
        <f>IF(C558='HP Print'!A20,'HP Print'!C20,0)</f>
        <v>0</v>
      </c>
      <c r="E558" s="157">
        <f>IF(C558='HP Print'!A20,'HP Print'!D20,0)</f>
        <v>0</v>
      </c>
      <c r="F558" s="151">
        <f>'HP Print'!F20</f>
        <v>0</v>
      </c>
      <c r="G558" s="274">
        <f t="shared" si="12"/>
        <v>0</v>
      </c>
    </row>
    <row r="559" spans="2:13">
      <c r="B559" s="151" t="s">
        <v>654</v>
      </c>
      <c r="C559" s="151">
        <f>IF('HP Print'!F21&gt;0,'HP Print'!A21,0)</f>
        <v>0</v>
      </c>
      <c r="D559" s="152">
        <f>IF(C559='HP Print'!A21,'HP Print'!C21,0)</f>
        <v>0</v>
      </c>
      <c r="E559" s="157">
        <f>IF(C559='HP Print'!A21,'HP Print'!D21,0)</f>
        <v>0</v>
      </c>
      <c r="F559" s="151">
        <f>'HP Print'!F21</f>
        <v>0</v>
      </c>
      <c r="G559" s="274">
        <f t="shared" si="12"/>
        <v>0</v>
      </c>
    </row>
    <row r="560" spans="2:13">
      <c r="B560" s="151" t="s">
        <v>654</v>
      </c>
      <c r="C560" s="151">
        <f>IF('HP Print'!F22&gt;0,'HP Print'!A22,0)</f>
        <v>0</v>
      </c>
      <c r="D560" s="152">
        <f>IF(C560='HP Print'!A22,'HP Print'!C22,0)</f>
        <v>0</v>
      </c>
      <c r="E560" s="157">
        <f>IF(C560='HP Print'!A22,'HP Print'!D22,0)</f>
        <v>0</v>
      </c>
      <c r="F560" s="151">
        <f>'HP Print'!F22</f>
        <v>0</v>
      </c>
      <c r="G560" s="274">
        <f t="shared" si="12"/>
        <v>0</v>
      </c>
      <c r="I560" s="210"/>
      <c r="J560" s="199"/>
      <c r="K560" s="199"/>
      <c r="L560" s="199"/>
      <c r="M560" s="292"/>
    </row>
    <row r="561" spans="2:13">
      <c r="B561" s="151" t="s">
        <v>654</v>
      </c>
      <c r="C561" s="151">
        <f>IF('HP Print'!F23&gt;0,'HP Print'!A23,0)</f>
        <v>0</v>
      </c>
      <c r="D561" s="152">
        <f>IF(C561='HP Print'!A23,'HP Print'!C23,0)</f>
        <v>0</v>
      </c>
      <c r="E561" s="157">
        <f>IF(C561='HP Print'!A23,'HP Print'!D23,0)</f>
        <v>0</v>
      </c>
      <c r="F561" s="151">
        <f>'HP Print'!F23</f>
        <v>0</v>
      </c>
      <c r="G561" s="274">
        <f t="shared" si="12"/>
        <v>0</v>
      </c>
      <c r="I561" s="210"/>
      <c r="J561" s="199"/>
      <c r="K561" s="199"/>
      <c r="L561" s="199"/>
      <c r="M561" s="292"/>
    </row>
    <row r="562" spans="2:13">
      <c r="B562" s="151" t="s">
        <v>654</v>
      </c>
      <c r="C562" s="151">
        <f>IF('HP Print'!F24&gt;0,'HP Print'!A24,0)</f>
        <v>0</v>
      </c>
      <c r="D562" s="152">
        <f>IF(C562='HP Print'!A24,'HP Print'!C24,0)</f>
        <v>0</v>
      </c>
      <c r="E562" s="157">
        <f>IF(C562='HP Print'!A24,'HP Print'!D24,0)</f>
        <v>0</v>
      </c>
      <c r="F562" s="151">
        <f>'HP Print'!F24</f>
        <v>0</v>
      </c>
      <c r="G562" s="274">
        <f t="shared" si="12"/>
        <v>0</v>
      </c>
      <c r="J562" s="199"/>
      <c r="K562" s="199"/>
    </row>
    <row r="563" spans="2:13">
      <c r="B563" s="151" t="s">
        <v>654</v>
      </c>
      <c r="C563" s="151">
        <f>IF('HP Print'!F25&gt;0,'HP Print'!A25,0)</f>
        <v>0</v>
      </c>
      <c r="D563" s="152">
        <f>IF(C563='HP Print'!A25,'HP Print'!C25,0)</f>
        <v>0</v>
      </c>
      <c r="E563" s="157">
        <f>IF(C563='HP Print'!A25,'HP Print'!D25,0)</f>
        <v>0</v>
      </c>
      <c r="F563" s="151">
        <f>'HP Print'!F25</f>
        <v>0</v>
      </c>
      <c r="G563" s="274">
        <f t="shared" si="12"/>
        <v>0</v>
      </c>
    </row>
    <row r="564" spans="2:13">
      <c r="B564" s="151" t="s">
        <v>654</v>
      </c>
      <c r="C564" s="151">
        <f>IF('HP Print'!F26&gt;0,'HP Print'!A26,0)</f>
        <v>0</v>
      </c>
      <c r="D564" s="152">
        <f>IF(C564='HP Print'!A26,'HP Print'!C26,0)</f>
        <v>0</v>
      </c>
      <c r="E564" s="157">
        <f>IF(C564='HP Print'!A26,'HP Print'!D26,0)</f>
        <v>0</v>
      </c>
      <c r="F564" s="151">
        <f>'HP Print'!F26</f>
        <v>0</v>
      </c>
      <c r="G564" s="274">
        <f t="shared" si="12"/>
        <v>0</v>
      </c>
    </row>
    <row r="565" spans="2:13">
      <c r="B565" s="151" t="s">
        <v>654</v>
      </c>
      <c r="C565" s="151">
        <f>IF('HP Print'!F27&gt;0,'HP Print'!A27,0)</f>
        <v>0</v>
      </c>
      <c r="D565" s="152">
        <f>IF(C565='HP Print'!A27,'HP Print'!C27,0)</f>
        <v>0</v>
      </c>
      <c r="E565" s="157">
        <f>IF(C565='HP Print'!A27,'HP Print'!D27,0)</f>
        <v>0</v>
      </c>
      <c r="F565" s="151">
        <f>'HP Print'!F27</f>
        <v>0</v>
      </c>
      <c r="G565" s="274">
        <f t="shared" si="12"/>
        <v>0</v>
      </c>
    </row>
    <row r="566" spans="2:13">
      <c r="B566" s="151" t="s">
        <v>654</v>
      </c>
      <c r="C566" s="151">
        <f>IF('HP Print'!F28&gt;0,'HP Print'!A28,0)</f>
        <v>0</v>
      </c>
      <c r="D566" s="152">
        <f>IF(C566='HP Print'!A28,'HP Print'!C28,0)</f>
        <v>0</v>
      </c>
      <c r="E566" s="157">
        <f>IF(C566='HP Print'!A28,'HP Print'!D28,0)</f>
        <v>0</v>
      </c>
      <c r="F566" s="151">
        <f>'HP Print'!F28</f>
        <v>0</v>
      </c>
      <c r="G566" s="274">
        <f t="shared" si="12"/>
        <v>0</v>
      </c>
    </row>
    <row r="567" spans="2:13">
      <c r="B567" s="151" t="s">
        <v>654</v>
      </c>
      <c r="C567" s="151">
        <f>IF('HP Print'!F29&gt;0,'HP Print'!A29,0)</f>
        <v>0</v>
      </c>
      <c r="D567" s="152">
        <f>IF(C567='HP Print'!A29,'HP Print'!C29,0)</f>
        <v>0</v>
      </c>
      <c r="E567" s="157">
        <f>IF(C567='HP Print'!A29,'HP Print'!D29,0)</f>
        <v>0</v>
      </c>
      <c r="F567" s="151">
        <f>'HP Print'!F29</f>
        <v>0</v>
      </c>
      <c r="G567" s="274">
        <f t="shared" si="12"/>
        <v>0</v>
      </c>
      <c r="I567" s="210"/>
      <c r="K567" s="199"/>
      <c r="L567" s="199"/>
      <c r="M567" s="292"/>
    </row>
    <row r="568" spans="2:13">
      <c r="B568" s="151" t="s">
        <v>654</v>
      </c>
      <c r="C568" s="151">
        <f>IF('HP Print'!F30&gt;0,'HP Print'!A30,0)</f>
        <v>0</v>
      </c>
      <c r="D568" s="152">
        <f>IF(C568='HP Print'!A30,'HP Print'!C30,0)</f>
        <v>0</v>
      </c>
      <c r="E568" s="157">
        <f>IF(C568='HP Print'!A30,'HP Print'!D30,0)</f>
        <v>0</v>
      </c>
      <c r="F568" s="151">
        <f>'HP Print'!F30</f>
        <v>0</v>
      </c>
      <c r="G568" s="274">
        <f t="shared" si="12"/>
        <v>0</v>
      </c>
      <c r="I568" s="210"/>
      <c r="J568" s="177"/>
      <c r="K568" s="199"/>
    </row>
    <row r="569" spans="2:13">
      <c r="B569" s="151" t="s">
        <v>654</v>
      </c>
      <c r="C569" s="151">
        <f>IF('HP Print'!F31&gt;0,'HP Print'!A31,0)</f>
        <v>0</v>
      </c>
      <c r="D569" s="152">
        <f>IF(C569='HP Print'!A31,'HP Print'!C31,0)</f>
        <v>0</v>
      </c>
      <c r="E569" s="157">
        <f>IF(C569='HP Print'!A31,'HP Print'!D31,0)</f>
        <v>0</v>
      </c>
      <c r="F569" s="151">
        <f>'HP Print'!F31</f>
        <v>0</v>
      </c>
      <c r="G569" s="274">
        <f t="shared" si="12"/>
        <v>0</v>
      </c>
      <c r="I569" s="210"/>
      <c r="K569" s="199"/>
      <c r="L569" s="199"/>
      <c r="M569" s="292"/>
    </row>
    <row r="570" spans="2:13">
      <c r="B570" s="151" t="s">
        <v>654</v>
      </c>
      <c r="C570" s="151">
        <f>IF('HP Print'!F32&gt;0,'HP Print'!A32,0)</f>
        <v>0</v>
      </c>
      <c r="D570" s="152">
        <f>IF(C570='HP Print'!A32,'HP Print'!C32,0)</f>
        <v>0</v>
      </c>
      <c r="E570" s="157">
        <f>IF(C570='HP Print'!A32,'HP Print'!D32,0)</f>
        <v>0</v>
      </c>
      <c r="F570" s="151">
        <f>'HP Print'!F32</f>
        <v>0</v>
      </c>
      <c r="G570" s="274">
        <f t="shared" si="12"/>
        <v>0</v>
      </c>
      <c r="K570" s="199"/>
    </row>
    <row r="571" spans="2:13">
      <c r="B571" s="151" t="s">
        <v>654</v>
      </c>
      <c r="C571" s="151">
        <f>IF('HP Print'!F33&gt;0,'HP Print'!A33,0)</f>
        <v>0</v>
      </c>
      <c r="D571" s="152">
        <f>IF(C571='HP Print'!A33,'HP Print'!C33,0)</f>
        <v>0</v>
      </c>
      <c r="E571" s="157">
        <f>IF(C571='HP Print'!A33,'HP Print'!D33,0)</f>
        <v>0</v>
      </c>
      <c r="F571" s="151">
        <f>'HP Print'!F33</f>
        <v>0</v>
      </c>
      <c r="G571" s="274">
        <f t="shared" si="12"/>
        <v>0</v>
      </c>
      <c r="I571" s="210"/>
      <c r="J571" s="199"/>
      <c r="K571" s="199"/>
    </row>
    <row r="572" spans="2:13">
      <c r="B572" s="151" t="s">
        <v>654</v>
      </c>
      <c r="C572" s="151">
        <f>IF('HP Print'!F34&gt;0,'HP Print'!A34,0)</f>
        <v>0</v>
      </c>
      <c r="D572" s="152">
        <f>IF(C572='HP Print'!A34,'HP Print'!C34,0)</f>
        <v>0</v>
      </c>
      <c r="E572" s="157">
        <f>IF(C572='HP Print'!A34,'HP Print'!D34,0)</f>
        <v>0</v>
      </c>
      <c r="F572" s="151">
        <f>'HP Print'!F34</f>
        <v>0</v>
      </c>
      <c r="G572" s="274">
        <f t="shared" si="12"/>
        <v>0</v>
      </c>
      <c r="I572" s="210"/>
      <c r="J572" s="210"/>
      <c r="K572" s="210"/>
    </row>
    <row r="573" spans="2:13">
      <c r="B573" s="151" t="s">
        <v>654</v>
      </c>
      <c r="C573" s="151">
        <f>IF('HP Print'!F35&gt;0,'HP Print'!A35,0)</f>
        <v>0</v>
      </c>
      <c r="D573" s="152">
        <f>IF(C573='HP Print'!A35,'HP Print'!C35,0)</f>
        <v>0</v>
      </c>
      <c r="E573" s="157">
        <f>IF(C573='HP Print'!A35,'HP Print'!D35,0)</f>
        <v>0</v>
      </c>
      <c r="F573" s="151">
        <f>'HP Print'!F35</f>
        <v>0</v>
      </c>
      <c r="G573" s="274">
        <f t="shared" si="12"/>
        <v>0</v>
      </c>
      <c r="J573" s="199"/>
      <c r="K573" s="199"/>
    </row>
    <row r="574" spans="2:13">
      <c r="B574" s="151" t="s">
        <v>654</v>
      </c>
      <c r="C574" s="151">
        <f>IF('HP Print'!F36&gt;0,'HP Print'!A36,0)</f>
        <v>0</v>
      </c>
      <c r="D574" s="152">
        <f>IF(C574='HP Print'!A36,'HP Print'!C36,0)</f>
        <v>0</v>
      </c>
      <c r="E574" s="157">
        <f>IF(C574='HP Print'!A36,'HP Print'!D36,0)</f>
        <v>0</v>
      </c>
      <c r="F574" s="151">
        <f>'HP Print'!F36</f>
        <v>0</v>
      </c>
      <c r="G574" s="274">
        <f t="shared" si="12"/>
        <v>0</v>
      </c>
      <c r="J574" s="199"/>
      <c r="K574" s="199"/>
    </row>
    <row r="575" spans="2:13">
      <c r="B575" s="151" t="s">
        <v>654</v>
      </c>
      <c r="C575" s="151">
        <f>IF('HP Print'!F37&gt;0,'HP Print'!A37,0)</f>
        <v>0</v>
      </c>
      <c r="D575" s="152">
        <f>IF(C575='HP Print'!A37,'HP Print'!C37,0)</f>
        <v>0</v>
      </c>
      <c r="E575" s="157">
        <f>IF(C575='HP Print'!A37,'HP Print'!D37,0)</f>
        <v>0</v>
      </c>
      <c r="F575" s="151">
        <f>'HP Print'!F37</f>
        <v>0</v>
      </c>
      <c r="G575" s="274">
        <f t="shared" si="12"/>
        <v>0</v>
      </c>
      <c r="I575" s="210"/>
      <c r="J575" s="199"/>
      <c r="K575" s="199"/>
    </row>
    <row r="576" spans="2:13">
      <c r="B576" s="151" t="s">
        <v>654</v>
      </c>
      <c r="C576" s="151">
        <f>IF('HP Print'!F38&gt;0,'HP Print'!A38,0)</f>
        <v>0</v>
      </c>
      <c r="D576" s="152">
        <f>IF(C576='HP Print'!A38,'HP Print'!C38,0)</f>
        <v>0</v>
      </c>
      <c r="E576" s="157">
        <f>IF(C576='HP Print'!A38,'HP Print'!D38,0)</f>
        <v>0</v>
      </c>
      <c r="F576" s="151">
        <f>'HP Print'!F38</f>
        <v>0</v>
      </c>
      <c r="G576" s="274">
        <f t="shared" si="12"/>
        <v>0</v>
      </c>
      <c r="I576" s="210"/>
      <c r="J576" s="199"/>
      <c r="K576" s="199"/>
    </row>
    <row r="577" spans="2:11">
      <c r="B577" s="151" t="s">
        <v>654</v>
      </c>
      <c r="C577" s="151">
        <f>IF('HP Print'!F39&gt;0,'HP Print'!A39,0)</f>
        <v>0</v>
      </c>
      <c r="D577" s="152">
        <f>IF(C577='HP Print'!A39,'HP Print'!C39,0)</f>
        <v>0</v>
      </c>
      <c r="E577" s="157">
        <f>IF(C577='HP Print'!A39,'HP Print'!D39,0)</f>
        <v>0</v>
      </c>
      <c r="F577" s="151">
        <f>'HP Print'!F39</f>
        <v>0</v>
      </c>
      <c r="G577" s="274">
        <f t="shared" si="12"/>
        <v>0</v>
      </c>
      <c r="J577" s="199"/>
      <c r="K577" s="199"/>
    </row>
    <row r="578" spans="2:11">
      <c r="B578" s="151" t="s">
        <v>654</v>
      </c>
      <c r="C578" s="151">
        <f>IF('HP Print'!F40&gt;0,'HP Print'!A40,0)</f>
        <v>0</v>
      </c>
      <c r="D578" s="152">
        <f>IF(C578='HP Print'!A40,'HP Print'!C40,0)</f>
        <v>0</v>
      </c>
      <c r="E578" s="157">
        <f>IF(C578='HP Print'!A40,'HP Print'!D40,0)</f>
        <v>0</v>
      </c>
      <c r="F578" s="151">
        <f>'HP Print'!F40</f>
        <v>0</v>
      </c>
      <c r="G578" s="274">
        <f t="shared" si="12"/>
        <v>0</v>
      </c>
      <c r="J578" s="199"/>
      <c r="K578" s="199"/>
    </row>
    <row r="579" spans="2:11">
      <c r="B579" s="151" t="s">
        <v>654</v>
      </c>
      <c r="C579" s="151">
        <f>IF('HP Print'!F41&gt;0,'HP Print'!A41,0)</f>
        <v>0</v>
      </c>
      <c r="D579" s="152">
        <f>IF(C579='HP Print'!A41,'HP Print'!C41,0)</f>
        <v>0</v>
      </c>
      <c r="E579" s="157">
        <f>IF(C579='HP Print'!A41,'HP Print'!D41,0)</f>
        <v>0</v>
      </c>
      <c r="F579" s="151">
        <f>'HP Print'!F41</f>
        <v>0</v>
      </c>
      <c r="G579" s="274">
        <f t="shared" si="12"/>
        <v>0</v>
      </c>
      <c r="J579" s="199"/>
      <c r="K579" s="199"/>
    </row>
    <row r="580" spans="2:11">
      <c r="B580" s="151" t="s">
        <v>654</v>
      </c>
      <c r="C580" s="151">
        <f>IF('HP Print'!F42&gt;0,'HP Print'!A42,0)</f>
        <v>0</v>
      </c>
      <c r="D580" s="152">
        <f>IF(C580='HP Print'!A42,'HP Print'!C42,0)</f>
        <v>0</v>
      </c>
      <c r="E580" s="157">
        <f>IF(C580='HP Print'!A42,'HP Print'!D42,0)</f>
        <v>0</v>
      </c>
      <c r="F580" s="151">
        <f>'HP Print'!F42</f>
        <v>0</v>
      </c>
      <c r="G580" s="274">
        <f t="shared" si="12"/>
        <v>0</v>
      </c>
      <c r="J580" s="199"/>
      <c r="K580" s="199"/>
    </row>
    <row r="581" spans="2:11">
      <c r="B581" s="151" t="s">
        <v>654</v>
      </c>
      <c r="C581" s="151">
        <f>IF('HP Print'!F43&gt;0,'HP Print'!A43,0)</f>
        <v>0</v>
      </c>
      <c r="D581" s="152">
        <f>IF(C581='HP Print'!A43,'HP Print'!C43,0)</f>
        <v>0</v>
      </c>
      <c r="E581" s="157">
        <f>IF(C581='HP Print'!A43,'HP Print'!D43,0)</f>
        <v>0</v>
      </c>
      <c r="F581" s="151">
        <f>'HP Print'!F43</f>
        <v>0</v>
      </c>
      <c r="G581" s="274">
        <f t="shared" si="12"/>
        <v>0</v>
      </c>
      <c r="J581" s="199"/>
      <c r="K581" s="199"/>
    </row>
    <row r="582" spans="2:11">
      <c r="B582" s="151" t="s">
        <v>654</v>
      </c>
      <c r="C582" s="151">
        <f>IF('HP Print'!F44&gt;0,'HP Print'!A44,0)</f>
        <v>0</v>
      </c>
      <c r="D582" s="152">
        <f>IF(C582='HP Print'!A44,'HP Print'!C44,0)</f>
        <v>0</v>
      </c>
      <c r="E582" s="157">
        <f>IF(C582='HP Print'!A44,'HP Print'!D44,0)</f>
        <v>0</v>
      </c>
      <c r="F582" s="151">
        <f>'HP Print'!F44</f>
        <v>0</v>
      </c>
      <c r="G582" s="274">
        <f t="shared" si="12"/>
        <v>0</v>
      </c>
      <c r="J582" s="199"/>
      <c r="K582" s="199"/>
    </row>
    <row r="583" spans="2:11">
      <c r="B583" s="151" t="s">
        <v>654</v>
      </c>
      <c r="C583" s="151">
        <f>IF('HP Print'!F45&gt;0,'HP Print'!A45,0)</f>
        <v>0</v>
      </c>
      <c r="D583" s="152">
        <f>IF(C583='HP Print'!A45,'HP Print'!C45,0)</f>
        <v>0</v>
      </c>
      <c r="E583" s="157">
        <f>IF(C583='HP Print'!A45,'HP Print'!D45,0)</f>
        <v>0</v>
      </c>
      <c r="F583" s="151">
        <f>'HP Print'!F45</f>
        <v>0</v>
      </c>
      <c r="G583" s="274">
        <f t="shared" si="12"/>
        <v>0</v>
      </c>
      <c r="J583" s="199"/>
      <c r="K583" s="199"/>
    </row>
    <row r="584" spans="2:11">
      <c r="B584" s="151" t="s">
        <v>654</v>
      </c>
      <c r="C584" s="151">
        <f>IF('HP Print'!F46&gt;0,'HP Print'!A46,0)</f>
        <v>0</v>
      </c>
      <c r="D584" s="152">
        <f>IF(C584='HP Print'!A46,'HP Print'!C46,0)</f>
        <v>0</v>
      </c>
      <c r="E584" s="157">
        <f>IF(C584='HP Print'!A46,'HP Print'!D46,0)</f>
        <v>0</v>
      </c>
      <c r="F584" s="151">
        <f>'HP Print'!F46</f>
        <v>0</v>
      </c>
      <c r="G584" s="274">
        <f t="shared" si="12"/>
        <v>0</v>
      </c>
      <c r="J584" s="199"/>
      <c r="K584" s="199"/>
    </row>
    <row r="585" spans="2:11">
      <c r="B585" s="151" t="s">
        <v>654</v>
      </c>
      <c r="C585" s="151">
        <f>IF('HP Print'!F47&gt;0,'HP Print'!A47,0)</f>
        <v>0</v>
      </c>
      <c r="D585" s="152">
        <f>IF(C585='HP Print'!A47,'HP Print'!C47,0)</f>
        <v>0</v>
      </c>
      <c r="E585" s="157">
        <f>IF(C585='HP Print'!A47,'HP Print'!D47,0)</f>
        <v>0</v>
      </c>
      <c r="F585" s="151">
        <f>'HP Print'!F47</f>
        <v>0</v>
      </c>
      <c r="G585" s="274">
        <f t="shared" si="12"/>
        <v>0</v>
      </c>
      <c r="J585" s="199"/>
      <c r="K585" s="199"/>
    </row>
    <row r="586" spans="2:11">
      <c r="B586" s="151" t="s">
        <v>654</v>
      </c>
      <c r="C586" s="151">
        <f>IF('HP Print'!F48&gt;0,'HP Print'!A48,0)</f>
        <v>0</v>
      </c>
      <c r="D586" s="152">
        <f>IF(C586='HP Print'!A48,'HP Print'!C48,0)</f>
        <v>0</v>
      </c>
      <c r="E586" s="157">
        <f>IF(C586='HP Print'!A48,'HP Print'!D48,0)</f>
        <v>0</v>
      </c>
      <c r="F586" s="151">
        <f>'HP Print'!F48</f>
        <v>0</v>
      </c>
      <c r="G586" s="274">
        <f t="shared" si="12"/>
        <v>0</v>
      </c>
      <c r="J586" s="199"/>
      <c r="K586" s="199"/>
    </row>
    <row r="587" spans="2:11">
      <c r="B587" s="151" t="s">
        <v>654</v>
      </c>
      <c r="C587" s="151">
        <f>IF('HP Print'!F49&gt;0,'HP Print'!A49,0)</f>
        <v>0</v>
      </c>
      <c r="D587" s="152">
        <f>IF(C587='HP Print'!A49,'HP Print'!C49,0)</f>
        <v>0</v>
      </c>
      <c r="E587" s="157">
        <f>IF(C587='HP Print'!A49,'HP Print'!D49,0)</f>
        <v>0</v>
      </c>
      <c r="F587" s="151">
        <f>'HP Print'!F49</f>
        <v>0</v>
      </c>
      <c r="G587" s="274">
        <f t="shared" si="12"/>
        <v>0</v>
      </c>
      <c r="J587" s="199"/>
      <c r="K587" s="199"/>
    </row>
    <row r="588" spans="2:11">
      <c r="B588" s="151" t="s">
        <v>654</v>
      </c>
      <c r="C588" s="151">
        <f>IF('HP Print'!F50&gt;0,'HP Print'!A50,0)</f>
        <v>0</v>
      </c>
      <c r="D588" s="152">
        <f>IF(C588='HP Print'!A50,'HP Print'!C50,0)</f>
        <v>0</v>
      </c>
      <c r="E588" s="157">
        <f>IF(C588='HP Print'!A50,'HP Print'!D50,0)</f>
        <v>0</v>
      </c>
      <c r="F588" s="151">
        <f>'HP Print'!F50</f>
        <v>0</v>
      </c>
      <c r="G588" s="274">
        <f t="shared" si="12"/>
        <v>0</v>
      </c>
      <c r="J588" s="199"/>
      <c r="K588" s="199"/>
    </row>
    <row r="589" spans="2:11">
      <c r="B589" s="151" t="s">
        <v>654</v>
      </c>
      <c r="C589" s="151">
        <f>IF('HP Print'!F51&gt;0,'HP Print'!A51,0)</f>
        <v>0</v>
      </c>
      <c r="D589" s="152">
        <f>IF(C589='HP Print'!A51,'HP Print'!C51,0)</f>
        <v>0</v>
      </c>
      <c r="E589" s="157">
        <f>IF(C589='HP Print'!A51,'HP Print'!D51,0)</f>
        <v>0</v>
      </c>
      <c r="F589" s="151">
        <f>'HP Print'!F51</f>
        <v>0</v>
      </c>
      <c r="G589" s="274">
        <f t="shared" si="12"/>
        <v>0</v>
      </c>
      <c r="J589" s="199"/>
      <c r="K589" s="199"/>
    </row>
    <row r="590" spans="2:11">
      <c r="B590" s="151" t="s">
        <v>654</v>
      </c>
      <c r="C590" s="151">
        <f>IF('HP Print'!F52&gt;0,'HP Print'!A52,0)</f>
        <v>0</v>
      </c>
      <c r="D590" s="152">
        <f>IF(C590='HP Print'!A52,'HP Print'!C52,0)</f>
        <v>0</v>
      </c>
      <c r="E590" s="157">
        <f>IF(C590='HP Print'!A52,'HP Print'!D52,0)</f>
        <v>0</v>
      </c>
      <c r="F590" s="151">
        <f>'HP Print'!F52</f>
        <v>0</v>
      </c>
      <c r="G590" s="274">
        <f t="shared" si="12"/>
        <v>0</v>
      </c>
      <c r="J590" s="199"/>
      <c r="K590" s="199"/>
    </row>
    <row r="591" spans="2:11">
      <c r="B591" s="151" t="s">
        <v>654</v>
      </c>
      <c r="C591" s="151">
        <f>IF('HP Print'!F53&gt;0,'HP Print'!A53,0)</f>
        <v>0</v>
      </c>
      <c r="D591" s="152">
        <f>IF(C591='HP Print'!A53,'HP Print'!C53,0)</f>
        <v>0</v>
      </c>
      <c r="E591" s="157">
        <f>IF(C591='HP Print'!A53,'HP Print'!D53,0)</f>
        <v>0</v>
      </c>
      <c r="F591" s="151">
        <f>'HP Print'!F53</f>
        <v>0</v>
      </c>
      <c r="G591" s="274">
        <f t="shared" si="12"/>
        <v>0</v>
      </c>
      <c r="J591" s="199"/>
      <c r="K591" s="199"/>
    </row>
    <row r="592" spans="2:11">
      <c r="B592" s="151" t="s">
        <v>654</v>
      </c>
      <c r="C592" s="151">
        <f>IF('HP Print'!F54&gt;0,'HP Print'!A54,0)</f>
        <v>0</v>
      </c>
      <c r="D592" s="152">
        <f>IF(C592='HP Print'!A54,'HP Print'!C54,0)</f>
        <v>0</v>
      </c>
      <c r="E592" s="157">
        <f>IF(C592='HP Print'!A54,'HP Print'!D54,0)</f>
        <v>0</v>
      </c>
      <c r="F592" s="151">
        <f>'HP Print'!F54</f>
        <v>0</v>
      </c>
      <c r="G592" s="274">
        <f t="shared" si="12"/>
        <v>0</v>
      </c>
      <c r="J592" s="199"/>
      <c r="K592" s="199"/>
    </row>
    <row r="593" spans="2:11">
      <c r="B593" s="151" t="s">
        <v>654</v>
      </c>
      <c r="C593" s="151">
        <f>IF('HP Print'!F55&gt;0,'HP Print'!A55,0)</f>
        <v>0</v>
      </c>
      <c r="D593" s="152">
        <f>IF(C593='HP Print'!A55,'HP Print'!C55,0)</f>
        <v>0</v>
      </c>
      <c r="E593" s="157">
        <f>IF(C593='HP Print'!A55,'HP Print'!D55,0)</f>
        <v>0</v>
      </c>
      <c r="F593" s="151">
        <f>'HP Print'!F55</f>
        <v>0</v>
      </c>
      <c r="G593" s="274">
        <f t="shared" si="12"/>
        <v>0</v>
      </c>
      <c r="J593" s="199"/>
      <c r="K593" s="199"/>
    </row>
    <row r="594" spans="2:11">
      <c r="B594" s="151" t="s">
        <v>654</v>
      </c>
      <c r="C594" s="151">
        <f>IF('HP Print'!F56&gt;0,'HP Print'!A56,0)</f>
        <v>0</v>
      </c>
      <c r="D594" s="152">
        <f>IF(C594='HP Print'!A56,'HP Print'!C56,0)</f>
        <v>0</v>
      </c>
      <c r="E594" s="157">
        <f>IF(C594='HP Print'!A56,'HP Print'!D56,0)</f>
        <v>0</v>
      </c>
      <c r="F594" s="151">
        <f>'HP Print'!F56</f>
        <v>0</v>
      </c>
      <c r="G594" s="274">
        <f t="shared" si="12"/>
        <v>0</v>
      </c>
      <c r="J594" s="199"/>
      <c r="K594" s="199"/>
    </row>
    <row r="595" spans="2:11">
      <c r="B595" s="151" t="s">
        <v>654</v>
      </c>
      <c r="C595" s="151">
        <f>IF('HP Print'!F57&gt;0,'HP Print'!A57,0)</f>
        <v>0</v>
      </c>
      <c r="D595" s="152">
        <f>IF(C595='HP Print'!A57,'HP Print'!C57,0)</f>
        <v>0</v>
      </c>
      <c r="E595" s="157">
        <f>IF(C595='HP Print'!A57,'HP Print'!D57,0)</f>
        <v>0</v>
      </c>
      <c r="F595" s="151">
        <f>'HP Print'!F57</f>
        <v>0</v>
      </c>
      <c r="G595" s="274">
        <f t="shared" si="12"/>
        <v>0</v>
      </c>
      <c r="J595" s="199"/>
      <c r="K595" s="199"/>
    </row>
    <row r="596" spans="2:11">
      <c r="B596" s="151" t="s">
        <v>654</v>
      </c>
      <c r="C596" s="151">
        <f>IF('HP Print'!F58&gt;0,'HP Print'!A58,0)</f>
        <v>0</v>
      </c>
      <c r="D596" s="152">
        <f>IF(C596='HP Print'!A58,'HP Print'!C58,0)</f>
        <v>0</v>
      </c>
      <c r="E596" s="157">
        <f>IF(C596='HP Print'!A58,'HP Print'!D58,0)</f>
        <v>0</v>
      </c>
      <c r="F596" s="151">
        <f>'HP Print'!F58</f>
        <v>0</v>
      </c>
      <c r="G596" s="274">
        <f t="shared" si="12"/>
        <v>0</v>
      </c>
      <c r="J596" s="199"/>
      <c r="K596" s="199"/>
    </row>
    <row r="597" spans="2:11">
      <c r="B597" s="151" t="s">
        <v>654</v>
      </c>
      <c r="C597" s="151">
        <f>IF('HP Print'!F59&gt;0,'HP Print'!A59,0)</f>
        <v>0</v>
      </c>
      <c r="D597" s="152">
        <f>IF(C597='HP Print'!A59,'HP Print'!C59,0)</f>
        <v>0</v>
      </c>
      <c r="E597" s="157">
        <f>IF(C597='HP Print'!A59,'HP Print'!D59,0)</f>
        <v>0</v>
      </c>
      <c r="F597" s="151">
        <f>'HP Print'!F59</f>
        <v>0</v>
      </c>
      <c r="G597" s="274">
        <f t="shared" si="12"/>
        <v>0</v>
      </c>
      <c r="J597" s="199"/>
      <c r="K597" s="199"/>
    </row>
    <row r="598" spans="2:11">
      <c r="B598" s="151" t="s">
        <v>654</v>
      </c>
      <c r="C598" s="151">
        <f>IF('HP Print'!F60&gt;0,'HP Print'!A60,0)</f>
        <v>0</v>
      </c>
      <c r="D598" s="152">
        <f>IF(C598='HP Print'!A60,'HP Print'!C60,0)</f>
        <v>0</v>
      </c>
      <c r="E598" s="157">
        <f>IF(C598='HP Print'!A60,'HP Print'!D60,0)</f>
        <v>0</v>
      </c>
      <c r="F598" s="151">
        <f>'HP Print'!F60</f>
        <v>0</v>
      </c>
      <c r="G598" s="274">
        <f t="shared" si="12"/>
        <v>0</v>
      </c>
      <c r="J598" s="199"/>
      <c r="K598" s="199"/>
    </row>
    <row r="599" spans="2:11">
      <c r="B599" s="151" t="s">
        <v>7</v>
      </c>
      <c r="C599" s="151">
        <f>IF(HPE!F11&gt;0,HPE!A11,0)</f>
        <v>0</v>
      </c>
      <c r="D599" s="152">
        <f>IF(C599=HPE!A11,HPE!C11,0)</f>
        <v>0</v>
      </c>
      <c r="E599" s="157">
        <f>IF(C599=HPE!A11,HPE!D11,0)</f>
        <v>0</v>
      </c>
      <c r="F599" s="153">
        <f>HPE!F11</f>
        <v>0</v>
      </c>
      <c r="G599" s="274">
        <f t="shared" ref="G599" si="13">F599*E599</f>
        <v>0</v>
      </c>
      <c r="J599" s="199"/>
      <c r="K599" s="199"/>
    </row>
    <row r="600" spans="2:11">
      <c r="B600" s="151" t="s">
        <v>7</v>
      </c>
      <c r="C600" s="151">
        <f>IF(HPE!F12&gt;0,HPE!A12,0)</f>
        <v>0</v>
      </c>
      <c r="D600" s="152">
        <f>IF(C600=HPE!A12,HPE!C12,0)</f>
        <v>0</v>
      </c>
      <c r="E600" s="157">
        <f>IF(C600=HPE!A12,HPE!D12,0)</f>
        <v>0</v>
      </c>
      <c r="F600" s="153">
        <f>HPE!F12</f>
        <v>0</v>
      </c>
      <c r="G600" s="274">
        <f t="shared" ref="G600:G643" si="14">F600*E600</f>
        <v>0</v>
      </c>
      <c r="J600" s="199"/>
      <c r="K600" s="199"/>
    </row>
    <row r="601" spans="2:11">
      <c r="B601" s="151" t="s">
        <v>7</v>
      </c>
      <c r="C601" s="151">
        <f>IF(HPE!F13&gt;0,HPE!A13,0)</f>
        <v>0</v>
      </c>
      <c r="D601" s="152">
        <f>IF(C601=HPE!A13,HPE!C13,0)</f>
        <v>0</v>
      </c>
      <c r="E601" s="157">
        <f>IF(C601=HPE!A13,HPE!D13,0)</f>
        <v>0</v>
      </c>
      <c r="F601" s="153">
        <f>HPE!F13</f>
        <v>0</v>
      </c>
      <c r="G601" s="274">
        <f t="shared" si="14"/>
        <v>0</v>
      </c>
      <c r="J601" s="199"/>
      <c r="K601" s="199"/>
    </row>
    <row r="602" spans="2:11">
      <c r="B602" s="151" t="s">
        <v>7</v>
      </c>
      <c r="C602" s="151">
        <f>IF(HPE!F14&gt;0,HPE!A14,0)</f>
        <v>0</v>
      </c>
      <c r="D602" s="152">
        <f>IF(C602=HPE!A14,HPE!C14,0)</f>
        <v>0</v>
      </c>
      <c r="E602" s="157">
        <f>IF(C602=HPE!A14,HPE!D14,0)</f>
        <v>0</v>
      </c>
      <c r="F602" s="153">
        <f>HPE!F14</f>
        <v>0</v>
      </c>
      <c r="G602" s="274">
        <f t="shared" si="14"/>
        <v>0</v>
      </c>
      <c r="J602" s="199"/>
      <c r="K602" s="199"/>
    </row>
    <row r="603" spans="2:11">
      <c r="B603" s="151" t="s">
        <v>7</v>
      </c>
      <c r="C603" s="151">
        <f>IF(HPE!F15&gt;0,HPE!A15,0)</f>
        <v>0</v>
      </c>
      <c r="D603" s="152">
        <f>IF(C603=HPE!A15,HPE!C15,0)</f>
        <v>0</v>
      </c>
      <c r="E603" s="157">
        <f>IF(C603=HPE!A15,HPE!D15,0)</f>
        <v>0</v>
      </c>
      <c r="F603" s="153">
        <f>HPE!F15</f>
        <v>0</v>
      </c>
      <c r="G603" s="274">
        <f t="shared" si="14"/>
        <v>0</v>
      </c>
      <c r="J603" s="199"/>
      <c r="K603" s="199"/>
    </row>
    <row r="604" spans="2:11">
      <c r="B604" s="151" t="s">
        <v>7</v>
      </c>
      <c r="C604" s="151">
        <f>IF(HPE!F16&gt;0,HPE!A16,0)</f>
        <v>0</v>
      </c>
      <c r="D604" s="152">
        <f>IF(C604=HPE!A16,HPE!C16,0)</f>
        <v>0</v>
      </c>
      <c r="E604" s="157">
        <f>IF(C604=HPE!A16,HPE!D16,0)</f>
        <v>0</v>
      </c>
      <c r="F604" s="153">
        <f>HPE!F16</f>
        <v>0</v>
      </c>
      <c r="G604" s="274">
        <f t="shared" si="14"/>
        <v>0</v>
      </c>
      <c r="J604" s="199"/>
      <c r="K604" s="199"/>
    </row>
    <row r="605" spans="2:11">
      <c r="B605" s="151" t="s">
        <v>7</v>
      </c>
      <c r="C605" s="151">
        <f>IF(HPE!F17&gt;0,HPE!A17,0)</f>
        <v>0</v>
      </c>
      <c r="D605" s="152">
        <f>IF(C605=HPE!A17,HPE!C17,0)</f>
        <v>0</v>
      </c>
      <c r="E605" s="157">
        <f>IF(C605=HPE!A17,HPE!D17,0)</f>
        <v>0</v>
      </c>
      <c r="F605" s="153">
        <f>HPE!F17</f>
        <v>0</v>
      </c>
      <c r="G605" s="274">
        <f t="shared" si="14"/>
        <v>0</v>
      </c>
      <c r="J605" s="199"/>
      <c r="K605" s="199"/>
    </row>
    <row r="606" spans="2:11">
      <c r="B606" s="151" t="s">
        <v>7</v>
      </c>
      <c r="C606" s="151">
        <f>IF(HPE!F18&gt;0,HPE!A18,0)</f>
        <v>0</v>
      </c>
      <c r="D606" s="152">
        <f>IF(C606=HPE!A18,HPE!C18,0)</f>
        <v>0</v>
      </c>
      <c r="E606" s="157">
        <f>IF(C606=HPE!A18,HPE!D18,0)</f>
        <v>0</v>
      </c>
      <c r="F606" s="153">
        <f>HPE!F18</f>
        <v>0</v>
      </c>
      <c r="G606" s="274">
        <f t="shared" si="14"/>
        <v>0</v>
      </c>
      <c r="J606" s="199"/>
      <c r="K606" s="199"/>
    </row>
    <row r="607" spans="2:11">
      <c r="B607" s="151" t="s">
        <v>7</v>
      </c>
      <c r="C607" s="151">
        <f>IF(HPE!F19&gt;0,HPE!A19,0)</f>
        <v>0</v>
      </c>
      <c r="D607" s="152">
        <f>IF(C607=HPE!A19,HPE!C19,0)</f>
        <v>0</v>
      </c>
      <c r="E607" s="157">
        <f>IF(C607=HPE!A19,HPE!D19,0)</f>
        <v>0</v>
      </c>
      <c r="F607" s="153">
        <f>HPE!F19</f>
        <v>0</v>
      </c>
      <c r="G607" s="274">
        <f t="shared" si="14"/>
        <v>0</v>
      </c>
      <c r="J607" s="199"/>
      <c r="K607" s="199"/>
    </row>
    <row r="608" spans="2:11">
      <c r="B608" s="151" t="s">
        <v>7</v>
      </c>
      <c r="C608" s="151">
        <f>IF(HPE!F20&gt;0,HPE!A20,0)</f>
        <v>0</v>
      </c>
      <c r="D608" s="152">
        <f>IF(C608=HPE!A20,HPE!C20,0)</f>
        <v>0</v>
      </c>
      <c r="E608" s="157">
        <f>IF(C608=HPE!A20,HPE!D20,0)</f>
        <v>0</v>
      </c>
      <c r="F608" s="153">
        <f>HPE!F20</f>
        <v>0</v>
      </c>
      <c r="G608" s="274">
        <f t="shared" si="14"/>
        <v>0</v>
      </c>
      <c r="J608" s="199"/>
      <c r="K608" s="199"/>
    </row>
    <row r="609" spans="2:11">
      <c r="B609" s="151" t="s">
        <v>7</v>
      </c>
      <c r="C609" s="151">
        <f>IF(HPE!F21&gt;0,HPE!A21,0)</f>
        <v>0</v>
      </c>
      <c r="D609" s="152">
        <f>IF(C609=HPE!A21,HPE!C21,0)</f>
        <v>0</v>
      </c>
      <c r="E609" s="157">
        <f>IF(C609=HPE!A21,HPE!D21,0)</f>
        <v>0</v>
      </c>
      <c r="F609" s="153">
        <f>HPE!F21</f>
        <v>0</v>
      </c>
      <c r="G609" s="274">
        <f t="shared" si="14"/>
        <v>0</v>
      </c>
      <c r="J609" s="199"/>
      <c r="K609" s="199"/>
    </row>
    <row r="610" spans="2:11">
      <c r="B610" s="151" t="s">
        <v>7</v>
      </c>
      <c r="C610" s="151">
        <f>IF(HPE!F22&gt;0,HPE!A22,0)</f>
        <v>0</v>
      </c>
      <c r="D610" s="152">
        <f>IF(C610=HPE!A22,HPE!C22,0)</f>
        <v>0</v>
      </c>
      <c r="E610" s="157">
        <f>IF(C610=HPE!A22,HPE!D22,0)</f>
        <v>0</v>
      </c>
      <c r="F610" s="153">
        <f>HPE!F22</f>
        <v>0</v>
      </c>
      <c r="G610" s="274">
        <f t="shared" si="14"/>
        <v>0</v>
      </c>
      <c r="J610" s="199"/>
      <c r="K610" s="199"/>
    </row>
    <row r="611" spans="2:11">
      <c r="B611" s="151" t="s">
        <v>7</v>
      </c>
      <c r="C611" s="151">
        <f>IF(HPE!F23&gt;0,HPE!A23,0)</f>
        <v>0</v>
      </c>
      <c r="D611" s="152">
        <f>IF(C611=HPE!A23,HPE!C23,0)</f>
        <v>0</v>
      </c>
      <c r="E611" s="157">
        <f>IF(C611=HPE!A23,HPE!D23,0)</f>
        <v>0</v>
      </c>
      <c r="F611" s="153">
        <f>HPE!F23</f>
        <v>0</v>
      </c>
      <c r="G611" s="274">
        <f t="shared" si="14"/>
        <v>0</v>
      </c>
      <c r="J611" s="199"/>
      <c r="K611" s="199"/>
    </row>
    <row r="612" spans="2:11">
      <c r="B612" s="151" t="s">
        <v>7</v>
      </c>
      <c r="C612" s="151">
        <f>IF(HPE!F24&gt;0,HPE!A24,0)</f>
        <v>0</v>
      </c>
      <c r="D612" s="152">
        <f>IF(C612=HPE!A24,HPE!C24,0)</f>
        <v>0</v>
      </c>
      <c r="E612" s="157">
        <f>IF(C612=HPE!A24,HPE!D24,0)</f>
        <v>0</v>
      </c>
      <c r="F612" s="153">
        <f>HPE!F24</f>
        <v>0</v>
      </c>
      <c r="G612" s="274">
        <f t="shared" si="14"/>
        <v>0</v>
      </c>
      <c r="J612" s="199"/>
      <c r="K612" s="199"/>
    </row>
    <row r="613" spans="2:11">
      <c r="B613" s="151" t="s">
        <v>7</v>
      </c>
      <c r="C613" s="151">
        <f>IF(HPE!F25&gt;0,HPE!A25,0)</f>
        <v>0</v>
      </c>
      <c r="D613" s="152">
        <f>IF(C613=HPE!A25,HPE!C25,0)</f>
        <v>0</v>
      </c>
      <c r="E613" s="157">
        <f>IF(C613=HPE!A25,HPE!D25,0)</f>
        <v>0</v>
      </c>
      <c r="F613" s="153">
        <f>HPE!F25</f>
        <v>0</v>
      </c>
      <c r="G613" s="274">
        <f t="shared" si="14"/>
        <v>0</v>
      </c>
      <c r="J613" s="199"/>
      <c r="K613" s="199"/>
    </row>
    <row r="614" spans="2:11">
      <c r="B614" s="151" t="s">
        <v>7</v>
      </c>
      <c r="C614" s="151">
        <f>IF(HPE!F26&gt;0,HPE!A26,0)</f>
        <v>0</v>
      </c>
      <c r="D614" s="152">
        <f>IF(C614=HPE!A26,HPE!C26,0)</f>
        <v>0</v>
      </c>
      <c r="E614" s="157">
        <f>IF(C614=HPE!A26,HPE!D26,0)</f>
        <v>0</v>
      </c>
      <c r="F614" s="153">
        <f>HPE!F26</f>
        <v>0</v>
      </c>
      <c r="G614" s="274">
        <f t="shared" si="14"/>
        <v>0</v>
      </c>
      <c r="J614" s="199"/>
      <c r="K614" s="199"/>
    </row>
    <row r="615" spans="2:11">
      <c r="B615" s="151" t="s">
        <v>7</v>
      </c>
      <c r="C615" s="151">
        <f>IF(HPE!F27&gt;0,HPE!A27,0)</f>
        <v>0</v>
      </c>
      <c r="D615" s="152">
        <f>IF(C615=HPE!A27,HPE!C27,0)</f>
        <v>0</v>
      </c>
      <c r="E615" s="157">
        <f>IF(C615=HPE!A27,HPE!D27,0)</f>
        <v>0</v>
      </c>
      <c r="F615" s="153">
        <f>HPE!F27</f>
        <v>0</v>
      </c>
      <c r="G615" s="274">
        <f t="shared" si="14"/>
        <v>0</v>
      </c>
      <c r="J615" s="199"/>
      <c r="K615" s="199"/>
    </row>
    <row r="616" spans="2:11">
      <c r="B616" s="151" t="s">
        <v>7</v>
      </c>
      <c r="C616" s="151">
        <f>IF(HPE!F28&gt;0,HPE!A28,0)</f>
        <v>0</v>
      </c>
      <c r="D616" s="152">
        <f>IF(C616=HPE!A28,HPE!C28,0)</f>
        <v>0</v>
      </c>
      <c r="E616" s="157">
        <f>IF(C616=HPE!A28,HPE!D28,0)</f>
        <v>0</v>
      </c>
      <c r="F616" s="153">
        <f>HPE!F28</f>
        <v>0</v>
      </c>
      <c r="G616" s="274">
        <f t="shared" si="14"/>
        <v>0</v>
      </c>
      <c r="J616" s="199"/>
      <c r="K616" s="199"/>
    </row>
    <row r="617" spans="2:11">
      <c r="B617" s="151" t="s">
        <v>7</v>
      </c>
      <c r="C617" s="151">
        <f>IF(HPE!F29&gt;0,HPE!A29,0)</f>
        <v>0</v>
      </c>
      <c r="D617" s="152">
        <f>IF(C617=HPE!A29,HPE!C29,0)</f>
        <v>0</v>
      </c>
      <c r="E617" s="157">
        <f>IF(C617=HPE!A29,HPE!D29,0)</f>
        <v>0</v>
      </c>
      <c r="F617" s="153">
        <f>HPE!F29</f>
        <v>0</v>
      </c>
      <c r="G617" s="274">
        <f t="shared" si="14"/>
        <v>0</v>
      </c>
      <c r="J617" s="199"/>
      <c r="K617" s="199"/>
    </row>
    <row r="618" spans="2:11">
      <c r="B618" s="151" t="s">
        <v>7</v>
      </c>
      <c r="C618" s="151">
        <f>IF(HPE!F30&gt;0,HPE!A30,0)</f>
        <v>0</v>
      </c>
      <c r="D618" s="152">
        <f>IF(C618=HPE!A30,HPE!C30,0)</f>
        <v>0</v>
      </c>
      <c r="E618" s="157">
        <f>IF(C618=HPE!A30,HPE!D30,0)</f>
        <v>0</v>
      </c>
      <c r="F618" s="153">
        <f>HPE!F30</f>
        <v>0</v>
      </c>
      <c r="G618" s="274">
        <f t="shared" si="14"/>
        <v>0</v>
      </c>
      <c r="J618" s="199"/>
      <c r="K618" s="199"/>
    </row>
    <row r="619" spans="2:11">
      <c r="B619" s="151" t="s">
        <v>7</v>
      </c>
      <c r="C619" s="151">
        <f>IF(HPE!F31&gt;0,HPE!A31,0)</f>
        <v>0</v>
      </c>
      <c r="D619" s="152">
        <f>IF(C619=HPE!A31,HPE!C31,0)</f>
        <v>0</v>
      </c>
      <c r="E619" s="157">
        <f>IF(C619=HPE!A31,HPE!D31,0)</f>
        <v>0</v>
      </c>
      <c r="F619" s="153">
        <f>HPE!F31</f>
        <v>0</v>
      </c>
      <c r="G619" s="274">
        <f t="shared" si="14"/>
        <v>0</v>
      </c>
      <c r="J619" s="199"/>
      <c r="K619" s="199"/>
    </row>
    <row r="620" spans="2:11">
      <c r="B620" s="151" t="s">
        <v>7</v>
      </c>
      <c r="C620" s="151">
        <f>IF(HPE!F32&gt;0,HPE!A32,0)</f>
        <v>0</v>
      </c>
      <c r="D620" s="152">
        <f>IF(C620=HPE!A32,HPE!C32,0)</f>
        <v>0</v>
      </c>
      <c r="E620" s="157">
        <f>IF(C620=HPE!A32,HPE!D32,0)</f>
        <v>0</v>
      </c>
      <c r="F620" s="153">
        <f>HPE!F32</f>
        <v>0</v>
      </c>
      <c r="G620" s="274">
        <f t="shared" si="14"/>
        <v>0</v>
      </c>
      <c r="J620" s="199"/>
      <c r="K620" s="199"/>
    </row>
    <row r="621" spans="2:11">
      <c r="B621" s="151" t="s">
        <v>7</v>
      </c>
      <c r="C621" s="151">
        <f>IF(HPE!F33&gt;0,HPE!A33,0)</f>
        <v>0</v>
      </c>
      <c r="D621" s="152">
        <f>IF(C621=HPE!A33,HPE!C33,0)</f>
        <v>0</v>
      </c>
      <c r="E621" s="157">
        <f>IF(C621=HPE!A33,HPE!D33,0)</f>
        <v>0</v>
      </c>
      <c r="F621" s="153">
        <f>HPE!F33</f>
        <v>0</v>
      </c>
      <c r="G621" s="274">
        <f t="shared" si="14"/>
        <v>0</v>
      </c>
      <c r="J621" s="199"/>
      <c r="K621" s="199"/>
    </row>
    <row r="622" spans="2:11">
      <c r="B622" s="151" t="s">
        <v>7</v>
      </c>
      <c r="C622" s="151">
        <f>IF(HPE!F34&gt;0,HPE!A34,0)</f>
        <v>0</v>
      </c>
      <c r="D622" s="152">
        <f>IF(C622=HPE!A34,HPE!C34,0)</f>
        <v>0</v>
      </c>
      <c r="E622" s="157">
        <f>IF(C622=HPE!A34,HPE!D34,0)</f>
        <v>0</v>
      </c>
      <c r="F622" s="153">
        <f>HPE!F34</f>
        <v>0</v>
      </c>
      <c r="G622" s="274">
        <f t="shared" si="14"/>
        <v>0</v>
      </c>
      <c r="J622" s="199"/>
      <c r="K622" s="199"/>
    </row>
    <row r="623" spans="2:11">
      <c r="B623" s="151" t="s">
        <v>7</v>
      </c>
      <c r="C623" s="151">
        <f>IF(HPE!F35&gt;0,HPE!A35,0)</f>
        <v>0</v>
      </c>
      <c r="D623" s="152">
        <f>IF(C623=HPE!A35,HPE!C35,0)</f>
        <v>0</v>
      </c>
      <c r="E623" s="157">
        <f>IF(C623=HPE!A35,HPE!D35,0)</f>
        <v>0</v>
      </c>
      <c r="F623" s="153">
        <f>HPE!F35</f>
        <v>0</v>
      </c>
      <c r="G623" s="274">
        <f t="shared" si="14"/>
        <v>0</v>
      </c>
      <c r="J623" s="199"/>
      <c r="K623" s="199"/>
    </row>
    <row r="624" spans="2:11">
      <c r="B624" s="151" t="s">
        <v>7</v>
      </c>
      <c r="C624" s="151">
        <f>IF(HPE!F36&gt;0,HPE!A36,0)</f>
        <v>0</v>
      </c>
      <c r="D624" s="152">
        <f>IF(C624=HPE!A36,HPE!C36,0)</f>
        <v>0</v>
      </c>
      <c r="E624" s="157">
        <f>IF(C624=HPE!A36,HPE!D36,0)</f>
        <v>0</v>
      </c>
      <c r="F624" s="153">
        <f>HPE!F36</f>
        <v>0</v>
      </c>
      <c r="G624" s="274">
        <f t="shared" si="14"/>
        <v>0</v>
      </c>
      <c r="J624" s="199"/>
      <c r="K624" s="199"/>
    </row>
    <row r="625" spans="2:11">
      <c r="B625" s="151" t="s">
        <v>7</v>
      </c>
      <c r="C625" s="151">
        <f>IF(HPE!F37&gt;0,HPE!A37,0)</f>
        <v>0</v>
      </c>
      <c r="D625" s="152">
        <f>IF(C625=HPE!A37,HPE!C37,0)</f>
        <v>0</v>
      </c>
      <c r="E625" s="157">
        <f>IF(C625=HPE!A37,HPE!D37,0)</f>
        <v>0</v>
      </c>
      <c r="F625" s="153">
        <f>HPE!F37</f>
        <v>0</v>
      </c>
      <c r="G625" s="274">
        <f t="shared" si="14"/>
        <v>0</v>
      </c>
      <c r="J625" s="199"/>
      <c r="K625" s="199"/>
    </row>
    <row r="626" spans="2:11">
      <c r="B626" s="151" t="s">
        <v>7</v>
      </c>
      <c r="C626" s="151">
        <f>IF(HPE!F38&gt;0,HPE!A38,0)</f>
        <v>0</v>
      </c>
      <c r="D626" s="152">
        <f>IF(C626=HPE!A38,HPE!C38,0)</f>
        <v>0</v>
      </c>
      <c r="E626" s="157">
        <f>IF(C626=HPE!A38,HPE!D38,0)</f>
        <v>0</v>
      </c>
      <c r="F626" s="153">
        <f>HPE!F38</f>
        <v>0</v>
      </c>
      <c r="G626" s="274">
        <f t="shared" si="14"/>
        <v>0</v>
      </c>
      <c r="J626" s="199"/>
      <c r="K626" s="199"/>
    </row>
    <row r="627" spans="2:11">
      <c r="B627" s="151" t="s">
        <v>7</v>
      </c>
      <c r="C627" s="151">
        <f>IF(HPE!F39&gt;0,HPE!A39,0)</f>
        <v>0</v>
      </c>
      <c r="D627" s="152">
        <f>IF(C627=HPE!A39,HPE!C39,0)</f>
        <v>0</v>
      </c>
      <c r="E627" s="157">
        <f>IF(C627=HPE!A39,HPE!D39,0)</f>
        <v>0</v>
      </c>
      <c r="F627" s="153">
        <f>HPE!F39</f>
        <v>0</v>
      </c>
      <c r="G627" s="274">
        <f t="shared" si="14"/>
        <v>0</v>
      </c>
      <c r="J627" s="199"/>
      <c r="K627" s="199"/>
    </row>
    <row r="628" spans="2:11">
      <c r="B628" s="151" t="s">
        <v>7</v>
      </c>
      <c r="C628" s="151">
        <f>IF(HPE!F40&gt;0,HPE!A40,0)</f>
        <v>0</v>
      </c>
      <c r="D628" s="152">
        <f>IF(C628=HPE!A40,HPE!C40,0)</f>
        <v>0</v>
      </c>
      <c r="E628" s="157">
        <f>IF(C628=HPE!A40,HPE!D40,0)</f>
        <v>0</v>
      </c>
      <c r="F628" s="153">
        <f>HPE!F40</f>
        <v>0</v>
      </c>
      <c r="G628" s="274">
        <f t="shared" si="14"/>
        <v>0</v>
      </c>
      <c r="J628" s="199"/>
      <c r="K628" s="199"/>
    </row>
    <row r="629" spans="2:11">
      <c r="B629" s="151" t="s">
        <v>7</v>
      </c>
      <c r="C629" s="151">
        <f>IF(HPE!F41&gt;0,HPE!A41,0)</f>
        <v>0</v>
      </c>
      <c r="D629" s="152">
        <f>IF(C629=HPE!A41,HPE!C41,0)</f>
        <v>0</v>
      </c>
      <c r="E629" s="157">
        <f>IF(C629=HPE!A41,HPE!D41,0)</f>
        <v>0</v>
      </c>
      <c r="F629" s="153">
        <f>HPE!F41</f>
        <v>0</v>
      </c>
      <c r="G629" s="274">
        <f t="shared" si="14"/>
        <v>0</v>
      </c>
      <c r="J629" s="199"/>
      <c r="K629" s="199"/>
    </row>
    <row r="630" spans="2:11">
      <c r="B630" s="151" t="s">
        <v>7</v>
      </c>
      <c r="C630" s="151">
        <f>IF(HPE!F42&gt;0,HPE!A42,0)</f>
        <v>0</v>
      </c>
      <c r="D630" s="152">
        <f>IF(C630=HPE!A42,HPE!C42,0)</f>
        <v>0</v>
      </c>
      <c r="E630" s="157">
        <f>IF(C630=HPE!A42,HPE!D42,0)</f>
        <v>0</v>
      </c>
      <c r="F630" s="153">
        <f>HPE!F42</f>
        <v>0</v>
      </c>
      <c r="G630" s="274">
        <f t="shared" si="14"/>
        <v>0</v>
      </c>
      <c r="J630" s="199"/>
      <c r="K630" s="199"/>
    </row>
    <row r="631" spans="2:11">
      <c r="B631" s="151" t="s">
        <v>7</v>
      </c>
      <c r="C631" s="151">
        <f>IF(HPE!F43&gt;0,HPE!A43,0)</f>
        <v>0</v>
      </c>
      <c r="D631" s="152">
        <f>IF(C631=HPE!A43,HPE!C43,0)</f>
        <v>0</v>
      </c>
      <c r="E631" s="157">
        <f>IF(C631=HPE!A43,HPE!D43,0)</f>
        <v>0</v>
      </c>
      <c r="F631" s="153">
        <f>HPE!F43</f>
        <v>0</v>
      </c>
      <c r="G631" s="274">
        <f t="shared" si="14"/>
        <v>0</v>
      </c>
      <c r="J631" s="199"/>
      <c r="K631" s="199"/>
    </row>
    <row r="632" spans="2:11">
      <c r="B632" s="151" t="s">
        <v>7</v>
      </c>
      <c r="C632" s="151">
        <f>IF(HPE!F44&gt;0,HPE!A44,0)</f>
        <v>0</v>
      </c>
      <c r="D632" s="152">
        <f>IF(C632=HPE!A44,HPE!C44,0)</f>
        <v>0</v>
      </c>
      <c r="E632" s="157">
        <f>IF(C632=HPE!A44,HPE!D44,0)</f>
        <v>0</v>
      </c>
      <c r="F632" s="153">
        <f>HPE!F44</f>
        <v>0</v>
      </c>
      <c r="G632" s="274">
        <f t="shared" si="14"/>
        <v>0</v>
      </c>
      <c r="J632" s="199"/>
      <c r="K632" s="199"/>
    </row>
    <row r="633" spans="2:11">
      <c r="B633" s="151" t="s">
        <v>7</v>
      </c>
      <c r="C633" s="151">
        <f>IF(HPE!F45&gt;0,HPE!A45,0)</f>
        <v>0</v>
      </c>
      <c r="D633" s="152">
        <f>IF(C633=HPE!A45,HPE!C45,0)</f>
        <v>0</v>
      </c>
      <c r="E633" s="157">
        <f>IF(C633=HPE!A45,HPE!D45,0)</f>
        <v>0</v>
      </c>
      <c r="F633" s="153">
        <f>HPE!F45</f>
        <v>0</v>
      </c>
      <c r="G633" s="274">
        <f t="shared" si="14"/>
        <v>0</v>
      </c>
      <c r="J633" s="199"/>
      <c r="K633" s="199"/>
    </row>
    <row r="634" spans="2:11">
      <c r="B634" s="151" t="s">
        <v>7</v>
      </c>
      <c r="C634" s="151">
        <f>IF(HPE!F46&gt;0,HPE!A46,0)</f>
        <v>0</v>
      </c>
      <c r="D634" s="152">
        <f>IF(C634=HPE!A46,HPE!C46,0)</f>
        <v>0</v>
      </c>
      <c r="E634" s="157">
        <f>IF(C634=HPE!A46,HPE!D46,0)</f>
        <v>0</v>
      </c>
      <c r="F634" s="153">
        <f>HPE!F46</f>
        <v>0</v>
      </c>
      <c r="G634" s="274">
        <f t="shared" si="14"/>
        <v>0</v>
      </c>
      <c r="J634" s="199"/>
      <c r="K634" s="199"/>
    </row>
    <row r="635" spans="2:11">
      <c r="B635" s="151" t="s">
        <v>7</v>
      </c>
      <c r="C635" s="151">
        <f>IF(HPE!F47&gt;0,HPE!A47,0)</f>
        <v>0</v>
      </c>
      <c r="D635" s="152">
        <f>IF(C635=HPE!A47,HPE!C47,0)</f>
        <v>0</v>
      </c>
      <c r="E635" s="157">
        <f>IF(C635=HPE!A47,HPE!D47,0)</f>
        <v>0</v>
      </c>
      <c r="F635" s="153">
        <f>HPE!F47</f>
        <v>0</v>
      </c>
      <c r="G635" s="274">
        <f t="shared" si="14"/>
        <v>0</v>
      </c>
      <c r="J635" s="199"/>
      <c r="K635" s="199"/>
    </row>
    <row r="636" spans="2:11">
      <c r="B636" s="151" t="s">
        <v>7</v>
      </c>
      <c r="C636" s="151">
        <f>IF(HPE!F48&gt;0,HPE!A48,0)</f>
        <v>0</v>
      </c>
      <c r="D636" s="152">
        <f>IF(C636=HPE!A48,HPE!C48,0)</f>
        <v>0</v>
      </c>
      <c r="E636" s="157">
        <f>IF(C636=HPE!A48,HPE!D48,0)</f>
        <v>0</v>
      </c>
      <c r="F636" s="153">
        <f>HPE!F48</f>
        <v>0</v>
      </c>
      <c r="G636" s="274">
        <f t="shared" si="14"/>
        <v>0</v>
      </c>
      <c r="J636" s="199"/>
      <c r="K636" s="199"/>
    </row>
    <row r="637" spans="2:11">
      <c r="B637" s="151" t="s">
        <v>7</v>
      </c>
      <c r="C637" s="151">
        <f>IF(HPE!F49&gt;0,HPE!A49,0)</f>
        <v>0</v>
      </c>
      <c r="D637" s="152">
        <f>IF(C637=HPE!A49,HPE!C49,0)</f>
        <v>0</v>
      </c>
      <c r="E637" s="157">
        <f>IF(C637=HPE!A49,HPE!D49,0)</f>
        <v>0</v>
      </c>
      <c r="F637" s="153">
        <f>HPE!F49</f>
        <v>0</v>
      </c>
      <c r="G637" s="274">
        <f t="shared" si="14"/>
        <v>0</v>
      </c>
      <c r="J637" s="199"/>
      <c r="K637" s="199"/>
    </row>
    <row r="638" spans="2:11">
      <c r="B638" s="151" t="s">
        <v>7</v>
      </c>
      <c r="C638" s="151">
        <f>IF(HPE!F50&gt;0,HPE!A50,0)</f>
        <v>0</v>
      </c>
      <c r="D638" s="152">
        <f>IF(C638=HPE!A50,HPE!C50,0)</f>
        <v>0</v>
      </c>
      <c r="E638" s="157">
        <f>IF(C638=HPE!A50,HPE!D50,0)</f>
        <v>0</v>
      </c>
      <c r="F638" s="153">
        <f>HPE!F50</f>
        <v>0</v>
      </c>
      <c r="G638" s="274">
        <f t="shared" si="14"/>
        <v>0</v>
      </c>
      <c r="J638" s="199"/>
      <c r="K638" s="199"/>
    </row>
    <row r="639" spans="2:11">
      <c r="B639" s="151" t="s">
        <v>7</v>
      </c>
      <c r="C639" s="151">
        <f>IF(HPE!F51&gt;0,HPE!A51,0)</f>
        <v>0</v>
      </c>
      <c r="D639" s="152">
        <f>IF(C639=HPE!A51,HPE!C51,0)</f>
        <v>0</v>
      </c>
      <c r="E639" s="157">
        <f>IF(C639=HPE!A51,HPE!D51,0)</f>
        <v>0</v>
      </c>
      <c r="F639" s="153">
        <f>HPE!F51</f>
        <v>0</v>
      </c>
      <c r="G639" s="274">
        <f t="shared" si="14"/>
        <v>0</v>
      </c>
      <c r="J639" s="199"/>
      <c r="K639" s="199"/>
    </row>
    <row r="640" spans="2:11">
      <c r="B640" s="151" t="s">
        <v>7</v>
      </c>
      <c r="C640" s="151">
        <f>IF(HPE!F52&gt;0,HPE!A52,0)</f>
        <v>0</v>
      </c>
      <c r="D640" s="152">
        <f>IF(C640=HPE!A52,HPE!C52,0)</f>
        <v>0</v>
      </c>
      <c r="E640" s="157">
        <f>IF(C640=HPE!A52,HPE!D52,0)</f>
        <v>0</v>
      </c>
      <c r="F640" s="153">
        <f>HPE!F52</f>
        <v>0</v>
      </c>
      <c r="G640" s="274">
        <f t="shared" si="14"/>
        <v>0</v>
      </c>
      <c r="J640" s="199"/>
      <c r="K640" s="199"/>
    </row>
    <row r="641" spans="2:13">
      <c r="B641" s="151" t="s">
        <v>7</v>
      </c>
      <c r="C641" s="151">
        <f>IF(HPE!F53&gt;0,HPE!A53,0)</f>
        <v>0</v>
      </c>
      <c r="D641" s="152">
        <f>IF(C641=HPE!A53,HPE!C53,0)</f>
        <v>0</v>
      </c>
      <c r="E641" s="157">
        <f>IF(C641=HPE!A53,HPE!D53,0)</f>
        <v>0</v>
      </c>
      <c r="F641" s="153">
        <f>HPE!F53</f>
        <v>0</v>
      </c>
      <c r="G641" s="274">
        <f t="shared" si="14"/>
        <v>0</v>
      </c>
      <c r="J641" s="199"/>
      <c r="K641" s="199"/>
    </row>
    <row r="642" spans="2:13">
      <c r="B642" s="151" t="s">
        <v>7</v>
      </c>
      <c r="C642" s="151">
        <f>IF(HPE!F54&gt;0,HPE!A54,0)</f>
        <v>0</v>
      </c>
      <c r="D642" s="152">
        <f>IF(C642=HPE!A54,HPE!C54,0)</f>
        <v>0</v>
      </c>
      <c r="E642" s="157">
        <f>IF(C642=HPE!A54,HPE!D54,0)</f>
        <v>0</v>
      </c>
      <c r="F642" s="153">
        <f>HPE!F54</f>
        <v>0</v>
      </c>
      <c r="G642" s="274">
        <f t="shared" si="14"/>
        <v>0</v>
      </c>
      <c r="J642" s="199"/>
      <c r="K642" s="199"/>
    </row>
    <row r="643" spans="2:13">
      <c r="B643" s="151" t="s">
        <v>7</v>
      </c>
      <c r="C643" s="151">
        <f>IF(HPE!F55&gt;0,HPE!A55,0)</f>
        <v>0</v>
      </c>
      <c r="D643" s="152">
        <f>IF(C643=HPE!A55,HPE!C55,0)</f>
        <v>0</v>
      </c>
      <c r="E643" s="157">
        <f>IF(C643=HPE!A55,HPE!D55,0)</f>
        <v>0</v>
      </c>
      <c r="F643" s="153">
        <f>HPE!F55</f>
        <v>0</v>
      </c>
      <c r="G643" s="274">
        <f t="shared" si="14"/>
        <v>0</v>
      </c>
      <c r="J643" s="199"/>
      <c r="K643" s="199"/>
    </row>
    <row r="644" spans="2:13">
      <c r="B644" s="151" t="s">
        <v>133</v>
      </c>
      <c r="C644" s="151">
        <f>IF(Lenovo!F11&gt;0,Lenovo!A11,0)</f>
        <v>0</v>
      </c>
      <c r="D644" s="152">
        <f>IF(C644=Lenovo!A11,Lenovo!C11,0)</f>
        <v>0</v>
      </c>
      <c r="E644" s="157">
        <f>IF(C644=Lenovo!A11,Lenovo!D11,0)</f>
        <v>0</v>
      </c>
      <c r="F644" s="153">
        <f>Lenovo!F11</f>
        <v>0</v>
      </c>
      <c r="G644" s="274">
        <f>F644*E644</f>
        <v>0</v>
      </c>
      <c r="J644" s="199"/>
      <c r="K644" s="199"/>
    </row>
    <row r="645" spans="2:13">
      <c r="B645" s="151" t="s">
        <v>133</v>
      </c>
      <c r="C645" s="151">
        <f>IF(Lenovo!F14&gt;0,Lenovo!A14,0)</f>
        <v>0</v>
      </c>
      <c r="D645" s="152">
        <f>IF(C645=Lenovo!A14,Lenovo!C14,0)</f>
        <v>0</v>
      </c>
      <c r="E645" s="157">
        <f>IF(C645=Lenovo!A14,Lenovo!D14,0)</f>
        <v>0</v>
      </c>
      <c r="F645" s="153">
        <f>Lenovo!F14</f>
        <v>0</v>
      </c>
      <c r="G645" s="274">
        <f t="shared" ref="G645:G704" si="15">F645*E645</f>
        <v>0</v>
      </c>
      <c r="J645" s="199"/>
      <c r="K645" s="199"/>
    </row>
    <row r="646" spans="2:13">
      <c r="B646" s="151" t="s">
        <v>133</v>
      </c>
      <c r="C646" s="151">
        <f>IF(Lenovo!F15&gt;0,Lenovo!A15,0)</f>
        <v>0</v>
      </c>
      <c r="D646" s="152">
        <f>IF(C646=Lenovo!A15,Lenovo!C15,0)</f>
        <v>0</v>
      </c>
      <c r="E646" s="157">
        <f>IF(C646=Lenovo!A15,Lenovo!D15,0)</f>
        <v>0</v>
      </c>
      <c r="F646" s="153">
        <f>Lenovo!F15</f>
        <v>0</v>
      </c>
      <c r="G646" s="274">
        <f t="shared" si="15"/>
        <v>0</v>
      </c>
      <c r="J646" s="199"/>
      <c r="K646" s="199"/>
    </row>
    <row r="647" spans="2:13">
      <c r="B647" s="151" t="s">
        <v>133</v>
      </c>
      <c r="C647" s="151">
        <f>IF(Lenovo!F16&gt;0,Lenovo!A16,0)</f>
        <v>0</v>
      </c>
      <c r="D647" s="152">
        <f>IF(C647=Lenovo!A16,Lenovo!C16,0)</f>
        <v>0</v>
      </c>
      <c r="E647" s="157">
        <f>IF(C647=Lenovo!A16,Lenovo!D16,0)</f>
        <v>0</v>
      </c>
      <c r="F647" s="153">
        <f>Lenovo!F16</f>
        <v>0</v>
      </c>
      <c r="G647" s="274">
        <f t="shared" si="15"/>
        <v>0</v>
      </c>
      <c r="J647" s="199"/>
      <c r="K647" s="199"/>
    </row>
    <row r="648" spans="2:13">
      <c r="B648" s="151" t="s">
        <v>133</v>
      </c>
      <c r="C648" s="151">
        <f>IF(Lenovo!F17&gt;0,Lenovo!A17,0)</f>
        <v>0</v>
      </c>
      <c r="D648" s="152">
        <f>IF(C648=Lenovo!A17,Lenovo!C17,0)</f>
        <v>0</v>
      </c>
      <c r="E648" s="157">
        <f>IF(C648=Lenovo!A17,Lenovo!D17,0)</f>
        <v>0</v>
      </c>
      <c r="F648" s="153">
        <f>Lenovo!F17</f>
        <v>0</v>
      </c>
      <c r="G648" s="274">
        <f t="shared" si="15"/>
        <v>0</v>
      </c>
      <c r="J648" s="199"/>
      <c r="K648" s="199"/>
    </row>
    <row r="649" spans="2:13">
      <c r="B649" s="151" t="s">
        <v>133</v>
      </c>
      <c r="C649" s="151">
        <f>IF(Lenovo!F19&gt;0,Lenovo!A18,0)</f>
        <v>0</v>
      </c>
      <c r="D649" s="152">
        <f>IF(C649=Lenovo!A18,Lenovo!C18,0)</f>
        <v>0</v>
      </c>
      <c r="E649" s="157">
        <f>IF(C649=Lenovo!A18,Lenovo!D18,0)</f>
        <v>0</v>
      </c>
      <c r="F649" s="153">
        <f>Lenovo!F19</f>
        <v>0</v>
      </c>
      <c r="G649" s="274">
        <f t="shared" si="15"/>
        <v>0</v>
      </c>
      <c r="J649" s="199"/>
      <c r="K649" s="199"/>
    </row>
    <row r="650" spans="2:13">
      <c r="B650" s="151" t="s">
        <v>133</v>
      </c>
      <c r="C650" s="151">
        <f>IF(Lenovo!F20&gt;0,Lenovo!A19,0)</f>
        <v>0</v>
      </c>
      <c r="D650" s="152">
        <f>IF(C650=Lenovo!A19,Lenovo!C19,0)</f>
        <v>0</v>
      </c>
      <c r="E650" s="157">
        <f>IF(C650=Lenovo!A19,Lenovo!D19,0)</f>
        <v>0</v>
      </c>
      <c r="F650" s="153">
        <f>Lenovo!F20</f>
        <v>0</v>
      </c>
      <c r="G650" s="274">
        <f t="shared" si="15"/>
        <v>0</v>
      </c>
      <c r="J650" s="199"/>
      <c r="K650" s="199"/>
    </row>
    <row r="651" spans="2:13">
      <c r="B651" s="151" t="s">
        <v>133</v>
      </c>
      <c r="C651" s="151">
        <f>IF(Lenovo!F21&gt;0,Lenovo!A20,0)</f>
        <v>0</v>
      </c>
      <c r="D651" s="152">
        <f>IF(C651=Lenovo!A20,Lenovo!C20,0)</f>
        <v>0</v>
      </c>
      <c r="E651" s="157">
        <f>IF(C651=Lenovo!A20,Lenovo!D20,0)</f>
        <v>0</v>
      </c>
      <c r="F651" s="153">
        <f>Lenovo!F21</f>
        <v>0</v>
      </c>
      <c r="G651" s="274">
        <f t="shared" si="15"/>
        <v>0</v>
      </c>
      <c r="J651" s="199"/>
      <c r="K651" s="199"/>
    </row>
    <row r="652" spans="2:13">
      <c r="B652" s="151" t="s">
        <v>133</v>
      </c>
      <c r="C652" s="151">
        <f>IF(Lenovo!F22&gt;0,Lenovo!A21,0)</f>
        <v>0</v>
      </c>
      <c r="D652" s="152">
        <f>IF(C652=Lenovo!A21,Lenovo!C21,0)</f>
        <v>0</v>
      </c>
      <c r="E652" s="157">
        <f>IF(C652=Lenovo!A21,Lenovo!D21,0)</f>
        <v>0</v>
      </c>
      <c r="F652" s="153">
        <f>Lenovo!F22</f>
        <v>0</v>
      </c>
      <c r="G652" s="274">
        <f t="shared" si="15"/>
        <v>0</v>
      </c>
      <c r="J652" s="199"/>
      <c r="K652" s="199"/>
    </row>
    <row r="653" spans="2:13">
      <c r="B653" s="151" t="s">
        <v>133</v>
      </c>
      <c r="C653" s="151">
        <f>IF(Lenovo!F23&gt;0,Lenovo!A22,0)</f>
        <v>0</v>
      </c>
      <c r="D653" s="152">
        <f>IF(C653=Lenovo!A22,Lenovo!C22,0)</f>
        <v>0</v>
      </c>
      <c r="E653" s="157">
        <f>IF(C653=Lenovo!A22,Lenovo!D22,0)</f>
        <v>0</v>
      </c>
      <c r="F653" s="153">
        <f>Lenovo!F23</f>
        <v>0</v>
      </c>
      <c r="G653" s="274">
        <f t="shared" si="15"/>
        <v>0</v>
      </c>
      <c r="H653" s="210"/>
      <c r="I653" s="199"/>
      <c r="J653" s="210"/>
      <c r="K653" s="210"/>
      <c r="L653" s="210"/>
      <c r="M653" s="210"/>
    </row>
    <row r="654" spans="2:13">
      <c r="B654" s="151" t="s">
        <v>133</v>
      </c>
      <c r="C654" s="151">
        <f>IF(Lenovo!F24&gt;0,Lenovo!A23,0)</f>
        <v>0</v>
      </c>
      <c r="D654" s="152">
        <f>IF(C654=Lenovo!A23,Lenovo!C23,0)</f>
        <v>0</v>
      </c>
      <c r="E654" s="157">
        <f>IF(C654=Lenovo!A23,Lenovo!D23,0)</f>
        <v>0</v>
      </c>
      <c r="F654" s="153">
        <f>Lenovo!F24</f>
        <v>0</v>
      </c>
      <c r="G654" s="274">
        <f t="shared" si="15"/>
        <v>0</v>
      </c>
      <c r="J654" s="199"/>
      <c r="K654" s="199"/>
    </row>
    <row r="655" spans="2:13">
      <c r="B655" s="151" t="s">
        <v>133</v>
      </c>
      <c r="C655" s="151">
        <f>IF(Lenovo!F25&gt;0,Lenovo!A24,0)</f>
        <v>0</v>
      </c>
      <c r="D655" s="152">
        <f>IF(C655=Lenovo!A24,Lenovo!C24,0)</f>
        <v>0</v>
      </c>
      <c r="E655" s="157">
        <f>IF(C655=Lenovo!A24,Lenovo!D24,0)</f>
        <v>0</v>
      </c>
      <c r="F655" s="153">
        <f>Lenovo!F25</f>
        <v>0</v>
      </c>
      <c r="G655" s="274">
        <f t="shared" si="15"/>
        <v>0</v>
      </c>
      <c r="H655" s="210"/>
      <c r="I655" s="199"/>
      <c r="J655" s="210"/>
      <c r="K655" s="199"/>
    </row>
    <row r="656" spans="2:13">
      <c r="B656" s="151" t="s">
        <v>133</v>
      </c>
      <c r="C656" s="151">
        <f>IF(Lenovo!F26&gt;0,Lenovo!A25,0)</f>
        <v>0</v>
      </c>
      <c r="D656" s="152">
        <f>IF(C656=Lenovo!A25,Lenovo!C25,0)</f>
        <v>0</v>
      </c>
      <c r="E656" s="157">
        <f>IF(C656=Lenovo!A25,Lenovo!D25,0)</f>
        <v>0</v>
      </c>
      <c r="F656" s="153">
        <f>Lenovo!F26</f>
        <v>0</v>
      </c>
      <c r="G656" s="274">
        <f t="shared" si="15"/>
        <v>0</v>
      </c>
      <c r="H656" s="210"/>
      <c r="J656" s="199"/>
      <c r="K656" s="199"/>
    </row>
    <row r="657" spans="2:13">
      <c r="B657" s="151" t="s">
        <v>133</v>
      </c>
      <c r="C657" s="151">
        <f>IF(Lenovo!F27&gt;0,Lenovo!A26,0)</f>
        <v>0</v>
      </c>
      <c r="D657" s="152">
        <f>IF(C657=Lenovo!A26,Lenovo!C26,0)</f>
        <v>0</v>
      </c>
      <c r="E657" s="157">
        <f>IF(C657=Lenovo!A26,Lenovo!D26,0)</f>
        <v>0</v>
      </c>
      <c r="F657" s="153">
        <f>Lenovo!F27</f>
        <v>0</v>
      </c>
      <c r="G657" s="274">
        <f t="shared" si="15"/>
        <v>0</v>
      </c>
      <c r="H657" s="210"/>
      <c r="I657" s="199"/>
      <c r="J657" s="210"/>
      <c r="K657" s="199"/>
      <c r="L657" s="199"/>
      <c r="M657" s="210"/>
    </row>
    <row r="658" spans="2:13">
      <c r="B658" s="151" t="s">
        <v>133</v>
      </c>
      <c r="C658" s="151">
        <f>IF(Lenovo!F28&gt;0,Lenovo!A27,0)</f>
        <v>0</v>
      </c>
      <c r="D658" s="152">
        <f>IF(C658=Lenovo!A27,Lenovo!C27,0)</f>
        <v>0</v>
      </c>
      <c r="E658" s="157">
        <f>IF(C658=Lenovo!A27,Lenovo!D27,0)</f>
        <v>0</v>
      </c>
      <c r="F658" s="153">
        <f>Lenovo!F28</f>
        <v>0</v>
      </c>
      <c r="G658" s="274">
        <f t="shared" si="15"/>
        <v>0</v>
      </c>
      <c r="H658" s="210"/>
      <c r="J658" s="199"/>
      <c r="K658" s="199"/>
    </row>
    <row r="659" spans="2:13">
      <c r="B659" s="151" t="s">
        <v>133</v>
      </c>
      <c r="C659" s="151">
        <f>IF(Lenovo!F29&gt;0,Lenovo!A29,0)</f>
        <v>0</v>
      </c>
      <c r="D659" s="152">
        <f>IF(C659=Lenovo!A29,Lenovo!C29,0)</f>
        <v>0</v>
      </c>
      <c r="E659" s="157">
        <f>IF(C659=Lenovo!A29,Lenovo!D29,0)</f>
        <v>0</v>
      </c>
      <c r="F659" s="153">
        <f>Lenovo!F29</f>
        <v>0</v>
      </c>
      <c r="G659" s="274">
        <f t="shared" si="15"/>
        <v>0</v>
      </c>
      <c r="H659" s="210"/>
      <c r="J659" s="199"/>
      <c r="K659" s="199"/>
    </row>
    <row r="660" spans="2:13">
      <c r="B660" s="151" t="s">
        <v>133</v>
      </c>
      <c r="C660" s="151">
        <f>IF(Lenovo!F30&gt;0,Lenovo!A30,0)</f>
        <v>0</v>
      </c>
      <c r="D660" s="152">
        <f>IF(C660=Lenovo!A30,Lenovo!C30,0)</f>
        <v>0</v>
      </c>
      <c r="E660" s="157">
        <f>IF(C660=Lenovo!A30,Lenovo!D30,0)</f>
        <v>0</v>
      </c>
      <c r="F660" s="153">
        <f>Lenovo!F30</f>
        <v>0</v>
      </c>
      <c r="G660" s="274">
        <f t="shared" si="15"/>
        <v>0</v>
      </c>
      <c r="H660" s="210"/>
      <c r="I660" s="199"/>
      <c r="J660" s="210"/>
      <c r="K660" s="199"/>
    </row>
    <row r="661" spans="2:13">
      <c r="B661" s="151" t="s">
        <v>133</v>
      </c>
      <c r="C661" s="151">
        <f>IF(Lenovo!F31&gt;0,Lenovo!A31,0)</f>
        <v>0</v>
      </c>
      <c r="D661" s="152">
        <f>IF(C661=Lenovo!A31,Lenovo!C31,0)</f>
        <v>0</v>
      </c>
      <c r="E661" s="157">
        <f>IF(C661=Lenovo!A31,Lenovo!D31,0)</f>
        <v>0</v>
      </c>
      <c r="F661" s="153">
        <f>Lenovo!F31</f>
        <v>0</v>
      </c>
      <c r="G661" s="274">
        <f t="shared" si="15"/>
        <v>0</v>
      </c>
      <c r="H661" s="210"/>
      <c r="I661" s="199"/>
      <c r="J661" s="210"/>
      <c r="K661" s="199"/>
    </row>
    <row r="662" spans="2:13">
      <c r="B662" s="151" t="s">
        <v>133</v>
      </c>
      <c r="C662" s="151">
        <f>IF(Lenovo!F32&gt;0,Lenovo!A32,0)</f>
        <v>0</v>
      </c>
      <c r="D662" s="152">
        <f>IF(C662=Lenovo!A32,Lenovo!C32,0)</f>
        <v>0</v>
      </c>
      <c r="E662" s="157">
        <f>IF(C662=Lenovo!A32,Lenovo!D32,0)</f>
        <v>0</v>
      </c>
      <c r="F662" s="153">
        <f>Lenovo!F32</f>
        <v>0</v>
      </c>
      <c r="G662" s="274">
        <f t="shared" si="15"/>
        <v>0</v>
      </c>
      <c r="H662" s="210"/>
      <c r="J662" s="199"/>
      <c r="K662" s="199"/>
    </row>
    <row r="663" spans="2:13">
      <c r="B663" s="151" t="s">
        <v>133</v>
      </c>
      <c r="C663" s="151">
        <f>IF(Lenovo!F33&gt;0,Lenovo!A33,0)</f>
        <v>0</v>
      </c>
      <c r="D663" s="152">
        <f>IF(C663=Lenovo!A33,Lenovo!C33,0)</f>
        <v>0</v>
      </c>
      <c r="E663" s="157">
        <f>IF(C663=Lenovo!A33,Lenovo!D33,0)</f>
        <v>0</v>
      </c>
      <c r="F663" s="153">
        <f>Lenovo!F33</f>
        <v>0</v>
      </c>
      <c r="G663" s="274">
        <f t="shared" si="15"/>
        <v>0</v>
      </c>
      <c r="H663" s="210"/>
      <c r="J663" s="199"/>
      <c r="K663" s="199"/>
    </row>
    <row r="664" spans="2:13">
      <c r="B664" s="151" t="s">
        <v>133</v>
      </c>
      <c r="C664" s="151">
        <f>IF(Lenovo!F35&gt;0,Lenovo!A35,0)</f>
        <v>0</v>
      </c>
      <c r="D664" s="152">
        <f>IF(C664=Lenovo!A35,Lenovo!C35,0)</f>
        <v>0</v>
      </c>
      <c r="E664" s="157">
        <f>IF(C664=Lenovo!A35,Lenovo!D35,0)</f>
        <v>0</v>
      </c>
      <c r="F664" s="153">
        <f>Lenovo!F35</f>
        <v>0</v>
      </c>
      <c r="G664" s="274">
        <f t="shared" si="15"/>
        <v>0</v>
      </c>
      <c r="J664" s="199"/>
      <c r="K664" s="199"/>
    </row>
    <row r="665" spans="2:13">
      <c r="B665" s="151" t="s">
        <v>133</v>
      </c>
      <c r="C665" s="151">
        <f>IF(Lenovo!F36&gt;0,Lenovo!A36,0)</f>
        <v>0</v>
      </c>
      <c r="D665" s="152">
        <f>IF(C665=Lenovo!A36,Lenovo!C36,0)</f>
        <v>0</v>
      </c>
      <c r="E665" s="157">
        <f>IF(C665=Lenovo!A36,Lenovo!D36,0)</f>
        <v>0</v>
      </c>
      <c r="F665" s="153">
        <f>Lenovo!F36</f>
        <v>0</v>
      </c>
      <c r="G665" s="274">
        <f t="shared" si="15"/>
        <v>0</v>
      </c>
      <c r="J665" s="199"/>
      <c r="K665" s="199"/>
    </row>
    <row r="666" spans="2:13">
      <c r="B666" s="151" t="s">
        <v>133</v>
      </c>
      <c r="C666" s="151">
        <f>IF(Lenovo!F37&gt;0,Lenovo!A37,0)</f>
        <v>0</v>
      </c>
      <c r="D666" s="152">
        <f>IF(C666=Lenovo!A37,Lenovo!C37,0)</f>
        <v>0</v>
      </c>
      <c r="E666" s="157">
        <f>IF(C666=Lenovo!A37,Lenovo!D37,0)</f>
        <v>0</v>
      </c>
      <c r="F666" s="153">
        <f>Lenovo!F37</f>
        <v>0</v>
      </c>
      <c r="G666" s="274">
        <f t="shared" si="15"/>
        <v>0</v>
      </c>
      <c r="J666" s="199"/>
      <c r="K666" s="199"/>
    </row>
    <row r="667" spans="2:13">
      <c r="B667" s="151" t="s">
        <v>133</v>
      </c>
      <c r="C667" s="151">
        <f>IF(Lenovo!F38&gt;0,Lenovo!A38,0)</f>
        <v>0</v>
      </c>
      <c r="D667" s="152">
        <f>IF(C667=Lenovo!A38,Lenovo!C38,0)</f>
        <v>0</v>
      </c>
      <c r="E667" s="157">
        <f>IF(C667=Lenovo!A38,Lenovo!D38,0)</f>
        <v>0</v>
      </c>
      <c r="F667" s="153">
        <f>Lenovo!F38</f>
        <v>0</v>
      </c>
      <c r="G667" s="274">
        <f t="shared" si="15"/>
        <v>0</v>
      </c>
      <c r="J667" s="199"/>
      <c r="K667" s="199"/>
    </row>
    <row r="668" spans="2:13">
      <c r="B668" s="151" t="s">
        <v>133</v>
      </c>
      <c r="C668" s="151">
        <f>IF(Lenovo!F39&gt;0,Lenovo!A39,0)</f>
        <v>0</v>
      </c>
      <c r="D668" s="152">
        <f>IF(C668=Lenovo!A39,Lenovo!C39,0)</f>
        <v>0</v>
      </c>
      <c r="E668" s="157">
        <f>IF(C668=Lenovo!A39,Lenovo!D39,0)</f>
        <v>0</v>
      </c>
      <c r="F668" s="153">
        <f>Lenovo!F39</f>
        <v>0</v>
      </c>
      <c r="G668" s="274">
        <f t="shared" si="15"/>
        <v>0</v>
      </c>
      <c r="J668" s="199"/>
      <c r="K668" s="199"/>
    </row>
    <row r="669" spans="2:13">
      <c r="B669" s="151" t="s">
        <v>133</v>
      </c>
      <c r="C669" s="151">
        <f>IF(Lenovo!F40&gt;0,Lenovo!A40,0)</f>
        <v>0</v>
      </c>
      <c r="D669" s="152">
        <f>IF(C669=Lenovo!A40,Lenovo!C40,0)</f>
        <v>0</v>
      </c>
      <c r="E669" s="157">
        <f>IF(C669=Lenovo!A40,Lenovo!D40,0)</f>
        <v>0</v>
      </c>
      <c r="F669" s="153">
        <f>Lenovo!F40</f>
        <v>0</v>
      </c>
      <c r="G669" s="274">
        <f t="shared" si="15"/>
        <v>0</v>
      </c>
      <c r="J669" s="199"/>
      <c r="K669" s="199"/>
    </row>
    <row r="670" spans="2:13">
      <c r="B670" s="151" t="s">
        <v>133</v>
      </c>
      <c r="C670" s="151">
        <f>IF(Lenovo!F41&gt;0,Lenovo!A41,0)</f>
        <v>0</v>
      </c>
      <c r="D670" s="152">
        <f>IF(C670=Lenovo!A41,Lenovo!C41,0)</f>
        <v>0</v>
      </c>
      <c r="E670" s="157">
        <f>IF(C670=Lenovo!A41,Lenovo!D41,0)</f>
        <v>0</v>
      </c>
      <c r="F670" s="153">
        <f>Lenovo!F41</f>
        <v>0</v>
      </c>
      <c r="G670" s="274">
        <f t="shared" si="15"/>
        <v>0</v>
      </c>
      <c r="J670" s="199"/>
      <c r="K670" s="199"/>
    </row>
    <row r="671" spans="2:13">
      <c r="B671" s="151" t="s">
        <v>133</v>
      </c>
      <c r="C671" s="151">
        <f>IF(Lenovo!F42&gt;0,Lenovo!A42,0)</f>
        <v>0</v>
      </c>
      <c r="D671" s="152">
        <f>IF(C671=Lenovo!A42,Lenovo!C42,0)</f>
        <v>0</v>
      </c>
      <c r="E671" s="157">
        <f>IF(C671=Lenovo!A42,Lenovo!D42,0)</f>
        <v>0</v>
      </c>
      <c r="F671" s="153">
        <f>Lenovo!F42</f>
        <v>0</v>
      </c>
      <c r="G671" s="274">
        <f t="shared" si="15"/>
        <v>0</v>
      </c>
      <c r="J671" s="199"/>
      <c r="K671" s="199"/>
    </row>
    <row r="672" spans="2:13">
      <c r="B672" s="151" t="s">
        <v>133</v>
      </c>
      <c r="C672" s="151">
        <f>IF(Lenovo!F43&gt;0,Lenovo!A43,0)</f>
        <v>0</v>
      </c>
      <c r="D672" s="152">
        <f>IF(C672=Lenovo!A43,Lenovo!C43,0)</f>
        <v>0</v>
      </c>
      <c r="E672" s="157">
        <f>IF(C672=Lenovo!A43,Lenovo!D43,0)</f>
        <v>0</v>
      </c>
      <c r="F672" s="153">
        <f>Lenovo!F43</f>
        <v>0</v>
      </c>
      <c r="G672" s="274">
        <f t="shared" si="15"/>
        <v>0</v>
      </c>
      <c r="J672" s="199"/>
      <c r="K672" s="199"/>
    </row>
    <row r="673" spans="2:11">
      <c r="B673" s="151" t="s">
        <v>133</v>
      </c>
      <c r="C673" s="151">
        <f>IF(Lenovo!F44&gt;0,Lenovo!A44,0)</f>
        <v>0</v>
      </c>
      <c r="D673" s="152">
        <f>IF(C673=Lenovo!A44,Lenovo!C44,0)</f>
        <v>0</v>
      </c>
      <c r="E673" s="157">
        <f>IF(C673=Lenovo!A44,Lenovo!D44,0)</f>
        <v>0</v>
      </c>
      <c r="F673" s="153">
        <f>Lenovo!F44</f>
        <v>0</v>
      </c>
      <c r="G673" s="274">
        <f t="shared" si="15"/>
        <v>0</v>
      </c>
      <c r="J673" s="199"/>
      <c r="K673" s="199"/>
    </row>
    <row r="674" spans="2:11">
      <c r="B674" s="151" t="s">
        <v>133</v>
      </c>
      <c r="C674" s="151">
        <f>IF(Lenovo!F45&gt;0,Lenovo!A45,0)</f>
        <v>0</v>
      </c>
      <c r="D674" s="152">
        <f>IF(C674=Lenovo!A45,Lenovo!C45,0)</f>
        <v>0</v>
      </c>
      <c r="E674" s="157">
        <f>IF(C674=Lenovo!A45,Lenovo!D45,0)</f>
        <v>0</v>
      </c>
      <c r="F674" s="153">
        <f>Lenovo!F45</f>
        <v>0</v>
      </c>
      <c r="G674" s="274">
        <f t="shared" si="15"/>
        <v>0</v>
      </c>
      <c r="J674" s="199"/>
      <c r="K674" s="199"/>
    </row>
    <row r="675" spans="2:11">
      <c r="B675" s="151" t="s">
        <v>133</v>
      </c>
      <c r="C675" s="151">
        <f>IF(Lenovo!F46&gt;0,Lenovo!A46,0)</f>
        <v>0</v>
      </c>
      <c r="D675" s="152">
        <f>IF(C675=Lenovo!A46,Lenovo!C46,0)</f>
        <v>0</v>
      </c>
      <c r="E675" s="157">
        <f>IF(C675=Lenovo!A46,Lenovo!D46,0)</f>
        <v>0</v>
      </c>
      <c r="F675" s="153">
        <f>Lenovo!F46</f>
        <v>0</v>
      </c>
      <c r="G675" s="274">
        <f t="shared" si="15"/>
        <v>0</v>
      </c>
      <c r="J675" s="199"/>
      <c r="K675" s="199"/>
    </row>
    <row r="676" spans="2:11">
      <c r="B676" s="151" t="s">
        <v>133</v>
      </c>
      <c r="C676" s="151">
        <f>IF(Lenovo!F47&gt;0,Lenovo!A47,0)</f>
        <v>0</v>
      </c>
      <c r="D676" s="152">
        <f>IF(C676=Lenovo!A47,Lenovo!C47,0)</f>
        <v>0</v>
      </c>
      <c r="E676" s="157">
        <f>IF(C676=Lenovo!A47,Lenovo!D47,0)</f>
        <v>0</v>
      </c>
      <c r="F676" s="153">
        <f>Lenovo!F47</f>
        <v>0</v>
      </c>
      <c r="G676" s="274">
        <f t="shared" si="15"/>
        <v>0</v>
      </c>
      <c r="J676" s="199"/>
      <c r="K676" s="199"/>
    </row>
    <row r="677" spans="2:11">
      <c r="B677" s="151" t="s">
        <v>133</v>
      </c>
      <c r="C677" s="151">
        <f>IF(Lenovo!F48&gt;0,Lenovo!A48,0)</f>
        <v>0</v>
      </c>
      <c r="D677" s="152">
        <f>IF(C677=Lenovo!A48,Lenovo!C48,0)</f>
        <v>0</v>
      </c>
      <c r="E677" s="157">
        <f>IF(C677=Lenovo!A48,Lenovo!D48,0)</f>
        <v>0</v>
      </c>
      <c r="F677" s="153">
        <f>Lenovo!F48</f>
        <v>0</v>
      </c>
      <c r="G677" s="274">
        <f t="shared" si="15"/>
        <v>0</v>
      </c>
      <c r="J677" s="199"/>
      <c r="K677" s="199"/>
    </row>
    <row r="678" spans="2:11">
      <c r="B678" s="151" t="s">
        <v>133</v>
      </c>
      <c r="C678" s="151">
        <f>IF(Lenovo!F49&gt;0,Lenovo!A49,0)</f>
        <v>0</v>
      </c>
      <c r="D678" s="152">
        <f>IF(C678=Lenovo!A49,Lenovo!C49,0)</f>
        <v>0</v>
      </c>
      <c r="E678" s="157">
        <f>IF(C678=Lenovo!A49,Lenovo!D49,0)</f>
        <v>0</v>
      </c>
      <c r="F678" s="153">
        <f>Lenovo!F49</f>
        <v>0</v>
      </c>
      <c r="G678" s="274">
        <f t="shared" si="15"/>
        <v>0</v>
      </c>
      <c r="J678" s="199"/>
      <c r="K678" s="199"/>
    </row>
    <row r="679" spans="2:11">
      <c r="B679" s="151" t="s">
        <v>133</v>
      </c>
      <c r="C679" s="151">
        <f>IF(Lenovo!F50&gt;0,Lenovo!A50,0)</f>
        <v>0</v>
      </c>
      <c r="D679" s="152">
        <f>IF(C679=Lenovo!A50,Lenovo!C50,0)</f>
        <v>0</v>
      </c>
      <c r="E679" s="157">
        <f>IF(C679=Lenovo!A50,Lenovo!D50,0)</f>
        <v>0</v>
      </c>
      <c r="F679" s="153">
        <f>Lenovo!F50</f>
        <v>0</v>
      </c>
      <c r="G679" s="274">
        <f t="shared" si="15"/>
        <v>0</v>
      </c>
      <c r="J679" s="199"/>
      <c r="K679" s="199"/>
    </row>
    <row r="680" spans="2:11">
      <c r="B680" s="151" t="s">
        <v>133</v>
      </c>
      <c r="C680" s="151">
        <f>IF(Lenovo!F51&gt;0,Lenovo!A51,0)</f>
        <v>0</v>
      </c>
      <c r="D680" s="152">
        <f>IF(C680=Lenovo!A51,Lenovo!C51,0)</f>
        <v>0</v>
      </c>
      <c r="E680" s="157">
        <f>IF(C680=Lenovo!A51,Lenovo!D51,0)</f>
        <v>0</v>
      </c>
      <c r="F680" s="153">
        <f>Lenovo!F51</f>
        <v>0</v>
      </c>
      <c r="G680" s="274">
        <f t="shared" si="15"/>
        <v>0</v>
      </c>
      <c r="J680" s="199"/>
      <c r="K680" s="199"/>
    </row>
    <row r="681" spans="2:11">
      <c r="B681" s="151" t="s">
        <v>133</v>
      </c>
      <c r="C681" s="151">
        <f>IF(Lenovo!F52&gt;0,Lenovo!A52,0)</f>
        <v>0</v>
      </c>
      <c r="D681" s="152">
        <f>IF(C681=Lenovo!A52,Lenovo!C52,0)</f>
        <v>0</v>
      </c>
      <c r="E681" s="157">
        <f>IF(C681=Lenovo!A52,Lenovo!D52,0)</f>
        <v>0</v>
      </c>
      <c r="F681" s="153">
        <f>Lenovo!F52</f>
        <v>0</v>
      </c>
      <c r="G681" s="274">
        <f t="shared" si="15"/>
        <v>0</v>
      </c>
      <c r="J681" s="199"/>
      <c r="K681" s="199"/>
    </row>
    <row r="682" spans="2:11">
      <c r="B682" s="151" t="s">
        <v>133</v>
      </c>
      <c r="C682" s="151">
        <f>IF(Lenovo!F53&gt;0,Lenovo!A53,0)</f>
        <v>0</v>
      </c>
      <c r="D682" s="152">
        <f>IF(C682=Lenovo!A53,Lenovo!C53,0)</f>
        <v>0</v>
      </c>
      <c r="E682" s="157">
        <f>IF(C682=Lenovo!A53,Lenovo!D53,0)</f>
        <v>0</v>
      </c>
      <c r="F682" s="153">
        <f>Lenovo!F53</f>
        <v>0</v>
      </c>
      <c r="G682" s="274">
        <f t="shared" si="15"/>
        <v>0</v>
      </c>
      <c r="J682" s="199"/>
      <c r="K682" s="199"/>
    </row>
    <row r="683" spans="2:11">
      <c r="B683" s="151" t="s">
        <v>133</v>
      </c>
      <c r="C683" s="151">
        <f>IF(Lenovo!F54&gt;0,Lenovo!A54,0)</f>
        <v>0</v>
      </c>
      <c r="D683" s="152">
        <f>IF(C683=Lenovo!A54,Lenovo!C54,0)</f>
        <v>0</v>
      </c>
      <c r="E683" s="157">
        <f>IF(C683=Lenovo!A54,Lenovo!D54,0)</f>
        <v>0</v>
      </c>
      <c r="F683" s="153">
        <f>Lenovo!F54</f>
        <v>0</v>
      </c>
      <c r="G683" s="274">
        <f t="shared" si="15"/>
        <v>0</v>
      </c>
      <c r="J683" s="199"/>
      <c r="K683" s="199"/>
    </row>
    <row r="684" spans="2:11">
      <c r="B684" s="151" t="s">
        <v>133</v>
      </c>
      <c r="C684" s="151">
        <f>IF(Lenovo!F55&gt;0,Lenovo!A55,0)</f>
        <v>0</v>
      </c>
      <c r="D684" s="152">
        <f>IF(C684=Lenovo!A55,Lenovo!C55,0)</f>
        <v>0</v>
      </c>
      <c r="E684" s="157">
        <f>IF(C684=Lenovo!A55,Lenovo!D55,0)</f>
        <v>0</v>
      </c>
      <c r="F684" s="153">
        <f>Lenovo!F55</f>
        <v>0</v>
      </c>
      <c r="G684" s="274">
        <f t="shared" si="15"/>
        <v>0</v>
      </c>
      <c r="J684" s="199"/>
      <c r="K684" s="199"/>
    </row>
    <row r="685" spans="2:11">
      <c r="B685" s="151" t="s">
        <v>133</v>
      </c>
      <c r="C685" s="151">
        <f>IF(Lenovo!F56&gt;0,Lenovo!A56,0)</f>
        <v>0</v>
      </c>
      <c r="D685" s="152">
        <f>IF(C685=Lenovo!A56,Lenovo!C56,0)</f>
        <v>0</v>
      </c>
      <c r="E685" s="157">
        <f>IF(C685=Lenovo!A56,Lenovo!D56,0)</f>
        <v>0</v>
      </c>
      <c r="F685" s="153">
        <f>Lenovo!F56</f>
        <v>0</v>
      </c>
      <c r="G685" s="274">
        <f t="shared" si="15"/>
        <v>0</v>
      </c>
      <c r="J685" s="199"/>
      <c r="K685" s="199"/>
    </row>
    <row r="686" spans="2:11">
      <c r="B686" s="151" t="s">
        <v>133</v>
      </c>
      <c r="C686" s="151">
        <f>IF(Lenovo!F57&gt;0,Lenovo!A57,0)</f>
        <v>0</v>
      </c>
      <c r="D686" s="152">
        <f>IF(C686=Lenovo!A57,Lenovo!C57,0)</f>
        <v>0</v>
      </c>
      <c r="E686" s="157">
        <f>IF(C686=Lenovo!A57,Lenovo!D57,0)</f>
        <v>0</v>
      </c>
      <c r="F686" s="153">
        <f>Lenovo!F57</f>
        <v>0</v>
      </c>
      <c r="G686" s="274">
        <f t="shared" si="15"/>
        <v>0</v>
      </c>
      <c r="J686" s="199"/>
      <c r="K686" s="199"/>
    </row>
    <row r="687" spans="2:11">
      <c r="B687" s="151" t="s">
        <v>133</v>
      </c>
      <c r="C687" s="151">
        <f>IF(Lenovo!F58&gt;0,Lenovo!A58,0)</f>
        <v>0</v>
      </c>
      <c r="D687" s="152">
        <f>IF(C687=Lenovo!A58,Lenovo!C58,0)</f>
        <v>0</v>
      </c>
      <c r="E687" s="157">
        <f>IF(C687=Lenovo!A58,Lenovo!D58,0)</f>
        <v>0</v>
      </c>
      <c r="F687" s="153">
        <f>Lenovo!F58</f>
        <v>0</v>
      </c>
      <c r="G687" s="274">
        <f t="shared" si="15"/>
        <v>0</v>
      </c>
      <c r="J687" s="199"/>
      <c r="K687" s="199"/>
    </row>
    <row r="688" spans="2:11">
      <c r="B688" s="151" t="s">
        <v>133</v>
      </c>
      <c r="C688" s="151">
        <f>IF(Lenovo!F59&gt;0,Lenovo!A59,0)</f>
        <v>0</v>
      </c>
      <c r="D688" s="152">
        <f>IF(C688=Lenovo!A59,Lenovo!C59,0)</f>
        <v>0</v>
      </c>
      <c r="E688" s="157">
        <f>IF(C688=Lenovo!A59,Lenovo!D59,0)</f>
        <v>0</v>
      </c>
      <c r="F688" s="153">
        <f>Lenovo!F59</f>
        <v>0</v>
      </c>
      <c r="G688" s="274">
        <f t="shared" si="15"/>
        <v>0</v>
      </c>
      <c r="J688" s="199"/>
      <c r="K688" s="199"/>
    </row>
    <row r="689" spans="2:11">
      <c r="B689" s="151" t="s">
        <v>133</v>
      </c>
      <c r="C689" s="151">
        <f>IF(Lenovo!F60&gt;0,Lenovo!A60,0)</f>
        <v>0</v>
      </c>
      <c r="D689" s="152">
        <f>IF(C689=Lenovo!A60,Lenovo!C60,0)</f>
        <v>0</v>
      </c>
      <c r="E689" s="157">
        <f>IF(C689=Lenovo!A60,Lenovo!D60,0)</f>
        <v>0</v>
      </c>
      <c r="F689" s="153">
        <f>Lenovo!F60</f>
        <v>0</v>
      </c>
      <c r="G689" s="274">
        <f t="shared" si="15"/>
        <v>0</v>
      </c>
      <c r="J689" s="199"/>
      <c r="K689" s="199"/>
    </row>
    <row r="690" spans="2:11">
      <c r="B690" s="151" t="s">
        <v>133</v>
      </c>
      <c r="C690" s="151">
        <f>IF(Lenovo!F61&gt;0,Lenovo!A61,0)</f>
        <v>0</v>
      </c>
      <c r="D690" s="152">
        <f>IF(C690=Lenovo!A61,Lenovo!C61,0)</f>
        <v>0</v>
      </c>
      <c r="E690" s="157">
        <f>IF(C690=Lenovo!A61,Lenovo!D61,0)</f>
        <v>0</v>
      </c>
      <c r="F690" s="153">
        <f>Lenovo!F61</f>
        <v>0</v>
      </c>
      <c r="G690" s="274">
        <f t="shared" si="15"/>
        <v>0</v>
      </c>
      <c r="J690" s="199"/>
      <c r="K690" s="199"/>
    </row>
    <row r="691" spans="2:11">
      <c r="B691" s="151" t="s">
        <v>133</v>
      </c>
      <c r="C691" s="151">
        <f>IF(Lenovo!F62&gt;0,Lenovo!A62,0)</f>
        <v>0</v>
      </c>
      <c r="D691" s="152">
        <f>IF(C691=Lenovo!A62,Lenovo!C62,0)</f>
        <v>0</v>
      </c>
      <c r="E691" s="157">
        <f>IF(C691=Lenovo!A62,Lenovo!D62,0)</f>
        <v>0</v>
      </c>
      <c r="F691" s="153">
        <f>Lenovo!F62</f>
        <v>0</v>
      </c>
      <c r="G691" s="274">
        <f t="shared" si="15"/>
        <v>0</v>
      </c>
      <c r="J691" s="199"/>
      <c r="K691" s="199"/>
    </row>
    <row r="692" spans="2:11">
      <c r="B692" s="151" t="s">
        <v>133</v>
      </c>
      <c r="C692" s="151">
        <f>IF(Lenovo!F63&gt;0,Lenovo!A63,0)</f>
        <v>0</v>
      </c>
      <c r="D692" s="152">
        <f>IF(C692=Lenovo!A63,Lenovo!C63,0)</f>
        <v>0</v>
      </c>
      <c r="E692" s="157">
        <f>IF(C692=Lenovo!A63,Lenovo!D63,0)</f>
        <v>0</v>
      </c>
      <c r="F692" s="153">
        <f>Lenovo!F63</f>
        <v>0</v>
      </c>
      <c r="G692" s="274">
        <f t="shared" si="15"/>
        <v>0</v>
      </c>
      <c r="J692" s="199"/>
      <c r="K692" s="199"/>
    </row>
    <row r="693" spans="2:11">
      <c r="B693" s="151" t="s">
        <v>133</v>
      </c>
      <c r="C693" s="151">
        <f>IF(Lenovo!F64&gt;0,Lenovo!A64,0)</f>
        <v>0</v>
      </c>
      <c r="D693" s="152">
        <f>IF(C693=Lenovo!A64,Lenovo!C64,0)</f>
        <v>0</v>
      </c>
      <c r="E693" s="157">
        <f>IF(C693=Lenovo!A64,Lenovo!D64,0)</f>
        <v>0</v>
      </c>
      <c r="F693" s="153">
        <f>Lenovo!F64</f>
        <v>0</v>
      </c>
      <c r="G693" s="274">
        <f t="shared" si="15"/>
        <v>0</v>
      </c>
      <c r="J693" s="199"/>
      <c r="K693" s="199"/>
    </row>
    <row r="694" spans="2:11">
      <c r="B694" s="151" t="s">
        <v>133</v>
      </c>
      <c r="C694" s="151">
        <f>IF(Lenovo!F65&gt;0,Lenovo!A65,0)</f>
        <v>0</v>
      </c>
      <c r="D694" s="152">
        <f>IF(C694=Lenovo!A65,Lenovo!C65,0)</f>
        <v>0</v>
      </c>
      <c r="E694" s="157">
        <f>IF(C694=Lenovo!A65,Lenovo!D65,0)</f>
        <v>0</v>
      </c>
      <c r="F694" s="153">
        <f>Lenovo!F65</f>
        <v>0</v>
      </c>
      <c r="G694" s="274">
        <f t="shared" si="15"/>
        <v>0</v>
      </c>
      <c r="J694" s="199"/>
      <c r="K694" s="199"/>
    </row>
    <row r="695" spans="2:11">
      <c r="B695" s="151" t="s">
        <v>133</v>
      </c>
      <c r="C695" s="151">
        <f>IF(Lenovo!F66&gt;0,Lenovo!A66,0)</f>
        <v>0</v>
      </c>
      <c r="D695" s="152">
        <f>IF(C695=Lenovo!A66,Lenovo!C66,0)</f>
        <v>0</v>
      </c>
      <c r="E695" s="157">
        <f>IF(C695=Lenovo!A66,Lenovo!D66,0)</f>
        <v>0</v>
      </c>
      <c r="F695" s="153">
        <f>Lenovo!F66</f>
        <v>0</v>
      </c>
      <c r="G695" s="274">
        <f t="shared" si="15"/>
        <v>0</v>
      </c>
      <c r="J695" s="199"/>
      <c r="K695" s="199"/>
    </row>
    <row r="696" spans="2:11">
      <c r="B696" s="151" t="s">
        <v>133</v>
      </c>
      <c r="C696" s="151">
        <f>IF(Lenovo!F67&gt;0,Lenovo!A67,0)</f>
        <v>0</v>
      </c>
      <c r="D696" s="152">
        <f>IF(C696=Lenovo!A67,Lenovo!C67,0)</f>
        <v>0</v>
      </c>
      <c r="E696" s="157">
        <f>IF(C696=Lenovo!A67,Lenovo!D67,0)</f>
        <v>0</v>
      </c>
      <c r="F696" s="153">
        <f>Lenovo!F67</f>
        <v>0</v>
      </c>
      <c r="G696" s="274">
        <f t="shared" si="15"/>
        <v>0</v>
      </c>
      <c r="J696" s="199"/>
      <c r="K696" s="199"/>
    </row>
    <row r="697" spans="2:11">
      <c r="B697" s="151" t="s">
        <v>133</v>
      </c>
      <c r="C697" s="151">
        <f>IF(Lenovo!F68&gt;0,Lenovo!A68,0)</f>
        <v>0</v>
      </c>
      <c r="D697" s="152">
        <f>IF(C697=Lenovo!A68,Lenovo!C68,0)</f>
        <v>0</v>
      </c>
      <c r="E697" s="157">
        <f>IF(C697=Lenovo!A68,Lenovo!D68,0)</f>
        <v>0</v>
      </c>
      <c r="F697" s="153">
        <f>Lenovo!F68</f>
        <v>0</v>
      </c>
      <c r="G697" s="274">
        <f t="shared" si="15"/>
        <v>0</v>
      </c>
      <c r="J697" s="199"/>
      <c r="K697" s="199"/>
    </row>
    <row r="698" spans="2:11">
      <c r="B698" s="151" t="s">
        <v>133</v>
      </c>
      <c r="C698" s="151">
        <f>IF(Lenovo!F69&gt;0,Lenovo!A69,0)</f>
        <v>0</v>
      </c>
      <c r="D698" s="152">
        <f>IF(C698=Lenovo!A69,Lenovo!C69,0)</f>
        <v>0</v>
      </c>
      <c r="E698" s="157">
        <f>IF(C698=Lenovo!A69,Lenovo!D69,0)</f>
        <v>0</v>
      </c>
      <c r="F698" s="153">
        <f>Lenovo!F69</f>
        <v>0</v>
      </c>
      <c r="G698" s="274">
        <f t="shared" si="15"/>
        <v>0</v>
      </c>
      <c r="J698" s="199"/>
      <c r="K698" s="199"/>
    </row>
    <row r="699" spans="2:11">
      <c r="B699" s="151" t="s">
        <v>133</v>
      </c>
      <c r="C699" s="151">
        <f>IF(Lenovo!F70&gt;0,Lenovo!A70,0)</f>
        <v>0</v>
      </c>
      <c r="D699" s="152">
        <f>IF(C699=Lenovo!A70,Lenovo!C70,0)</f>
        <v>0</v>
      </c>
      <c r="E699" s="157">
        <f>IF(C699=Lenovo!A70,Lenovo!D70,0)</f>
        <v>0</v>
      </c>
      <c r="F699" s="153">
        <f>Lenovo!F70</f>
        <v>0</v>
      </c>
      <c r="G699" s="274">
        <f t="shared" si="15"/>
        <v>0</v>
      </c>
      <c r="J699" s="199"/>
      <c r="K699" s="199"/>
    </row>
    <row r="700" spans="2:11">
      <c r="B700" s="151" t="s">
        <v>133</v>
      </c>
      <c r="C700" s="151">
        <f>IF(Lenovo!F71&gt;0,Lenovo!A71,0)</f>
        <v>0</v>
      </c>
      <c r="D700" s="152">
        <f>IF(C700=Lenovo!A71,Lenovo!C71,0)</f>
        <v>0</v>
      </c>
      <c r="E700" s="157">
        <f>IF(C700=Lenovo!A71,Lenovo!D71,0)</f>
        <v>0</v>
      </c>
      <c r="F700" s="153">
        <f>Lenovo!F71</f>
        <v>0</v>
      </c>
      <c r="G700" s="274">
        <f t="shared" si="15"/>
        <v>0</v>
      </c>
      <c r="J700" s="199"/>
      <c r="K700" s="199"/>
    </row>
    <row r="701" spans="2:11">
      <c r="B701" s="151" t="s">
        <v>133</v>
      </c>
      <c r="C701" s="151">
        <f>IF(Lenovo!F72&gt;0,Lenovo!A72,0)</f>
        <v>0</v>
      </c>
      <c r="D701" s="152">
        <f>IF(C701=Lenovo!A72,Lenovo!C72,0)</f>
        <v>0</v>
      </c>
      <c r="E701" s="157">
        <f>IF(C701=Lenovo!A72,Lenovo!D72,0)</f>
        <v>0</v>
      </c>
      <c r="F701" s="153">
        <f>Lenovo!F72</f>
        <v>0</v>
      </c>
      <c r="G701" s="274">
        <f t="shared" si="15"/>
        <v>0</v>
      </c>
      <c r="J701" s="199"/>
      <c r="K701" s="199"/>
    </row>
    <row r="702" spans="2:11">
      <c r="B702" s="151" t="s">
        <v>133</v>
      </c>
      <c r="C702" s="151">
        <f>IF(Lenovo!F73&gt;0,Lenovo!A73,0)</f>
        <v>0</v>
      </c>
      <c r="D702" s="152">
        <f>IF(C702=Lenovo!A73,Lenovo!C73,0)</f>
        <v>0</v>
      </c>
      <c r="E702" s="157">
        <f>IF(C702=Lenovo!A73,Lenovo!D73,0)</f>
        <v>0</v>
      </c>
      <c r="F702" s="153">
        <f>Lenovo!F73</f>
        <v>0</v>
      </c>
      <c r="G702" s="274">
        <f t="shared" si="15"/>
        <v>0</v>
      </c>
      <c r="J702" s="199"/>
      <c r="K702" s="199"/>
    </row>
    <row r="703" spans="2:11">
      <c r="B703" s="151" t="s">
        <v>133</v>
      </c>
      <c r="C703" s="151">
        <f>IF(Lenovo!F74&gt;0,Lenovo!A74,0)</f>
        <v>0</v>
      </c>
      <c r="D703" s="152">
        <f>IF(C703=Lenovo!A74,Lenovo!C74,0)</f>
        <v>0</v>
      </c>
      <c r="E703" s="157">
        <f>IF(C703=Lenovo!A74,Lenovo!D74,0)</f>
        <v>0</v>
      </c>
      <c r="F703" s="153">
        <f>Lenovo!F74</f>
        <v>0</v>
      </c>
      <c r="G703" s="274">
        <f t="shared" si="15"/>
        <v>0</v>
      </c>
      <c r="J703" s="199"/>
      <c r="K703" s="199"/>
    </row>
    <row r="704" spans="2:11">
      <c r="B704" s="151" t="s">
        <v>133</v>
      </c>
      <c r="C704" s="151">
        <f>IF(Lenovo!F75&gt;0,Lenovo!A75,0)</f>
        <v>0</v>
      </c>
      <c r="D704" s="152">
        <f>IF(C704=Lenovo!A75,Lenovo!C75,0)</f>
        <v>0</v>
      </c>
      <c r="E704" s="157">
        <f>IF(C704=Lenovo!A75,Lenovo!D75,0)</f>
        <v>0</v>
      </c>
      <c r="F704" s="153">
        <f>Lenovo!F75</f>
        <v>0</v>
      </c>
      <c r="G704" s="274">
        <f t="shared" si="15"/>
        <v>0</v>
      </c>
      <c r="J704" s="199"/>
      <c r="K704" s="199"/>
    </row>
    <row r="705" spans="2:11">
      <c r="B705" s="151" t="s">
        <v>133</v>
      </c>
      <c r="C705" s="151">
        <f>IF(Lenovo!F76&gt;0,Lenovo!A76,0)</f>
        <v>0</v>
      </c>
      <c r="D705" s="152">
        <f>IF(C705=Lenovo!A76,Lenovo!C76,0)</f>
        <v>0</v>
      </c>
      <c r="E705" s="157">
        <f>IF(C705=Lenovo!A76,Lenovo!D76,0)</f>
        <v>0</v>
      </c>
      <c r="F705" s="153">
        <f>Lenovo!F76</f>
        <v>0</v>
      </c>
      <c r="G705" s="274">
        <f t="shared" ref="G705:G768" si="16">F705*E705</f>
        <v>0</v>
      </c>
      <c r="J705" s="199"/>
      <c r="K705" s="199"/>
    </row>
    <row r="706" spans="2:11">
      <c r="B706" s="151" t="s">
        <v>133</v>
      </c>
      <c r="C706" s="151">
        <f>IF(Lenovo!F77&gt;0,Lenovo!A77,0)</f>
        <v>0</v>
      </c>
      <c r="D706" s="152">
        <f>IF(C706=Lenovo!A77,Lenovo!C77,0)</f>
        <v>0</v>
      </c>
      <c r="E706" s="157">
        <f>IF(C706=Lenovo!A77,Lenovo!D77,0)</f>
        <v>0</v>
      </c>
      <c r="F706" s="153">
        <f>Lenovo!F77</f>
        <v>0</v>
      </c>
      <c r="G706" s="274">
        <f t="shared" si="16"/>
        <v>0</v>
      </c>
      <c r="J706" s="199"/>
      <c r="K706" s="199"/>
    </row>
    <row r="707" spans="2:11">
      <c r="B707" s="151" t="s">
        <v>133</v>
      </c>
      <c r="C707" s="151">
        <f>IF(Lenovo!F78&gt;0,Lenovo!A78,0)</f>
        <v>0</v>
      </c>
      <c r="D707" s="152">
        <f>IF(C707=Lenovo!A78,Lenovo!C78,0)</f>
        <v>0</v>
      </c>
      <c r="E707" s="157">
        <f>IF(C707=Lenovo!A78,Lenovo!D78,0)</f>
        <v>0</v>
      </c>
      <c r="F707" s="153">
        <f>Lenovo!F78</f>
        <v>0</v>
      </c>
      <c r="G707" s="274">
        <f t="shared" si="16"/>
        <v>0</v>
      </c>
      <c r="J707" s="199"/>
      <c r="K707" s="199"/>
    </row>
    <row r="708" spans="2:11">
      <c r="B708" s="151" t="s">
        <v>133</v>
      </c>
      <c r="C708" s="151">
        <f>IF(Lenovo!F79&gt;0,Lenovo!A79,0)</f>
        <v>0</v>
      </c>
      <c r="D708" s="152">
        <f>IF(C708=Lenovo!A79,Lenovo!C79,0)</f>
        <v>0</v>
      </c>
      <c r="E708" s="157">
        <f>IF(C708=Lenovo!A79,Lenovo!D79,0)</f>
        <v>0</v>
      </c>
      <c r="F708" s="153">
        <f>Lenovo!F79</f>
        <v>0</v>
      </c>
      <c r="G708" s="274">
        <f t="shared" si="16"/>
        <v>0</v>
      </c>
      <c r="J708" s="199"/>
      <c r="K708" s="199"/>
    </row>
    <row r="709" spans="2:11">
      <c r="B709" s="151" t="s">
        <v>133</v>
      </c>
      <c r="C709" s="151">
        <f>IF(Lenovo!F80&gt;0,Lenovo!A80,0)</f>
        <v>0</v>
      </c>
      <c r="D709" s="152">
        <f>IF(C709=Lenovo!A80,Lenovo!C80,0)</f>
        <v>0</v>
      </c>
      <c r="E709" s="157">
        <f>IF(C709=Lenovo!A80,Lenovo!D80,0)</f>
        <v>0</v>
      </c>
      <c r="F709" s="153">
        <f>Lenovo!F80</f>
        <v>0</v>
      </c>
      <c r="G709" s="274">
        <f t="shared" si="16"/>
        <v>0</v>
      </c>
      <c r="J709" s="199"/>
      <c r="K709" s="199"/>
    </row>
    <row r="710" spans="2:11">
      <c r="B710" s="151" t="s">
        <v>133</v>
      </c>
      <c r="C710" s="151">
        <f>IF(Lenovo!F81&gt;0,Lenovo!A81,0)</f>
        <v>0</v>
      </c>
      <c r="D710" s="152">
        <f>IF(C710=Lenovo!A81,Lenovo!C81,0)</f>
        <v>0</v>
      </c>
      <c r="E710" s="157">
        <f>IF(C710=Lenovo!A81,Lenovo!D81,0)</f>
        <v>0</v>
      </c>
      <c r="F710" s="153">
        <f>Lenovo!F81</f>
        <v>0</v>
      </c>
      <c r="G710" s="274">
        <f t="shared" si="16"/>
        <v>0</v>
      </c>
      <c r="J710" s="199"/>
      <c r="K710" s="199"/>
    </row>
    <row r="711" spans="2:11">
      <c r="B711" s="151" t="s">
        <v>133</v>
      </c>
      <c r="C711" s="151">
        <f>IF(Lenovo!F82&gt;0,Lenovo!A82,0)</f>
        <v>0</v>
      </c>
      <c r="D711" s="152">
        <f>IF(C711=Lenovo!A82,Lenovo!C82,0)</f>
        <v>0</v>
      </c>
      <c r="E711" s="157">
        <f>IF(C711=Lenovo!A82,Lenovo!D82,0)</f>
        <v>0</v>
      </c>
      <c r="F711" s="153">
        <f>Lenovo!F82</f>
        <v>0</v>
      </c>
      <c r="G711" s="274">
        <f t="shared" si="16"/>
        <v>0</v>
      </c>
      <c r="J711" s="199"/>
      <c r="K711" s="199"/>
    </row>
    <row r="712" spans="2:11">
      <c r="B712" s="151" t="s">
        <v>133</v>
      </c>
      <c r="C712" s="151">
        <f>IF(Lenovo!F83&gt;0,Lenovo!A83,0)</f>
        <v>0</v>
      </c>
      <c r="D712" s="152">
        <f>IF(C712=Lenovo!A83,Lenovo!C83,0)</f>
        <v>0</v>
      </c>
      <c r="E712" s="157">
        <f>IF(C712=Lenovo!A83,Lenovo!D83,0)</f>
        <v>0</v>
      </c>
      <c r="F712" s="153">
        <f>Lenovo!F83</f>
        <v>0</v>
      </c>
      <c r="G712" s="274">
        <f t="shared" si="16"/>
        <v>0</v>
      </c>
      <c r="J712" s="199"/>
      <c r="K712" s="199"/>
    </row>
    <row r="713" spans="2:11">
      <c r="B713" s="151" t="s">
        <v>133</v>
      </c>
      <c r="C713" s="151">
        <f>IF(Lenovo!F84&gt;0,Lenovo!A84,0)</f>
        <v>0</v>
      </c>
      <c r="D713" s="152">
        <f>IF(C713=Lenovo!A84,Lenovo!C84,0)</f>
        <v>0</v>
      </c>
      <c r="E713" s="157">
        <f>IF(C713=Lenovo!A84,Lenovo!D84,0)</f>
        <v>0</v>
      </c>
      <c r="F713" s="153">
        <f>Lenovo!F84</f>
        <v>0</v>
      </c>
      <c r="G713" s="274">
        <f t="shared" si="16"/>
        <v>0</v>
      </c>
      <c r="J713" s="199"/>
      <c r="K713" s="199"/>
    </row>
    <row r="714" spans="2:11">
      <c r="B714" s="151" t="s">
        <v>133</v>
      </c>
      <c r="C714" s="151">
        <f>IF(Lenovo!F85&gt;0,Lenovo!A85,0)</f>
        <v>0</v>
      </c>
      <c r="D714" s="152">
        <f>IF(C714=Lenovo!A85,Lenovo!C85,0)</f>
        <v>0</v>
      </c>
      <c r="E714" s="157">
        <f>IF(C714=Lenovo!A85,Lenovo!D85,0)</f>
        <v>0</v>
      </c>
      <c r="F714" s="153">
        <f>Lenovo!F85</f>
        <v>0</v>
      </c>
      <c r="G714" s="274">
        <f t="shared" si="16"/>
        <v>0</v>
      </c>
      <c r="J714" s="199"/>
      <c r="K714" s="199"/>
    </row>
    <row r="715" spans="2:11">
      <c r="B715" s="151" t="s">
        <v>133</v>
      </c>
      <c r="C715" s="151">
        <f>IF(Lenovo!F86&gt;0,Lenovo!A86,0)</f>
        <v>0</v>
      </c>
      <c r="D715" s="152">
        <f>IF(C715=Lenovo!A86,Lenovo!C86,0)</f>
        <v>0</v>
      </c>
      <c r="E715" s="157">
        <f>IF(C715=Lenovo!A86,Lenovo!D86,0)</f>
        <v>0</v>
      </c>
      <c r="F715" s="153">
        <f>Lenovo!F86</f>
        <v>0</v>
      </c>
      <c r="G715" s="274">
        <f t="shared" si="16"/>
        <v>0</v>
      </c>
      <c r="J715" s="199"/>
      <c r="K715" s="199"/>
    </row>
    <row r="716" spans="2:11">
      <c r="B716" s="151" t="s">
        <v>133</v>
      </c>
      <c r="C716" s="151">
        <f>IF(Lenovo!F87&gt;0,Lenovo!A87,0)</f>
        <v>0</v>
      </c>
      <c r="D716" s="152">
        <f>IF(C716=Lenovo!A87,Lenovo!C87,0)</f>
        <v>0</v>
      </c>
      <c r="E716" s="157">
        <f>IF(C716=Lenovo!A87,Lenovo!D87,0)</f>
        <v>0</v>
      </c>
      <c r="F716" s="153">
        <f>Lenovo!F87</f>
        <v>0</v>
      </c>
      <c r="G716" s="274">
        <f t="shared" si="16"/>
        <v>0</v>
      </c>
      <c r="J716" s="199"/>
      <c r="K716" s="199"/>
    </row>
    <row r="717" spans="2:11">
      <c r="B717" s="151" t="s">
        <v>133</v>
      </c>
      <c r="C717" s="151">
        <f>IF(Lenovo!F88&gt;0,Lenovo!A88,0)</f>
        <v>0</v>
      </c>
      <c r="D717" s="152">
        <f>IF(C717=Lenovo!A88,Lenovo!C88,0)</f>
        <v>0</v>
      </c>
      <c r="E717" s="157">
        <f>IF(C717=Lenovo!A88,Lenovo!D88,0)</f>
        <v>0</v>
      </c>
      <c r="F717" s="153">
        <f>Lenovo!F88</f>
        <v>0</v>
      </c>
      <c r="G717" s="274">
        <f t="shared" si="16"/>
        <v>0</v>
      </c>
      <c r="J717" s="199"/>
      <c r="K717" s="199"/>
    </row>
    <row r="718" spans="2:11">
      <c r="B718" s="151" t="s">
        <v>133</v>
      </c>
      <c r="C718" s="151">
        <f>IF(Lenovo!F89&gt;0,Lenovo!A89,0)</f>
        <v>0</v>
      </c>
      <c r="D718" s="152">
        <f>IF(C718=Lenovo!A89,Lenovo!C89,0)</f>
        <v>0</v>
      </c>
      <c r="E718" s="157">
        <f>IF(C718=Lenovo!A89,Lenovo!D89,0)</f>
        <v>0</v>
      </c>
      <c r="F718" s="153">
        <f>Lenovo!F89</f>
        <v>0</v>
      </c>
      <c r="G718" s="274">
        <f t="shared" si="16"/>
        <v>0</v>
      </c>
      <c r="J718" s="199"/>
      <c r="K718" s="199"/>
    </row>
    <row r="719" spans="2:11">
      <c r="B719" s="151" t="s">
        <v>133</v>
      </c>
      <c r="C719" s="151">
        <f>IF(Lenovo!F90&gt;0,Lenovo!A90,0)</f>
        <v>0</v>
      </c>
      <c r="D719" s="152">
        <f>IF(C719=Lenovo!A90,Lenovo!C90,0)</f>
        <v>0</v>
      </c>
      <c r="E719" s="157">
        <f>IF(C719=Lenovo!A90,Lenovo!D90,0)</f>
        <v>0</v>
      </c>
      <c r="F719" s="153">
        <f>Lenovo!F90</f>
        <v>0</v>
      </c>
      <c r="G719" s="274">
        <f t="shared" si="16"/>
        <v>0</v>
      </c>
      <c r="J719" s="199"/>
      <c r="K719" s="199"/>
    </row>
    <row r="720" spans="2:11">
      <c r="B720" s="151" t="s">
        <v>133</v>
      </c>
      <c r="C720" s="151">
        <f>IF(Lenovo!F91&gt;0,Lenovo!A91,0)</f>
        <v>0</v>
      </c>
      <c r="D720" s="152">
        <f>IF(C720=Lenovo!A91,Lenovo!C91,0)</f>
        <v>0</v>
      </c>
      <c r="E720" s="157">
        <f>IF(C720=Lenovo!A91,Lenovo!D91,0)</f>
        <v>0</v>
      </c>
      <c r="F720" s="153">
        <f>Lenovo!F91</f>
        <v>0</v>
      </c>
      <c r="G720" s="274">
        <f t="shared" si="16"/>
        <v>0</v>
      </c>
      <c r="J720" s="199"/>
      <c r="K720" s="199"/>
    </row>
    <row r="721" spans="2:11">
      <c r="B721" s="151" t="s">
        <v>133</v>
      </c>
      <c r="C721" s="151">
        <f>IF(Lenovo!F92&gt;0,Lenovo!A92,0)</f>
        <v>0</v>
      </c>
      <c r="D721" s="152">
        <f>IF(C721=Lenovo!A92,Lenovo!C92,0)</f>
        <v>0</v>
      </c>
      <c r="E721" s="157">
        <f>IF(C721=Lenovo!A92,Lenovo!D92,0)</f>
        <v>0</v>
      </c>
      <c r="F721" s="153">
        <f>Lenovo!F92</f>
        <v>0</v>
      </c>
      <c r="G721" s="274">
        <f t="shared" si="16"/>
        <v>0</v>
      </c>
      <c r="J721" s="199"/>
      <c r="K721" s="199"/>
    </row>
    <row r="722" spans="2:11">
      <c r="B722" s="151" t="s">
        <v>133</v>
      </c>
      <c r="C722" s="151">
        <f>IF(Lenovo!F93&gt;0,Lenovo!A93,0)</f>
        <v>0</v>
      </c>
      <c r="D722" s="152">
        <f>IF(C722=Lenovo!A93,Lenovo!C93,0)</f>
        <v>0</v>
      </c>
      <c r="E722" s="157">
        <f>IF(C722=Lenovo!A93,Lenovo!D93,0)</f>
        <v>0</v>
      </c>
      <c r="F722" s="153">
        <f>Lenovo!F93</f>
        <v>0</v>
      </c>
      <c r="G722" s="274">
        <f t="shared" si="16"/>
        <v>0</v>
      </c>
      <c r="J722" s="199"/>
      <c r="K722" s="199"/>
    </row>
    <row r="723" spans="2:11">
      <c r="B723" s="151" t="s">
        <v>133</v>
      </c>
      <c r="C723" s="151">
        <f>IF(Lenovo!F94&gt;0,Lenovo!A94,0)</f>
        <v>0</v>
      </c>
      <c r="D723" s="152">
        <f>IF(C723=Lenovo!A94,Lenovo!C94,0)</f>
        <v>0</v>
      </c>
      <c r="E723" s="157">
        <f>IF(C723=Lenovo!A94,Lenovo!D94,0)</f>
        <v>0</v>
      </c>
      <c r="F723" s="153">
        <f>Lenovo!F94</f>
        <v>0</v>
      </c>
      <c r="G723" s="274">
        <f t="shared" si="16"/>
        <v>0</v>
      </c>
      <c r="J723" s="199"/>
      <c r="K723" s="199"/>
    </row>
    <row r="724" spans="2:11">
      <c r="B724" s="151" t="s">
        <v>133</v>
      </c>
      <c r="C724" s="151">
        <f>IF(Lenovo!F95&gt;0,Lenovo!A95,0)</f>
        <v>0</v>
      </c>
      <c r="D724" s="152">
        <f>IF(C724=Lenovo!A95,Lenovo!C95,0)</f>
        <v>0</v>
      </c>
      <c r="E724" s="157">
        <f>IF(C724=Lenovo!A95,Lenovo!D95,0)</f>
        <v>0</v>
      </c>
      <c r="F724" s="153">
        <f>Lenovo!F95</f>
        <v>0</v>
      </c>
      <c r="G724" s="274">
        <f t="shared" si="16"/>
        <v>0</v>
      </c>
      <c r="J724" s="199"/>
      <c r="K724" s="199"/>
    </row>
    <row r="725" spans="2:11">
      <c r="B725" s="151" t="s">
        <v>133</v>
      </c>
      <c r="C725" s="151">
        <f>IF(Lenovo!F96&gt;0,Lenovo!A96,0)</f>
        <v>0</v>
      </c>
      <c r="D725" s="152">
        <f>IF(C725=Lenovo!A96,Lenovo!C96,0)</f>
        <v>0</v>
      </c>
      <c r="E725" s="157">
        <f>IF(C725=Lenovo!A96,Lenovo!D96,0)</f>
        <v>0</v>
      </c>
      <c r="F725" s="153">
        <f>Lenovo!F96</f>
        <v>0</v>
      </c>
      <c r="G725" s="274">
        <f t="shared" si="16"/>
        <v>0</v>
      </c>
      <c r="J725" s="199"/>
      <c r="K725" s="199"/>
    </row>
    <row r="726" spans="2:11">
      <c r="B726" s="151" t="s">
        <v>133</v>
      </c>
      <c r="C726" s="151">
        <f>IF(Lenovo!F97&gt;0,Lenovo!A97,0)</f>
        <v>0</v>
      </c>
      <c r="D726" s="152">
        <f>IF(C726=Lenovo!A97,Lenovo!C97,0)</f>
        <v>0</v>
      </c>
      <c r="E726" s="157">
        <f>IF(C726=Lenovo!A97,Lenovo!D97,0)</f>
        <v>0</v>
      </c>
      <c r="F726" s="153">
        <f>Lenovo!F97</f>
        <v>0</v>
      </c>
      <c r="G726" s="274">
        <f t="shared" si="16"/>
        <v>0</v>
      </c>
      <c r="J726" s="199"/>
      <c r="K726" s="199"/>
    </row>
    <row r="727" spans="2:11">
      <c r="B727" s="151" t="s">
        <v>133</v>
      </c>
      <c r="C727" s="151">
        <f>IF(Lenovo!F98&gt;0,Lenovo!A98,0)</f>
        <v>0</v>
      </c>
      <c r="D727" s="152">
        <f>IF(C727=Lenovo!A98,Lenovo!C98,0)</f>
        <v>0</v>
      </c>
      <c r="E727" s="157">
        <f>IF(C727=Lenovo!A98,Lenovo!D98,0)</f>
        <v>0</v>
      </c>
      <c r="F727" s="153">
        <f>Lenovo!F98</f>
        <v>0</v>
      </c>
      <c r="G727" s="274">
        <f t="shared" si="16"/>
        <v>0</v>
      </c>
      <c r="J727" s="199"/>
      <c r="K727" s="199"/>
    </row>
    <row r="728" spans="2:11">
      <c r="B728" s="151" t="s">
        <v>133</v>
      </c>
      <c r="C728" s="151">
        <f>IF(Lenovo!F99&gt;0,Lenovo!A99,0)</f>
        <v>0</v>
      </c>
      <c r="D728" s="152">
        <f>IF(C728=Lenovo!A99,Lenovo!C99,0)</f>
        <v>0</v>
      </c>
      <c r="E728" s="157">
        <f>IF(C728=Lenovo!A99,Lenovo!D99,0)</f>
        <v>0</v>
      </c>
      <c r="F728" s="153">
        <f>Lenovo!F99</f>
        <v>0</v>
      </c>
      <c r="G728" s="274">
        <f t="shared" si="16"/>
        <v>0</v>
      </c>
      <c r="J728" s="199"/>
      <c r="K728" s="199"/>
    </row>
    <row r="729" spans="2:11">
      <c r="B729" s="151" t="s">
        <v>133</v>
      </c>
      <c r="C729" s="151">
        <f>IF(Lenovo!F100&gt;0,Lenovo!A100,0)</f>
        <v>0</v>
      </c>
      <c r="D729" s="152">
        <f>IF(C729=Lenovo!A100,Lenovo!C100,0)</f>
        <v>0</v>
      </c>
      <c r="E729" s="157">
        <f>IF(C729=Lenovo!A100,Lenovo!D100,0)</f>
        <v>0</v>
      </c>
      <c r="F729" s="153">
        <f>Lenovo!F100</f>
        <v>0</v>
      </c>
      <c r="G729" s="274">
        <f t="shared" si="16"/>
        <v>0</v>
      </c>
      <c r="J729" s="199"/>
      <c r="K729" s="199"/>
    </row>
    <row r="730" spans="2:11">
      <c r="B730" s="151" t="s">
        <v>133</v>
      </c>
      <c r="C730" s="151">
        <f>IF(Lenovo!F101&gt;0,Lenovo!A101,0)</f>
        <v>0</v>
      </c>
      <c r="D730" s="152">
        <f>IF(C730=Lenovo!A101,Lenovo!C101,0)</f>
        <v>0</v>
      </c>
      <c r="E730" s="157">
        <f>IF(C730=Lenovo!A101,Lenovo!D101,0)</f>
        <v>0</v>
      </c>
      <c r="F730" s="153">
        <f>Lenovo!F101</f>
        <v>0</v>
      </c>
      <c r="G730" s="274">
        <f t="shared" si="16"/>
        <v>0</v>
      </c>
      <c r="J730" s="199"/>
      <c r="K730" s="199"/>
    </row>
    <row r="731" spans="2:11">
      <c r="B731" s="151" t="s">
        <v>133</v>
      </c>
      <c r="C731" s="151">
        <f>IF(Lenovo!F102&gt;0,Lenovo!A102,0)</f>
        <v>0</v>
      </c>
      <c r="D731" s="152">
        <f>IF(C731=Lenovo!A102,Lenovo!C102,0)</f>
        <v>0</v>
      </c>
      <c r="E731" s="157">
        <f>IF(C731=Lenovo!A102,Lenovo!D102,0)</f>
        <v>0</v>
      </c>
      <c r="F731" s="153">
        <f>Lenovo!F102</f>
        <v>0</v>
      </c>
      <c r="G731" s="274">
        <f t="shared" si="16"/>
        <v>0</v>
      </c>
      <c r="J731" s="199"/>
      <c r="K731" s="199"/>
    </row>
    <row r="732" spans="2:11">
      <c r="B732" s="151" t="s">
        <v>12</v>
      </c>
      <c r="C732" s="272">
        <f>IF(APC!F735&gt;0,APC!A735,0)</f>
        <v>0</v>
      </c>
      <c r="D732" s="273">
        <f>IF(C732=APC!A735,APC!C735,0)</f>
        <v>0</v>
      </c>
      <c r="E732" s="274">
        <f>IF(C732=APC!A735,APC!D735,0)</f>
        <v>0</v>
      </c>
      <c r="F732" s="275">
        <f>APC!F735</f>
        <v>0</v>
      </c>
      <c r="G732" s="274">
        <f t="shared" si="16"/>
        <v>0</v>
      </c>
      <c r="J732" s="199"/>
      <c r="K732" s="199"/>
    </row>
    <row r="733" spans="2:11">
      <c r="B733" s="151" t="s">
        <v>12</v>
      </c>
      <c r="C733" s="272">
        <f>IF(APC!F736&gt;0,APC!A736,0)</f>
        <v>0</v>
      </c>
      <c r="D733" s="273">
        <f>IF(C733=APC!A736,APC!C736,0)</f>
        <v>0</v>
      </c>
      <c r="E733" s="274">
        <f>IF(C733=APC!A736,APC!D736,0)</f>
        <v>0</v>
      </c>
      <c r="F733" s="275">
        <f>APC!F736</f>
        <v>0</v>
      </c>
      <c r="G733" s="274">
        <f t="shared" si="16"/>
        <v>0</v>
      </c>
      <c r="J733" s="199"/>
      <c r="K733" s="199"/>
    </row>
    <row r="734" spans="2:11">
      <c r="B734" s="151" t="s">
        <v>12</v>
      </c>
      <c r="C734" s="272">
        <f>IF(APC!F737&gt;0,APC!A737,0)</f>
        <v>0</v>
      </c>
      <c r="D734" s="273">
        <f>IF(C734=APC!A737,APC!C737,0)</f>
        <v>0</v>
      </c>
      <c r="E734" s="274">
        <f>IF(C734=APC!A737,APC!D737,0)</f>
        <v>0</v>
      </c>
      <c r="F734" s="275">
        <f>APC!F737</f>
        <v>0</v>
      </c>
      <c r="G734" s="274">
        <f t="shared" si="16"/>
        <v>0</v>
      </c>
      <c r="J734" s="199"/>
      <c r="K734" s="199"/>
    </row>
    <row r="735" spans="2:11">
      <c r="B735" s="151" t="s">
        <v>12</v>
      </c>
      <c r="C735" s="272">
        <f>IF(APC!F738&gt;0,APC!A738,0)</f>
        <v>0</v>
      </c>
      <c r="D735" s="273">
        <f>IF(C735=APC!A738,APC!C738,0)</f>
        <v>0</v>
      </c>
      <c r="E735" s="274">
        <f>IF(C735=APC!A738,APC!D738,0)</f>
        <v>0</v>
      </c>
      <c r="F735" s="275">
        <f>APC!F738</f>
        <v>0</v>
      </c>
      <c r="G735" s="274">
        <f t="shared" si="16"/>
        <v>0</v>
      </c>
      <c r="J735" s="199"/>
      <c r="K735" s="199"/>
    </row>
    <row r="736" spans="2:11">
      <c r="B736" s="151" t="s">
        <v>12</v>
      </c>
      <c r="C736" s="272">
        <f>IF(APC!F739&gt;0,APC!A739,0)</f>
        <v>0</v>
      </c>
      <c r="D736" s="273">
        <f>IF(C736=APC!A739,APC!C739,0)</f>
        <v>0</v>
      </c>
      <c r="E736" s="274">
        <f>IF(C736=APC!A739,APC!D739,0)</f>
        <v>0</v>
      </c>
      <c r="F736" s="275">
        <f>APC!F739</f>
        <v>0</v>
      </c>
      <c r="G736" s="274">
        <f t="shared" si="16"/>
        <v>0</v>
      </c>
      <c r="I736" s="177"/>
      <c r="J736" s="199"/>
      <c r="K736" s="199"/>
    </row>
    <row r="737" spans="2:11">
      <c r="B737" s="151" t="s">
        <v>12</v>
      </c>
      <c r="C737" s="272">
        <f>IF(APC!F740&gt;0,APC!A740,0)</f>
        <v>0</v>
      </c>
      <c r="D737" s="273">
        <f>IF(C737=APC!A740,APC!C740,0)</f>
        <v>0</v>
      </c>
      <c r="E737" s="274">
        <f>IF(C737=APC!A740,APC!D740,0)</f>
        <v>0</v>
      </c>
      <c r="F737" s="275">
        <f>APC!F740</f>
        <v>0</v>
      </c>
      <c r="G737" s="274">
        <f t="shared" si="16"/>
        <v>0</v>
      </c>
      <c r="J737" s="199"/>
      <c r="K737" s="199"/>
    </row>
    <row r="738" spans="2:11">
      <c r="B738" s="151" t="s">
        <v>12</v>
      </c>
      <c r="C738" s="272">
        <f>IF(APC!F741&gt;0,APC!A741,0)</f>
        <v>0</v>
      </c>
      <c r="D738" s="273">
        <f>IF(C738=APC!A741,APC!C741,0)</f>
        <v>0</v>
      </c>
      <c r="E738" s="274">
        <f>IF(C738=APC!A741,APC!D741,0)</f>
        <v>0</v>
      </c>
      <c r="F738" s="275">
        <f>APC!F741</f>
        <v>0</v>
      </c>
      <c r="G738" s="274">
        <f t="shared" si="16"/>
        <v>0</v>
      </c>
      <c r="J738" s="199"/>
      <c r="K738" s="199"/>
    </row>
    <row r="739" spans="2:11">
      <c r="B739" s="151" t="s">
        <v>12</v>
      </c>
      <c r="C739" s="272">
        <f>IF(APC!F742&gt;0,APC!A742,0)</f>
        <v>0</v>
      </c>
      <c r="D739" s="273">
        <f>IF(C739=APC!A742,APC!C742,0)</f>
        <v>0</v>
      </c>
      <c r="E739" s="274">
        <f>IF(C739=APC!A742,APC!D742,0)</f>
        <v>0</v>
      </c>
      <c r="F739" s="275">
        <f>APC!F742</f>
        <v>0</v>
      </c>
      <c r="G739" s="274">
        <f t="shared" si="16"/>
        <v>0</v>
      </c>
      <c r="J739" s="199"/>
      <c r="K739" s="199"/>
    </row>
    <row r="740" spans="2:11">
      <c r="B740" s="151" t="s">
        <v>12</v>
      </c>
      <c r="C740" s="272">
        <f>IF(APC!F743&gt;0,APC!A743,0)</f>
        <v>0</v>
      </c>
      <c r="D740" s="273">
        <f>IF(C740=APC!A743,APC!C743,0)</f>
        <v>0</v>
      </c>
      <c r="E740" s="274">
        <f>IF(C740=APC!A743,APC!D743,0)</f>
        <v>0</v>
      </c>
      <c r="F740" s="275">
        <f>APC!F743</f>
        <v>0</v>
      </c>
      <c r="G740" s="274">
        <f t="shared" si="16"/>
        <v>0</v>
      </c>
      <c r="J740" s="199"/>
      <c r="K740" s="199"/>
    </row>
    <row r="741" spans="2:11">
      <c r="B741" s="151" t="s">
        <v>12</v>
      </c>
      <c r="C741" s="272">
        <f>IF(APC!F744&gt;0,APC!A744,0)</f>
        <v>0</v>
      </c>
      <c r="D741" s="273">
        <f>IF(C741=APC!A744,APC!C744,0)</f>
        <v>0</v>
      </c>
      <c r="E741" s="274">
        <f>IF(C741=APC!A744,APC!D744,0)</f>
        <v>0</v>
      </c>
      <c r="F741" s="275">
        <f>APC!F744</f>
        <v>0</v>
      </c>
      <c r="G741" s="274">
        <f t="shared" si="16"/>
        <v>0</v>
      </c>
      <c r="J741" s="199"/>
      <c r="K741" s="199"/>
    </row>
    <row r="742" spans="2:11">
      <c r="B742" s="151" t="s">
        <v>12</v>
      </c>
      <c r="C742" s="272">
        <f>IF(APC!F745&gt;0,APC!A745,0)</f>
        <v>0</v>
      </c>
      <c r="D742" s="273">
        <f>IF(C742=APC!A745,APC!C745,0)</f>
        <v>0</v>
      </c>
      <c r="E742" s="274">
        <f>IF(C742=APC!A745,APC!D745,0)</f>
        <v>0</v>
      </c>
      <c r="F742" s="275">
        <f>APC!F745</f>
        <v>0</v>
      </c>
      <c r="G742" s="274">
        <f t="shared" si="16"/>
        <v>0</v>
      </c>
      <c r="J742" s="199"/>
      <c r="K742" s="199"/>
    </row>
    <row r="743" spans="2:11">
      <c r="B743" s="151" t="s">
        <v>12</v>
      </c>
      <c r="C743" s="272">
        <f>IF(APC!F746&gt;0,APC!A746,0)</f>
        <v>0</v>
      </c>
      <c r="D743" s="273">
        <f>IF(C743=APC!A746,APC!C746,0)</f>
        <v>0</v>
      </c>
      <c r="E743" s="274">
        <f>IF(C743=APC!A746,APC!D746,0)</f>
        <v>0</v>
      </c>
      <c r="F743" s="275">
        <f>APC!F746</f>
        <v>0</v>
      </c>
      <c r="G743" s="274">
        <f t="shared" si="16"/>
        <v>0</v>
      </c>
      <c r="J743" s="199"/>
      <c r="K743" s="199"/>
    </row>
    <row r="744" spans="2:11">
      <c r="B744" s="151" t="s">
        <v>12</v>
      </c>
      <c r="C744" s="272">
        <f>IF(APC!F747&gt;0,APC!A747,0)</f>
        <v>0</v>
      </c>
      <c r="D744" s="273">
        <f>IF(C744=APC!A747,APC!C747,0)</f>
        <v>0</v>
      </c>
      <c r="E744" s="274">
        <f>IF(C744=APC!A747,APC!D747,0)</f>
        <v>0</v>
      </c>
      <c r="F744" s="275">
        <f>APC!F747</f>
        <v>0</v>
      </c>
      <c r="G744" s="274">
        <f t="shared" si="16"/>
        <v>0</v>
      </c>
      <c r="J744" s="199"/>
      <c r="K744" s="199"/>
    </row>
    <row r="745" spans="2:11">
      <c r="B745" s="151" t="s">
        <v>12</v>
      </c>
      <c r="C745" s="272">
        <f>IF(APC!F748&gt;0,APC!A748,0)</f>
        <v>0</v>
      </c>
      <c r="D745" s="273">
        <f>IF(C745=APC!A748,APC!C748,0)</f>
        <v>0</v>
      </c>
      <c r="E745" s="274">
        <f>IF(C745=APC!A748,APC!D748,0)</f>
        <v>0</v>
      </c>
      <c r="F745" s="275">
        <f>APC!F748</f>
        <v>0</v>
      </c>
      <c r="G745" s="274">
        <f t="shared" si="16"/>
        <v>0</v>
      </c>
      <c r="J745" s="199"/>
      <c r="K745" s="199"/>
    </row>
    <row r="746" spans="2:11">
      <c r="B746" s="151" t="s">
        <v>12</v>
      </c>
      <c r="C746" s="272">
        <f>IF(APC!F749&gt;0,APC!A749,0)</f>
        <v>0</v>
      </c>
      <c r="D746" s="273">
        <f>IF(C746=APC!A749,APC!C749,0)</f>
        <v>0</v>
      </c>
      <c r="E746" s="274">
        <f>IF(C746=APC!A749,APC!D749,0)</f>
        <v>0</v>
      </c>
      <c r="F746" s="275">
        <f>APC!F749</f>
        <v>0</v>
      </c>
      <c r="G746" s="274">
        <f t="shared" si="16"/>
        <v>0</v>
      </c>
      <c r="J746" s="199"/>
      <c r="K746" s="199"/>
    </row>
    <row r="747" spans="2:11">
      <c r="B747" s="151" t="s">
        <v>12</v>
      </c>
      <c r="C747" s="272">
        <f>IF(APC!F750&gt;0,APC!A750,0)</f>
        <v>0</v>
      </c>
      <c r="D747" s="273">
        <f>IF(C747=APC!A750,APC!C750,0)</f>
        <v>0</v>
      </c>
      <c r="E747" s="274">
        <f>IF(C747=APC!A750,APC!D750,0)</f>
        <v>0</v>
      </c>
      <c r="F747" s="275">
        <f>APC!F750</f>
        <v>0</v>
      </c>
      <c r="G747" s="274">
        <f t="shared" si="16"/>
        <v>0</v>
      </c>
      <c r="J747" s="199"/>
      <c r="K747" s="199"/>
    </row>
    <row r="748" spans="2:11">
      <c r="B748" s="151" t="s">
        <v>12</v>
      </c>
      <c r="C748" s="272">
        <f>IF(APC!F751&gt;0,APC!A751,0)</f>
        <v>0</v>
      </c>
      <c r="D748" s="273">
        <f>IF(C748=APC!A751,APC!C751,0)</f>
        <v>0</v>
      </c>
      <c r="E748" s="274">
        <f>IF(C748=APC!A751,APC!D751,0)</f>
        <v>0</v>
      </c>
      <c r="F748" s="275">
        <f>APC!F751</f>
        <v>0</v>
      </c>
      <c r="G748" s="274">
        <f t="shared" si="16"/>
        <v>0</v>
      </c>
      <c r="J748" s="199"/>
      <c r="K748" s="199"/>
    </row>
    <row r="749" spans="2:11">
      <c r="B749" s="151" t="s">
        <v>12</v>
      </c>
      <c r="C749" s="272">
        <f>IF(APC!F752&gt;0,APC!A752,0)</f>
        <v>0</v>
      </c>
      <c r="D749" s="273">
        <f>IF(C749=APC!A752,APC!C752,0)</f>
        <v>0</v>
      </c>
      <c r="E749" s="274">
        <f>IF(C749=APC!A752,APC!D752,0)</f>
        <v>0</v>
      </c>
      <c r="F749" s="275">
        <f>APC!F752</f>
        <v>0</v>
      </c>
      <c r="G749" s="274">
        <f t="shared" si="16"/>
        <v>0</v>
      </c>
      <c r="J749" s="199"/>
      <c r="K749" s="199"/>
    </row>
    <row r="750" spans="2:11">
      <c r="B750" s="151" t="s">
        <v>12</v>
      </c>
      <c r="C750" s="272">
        <f>IF(APC!F753&gt;0,APC!A753,0)</f>
        <v>0</v>
      </c>
      <c r="D750" s="273">
        <f>IF(C750=APC!A753,APC!C753,0)</f>
        <v>0</v>
      </c>
      <c r="E750" s="274">
        <f>IF(C750=APC!A753,APC!D753,0)</f>
        <v>0</v>
      </c>
      <c r="F750" s="275">
        <f>APC!F753</f>
        <v>0</v>
      </c>
      <c r="G750" s="274">
        <f t="shared" si="16"/>
        <v>0</v>
      </c>
      <c r="J750" s="199"/>
      <c r="K750" s="199"/>
    </row>
    <row r="751" spans="2:11">
      <c r="B751" s="151" t="s">
        <v>12</v>
      </c>
      <c r="C751" s="272">
        <f>IF(APC!F754&gt;0,APC!A754,0)</f>
        <v>0</v>
      </c>
      <c r="D751" s="273">
        <f>IF(C751=APC!A754,APC!C754,0)</f>
        <v>0</v>
      </c>
      <c r="E751" s="274">
        <f>IF(C751=APC!A754,APC!D754,0)</f>
        <v>0</v>
      </c>
      <c r="F751" s="275">
        <f>APC!F754</f>
        <v>0</v>
      </c>
      <c r="G751" s="274">
        <f t="shared" si="16"/>
        <v>0</v>
      </c>
      <c r="J751" s="199"/>
      <c r="K751" s="199"/>
    </row>
    <row r="752" spans="2:11">
      <c r="B752" s="151" t="s">
        <v>12</v>
      </c>
      <c r="C752" s="272">
        <f>IF(APC!F755&gt;0,APC!A755,0)</f>
        <v>0</v>
      </c>
      <c r="D752" s="273">
        <f>IF(C752=APC!A755,APC!C755,0)</f>
        <v>0</v>
      </c>
      <c r="E752" s="274">
        <f>IF(C752=APC!A755,APC!D755,0)</f>
        <v>0</v>
      </c>
      <c r="F752" s="275">
        <f>APC!F755</f>
        <v>0</v>
      </c>
      <c r="G752" s="274">
        <f t="shared" si="16"/>
        <v>0</v>
      </c>
      <c r="J752" s="199"/>
      <c r="K752" s="199"/>
    </row>
    <row r="753" spans="2:11">
      <c r="B753" s="151" t="s">
        <v>12</v>
      </c>
      <c r="C753" s="272">
        <f>IF(APC!F756&gt;0,APC!A756,0)</f>
        <v>0</v>
      </c>
      <c r="D753" s="273">
        <f>IF(C753=APC!A756,APC!C756,0)</f>
        <v>0</v>
      </c>
      <c r="E753" s="274">
        <f>IF(C753=APC!A756,APC!D756,0)</f>
        <v>0</v>
      </c>
      <c r="F753" s="275">
        <f>APC!F756</f>
        <v>0</v>
      </c>
      <c r="G753" s="274">
        <f t="shared" si="16"/>
        <v>0</v>
      </c>
      <c r="J753" s="199"/>
      <c r="K753" s="199"/>
    </row>
    <row r="754" spans="2:11">
      <c r="B754" s="151" t="s">
        <v>12</v>
      </c>
      <c r="C754" s="272">
        <f>IF(APC!F757&gt;0,APC!A757,0)</f>
        <v>0</v>
      </c>
      <c r="D754" s="273">
        <f>IF(C754=APC!A757,APC!C757,0)</f>
        <v>0</v>
      </c>
      <c r="E754" s="274">
        <f>IF(C754=APC!A757,APC!D757,0)</f>
        <v>0</v>
      </c>
      <c r="F754" s="275">
        <f>APC!F757</f>
        <v>0</v>
      </c>
      <c r="G754" s="274">
        <f t="shared" si="16"/>
        <v>0</v>
      </c>
      <c r="J754" s="199"/>
      <c r="K754" s="199"/>
    </row>
    <row r="755" spans="2:11">
      <c r="B755" s="151" t="s">
        <v>12</v>
      </c>
      <c r="C755" s="272">
        <f>IF(APC!F758&gt;0,APC!A758,0)</f>
        <v>0</v>
      </c>
      <c r="D755" s="273">
        <f>IF(C755=APC!A758,APC!C758,0)</f>
        <v>0</v>
      </c>
      <c r="E755" s="274">
        <f>IF(C755=APC!A758,APC!D758,0)</f>
        <v>0</v>
      </c>
      <c r="F755" s="275">
        <f>APC!F758</f>
        <v>0</v>
      </c>
      <c r="G755" s="274">
        <f t="shared" si="16"/>
        <v>0</v>
      </c>
      <c r="J755" s="199"/>
      <c r="K755" s="199"/>
    </row>
    <row r="756" spans="2:11">
      <c r="B756" s="151" t="s">
        <v>12</v>
      </c>
      <c r="C756" s="272">
        <f>IF(APC!F759&gt;0,APC!A759,0)</f>
        <v>0</v>
      </c>
      <c r="D756" s="273">
        <f>IF(C756=APC!A759,APC!C759,0)</f>
        <v>0</v>
      </c>
      <c r="E756" s="274">
        <f>IF(C756=APC!A759,APC!D759,0)</f>
        <v>0</v>
      </c>
      <c r="F756" s="275">
        <f>APC!F759</f>
        <v>0</v>
      </c>
      <c r="G756" s="274">
        <f t="shared" si="16"/>
        <v>0</v>
      </c>
      <c r="J756" s="199"/>
      <c r="K756" s="199"/>
    </row>
    <row r="757" spans="2:11">
      <c r="B757" s="151" t="s">
        <v>12</v>
      </c>
      <c r="C757" s="272">
        <f>IF(APC!F760&gt;0,APC!A760,0)</f>
        <v>0</v>
      </c>
      <c r="D757" s="273">
        <f>IF(C757=APC!A760,APC!C760,0)</f>
        <v>0</v>
      </c>
      <c r="E757" s="274">
        <f>IF(C757=APC!A760,APC!D760,0)</f>
        <v>0</v>
      </c>
      <c r="F757" s="275">
        <f>APC!F760</f>
        <v>0</v>
      </c>
      <c r="G757" s="274">
        <f t="shared" si="16"/>
        <v>0</v>
      </c>
      <c r="J757" s="199"/>
      <c r="K757" s="199"/>
    </row>
    <row r="758" spans="2:11">
      <c r="B758" s="151" t="s">
        <v>12</v>
      </c>
      <c r="C758" s="272">
        <f>IF(APC!F761&gt;0,APC!A761,0)</f>
        <v>0</v>
      </c>
      <c r="D758" s="273">
        <f>IF(C758=APC!A761,APC!C761,0)</f>
        <v>0</v>
      </c>
      <c r="E758" s="274">
        <f>IF(C758=APC!A761,APC!D761,0)</f>
        <v>0</v>
      </c>
      <c r="F758" s="275">
        <f>APC!F761</f>
        <v>0</v>
      </c>
      <c r="G758" s="274">
        <f t="shared" si="16"/>
        <v>0</v>
      </c>
      <c r="J758" s="199"/>
      <c r="K758" s="199"/>
    </row>
    <row r="759" spans="2:11">
      <c r="B759" s="151" t="s">
        <v>12</v>
      </c>
      <c r="C759" s="272">
        <f>IF(APC!F762&gt;0,APC!A762,0)</f>
        <v>0</v>
      </c>
      <c r="D759" s="273">
        <f>IF(C759=APC!A762,APC!C762,0)</f>
        <v>0</v>
      </c>
      <c r="E759" s="274">
        <f>IF(C759=APC!A762,APC!D762,0)</f>
        <v>0</v>
      </c>
      <c r="F759" s="275">
        <f>APC!F762</f>
        <v>0</v>
      </c>
      <c r="G759" s="274">
        <f t="shared" si="16"/>
        <v>0</v>
      </c>
      <c r="J759" s="199"/>
      <c r="K759" s="199"/>
    </row>
    <row r="760" spans="2:11">
      <c r="B760" s="151" t="s">
        <v>12</v>
      </c>
      <c r="C760" s="272">
        <f>IF(APC!F763&gt;0,APC!A763,0)</f>
        <v>0</v>
      </c>
      <c r="D760" s="273">
        <f>IF(C760=APC!A763,APC!C763,0)</f>
        <v>0</v>
      </c>
      <c r="E760" s="274">
        <f>IF(C760=APC!A763,APC!D763,0)</f>
        <v>0</v>
      </c>
      <c r="F760" s="275">
        <f>APC!F763</f>
        <v>0</v>
      </c>
      <c r="G760" s="274">
        <f t="shared" si="16"/>
        <v>0</v>
      </c>
      <c r="J760" s="199"/>
      <c r="K760" s="199"/>
    </row>
    <row r="761" spans="2:11">
      <c r="B761" s="151" t="s">
        <v>12</v>
      </c>
      <c r="C761" s="272">
        <f>IF(APC!F764&gt;0,APC!A764,0)</f>
        <v>0</v>
      </c>
      <c r="D761" s="273">
        <f>IF(C761=APC!A764,APC!C764,0)</f>
        <v>0</v>
      </c>
      <c r="E761" s="274">
        <f>IF(C761=APC!A764,APC!D764,0)</f>
        <v>0</v>
      </c>
      <c r="F761" s="275">
        <f>APC!F764</f>
        <v>0</v>
      </c>
      <c r="G761" s="274">
        <f t="shared" si="16"/>
        <v>0</v>
      </c>
      <c r="J761" s="199"/>
      <c r="K761" s="199"/>
    </row>
    <row r="762" spans="2:11">
      <c r="B762" s="151" t="s">
        <v>12</v>
      </c>
      <c r="C762" s="272">
        <f>IF(APC!F765&gt;0,APC!A765,0)</f>
        <v>0</v>
      </c>
      <c r="D762" s="273">
        <f>IF(C762=APC!A765,APC!C765,0)</f>
        <v>0</v>
      </c>
      <c r="E762" s="274">
        <f>IF(C762=APC!A765,APC!D765,0)</f>
        <v>0</v>
      </c>
      <c r="F762" s="275">
        <f>APC!F765</f>
        <v>0</v>
      </c>
      <c r="G762" s="274">
        <f t="shared" si="16"/>
        <v>0</v>
      </c>
      <c r="J762" s="199"/>
      <c r="K762" s="199"/>
    </row>
    <row r="763" spans="2:11">
      <c r="B763" s="151" t="s">
        <v>12</v>
      </c>
      <c r="C763" s="272">
        <f>IF(APC!F766&gt;0,APC!A766,0)</f>
        <v>0</v>
      </c>
      <c r="D763" s="273">
        <f>IF(C763=APC!A766,APC!C766,0)</f>
        <v>0</v>
      </c>
      <c r="E763" s="274">
        <f>IF(C763=APC!A766,APC!D766,0)</f>
        <v>0</v>
      </c>
      <c r="F763" s="275">
        <f>APC!F766</f>
        <v>0</v>
      </c>
      <c r="G763" s="274">
        <f t="shared" si="16"/>
        <v>0</v>
      </c>
      <c r="J763" s="199"/>
      <c r="K763" s="199"/>
    </row>
    <row r="764" spans="2:11">
      <c r="B764" s="151" t="s">
        <v>12</v>
      </c>
      <c r="C764" s="272">
        <f>IF(APC!F767&gt;0,APC!A767,0)</f>
        <v>0</v>
      </c>
      <c r="D764" s="273">
        <f>IF(C764=APC!A767,APC!C767,0)</f>
        <v>0</v>
      </c>
      <c r="E764" s="274">
        <f>IF(C764=APC!A767,APC!D767,0)</f>
        <v>0</v>
      </c>
      <c r="F764" s="275">
        <f>APC!F767</f>
        <v>0</v>
      </c>
      <c r="G764" s="274">
        <f t="shared" si="16"/>
        <v>0</v>
      </c>
      <c r="J764" s="199"/>
      <c r="K764" s="199"/>
    </row>
    <row r="765" spans="2:11">
      <c r="B765" s="151" t="s">
        <v>12</v>
      </c>
      <c r="C765" s="272">
        <f>IF(APC!F768&gt;0,APC!A768,0)</f>
        <v>0</v>
      </c>
      <c r="D765" s="273">
        <f>IF(C765=APC!A768,APC!C768,0)</f>
        <v>0</v>
      </c>
      <c r="E765" s="274">
        <f>IF(C765=APC!A768,APC!D768,0)</f>
        <v>0</v>
      </c>
      <c r="F765" s="275">
        <f>APC!F768</f>
        <v>0</v>
      </c>
      <c r="G765" s="274">
        <f t="shared" si="16"/>
        <v>0</v>
      </c>
      <c r="J765" s="199"/>
      <c r="K765" s="199"/>
    </row>
    <row r="766" spans="2:11">
      <c r="B766" s="151" t="s">
        <v>12</v>
      </c>
      <c r="C766" s="272">
        <f>IF(APC!F769&gt;0,APC!A769,0)</f>
        <v>0</v>
      </c>
      <c r="D766" s="273">
        <f>IF(C766=APC!A769,APC!C769,0)</f>
        <v>0</v>
      </c>
      <c r="E766" s="274">
        <f>IF(C766=APC!A769,APC!D769,0)</f>
        <v>0</v>
      </c>
      <c r="F766" s="275">
        <f>APC!F769</f>
        <v>0</v>
      </c>
      <c r="G766" s="274">
        <f t="shared" si="16"/>
        <v>0</v>
      </c>
      <c r="J766" s="199"/>
      <c r="K766" s="199"/>
    </row>
    <row r="767" spans="2:11">
      <c r="B767" s="151" t="s">
        <v>12</v>
      </c>
      <c r="C767" s="272">
        <f>IF(APC!F770&gt;0,APC!A770,0)</f>
        <v>0</v>
      </c>
      <c r="D767" s="273">
        <f>IF(C767=APC!A770,APC!C770,0)</f>
        <v>0</v>
      </c>
      <c r="E767" s="274">
        <f>IF(C767=APC!A770,APC!D770,0)</f>
        <v>0</v>
      </c>
      <c r="F767" s="275">
        <f>APC!F770</f>
        <v>0</v>
      </c>
      <c r="G767" s="274">
        <f t="shared" si="16"/>
        <v>0</v>
      </c>
      <c r="J767" s="199"/>
      <c r="K767" s="199"/>
    </row>
    <row r="768" spans="2:11">
      <c r="B768" s="151" t="s">
        <v>12</v>
      </c>
      <c r="C768" s="272">
        <f>IF(APC!F771&gt;0,APC!A771,0)</f>
        <v>0</v>
      </c>
      <c r="D768" s="273">
        <f>IF(C768=APC!A771,APC!C771,0)</f>
        <v>0</v>
      </c>
      <c r="E768" s="274">
        <f>IF(C768=APC!A771,APC!D771,0)</f>
        <v>0</v>
      </c>
      <c r="F768" s="275">
        <f>APC!F771</f>
        <v>0</v>
      </c>
      <c r="G768" s="274">
        <f t="shared" si="16"/>
        <v>0</v>
      </c>
      <c r="J768" s="199"/>
      <c r="K768" s="199"/>
    </row>
    <row r="769" spans="2:11">
      <c r="B769" s="151" t="s">
        <v>12</v>
      </c>
      <c r="C769" s="272">
        <f>IF(APC!F772&gt;0,APC!A772,0)</f>
        <v>0</v>
      </c>
      <c r="D769" s="273">
        <f>IF(C769=APC!A772,APC!C772,0)</f>
        <v>0</v>
      </c>
      <c r="E769" s="274">
        <f>IF(C769=APC!A772,APC!D772,0)</f>
        <v>0</v>
      </c>
      <c r="F769" s="275">
        <f>APC!F772</f>
        <v>0</v>
      </c>
      <c r="G769" s="274">
        <f t="shared" ref="G769:G790" si="17">F769*E769</f>
        <v>0</v>
      </c>
      <c r="J769" s="199"/>
      <c r="K769" s="199"/>
    </row>
    <row r="770" spans="2:11">
      <c r="B770" s="151" t="s">
        <v>12</v>
      </c>
      <c r="C770" s="272">
        <f>IF(APC!F773&gt;0,APC!A773,0)</f>
        <v>0</v>
      </c>
      <c r="D770" s="273">
        <f>IF(C770=APC!A773,APC!C773,0)</f>
        <v>0</v>
      </c>
      <c r="E770" s="274">
        <f>IF(C770=APC!A773,APC!D773,0)</f>
        <v>0</v>
      </c>
      <c r="F770" s="275">
        <f>APC!F773</f>
        <v>0</v>
      </c>
      <c r="G770" s="274">
        <f t="shared" si="17"/>
        <v>0</v>
      </c>
      <c r="J770" s="199"/>
      <c r="K770" s="199"/>
    </row>
    <row r="771" spans="2:11">
      <c r="B771" s="151" t="s">
        <v>12</v>
      </c>
      <c r="C771" s="272">
        <f>IF(APC!F774&gt;0,APC!A774,0)</f>
        <v>0</v>
      </c>
      <c r="D771" s="273">
        <f>IF(C771=APC!A774,APC!C774,0)</f>
        <v>0</v>
      </c>
      <c r="E771" s="274">
        <f>IF(C771=APC!A774,APC!D774,0)</f>
        <v>0</v>
      </c>
      <c r="F771" s="275">
        <f>APC!F774</f>
        <v>0</v>
      </c>
      <c r="G771" s="274">
        <f t="shared" si="17"/>
        <v>0</v>
      </c>
      <c r="J771" s="199"/>
      <c r="K771" s="199"/>
    </row>
    <row r="772" spans="2:11">
      <c r="B772" s="151" t="s">
        <v>12</v>
      </c>
      <c r="C772" s="272">
        <f>IF(APC!F775&gt;0,APC!A775,0)</f>
        <v>0</v>
      </c>
      <c r="D772" s="273">
        <f>IF(C772=APC!A775,APC!C775,0)</f>
        <v>0</v>
      </c>
      <c r="E772" s="274">
        <f>IF(C772=APC!A775,APC!D775,0)</f>
        <v>0</v>
      </c>
      <c r="F772" s="275">
        <f>APC!F775</f>
        <v>0</v>
      </c>
      <c r="G772" s="274">
        <f t="shared" si="17"/>
        <v>0</v>
      </c>
      <c r="J772" s="199"/>
      <c r="K772" s="199"/>
    </row>
    <row r="773" spans="2:11">
      <c r="B773" s="151" t="s">
        <v>12</v>
      </c>
      <c r="C773" s="272">
        <f>IF(APC!F776&gt;0,APC!A776,0)</f>
        <v>0</v>
      </c>
      <c r="D773" s="273">
        <f>IF(C773=APC!A776,APC!C776,0)</f>
        <v>0</v>
      </c>
      <c r="E773" s="274">
        <f>IF(C773=APC!A776,APC!D776,0)</f>
        <v>0</v>
      </c>
      <c r="F773" s="275">
        <f>APC!F776</f>
        <v>0</v>
      </c>
      <c r="G773" s="274">
        <f t="shared" si="17"/>
        <v>0</v>
      </c>
      <c r="J773" s="199"/>
      <c r="K773" s="199"/>
    </row>
    <row r="774" spans="2:11">
      <c r="B774" s="151" t="s">
        <v>12</v>
      </c>
      <c r="C774" s="272">
        <f>IF(APC!F777&gt;0,APC!A777,0)</f>
        <v>0</v>
      </c>
      <c r="D774" s="273">
        <f>IF(C774=APC!A777,APC!C777,0)</f>
        <v>0</v>
      </c>
      <c r="E774" s="274">
        <f>IF(C774=APC!A777,APC!D777,0)</f>
        <v>0</v>
      </c>
      <c r="F774" s="275">
        <f>APC!F777</f>
        <v>0</v>
      </c>
      <c r="G774" s="274">
        <f t="shared" si="17"/>
        <v>0</v>
      </c>
      <c r="J774" s="199"/>
      <c r="K774" s="199"/>
    </row>
    <row r="775" spans="2:11">
      <c r="B775" s="151" t="s">
        <v>12</v>
      </c>
      <c r="C775" s="272">
        <f>IF(APC!F778&gt;0,APC!A778,0)</f>
        <v>0</v>
      </c>
      <c r="D775" s="273">
        <f>IF(C775=APC!A778,APC!C778,0)</f>
        <v>0</v>
      </c>
      <c r="E775" s="274">
        <f>IF(C775=APC!A778,APC!D778,0)</f>
        <v>0</v>
      </c>
      <c r="F775" s="275">
        <f>APC!F778</f>
        <v>0</v>
      </c>
      <c r="G775" s="274">
        <f t="shared" si="17"/>
        <v>0</v>
      </c>
      <c r="J775" s="199"/>
      <c r="K775" s="199"/>
    </row>
    <row r="776" spans="2:11">
      <c r="B776" s="151" t="s">
        <v>12</v>
      </c>
      <c r="C776" s="272">
        <f>IF(APC!F779&gt;0,APC!A779,0)</f>
        <v>0</v>
      </c>
      <c r="D776" s="273">
        <f>IF(C776=APC!A779,APC!C779,0)</f>
        <v>0</v>
      </c>
      <c r="E776" s="274">
        <f>IF(C776=APC!A779,APC!D779,0)</f>
        <v>0</v>
      </c>
      <c r="F776" s="275">
        <f>APC!F779</f>
        <v>0</v>
      </c>
      <c r="G776" s="274">
        <f t="shared" si="17"/>
        <v>0</v>
      </c>
      <c r="J776" s="199"/>
      <c r="K776" s="199"/>
    </row>
    <row r="777" spans="2:11">
      <c r="B777" s="151" t="s">
        <v>12</v>
      </c>
      <c r="C777" s="272">
        <f>IF(APC!F780&gt;0,APC!A780,0)</f>
        <v>0</v>
      </c>
      <c r="D777" s="273">
        <f>IF(C777=APC!A780,APC!C780,0)</f>
        <v>0</v>
      </c>
      <c r="E777" s="274">
        <f>IF(C777=APC!A780,APC!D780,0)</f>
        <v>0</v>
      </c>
      <c r="F777" s="275">
        <f>APC!F780</f>
        <v>0</v>
      </c>
      <c r="G777" s="274">
        <f t="shared" si="17"/>
        <v>0</v>
      </c>
      <c r="J777" s="199"/>
      <c r="K777" s="199"/>
    </row>
    <row r="778" spans="2:11">
      <c r="B778" s="151" t="s">
        <v>12</v>
      </c>
      <c r="C778" s="272">
        <f>IF(APC!F781&gt;0,APC!A781,0)</f>
        <v>0</v>
      </c>
      <c r="D778" s="273">
        <f>IF(C778=APC!A781,APC!C781,0)</f>
        <v>0</v>
      </c>
      <c r="E778" s="274">
        <f>IF(C778=APC!A781,APC!D781,0)</f>
        <v>0</v>
      </c>
      <c r="F778" s="275">
        <f>APC!F781</f>
        <v>0</v>
      </c>
      <c r="G778" s="274">
        <f t="shared" si="17"/>
        <v>0</v>
      </c>
      <c r="J778" s="199"/>
      <c r="K778" s="199"/>
    </row>
    <row r="779" spans="2:11">
      <c r="B779" s="151" t="s">
        <v>12</v>
      </c>
      <c r="C779" s="272">
        <f>IF(APC!F782&gt;0,APC!A782,0)</f>
        <v>0</v>
      </c>
      <c r="D779" s="273">
        <f>IF(C779=APC!A782,APC!C782,0)</f>
        <v>0</v>
      </c>
      <c r="E779" s="274">
        <f>IF(C779=APC!A782,APC!D782,0)</f>
        <v>0</v>
      </c>
      <c r="F779" s="275">
        <f>APC!F782</f>
        <v>0</v>
      </c>
      <c r="G779" s="274">
        <f t="shared" si="17"/>
        <v>0</v>
      </c>
      <c r="J779" s="199"/>
      <c r="K779" s="199"/>
    </row>
    <row r="780" spans="2:11">
      <c r="B780" s="151" t="s">
        <v>12</v>
      </c>
      <c r="C780" s="272">
        <f>IF(APC!F783&gt;0,APC!A783,0)</f>
        <v>0</v>
      </c>
      <c r="D780" s="273">
        <f>IF(C780=APC!A783,APC!C783,0)</f>
        <v>0</v>
      </c>
      <c r="E780" s="274">
        <f>IF(C780=APC!A783,APC!D783,0)</f>
        <v>0</v>
      </c>
      <c r="F780" s="275">
        <f>APC!F783</f>
        <v>0</v>
      </c>
      <c r="G780" s="274">
        <f t="shared" si="17"/>
        <v>0</v>
      </c>
      <c r="J780" s="199"/>
      <c r="K780" s="199"/>
    </row>
    <row r="781" spans="2:11">
      <c r="B781" s="151" t="s">
        <v>12</v>
      </c>
      <c r="C781" s="272">
        <f>IF(APC!F784&gt;0,APC!A784,0)</f>
        <v>0</v>
      </c>
      <c r="D781" s="273">
        <f>IF(C781=APC!A784,APC!C784,0)</f>
        <v>0</v>
      </c>
      <c r="E781" s="274">
        <f>IF(C781=APC!A784,APC!D784,0)</f>
        <v>0</v>
      </c>
      <c r="F781" s="275">
        <f>APC!F784</f>
        <v>0</v>
      </c>
      <c r="G781" s="274">
        <f t="shared" si="17"/>
        <v>0</v>
      </c>
      <c r="J781" s="199"/>
      <c r="K781" s="199"/>
    </row>
    <row r="782" spans="2:11">
      <c r="B782" s="151" t="s">
        <v>12</v>
      </c>
      <c r="C782" s="272">
        <f>IF(APC!F785&gt;0,APC!A785,0)</f>
        <v>0</v>
      </c>
      <c r="D782" s="273">
        <f>IF(C782=APC!A785,APC!C785,0)</f>
        <v>0</v>
      </c>
      <c r="E782" s="274">
        <f>IF(C782=APC!A785,APC!D785,0)</f>
        <v>0</v>
      </c>
      <c r="F782" s="275">
        <f>APC!F785</f>
        <v>0</v>
      </c>
      <c r="G782" s="274">
        <f t="shared" si="17"/>
        <v>0</v>
      </c>
      <c r="J782" s="199"/>
      <c r="K782" s="199"/>
    </row>
    <row r="783" spans="2:11">
      <c r="B783" s="151" t="s">
        <v>12</v>
      </c>
      <c r="C783" s="272">
        <f>IF(APC!F786&gt;0,APC!A786,0)</f>
        <v>0</v>
      </c>
      <c r="D783" s="273">
        <f>IF(C783=APC!A786,APC!C786,0)</f>
        <v>0</v>
      </c>
      <c r="E783" s="274">
        <f>IF(C783=APC!A786,APC!D786,0)</f>
        <v>0</v>
      </c>
      <c r="F783" s="275">
        <f>APC!F786</f>
        <v>0</v>
      </c>
      <c r="G783" s="274">
        <f t="shared" si="17"/>
        <v>0</v>
      </c>
      <c r="J783" s="199"/>
      <c r="K783" s="199"/>
    </row>
    <row r="784" spans="2:11">
      <c r="B784" s="151" t="s">
        <v>12</v>
      </c>
      <c r="C784" s="272">
        <f>IF(APC!F787&gt;0,APC!A787,0)</f>
        <v>0</v>
      </c>
      <c r="D784" s="273">
        <f>IF(C784=APC!A787,APC!C787,0)</f>
        <v>0</v>
      </c>
      <c r="E784" s="274">
        <f>IF(C784=APC!A787,APC!D787,0)</f>
        <v>0</v>
      </c>
      <c r="F784" s="275">
        <f>APC!F787</f>
        <v>0</v>
      </c>
      <c r="G784" s="274">
        <f t="shared" si="17"/>
        <v>0</v>
      </c>
      <c r="J784" s="199"/>
      <c r="K784" s="199"/>
    </row>
    <row r="785" spans="2:11">
      <c r="B785" s="151" t="s">
        <v>12</v>
      </c>
      <c r="C785" s="272">
        <f>IF(APC!F788&gt;0,APC!A788,0)</f>
        <v>0</v>
      </c>
      <c r="D785" s="273">
        <f>IF(C785=APC!A788,APC!C788,0)</f>
        <v>0</v>
      </c>
      <c r="E785" s="274">
        <f>IF(C785=APC!A788,APC!D788,0)</f>
        <v>0</v>
      </c>
      <c r="F785" s="275">
        <f>APC!F788</f>
        <v>0</v>
      </c>
      <c r="G785" s="274">
        <f t="shared" si="17"/>
        <v>0</v>
      </c>
      <c r="J785" s="199"/>
      <c r="K785" s="199"/>
    </row>
    <row r="786" spans="2:11">
      <c r="B786" s="151" t="s">
        <v>12</v>
      </c>
      <c r="C786" s="272">
        <f>IF(APC!F789&gt;0,APC!A789,0)</f>
        <v>0</v>
      </c>
      <c r="D786" s="273">
        <f>IF(C786=APC!A789,APC!C789,0)</f>
        <v>0</v>
      </c>
      <c r="E786" s="274">
        <f>IF(C786=APC!A789,APC!D789,0)</f>
        <v>0</v>
      </c>
      <c r="F786" s="275">
        <f>APC!F789</f>
        <v>0</v>
      </c>
      <c r="G786" s="274">
        <f t="shared" si="17"/>
        <v>0</v>
      </c>
      <c r="J786" s="199"/>
      <c r="K786" s="199"/>
    </row>
    <row r="787" spans="2:11">
      <c r="B787" s="151" t="s">
        <v>12</v>
      </c>
      <c r="C787" s="272">
        <f>IF(APC!F790&gt;0,APC!A790,0)</f>
        <v>0</v>
      </c>
      <c r="D787" s="273">
        <f>IF(C787=APC!A790,APC!C790,0)</f>
        <v>0</v>
      </c>
      <c r="E787" s="274">
        <f>IF(C787=APC!A790,APC!D790,0)</f>
        <v>0</v>
      </c>
      <c r="F787" s="275">
        <f>APC!F790</f>
        <v>0</v>
      </c>
      <c r="G787" s="274">
        <f t="shared" si="17"/>
        <v>0</v>
      </c>
      <c r="J787" s="199"/>
      <c r="K787" s="199"/>
    </row>
    <row r="788" spans="2:11">
      <c r="B788" s="151" t="s">
        <v>12</v>
      </c>
      <c r="C788" s="272">
        <f>IF(APC!F791&gt;0,APC!A791,0)</f>
        <v>0</v>
      </c>
      <c r="D788" s="273">
        <f>IF(C788=APC!A791,APC!C791,0)</f>
        <v>0</v>
      </c>
      <c r="E788" s="274">
        <f>IF(C788=APC!A791,APC!D791,0)</f>
        <v>0</v>
      </c>
      <c r="F788" s="275">
        <f>APC!F791</f>
        <v>0</v>
      </c>
      <c r="G788" s="274">
        <f t="shared" si="17"/>
        <v>0</v>
      </c>
      <c r="J788" s="199"/>
      <c r="K788" s="199"/>
    </row>
    <row r="789" spans="2:11">
      <c r="B789" s="151" t="s">
        <v>12</v>
      </c>
      <c r="C789" s="272">
        <f>IF(APC!F792&gt;0,APC!A792,0)</f>
        <v>0</v>
      </c>
      <c r="D789" s="273">
        <f>IF(C789=APC!A792,APC!C792,0)</f>
        <v>0</v>
      </c>
      <c r="E789" s="274">
        <f>IF(C789=APC!A792,APC!D792,0)</f>
        <v>0</v>
      </c>
      <c r="F789" s="275">
        <f>APC!F792</f>
        <v>0</v>
      </c>
      <c r="G789" s="274">
        <f t="shared" si="17"/>
        <v>0</v>
      </c>
      <c r="J789" s="199"/>
      <c r="K789" s="199"/>
    </row>
    <row r="790" spans="2:11">
      <c r="B790" s="151" t="s">
        <v>12</v>
      </c>
      <c r="C790" s="272">
        <f>IF(APC!F793&gt;0,APC!A793,0)</f>
        <v>0</v>
      </c>
      <c r="D790" s="273">
        <f>IF(C790=APC!A793,APC!C793,0)</f>
        <v>0</v>
      </c>
      <c r="E790" s="274">
        <f>IF(C790=APC!A793,APC!D793,0)</f>
        <v>0</v>
      </c>
      <c r="F790" s="275">
        <f>APC!F793</f>
        <v>0</v>
      </c>
      <c r="G790" s="274">
        <f t="shared" si="17"/>
        <v>0</v>
      </c>
      <c r="J790" s="199"/>
      <c r="K790" s="199"/>
    </row>
    <row r="791" spans="2:11">
      <c r="B791" s="151" t="s">
        <v>128</v>
      </c>
      <c r="C791" s="151">
        <f>IF('HP Consommables'!F554&gt;0,'HP Consommables'!A554,0)</f>
        <v>0</v>
      </c>
      <c r="D791" s="152">
        <f>IF(C791='HP Consommables'!A554,'HP Consommables'!C554,0)</f>
        <v>0</v>
      </c>
      <c r="E791" s="157">
        <f>IF(C791='HP Consommables'!A554,'HP Consommables'!D554,0)</f>
        <v>0</v>
      </c>
      <c r="F791" s="153">
        <f>'HP Consommables'!F554</f>
        <v>0</v>
      </c>
      <c r="G791" s="274">
        <f t="shared" ref="G791:G804" si="18">F791*E791</f>
        <v>0</v>
      </c>
    </row>
    <row r="792" spans="2:11">
      <c r="B792" s="151" t="s">
        <v>128</v>
      </c>
      <c r="C792" s="151">
        <f>IF('HP Consommables'!F555&gt;0,'HP Consommables'!A555,0)</f>
        <v>0</v>
      </c>
      <c r="D792" s="152">
        <f>IF(C792='HP Consommables'!A555,'HP Consommables'!C555,0)</f>
        <v>0</v>
      </c>
      <c r="E792" s="157">
        <f>IF(C792='HP Consommables'!A555,'HP Consommables'!D555,0)</f>
        <v>0</v>
      </c>
      <c r="F792" s="153">
        <f>'HP Consommables'!F555</f>
        <v>0</v>
      </c>
      <c r="G792" s="274">
        <f t="shared" si="18"/>
        <v>0</v>
      </c>
    </row>
    <row r="793" spans="2:11">
      <c r="B793" s="151" t="s">
        <v>128</v>
      </c>
      <c r="C793" s="151">
        <f>IF('HP Consommables'!F556&gt;0,'HP Consommables'!A556,0)</f>
        <v>0</v>
      </c>
      <c r="D793" s="152">
        <f>IF(C793='HP Consommables'!A556,'HP Consommables'!C556,0)</f>
        <v>0</v>
      </c>
      <c r="E793" s="157">
        <f>IF(C793='HP Consommables'!A556,'HP Consommables'!D556,0)</f>
        <v>0</v>
      </c>
      <c r="F793" s="153">
        <f>'HP Consommables'!F556</f>
        <v>0</v>
      </c>
      <c r="G793" s="274">
        <f t="shared" si="18"/>
        <v>0</v>
      </c>
    </row>
    <row r="794" spans="2:11">
      <c r="B794" s="151" t="s">
        <v>128</v>
      </c>
      <c r="C794" s="151">
        <f>IF('HP Consommables'!F557&gt;0,'HP Consommables'!A557,0)</f>
        <v>0</v>
      </c>
      <c r="D794" s="152">
        <f>IF(C794='HP Consommables'!A557,'HP Consommables'!C557,0)</f>
        <v>0</v>
      </c>
      <c r="E794" s="157">
        <f>IF(C794='HP Consommables'!A557,'HP Consommables'!D557,0)</f>
        <v>0</v>
      </c>
      <c r="F794" s="153">
        <f>'HP Consommables'!F557</f>
        <v>0</v>
      </c>
      <c r="G794" s="274">
        <f t="shared" si="18"/>
        <v>0</v>
      </c>
    </row>
    <row r="795" spans="2:11">
      <c r="B795" s="151" t="s">
        <v>128</v>
      </c>
      <c r="C795" s="151">
        <f>IF('HP Consommables'!F558&gt;0,'HP Consommables'!A558,0)</f>
        <v>0</v>
      </c>
      <c r="D795" s="152">
        <f>IF(C795='HP Consommables'!A558,'HP Consommables'!C558,0)</f>
        <v>0</v>
      </c>
      <c r="E795" s="157">
        <f>IF(C795='HP Consommables'!A558,'HP Consommables'!D558,0)</f>
        <v>0</v>
      </c>
      <c r="F795" s="153">
        <f>'HP Consommables'!F558</f>
        <v>0</v>
      </c>
      <c r="G795" s="274">
        <f t="shared" si="18"/>
        <v>0</v>
      </c>
    </row>
    <row r="796" spans="2:11">
      <c r="B796" s="151" t="s">
        <v>128</v>
      </c>
      <c r="C796" s="151">
        <f>IF('HP Consommables'!F559&gt;0,'HP Consommables'!A559,0)</f>
        <v>0</v>
      </c>
      <c r="D796" s="152">
        <f>IF(C796='HP Consommables'!A559,'HP Consommables'!C559,0)</f>
        <v>0</v>
      </c>
      <c r="E796" s="157">
        <f>IF(C796='HP Consommables'!A559,'HP Consommables'!D559,0)</f>
        <v>0</v>
      </c>
      <c r="F796" s="153">
        <f>'HP Consommables'!F559</f>
        <v>0</v>
      </c>
      <c r="G796" s="274">
        <f t="shared" si="18"/>
        <v>0</v>
      </c>
    </row>
    <row r="797" spans="2:11">
      <c r="B797" s="151" t="s">
        <v>128</v>
      </c>
      <c r="C797" s="151">
        <f>IF('HP Consommables'!F560&gt;0,'HP Consommables'!A560,0)</f>
        <v>0</v>
      </c>
      <c r="D797" s="152">
        <f>IF(C797='HP Consommables'!A560,'HP Consommables'!C560,0)</f>
        <v>0</v>
      </c>
      <c r="E797" s="157">
        <f>IF(C797='HP Consommables'!A560,'HP Consommables'!D560,0)</f>
        <v>0</v>
      </c>
      <c r="F797" s="153">
        <f>'HP Consommables'!F560</f>
        <v>0</v>
      </c>
      <c r="G797" s="274">
        <f t="shared" si="18"/>
        <v>0</v>
      </c>
    </row>
    <row r="798" spans="2:11">
      <c r="B798" s="151" t="s">
        <v>128</v>
      </c>
      <c r="C798" s="151">
        <f>IF('HP Consommables'!F561&gt;0,'HP Consommables'!A561,0)</f>
        <v>0</v>
      </c>
      <c r="D798" s="152">
        <f>IF(C798='HP Consommables'!A561,'HP Consommables'!C561,0)</f>
        <v>0</v>
      </c>
      <c r="E798" s="157">
        <f>IF(C798='HP Consommables'!A561,'HP Consommables'!D561,0)</f>
        <v>0</v>
      </c>
      <c r="F798" s="153">
        <f>'HP Consommables'!F561</f>
        <v>0</v>
      </c>
      <c r="G798" s="274">
        <f t="shared" si="18"/>
        <v>0</v>
      </c>
    </row>
    <row r="799" spans="2:11">
      <c r="B799" s="151" t="s">
        <v>128</v>
      </c>
      <c r="C799" s="151">
        <f>IF('HP Consommables'!F562&gt;0,'HP Consommables'!A562,0)</f>
        <v>0</v>
      </c>
      <c r="D799" s="152">
        <f>IF(C799='HP Consommables'!A562,'HP Consommables'!C562,0)</f>
        <v>0</v>
      </c>
      <c r="E799" s="157">
        <f>IF(C799='HP Consommables'!A562,'HP Consommables'!D562,0)</f>
        <v>0</v>
      </c>
      <c r="F799" s="153">
        <f>'HP Consommables'!F562</f>
        <v>0</v>
      </c>
      <c r="G799" s="274">
        <f t="shared" si="18"/>
        <v>0</v>
      </c>
    </row>
    <row r="800" spans="2:11">
      <c r="B800" s="151" t="s">
        <v>128</v>
      </c>
      <c r="C800" s="151">
        <f>IF('HP Consommables'!F563&gt;0,'HP Consommables'!A563,0)</f>
        <v>0</v>
      </c>
      <c r="D800" s="152">
        <f>IF(C800='HP Consommables'!A563,'HP Consommables'!C563,0)</f>
        <v>0</v>
      </c>
      <c r="E800" s="157">
        <f>IF(C800='HP Consommables'!A563,'HP Consommables'!D563,0)</f>
        <v>0</v>
      </c>
      <c r="F800" s="153">
        <f>'HP Consommables'!F563</f>
        <v>0</v>
      </c>
      <c r="G800" s="274">
        <f t="shared" si="18"/>
        <v>0</v>
      </c>
    </row>
    <row r="801" spans="2:16">
      <c r="B801" s="151" t="s">
        <v>8</v>
      </c>
      <c r="C801" s="151">
        <f>IF('HP Inc.'!F366&gt;0,'HP Inc.'!A366,0)</f>
        <v>0</v>
      </c>
      <c r="D801" s="152">
        <f>IF(C801='HP Inc.'!A366,'HP Inc.'!C366,0)</f>
        <v>0</v>
      </c>
      <c r="E801" s="157">
        <f>IF(C801='HP Inc.'!A366,'HP Inc.'!D366,0)</f>
        <v>0</v>
      </c>
      <c r="F801" s="153">
        <f>'HP Inc.'!F366</f>
        <v>0</v>
      </c>
      <c r="G801" s="274">
        <f t="shared" si="18"/>
        <v>0</v>
      </c>
    </row>
    <row r="802" spans="2:16">
      <c r="B802" s="151" t="s">
        <v>8</v>
      </c>
      <c r="C802" s="151">
        <f>IF('HP Inc.'!F367&gt;0,'HP Inc.'!A367,0)</f>
        <v>0</v>
      </c>
      <c r="D802" s="152">
        <f>IF(C802='HP Inc.'!A367,'HP Inc.'!C367,0)</f>
        <v>0</v>
      </c>
      <c r="E802" s="157">
        <f>IF(C802='HP Inc.'!A367,'HP Inc.'!D367,0)</f>
        <v>0</v>
      </c>
      <c r="F802" s="153">
        <f>'HP Inc.'!F367</f>
        <v>0</v>
      </c>
      <c r="G802" s="274">
        <f t="shared" si="18"/>
        <v>0</v>
      </c>
    </row>
    <row r="803" spans="2:16">
      <c r="B803" s="151" t="s">
        <v>8</v>
      </c>
      <c r="C803" s="151">
        <f>IF('HP Inc.'!F368&gt;0,'HP Inc.'!A368,0)</f>
        <v>0</v>
      </c>
      <c r="D803" s="152">
        <f>IF(C803='HP Inc.'!A368,'HP Inc.'!C368,0)</f>
        <v>0</v>
      </c>
      <c r="E803" s="157">
        <f>IF(C803='HP Inc.'!A368,'HP Inc.'!D368,0)</f>
        <v>0</v>
      </c>
      <c r="F803" s="153">
        <f>'HP Inc.'!F368</f>
        <v>0</v>
      </c>
      <c r="G803" s="274">
        <f t="shared" si="18"/>
        <v>0</v>
      </c>
    </row>
    <row r="804" spans="2:16">
      <c r="B804" s="151" t="s">
        <v>8</v>
      </c>
      <c r="C804" s="151">
        <f>IF('HP Inc.'!F369&gt;0,'HP Inc.'!A369,0)</f>
        <v>0</v>
      </c>
      <c r="D804" s="152">
        <f>IF(C804='HP Inc.'!A369,'HP Inc.'!C369,0)</f>
        <v>0</v>
      </c>
      <c r="E804" s="157">
        <f>IF(C804='HP Inc.'!A369,'HP Inc.'!D369,0)</f>
        <v>0</v>
      </c>
      <c r="F804" s="153">
        <f>'HP Inc.'!F369</f>
        <v>0</v>
      </c>
      <c r="G804" s="274">
        <f t="shared" si="18"/>
        <v>0</v>
      </c>
    </row>
    <row r="805" spans="2:16">
      <c r="B805" s="151" t="s">
        <v>100</v>
      </c>
      <c r="C805" s="151">
        <f>IF(Divers!F604&gt;0,Divers!A604,0)</f>
        <v>0</v>
      </c>
      <c r="D805" s="152">
        <f>IF(C805=Divers!A604,Divers!C604,0)</f>
        <v>0</v>
      </c>
      <c r="E805" s="157">
        <f>IF(C805=Divers!A604,Divers!D604,0)</f>
        <v>0</v>
      </c>
      <c r="F805" s="153">
        <f>Divers!F604</f>
        <v>0</v>
      </c>
      <c r="G805" s="274">
        <f t="shared" ref="G805:G812" si="19">F805*E805</f>
        <v>0</v>
      </c>
      <c r="J805" s="199"/>
      <c r="K805" s="199"/>
    </row>
    <row r="806" spans="2:16">
      <c r="B806" s="151" t="s">
        <v>100</v>
      </c>
      <c r="C806" s="151">
        <f>IF(Divers!F605&gt;0,Divers!A605,0)</f>
        <v>0</v>
      </c>
      <c r="D806" s="152">
        <f>IF(C806=Divers!A605,Divers!C605,0)</f>
        <v>0</v>
      </c>
      <c r="E806" s="157">
        <f>IF(C806=Divers!A605,Divers!D605,0)</f>
        <v>0</v>
      </c>
      <c r="F806" s="153">
        <f>Divers!F605</f>
        <v>0</v>
      </c>
      <c r="G806" s="274">
        <f t="shared" si="19"/>
        <v>0</v>
      </c>
      <c r="J806" s="199"/>
      <c r="K806" s="199"/>
    </row>
    <row r="807" spans="2:16">
      <c r="B807" s="151" t="s">
        <v>100</v>
      </c>
      <c r="C807" s="151">
        <f>IF(Divers!F606&gt;0,Divers!A606,0)</f>
        <v>0</v>
      </c>
      <c r="D807" s="152">
        <f>IF(C807=Divers!A606,Divers!C606,0)</f>
        <v>0</v>
      </c>
      <c r="E807" s="157">
        <f>IF(C807=Divers!A606,Divers!D606,0)</f>
        <v>0</v>
      </c>
      <c r="F807" s="153">
        <f>Divers!F606</f>
        <v>0</v>
      </c>
      <c r="G807" s="274">
        <f t="shared" si="19"/>
        <v>0</v>
      </c>
      <c r="J807" s="199"/>
      <c r="K807" s="199"/>
    </row>
    <row r="808" spans="2:16">
      <c r="B808" s="151" t="s">
        <v>100</v>
      </c>
      <c r="C808" s="151">
        <f>IF(Divers!F607&gt;0,Divers!A607,0)</f>
        <v>0</v>
      </c>
      <c r="D808" s="152">
        <f>IF(C808=Divers!A607,Divers!C607,0)</f>
        <v>0</v>
      </c>
      <c r="E808" s="157">
        <f>IF(C808=Divers!A607,Divers!D607,0)</f>
        <v>0</v>
      </c>
      <c r="F808" s="153">
        <f>Divers!F607</f>
        <v>0</v>
      </c>
      <c r="G808" s="274">
        <f t="shared" si="19"/>
        <v>0</v>
      </c>
      <c r="J808" s="199"/>
      <c r="K808" s="199"/>
      <c r="L808" s="199"/>
      <c r="M808" s="210"/>
      <c r="N808" s="210"/>
      <c r="O808" s="210"/>
      <c r="P808" s="199"/>
    </row>
    <row r="809" spans="2:16">
      <c r="B809" s="151" t="s">
        <v>100</v>
      </c>
      <c r="C809" s="151">
        <f>IF(Divers!F608&gt;0,Divers!A608,0)</f>
        <v>0</v>
      </c>
      <c r="D809" s="152">
        <f>IF(C809=Divers!A608,Divers!C608,0)</f>
        <v>0</v>
      </c>
      <c r="E809" s="157">
        <f>IF(C809=Divers!A608,Divers!D608,0)</f>
        <v>0</v>
      </c>
      <c r="F809" s="153">
        <f>Divers!F608</f>
        <v>0</v>
      </c>
      <c r="G809" s="274">
        <f t="shared" si="19"/>
        <v>0</v>
      </c>
      <c r="J809" s="199"/>
      <c r="K809" s="199"/>
      <c r="L809" s="199"/>
      <c r="M809" s="210"/>
      <c r="N809" s="210"/>
      <c r="O809" s="210"/>
      <c r="P809" s="199"/>
    </row>
    <row r="810" spans="2:16">
      <c r="B810" s="151" t="s">
        <v>100</v>
      </c>
      <c r="C810" s="151">
        <f>IF(Divers!F609&gt;0,Divers!A609,0)</f>
        <v>0</v>
      </c>
      <c r="D810" s="152">
        <f>IF(C810=Divers!A609,Divers!C609,0)</f>
        <v>0</v>
      </c>
      <c r="E810" s="157">
        <f>IF(C810=Divers!A609,Divers!D609,0)</f>
        <v>0</v>
      </c>
      <c r="F810" s="153">
        <f>Divers!F609</f>
        <v>0</v>
      </c>
      <c r="G810" s="274">
        <f t="shared" si="19"/>
        <v>0</v>
      </c>
      <c r="J810" s="199"/>
      <c r="K810" s="199"/>
      <c r="L810" s="199"/>
      <c r="M810" s="210"/>
      <c r="N810" s="210"/>
      <c r="O810" s="210"/>
      <c r="P810" s="199"/>
    </row>
    <row r="811" spans="2:16">
      <c r="B811" s="151" t="s">
        <v>100</v>
      </c>
      <c r="C811" s="151">
        <f>IF(Divers!F610&gt;0,Divers!A610,0)</f>
        <v>0</v>
      </c>
      <c r="D811" s="152">
        <f>IF(C811=Divers!A610,Divers!C610,0)</f>
        <v>0</v>
      </c>
      <c r="E811" s="157">
        <f>IF(C811=Divers!A610,Divers!D610,0)</f>
        <v>0</v>
      </c>
      <c r="F811" s="153">
        <f>Divers!F610</f>
        <v>0</v>
      </c>
      <c r="G811" s="274">
        <f t="shared" si="19"/>
        <v>0</v>
      </c>
      <c r="J811" s="199"/>
      <c r="K811" s="199"/>
      <c r="L811" s="199"/>
      <c r="M811" s="210"/>
      <c r="N811" s="210"/>
      <c r="O811" s="210"/>
      <c r="P811" s="199"/>
    </row>
    <row r="812" spans="2:16">
      <c r="B812" s="151" t="s">
        <v>100</v>
      </c>
      <c r="C812" s="151">
        <f>IF(Divers!F611&gt;0,Divers!A611,0)</f>
        <v>0</v>
      </c>
      <c r="D812" s="152">
        <f>IF(C812=Divers!A611,Divers!C611,0)</f>
        <v>0</v>
      </c>
      <c r="E812" s="157">
        <f>IF(C812=Divers!A611,Divers!D611,0)</f>
        <v>0</v>
      </c>
      <c r="F812" s="153">
        <f>Divers!F611</f>
        <v>0</v>
      </c>
      <c r="G812" s="274">
        <f t="shared" si="19"/>
        <v>0</v>
      </c>
      <c r="J812" s="199"/>
      <c r="K812" s="199"/>
    </row>
    <row r="813" spans="2:16">
      <c r="B813" s="151" t="s">
        <v>11</v>
      </c>
      <c r="C813" s="151">
        <f>IF(Microsoft!F11&gt;0,Microsoft!A11,0)</f>
        <v>0</v>
      </c>
      <c r="D813" s="152">
        <f>IF(C813=Microsoft!A11,Microsoft!C11,0)</f>
        <v>0</v>
      </c>
      <c r="E813" s="157">
        <f>IF(C813=Microsoft!A11,Microsoft!D11,0)</f>
        <v>0</v>
      </c>
      <c r="F813" s="153">
        <f>Microsoft!F11</f>
        <v>0</v>
      </c>
      <c r="G813" s="274">
        <f>F732*E732</f>
        <v>0</v>
      </c>
    </row>
    <row r="814" spans="2:16">
      <c r="B814" s="151" t="s">
        <v>11</v>
      </c>
      <c r="C814" s="151">
        <f>IF(Microsoft!F12&gt;0,Microsoft!A12,0)</f>
        <v>0</v>
      </c>
      <c r="D814" s="152">
        <f>IF(C814=Microsoft!A12,Microsoft!C12,0)</f>
        <v>0</v>
      </c>
      <c r="E814" s="157">
        <f>IF(C814=Microsoft!A12,Microsoft!D12,0)</f>
        <v>0</v>
      </c>
      <c r="F814" s="153">
        <f>Microsoft!F12</f>
        <v>0</v>
      </c>
      <c r="G814" s="274">
        <f t="shared" ref="G814:G817" si="20">F733*E733</f>
        <v>0</v>
      </c>
    </row>
    <row r="815" spans="2:16">
      <c r="B815" s="151" t="s">
        <v>11</v>
      </c>
      <c r="C815" s="151">
        <f>IF(Microsoft!F13&gt;0,Microsoft!A13,0)</f>
        <v>0</v>
      </c>
      <c r="D815" s="152">
        <f>IF(C815=Microsoft!A13,Microsoft!C13,0)</f>
        <v>0</v>
      </c>
      <c r="E815" s="157">
        <f>IF(C815=Microsoft!A13,Microsoft!D13,0)</f>
        <v>0</v>
      </c>
      <c r="F815" s="153">
        <f>Microsoft!F13</f>
        <v>0</v>
      </c>
      <c r="G815" s="274">
        <f t="shared" si="20"/>
        <v>0</v>
      </c>
    </row>
    <row r="816" spans="2:16">
      <c r="B816" s="151" t="s">
        <v>11</v>
      </c>
      <c r="C816" s="151">
        <f>IF(Microsoft!F14&gt;0,Microsoft!A14,0)</f>
        <v>0</v>
      </c>
      <c r="D816" s="152">
        <f>IF(C816=Microsoft!A14,Microsoft!C14,0)</f>
        <v>0</v>
      </c>
      <c r="E816" s="157">
        <f>IF(C816=Microsoft!A14,Microsoft!D14,0)</f>
        <v>0</v>
      </c>
      <c r="F816" s="153">
        <f>Microsoft!F14</f>
        <v>0</v>
      </c>
      <c r="G816" s="274">
        <f t="shared" si="20"/>
        <v>0</v>
      </c>
    </row>
    <row r="817" spans="2:7">
      <c r="B817" s="151" t="s">
        <v>11</v>
      </c>
      <c r="C817" s="151">
        <f>IF(Microsoft!F15&gt;0,Microsoft!A15,0)</f>
        <v>0</v>
      </c>
      <c r="D817" s="152">
        <f>IF(C817=Microsoft!A15,Microsoft!C15,0)</f>
        <v>0</v>
      </c>
      <c r="E817" s="157">
        <f>IF(C817=Microsoft!A15,Microsoft!D15,0)</f>
        <v>0</v>
      </c>
      <c r="F817" s="153">
        <f>Microsoft!F15</f>
        <v>0</v>
      </c>
      <c r="G817" s="274">
        <f t="shared" si="20"/>
        <v>0</v>
      </c>
    </row>
    <row r="818" spans="2:7">
      <c r="B818" s="151" t="s">
        <v>11</v>
      </c>
      <c r="C818" s="151">
        <f>IF(Microsoft!F16&gt;0,Microsoft!A16,0)</f>
        <v>0</v>
      </c>
      <c r="D818" s="152">
        <f>IF(C818=Microsoft!A16,Microsoft!C16,0)</f>
        <v>0</v>
      </c>
      <c r="E818" s="157">
        <f>IF(C818=Microsoft!A16,Microsoft!D16,0)</f>
        <v>0</v>
      </c>
      <c r="F818" s="153">
        <f>Microsoft!F16</f>
        <v>0</v>
      </c>
      <c r="G818" s="274">
        <f t="shared" ref="G818:G849" si="21">F738*E738</f>
        <v>0</v>
      </c>
    </row>
    <row r="819" spans="2:7">
      <c r="B819" s="151" t="s">
        <v>11</v>
      </c>
      <c r="C819" s="151">
        <f>IF(Microsoft!F17&gt;0,Microsoft!A17,0)</f>
        <v>0</v>
      </c>
      <c r="D819" s="152">
        <f>IF(C819=Microsoft!A17,Microsoft!C17,0)</f>
        <v>0</v>
      </c>
      <c r="E819" s="157">
        <f>IF(C819=Microsoft!A17,Microsoft!D17,0)</f>
        <v>0</v>
      </c>
      <c r="F819" s="153">
        <f>Microsoft!F17</f>
        <v>0</v>
      </c>
      <c r="G819" s="274">
        <f t="shared" si="21"/>
        <v>0</v>
      </c>
    </row>
    <row r="820" spans="2:7">
      <c r="B820" s="151" t="s">
        <v>11</v>
      </c>
      <c r="C820" s="151">
        <f>IF(Microsoft!F18&gt;0,Microsoft!A18,0)</f>
        <v>0</v>
      </c>
      <c r="D820" s="152">
        <f>IF(C820=Microsoft!A18,Microsoft!C18,0)</f>
        <v>0</v>
      </c>
      <c r="E820" s="157">
        <f>IF(C820=Microsoft!A18,Microsoft!D18,0)</f>
        <v>0</v>
      </c>
      <c r="F820" s="153">
        <f>Microsoft!F18</f>
        <v>0</v>
      </c>
      <c r="G820" s="274">
        <f t="shared" si="21"/>
        <v>0</v>
      </c>
    </row>
    <row r="821" spans="2:7">
      <c r="B821" s="151" t="s">
        <v>11</v>
      </c>
      <c r="C821" s="151">
        <f>IF(Microsoft!F19&gt;0,Microsoft!A19,0)</f>
        <v>0</v>
      </c>
      <c r="D821" s="152">
        <f>IF(C821=Microsoft!A19,Microsoft!C19,0)</f>
        <v>0</v>
      </c>
      <c r="E821" s="157">
        <f>IF(C821=Microsoft!A19,Microsoft!D19,0)</f>
        <v>0</v>
      </c>
      <c r="F821" s="153">
        <f>Microsoft!F19</f>
        <v>0</v>
      </c>
      <c r="G821" s="274">
        <f t="shared" si="21"/>
        <v>0</v>
      </c>
    </row>
    <row r="822" spans="2:7">
      <c r="B822" s="151" t="s">
        <v>11</v>
      </c>
      <c r="C822" s="151">
        <f>IF(Microsoft!F20&gt;0,Microsoft!A20,0)</f>
        <v>0</v>
      </c>
      <c r="D822" s="152">
        <f>IF(C822=Microsoft!A20,Microsoft!C20,0)</f>
        <v>0</v>
      </c>
      <c r="E822" s="157">
        <f>IF(C822=Microsoft!A20,Microsoft!D20,0)</f>
        <v>0</v>
      </c>
      <c r="F822" s="153">
        <f>Microsoft!F20</f>
        <v>0</v>
      </c>
      <c r="G822" s="274">
        <f t="shared" si="21"/>
        <v>0</v>
      </c>
    </row>
    <row r="823" spans="2:7">
      <c r="B823" s="151" t="s">
        <v>11</v>
      </c>
      <c r="C823" s="151">
        <f>IF(Microsoft!F21&gt;0,Microsoft!A21,0)</f>
        <v>0</v>
      </c>
      <c r="D823" s="152">
        <f>IF(C823=Microsoft!A21,Microsoft!C21,0)</f>
        <v>0</v>
      </c>
      <c r="E823" s="157">
        <f>IF(C823=Microsoft!A21,Microsoft!D21,0)</f>
        <v>0</v>
      </c>
      <c r="F823" s="153">
        <f>Microsoft!F21</f>
        <v>0</v>
      </c>
      <c r="G823" s="274">
        <f t="shared" si="21"/>
        <v>0</v>
      </c>
    </row>
    <row r="824" spans="2:7">
      <c r="B824" s="151" t="s">
        <v>11</v>
      </c>
      <c r="C824" s="151">
        <f>IF(Microsoft!F22&gt;0,Microsoft!A22,0)</f>
        <v>0</v>
      </c>
      <c r="D824" s="152">
        <f>IF(C824=Microsoft!A22,Microsoft!C22,0)</f>
        <v>0</v>
      </c>
      <c r="E824" s="157">
        <f>IF(C824=Microsoft!A22,Microsoft!D22,0)</f>
        <v>0</v>
      </c>
      <c r="F824" s="153">
        <f>Microsoft!F22</f>
        <v>0</v>
      </c>
      <c r="G824" s="274">
        <f t="shared" si="21"/>
        <v>0</v>
      </c>
    </row>
    <row r="825" spans="2:7">
      <c r="B825" s="151" t="s">
        <v>11</v>
      </c>
      <c r="C825" s="151">
        <f>IF(Microsoft!F23&gt;0,Microsoft!A23,0)</f>
        <v>0</v>
      </c>
      <c r="D825" s="152">
        <f>IF(C825=Microsoft!A23,Microsoft!C23,0)</f>
        <v>0</v>
      </c>
      <c r="E825" s="157">
        <f>IF(C825=Microsoft!A23,Microsoft!D23,0)</f>
        <v>0</v>
      </c>
      <c r="F825" s="153">
        <f>Microsoft!F23</f>
        <v>0</v>
      </c>
      <c r="G825" s="274">
        <f t="shared" si="21"/>
        <v>0</v>
      </c>
    </row>
    <row r="826" spans="2:7">
      <c r="B826" s="151" t="s">
        <v>11</v>
      </c>
      <c r="C826" s="151">
        <f>IF(Microsoft!F24&gt;0,Microsoft!A24,0)</f>
        <v>0</v>
      </c>
      <c r="D826" s="152">
        <f>IF(C826=Microsoft!A24,Microsoft!C24,0)</f>
        <v>0</v>
      </c>
      <c r="E826" s="157">
        <f>IF(C826=Microsoft!A24,Microsoft!D24,0)</f>
        <v>0</v>
      </c>
      <c r="F826" s="153">
        <f>Microsoft!F24</f>
        <v>0</v>
      </c>
      <c r="G826" s="274">
        <f t="shared" si="21"/>
        <v>0</v>
      </c>
    </row>
    <row r="827" spans="2:7">
      <c r="B827" s="151" t="s">
        <v>11</v>
      </c>
      <c r="C827" s="151">
        <f>IF(Microsoft!F25&gt;0,Microsoft!A25,0)</f>
        <v>0</v>
      </c>
      <c r="D827" s="152">
        <f>IF(C827=Microsoft!A25,Microsoft!C25,0)</f>
        <v>0</v>
      </c>
      <c r="E827" s="157">
        <f>IF(C827=Microsoft!A25,Microsoft!D25,0)</f>
        <v>0</v>
      </c>
      <c r="F827" s="153">
        <f>Microsoft!F25</f>
        <v>0</v>
      </c>
      <c r="G827" s="274">
        <f t="shared" si="21"/>
        <v>0</v>
      </c>
    </row>
    <row r="828" spans="2:7">
      <c r="B828" s="151" t="s">
        <v>11</v>
      </c>
      <c r="C828" s="151">
        <f>IF(Microsoft!F26&gt;0,Microsoft!A26,0)</f>
        <v>0</v>
      </c>
      <c r="D828" s="152">
        <f>IF(C828=Microsoft!A26,Microsoft!C26,0)</f>
        <v>0</v>
      </c>
      <c r="E828" s="157">
        <f>IF(C828=Microsoft!A26,Microsoft!D26,0)</f>
        <v>0</v>
      </c>
      <c r="F828" s="153">
        <f>Microsoft!F26</f>
        <v>0</v>
      </c>
      <c r="G828" s="274">
        <f t="shared" si="21"/>
        <v>0</v>
      </c>
    </row>
    <row r="829" spans="2:7">
      <c r="B829" s="151" t="s">
        <v>11</v>
      </c>
      <c r="C829" s="151">
        <f>IF(Microsoft!F27&gt;0,Microsoft!A27,0)</f>
        <v>0</v>
      </c>
      <c r="D829" s="152">
        <f>IF(C829=Microsoft!A27,Microsoft!C27,0)</f>
        <v>0</v>
      </c>
      <c r="E829" s="157">
        <f>IF(C829=Microsoft!A27,Microsoft!D27,0)</f>
        <v>0</v>
      </c>
      <c r="F829" s="153">
        <f>Microsoft!F27</f>
        <v>0</v>
      </c>
      <c r="G829" s="274">
        <f t="shared" si="21"/>
        <v>0</v>
      </c>
    </row>
    <row r="830" spans="2:7">
      <c r="B830" s="151" t="s">
        <v>11</v>
      </c>
      <c r="C830" s="151">
        <f>IF(Microsoft!F28&gt;0,Microsoft!A28,0)</f>
        <v>0</v>
      </c>
      <c r="D830" s="152">
        <f>IF(C830=Microsoft!A28,Microsoft!C28,0)</f>
        <v>0</v>
      </c>
      <c r="E830" s="157">
        <f>IF(C830=Microsoft!A28,Microsoft!D28,0)</f>
        <v>0</v>
      </c>
      <c r="F830" s="153">
        <f>Microsoft!F28</f>
        <v>0</v>
      </c>
      <c r="G830" s="274">
        <f t="shared" si="21"/>
        <v>0</v>
      </c>
    </row>
    <row r="831" spans="2:7">
      <c r="B831" s="151" t="s">
        <v>11</v>
      </c>
      <c r="C831" s="151">
        <f>IF(Microsoft!F29&gt;0,Microsoft!A29,0)</f>
        <v>0</v>
      </c>
      <c r="D831" s="152">
        <f>IF(C831=Microsoft!A29,Microsoft!C29,0)</f>
        <v>0</v>
      </c>
      <c r="E831" s="157">
        <f>IF(C831=Microsoft!A29,Microsoft!D29,0)</f>
        <v>0</v>
      </c>
      <c r="F831" s="153">
        <f>Microsoft!F29</f>
        <v>0</v>
      </c>
      <c r="G831" s="274">
        <f t="shared" si="21"/>
        <v>0</v>
      </c>
    </row>
    <row r="832" spans="2:7">
      <c r="B832" s="151" t="s">
        <v>11</v>
      </c>
      <c r="C832" s="151">
        <f>IF(Microsoft!F30&gt;0,Microsoft!A30,0)</f>
        <v>0</v>
      </c>
      <c r="D832" s="152">
        <f>IF(C832=Microsoft!A30,Microsoft!C30,0)</f>
        <v>0</v>
      </c>
      <c r="E832" s="157">
        <f>IF(C832=Microsoft!A30,Microsoft!D30,0)</f>
        <v>0</v>
      </c>
      <c r="F832" s="153">
        <f>Microsoft!F30</f>
        <v>0</v>
      </c>
      <c r="G832" s="274">
        <f t="shared" si="21"/>
        <v>0</v>
      </c>
    </row>
    <row r="833" spans="2:7">
      <c r="B833" s="151" t="s">
        <v>11</v>
      </c>
      <c r="C833" s="151">
        <f>IF(Microsoft!F31&gt;0,Microsoft!A31,0)</f>
        <v>0</v>
      </c>
      <c r="D833" s="152">
        <f>IF(C833=Microsoft!A31,Microsoft!C31,0)</f>
        <v>0</v>
      </c>
      <c r="E833" s="157">
        <f>IF(C833=Microsoft!A31,Microsoft!D31,0)</f>
        <v>0</v>
      </c>
      <c r="F833" s="153">
        <f>Microsoft!F31</f>
        <v>0</v>
      </c>
      <c r="G833" s="274">
        <f t="shared" si="21"/>
        <v>0</v>
      </c>
    </row>
    <row r="834" spans="2:7">
      <c r="B834" s="151" t="s">
        <v>11</v>
      </c>
      <c r="C834" s="151">
        <f>IF(Microsoft!F32&gt;0,Microsoft!A32,0)</f>
        <v>0</v>
      </c>
      <c r="D834" s="152">
        <f>IF(C834=Microsoft!A32,Microsoft!C32,0)</f>
        <v>0</v>
      </c>
      <c r="E834" s="157">
        <f>IF(C834=Microsoft!A32,Microsoft!D32,0)</f>
        <v>0</v>
      </c>
      <c r="F834" s="153">
        <f>Microsoft!F32</f>
        <v>0</v>
      </c>
      <c r="G834" s="274">
        <f t="shared" si="21"/>
        <v>0</v>
      </c>
    </row>
    <row r="835" spans="2:7">
      <c r="B835" s="151" t="s">
        <v>11</v>
      </c>
      <c r="C835" s="151">
        <f>IF(Microsoft!F33&gt;0,Microsoft!A33,0)</f>
        <v>0</v>
      </c>
      <c r="D835" s="152">
        <f>IF(C835=Microsoft!A33,Microsoft!C33,0)</f>
        <v>0</v>
      </c>
      <c r="E835" s="157">
        <f>IF(C835=Microsoft!A33,Microsoft!D33,0)</f>
        <v>0</v>
      </c>
      <c r="F835" s="153">
        <f>Microsoft!F33</f>
        <v>0</v>
      </c>
      <c r="G835" s="274">
        <f t="shared" si="21"/>
        <v>0</v>
      </c>
    </row>
    <row r="836" spans="2:7">
      <c r="B836" s="151" t="s">
        <v>11</v>
      </c>
      <c r="C836" s="151">
        <f>IF(Microsoft!F34&gt;0,Microsoft!A34,0)</f>
        <v>0</v>
      </c>
      <c r="D836" s="152">
        <f>IF(C836=Microsoft!A34,Microsoft!C34,0)</f>
        <v>0</v>
      </c>
      <c r="E836" s="157">
        <f>IF(C836=Microsoft!A34,Microsoft!D34,0)</f>
        <v>0</v>
      </c>
      <c r="F836" s="153">
        <f>Microsoft!F34</f>
        <v>0</v>
      </c>
      <c r="G836" s="274">
        <f t="shared" si="21"/>
        <v>0</v>
      </c>
    </row>
    <row r="837" spans="2:7">
      <c r="B837" s="151" t="s">
        <v>11</v>
      </c>
      <c r="C837" s="151">
        <f>IF(Microsoft!F35&gt;0,Microsoft!A35,0)</f>
        <v>0</v>
      </c>
      <c r="D837" s="152">
        <f>IF(C837=Microsoft!A35,Microsoft!C35,0)</f>
        <v>0</v>
      </c>
      <c r="E837" s="157">
        <f>IF(C837=Microsoft!A35,Microsoft!D35,0)</f>
        <v>0</v>
      </c>
      <c r="F837" s="153">
        <f>Microsoft!F35</f>
        <v>0</v>
      </c>
      <c r="G837" s="274">
        <f t="shared" si="21"/>
        <v>0</v>
      </c>
    </row>
    <row r="838" spans="2:7">
      <c r="B838" s="151" t="s">
        <v>11</v>
      </c>
      <c r="C838" s="151">
        <f>IF(Microsoft!F36&gt;0,Microsoft!A36,0)</f>
        <v>0</v>
      </c>
      <c r="D838" s="152">
        <f>IF(C838=Microsoft!A36,Microsoft!C36,0)</f>
        <v>0</v>
      </c>
      <c r="E838" s="157">
        <f>IF(C838=Microsoft!A36,Microsoft!D36,0)</f>
        <v>0</v>
      </c>
      <c r="F838" s="153">
        <f>Microsoft!F36</f>
        <v>0</v>
      </c>
      <c r="G838" s="274">
        <f t="shared" si="21"/>
        <v>0</v>
      </c>
    </row>
    <row r="839" spans="2:7">
      <c r="B839" s="151" t="s">
        <v>11</v>
      </c>
      <c r="C839" s="151">
        <f>IF(Microsoft!F37&gt;0,Microsoft!A37,0)</f>
        <v>0</v>
      </c>
      <c r="D839" s="152">
        <f>IF(C839=Microsoft!A37,Microsoft!C37,0)</f>
        <v>0</v>
      </c>
      <c r="E839" s="157">
        <f>IF(C839=Microsoft!A37,Microsoft!D37,0)</f>
        <v>0</v>
      </c>
      <c r="F839" s="153">
        <f>Microsoft!F37</f>
        <v>0</v>
      </c>
      <c r="G839" s="274">
        <f t="shared" si="21"/>
        <v>0</v>
      </c>
    </row>
    <row r="840" spans="2:7">
      <c r="B840" s="151" t="s">
        <v>11</v>
      </c>
      <c r="C840" s="151">
        <f>IF(Microsoft!F38&gt;0,Microsoft!A38,0)</f>
        <v>0</v>
      </c>
      <c r="D840" s="152">
        <f>IF(C840=Microsoft!A38,Microsoft!C38,0)</f>
        <v>0</v>
      </c>
      <c r="E840" s="157">
        <f>IF(C840=Microsoft!A38,Microsoft!D38,0)</f>
        <v>0</v>
      </c>
      <c r="F840" s="153">
        <f>Microsoft!F38</f>
        <v>0</v>
      </c>
      <c r="G840" s="274">
        <f t="shared" si="21"/>
        <v>0</v>
      </c>
    </row>
    <row r="841" spans="2:7">
      <c r="B841" s="151" t="s">
        <v>11</v>
      </c>
      <c r="C841" s="151">
        <f>IF(Microsoft!F39&gt;0,Microsoft!A39,0)</f>
        <v>0</v>
      </c>
      <c r="D841" s="152">
        <f>IF(C841=Microsoft!A39,Microsoft!C39,0)</f>
        <v>0</v>
      </c>
      <c r="E841" s="157">
        <f>IF(C841=Microsoft!A39,Microsoft!D39,0)</f>
        <v>0</v>
      </c>
      <c r="F841" s="153">
        <f>Microsoft!F39</f>
        <v>0</v>
      </c>
      <c r="G841" s="274">
        <f t="shared" si="21"/>
        <v>0</v>
      </c>
    </row>
    <row r="842" spans="2:7">
      <c r="B842" s="151" t="s">
        <v>11</v>
      </c>
      <c r="C842" s="151">
        <f>IF(Microsoft!F40&gt;0,Microsoft!A40,0)</f>
        <v>0</v>
      </c>
      <c r="D842" s="152">
        <f>IF(C842=Microsoft!A40,Microsoft!C40,0)</f>
        <v>0</v>
      </c>
      <c r="E842" s="157">
        <f>IF(C842=Microsoft!A40,Microsoft!D40,0)</f>
        <v>0</v>
      </c>
      <c r="F842" s="153">
        <f>Microsoft!F40</f>
        <v>0</v>
      </c>
      <c r="G842" s="274">
        <f t="shared" si="21"/>
        <v>0</v>
      </c>
    </row>
    <row r="843" spans="2:7">
      <c r="B843" s="151" t="s">
        <v>11</v>
      </c>
      <c r="C843" s="151">
        <f>IF(Microsoft!F41&gt;0,Microsoft!A41,0)</f>
        <v>0</v>
      </c>
      <c r="D843" s="152">
        <f>IF(C843=Microsoft!A41,Microsoft!C41,0)</f>
        <v>0</v>
      </c>
      <c r="E843" s="157">
        <f>IF(C843=Microsoft!A41,Microsoft!D41,0)</f>
        <v>0</v>
      </c>
      <c r="F843" s="153">
        <f>Microsoft!F41</f>
        <v>0</v>
      </c>
      <c r="G843" s="274">
        <f t="shared" si="21"/>
        <v>0</v>
      </c>
    </row>
    <row r="844" spans="2:7">
      <c r="B844" s="151" t="s">
        <v>11</v>
      </c>
      <c r="C844" s="151">
        <f>IF(Microsoft!F42&gt;0,Microsoft!A42,0)</f>
        <v>0</v>
      </c>
      <c r="D844" s="152">
        <f>IF(C844=Microsoft!A42,Microsoft!C42,0)</f>
        <v>0</v>
      </c>
      <c r="E844" s="157">
        <f>IF(C844=Microsoft!A42,Microsoft!D42,0)</f>
        <v>0</v>
      </c>
      <c r="F844" s="153">
        <f>Microsoft!F42</f>
        <v>0</v>
      </c>
      <c r="G844" s="274">
        <f t="shared" si="21"/>
        <v>0</v>
      </c>
    </row>
    <row r="845" spans="2:7">
      <c r="B845" s="151" t="s">
        <v>11</v>
      </c>
      <c r="C845" s="151">
        <f>IF(Microsoft!F43&gt;0,Microsoft!A43,0)</f>
        <v>0</v>
      </c>
      <c r="D845" s="152">
        <f>IF(C845=Microsoft!A43,Microsoft!C43,0)</f>
        <v>0</v>
      </c>
      <c r="E845" s="157">
        <f>IF(C845=Microsoft!A43,Microsoft!D43,0)</f>
        <v>0</v>
      </c>
      <c r="F845" s="153">
        <f>Microsoft!F43</f>
        <v>0</v>
      </c>
      <c r="G845" s="274">
        <f t="shared" si="21"/>
        <v>0</v>
      </c>
    </row>
    <row r="846" spans="2:7">
      <c r="B846" s="151" t="s">
        <v>11</v>
      </c>
      <c r="C846" s="151">
        <f>IF(Microsoft!F44&gt;0,Microsoft!A44,0)</f>
        <v>0</v>
      </c>
      <c r="D846" s="152">
        <f>IF(C846=Microsoft!A44,Microsoft!C44,0)</f>
        <v>0</v>
      </c>
      <c r="E846" s="157">
        <f>IF(C846=Microsoft!A44,Microsoft!D44,0)</f>
        <v>0</v>
      </c>
      <c r="F846" s="153">
        <f>Microsoft!F44</f>
        <v>0</v>
      </c>
      <c r="G846" s="274">
        <f t="shared" si="21"/>
        <v>0</v>
      </c>
    </row>
    <row r="847" spans="2:7">
      <c r="B847" s="151" t="s">
        <v>11</v>
      </c>
      <c r="C847" s="151">
        <f>IF(Microsoft!F45&gt;0,Microsoft!A45,0)</f>
        <v>0</v>
      </c>
      <c r="D847" s="152">
        <f>IF(C847=Microsoft!A45,Microsoft!C45,0)</f>
        <v>0</v>
      </c>
      <c r="E847" s="157">
        <f>IF(C847=Microsoft!A45,Microsoft!D45,0)</f>
        <v>0</v>
      </c>
      <c r="F847" s="153">
        <f>Microsoft!F45</f>
        <v>0</v>
      </c>
      <c r="G847" s="274">
        <f t="shared" si="21"/>
        <v>0</v>
      </c>
    </row>
    <row r="848" spans="2:7">
      <c r="B848" s="151" t="s">
        <v>11</v>
      </c>
      <c r="C848" s="151">
        <f>IF(Microsoft!F46&gt;0,Microsoft!A46,0)</f>
        <v>0</v>
      </c>
      <c r="D848" s="152">
        <f>IF(C848=Microsoft!A46,Microsoft!C46,0)</f>
        <v>0</v>
      </c>
      <c r="E848" s="157">
        <f>IF(C848=Microsoft!A46,Microsoft!D46,0)</f>
        <v>0</v>
      </c>
      <c r="F848" s="153">
        <f>Microsoft!F46</f>
        <v>0</v>
      </c>
      <c r="G848" s="274">
        <f t="shared" si="21"/>
        <v>0</v>
      </c>
    </row>
    <row r="849" spans="2:7">
      <c r="B849" s="151" t="s">
        <v>11</v>
      </c>
      <c r="C849" s="151">
        <f>IF(Microsoft!F47&gt;0,Microsoft!A47,0)</f>
        <v>0</v>
      </c>
      <c r="D849" s="152">
        <f>IF(C849=Microsoft!A47,Microsoft!C47,0)</f>
        <v>0</v>
      </c>
      <c r="E849" s="157">
        <f>IF(C849=Microsoft!A47,Microsoft!D47,0)</f>
        <v>0</v>
      </c>
      <c r="F849" s="153">
        <f>Microsoft!F47</f>
        <v>0</v>
      </c>
      <c r="G849" s="274">
        <f t="shared" si="21"/>
        <v>0</v>
      </c>
    </row>
    <row r="850" spans="2:7">
      <c r="B850" s="151" t="s">
        <v>11</v>
      </c>
      <c r="C850" s="151">
        <f>IF(Microsoft!F48&gt;0,Microsoft!A48,0)</f>
        <v>0</v>
      </c>
      <c r="D850" s="152">
        <f>IF(C850=Microsoft!A48,Microsoft!C48,0)</f>
        <v>0</v>
      </c>
      <c r="E850" s="157">
        <f>IF(C850=Microsoft!A48,Microsoft!D48,0)</f>
        <v>0</v>
      </c>
      <c r="F850" s="153">
        <f>Microsoft!F48</f>
        <v>0</v>
      </c>
      <c r="G850" s="274">
        <f t="shared" ref="G850:G876" si="22">F770*E770</f>
        <v>0</v>
      </c>
    </row>
    <row r="851" spans="2:7">
      <c r="B851" s="151" t="s">
        <v>11</v>
      </c>
      <c r="C851" s="151">
        <f>IF(Microsoft!F49&gt;0,Microsoft!A49,0)</f>
        <v>0</v>
      </c>
      <c r="D851" s="152">
        <f>IF(C851=Microsoft!A49,Microsoft!C49,0)</f>
        <v>0</v>
      </c>
      <c r="E851" s="157">
        <f>IF(C851=Microsoft!A49,Microsoft!D49,0)</f>
        <v>0</v>
      </c>
      <c r="F851" s="153">
        <f>Microsoft!F49</f>
        <v>0</v>
      </c>
      <c r="G851" s="274">
        <f t="shared" si="22"/>
        <v>0</v>
      </c>
    </row>
    <row r="852" spans="2:7">
      <c r="B852" s="151" t="s">
        <v>11</v>
      </c>
      <c r="C852" s="151">
        <f>IF(Microsoft!F50&gt;0,Microsoft!A50,0)</f>
        <v>0</v>
      </c>
      <c r="D852" s="152">
        <f>IF(C852=Microsoft!A50,Microsoft!C50,0)</f>
        <v>0</v>
      </c>
      <c r="E852" s="157">
        <f>IF(C852=Microsoft!A50,Microsoft!D50,0)</f>
        <v>0</v>
      </c>
      <c r="F852" s="153">
        <f>Microsoft!F50</f>
        <v>0</v>
      </c>
      <c r="G852" s="274">
        <f t="shared" si="22"/>
        <v>0</v>
      </c>
    </row>
    <row r="853" spans="2:7">
      <c r="B853" s="151" t="s">
        <v>11</v>
      </c>
      <c r="C853" s="151">
        <f>IF(Microsoft!F51&gt;0,Microsoft!A51,0)</f>
        <v>0</v>
      </c>
      <c r="D853" s="152">
        <f>IF(C853=Microsoft!A51,Microsoft!C51,0)</f>
        <v>0</v>
      </c>
      <c r="E853" s="157">
        <f>IF(C853=Microsoft!A51,Microsoft!D51,0)</f>
        <v>0</v>
      </c>
      <c r="F853" s="153">
        <f>Microsoft!F51</f>
        <v>0</v>
      </c>
      <c r="G853" s="274">
        <f t="shared" si="22"/>
        <v>0</v>
      </c>
    </row>
    <row r="854" spans="2:7">
      <c r="B854" s="151" t="s">
        <v>11</v>
      </c>
      <c r="C854" s="151">
        <f>IF(Microsoft!F52&gt;0,Microsoft!A52,0)</f>
        <v>0</v>
      </c>
      <c r="D854" s="152">
        <f>IF(C854=Microsoft!A52,Microsoft!C52,0)</f>
        <v>0</v>
      </c>
      <c r="E854" s="157">
        <f>IF(C854=Microsoft!A52,Microsoft!D52,0)</f>
        <v>0</v>
      </c>
      <c r="F854" s="153">
        <f>Microsoft!F52</f>
        <v>0</v>
      </c>
      <c r="G854" s="274">
        <f t="shared" si="22"/>
        <v>0</v>
      </c>
    </row>
    <row r="855" spans="2:7">
      <c r="B855" s="151" t="s">
        <v>11</v>
      </c>
      <c r="C855" s="151">
        <f>IF(Microsoft!F53&gt;0,Microsoft!A53,0)</f>
        <v>0</v>
      </c>
      <c r="D855" s="152">
        <f>IF(C855=Microsoft!A53,Microsoft!C53,0)</f>
        <v>0</v>
      </c>
      <c r="E855" s="157">
        <f>IF(C855=Microsoft!A53,Microsoft!D53,0)</f>
        <v>0</v>
      </c>
      <c r="F855" s="153">
        <f>Microsoft!F53</f>
        <v>0</v>
      </c>
      <c r="G855" s="274">
        <f t="shared" si="22"/>
        <v>0</v>
      </c>
    </row>
    <row r="856" spans="2:7">
      <c r="B856" s="151" t="s">
        <v>11</v>
      </c>
      <c r="C856" s="151">
        <f>IF(Microsoft!F54&gt;0,Microsoft!A54,0)</f>
        <v>0</v>
      </c>
      <c r="D856" s="152">
        <f>IF(C856=Microsoft!A54,Microsoft!C54,0)</f>
        <v>0</v>
      </c>
      <c r="E856" s="157">
        <f>IF(C856=Microsoft!A54,Microsoft!D54,0)</f>
        <v>0</v>
      </c>
      <c r="F856" s="153">
        <f>Microsoft!F54</f>
        <v>0</v>
      </c>
      <c r="G856" s="274">
        <f t="shared" si="22"/>
        <v>0</v>
      </c>
    </row>
    <row r="857" spans="2:7">
      <c r="B857" s="151" t="s">
        <v>11</v>
      </c>
      <c r="C857" s="151">
        <f>IF(Microsoft!F55&gt;0,Microsoft!A55,0)</f>
        <v>0</v>
      </c>
      <c r="D857" s="152">
        <f>IF(C857=Microsoft!A55,Microsoft!C55,0)</f>
        <v>0</v>
      </c>
      <c r="E857" s="157">
        <f>IF(C857=Microsoft!A55,Microsoft!D55,0)</f>
        <v>0</v>
      </c>
      <c r="F857" s="153">
        <f>Microsoft!F55</f>
        <v>0</v>
      </c>
      <c r="G857" s="274">
        <f t="shared" si="22"/>
        <v>0</v>
      </c>
    </row>
    <row r="858" spans="2:7">
      <c r="B858" s="151" t="s">
        <v>11</v>
      </c>
      <c r="C858" s="151">
        <f>IF(Microsoft!F56&gt;0,Microsoft!A56,0)</f>
        <v>0</v>
      </c>
      <c r="D858" s="152">
        <f>IF(C858=Microsoft!A56,Microsoft!C56,0)</f>
        <v>0</v>
      </c>
      <c r="E858" s="157">
        <f>IF(C858=Microsoft!A56,Microsoft!D56,0)</f>
        <v>0</v>
      </c>
      <c r="F858" s="153">
        <f>Microsoft!F56</f>
        <v>0</v>
      </c>
      <c r="G858" s="274">
        <f t="shared" si="22"/>
        <v>0</v>
      </c>
    </row>
    <row r="859" spans="2:7">
      <c r="B859" s="151" t="s">
        <v>11</v>
      </c>
      <c r="C859" s="151">
        <f>IF(Microsoft!F57&gt;0,Microsoft!A57,0)</f>
        <v>0</v>
      </c>
      <c r="D859" s="152">
        <f>IF(C859=Microsoft!A57,Microsoft!C57,0)</f>
        <v>0</v>
      </c>
      <c r="E859" s="157">
        <f>IF(C859=Microsoft!A57,Microsoft!D57,0)</f>
        <v>0</v>
      </c>
      <c r="F859" s="153">
        <f>Microsoft!F57</f>
        <v>0</v>
      </c>
      <c r="G859" s="274">
        <f t="shared" si="22"/>
        <v>0</v>
      </c>
    </row>
    <row r="860" spans="2:7">
      <c r="B860" s="151" t="s">
        <v>11</v>
      </c>
      <c r="C860" s="151">
        <f>IF(Microsoft!F58&gt;0,Microsoft!A58,0)</f>
        <v>0</v>
      </c>
      <c r="D860" s="152">
        <f>IF(C860=Microsoft!A58,Microsoft!C58,0)</f>
        <v>0</v>
      </c>
      <c r="E860" s="157">
        <f>IF(C860=Microsoft!A58,Microsoft!D58,0)</f>
        <v>0</v>
      </c>
      <c r="F860" s="153">
        <f>Microsoft!F58</f>
        <v>0</v>
      </c>
      <c r="G860" s="274">
        <f t="shared" si="22"/>
        <v>0</v>
      </c>
    </row>
    <row r="861" spans="2:7">
      <c r="B861" s="151" t="s">
        <v>11</v>
      </c>
      <c r="C861" s="151">
        <f>IF(Microsoft!F59&gt;0,Microsoft!A59,0)</f>
        <v>0</v>
      </c>
      <c r="D861" s="152">
        <f>IF(C861=Microsoft!A59,Microsoft!C59,0)</f>
        <v>0</v>
      </c>
      <c r="E861" s="157">
        <f>IF(C861=Microsoft!A59,Microsoft!D59,0)</f>
        <v>0</v>
      </c>
      <c r="F861" s="153">
        <f>Microsoft!F59</f>
        <v>0</v>
      </c>
      <c r="G861" s="274">
        <f t="shared" si="22"/>
        <v>0</v>
      </c>
    </row>
    <row r="862" spans="2:7">
      <c r="B862" s="151" t="s">
        <v>11</v>
      </c>
      <c r="C862" s="151">
        <f>IF(Microsoft!F60&gt;0,Microsoft!A60,0)</f>
        <v>0</v>
      </c>
      <c r="D862" s="152">
        <f>IF(C862=Microsoft!A60,Microsoft!C60,0)</f>
        <v>0</v>
      </c>
      <c r="E862" s="157">
        <f>IF(C862=Microsoft!A60,Microsoft!D60,0)</f>
        <v>0</v>
      </c>
      <c r="F862" s="153">
        <f>Microsoft!F60</f>
        <v>0</v>
      </c>
      <c r="G862" s="274">
        <f t="shared" si="22"/>
        <v>0</v>
      </c>
    </row>
    <row r="863" spans="2:7">
      <c r="B863" s="151" t="s">
        <v>11</v>
      </c>
      <c r="C863" s="151">
        <f>IF(Microsoft!F61&gt;0,Microsoft!A61,0)</f>
        <v>0</v>
      </c>
      <c r="D863" s="152">
        <f>IF(C863=Microsoft!A61,Microsoft!C61,0)</f>
        <v>0</v>
      </c>
      <c r="E863" s="157">
        <f>IF(C863=Microsoft!A61,Microsoft!D61,0)</f>
        <v>0</v>
      </c>
      <c r="F863" s="153">
        <f>Microsoft!F61</f>
        <v>0</v>
      </c>
      <c r="G863" s="274">
        <f t="shared" si="22"/>
        <v>0</v>
      </c>
    </row>
    <row r="864" spans="2:7">
      <c r="B864" s="151" t="s">
        <v>11</v>
      </c>
      <c r="C864" s="151">
        <f>IF(Microsoft!F62&gt;0,Microsoft!A62,0)</f>
        <v>0</v>
      </c>
      <c r="D864" s="152">
        <f>IF(C864=Microsoft!A62,Microsoft!C62,0)</f>
        <v>0</v>
      </c>
      <c r="E864" s="157">
        <f>IF(C864=Microsoft!A62,Microsoft!D62,0)</f>
        <v>0</v>
      </c>
      <c r="F864" s="153">
        <f>Microsoft!F62</f>
        <v>0</v>
      </c>
      <c r="G864" s="274">
        <f t="shared" si="22"/>
        <v>0</v>
      </c>
    </row>
    <row r="865" spans="2:7">
      <c r="B865" s="151" t="s">
        <v>11</v>
      </c>
      <c r="C865" s="151">
        <f>IF(Microsoft!F63&gt;0,Microsoft!A63,0)</f>
        <v>0</v>
      </c>
      <c r="D865" s="152">
        <f>IF(C865=Microsoft!A63,Microsoft!C63,0)</f>
        <v>0</v>
      </c>
      <c r="E865" s="157">
        <f>IF(C865=Microsoft!A63,Microsoft!D63,0)</f>
        <v>0</v>
      </c>
      <c r="F865" s="153">
        <f>Microsoft!F63</f>
        <v>0</v>
      </c>
      <c r="G865" s="274">
        <f t="shared" si="22"/>
        <v>0</v>
      </c>
    </row>
    <row r="866" spans="2:7">
      <c r="B866" s="151" t="s">
        <v>11</v>
      </c>
      <c r="C866" s="151">
        <f>IF(Microsoft!F64&gt;0,Microsoft!A64,0)</f>
        <v>0</v>
      </c>
      <c r="D866" s="152">
        <f>IF(C866=Microsoft!A64,Microsoft!C64,0)</f>
        <v>0</v>
      </c>
      <c r="E866" s="157">
        <f>IF(C866=Microsoft!A64,Microsoft!D64,0)</f>
        <v>0</v>
      </c>
      <c r="F866" s="153">
        <f>Microsoft!F64</f>
        <v>0</v>
      </c>
      <c r="G866" s="274">
        <f t="shared" si="22"/>
        <v>0</v>
      </c>
    </row>
    <row r="867" spans="2:7">
      <c r="B867" s="151" t="s">
        <v>11</v>
      </c>
      <c r="C867" s="151">
        <f>IF(Microsoft!F65&gt;0,Microsoft!A65,0)</f>
        <v>0</v>
      </c>
      <c r="D867" s="152">
        <f>IF(C867=Microsoft!A65,Microsoft!C65,0)</f>
        <v>0</v>
      </c>
      <c r="E867" s="157">
        <f>IF(C867=Microsoft!A65,Microsoft!D65,0)</f>
        <v>0</v>
      </c>
      <c r="F867" s="153">
        <f>Microsoft!F65</f>
        <v>0</v>
      </c>
      <c r="G867" s="274">
        <f t="shared" si="22"/>
        <v>0</v>
      </c>
    </row>
    <row r="868" spans="2:7">
      <c r="B868" s="151" t="s">
        <v>11</v>
      </c>
      <c r="C868" s="151">
        <f>IF(Microsoft!F66&gt;0,Microsoft!A66,0)</f>
        <v>0</v>
      </c>
      <c r="D868" s="152">
        <f>IF(C868=Microsoft!A66,Microsoft!C66,0)</f>
        <v>0</v>
      </c>
      <c r="E868" s="157">
        <f>IF(C868=Microsoft!A66,Microsoft!D66,0)</f>
        <v>0</v>
      </c>
      <c r="F868" s="153">
        <f>Microsoft!F66</f>
        <v>0</v>
      </c>
      <c r="G868" s="274">
        <f t="shared" si="22"/>
        <v>0</v>
      </c>
    </row>
    <row r="869" spans="2:7">
      <c r="B869" s="151" t="s">
        <v>11</v>
      </c>
      <c r="C869" s="151">
        <f>IF(Microsoft!F67&gt;0,Microsoft!A67,0)</f>
        <v>0</v>
      </c>
      <c r="D869" s="152">
        <f>IF(C869=Microsoft!A67,Microsoft!C67,0)</f>
        <v>0</v>
      </c>
      <c r="E869" s="157">
        <f>IF(C869=Microsoft!A67,Microsoft!D67,0)</f>
        <v>0</v>
      </c>
      <c r="F869" s="153">
        <f>Microsoft!F67</f>
        <v>0</v>
      </c>
      <c r="G869" s="274">
        <f t="shared" si="22"/>
        <v>0</v>
      </c>
    </row>
    <row r="870" spans="2:7">
      <c r="B870" s="151" t="s">
        <v>11</v>
      </c>
      <c r="C870" s="151">
        <f>IF(Microsoft!F68&gt;0,Microsoft!A68,0)</f>
        <v>0</v>
      </c>
      <c r="D870" s="152">
        <f>IF(C870=Microsoft!A68,Microsoft!C68,0)</f>
        <v>0</v>
      </c>
      <c r="E870" s="157">
        <f>IF(C870=Microsoft!A68,Microsoft!D68,0)</f>
        <v>0</v>
      </c>
      <c r="F870" s="153">
        <f>Microsoft!F68</f>
        <v>0</v>
      </c>
      <c r="G870" s="274">
        <f t="shared" si="22"/>
        <v>0</v>
      </c>
    </row>
    <row r="871" spans="2:7">
      <c r="B871" s="151" t="s">
        <v>11</v>
      </c>
      <c r="C871" s="151">
        <f>IF(Microsoft!F69&gt;0,Microsoft!A69,0)</f>
        <v>0</v>
      </c>
      <c r="D871" s="152">
        <f>IF(C871=Microsoft!A69,Microsoft!C69,0)</f>
        <v>0</v>
      </c>
      <c r="E871" s="157">
        <f>IF(C871=Microsoft!A69,Microsoft!D69,0)</f>
        <v>0</v>
      </c>
      <c r="F871" s="153">
        <f>Microsoft!F69</f>
        <v>0</v>
      </c>
      <c r="G871" s="274">
        <f t="shared" si="22"/>
        <v>0</v>
      </c>
    </row>
    <row r="872" spans="2:7">
      <c r="B872" s="151" t="s">
        <v>11</v>
      </c>
      <c r="C872" s="151">
        <f>IF(Microsoft!F70&gt;0,Microsoft!A70,0)</f>
        <v>0</v>
      </c>
      <c r="D872" s="152">
        <f>IF(C872=Microsoft!A70,Microsoft!C70,0)</f>
        <v>0</v>
      </c>
      <c r="E872" s="157">
        <f>IF(C872=Microsoft!A70,Microsoft!D70,0)</f>
        <v>0</v>
      </c>
      <c r="F872" s="153">
        <f>Microsoft!F70</f>
        <v>0</v>
      </c>
      <c r="G872" s="274">
        <f t="shared" si="22"/>
        <v>0</v>
      </c>
    </row>
    <row r="873" spans="2:7">
      <c r="B873" s="151" t="s">
        <v>11</v>
      </c>
      <c r="C873" s="151">
        <f>IF(Microsoft!F71&gt;0,Microsoft!A71,0)</f>
        <v>0</v>
      </c>
      <c r="D873" s="152">
        <f>IF(C873=Microsoft!A71,Microsoft!C71,0)</f>
        <v>0</v>
      </c>
      <c r="E873" s="157">
        <f>IF(C873=Microsoft!A71,Microsoft!D71,0)</f>
        <v>0</v>
      </c>
      <c r="F873" s="153">
        <f>Microsoft!F71</f>
        <v>0</v>
      </c>
      <c r="G873" s="274">
        <f t="shared" si="22"/>
        <v>0</v>
      </c>
    </row>
    <row r="874" spans="2:7">
      <c r="B874" s="151" t="s">
        <v>11</v>
      </c>
      <c r="C874" s="151">
        <f>IF(Microsoft!F72&gt;0,Microsoft!A72,0)</f>
        <v>0</v>
      </c>
      <c r="D874" s="152">
        <f>IF(C874=Microsoft!A72,Microsoft!C72,0)</f>
        <v>0</v>
      </c>
      <c r="E874" s="157">
        <f>IF(C874=Microsoft!A72,Microsoft!D72,0)</f>
        <v>0</v>
      </c>
      <c r="F874" s="153">
        <f>Microsoft!F72</f>
        <v>0</v>
      </c>
      <c r="G874" s="274">
        <f t="shared" si="22"/>
        <v>0</v>
      </c>
    </row>
    <row r="875" spans="2:7">
      <c r="B875" s="151" t="s">
        <v>11</v>
      </c>
      <c r="C875" s="151">
        <f>IF(Microsoft!F73&gt;0,Microsoft!A73,0)</f>
        <v>0</v>
      </c>
      <c r="D875" s="152">
        <f>IF(C875=Microsoft!A73,Microsoft!C73,0)</f>
        <v>0</v>
      </c>
      <c r="E875" s="157">
        <f>IF(C875=Microsoft!A73,Microsoft!D73,0)</f>
        <v>0</v>
      </c>
      <c r="F875" s="153">
        <f>Microsoft!F73</f>
        <v>0</v>
      </c>
      <c r="G875" s="274">
        <f t="shared" si="22"/>
        <v>0</v>
      </c>
    </row>
    <row r="876" spans="2:7">
      <c r="B876" s="151" t="s">
        <v>11</v>
      </c>
      <c r="C876" s="151">
        <f>IF(Microsoft!F74&gt;0,Microsoft!A74,0)</f>
        <v>0</v>
      </c>
      <c r="D876" s="152">
        <f>IF(C876=Microsoft!A74,Microsoft!C74,0)</f>
        <v>0</v>
      </c>
      <c r="E876" s="157">
        <f>IF(C876=Microsoft!A74,Microsoft!D74,0)</f>
        <v>0</v>
      </c>
      <c r="F876" s="153">
        <f>Microsoft!F74</f>
        <v>0</v>
      </c>
      <c r="G876" s="274">
        <f t="shared" si="22"/>
        <v>0</v>
      </c>
    </row>
    <row r="877" spans="2:7">
      <c r="B877" s="151" t="s">
        <v>11</v>
      </c>
      <c r="C877" s="151">
        <f>IF(Microsoft!F75&gt;0,Microsoft!A75,0)</f>
        <v>0</v>
      </c>
      <c r="D877" s="152">
        <f>IF(C877=Microsoft!A75,Microsoft!C75,0)</f>
        <v>0</v>
      </c>
      <c r="E877" s="157">
        <f>IF(C877=Microsoft!A75,Microsoft!D75,0)</f>
        <v>0</v>
      </c>
      <c r="F877" s="153">
        <f>Microsoft!F75</f>
        <v>0</v>
      </c>
      <c r="G877" s="274">
        <f t="shared" ref="G877:G895" si="23">F797*E797</f>
        <v>0</v>
      </c>
    </row>
    <row r="878" spans="2:7">
      <c r="B878" s="151" t="s">
        <v>11</v>
      </c>
      <c r="C878" s="151">
        <f>IF(Microsoft!F76&gt;0,Microsoft!A76,0)</f>
        <v>0</v>
      </c>
      <c r="D878" s="152">
        <f>IF(C878=Microsoft!A76,Microsoft!C76,0)</f>
        <v>0</v>
      </c>
      <c r="E878" s="157">
        <f>IF(C878=Microsoft!A76,Microsoft!D76,0)</f>
        <v>0</v>
      </c>
      <c r="F878" s="153">
        <f>Microsoft!F76</f>
        <v>0</v>
      </c>
      <c r="G878" s="274">
        <f t="shared" si="23"/>
        <v>0</v>
      </c>
    </row>
    <row r="879" spans="2:7">
      <c r="B879" s="151" t="s">
        <v>11</v>
      </c>
      <c r="C879" s="151">
        <f>IF(Microsoft!F77&gt;0,Microsoft!A77,0)</f>
        <v>0</v>
      </c>
      <c r="D879" s="152">
        <f>IF(C879=Microsoft!A77,Microsoft!C77,0)</f>
        <v>0</v>
      </c>
      <c r="E879" s="157">
        <f>IF(C879=Microsoft!A77,Microsoft!D77,0)</f>
        <v>0</v>
      </c>
      <c r="F879" s="153">
        <f>Microsoft!F77</f>
        <v>0</v>
      </c>
      <c r="G879" s="274">
        <f t="shared" si="23"/>
        <v>0</v>
      </c>
    </row>
    <row r="880" spans="2:7">
      <c r="B880" s="151" t="s">
        <v>11</v>
      </c>
      <c r="C880" s="151">
        <f>IF(Microsoft!F78&gt;0,Microsoft!A78,0)</f>
        <v>0</v>
      </c>
      <c r="D880" s="152">
        <f>IF(C880=Microsoft!A78,Microsoft!C78,0)</f>
        <v>0</v>
      </c>
      <c r="E880" s="157">
        <f>IF(C880=Microsoft!A78,Microsoft!D78,0)</f>
        <v>0</v>
      </c>
      <c r="F880" s="153">
        <f>Microsoft!F78</f>
        <v>0</v>
      </c>
      <c r="G880" s="274">
        <f t="shared" si="23"/>
        <v>0</v>
      </c>
    </row>
    <row r="881" spans="2:7">
      <c r="B881" s="151" t="s">
        <v>11</v>
      </c>
      <c r="C881" s="151">
        <f>IF(Microsoft!F79&gt;0,Microsoft!A79,0)</f>
        <v>0</v>
      </c>
      <c r="D881" s="152">
        <f>IF(C881=Microsoft!A79,Microsoft!C79,0)</f>
        <v>0</v>
      </c>
      <c r="E881" s="157">
        <f>IF(C881=Microsoft!A79,Microsoft!D79,0)</f>
        <v>0</v>
      </c>
      <c r="F881" s="153">
        <f>Microsoft!F79</f>
        <v>0</v>
      </c>
      <c r="G881" s="274">
        <f t="shared" si="23"/>
        <v>0</v>
      </c>
    </row>
    <row r="882" spans="2:7">
      <c r="B882" s="151" t="s">
        <v>11</v>
      </c>
      <c r="C882" s="151">
        <f>IF(Microsoft!F80&gt;0,Microsoft!A80,0)</f>
        <v>0</v>
      </c>
      <c r="D882" s="152">
        <f>IF(C882=Microsoft!A80,Microsoft!C80,0)</f>
        <v>0</v>
      </c>
      <c r="E882" s="157">
        <f>IF(C882=Microsoft!A80,Microsoft!D80,0)</f>
        <v>0</v>
      </c>
      <c r="F882" s="153">
        <f>Microsoft!F80</f>
        <v>0</v>
      </c>
      <c r="G882" s="274">
        <f t="shared" si="23"/>
        <v>0</v>
      </c>
    </row>
    <row r="883" spans="2:7">
      <c r="B883" s="151" t="s">
        <v>11</v>
      </c>
      <c r="C883" s="151">
        <f>IF(Microsoft!F81&gt;0,Microsoft!A81,0)</f>
        <v>0</v>
      </c>
      <c r="D883" s="152">
        <f>IF(C883=Microsoft!A81,Microsoft!C81,0)</f>
        <v>0</v>
      </c>
      <c r="E883" s="157">
        <f>IF(C883=Microsoft!A81,Microsoft!D81,0)</f>
        <v>0</v>
      </c>
      <c r="F883" s="153">
        <f>Microsoft!F81</f>
        <v>0</v>
      </c>
      <c r="G883" s="274">
        <f t="shared" si="23"/>
        <v>0</v>
      </c>
    </row>
    <row r="884" spans="2:7">
      <c r="B884" s="151" t="s">
        <v>11</v>
      </c>
      <c r="C884" s="151">
        <f>IF(Microsoft!F82&gt;0,Microsoft!A82,0)</f>
        <v>0</v>
      </c>
      <c r="D884" s="152">
        <f>IF(C884=Microsoft!A82,Microsoft!C82,0)</f>
        <v>0</v>
      </c>
      <c r="E884" s="157">
        <f>IF(C884=Microsoft!A82,Microsoft!D82,0)</f>
        <v>0</v>
      </c>
      <c r="F884" s="153">
        <f>Microsoft!F82</f>
        <v>0</v>
      </c>
      <c r="G884" s="274">
        <f t="shared" si="23"/>
        <v>0</v>
      </c>
    </row>
    <row r="885" spans="2:7">
      <c r="B885" s="151" t="s">
        <v>11</v>
      </c>
      <c r="C885" s="151">
        <f>IF(Microsoft!F83&gt;0,Microsoft!A83,0)</f>
        <v>0</v>
      </c>
      <c r="D885" s="152">
        <f>IF(C885=Microsoft!A83,Microsoft!C83,0)</f>
        <v>0</v>
      </c>
      <c r="E885" s="157">
        <f>IF(C885=Microsoft!A83,Microsoft!D83,0)</f>
        <v>0</v>
      </c>
      <c r="F885" s="153">
        <f>Microsoft!F83</f>
        <v>0</v>
      </c>
      <c r="G885" s="274">
        <f t="shared" si="23"/>
        <v>0</v>
      </c>
    </row>
    <row r="886" spans="2:7">
      <c r="B886" s="151" t="s">
        <v>11</v>
      </c>
      <c r="C886" s="151">
        <f>IF(Microsoft!F84&gt;0,Microsoft!A84,0)</f>
        <v>0</v>
      </c>
      <c r="D886" s="152">
        <f>IF(C886=Microsoft!A84,Microsoft!C84,0)</f>
        <v>0</v>
      </c>
      <c r="E886" s="157">
        <f>IF(C886=Microsoft!A84,Microsoft!D84,0)</f>
        <v>0</v>
      </c>
      <c r="F886" s="153">
        <f>Microsoft!F84</f>
        <v>0</v>
      </c>
      <c r="G886" s="274">
        <f t="shared" si="23"/>
        <v>0</v>
      </c>
    </row>
    <row r="887" spans="2:7">
      <c r="B887" s="151" t="s">
        <v>11</v>
      </c>
      <c r="C887" s="151">
        <f>IF(Microsoft!F85&gt;0,Microsoft!A85,0)</f>
        <v>0</v>
      </c>
      <c r="D887" s="152">
        <f>IF(C887=Microsoft!A85,Microsoft!C85,0)</f>
        <v>0</v>
      </c>
      <c r="E887" s="157">
        <f>IF(C887=Microsoft!A85,Microsoft!D85,0)</f>
        <v>0</v>
      </c>
      <c r="F887" s="153">
        <f>Microsoft!F85</f>
        <v>0</v>
      </c>
      <c r="G887" s="274">
        <f t="shared" si="23"/>
        <v>0</v>
      </c>
    </row>
    <row r="888" spans="2:7">
      <c r="B888" s="151" t="s">
        <v>11</v>
      </c>
      <c r="C888" s="151">
        <f>IF(Microsoft!F86&gt;0,Microsoft!A86,0)</f>
        <v>0</v>
      </c>
      <c r="D888" s="152">
        <f>IF(C888=Microsoft!A86,Microsoft!C86,0)</f>
        <v>0</v>
      </c>
      <c r="E888" s="157">
        <f>IF(C888=Microsoft!A86,Microsoft!D86,0)</f>
        <v>0</v>
      </c>
      <c r="F888" s="153">
        <f>Microsoft!F86</f>
        <v>0</v>
      </c>
      <c r="G888" s="274">
        <f t="shared" si="23"/>
        <v>0</v>
      </c>
    </row>
    <row r="889" spans="2:7">
      <c r="B889" s="151" t="s">
        <v>11</v>
      </c>
      <c r="C889" s="151">
        <f>IF(Microsoft!F87&gt;0,Microsoft!A87,0)</f>
        <v>0</v>
      </c>
      <c r="D889" s="152">
        <f>IF(C889=Microsoft!A87,Microsoft!C87,0)</f>
        <v>0</v>
      </c>
      <c r="E889" s="157">
        <f>IF(C889=Microsoft!A87,Microsoft!D87,0)</f>
        <v>0</v>
      </c>
      <c r="F889" s="153">
        <f>Microsoft!F87</f>
        <v>0</v>
      </c>
      <c r="G889" s="274">
        <f t="shared" si="23"/>
        <v>0</v>
      </c>
    </row>
    <row r="890" spans="2:7">
      <c r="B890" s="151" t="s">
        <v>11</v>
      </c>
      <c r="C890" s="151">
        <f>IF(Microsoft!F88&gt;0,Microsoft!A88,0)</f>
        <v>0</v>
      </c>
      <c r="D890" s="152">
        <f>IF(C890=Microsoft!A88,Microsoft!C88,0)</f>
        <v>0</v>
      </c>
      <c r="E890" s="157">
        <f>IF(C890=Microsoft!A88,Microsoft!D88,0)</f>
        <v>0</v>
      </c>
      <c r="F890" s="153">
        <f>Microsoft!F88</f>
        <v>0</v>
      </c>
      <c r="G890" s="274">
        <f t="shared" si="23"/>
        <v>0</v>
      </c>
    </row>
    <row r="891" spans="2:7">
      <c r="B891" s="151" t="s">
        <v>11</v>
      </c>
      <c r="C891" s="151">
        <f>IF(Microsoft!F89&gt;0,Microsoft!A89,0)</f>
        <v>0</v>
      </c>
      <c r="D891" s="152">
        <f>IF(C891=Microsoft!A89,Microsoft!C89,0)</f>
        <v>0</v>
      </c>
      <c r="E891" s="157">
        <f>IF(C891=Microsoft!A89,Microsoft!D89,0)</f>
        <v>0</v>
      </c>
      <c r="F891" s="153">
        <f>Microsoft!F89</f>
        <v>0</v>
      </c>
      <c r="G891" s="274">
        <f t="shared" si="23"/>
        <v>0</v>
      </c>
    </row>
    <row r="892" spans="2:7">
      <c r="B892" s="151" t="s">
        <v>11</v>
      </c>
      <c r="C892" s="151">
        <f>IF(Microsoft!F90&gt;0,Microsoft!A90,0)</f>
        <v>0</v>
      </c>
      <c r="D892" s="152">
        <f>IF(C892=Microsoft!A90,Microsoft!C90,0)</f>
        <v>0</v>
      </c>
      <c r="E892" s="157">
        <f>IF(C892=Microsoft!A90,Microsoft!D90,0)</f>
        <v>0</v>
      </c>
      <c r="F892" s="153">
        <f>Microsoft!F90</f>
        <v>0</v>
      </c>
      <c r="G892" s="274">
        <f t="shared" si="23"/>
        <v>0</v>
      </c>
    </row>
    <row r="893" spans="2:7">
      <c r="B893" s="151" t="s">
        <v>11</v>
      </c>
      <c r="C893" s="151">
        <f>IF(Microsoft!F91&gt;0,Microsoft!A91,0)</f>
        <v>0</v>
      </c>
      <c r="D893" s="152">
        <f>IF(C893=Microsoft!A91,Microsoft!C91,0)</f>
        <v>0</v>
      </c>
      <c r="E893" s="157">
        <f>IF(C893=Microsoft!A91,Microsoft!D91,0)</f>
        <v>0</v>
      </c>
      <c r="F893" s="153">
        <f>Microsoft!F91</f>
        <v>0</v>
      </c>
      <c r="G893" s="274">
        <f t="shared" si="23"/>
        <v>0</v>
      </c>
    </row>
    <row r="894" spans="2:7">
      <c r="B894" s="151" t="s">
        <v>11</v>
      </c>
      <c r="C894" s="151">
        <f>IF(Microsoft!F92&gt;0,Microsoft!A92,0)</f>
        <v>0</v>
      </c>
      <c r="D894" s="152">
        <f>IF(C894=Microsoft!A92,Microsoft!C92,0)</f>
        <v>0</v>
      </c>
      <c r="E894" s="157">
        <f>IF(C894=Microsoft!A92,Microsoft!D92,0)</f>
        <v>0</v>
      </c>
      <c r="F894" s="153">
        <f>Microsoft!F92</f>
        <v>0</v>
      </c>
      <c r="G894" s="274">
        <f t="shared" si="23"/>
        <v>0</v>
      </c>
    </row>
    <row r="895" spans="2:7">
      <c r="B895" s="151" t="s">
        <v>11</v>
      </c>
      <c r="C895" s="151">
        <f>IF(Microsoft!F93&gt;0,Microsoft!A93,0)</f>
        <v>0</v>
      </c>
      <c r="D895" s="152">
        <f>IF(C895=Microsoft!A93,Microsoft!C93,0)</f>
        <v>0</v>
      </c>
      <c r="E895" s="398">
        <f>IF(C895=Microsoft!A93,Microsoft!D93,0)</f>
        <v>0</v>
      </c>
      <c r="F895" s="153">
        <f>Microsoft!F93</f>
        <v>0</v>
      </c>
      <c r="G895" s="157">
        <f t="shared" si="23"/>
        <v>0</v>
      </c>
    </row>
    <row r="896" spans="2:7">
      <c r="F896" s="293" t="s">
        <v>828</v>
      </c>
      <c r="G896" s="399">
        <f>SUMIF(G12:G895,"&lt;&gt;#VALUE!")</f>
        <v>0</v>
      </c>
    </row>
  </sheetData>
  <autoFilter ref="B11:P896" xr:uid="{00000000-0009-0000-0000-00000A000000}">
    <sortState xmlns:xlrd2="http://schemas.microsoft.com/office/spreadsheetml/2017/richdata2" ref="B225:P790">
      <sortCondition ref="D11:D790"/>
    </sortState>
  </autoFilter>
  <conditionalFormatting sqref="O82:O98 O13:O68">
    <cfRule type="cellIs" dxfId="0" priority="1" operator="lessThan">
      <formula>0</formula>
    </cfRule>
  </conditionalFormatting>
  <hyperlinks>
    <hyperlink ref="I8" location="Index!A1" display="index " xr:uid="{00000000-0004-0000-0A00-000000000000}"/>
    <hyperlink ref="K1" r:id="rId1" xr:uid="{00000000-0004-0000-0A00-000001000000}"/>
    <hyperlink ref="K2" r:id="rId2" xr:uid="{00000000-0004-0000-0A00-000002000000}"/>
    <hyperlink ref="K3" r:id="rId3" xr:uid="{00000000-0004-0000-0A00-000003000000}"/>
  </hyperlinks>
  <pageMargins left="0.7" right="0.7" top="0.75" bottom="0.75" header="0.3" footer="0.3"/>
  <pageSetup paperSize="9" scale="40" orientation="landscape" horizontalDpi="1200" verticalDpi="12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7" name="Button 1">
              <controlPr defaultSize="0" print="0" autoFill="0" autoPict="0" macro="[0]!Cleanup_Column_F">
                <anchor moveWithCells="1">
                  <from>
                    <xdr:col>9</xdr:col>
                    <xdr:colOff>133350</xdr:colOff>
                    <xdr:row>8</xdr:row>
                    <xdr:rowOff>95250</xdr:rowOff>
                  </from>
                  <to>
                    <xdr:col>9</xdr:col>
                    <xdr:colOff>819150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Index</vt:lpstr>
      <vt:lpstr>HP Print</vt:lpstr>
      <vt:lpstr>HP Inc.</vt:lpstr>
      <vt:lpstr>HPE</vt:lpstr>
      <vt:lpstr>Lenovo</vt:lpstr>
      <vt:lpstr>HP Consommables</vt:lpstr>
      <vt:lpstr>Microsoft</vt:lpstr>
      <vt:lpstr>APC</vt:lpstr>
      <vt:lpstr>DELL</vt:lpstr>
      <vt:lpstr>Divers</vt:lpstr>
      <vt:lpstr>Pour Bon de Commande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HADDAD</dc:creator>
  <cp:lastModifiedBy>Marie-Josée YASSELOU</cp:lastModifiedBy>
  <cp:lastPrinted>2025-02-04T08:18:52Z</cp:lastPrinted>
  <dcterms:created xsi:type="dcterms:W3CDTF">2022-02-24T10:48:58Z</dcterms:created>
  <dcterms:modified xsi:type="dcterms:W3CDTF">2025-02-04T08:19:14Z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2-bc88714345d2_Enabled">
    <vt:lpwstr>true</vt:lpwstr>
  </property>
  <property fmtid="{D5CDD505-2E9C-101B-9397-08002B2CF9AE}" pid="3" name="MSIP_Label_defa4170-0d19-0005-0002-bc88714345d2_SetDate">
    <vt:lpwstr>2024-08-20T08:13:14Z</vt:lpwstr>
  </property>
  <property fmtid="{D5CDD505-2E9C-101B-9397-08002B2CF9AE}" pid="4" name="MSIP_Label_defa4170-0d19-0005-0002-bc88714345d2_Method">
    <vt:lpwstr>Privileged</vt:lpwstr>
  </property>
  <property fmtid="{D5CDD505-2E9C-101B-9397-08002B2CF9AE}" pid="5" name="MSIP_Label_defa4170-0d19-0005-0002-bc88714345d2_Name">
    <vt:lpwstr>defa4170-0d19-0005-0002-bc88714345d2</vt:lpwstr>
  </property>
  <property fmtid="{D5CDD505-2E9C-101B-9397-08002B2CF9AE}" pid="6" name="MSIP_Label_defa4170-0d19-0005-0002-bc88714345d2_SiteId">
    <vt:lpwstr>f8732124-c5e2-4e51-9ce1-5530ffc7be54</vt:lpwstr>
  </property>
  <property fmtid="{D5CDD505-2E9C-101B-9397-08002B2CF9AE}" pid="7" name="MSIP_Label_defa4170-0d19-0005-0002-bc88714345d2_ActionId">
    <vt:lpwstr>673b7f54-860d-46da-8167-e6bb8ec16fa1</vt:lpwstr>
  </property>
  <property fmtid="{D5CDD505-2E9C-101B-9397-08002B2CF9AE}" pid="8" name="MSIP_Label_defa4170-0d19-0005-0002-bc88714345d2_ContentBits">
    <vt:lpwstr>0</vt:lpwstr>
  </property>
</Properties>
</file>